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Clients" sheetId="2" state="visible" r:id="rId2"/>
    <sheet name="Logins" sheetId="3" state="visible" r:id="rId3"/>
    <sheet name="Lists" sheetId="4" state="visible" r:id="rId4"/>
  </sheets>
  <definedNames>
    <definedName name="_xlnm._FilterDatabase" localSheetId="1" hidden="1">'Clients'!$A$4:$AY$1005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999999"/>
      <sz val="10"/>
    </font>
    <font>
      <name val="Arial"/>
      <i val="1"/>
      <color rgb="001F3A5F"/>
      <sz val="10"/>
    </font>
    <font>
      <name val="Arial"/>
      <color rgb="00333333"/>
      <sz val="10"/>
    </font>
    <font>
      <name val="Arial"/>
      <b val="1"/>
      <color rgb="00FFFFFF"/>
      <sz val="13"/>
    </font>
    <font>
      <name val="Arial"/>
      <i val="1"/>
      <color rgb="008A2D2D"/>
      <sz val="10"/>
    </font>
    <font>
      <name val="Arial"/>
      <b val="1"/>
      <color rgb="00000000"/>
      <sz val="10"/>
    </font>
    <font>
      <name val="Arial"/>
      <b val="1"/>
      <color rgb="001F3A5F"/>
      <sz val="16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E5E4E"/>
        <bgColor rgb="002E5E4E"/>
      </patternFill>
    </fill>
    <fill>
      <patternFill patternType="solid">
        <fgColor rgb="005B4B8A"/>
        <bgColor rgb="005B4B8A"/>
      </patternFill>
    </fill>
    <fill>
      <patternFill patternType="solid">
        <fgColor rgb="007A4E2D"/>
        <bgColor rgb="007A4E2D"/>
      </patternFill>
    </fill>
    <fill>
      <patternFill patternType="solid">
        <fgColor rgb="008A2D4E"/>
        <bgColor rgb="008A2D4E"/>
      </patternFill>
    </fill>
    <fill>
      <patternFill patternType="solid">
        <fgColor rgb="003D5A80"/>
        <bgColor rgb="003D5A80"/>
      </patternFill>
    </fill>
    <fill>
      <patternFill patternType="solid">
        <fgColor rgb="004A4A4A"/>
        <bgColor rgb="004A4A4A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ECEFF3"/>
        <bgColor rgb="00ECEFF3"/>
      </patternFill>
    </fill>
    <fill>
      <patternFill patternType="solid">
        <fgColor rgb="00FFF8D6"/>
        <bgColor rgb="00FFF8D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1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0" fillId="12" borderId="1" applyAlignment="1" pivotButton="0" quotePrefix="0" xfId="0">
      <alignment vertical="top"/>
    </xf>
    <xf numFmtId="0" fontId="10" fillId="11" borderId="1" applyAlignment="1" pivotButton="0" quotePrefix="0" xfId="0">
      <alignment vertical="top"/>
    </xf>
    <xf numFmtId="0" fontId="10" fillId="10" borderId="1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49" fontId="6" fillId="10" borderId="1" applyAlignment="1" pivotButton="0" quotePrefix="0" xfId="0">
      <alignment vertical="top"/>
    </xf>
    <xf numFmtId="0" fontId="6" fillId="10" borderId="1" applyAlignment="1" pivotButton="0" quotePrefix="0" xfId="0">
      <alignment vertical="top"/>
    </xf>
    <xf numFmtId="165" fontId="6" fillId="10" borderId="1" applyAlignment="1" pivotButton="0" quotePrefix="0" xfId="0">
      <alignment vertical="top"/>
    </xf>
    <xf numFmtId="0" fontId="7" fillId="11" borderId="1" applyAlignment="1" pivotButton="0" quotePrefix="0" xfId="0">
      <alignment vertical="top"/>
    </xf>
    <xf numFmtId="0" fontId="7" fillId="11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/>
    </xf>
    <xf numFmtId="49" fontId="2" fillId="12" borderId="1" applyAlignment="1" pivotButton="0" quotePrefix="0" xfId="0">
      <alignment vertical="top"/>
    </xf>
    <xf numFmtId="0" fontId="2" fillId="12" borderId="1" applyAlignment="1" pivotButton="0" quotePrefix="0" xfId="0">
      <alignment vertical="top"/>
    </xf>
    <xf numFmtId="165" fontId="2" fillId="12" borderId="1" applyAlignment="1" pivotButton="0" quotePrefix="0" xfId="0">
      <alignment vertical="top"/>
    </xf>
    <xf numFmtId="0" fontId="8" fillId="2" borderId="0" pivotButton="0" quotePrefix="0" xfId="0"/>
    <xf numFmtId="0" fontId="9" fillId="0" borderId="0" applyAlignment="1" pivotButton="0" quotePrefix="0" xfId="0">
      <alignment vertical="top" wrapText="1"/>
    </xf>
    <xf numFmtId="49" fontId="6" fillId="10" borderId="1" pivotButton="0" quotePrefix="0" xfId="0"/>
    <xf numFmtId="0" fontId="6" fillId="10" borderId="1" pivotButton="0" quotePrefix="0" xfId="0"/>
    <xf numFmtId="0" fontId="7" fillId="11" borderId="1" pivotButton="0" quotePrefix="0" xfId="0"/>
    <xf numFmtId="49" fontId="2" fillId="12" borderId="1" pivotButton="0" quotePrefix="0" xfId="0"/>
    <xf numFmtId="0" fontId="2" fillId="12" borderId="1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1B5E20"/>
      </font>
      <fill>
        <patternFill patternType="solid">
          <fgColor rgb="00D7F0DD"/>
          <bgColor rgb="00D7F0DD"/>
        </patternFill>
      </fill>
    </dxf>
    <dxf>
      <font>
        <name val="Arial"/>
        <color rgb="00B71C1C"/>
      </font>
      <fill>
        <patternFill patternType="solid">
          <fgColor rgb="00FBE0E0"/>
          <bgColor rgb="00FBE0E0"/>
        </patternFill>
      </fill>
    </dxf>
    <dxf>
      <font>
        <name val="Arial"/>
        <b val="1"/>
        <color rgb="001B5E20"/>
      </font>
    </dxf>
    <dxf>
      <font>
        <name val="Arial"/>
        <b val="1"/>
        <color rgb="00B71C1C"/>
      </font>
      <fill>
        <patternFill patternType="solid">
          <fgColor rgb="00FBE0E0"/>
          <bgColor rgb="00FBE0E0"/>
        </patternFill>
      </fill>
    </dxf>
    <dxf>
      <font>
        <name val="Arial"/>
        <i val="1"/>
        <color rgb="008A5A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DHVAJ</author>
  </authors>
  <commentList>
    <comment ref="A4" authorId="0" shapeId="0">
      <text>
        <t>Filled by Export for clients already in the portal — leave it as it is. Blank = a NEW client.</t>
      </text>
    </comment>
    <comment ref="B4" authorId="0" shapeId="0">
      <text>
        <t>Required. As on the PAN / GST certificate.</t>
      </text>
    </comment>
    <comment ref="C4" authorId="0" shapeId="0">
      <text>
        <t>Brand / trade name, if different.</t>
      </text>
    </comment>
    <comment ref="D4" authorId="0" shapeId="0">
      <text>
        <t>Pick from the list. Blank = guessed from the PAN (see 'Entity type to use').</t>
      </text>
    </comment>
    <comment ref="E4" authorId="0" shapeId="0">
      <text>
        <t>10 characters. Blank = taken from the GSTIN.</t>
      </text>
    </comment>
    <comment ref="F4" authorId="0" shapeId="0">
      <text>
        <t>15 characters. PAN, state and type are worked out from it.</t>
      </text>
    </comment>
    <comment ref="G4" authorId="0" shapeId="0">
      <text>
        <t>Other states' GSTINs of the SAME client, separated by commas.</t>
      </text>
    </comment>
    <comment ref="H4" authorId="0" shapeId="0">
      <text>
        <t>Needed for a TDS/TCS engagement.</t>
      </text>
    </comment>
    <comment ref="I4" authorId="0" shapeId="0">
      <text>
        <t>Needed for an ROC/MCA engagement (company / LLP).</t>
      </text>
    </comment>
    <comment ref="J4" authorId="0" shapeId="0">
      <text>
        <t>dd-mm-yyyy</t>
      </text>
    </comment>
    <comment ref="K4" authorId="0" shapeId="0">
      <text>
        <t>Blank = Active.</t>
      </text>
    </comment>
    <comment ref="L4" authorId="0" shapeId="0">
      <text>
        <t>Blank = the firm's main office.</t>
      </text>
    </comment>
    <comment ref="M4" authorId="0" shapeId="0">
      <text>
        <t>Primary contact.</t>
      </text>
    </comment>
    <comment ref="Q4" authorId="0" shapeId="0">
      <text>
        <t>Registered / principal place of business.</t>
      </text>
    </comment>
    <comment ref="T4" authorId="0" shapeId="0">
      <text>
        <t>Blank = the GSTIN's state.</t>
      </text>
    </comment>
    <comment ref="U4" authorId="0" shapeId="0">
      <text>
        <t>6 digits.</t>
      </text>
    </comment>
    <comment ref="V4" authorId="0" shapeId="0">
      <text>
        <t>Year the engagement starts, e.g. 2026-27.</t>
      </text>
    </comment>
    <comment ref="W4" authorId="0" shapeId="0">
      <text>
        <t>Yes = GST compliance engagement (returns calendar).</t>
      </text>
    </comment>
    <comment ref="X4" authorId="0" shapeId="0">
      <text>
        <t>Monthly or Quarterly (QRMP).</t>
      </text>
    </comment>
    <comment ref="AA4" authorId="0" shapeId="0">
      <text>
        <t>Companies and LLPs only.</t>
      </text>
    </comment>
    <comment ref="AD4" authorId="0" shapeId="0">
      <text>
        <t>Portal login email. Blank = you.</t>
      </text>
    </comment>
    <comment ref="AE4" authorId="0" shapeId="0">
      <text>
        <t>Portal login email of the staff member running it.</t>
      </text>
    </comment>
    <comment ref="AF4" authorId="0" shapeId="0">
      <text>
        <t>The main GSTIN's GST portal login. Other GSTINs' logins: 'Logins' sheet.</t>
      </text>
    </comment>
    <comment ref="AG4" authorId="0" shapeId="0">
      <text>
        <t>Encrypted when imported. Export shows '(saved in portal)' unless you choose Export with passwords.</t>
      </text>
    </comment>
    <comment ref="AH4" authorId="0" shapeId="0">
      <text>
        <t>Income-tax e-filing login of the PAN (user ID is usually the PAN).</t>
      </text>
    </comment>
    <comment ref="AI4" authorId="0" shapeId="0">
      <text>
        <t>Encrypted when imported. Export shows '(saved in portal)' unless you choose Export with passwords.</t>
      </text>
    </comment>
    <comment ref="AJ4" authorId="0" shapeId="0">
      <text>
        <t>Income-tax e-filing login of the main TAN.</t>
      </text>
    </comment>
    <comment ref="AK4" authorId="0" shapeId="0">
      <text>
        <t>Encrypted when imported. Export shows '(saved in portal)' unless you choose Export with passwords.</t>
      </text>
    </comment>
    <comment ref="AL4" authorId="0" shapeId="0">
      <text>
        <t>TRACES deductor login of the main TAN.</t>
      </text>
    </comment>
    <comment ref="AM4" authorId="0" shapeId="0">
      <text>
        <t>Encrypted when imported. Export shows '(saved in portal)' unless you choose Export with passwords.</t>
      </text>
    </comment>
    <comment ref="AN4" authorId="0" shapeId="0">
      <text>
        <t>MCA V3 login used for the company / LLP.</t>
      </text>
    </comment>
    <comment ref="AO4" authorId="0" shapeId="0">
      <text>
        <t>Encrypted when imported. Export shows '(saved in portal)' unless you choose Export with passwords.</t>
      </text>
    </comment>
    <comment ref="AP4" authorId="0" shapeId="0">
      <text>
        <t>E-way bill portal login of the main GSTIN.</t>
      </text>
    </comment>
    <comment ref="AQ4" authorId="0" shapeId="0">
      <text>
        <t>Encrypted when imported. Export shows '(saved in portal)' unless you choose Export with passwords.</t>
      </text>
    </comment>
    <comment ref="AS4" authorId="0" shapeId="0">
      <text>
        <t>Your PAN, or the one inside the GSTIN.</t>
      </text>
    </comment>
    <comment ref="AU4" authorId="0" shapeId="0">
      <text>
        <t>From the first two digits of the GSTIN.</t>
      </text>
    </comment>
    <comment ref="AV4" authorId="0" shapeId="0">
      <text>
        <t>Checks the format, state code and the check digit.</t>
      </text>
    </comment>
    <comment ref="AY4" authorId="0" shapeId="0">
      <text>
        <t>What is still missing before the import can create the client and its engagement.</t>
      </text>
    </comment>
    <comment ref="A5" authorId="0" shapeId="0">
      <text>
        <t>Example row — the import skips any row whose Client code is EXAMPLE. Overwrite or delete it.</t>
      </text>
    </comment>
  </commentList>
</comments>
</file>

<file path=xl/comments/comment2.xml><?xml version="1.0" encoding="utf-8"?>
<comments xmlns="http://schemas.openxmlformats.org/spreadsheetml/2006/main">
  <authors>
    <author>DHVAJ</author>
  </authors>
  <commentList>
    <comment ref="C3" authorId="0" shapeId="0">
      <text>
        <t>GST login goes with a GSTIN; Income-tax (PAN) with the client's PAN; Income-tax (TAN) and TRACES deductor with the TAN.</t>
      </text>
    </comment>
    <comment ref="D3" authorId="0" shapeId="0">
      <text>
        <t>Which GSTIN (for a GST login) or TAN (for TAN / TRACES deductor). Blank = the client's main GSTIN / TAN.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2E5E4E"/>
    <outlinePr summaryBelow="1" summaryRight="1"/>
    <pageSetUpPr fitToPage="1"/>
  </sheetPr>
  <dimension ref="B1:C30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5" customWidth="1" min="3" max="3"/>
  </cols>
  <sheetData>
    <row r="1" ht="26" customHeight="1">
      <c r="B1" s="1" t="inlineStr">
        <is>
          <t>DHVAJ Client Master</t>
        </is>
      </c>
      <c r="C1" s="2" t="inlineStr"/>
    </row>
    <row r="2" ht="42" customHeight="1">
      <c r="B2" s="3" t="inlineStr"/>
      <c r="C2" s="2" t="inlineStr">
        <is>
          <t>One sheet for every client's master details, so you stop collecting GSTIN / PAN / TAN from different sites. Fill a row, and the grey columns check it and tell you what is still missing to open the client's engagements.</t>
        </is>
      </c>
    </row>
    <row r="3">
      <c r="B3" s="3" t="inlineStr"/>
      <c r="C3" s="2" t="inlineStr"/>
    </row>
    <row r="4">
      <c r="B4" s="4" t="inlineStr">
        <is>
          <t>Colours</t>
        </is>
      </c>
      <c r="C4" s="5" t="inlineStr"/>
    </row>
    <row r="5">
      <c r="B5" s="6" t="inlineStr">
        <is>
          <t>Yellow cell</t>
        </is>
      </c>
      <c r="C5" s="2" t="inlineStr">
        <is>
          <t>You fill it.</t>
        </is>
      </c>
    </row>
    <row r="6">
      <c r="B6" s="7" t="inlineStr">
        <is>
          <t>Grey cell</t>
        </is>
      </c>
      <c r="C6" s="2" t="inlineStr">
        <is>
          <t>Fills itself from what you typed — do not type there.</t>
        </is>
      </c>
    </row>
    <row r="7">
      <c r="B7" s="8" t="inlineStr">
        <is>
          <t>Blue row</t>
        </is>
      </c>
      <c r="C7" s="2" t="inlineStr">
        <is>
          <t>Example (Client code EXAMPLE). The import skips it.</t>
        </is>
      </c>
    </row>
    <row r="8">
      <c r="B8" s="3" t="inlineStr"/>
      <c r="C8" s="2" t="inlineStr"/>
    </row>
    <row r="9">
      <c r="B9" s="4" t="inlineStr">
        <is>
          <t>Export (portal → Excel)</t>
        </is>
      </c>
      <c r="C9" s="5" t="inlineStr"/>
    </row>
    <row r="10" ht="28" customHeight="1">
      <c r="B10" s="3" t="inlineStr">
        <is>
          <t>1.</t>
        </is>
      </c>
      <c r="C10" s="2" t="inlineStr">
        <is>
          <t>Clients → Export client master. You get this same file with every client already in the portal, one per row, with its Client code.</t>
        </is>
      </c>
    </row>
    <row r="11" ht="28" customHeight="1">
      <c r="B11" s="3" t="inlineStr">
        <is>
          <t>2.</t>
        </is>
      </c>
      <c r="C11" s="2" t="inlineStr">
        <is>
          <t>Use the 'Ready for engagement?' column (or filter it on ✖) to see which clients still have gaps — missing GSTIN, TAN, CIN, contact, financial year…</t>
        </is>
      </c>
    </row>
    <row r="12">
      <c r="B12" s="3" t="inlineStr"/>
      <c r="C12" s="2" t="inlineStr"/>
    </row>
    <row r="13">
      <c r="B13" s="4" t="inlineStr">
        <is>
          <t>Fill</t>
        </is>
      </c>
      <c r="C13" s="5" t="inlineStr"/>
    </row>
    <row r="14" ht="28" customHeight="1">
      <c r="B14" s="3" t="inlineStr">
        <is>
          <t>Remaining clients</t>
        </is>
      </c>
      <c r="C14" s="2" t="inlineStr">
        <is>
          <t>Rows that already have a Client code: fill only the blanks. A blank cell never wipes what the portal already has.</t>
        </is>
      </c>
    </row>
    <row r="15" ht="28" customHeight="1">
      <c r="B15" s="3" t="inlineStr">
        <is>
          <t>New clients</t>
        </is>
      </c>
      <c r="C15" s="2" t="inlineStr">
        <is>
          <t>Add a row with Client code left blank. Minimum: Legal name and either the GSTIN or the PAN. Type the GSTIN and the PAN, state and entity type are worked out for you.</t>
        </is>
      </c>
    </row>
    <row r="16" ht="56" customHeight="1">
      <c r="B16" s="3" t="inlineStr">
        <is>
          <t>Engagements</t>
        </is>
      </c>
      <c r="C16" s="2" t="inlineStr">
        <is>
          <t>Pick the Financial year and say Yes to each service (GST, TDS / TCS, Income Tax, ROC / MCA, Bookkeeping, MIS). The import opens one Compliance engagement per client with those services. GST needs a GSTIN and a return frequency; TDS needs a TAN; ROC needs a CIN / LLPIN and is only for companies and LLPs.</t>
        </is>
      </c>
    </row>
    <row r="17" ht="28" customHeight="1">
      <c r="B17" s="3" t="inlineStr">
        <is>
          <t>Several GSTINs</t>
        </is>
      </c>
      <c r="C17" s="2" t="inlineStr">
        <is>
          <t>Same PAN in several states = ONE client. Put the main GSTIN in 'GSTIN (main)' and the rest in 'Other GSTINs', separated by commas.</t>
        </is>
      </c>
    </row>
    <row r="18" ht="56" customHeight="1">
      <c r="B18" s="3" t="inlineStr">
        <is>
          <t>Logins</t>
        </is>
      </c>
      <c r="C18" s="2" t="inlineStr">
        <is>
          <t>Optional. Each client's main logins — GST, Income-tax (PAN), Income-tax (TAN), TRACES, MCA, E-way bill — go in the 'Logins' columns of its row on 'Clients'. Logins of other GSTINs, TRACES taxpayer and E-invoice go on the 'Logins' sheet. Passwords are encrypted on import.</t>
        </is>
      </c>
    </row>
    <row r="19" ht="56" customHeight="1">
      <c r="B19" s="3" t="inlineStr">
        <is>
          <t>Reading logins</t>
        </is>
      </c>
      <c r="C19" s="2" t="inlineStr">
        <is>
          <t>Export client master masks every password as '(saved in portal)' — importing that back changes nothing. Export with passwords writes them in full for the clients whose logins you may see (your office as partner, or your engagements); the rest stay masked. Every password exported is logged against your name.</t>
        </is>
      </c>
    </row>
    <row r="20">
      <c r="B20" s="3" t="inlineStr"/>
      <c r="C20" s="2" t="inlineStr"/>
    </row>
    <row r="21">
      <c r="B21" s="4" t="inlineStr">
        <is>
          <t>Import (Excel → portal)</t>
        </is>
      </c>
      <c r="C21" s="5" t="inlineStr"/>
    </row>
    <row r="22">
      <c r="B22" s="3" t="inlineStr">
        <is>
          <t>1.</t>
        </is>
      </c>
      <c r="C22" s="2" t="inlineStr">
        <is>
          <t>Clients → Import client master, then choose this file.</t>
        </is>
      </c>
    </row>
    <row r="23" ht="28" customHeight="1">
      <c r="B23" s="3" t="inlineStr">
        <is>
          <t>2.</t>
        </is>
      </c>
      <c r="C23" s="2" t="inlineStr">
        <is>
          <t>The portal shows a preview first: new clients, updates (only the cells that change), engagements it will open, and every row it will skip and why. Nothing is saved yet.</t>
        </is>
      </c>
    </row>
    <row r="24" ht="28" customHeight="1">
      <c r="B24" s="3" t="inlineStr">
        <is>
          <t>3.</t>
        </is>
      </c>
      <c r="C24" s="2" t="inlineStr">
        <is>
          <t>Confirm. Rows marked ✖ are skipped; fix them and import the same file again — importing twice never creates duplicates (rows are matched by Client code, then GSTIN, then PAN).</t>
        </is>
      </c>
    </row>
    <row r="25">
      <c r="B25" s="3" t="inlineStr"/>
      <c r="C25" s="2" t="inlineStr"/>
    </row>
    <row r="26">
      <c r="B26" s="4" t="inlineStr">
        <is>
          <t>Rules</t>
        </is>
      </c>
      <c r="C26" s="5" t="inlineStr"/>
    </row>
    <row r="27" ht="28" customHeight="1">
      <c r="B27" s="3" t="inlineStr">
        <is>
          <t>Do not</t>
        </is>
      </c>
      <c r="C27" s="2" t="inlineStr">
        <is>
          <t>Rename, reorder or delete the column headings on 'Clients' and 'Logins', or edit the 'Lists' sheet.</t>
        </is>
      </c>
    </row>
    <row r="28">
      <c r="B28" s="3" t="inlineStr">
        <is>
          <t>Dates</t>
        </is>
      </c>
      <c r="C28" s="2" t="inlineStr">
        <is>
          <t>dd-mm-yyyy.</t>
        </is>
      </c>
    </row>
    <row r="29" ht="42" customHeight="1">
      <c r="B29" s="3" t="inlineStr">
        <is>
          <t>Entity type guess</t>
        </is>
      </c>
      <c r="C29" s="2" t="inlineStr">
        <is>
          <t>From the PAN's 4th letter: C company, P proprietorship, F firm, H HUF, A/B AOP, T trust. Pick the real type in 'Entity type' if the guess is wrong (e.g. LLP, public company, individual).</t>
        </is>
      </c>
    </row>
    <row r="30">
      <c r="B30" s="3" t="inlineStr">
        <is>
          <t>Template version</t>
        </is>
      </c>
      <c r="C30" s="2" t="inlineStr">
        <is>
          <t>client-master v2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BE1005"/>
  <sheetViews>
    <sheetView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4" customWidth="1" min="4" max="4"/>
    <col width="13" customWidth="1" min="5" max="5"/>
    <col width="18" customWidth="1" min="6" max="6"/>
    <col width="22" customWidth="1" min="7" max="7"/>
    <col width="13" customWidth="1" min="8" max="8"/>
    <col width="22" customWidth="1" min="9" max="9"/>
    <col width="14" customWidth="1" min="10" max="10"/>
    <col width="16" customWidth="1" min="11" max="11"/>
    <col width="11" customWidth="1" min="12" max="12"/>
    <col width="20" customWidth="1" min="13" max="13"/>
    <col width="14" customWidth="1" min="14" max="14"/>
    <col width="24" customWidth="1" min="15" max="15"/>
    <col width="14" customWidth="1" min="16" max="16"/>
    <col width="26" customWidth="1" min="17" max="17"/>
    <col width="20" customWidth="1" min="18" max="18"/>
    <col width="14" customWidth="1" min="19" max="19"/>
    <col width="18" customWidth="1" min="20" max="20"/>
    <col width="9" customWidth="1" min="21" max="21"/>
    <col width="11" customWidth="1" min="22" max="22"/>
    <col width="7" customWidth="1" min="23" max="23"/>
    <col width="12" customWidth="1" min="24" max="24"/>
    <col width="8" customWidth="1" min="25" max="25"/>
    <col width="8" customWidth="1" min="26" max="26"/>
    <col width="8" customWidth="1" min="27" max="27"/>
    <col width="10" customWidth="1" min="28" max="28"/>
    <col width="7" customWidth="1" min="29" max="29"/>
    <col width="24" customWidth="1" min="30" max="30"/>
    <col width="24" customWidth="1" min="31" max="31"/>
    <col width="18" customWidth="1" min="32" max="32"/>
    <col width="16" customWidth="1" min="33" max="33"/>
    <col width="18" customWidth="1" min="34" max="34"/>
    <col width="16" customWidth="1" min="35" max="35"/>
    <col width="18" customWidth="1" min="36" max="36"/>
    <col width="16" customWidth="1" min="37" max="37"/>
    <col width="18" customWidth="1" min="38" max="38"/>
    <col width="16" customWidth="1" min="39" max="39"/>
    <col width="18" customWidth="1" min="40" max="40"/>
    <col width="16" customWidth="1" min="41" max="41"/>
    <col width="18" customWidth="1" min="42" max="42"/>
    <col width="16" customWidth="1" min="43" max="43"/>
    <col width="13" customWidth="1" min="44" max="44"/>
    <col width="13" customWidth="1" min="45" max="45"/>
    <col width="26" customWidth="1" min="46" max="46"/>
    <col width="18" customWidth="1" min="47" max="47"/>
    <col width="16" customWidth="1" min="48" max="48"/>
    <col width="13" customWidth="1" min="49" max="49"/>
    <col width="13" customWidth="1" min="50" max="50"/>
    <col width="48" customWidth="1" min="51" max="51"/>
    <col hidden="1" width="4" customWidth="1" min="52" max="52"/>
    <col hidden="1" width="4" customWidth="1" min="53" max="53"/>
    <col hidden="1" width="4" customWidth="1" min="54" max="54"/>
    <col hidden="1" width="4" customWidth="1" min="55" max="55"/>
    <col hidden="1" width="4" customWidth="1" min="56" max="56"/>
    <col hidden="1" width="4" customWidth="1" min="57" max="57"/>
  </cols>
  <sheetData>
    <row r="1" ht="26" customHeight="1">
      <c r="A1" s="9" t="inlineStr">
        <is>
          <t>DHVAJ Client Master — fill once, import into the portal, export any time</t>
        </is>
      </c>
    </row>
    <row r="2">
      <c r="A2" s="10" t="inlineStr">
        <is>
          <t>Yellow = you fill   ·   Grey = fills itself (do not type there)   ·   Blue row 5 = example, ignored by the import   ·   * = required   ·   See 'Read Me' for import / export steps</t>
        </is>
      </c>
    </row>
    <row r="3">
      <c r="A3" s="11" t="inlineStr">
        <is>
          <t>Client</t>
        </is>
      </c>
      <c r="E3" s="12" t="inlineStr">
        <is>
          <t>Registrations</t>
        </is>
      </c>
      <c r="M3" s="13" t="inlineStr">
        <is>
          <t>Contact</t>
        </is>
      </c>
      <c r="Q3" s="14" t="inlineStr">
        <is>
          <t>Address</t>
        </is>
      </c>
      <c r="V3" s="15" t="inlineStr">
        <is>
          <t>Engagement</t>
        </is>
      </c>
      <c r="AF3" s="16" t="inlineStr">
        <is>
          <t>Logins</t>
        </is>
      </c>
      <c r="AR3" s="17" t="inlineStr">
        <is>
          <t>Checks (fill themselves)</t>
        </is>
      </c>
    </row>
    <row r="4" ht="42" customHeight="1">
      <c r="A4" s="18" t="inlineStr">
        <is>
          <t>Client code</t>
        </is>
      </c>
      <c r="B4" s="18" t="inlineStr">
        <is>
          <t>Legal name *</t>
        </is>
      </c>
      <c r="C4" s="18" t="inlineStr">
        <is>
          <t>Trade name</t>
        </is>
      </c>
      <c r="D4" s="18" t="inlineStr">
        <is>
          <t>Entity type</t>
        </is>
      </c>
      <c r="E4" s="19" t="inlineStr">
        <is>
          <t>PAN</t>
        </is>
      </c>
      <c r="F4" s="19" t="inlineStr">
        <is>
          <t>GSTIN (main)</t>
        </is>
      </c>
      <c r="G4" s="19" t="inlineStr">
        <is>
          <t>Other GSTINs</t>
        </is>
      </c>
      <c r="H4" s="19" t="inlineStr">
        <is>
          <t>TAN</t>
        </is>
      </c>
      <c r="I4" s="19" t="inlineStr">
        <is>
          <t>CIN / LLPIN</t>
        </is>
      </c>
      <c r="J4" s="19" t="inlineStr">
        <is>
          <t>Date of incorporation / birth</t>
        </is>
      </c>
      <c r="K4" s="19" t="inlineStr">
        <is>
          <t>Legal status</t>
        </is>
      </c>
      <c r="L4" s="19" t="inlineStr">
        <is>
          <t>Home office code</t>
        </is>
      </c>
      <c r="M4" s="20" t="inlineStr">
        <is>
          <t>Contact person</t>
        </is>
      </c>
      <c r="N4" s="20" t="inlineStr">
        <is>
          <t>Designation</t>
        </is>
      </c>
      <c r="O4" s="20" t="inlineStr">
        <is>
          <t>Email</t>
        </is>
      </c>
      <c r="P4" s="20" t="inlineStr">
        <is>
          <t>Mobile</t>
        </is>
      </c>
      <c r="Q4" s="21" t="inlineStr">
        <is>
          <t>Address line 1</t>
        </is>
      </c>
      <c r="R4" s="21" t="inlineStr">
        <is>
          <t>Address line 2</t>
        </is>
      </c>
      <c r="S4" s="21" t="inlineStr">
        <is>
          <t>City</t>
        </is>
      </c>
      <c r="T4" s="21" t="inlineStr">
        <is>
          <t>State</t>
        </is>
      </c>
      <c r="U4" s="21" t="inlineStr">
        <is>
          <t>Pincode</t>
        </is>
      </c>
      <c r="V4" s="22" t="inlineStr">
        <is>
          <t>Financial year</t>
        </is>
      </c>
      <c r="W4" s="22" t="inlineStr">
        <is>
          <t>GST</t>
        </is>
      </c>
      <c r="X4" s="22" t="inlineStr">
        <is>
          <t>GST return frequency</t>
        </is>
      </c>
      <c r="Y4" s="22" t="inlineStr">
        <is>
          <t>TDS / TCS</t>
        </is>
      </c>
      <c r="Z4" s="22" t="inlineStr">
        <is>
          <t>Income Tax</t>
        </is>
      </c>
      <c r="AA4" s="22" t="inlineStr">
        <is>
          <t>ROC / MCA</t>
        </is>
      </c>
      <c r="AB4" s="22" t="inlineStr">
        <is>
          <t>Bookkeeping</t>
        </is>
      </c>
      <c r="AC4" s="22" t="inlineStr">
        <is>
          <t>MIS</t>
        </is>
      </c>
      <c r="AD4" s="22" t="inlineStr">
        <is>
          <t>Engagement partner (email)</t>
        </is>
      </c>
      <c r="AE4" s="22" t="inlineStr">
        <is>
          <t>Lead / in-charge (email)</t>
        </is>
      </c>
      <c r="AF4" s="23" t="inlineStr">
        <is>
          <t>GST user ID</t>
        </is>
      </c>
      <c r="AG4" s="23" t="inlineStr">
        <is>
          <t>GST password</t>
        </is>
      </c>
      <c r="AH4" s="23" t="inlineStr">
        <is>
          <t>Income-tax user ID (PAN)</t>
        </is>
      </c>
      <c r="AI4" s="23" t="inlineStr">
        <is>
          <t>Income-tax password (PAN)</t>
        </is>
      </c>
      <c r="AJ4" s="23" t="inlineStr">
        <is>
          <t>Income-tax user ID (TAN)</t>
        </is>
      </c>
      <c r="AK4" s="23" t="inlineStr">
        <is>
          <t>Income-tax password (TAN)</t>
        </is>
      </c>
      <c r="AL4" s="23" t="inlineStr">
        <is>
          <t>TRACES user ID (TAN)</t>
        </is>
      </c>
      <c r="AM4" s="23" t="inlineStr">
        <is>
          <t>TRACES password</t>
        </is>
      </c>
      <c r="AN4" s="23" t="inlineStr">
        <is>
          <t>MCA user ID</t>
        </is>
      </c>
      <c r="AO4" s="23" t="inlineStr">
        <is>
          <t>MCA password</t>
        </is>
      </c>
      <c r="AP4" s="23" t="inlineStr">
        <is>
          <t>E-way bill user ID</t>
        </is>
      </c>
      <c r="AQ4" s="23" t="inlineStr">
        <is>
          <t>E-way bill password</t>
        </is>
      </c>
      <c r="AR4" s="24" t="inlineStr">
        <is>
          <t>Row type</t>
        </is>
      </c>
      <c r="AS4" s="24" t="inlineStr">
        <is>
          <t>PAN to use</t>
        </is>
      </c>
      <c r="AT4" s="24" t="inlineStr">
        <is>
          <t>Entity type to use</t>
        </is>
      </c>
      <c r="AU4" s="24" t="inlineStr">
        <is>
          <t>GST state</t>
        </is>
      </c>
      <c r="AV4" s="24" t="inlineStr">
        <is>
          <t>GSTIN check</t>
        </is>
      </c>
      <c r="AW4" s="24" t="inlineStr">
        <is>
          <t>PAN check</t>
        </is>
      </c>
      <c r="AX4" s="24" t="inlineStr">
        <is>
          <t>TAN check</t>
        </is>
      </c>
      <c r="AY4" s="24" t="inlineStr">
        <is>
          <t>Ready for engagement?</t>
        </is>
      </c>
      <c r="AZ4" s="25" t="inlineStr">
        <is>
          <t>_gstin</t>
        </is>
      </c>
      <c r="BA4" s="25" t="inlineStr">
        <is>
          <t>_pan</t>
        </is>
      </c>
      <c r="BB4" s="25" t="inlineStr">
        <is>
          <t>_type</t>
        </is>
      </c>
      <c r="BC4" s="25" t="inlineStr">
        <is>
          <t>_cat</t>
        </is>
      </c>
      <c r="BD4" s="25" t="inlineStr">
        <is>
          <t>_streams</t>
        </is>
      </c>
      <c r="BE4" s="25" t="inlineStr">
        <is>
          <t>_issues</t>
        </is>
      </c>
    </row>
    <row r="5">
      <c r="A5" s="26" t="inlineStr">
        <is>
          <t>EXAMPLE</t>
        </is>
      </c>
      <c r="B5" s="27" t="inlineStr">
        <is>
          <t>Sharma Traders</t>
        </is>
      </c>
      <c r="C5" s="27" t="inlineStr">
        <is>
          <t>Sharma Electricals</t>
        </is>
      </c>
      <c r="D5" s="27" t="inlineStr"/>
      <c r="E5" s="26" t="inlineStr"/>
      <c r="F5" s="26" t="inlineStr">
        <is>
          <t>07ABCPS1234K1ZO</t>
        </is>
      </c>
      <c r="G5" s="26" t="inlineStr"/>
      <c r="H5" s="26" t="inlineStr">
        <is>
          <t>DELS12345A</t>
        </is>
      </c>
      <c r="I5" s="26" t="inlineStr"/>
      <c r="J5" s="28" t="n">
        <v>42104</v>
      </c>
      <c r="K5" s="27" t="inlineStr">
        <is>
          <t>Active</t>
        </is>
      </c>
      <c r="L5" s="26" t="inlineStr"/>
      <c r="M5" s="27" t="inlineStr">
        <is>
          <t>Rakesh Sharma</t>
        </is>
      </c>
      <c r="N5" s="27" t="inlineStr">
        <is>
          <t>Proprietor</t>
        </is>
      </c>
      <c r="O5" s="27" t="inlineStr">
        <is>
          <t>accounts@sharmatraders.example</t>
        </is>
      </c>
      <c r="P5" s="26" t="inlineStr">
        <is>
          <t>9810000000</t>
        </is>
      </c>
      <c r="Q5" s="27" t="inlineStr">
        <is>
          <t>12, Main Market</t>
        </is>
      </c>
      <c r="R5" s="27" t="inlineStr">
        <is>
          <t>Karol Bagh</t>
        </is>
      </c>
      <c r="S5" s="27" t="inlineStr">
        <is>
          <t>New Delhi</t>
        </is>
      </c>
      <c r="T5" s="27" t="inlineStr"/>
      <c r="U5" s="26" t="inlineStr">
        <is>
          <t>110005</t>
        </is>
      </c>
      <c r="V5" s="27" t="inlineStr">
        <is>
          <t>2026-27</t>
        </is>
      </c>
      <c r="W5" s="27" t="inlineStr">
        <is>
          <t>Yes</t>
        </is>
      </c>
      <c r="X5" s="27" t="inlineStr">
        <is>
          <t>Monthly</t>
        </is>
      </c>
      <c r="Y5" s="27" t="inlineStr">
        <is>
          <t>Yes</t>
        </is>
      </c>
      <c r="Z5" s="27" t="inlineStr">
        <is>
          <t>Yes</t>
        </is>
      </c>
      <c r="AA5" s="27" t="inlineStr">
        <is>
          <t>No</t>
        </is>
      </c>
      <c r="AB5" s="27" t="inlineStr">
        <is>
          <t>No</t>
        </is>
      </c>
      <c r="AC5" s="27" t="inlineStr">
        <is>
          <t>No</t>
        </is>
      </c>
      <c r="AD5" s="27" t="inlineStr"/>
      <c r="AE5" s="27" t="inlineStr"/>
      <c r="AF5" s="26" t="inlineStr">
        <is>
          <t>sharma_gst</t>
        </is>
      </c>
      <c r="AG5" s="26" t="inlineStr">
        <is>
          <t>••••••••</t>
        </is>
      </c>
      <c r="AH5" s="26" t="inlineStr">
        <is>
          <t>ABCPS1234K</t>
        </is>
      </c>
      <c r="AI5" s="26" t="inlineStr">
        <is>
          <t>••••••••</t>
        </is>
      </c>
      <c r="AJ5" s="26" t="n"/>
      <c r="AK5" s="26" t="n"/>
      <c r="AL5" s="26" t="n"/>
      <c r="AM5" s="26" t="n"/>
      <c r="AN5" s="26" t="n"/>
      <c r="AO5" s="26" t="n"/>
      <c r="AP5" s="26" t="n"/>
      <c r="AQ5" s="26" t="n"/>
      <c r="AR5" s="29">
        <f>IF(A5="EXAMPLE","Example (skipped)","")</f>
        <v/>
      </c>
      <c r="AS5" s="29">
        <f>IF(BA5&lt;&gt;"",BA5,IF(LEN(AZ5)=15,MID(AZ5,3,10),""))</f>
        <v/>
      </c>
      <c r="AT5" s="29">
        <f>IF(BB5="","",BB5&amp;IF(D5="","  (guessed from PAN)",""))</f>
        <v/>
      </c>
      <c r="AU5" s="29">
        <f>IF(AZ5="","",IFERROR(INDEX(Lists!$L$2:$L$38,MATCH(LEFT(AZ5,2),Lists!$K$2:$K$38,0)),"Unknown code"))</f>
        <v/>
      </c>
      <c r="AV5" s="29">
        <f>IF(AZ5="","",IFERROR(IF(NOT(AND(LEN(AZ5)=15,ISNUMBER(MATCH(LEFT(AZ5,2),Lists!$K$2:$K$38,0)),SUMPRODUCT(--ISERROR(FIND(MID(MID(AZ5,3,10),{1,2,3,4,5,10},1),"ABCDEFGHIJKLMNOPQRSTUVWXYZ")))=0,SUMPRODUCT(--ISERROR(FIND(MID(MID(AZ5,3,10),{6,7,8,9},1),"0123456789")))=0,ISNUMBER(FIND(MID(AZ5,13,1),"123456789ABCDEFGHIJKLMNOPQRSTUVWXYZ")),MID(AZ5,14,1)="Z")),"Wrong format",IF(MID("0123456789ABCDEFGHIJKLMNOPQRSTUVWXYZ",MOD(36-MOD(SUMPRODUCT(INT((FIND(MID(AZ5,{1,2,3,4,5,6,7,8,9,10,11,12,13,14},1),"0123456789ABCDEFGHIJKLMNOPQRSTUVWXYZ")-1)*{1,2,1,2,1,2,1,2,1,2,1,2,1,2}/36)+MOD((FIND(MID(AZ5,{1,2,3,4,5,6,7,8,9,10,11,12,13,14},1),"0123456789ABCDEFGHIJKLMNOPQRSTUVWXYZ")-1)*{1,2,1,2,1,2,1,2,1,2,1,2,1,2},36)),36),36)+1,1)=MID(AZ5,15,1),"OK","Typo? check digit wrong")),"Wrong format"))</f>
        <v/>
      </c>
      <c r="AW5" s="29">
        <f>IF(BA5="","",IF(AND(LEN(BA5)=10,SUMPRODUCT(--ISERROR(FIND(MID(BA5,{1,2,3,4,5,10},1),"ABCDEFGHIJKLMNOPQRSTUVWXYZ")))=0,SUMPRODUCT(--ISERROR(FIND(MID(BA5,{6,7,8,9},1),"0123456789")))=0),"OK","Wrong format"))</f>
        <v/>
      </c>
      <c r="AX5" s="29">
        <f>IF(TRIM(H5)="","",IF(AND(LEN(UPPER(TRIM(H5)))=10,SUMPRODUCT(--ISERROR(FIND(MID(UPPER(TRIM(H5)),{1,2,3,4,10},1),"ABCDEFGHIJKLMNOPQRSTUVWXYZ")))=0,SUMPRODUCT(--ISERROR(FIND(MID(UPPER(TRIM(H5)),{5,6,7,8,9},1),"0123456789")))=0),"OK","Wrong format"))</f>
        <v/>
      </c>
      <c r="AY5" s="30">
        <f>IF(NOT(COUNTA(A5:AE5)&gt;0),"",IF(BE5&lt;&gt;"","✖ "&amp;LEFT(BE5,LEN(BE5)-2),IF(BD5&gt;0,"✔ Ready — client + "&amp;BD5&amp;" service(s)","✔ Ready — client only")))</f>
        <v/>
      </c>
      <c r="AZ5" s="31">
        <f>UPPER(SUBSTITUTE(TRIM(F5)," ",""))</f>
        <v/>
      </c>
      <c r="BA5" s="31">
        <f>UPPER(SUBSTITUTE(TRIM(E5)," ",""))</f>
        <v/>
      </c>
      <c r="BB5" s="31">
        <f>IF(D5&lt;&gt;"",D5,IFERROR(VLOOKUP(MID(AS5,4,1),Lists!$E$2:$F$8,2,FALSE),""))</f>
        <v/>
      </c>
      <c r="BC5" s="31">
        <f>IFERROR(VLOOKUP(BB5,Lists!$A$2:$C$12,3,FALSE),"")</f>
        <v/>
      </c>
      <c r="BD5" s="31">
        <f>COUNTIF(W5:AC5,"Yes")</f>
        <v/>
      </c>
      <c r="BE5" s="31">
        <f>IF(TRIM(B5)="","Legal name missing; ","")&amp;IF(AND(AV5&lt;&gt;"",AV5&lt;&gt;"OK"),"GSTIN: "&amp;AV5&amp;"; ","")&amp;IF(AND(AW5&lt;&gt;"",AW5&lt;&gt;"OK"),"PAN wrong format; ","")&amp;IF(AND(BA5&lt;&gt;"",LEN(AZ5)=15,MID(AZ5,3,10)&lt;&gt;BA5),"PAN does not match GSTIN; ","")&amp;IF(AND(AX5&lt;&gt;"",AX5&lt;&gt;"OK"),"TAN wrong format; ","")&amp;IF(AS5="","PAN missing; ","")&amp;IF(BB5="","Entity type missing; ","")&amp;IF(AND(AZ5&lt;&gt;"",COUNTIF($AZ$6:$AZ$1005,AZ5)&gt;1),"GSTIN repeated in this sheet; ","")&amp;IF(AND(AS5&lt;&gt;"",COUNTIF($AS$6:$AS$1005,AS5)&gt;1),"PAN repeated in this sheet (same client? put extra GSTINs in Other GSTINs); ","")&amp;IF(AND(BD5&gt;0,V5=""),"Financial year missing; ","")&amp;IF(AND(BD5=0,V5&lt;&gt;""),"Financial year given but no service is Yes; ","")&amp;IF(AND(W5="Yes",AZ5=""),"GST needs a GSTIN; ","")&amp;IF(AND(W5="Yes",X5=""),"GST return frequency missing; ","")&amp;IF(AND(Y5="Yes",TRIM(H5)=""),"TDS needs a TAN; ","")&amp;IF(AND(AA5="Yes",BC5&lt;&gt;"",BC5&lt;&gt;"company",BC5&lt;&gt;"llp"),"ROC is only for a company / LLP; ","")&amp;IF(AND(AA5="Yes",OR(BC5="company",BC5="llp"),TRIM(I5)=""),"ROC needs the CIN / LLPIN; ","")&amp;IF((TRIM(AF5)="")&lt;&gt;(TRIM(AG5)=""),"GST login needs both user ID and password; ","")&amp;IF((TRIM(AH5)="")&lt;&gt;(TRIM(AI5)=""),"Income-tax login needs both user ID and password; ","")&amp;IF((TRIM(AJ5)="")&lt;&gt;(TRIM(AK5)=""),"Income-tax login needs both user ID and password; ","")&amp;IF((TRIM(AL5)="")&lt;&gt;(TRIM(AM5)=""),"TRACES login needs both user ID and password; ","")&amp;IF((TRIM(AN5)="")&lt;&gt;(TRIM(AO5)=""),"MCA login needs both user ID and password; ","")&amp;IF((TRIM(AP5)="")&lt;&gt;(TRIM(AQ5)=""),"E-way bill login needs both user ID and password; ","")</f>
        <v/>
      </c>
    </row>
    <row r="6">
      <c r="A6" s="32" t="n"/>
      <c r="B6" s="33" t="n"/>
      <c r="C6" s="33" t="n"/>
      <c r="D6" s="33" t="n"/>
      <c r="E6" s="32" t="n"/>
      <c r="F6" s="32" t="n"/>
      <c r="G6" s="32" t="n"/>
      <c r="H6" s="32" t="n"/>
      <c r="I6" s="32" t="n"/>
      <c r="J6" s="34" t="n"/>
      <c r="K6" s="33" t="n"/>
      <c r="L6" s="32" t="n"/>
      <c r="M6" s="33" t="n"/>
      <c r="N6" s="33" t="n"/>
      <c r="O6" s="33" t="n"/>
      <c r="P6" s="32" t="n"/>
      <c r="Q6" s="33" t="n"/>
      <c r="R6" s="33" t="n"/>
      <c r="S6" s="33" t="n"/>
      <c r="T6" s="33" t="n"/>
      <c r="U6" s="32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29">
        <f>IF(NOT(COUNTA(A6:AE6)&gt;0),"",IF(A6="","New client","Update"))</f>
        <v/>
      </c>
      <c r="AS6" s="29">
        <f>IF(BA6&lt;&gt;"",BA6,IF(LEN(AZ6)=15,MID(AZ6,3,10),""))</f>
        <v/>
      </c>
      <c r="AT6" s="29">
        <f>IF(BB6="","",BB6&amp;IF(D6="","  (guessed from PAN)",""))</f>
        <v/>
      </c>
      <c r="AU6" s="29">
        <f>IF(AZ6="","",IFERROR(INDEX(Lists!$L$2:$L$38,MATCH(LEFT(AZ6,2),Lists!$K$2:$K$38,0)),"Unknown code"))</f>
        <v/>
      </c>
      <c r="AV6" s="29">
        <f>IF(AZ6="","",IFERROR(IF(NOT(AND(LEN(AZ6)=15,ISNUMBER(MATCH(LEFT(AZ6,2),Lists!$K$2:$K$38,0)),SUMPRODUCT(--ISERROR(FIND(MID(MID(AZ6,3,10),{1,2,3,4,5,10},1),"ABCDEFGHIJKLMNOPQRSTUVWXYZ")))=0,SUMPRODUCT(--ISERROR(FIND(MID(MID(AZ6,3,10),{6,7,8,9},1),"0123456789")))=0,ISNUMBER(FIND(MID(AZ6,13,1),"123456789ABCDEFGHIJKLMNOPQRSTUVWXYZ")),MID(AZ6,14,1)="Z")),"Wrong format",IF(MID("0123456789ABCDEFGHIJKLMNOPQRSTUVWXYZ",MOD(36-MOD(SUMPRODUCT(INT((FIND(MID(AZ6,{1,2,3,4,5,6,7,8,9,10,11,12,13,14},1),"0123456789ABCDEFGHIJKLMNOPQRSTUVWXYZ")-1)*{1,2,1,2,1,2,1,2,1,2,1,2,1,2}/36)+MOD((FIND(MID(AZ6,{1,2,3,4,5,6,7,8,9,10,11,12,13,14},1),"0123456789ABCDEFGHIJKLMNOPQRSTUVWXYZ")-1)*{1,2,1,2,1,2,1,2,1,2,1,2,1,2},36)),36),36)+1,1)=MID(AZ6,15,1),"OK","Typo? check digit wrong")),"Wrong format"))</f>
        <v/>
      </c>
      <c r="AW6" s="29">
        <f>IF(BA6="","",IF(AND(LEN(BA6)=10,SUMPRODUCT(--ISERROR(FIND(MID(BA6,{1,2,3,4,5,10},1),"ABCDEFGHIJKLMNOPQRSTUVWXYZ")))=0,SUMPRODUCT(--ISERROR(FIND(MID(BA6,{6,7,8,9},1),"0123456789")))=0),"OK","Wrong format"))</f>
        <v/>
      </c>
      <c r="AX6" s="29">
        <f>IF(TRIM(H6)="","",IF(AND(LEN(UPPER(TRIM(H6)))=10,SUMPRODUCT(--ISERROR(FIND(MID(UPPER(TRIM(H6)),{1,2,3,4,10},1),"ABCDEFGHIJKLMNOPQRSTUVWXYZ")))=0,SUMPRODUCT(--ISERROR(FIND(MID(UPPER(TRIM(H6)),{5,6,7,8,9},1),"0123456789")))=0),"OK","Wrong format"))</f>
        <v/>
      </c>
      <c r="AY6" s="30">
        <f>IF(NOT(COUNTA(A6:AE6)&gt;0),"",IF(BE6&lt;&gt;"","✖ "&amp;LEFT(BE6,LEN(BE6)-2),IF(BD6&gt;0,"✔ Ready — client + "&amp;BD6&amp;" service(s)","✔ Ready — client only")))</f>
        <v/>
      </c>
      <c r="AZ6" s="31">
        <f>UPPER(SUBSTITUTE(TRIM(F6)," ",""))</f>
        <v/>
      </c>
      <c r="BA6" s="31">
        <f>UPPER(SUBSTITUTE(TRIM(E6)," ",""))</f>
        <v/>
      </c>
      <c r="BB6" s="31">
        <f>IF(D6&lt;&gt;"",D6,IFERROR(VLOOKUP(MID(AS6,4,1),Lists!$E$2:$F$8,2,FALSE),""))</f>
        <v/>
      </c>
      <c r="BC6" s="31">
        <f>IFERROR(VLOOKUP(BB6,Lists!$A$2:$C$12,3,FALSE),"")</f>
        <v/>
      </c>
      <c r="BD6" s="31">
        <f>COUNTIF(W6:AC6,"Yes")</f>
        <v/>
      </c>
      <c r="BE6" s="31">
        <f>IF(TRIM(B6)="","Legal name missing; ","")&amp;IF(AND(AV6&lt;&gt;"",AV6&lt;&gt;"OK"),"GSTIN: "&amp;AV6&amp;"; ","")&amp;IF(AND(AW6&lt;&gt;"",AW6&lt;&gt;"OK"),"PAN wrong format; ","")&amp;IF(AND(BA6&lt;&gt;"",LEN(AZ6)=15,MID(AZ6,3,10)&lt;&gt;BA6),"PAN does not match GSTIN; ","")&amp;IF(AND(AX6&lt;&gt;"",AX6&lt;&gt;"OK"),"TAN wrong format; ","")&amp;IF(AS6="","PAN missing; ","")&amp;IF(BB6="","Entity type missing; ","")&amp;IF(AND(AZ6&lt;&gt;"",COUNTIF($AZ$6:$AZ$1005,AZ6)&gt;1),"GSTIN repeated in this sheet; ","")&amp;IF(AND(AS6&lt;&gt;"",COUNTIF($AS$6:$AS$1005,AS6)&gt;1),"PAN repeated in this sheet (same client? put extra GSTINs in Other GSTINs); ","")&amp;IF(AND(BD6&gt;0,V6=""),"Financial year missing; ","")&amp;IF(AND(BD6=0,V6&lt;&gt;""),"Financial year given but no service is Yes; ","")&amp;IF(AND(W6="Yes",AZ6=""),"GST needs a GSTIN; ","")&amp;IF(AND(W6="Yes",X6=""),"GST return frequency missing; ","")&amp;IF(AND(Y6="Yes",TRIM(H6)=""),"TDS needs a TAN; ","")&amp;IF(AND(AA6="Yes",BC6&lt;&gt;"",BC6&lt;&gt;"company",BC6&lt;&gt;"llp"),"ROC is only for a company / LLP; ","")&amp;IF(AND(AA6="Yes",OR(BC6="company",BC6="llp"),TRIM(I6)=""),"ROC needs the CIN / LLPIN; ","")&amp;IF((TRIM(AF6)="")&lt;&gt;(TRIM(AG6)=""),"GST login needs both user ID and password; ","")&amp;IF((TRIM(AH6)="")&lt;&gt;(TRIM(AI6)=""),"Income-tax login needs both user ID and password; ","")&amp;IF((TRIM(AJ6)="")&lt;&gt;(TRIM(AK6)=""),"Income-tax login needs both user ID and password; ","")&amp;IF((TRIM(AL6)="")&lt;&gt;(TRIM(AM6)=""),"TRACES login needs both user ID and password; ","")&amp;IF((TRIM(AN6)="")&lt;&gt;(TRIM(AO6)=""),"MCA login needs both user ID and password; ","")&amp;IF((TRIM(AP6)="")&lt;&gt;(TRIM(AQ6)=""),"E-way bill login needs both user ID and password; ","")</f>
        <v/>
      </c>
    </row>
    <row r="7">
      <c r="A7" s="32" t="n"/>
      <c r="B7" s="33" t="n"/>
      <c r="C7" s="33" t="n"/>
      <c r="D7" s="33" t="n"/>
      <c r="E7" s="32" t="n"/>
      <c r="F7" s="32" t="n"/>
      <c r="G7" s="32" t="n"/>
      <c r="H7" s="32" t="n"/>
      <c r="I7" s="32" t="n"/>
      <c r="J7" s="34" t="n"/>
      <c r="K7" s="33" t="n"/>
      <c r="L7" s="32" t="n"/>
      <c r="M7" s="33" t="n"/>
      <c r="N7" s="33" t="n"/>
      <c r="O7" s="33" t="n"/>
      <c r="P7" s="32" t="n"/>
      <c r="Q7" s="33" t="n"/>
      <c r="R7" s="33" t="n"/>
      <c r="S7" s="33" t="n"/>
      <c r="T7" s="33" t="n"/>
      <c r="U7" s="32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2" t="n"/>
      <c r="AG7" s="32" t="n"/>
      <c r="AH7" s="32" t="n"/>
      <c r="AI7" s="32" t="n"/>
      <c r="AJ7" s="32" t="n"/>
      <c r="AK7" s="32" t="n"/>
      <c r="AL7" s="32" t="n"/>
      <c r="AM7" s="32" t="n"/>
      <c r="AN7" s="32" t="n"/>
      <c r="AO7" s="32" t="n"/>
      <c r="AP7" s="32" t="n"/>
      <c r="AQ7" s="32" t="n"/>
      <c r="AR7" s="29">
        <f>IF(NOT(COUNTA(A7:AE7)&gt;0),"",IF(A7="","New client","Update"))</f>
        <v/>
      </c>
      <c r="AS7" s="29">
        <f>IF(BA7&lt;&gt;"",BA7,IF(LEN(AZ7)=15,MID(AZ7,3,10),""))</f>
        <v/>
      </c>
      <c r="AT7" s="29">
        <f>IF(BB7="","",BB7&amp;IF(D7="","  (guessed from PAN)",""))</f>
        <v/>
      </c>
      <c r="AU7" s="29">
        <f>IF(AZ7="","",IFERROR(INDEX(Lists!$L$2:$L$38,MATCH(LEFT(AZ7,2),Lists!$K$2:$K$38,0)),"Unknown code"))</f>
        <v/>
      </c>
      <c r="AV7" s="29">
        <f>IF(AZ7="","",IFERROR(IF(NOT(AND(LEN(AZ7)=15,ISNUMBER(MATCH(LEFT(AZ7,2),Lists!$K$2:$K$38,0)),SUMPRODUCT(--ISERROR(FIND(MID(MID(AZ7,3,10),{1,2,3,4,5,10},1),"ABCDEFGHIJKLMNOPQRSTUVWXYZ")))=0,SUMPRODUCT(--ISERROR(FIND(MID(MID(AZ7,3,10),{6,7,8,9},1),"0123456789")))=0,ISNUMBER(FIND(MID(AZ7,13,1),"123456789ABCDEFGHIJKLMNOPQRSTUVWXYZ")),MID(AZ7,14,1)="Z")),"Wrong format",IF(MID("0123456789ABCDEFGHIJKLMNOPQRSTUVWXYZ",MOD(36-MOD(SUMPRODUCT(INT((FIND(MID(AZ7,{1,2,3,4,5,6,7,8,9,10,11,12,13,14},1),"0123456789ABCDEFGHIJKLMNOPQRSTUVWXYZ")-1)*{1,2,1,2,1,2,1,2,1,2,1,2,1,2}/36)+MOD((FIND(MID(AZ7,{1,2,3,4,5,6,7,8,9,10,11,12,13,14},1),"0123456789ABCDEFGHIJKLMNOPQRSTUVWXYZ")-1)*{1,2,1,2,1,2,1,2,1,2,1,2,1,2},36)),36),36)+1,1)=MID(AZ7,15,1),"OK","Typo? check digit wrong")),"Wrong format"))</f>
        <v/>
      </c>
      <c r="AW7" s="29">
        <f>IF(BA7="","",IF(AND(LEN(BA7)=10,SUMPRODUCT(--ISERROR(FIND(MID(BA7,{1,2,3,4,5,10},1),"ABCDEFGHIJKLMNOPQRSTUVWXYZ")))=0,SUMPRODUCT(--ISERROR(FIND(MID(BA7,{6,7,8,9},1),"0123456789")))=0),"OK","Wrong format"))</f>
        <v/>
      </c>
      <c r="AX7" s="29">
        <f>IF(TRIM(H7)="","",IF(AND(LEN(UPPER(TRIM(H7)))=10,SUMPRODUCT(--ISERROR(FIND(MID(UPPER(TRIM(H7)),{1,2,3,4,10},1),"ABCDEFGHIJKLMNOPQRSTUVWXYZ")))=0,SUMPRODUCT(--ISERROR(FIND(MID(UPPER(TRIM(H7)),{5,6,7,8,9},1),"0123456789")))=0),"OK","Wrong format"))</f>
        <v/>
      </c>
      <c r="AY7" s="30">
        <f>IF(NOT(COUNTA(A7:AE7)&gt;0),"",IF(BE7&lt;&gt;"","✖ "&amp;LEFT(BE7,LEN(BE7)-2),IF(BD7&gt;0,"✔ Ready — client + "&amp;BD7&amp;" service(s)","✔ Ready — client only")))</f>
        <v/>
      </c>
      <c r="AZ7" s="31">
        <f>UPPER(SUBSTITUTE(TRIM(F7)," ",""))</f>
        <v/>
      </c>
      <c r="BA7" s="31">
        <f>UPPER(SUBSTITUTE(TRIM(E7)," ",""))</f>
        <v/>
      </c>
      <c r="BB7" s="31">
        <f>IF(D7&lt;&gt;"",D7,IFERROR(VLOOKUP(MID(AS7,4,1),Lists!$E$2:$F$8,2,FALSE),""))</f>
        <v/>
      </c>
      <c r="BC7" s="31">
        <f>IFERROR(VLOOKUP(BB7,Lists!$A$2:$C$12,3,FALSE),"")</f>
        <v/>
      </c>
      <c r="BD7" s="31">
        <f>COUNTIF(W7:AC7,"Yes")</f>
        <v/>
      </c>
      <c r="BE7" s="31">
        <f>IF(TRIM(B7)="","Legal name missing; ","")&amp;IF(AND(AV7&lt;&gt;"",AV7&lt;&gt;"OK"),"GSTIN: "&amp;AV7&amp;"; ","")&amp;IF(AND(AW7&lt;&gt;"",AW7&lt;&gt;"OK"),"PAN wrong format; ","")&amp;IF(AND(BA7&lt;&gt;"",LEN(AZ7)=15,MID(AZ7,3,10)&lt;&gt;BA7),"PAN does not match GSTIN; ","")&amp;IF(AND(AX7&lt;&gt;"",AX7&lt;&gt;"OK"),"TAN wrong format; ","")&amp;IF(AS7="","PAN missing; ","")&amp;IF(BB7="","Entity type missing; ","")&amp;IF(AND(AZ7&lt;&gt;"",COUNTIF($AZ$6:$AZ$1005,AZ7)&gt;1),"GSTIN repeated in this sheet; ","")&amp;IF(AND(AS7&lt;&gt;"",COUNTIF($AS$6:$AS$1005,AS7)&gt;1),"PAN repeated in this sheet (same client? put extra GSTINs in Other GSTINs); ","")&amp;IF(AND(BD7&gt;0,V7=""),"Financial year missing; ","")&amp;IF(AND(BD7=0,V7&lt;&gt;""),"Financial year given but no service is Yes; ","")&amp;IF(AND(W7="Yes",AZ7=""),"GST needs a GSTIN; ","")&amp;IF(AND(W7="Yes",X7=""),"GST return frequency missing; ","")&amp;IF(AND(Y7="Yes",TRIM(H7)=""),"TDS needs a TAN; ","")&amp;IF(AND(AA7="Yes",BC7&lt;&gt;"",BC7&lt;&gt;"company",BC7&lt;&gt;"llp"),"ROC is only for a company / LLP; ","")&amp;IF(AND(AA7="Yes",OR(BC7="company",BC7="llp"),TRIM(I7)=""),"ROC needs the CIN / LLPIN; ","")&amp;IF((TRIM(AF7)="")&lt;&gt;(TRIM(AG7)=""),"GST login needs both user ID and password; ","")&amp;IF((TRIM(AH7)="")&lt;&gt;(TRIM(AI7)=""),"Income-tax login needs both user ID and password; ","")&amp;IF((TRIM(AJ7)="")&lt;&gt;(TRIM(AK7)=""),"Income-tax login needs both user ID and password; ","")&amp;IF((TRIM(AL7)="")&lt;&gt;(TRIM(AM7)=""),"TRACES login needs both user ID and password; ","")&amp;IF((TRIM(AN7)="")&lt;&gt;(TRIM(AO7)=""),"MCA login needs both user ID and password; ","")&amp;IF((TRIM(AP7)="")&lt;&gt;(TRIM(AQ7)=""),"E-way bill login needs both user ID and password; ","")</f>
        <v/>
      </c>
    </row>
    <row r="8">
      <c r="A8" s="32" t="n"/>
      <c r="B8" s="33" t="n"/>
      <c r="C8" s="33" t="n"/>
      <c r="D8" s="33" t="n"/>
      <c r="E8" s="32" t="n"/>
      <c r="F8" s="32" t="n"/>
      <c r="G8" s="32" t="n"/>
      <c r="H8" s="32" t="n"/>
      <c r="I8" s="32" t="n"/>
      <c r="J8" s="34" t="n"/>
      <c r="K8" s="33" t="n"/>
      <c r="L8" s="32" t="n"/>
      <c r="M8" s="33" t="n"/>
      <c r="N8" s="33" t="n"/>
      <c r="O8" s="33" t="n"/>
      <c r="P8" s="32" t="n"/>
      <c r="Q8" s="33" t="n"/>
      <c r="R8" s="33" t="n"/>
      <c r="S8" s="33" t="n"/>
      <c r="T8" s="33" t="n"/>
      <c r="U8" s="32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2" t="n"/>
      <c r="AG8" s="32" t="n"/>
      <c r="AH8" s="32" t="n"/>
      <c r="AI8" s="32" t="n"/>
      <c r="AJ8" s="32" t="n"/>
      <c r="AK8" s="32" t="n"/>
      <c r="AL8" s="32" t="n"/>
      <c r="AM8" s="32" t="n"/>
      <c r="AN8" s="32" t="n"/>
      <c r="AO8" s="32" t="n"/>
      <c r="AP8" s="32" t="n"/>
      <c r="AQ8" s="32" t="n"/>
      <c r="AR8" s="29">
        <f>IF(NOT(COUNTA(A8:AE8)&gt;0),"",IF(A8="","New client","Update"))</f>
        <v/>
      </c>
      <c r="AS8" s="29">
        <f>IF(BA8&lt;&gt;"",BA8,IF(LEN(AZ8)=15,MID(AZ8,3,10),""))</f>
        <v/>
      </c>
      <c r="AT8" s="29">
        <f>IF(BB8="","",BB8&amp;IF(D8="","  (guessed from PAN)",""))</f>
        <v/>
      </c>
      <c r="AU8" s="29">
        <f>IF(AZ8="","",IFERROR(INDEX(Lists!$L$2:$L$38,MATCH(LEFT(AZ8,2),Lists!$K$2:$K$38,0)),"Unknown code"))</f>
        <v/>
      </c>
      <c r="AV8" s="29">
        <f>IF(AZ8="","",IFERROR(IF(NOT(AND(LEN(AZ8)=15,ISNUMBER(MATCH(LEFT(AZ8,2),Lists!$K$2:$K$38,0)),SUMPRODUCT(--ISERROR(FIND(MID(MID(AZ8,3,10),{1,2,3,4,5,10},1),"ABCDEFGHIJKLMNOPQRSTUVWXYZ")))=0,SUMPRODUCT(--ISERROR(FIND(MID(MID(AZ8,3,10),{6,7,8,9},1),"0123456789")))=0,ISNUMBER(FIND(MID(AZ8,13,1),"123456789ABCDEFGHIJKLMNOPQRSTUVWXYZ")),MID(AZ8,14,1)="Z")),"Wrong format",IF(MID("0123456789ABCDEFGHIJKLMNOPQRSTUVWXYZ",MOD(36-MOD(SUMPRODUCT(INT((FIND(MID(AZ8,{1,2,3,4,5,6,7,8,9,10,11,12,13,14},1),"0123456789ABCDEFGHIJKLMNOPQRSTUVWXYZ")-1)*{1,2,1,2,1,2,1,2,1,2,1,2,1,2}/36)+MOD((FIND(MID(AZ8,{1,2,3,4,5,6,7,8,9,10,11,12,13,14},1),"0123456789ABCDEFGHIJKLMNOPQRSTUVWXYZ")-1)*{1,2,1,2,1,2,1,2,1,2,1,2,1,2},36)),36),36)+1,1)=MID(AZ8,15,1),"OK","Typo? check digit wrong")),"Wrong format"))</f>
        <v/>
      </c>
      <c r="AW8" s="29">
        <f>IF(BA8="","",IF(AND(LEN(BA8)=10,SUMPRODUCT(--ISERROR(FIND(MID(BA8,{1,2,3,4,5,10},1),"ABCDEFGHIJKLMNOPQRSTUVWXYZ")))=0,SUMPRODUCT(--ISERROR(FIND(MID(BA8,{6,7,8,9},1),"0123456789")))=0),"OK","Wrong format"))</f>
        <v/>
      </c>
      <c r="AX8" s="29">
        <f>IF(TRIM(H8)="","",IF(AND(LEN(UPPER(TRIM(H8)))=10,SUMPRODUCT(--ISERROR(FIND(MID(UPPER(TRIM(H8)),{1,2,3,4,10},1),"ABCDEFGHIJKLMNOPQRSTUVWXYZ")))=0,SUMPRODUCT(--ISERROR(FIND(MID(UPPER(TRIM(H8)),{5,6,7,8,9},1),"0123456789")))=0),"OK","Wrong format"))</f>
        <v/>
      </c>
      <c r="AY8" s="30">
        <f>IF(NOT(COUNTA(A8:AE8)&gt;0),"",IF(BE8&lt;&gt;"","✖ "&amp;LEFT(BE8,LEN(BE8)-2),IF(BD8&gt;0,"✔ Ready — client + "&amp;BD8&amp;" service(s)","✔ Ready — client only")))</f>
        <v/>
      </c>
      <c r="AZ8" s="31">
        <f>UPPER(SUBSTITUTE(TRIM(F8)," ",""))</f>
        <v/>
      </c>
      <c r="BA8" s="31">
        <f>UPPER(SUBSTITUTE(TRIM(E8)," ",""))</f>
        <v/>
      </c>
      <c r="BB8" s="31">
        <f>IF(D8&lt;&gt;"",D8,IFERROR(VLOOKUP(MID(AS8,4,1),Lists!$E$2:$F$8,2,FALSE),""))</f>
        <v/>
      </c>
      <c r="BC8" s="31">
        <f>IFERROR(VLOOKUP(BB8,Lists!$A$2:$C$12,3,FALSE),"")</f>
        <v/>
      </c>
      <c r="BD8" s="31">
        <f>COUNTIF(W8:AC8,"Yes")</f>
        <v/>
      </c>
      <c r="BE8" s="31">
        <f>IF(TRIM(B8)="","Legal name missing; ","")&amp;IF(AND(AV8&lt;&gt;"",AV8&lt;&gt;"OK"),"GSTIN: "&amp;AV8&amp;"; ","")&amp;IF(AND(AW8&lt;&gt;"",AW8&lt;&gt;"OK"),"PAN wrong format; ","")&amp;IF(AND(BA8&lt;&gt;"",LEN(AZ8)=15,MID(AZ8,3,10)&lt;&gt;BA8),"PAN does not match GSTIN; ","")&amp;IF(AND(AX8&lt;&gt;"",AX8&lt;&gt;"OK"),"TAN wrong format; ","")&amp;IF(AS8="","PAN missing; ","")&amp;IF(BB8="","Entity type missing; ","")&amp;IF(AND(AZ8&lt;&gt;"",COUNTIF($AZ$6:$AZ$1005,AZ8)&gt;1),"GSTIN repeated in this sheet; ","")&amp;IF(AND(AS8&lt;&gt;"",COUNTIF($AS$6:$AS$1005,AS8)&gt;1),"PAN repeated in this sheet (same client? put extra GSTINs in Other GSTINs); ","")&amp;IF(AND(BD8&gt;0,V8=""),"Financial year missing; ","")&amp;IF(AND(BD8=0,V8&lt;&gt;""),"Financial year given but no service is Yes; ","")&amp;IF(AND(W8="Yes",AZ8=""),"GST needs a GSTIN; ","")&amp;IF(AND(W8="Yes",X8=""),"GST return frequency missing; ","")&amp;IF(AND(Y8="Yes",TRIM(H8)=""),"TDS needs a TAN; ","")&amp;IF(AND(AA8="Yes",BC8&lt;&gt;"",BC8&lt;&gt;"company",BC8&lt;&gt;"llp"),"ROC is only for a company / LLP; ","")&amp;IF(AND(AA8="Yes",OR(BC8="company",BC8="llp"),TRIM(I8)=""),"ROC needs the CIN / LLPIN; ","")&amp;IF((TRIM(AF8)="")&lt;&gt;(TRIM(AG8)=""),"GST login needs both user ID and password; ","")&amp;IF((TRIM(AH8)="")&lt;&gt;(TRIM(AI8)=""),"Income-tax login needs both user ID and password; ","")&amp;IF((TRIM(AJ8)="")&lt;&gt;(TRIM(AK8)=""),"Income-tax login needs both user ID and password; ","")&amp;IF((TRIM(AL8)="")&lt;&gt;(TRIM(AM8)=""),"TRACES login needs both user ID and password; ","")&amp;IF((TRIM(AN8)="")&lt;&gt;(TRIM(AO8)=""),"MCA login needs both user ID and password; ","")&amp;IF((TRIM(AP8)="")&lt;&gt;(TRIM(AQ8)=""),"E-way bill login needs both user ID and password; ","")</f>
        <v/>
      </c>
    </row>
    <row r="9">
      <c r="A9" s="32" t="n"/>
      <c r="B9" s="33" t="n"/>
      <c r="C9" s="33" t="n"/>
      <c r="D9" s="33" t="n"/>
      <c r="E9" s="32" t="n"/>
      <c r="F9" s="32" t="n"/>
      <c r="G9" s="32" t="n"/>
      <c r="H9" s="32" t="n"/>
      <c r="I9" s="32" t="n"/>
      <c r="J9" s="34" t="n"/>
      <c r="K9" s="33" t="n"/>
      <c r="L9" s="32" t="n"/>
      <c r="M9" s="33" t="n"/>
      <c r="N9" s="33" t="n"/>
      <c r="O9" s="33" t="n"/>
      <c r="P9" s="32" t="n"/>
      <c r="Q9" s="33" t="n"/>
      <c r="R9" s="33" t="n"/>
      <c r="S9" s="33" t="n"/>
      <c r="T9" s="33" t="n"/>
      <c r="U9" s="32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2" t="n"/>
      <c r="AP9" s="32" t="n"/>
      <c r="AQ9" s="32" t="n"/>
      <c r="AR9" s="29">
        <f>IF(NOT(COUNTA(A9:AE9)&gt;0),"",IF(A9="","New client","Update"))</f>
        <v/>
      </c>
      <c r="AS9" s="29">
        <f>IF(BA9&lt;&gt;"",BA9,IF(LEN(AZ9)=15,MID(AZ9,3,10),""))</f>
        <v/>
      </c>
      <c r="AT9" s="29">
        <f>IF(BB9="","",BB9&amp;IF(D9="","  (guessed from PAN)",""))</f>
        <v/>
      </c>
      <c r="AU9" s="29">
        <f>IF(AZ9="","",IFERROR(INDEX(Lists!$L$2:$L$38,MATCH(LEFT(AZ9,2),Lists!$K$2:$K$38,0)),"Unknown code"))</f>
        <v/>
      </c>
      <c r="AV9" s="29">
        <f>IF(AZ9="","",IFERROR(IF(NOT(AND(LEN(AZ9)=15,ISNUMBER(MATCH(LEFT(AZ9,2),Lists!$K$2:$K$38,0)),SUMPRODUCT(--ISERROR(FIND(MID(MID(AZ9,3,10),{1,2,3,4,5,10},1),"ABCDEFGHIJKLMNOPQRSTUVWXYZ")))=0,SUMPRODUCT(--ISERROR(FIND(MID(MID(AZ9,3,10),{6,7,8,9},1),"0123456789")))=0,ISNUMBER(FIND(MID(AZ9,13,1),"123456789ABCDEFGHIJKLMNOPQRSTUVWXYZ")),MID(AZ9,14,1)="Z")),"Wrong format",IF(MID("0123456789ABCDEFGHIJKLMNOPQRSTUVWXYZ",MOD(36-MOD(SUMPRODUCT(INT((FIND(MID(AZ9,{1,2,3,4,5,6,7,8,9,10,11,12,13,14},1),"0123456789ABCDEFGHIJKLMNOPQRSTUVWXYZ")-1)*{1,2,1,2,1,2,1,2,1,2,1,2,1,2}/36)+MOD((FIND(MID(AZ9,{1,2,3,4,5,6,7,8,9,10,11,12,13,14},1),"0123456789ABCDEFGHIJKLMNOPQRSTUVWXYZ")-1)*{1,2,1,2,1,2,1,2,1,2,1,2,1,2},36)),36),36)+1,1)=MID(AZ9,15,1),"OK","Typo? check digit wrong")),"Wrong format"))</f>
        <v/>
      </c>
      <c r="AW9" s="29">
        <f>IF(BA9="","",IF(AND(LEN(BA9)=10,SUMPRODUCT(--ISERROR(FIND(MID(BA9,{1,2,3,4,5,10},1),"ABCDEFGHIJKLMNOPQRSTUVWXYZ")))=0,SUMPRODUCT(--ISERROR(FIND(MID(BA9,{6,7,8,9},1),"0123456789")))=0),"OK","Wrong format"))</f>
        <v/>
      </c>
      <c r="AX9" s="29">
        <f>IF(TRIM(H9)="","",IF(AND(LEN(UPPER(TRIM(H9)))=10,SUMPRODUCT(--ISERROR(FIND(MID(UPPER(TRIM(H9)),{1,2,3,4,10},1),"ABCDEFGHIJKLMNOPQRSTUVWXYZ")))=0,SUMPRODUCT(--ISERROR(FIND(MID(UPPER(TRIM(H9)),{5,6,7,8,9},1),"0123456789")))=0),"OK","Wrong format"))</f>
        <v/>
      </c>
      <c r="AY9" s="30">
        <f>IF(NOT(COUNTA(A9:AE9)&gt;0),"",IF(BE9&lt;&gt;"","✖ "&amp;LEFT(BE9,LEN(BE9)-2),IF(BD9&gt;0,"✔ Ready — client + "&amp;BD9&amp;" service(s)","✔ Ready — client only")))</f>
        <v/>
      </c>
      <c r="AZ9" s="31">
        <f>UPPER(SUBSTITUTE(TRIM(F9)," ",""))</f>
        <v/>
      </c>
      <c r="BA9" s="31">
        <f>UPPER(SUBSTITUTE(TRIM(E9)," ",""))</f>
        <v/>
      </c>
      <c r="BB9" s="31">
        <f>IF(D9&lt;&gt;"",D9,IFERROR(VLOOKUP(MID(AS9,4,1),Lists!$E$2:$F$8,2,FALSE),""))</f>
        <v/>
      </c>
      <c r="BC9" s="31">
        <f>IFERROR(VLOOKUP(BB9,Lists!$A$2:$C$12,3,FALSE),"")</f>
        <v/>
      </c>
      <c r="BD9" s="31">
        <f>COUNTIF(W9:AC9,"Yes")</f>
        <v/>
      </c>
      <c r="BE9" s="31">
        <f>IF(TRIM(B9)="","Legal name missing; ","")&amp;IF(AND(AV9&lt;&gt;"",AV9&lt;&gt;"OK"),"GSTIN: "&amp;AV9&amp;"; ","")&amp;IF(AND(AW9&lt;&gt;"",AW9&lt;&gt;"OK"),"PAN wrong format; ","")&amp;IF(AND(BA9&lt;&gt;"",LEN(AZ9)=15,MID(AZ9,3,10)&lt;&gt;BA9),"PAN does not match GSTIN; ","")&amp;IF(AND(AX9&lt;&gt;"",AX9&lt;&gt;"OK"),"TAN wrong format; ","")&amp;IF(AS9="","PAN missing; ","")&amp;IF(BB9="","Entity type missing; ","")&amp;IF(AND(AZ9&lt;&gt;"",COUNTIF($AZ$6:$AZ$1005,AZ9)&gt;1),"GSTIN repeated in this sheet; ","")&amp;IF(AND(AS9&lt;&gt;"",COUNTIF($AS$6:$AS$1005,AS9)&gt;1),"PAN repeated in this sheet (same client? put extra GSTINs in Other GSTINs); ","")&amp;IF(AND(BD9&gt;0,V9=""),"Financial year missing; ","")&amp;IF(AND(BD9=0,V9&lt;&gt;""),"Financial year given but no service is Yes; ","")&amp;IF(AND(W9="Yes",AZ9=""),"GST needs a GSTIN; ","")&amp;IF(AND(W9="Yes",X9=""),"GST return frequency missing; ","")&amp;IF(AND(Y9="Yes",TRIM(H9)=""),"TDS needs a TAN; ","")&amp;IF(AND(AA9="Yes",BC9&lt;&gt;"",BC9&lt;&gt;"company",BC9&lt;&gt;"llp"),"ROC is only for a company / LLP; ","")&amp;IF(AND(AA9="Yes",OR(BC9="company",BC9="llp"),TRIM(I9)=""),"ROC needs the CIN / LLPIN; ","")&amp;IF((TRIM(AF9)="")&lt;&gt;(TRIM(AG9)=""),"GST login needs both user ID and password; ","")&amp;IF((TRIM(AH9)="")&lt;&gt;(TRIM(AI9)=""),"Income-tax login needs both user ID and password; ","")&amp;IF((TRIM(AJ9)="")&lt;&gt;(TRIM(AK9)=""),"Income-tax login needs both user ID and password; ","")&amp;IF((TRIM(AL9)="")&lt;&gt;(TRIM(AM9)=""),"TRACES login needs both user ID and password; ","")&amp;IF((TRIM(AN9)="")&lt;&gt;(TRIM(AO9)=""),"MCA login needs both user ID and password; ","")&amp;IF((TRIM(AP9)="")&lt;&gt;(TRIM(AQ9)=""),"E-way bill login needs both user ID and password; ","")</f>
        <v/>
      </c>
    </row>
    <row r="10">
      <c r="A10" s="32" t="n"/>
      <c r="B10" s="33" t="n"/>
      <c r="C10" s="33" t="n"/>
      <c r="D10" s="33" t="n"/>
      <c r="E10" s="32" t="n"/>
      <c r="F10" s="32" t="n"/>
      <c r="G10" s="32" t="n"/>
      <c r="H10" s="32" t="n"/>
      <c r="I10" s="32" t="n"/>
      <c r="J10" s="34" t="n"/>
      <c r="K10" s="33" t="n"/>
      <c r="L10" s="32" t="n"/>
      <c r="M10" s="33" t="n"/>
      <c r="N10" s="33" t="n"/>
      <c r="O10" s="33" t="n"/>
      <c r="P10" s="32" t="n"/>
      <c r="Q10" s="33" t="n"/>
      <c r="R10" s="33" t="n"/>
      <c r="S10" s="33" t="n"/>
      <c r="T10" s="33" t="n"/>
      <c r="U10" s="32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2" t="n"/>
      <c r="AO10" s="32" t="n"/>
      <c r="AP10" s="32" t="n"/>
      <c r="AQ10" s="32" t="n"/>
      <c r="AR10" s="29">
        <f>IF(NOT(COUNTA(A10:AE10)&gt;0),"",IF(A10="","New client","Update"))</f>
        <v/>
      </c>
      <c r="AS10" s="29">
        <f>IF(BA10&lt;&gt;"",BA10,IF(LEN(AZ10)=15,MID(AZ10,3,10),""))</f>
        <v/>
      </c>
      <c r="AT10" s="29">
        <f>IF(BB10="","",BB10&amp;IF(D10="","  (guessed from PAN)",""))</f>
        <v/>
      </c>
      <c r="AU10" s="29">
        <f>IF(AZ10="","",IFERROR(INDEX(Lists!$L$2:$L$38,MATCH(LEFT(AZ10,2),Lists!$K$2:$K$38,0)),"Unknown code"))</f>
        <v/>
      </c>
      <c r="AV10" s="29">
        <f>IF(AZ10="","",IFERROR(IF(NOT(AND(LEN(AZ10)=15,ISNUMBER(MATCH(LEFT(AZ10,2),Lists!$K$2:$K$38,0)),SUMPRODUCT(--ISERROR(FIND(MID(MID(AZ10,3,10),{1,2,3,4,5,10},1),"ABCDEFGHIJKLMNOPQRSTUVWXYZ")))=0,SUMPRODUCT(--ISERROR(FIND(MID(MID(AZ10,3,10),{6,7,8,9},1),"0123456789")))=0,ISNUMBER(FIND(MID(AZ10,13,1),"123456789ABCDEFGHIJKLMNOPQRSTUVWXYZ")),MID(AZ10,14,1)="Z")),"Wrong format",IF(MID("0123456789ABCDEFGHIJKLMNOPQRSTUVWXYZ",MOD(36-MOD(SUMPRODUCT(INT((FIND(MID(AZ10,{1,2,3,4,5,6,7,8,9,10,11,12,13,14},1),"0123456789ABCDEFGHIJKLMNOPQRSTUVWXYZ")-1)*{1,2,1,2,1,2,1,2,1,2,1,2,1,2}/36)+MOD((FIND(MID(AZ10,{1,2,3,4,5,6,7,8,9,10,11,12,13,14},1),"0123456789ABCDEFGHIJKLMNOPQRSTUVWXYZ")-1)*{1,2,1,2,1,2,1,2,1,2,1,2,1,2},36)),36),36)+1,1)=MID(AZ10,15,1),"OK","Typo? check digit wrong")),"Wrong format"))</f>
        <v/>
      </c>
      <c r="AW10" s="29">
        <f>IF(BA10="","",IF(AND(LEN(BA10)=10,SUMPRODUCT(--ISERROR(FIND(MID(BA10,{1,2,3,4,5,10},1),"ABCDEFGHIJKLMNOPQRSTUVWXYZ")))=0,SUMPRODUCT(--ISERROR(FIND(MID(BA10,{6,7,8,9},1),"0123456789")))=0),"OK","Wrong format"))</f>
        <v/>
      </c>
      <c r="AX10" s="29">
        <f>IF(TRIM(H10)="","",IF(AND(LEN(UPPER(TRIM(H10)))=10,SUMPRODUCT(--ISERROR(FIND(MID(UPPER(TRIM(H10)),{1,2,3,4,10},1),"ABCDEFGHIJKLMNOPQRSTUVWXYZ")))=0,SUMPRODUCT(--ISERROR(FIND(MID(UPPER(TRIM(H10)),{5,6,7,8,9},1),"0123456789")))=0),"OK","Wrong format"))</f>
        <v/>
      </c>
      <c r="AY10" s="30">
        <f>IF(NOT(COUNTA(A10:AE10)&gt;0),"",IF(BE10&lt;&gt;"","✖ "&amp;LEFT(BE10,LEN(BE10)-2),IF(BD10&gt;0,"✔ Ready — client + "&amp;BD10&amp;" service(s)","✔ Ready — client only")))</f>
        <v/>
      </c>
      <c r="AZ10" s="31">
        <f>UPPER(SUBSTITUTE(TRIM(F10)," ",""))</f>
        <v/>
      </c>
      <c r="BA10" s="31">
        <f>UPPER(SUBSTITUTE(TRIM(E10)," ",""))</f>
        <v/>
      </c>
      <c r="BB10" s="31">
        <f>IF(D10&lt;&gt;"",D10,IFERROR(VLOOKUP(MID(AS10,4,1),Lists!$E$2:$F$8,2,FALSE),""))</f>
        <v/>
      </c>
      <c r="BC10" s="31">
        <f>IFERROR(VLOOKUP(BB10,Lists!$A$2:$C$12,3,FALSE),"")</f>
        <v/>
      </c>
      <c r="BD10" s="31">
        <f>COUNTIF(W10:AC10,"Yes")</f>
        <v/>
      </c>
      <c r="BE10" s="31">
        <f>IF(TRIM(B10)="","Legal name missing; ","")&amp;IF(AND(AV10&lt;&gt;"",AV10&lt;&gt;"OK"),"GSTIN: "&amp;AV10&amp;"; ","")&amp;IF(AND(AW10&lt;&gt;"",AW10&lt;&gt;"OK"),"PAN wrong format; ","")&amp;IF(AND(BA10&lt;&gt;"",LEN(AZ10)=15,MID(AZ10,3,10)&lt;&gt;BA10),"PAN does not match GSTIN; ","")&amp;IF(AND(AX10&lt;&gt;"",AX10&lt;&gt;"OK"),"TAN wrong format; ","")&amp;IF(AS10="","PAN missing; ","")&amp;IF(BB10="","Entity type missing; ","")&amp;IF(AND(AZ10&lt;&gt;"",COUNTIF($AZ$6:$AZ$1005,AZ10)&gt;1),"GSTIN repeated in this sheet; ","")&amp;IF(AND(AS10&lt;&gt;"",COUNTIF($AS$6:$AS$1005,AS10)&gt;1),"PAN repeated in this sheet (same client? put extra GSTINs in Other GSTINs); ","")&amp;IF(AND(BD10&gt;0,V10=""),"Financial year missing; ","")&amp;IF(AND(BD10=0,V10&lt;&gt;""),"Financial year given but no service is Yes; ","")&amp;IF(AND(W10="Yes",AZ10=""),"GST needs a GSTIN; ","")&amp;IF(AND(W10="Yes",X10=""),"GST return frequency missing; ","")&amp;IF(AND(Y10="Yes",TRIM(H10)=""),"TDS needs a TAN; ","")&amp;IF(AND(AA10="Yes",BC10&lt;&gt;"",BC10&lt;&gt;"company",BC10&lt;&gt;"llp"),"ROC is only for a company / LLP; ","")&amp;IF(AND(AA10="Yes",OR(BC10="company",BC10="llp"),TRIM(I10)=""),"ROC needs the CIN / LLPIN; ","")&amp;IF((TRIM(AF10)="")&lt;&gt;(TRIM(AG10)=""),"GST login needs both user ID and password; ","")&amp;IF((TRIM(AH10)="")&lt;&gt;(TRIM(AI10)=""),"Income-tax login needs both user ID and password; ","")&amp;IF((TRIM(AJ10)="")&lt;&gt;(TRIM(AK10)=""),"Income-tax login needs both user ID and password; ","")&amp;IF((TRIM(AL10)="")&lt;&gt;(TRIM(AM10)=""),"TRACES login needs both user ID and password; ","")&amp;IF((TRIM(AN10)="")&lt;&gt;(TRIM(AO10)=""),"MCA login needs both user ID and password; ","")&amp;IF((TRIM(AP10)="")&lt;&gt;(TRIM(AQ10)=""),"E-way bill login needs both user ID and password; ","")</f>
        <v/>
      </c>
    </row>
    <row r="11">
      <c r="A11" s="32" t="n"/>
      <c r="B11" s="33" t="n"/>
      <c r="C11" s="33" t="n"/>
      <c r="D11" s="33" t="n"/>
      <c r="E11" s="32" t="n"/>
      <c r="F11" s="32" t="n"/>
      <c r="G11" s="32" t="n"/>
      <c r="H11" s="32" t="n"/>
      <c r="I11" s="32" t="n"/>
      <c r="J11" s="34" t="n"/>
      <c r="K11" s="33" t="n"/>
      <c r="L11" s="32" t="n"/>
      <c r="M11" s="33" t="n"/>
      <c r="N11" s="33" t="n"/>
      <c r="O11" s="33" t="n"/>
      <c r="P11" s="32" t="n"/>
      <c r="Q11" s="33" t="n"/>
      <c r="R11" s="33" t="n"/>
      <c r="S11" s="33" t="n"/>
      <c r="T11" s="33" t="n"/>
      <c r="U11" s="32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  <c r="AQ11" s="32" t="n"/>
      <c r="AR11" s="29">
        <f>IF(NOT(COUNTA(A11:AE11)&gt;0),"",IF(A11="","New client","Update"))</f>
        <v/>
      </c>
      <c r="AS11" s="29">
        <f>IF(BA11&lt;&gt;"",BA11,IF(LEN(AZ11)=15,MID(AZ11,3,10),""))</f>
        <v/>
      </c>
      <c r="AT11" s="29">
        <f>IF(BB11="","",BB11&amp;IF(D11="","  (guessed from PAN)",""))</f>
        <v/>
      </c>
      <c r="AU11" s="29">
        <f>IF(AZ11="","",IFERROR(INDEX(Lists!$L$2:$L$38,MATCH(LEFT(AZ11,2),Lists!$K$2:$K$38,0)),"Unknown code"))</f>
        <v/>
      </c>
      <c r="AV11" s="29">
        <f>IF(AZ11="","",IFERROR(IF(NOT(AND(LEN(AZ11)=15,ISNUMBER(MATCH(LEFT(AZ11,2),Lists!$K$2:$K$38,0)),SUMPRODUCT(--ISERROR(FIND(MID(MID(AZ11,3,10),{1,2,3,4,5,10},1),"ABCDEFGHIJKLMNOPQRSTUVWXYZ")))=0,SUMPRODUCT(--ISERROR(FIND(MID(MID(AZ11,3,10),{6,7,8,9},1),"0123456789")))=0,ISNUMBER(FIND(MID(AZ11,13,1),"123456789ABCDEFGHIJKLMNOPQRSTUVWXYZ")),MID(AZ11,14,1)="Z")),"Wrong format",IF(MID("0123456789ABCDEFGHIJKLMNOPQRSTUVWXYZ",MOD(36-MOD(SUMPRODUCT(INT((FIND(MID(AZ11,{1,2,3,4,5,6,7,8,9,10,11,12,13,14},1),"0123456789ABCDEFGHIJKLMNOPQRSTUVWXYZ")-1)*{1,2,1,2,1,2,1,2,1,2,1,2,1,2}/36)+MOD((FIND(MID(AZ11,{1,2,3,4,5,6,7,8,9,10,11,12,13,14},1),"0123456789ABCDEFGHIJKLMNOPQRSTUVWXYZ")-1)*{1,2,1,2,1,2,1,2,1,2,1,2,1,2},36)),36),36)+1,1)=MID(AZ11,15,1),"OK","Typo? check digit wrong")),"Wrong format"))</f>
        <v/>
      </c>
      <c r="AW11" s="29">
        <f>IF(BA11="","",IF(AND(LEN(BA11)=10,SUMPRODUCT(--ISERROR(FIND(MID(BA11,{1,2,3,4,5,10},1),"ABCDEFGHIJKLMNOPQRSTUVWXYZ")))=0,SUMPRODUCT(--ISERROR(FIND(MID(BA11,{6,7,8,9},1),"0123456789")))=0),"OK","Wrong format"))</f>
        <v/>
      </c>
      <c r="AX11" s="29">
        <f>IF(TRIM(H11)="","",IF(AND(LEN(UPPER(TRIM(H11)))=10,SUMPRODUCT(--ISERROR(FIND(MID(UPPER(TRIM(H11)),{1,2,3,4,10},1),"ABCDEFGHIJKLMNOPQRSTUVWXYZ")))=0,SUMPRODUCT(--ISERROR(FIND(MID(UPPER(TRIM(H11)),{5,6,7,8,9},1),"0123456789")))=0),"OK","Wrong format"))</f>
        <v/>
      </c>
      <c r="AY11" s="30">
        <f>IF(NOT(COUNTA(A11:AE11)&gt;0),"",IF(BE11&lt;&gt;"","✖ "&amp;LEFT(BE11,LEN(BE11)-2),IF(BD11&gt;0,"✔ Ready — client + "&amp;BD11&amp;" service(s)","✔ Ready — client only")))</f>
        <v/>
      </c>
      <c r="AZ11" s="31">
        <f>UPPER(SUBSTITUTE(TRIM(F11)," ",""))</f>
        <v/>
      </c>
      <c r="BA11" s="31">
        <f>UPPER(SUBSTITUTE(TRIM(E11)," ",""))</f>
        <v/>
      </c>
      <c r="BB11" s="31">
        <f>IF(D11&lt;&gt;"",D11,IFERROR(VLOOKUP(MID(AS11,4,1),Lists!$E$2:$F$8,2,FALSE),""))</f>
        <v/>
      </c>
      <c r="BC11" s="31">
        <f>IFERROR(VLOOKUP(BB11,Lists!$A$2:$C$12,3,FALSE),"")</f>
        <v/>
      </c>
      <c r="BD11" s="31">
        <f>COUNTIF(W11:AC11,"Yes")</f>
        <v/>
      </c>
      <c r="BE11" s="31">
        <f>IF(TRIM(B11)="","Legal name missing; ","")&amp;IF(AND(AV11&lt;&gt;"",AV11&lt;&gt;"OK"),"GSTIN: "&amp;AV11&amp;"; ","")&amp;IF(AND(AW11&lt;&gt;"",AW11&lt;&gt;"OK"),"PAN wrong format; ","")&amp;IF(AND(BA11&lt;&gt;"",LEN(AZ11)=15,MID(AZ11,3,10)&lt;&gt;BA11),"PAN does not match GSTIN; ","")&amp;IF(AND(AX11&lt;&gt;"",AX11&lt;&gt;"OK"),"TAN wrong format; ","")&amp;IF(AS11="","PAN missing; ","")&amp;IF(BB11="","Entity type missing; ","")&amp;IF(AND(AZ11&lt;&gt;"",COUNTIF($AZ$6:$AZ$1005,AZ11)&gt;1),"GSTIN repeated in this sheet; ","")&amp;IF(AND(AS11&lt;&gt;"",COUNTIF($AS$6:$AS$1005,AS11)&gt;1),"PAN repeated in this sheet (same client? put extra GSTINs in Other GSTINs); ","")&amp;IF(AND(BD11&gt;0,V11=""),"Financial year missing; ","")&amp;IF(AND(BD11=0,V11&lt;&gt;""),"Financial year given but no service is Yes; ","")&amp;IF(AND(W11="Yes",AZ11=""),"GST needs a GSTIN; ","")&amp;IF(AND(W11="Yes",X11=""),"GST return frequency missing; ","")&amp;IF(AND(Y11="Yes",TRIM(H11)=""),"TDS needs a TAN; ","")&amp;IF(AND(AA11="Yes",BC11&lt;&gt;"",BC11&lt;&gt;"company",BC11&lt;&gt;"llp"),"ROC is only for a company / LLP; ","")&amp;IF(AND(AA11="Yes",OR(BC11="company",BC11="llp"),TRIM(I11)=""),"ROC needs the CIN / LLPIN; ","")&amp;IF((TRIM(AF11)="")&lt;&gt;(TRIM(AG11)=""),"GST login needs both user ID and password; ","")&amp;IF((TRIM(AH11)="")&lt;&gt;(TRIM(AI11)=""),"Income-tax login needs both user ID and password; ","")&amp;IF((TRIM(AJ11)="")&lt;&gt;(TRIM(AK11)=""),"Income-tax login needs both user ID and password; ","")&amp;IF((TRIM(AL11)="")&lt;&gt;(TRIM(AM11)=""),"TRACES login needs both user ID and password; ","")&amp;IF((TRIM(AN11)="")&lt;&gt;(TRIM(AO11)=""),"MCA login needs both user ID and password; ","")&amp;IF((TRIM(AP11)="")&lt;&gt;(TRIM(AQ11)=""),"E-way bill login needs both user ID and password; ","")</f>
        <v/>
      </c>
    </row>
    <row r="12">
      <c r="A12" s="32" t="n"/>
      <c r="B12" s="33" t="n"/>
      <c r="C12" s="33" t="n"/>
      <c r="D12" s="33" t="n"/>
      <c r="E12" s="32" t="n"/>
      <c r="F12" s="32" t="n"/>
      <c r="G12" s="32" t="n"/>
      <c r="H12" s="32" t="n"/>
      <c r="I12" s="32" t="n"/>
      <c r="J12" s="34" t="n"/>
      <c r="K12" s="33" t="n"/>
      <c r="L12" s="32" t="n"/>
      <c r="M12" s="33" t="n"/>
      <c r="N12" s="33" t="n"/>
      <c r="O12" s="33" t="n"/>
      <c r="P12" s="32" t="n"/>
      <c r="Q12" s="33" t="n"/>
      <c r="R12" s="33" t="n"/>
      <c r="S12" s="33" t="n"/>
      <c r="T12" s="33" t="n"/>
      <c r="U12" s="32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  <c r="AO12" s="32" t="n"/>
      <c r="AP12" s="32" t="n"/>
      <c r="AQ12" s="32" t="n"/>
      <c r="AR12" s="29">
        <f>IF(NOT(COUNTA(A12:AE12)&gt;0),"",IF(A12="","New client","Update"))</f>
        <v/>
      </c>
      <c r="AS12" s="29">
        <f>IF(BA12&lt;&gt;"",BA12,IF(LEN(AZ12)=15,MID(AZ12,3,10),""))</f>
        <v/>
      </c>
      <c r="AT12" s="29">
        <f>IF(BB12="","",BB12&amp;IF(D12="","  (guessed from PAN)",""))</f>
        <v/>
      </c>
      <c r="AU12" s="29">
        <f>IF(AZ12="","",IFERROR(INDEX(Lists!$L$2:$L$38,MATCH(LEFT(AZ12,2),Lists!$K$2:$K$38,0)),"Unknown code"))</f>
        <v/>
      </c>
      <c r="AV12" s="29">
        <f>IF(AZ12="","",IFERROR(IF(NOT(AND(LEN(AZ12)=15,ISNUMBER(MATCH(LEFT(AZ12,2),Lists!$K$2:$K$38,0)),SUMPRODUCT(--ISERROR(FIND(MID(MID(AZ12,3,10),{1,2,3,4,5,10},1),"ABCDEFGHIJKLMNOPQRSTUVWXYZ")))=0,SUMPRODUCT(--ISERROR(FIND(MID(MID(AZ12,3,10),{6,7,8,9},1),"0123456789")))=0,ISNUMBER(FIND(MID(AZ12,13,1),"123456789ABCDEFGHIJKLMNOPQRSTUVWXYZ")),MID(AZ12,14,1)="Z")),"Wrong format",IF(MID("0123456789ABCDEFGHIJKLMNOPQRSTUVWXYZ",MOD(36-MOD(SUMPRODUCT(INT((FIND(MID(AZ12,{1,2,3,4,5,6,7,8,9,10,11,12,13,14},1),"0123456789ABCDEFGHIJKLMNOPQRSTUVWXYZ")-1)*{1,2,1,2,1,2,1,2,1,2,1,2,1,2}/36)+MOD((FIND(MID(AZ12,{1,2,3,4,5,6,7,8,9,10,11,12,13,14},1),"0123456789ABCDEFGHIJKLMNOPQRSTUVWXYZ")-1)*{1,2,1,2,1,2,1,2,1,2,1,2,1,2},36)),36),36)+1,1)=MID(AZ12,15,1),"OK","Typo? check digit wrong")),"Wrong format"))</f>
        <v/>
      </c>
      <c r="AW12" s="29">
        <f>IF(BA12="","",IF(AND(LEN(BA12)=10,SUMPRODUCT(--ISERROR(FIND(MID(BA12,{1,2,3,4,5,10},1),"ABCDEFGHIJKLMNOPQRSTUVWXYZ")))=0,SUMPRODUCT(--ISERROR(FIND(MID(BA12,{6,7,8,9},1),"0123456789")))=0),"OK","Wrong format"))</f>
        <v/>
      </c>
      <c r="AX12" s="29">
        <f>IF(TRIM(H12)="","",IF(AND(LEN(UPPER(TRIM(H12)))=10,SUMPRODUCT(--ISERROR(FIND(MID(UPPER(TRIM(H12)),{1,2,3,4,10},1),"ABCDEFGHIJKLMNOPQRSTUVWXYZ")))=0,SUMPRODUCT(--ISERROR(FIND(MID(UPPER(TRIM(H12)),{5,6,7,8,9},1),"0123456789")))=0),"OK","Wrong format"))</f>
        <v/>
      </c>
      <c r="AY12" s="30">
        <f>IF(NOT(COUNTA(A12:AE12)&gt;0),"",IF(BE12&lt;&gt;"","✖ "&amp;LEFT(BE12,LEN(BE12)-2),IF(BD12&gt;0,"✔ Ready — client + "&amp;BD12&amp;" service(s)","✔ Ready — client only")))</f>
        <v/>
      </c>
      <c r="AZ12" s="31">
        <f>UPPER(SUBSTITUTE(TRIM(F12)," ",""))</f>
        <v/>
      </c>
      <c r="BA12" s="31">
        <f>UPPER(SUBSTITUTE(TRIM(E12)," ",""))</f>
        <v/>
      </c>
      <c r="BB12" s="31">
        <f>IF(D12&lt;&gt;"",D12,IFERROR(VLOOKUP(MID(AS12,4,1),Lists!$E$2:$F$8,2,FALSE),""))</f>
        <v/>
      </c>
      <c r="BC12" s="31">
        <f>IFERROR(VLOOKUP(BB12,Lists!$A$2:$C$12,3,FALSE),"")</f>
        <v/>
      </c>
      <c r="BD12" s="31">
        <f>COUNTIF(W12:AC12,"Yes")</f>
        <v/>
      </c>
      <c r="BE12" s="31">
        <f>IF(TRIM(B12)="","Legal name missing; ","")&amp;IF(AND(AV12&lt;&gt;"",AV12&lt;&gt;"OK"),"GSTIN: "&amp;AV12&amp;"; ","")&amp;IF(AND(AW12&lt;&gt;"",AW12&lt;&gt;"OK"),"PAN wrong format; ","")&amp;IF(AND(BA12&lt;&gt;"",LEN(AZ12)=15,MID(AZ12,3,10)&lt;&gt;BA12),"PAN does not match GSTIN; ","")&amp;IF(AND(AX12&lt;&gt;"",AX12&lt;&gt;"OK"),"TAN wrong format; ","")&amp;IF(AS12="","PAN missing; ","")&amp;IF(BB12="","Entity type missing; ","")&amp;IF(AND(AZ12&lt;&gt;"",COUNTIF($AZ$6:$AZ$1005,AZ12)&gt;1),"GSTIN repeated in this sheet; ","")&amp;IF(AND(AS12&lt;&gt;"",COUNTIF($AS$6:$AS$1005,AS12)&gt;1),"PAN repeated in this sheet (same client? put extra GSTINs in Other GSTINs); ","")&amp;IF(AND(BD12&gt;0,V12=""),"Financial year missing; ","")&amp;IF(AND(BD12=0,V12&lt;&gt;""),"Financial year given but no service is Yes; ","")&amp;IF(AND(W12="Yes",AZ12=""),"GST needs a GSTIN; ","")&amp;IF(AND(W12="Yes",X12=""),"GST return frequency missing; ","")&amp;IF(AND(Y12="Yes",TRIM(H12)=""),"TDS needs a TAN; ","")&amp;IF(AND(AA12="Yes",BC12&lt;&gt;"",BC12&lt;&gt;"company",BC12&lt;&gt;"llp"),"ROC is only for a company / LLP; ","")&amp;IF(AND(AA12="Yes",OR(BC12="company",BC12="llp"),TRIM(I12)=""),"ROC needs the CIN / LLPIN; ","")&amp;IF((TRIM(AF12)="")&lt;&gt;(TRIM(AG12)=""),"GST login needs both user ID and password; ","")&amp;IF((TRIM(AH12)="")&lt;&gt;(TRIM(AI12)=""),"Income-tax login needs both user ID and password; ","")&amp;IF((TRIM(AJ12)="")&lt;&gt;(TRIM(AK12)=""),"Income-tax login needs both user ID and password; ","")&amp;IF((TRIM(AL12)="")&lt;&gt;(TRIM(AM12)=""),"TRACES login needs both user ID and password; ","")&amp;IF((TRIM(AN12)="")&lt;&gt;(TRIM(AO12)=""),"MCA login needs both user ID and password; ","")&amp;IF((TRIM(AP12)="")&lt;&gt;(TRIM(AQ12)=""),"E-way bill login needs both user ID and password; ","")</f>
        <v/>
      </c>
    </row>
    <row r="13">
      <c r="A13" s="32" t="n"/>
      <c r="B13" s="33" t="n"/>
      <c r="C13" s="33" t="n"/>
      <c r="D13" s="33" t="n"/>
      <c r="E13" s="32" t="n"/>
      <c r="F13" s="32" t="n"/>
      <c r="G13" s="32" t="n"/>
      <c r="H13" s="32" t="n"/>
      <c r="I13" s="32" t="n"/>
      <c r="J13" s="34" t="n"/>
      <c r="K13" s="33" t="n"/>
      <c r="L13" s="32" t="n"/>
      <c r="M13" s="33" t="n"/>
      <c r="N13" s="33" t="n"/>
      <c r="O13" s="33" t="n"/>
      <c r="P13" s="32" t="n"/>
      <c r="Q13" s="33" t="n"/>
      <c r="R13" s="33" t="n"/>
      <c r="S13" s="33" t="n"/>
      <c r="T13" s="33" t="n"/>
      <c r="U13" s="32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  <c r="AR13" s="29">
        <f>IF(NOT(COUNTA(A13:AE13)&gt;0),"",IF(A13="","New client","Update"))</f>
        <v/>
      </c>
      <c r="AS13" s="29">
        <f>IF(BA13&lt;&gt;"",BA13,IF(LEN(AZ13)=15,MID(AZ13,3,10),""))</f>
        <v/>
      </c>
      <c r="AT13" s="29">
        <f>IF(BB13="","",BB13&amp;IF(D13="","  (guessed from PAN)",""))</f>
        <v/>
      </c>
      <c r="AU13" s="29">
        <f>IF(AZ13="","",IFERROR(INDEX(Lists!$L$2:$L$38,MATCH(LEFT(AZ13,2),Lists!$K$2:$K$38,0)),"Unknown code"))</f>
        <v/>
      </c>
      <c r="AV13" s="29">
        <f>IF(AZ13="","",IFERROR(IF(NOT(AND(LEN(AZ13)=15,ISNUMBER(MATCH(LEFT(AZ13,2),Lists!$K$2:$K$38,0)),SUMPRODUCT(--ISERROR(FIND(MID(MID(AZ13,3,10),{1,2,3,4,5,10},1),"ABCDEFGHIJKLMNOPQRSTUVWXYZ")))=0,SUMPRODUCT(--ISERROR(FIND(MID(MID(AZ13,3,10),{6,7,8,9},1),"0123456789")))=0,ISNUMBER(FIND(MID(AZ13,13,1),"123456789ABCDEFGHIJKLMNOPQRSTUVWXYZ")),MID(AZ13,14,1)="Z")),"Wrong format",IF(MID("0123456789ABCDEFGHIJKLMNOPQRSTUVWXYZ",MOD(36-MOD(SUMPRODUCT(INT((FIND(MID(AZ13,{1,2,3,4,5,6,7,8,9,10,11,12,13,14},1),"0123456789ABCDEFGHIJKLMNOPQRSTUVWXYZ")-1)*{1,2,1,2,1,2,1,2,1,2,1,2,1,2}/36)+MOD((FIND(MID(AZ13,{1,2,3,4,5,6,7,8,9,10,11,12,13,14},1),"0123456789ABCDEFGHIJKLMNOPQRSTUVWXYZ")-1)*{1,2,1,2,1,2,1,2,1,2,1,2,1,2},36)),36),36)+1,1)=MID(AZ13,15,1),"OK","Typo? check digit wrong")),"Wrong format"))</f>
        <v/>
      </c>
      <c r="AW13" s="29">
        <f>IF(BA13="","",IF(AND(LEN(BA13)=10,SUMPRODUCT(--ISERROR(FIND(MID(BA13,{1,2,3,4,5,10},1),"ABCDEFGHIJKLMNOPQRSTUVWXYZ")))=0,SUMPRODUCT(--ISERROR(FIND(MID(BA13,{6,7,8,9},1),"0123456789")))=0),"OK","Wrong format"))</f>
        <v/>
      </c>
      <c r="AX13" s="29">
        <f>IF(TRIM(H13)="","",IF(AND(LEN(UPPER(TRIM(H13)))=10,SUMPRODUCT(--ISERROR(FIND(MID(UPPER(TRIM(H13)),{1,2,3,4,10},1),"ABCDEFGHIJKLMNOPQRSTUVWXYZ")))=0,SUMPRODUCT(--ISERROR(FIND(MID(UPPER(TRIM(H13)),{5,6,7,8,9},1),"0123456789")))=0),"OK","Wrong format"))</f>
        <v/>
      </c>
      <c r="AY13" s="30">
        <f>IF(NOT(COUNTA(A13:AE13)&gt;0),"",IF(BE13&lt;&gt;"","✖ "&amp;LEFT(BE13,LEN(BE13)-2),IF(BD13&gt;0,"✔ Ready — client + "&amp;BD13&amp;" service(s)","✔ Ready — client only")))</f>
        <v/>
      </c>
      <c r="AZ13" s="31">
        <f>UPPER(SUBSTITUTE(TRIM(F13)," ",""))</f>
        <v/>
      </c>
      <c r="BA13" s="31">
        <f>UPPER(SUBSTITUTE(TRIM(E13)," ",""))</f>
        <v/>
      </c>
      <c r="BB13" s="31">
        <f>IF(D13&lt;&gt;"",D13,IFERROR(VLOOKUP(MID(AS13,4,1),Lists!$E$2:$F$8,2,FALSE),""))</f>
        <v/>
      </c>
      <c r="BC13" s="31">
        <f>IFERROR(VLOOKUP(BB13,Lists!$A$2:$C$12,3,FALSE),"")</f>
        <v/>
      </c>
      <c r="BD13" s="31">
        <f>COUNTIF(W13:AC13,"Yes")</f>
        <v/>
      </c>
      <c r="BE13" s="31">
        <f>IF(TRIM(B13)="","Legal name missing; ","")&amp;IF(AND(AV13&lt;&gt;"",AV13&lt;&gt;"OK"),"GSTIN: "&amp;AV13&amp;"; ","")&amp;IF(AND(AW13&lt;&gt;"",AW13&lt;&gt;"OK"),"PAN wrong format; ","")&amp;IF(AND(BA13&lt;&gt;"",LEN(AZ13)=15,MID(AZ13,3,10)&lt;&gt;BA13),"PAN does not match GSTIN; ","")&amp;IF(AND(AX13&lt;&gt;"",AX13&lt;&gt;"OK"),"TAN wrong format; ","")&amp;IF(AS13="","PAN missing; ","")&amp;IF(BB13="","Entity type missing; ","")&amp;IF(AND(AZ13&lt;&gt;"",COUNTIF($AZ$6:$AZ$1005,AZ13)&gt;1),"GSTIN repeated in this sheet; ","")&amp;IF(AND(AS13&lt;&gt;"",COUNTIF($AS$6:$AS$1005,AS13)&gt;1),"PAN repeated in this sheet (same client? put extra GSTINs in Other GSTINs); ","")&amp;IF(AND(BD13&gt;0,V13=""),"Financial year missing; ","")&amp;IF(AND(BD13=0,V13&lt;&gt;""),"Financial year given but no service is Yes; ","")&amp;IF(AND(W13="Yes",AZ13=""),"GST needs a GSTIN; ","")&amp;IF(AND(W13="Yes",X13=""),"GST return frequency missing; ","")&amp;IF(AND(Y13="Yes",TRIM(H13)=""),"TDS needs a TAN; ","")&amp;IF(AND(AA13="Yes",BC13&lt;&gt;"",BC13&lt;&gt;"company",BC13&lt;&gt;"llp"),"ROC is only for a company / LLP; ","")&amp;IF(AND(AA13="Yes",OR(BC13="company",BC13="llp"),TRIM(I13)=""),"ROC needs the CIN / LLPIN; ","")&amp;IF((TRIM(AF13)="")&lt;&gt;(TRIM(AG13)=""),"GST login needs both user ID and password; ","")&amp;IF((TRIM(AH13)="")&lt;&gt;(TRIM(AI13)=""),"Income-tax login needs both user ID and password; ","")&amp;IF((TRIM(AJ13)="")&lt;&gt;(TRIM(AK13)=""),"Income-tax login needs both user ID and password; ","")&amp;IF((TRIM(AL13)="")&lt;&gt;(TRIM(AM13)=""),"TRACES login needs both user ID and password; ","")&amp;IF((TRIM(AN13)="")&lt;&gt;(TRIM(AO13)=""),"MCA login needs both user ID and password; ","")&amp;IF((TRIM(AP13)="")&lt;&gt;(TRIM(AQ13)=""),"E-way bill login needs both user ID and password; ","")</f>
        <v/>
      </c>
    </row>
    <row r="14">
      <c r="A14" s="32" t="n"/>
      <c r="B14" s="33" t="n"/>
      <c r="C14" s="33" t="n"/>
      <c r="D14" s="33" t="n"/>
      <c r="E14" s="32" t="n"/>
      <c r="F14" s="32" t="n"/>
      <c r="G14" s="32" t="n"/>
      <c r="H14" s="32" t="n"/>
      <c r="I14" s="32" t="n"/>
      <c r="J14" s="34" t="n"/>
      <c r="K14" s="33" t="n"/>
      <c r="L14" s="32" t="n"/>
      <c r="M14" s="33" t="n"/>
      <c r="N14" s="33" t="n"/>
      <c r="O14" s="33" t="n"/>
      <c r="P14" s="32" t="n"/>
      <c r="Q14" s="33" t="n"/>
      <c r="R14" s="33" t="n"/>
      <c r="S14" s="33" t="n"/>
      <c r="T14" s="33" t="n"/>
      <c r="U14" s="32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  <c r="AO14" s="32" t="n"/>
      <c r="AP14" s="32" t="n"/>
      <c r="AQ14" s="32" t="n"/>
      <c r="AR14" s="29">
        <f>IF(NOT(COUNTA(A14:AE14)&gt;0),"",IF(A14="","New client","Update"))</f>
        <v/>
      </c>
      <c r="AS14" s="29">
        <f>IF(BA14&lt;&gt;"",BA14,IF(LEN(AZ14)=15,MID(AZ14,3,10),""))</f>
        <v/>
      </c>
      <c r="AT14" s="29">
        <f>IF(BB14="","",BB14&amp;IF(D14="","  (guessed from PAN)",""))</f>
        <v/>
      </c>
      <c r="AU14" s="29">
        <f>IF(AZ14="","",IFERROR(INDEX(Lists!$L$2:$L$38,MATCH(LEFT(AZ14,2),Lists!$K$2:$K$38,0)),"Unknown code"))</f>
        <v/>
      </c>
      <c r="AV14" s="29">
        <f>IF(AZ14="","",IFERROR(IF(NOT(AND(LEN(AZ14)=15,ISNUMBER(MATCH(LEFT(AZ14,2),Lists!$K$2:$K$38,0)),SUMPRODUCT(--ISERROR(FIND(MID(MID(AZ14,3,10),{1,2,3,4,5,10},1),"ABCDEFGHIJKLMNOPQRSTUVWXYZ")))=0,SUMPRODUCT(--ISERROR(FIND(MID(MID(AZ14,3,10),{6,7,8,9},1),"0123456789")))=0,ISNUMBER(FIND(MID(AZ14,13,1),"123456789ABCDEFGHIJKLMNOPQRSTUVWXYZ")),MID(AZ14,14,1)="Z")),"Wrong format",IF(MID("0123456789ABCDEFGHIJKLMNOPQRSTUVWXYZ",MOD(36-MOD(SUMPRODUCT(INT((FIND(MID(AZ14,{1,2,3,4,5,6,7,8,9,10,11,12,13,14},1),"0123456789ABCDEFGHIJKLMNOPQRSTUVWXYZ")-1)*{1,2,1,2,1,2,1,2,1,2,1,2,1,2}/36)+MOD((FIND(MID(AZ14,{1,2,3,4,5,6,7,8,9,10,11,12,13,14},1),"0123456789ABCDEFGHIJKLMNOPQRSTUVWXYZ")-1)*{1,2,1,2,1,2,1,2,1,2,1,2,1,2},36)),36),36)+1,1)=MID(AZ14,15,1),"OK","Typo? check digit wrong")),"Wrong format"))</f>
        <v/>
      </c>
      <c r="AW14" s="29">
        <f>IF(BA14="","",IF(AND(LEN(BA14)=10,SUMPRODUCT(--ISERROR(FIND(MID(BA14,{1,2,3,4,5,10},1),"ABCDEFGHIJKLMNOPQRSTUVWXYZ")))=0,SUMPRODUCT(--ISERROR(FIND(MID(BA14,{6,7,8,9},1),"0123456789")))=0),"OK","Wrong format"))</f>
        <v/>
      </c>
      <c r="AX14" s="29">
        <f>IF(TRIM(H14)="","",IF(AND(LEN(UPPER(TRIM(H14)))=10,SUMPRODUCT(--ISERROR(FIND(MID(UPPER(TRIM(H14)),{1,2,3,4,10},1),"ABCDEFGHIJKLMNOPQRSTUVWXYZ")))=0,SUMPRODUCT(--ISERROR(FIND(MID(UPPER(TRIM(H14)),{5,6,7,8,9},1),"0123456789")))=0),"OK","Wrong format"))</f>
        <v/>
      </c>
      <c r="AY14" s="30">
        <f>IF(NOT(COUNTA(A14:AE14)&gt;0),"",IF(BE14&lt;&gt;"","✖ "&amp;LEFT(BE14,LEN(BE14)-2),IF(BD14&gt;0,"✔ Ready — client + "&amp;BD14&amp;" service(s)","✔ Ready — client only")))</f>
        <v/>
      </c>
      <c r="AZ14" s="31">
        <f>UPPER(SUBSTITUTE(TRIM(F14)," ",""))</f>
        <v/>
      </c>
      <c r="BA14" s="31">
        <f>UPPER(SUBSTITUTE(TRIM(E14)," ",""))</f>
        <v/>
      </c>
      <c r="BB14" s="31">
        <f>IF(D14&lt;&gt;"",D14,IFERROR(VLOOKUP(MID(AS14,4,1),Lists!$E$2:$F$8,2,FALSE),""))</f>
        <v/>
      </c>
      <c r="BC14" s="31">
        <f>IFERROR(VLOOKUP(BB14,Lists!$A$2:$C$12,3,FALSE),"")</f>
        <v/>
      </c>
      <c r="BD14" s="31">
        <f>COUNTIF(W14:AC14,"Yes")</f>
        <v/>
      </c>
      <c r="BE14" s="31">
        <f>IF(TRIM(B14)="","Legal name missing; ","")&amp;IF(AND(AV14&lt;&gt;"",AV14&lt;&gt;"OK"),"GSTIN: "&amp;AV14&amp;"; ","")&amp;IF(AND(AW14&lt;&gt;"",AW14&lt;&gt;"OK"),"PAN wrong format; ","")&amp;IF(AND(BA14&lt;&gt;"",LEN(AZ14)=15,MID(AZ14,3,10)&lt;&gt;BA14),"PAN does not match GSTIN; ","")&amp;IF(AND(AX14&lt;&gt;"",AX14&lt;&gt;"OK"),"TAN wrong format; ","")&amp;IF(AS14="","PAN missing; ","")&amp;IF(BB14="","Entity type missing; ","")&amp;IF(AND(AZ14&lt;&gt;"",COUNTIF($AZ$6:$AZ$1005,AZ14)&gt;1),"GSTIN repeated in this sheet; ","")&amp;IF(AND(AS14&lt;&gt;"",COUNTIF($AS$6:$AS$1005,AS14)&gt;1),"PAN repeated in this sheet (same client? put extra GSTINs in Other GSTINs); ","")&amp;IF(AND(BD14&gt;0,V14=""),"Financial year missing; ","")&amp;IF(AND(BD14=0,V14&lt;&gt;""),"Financial year given but no service is Yes; ","")&amp;IF(AND(W14="Yes",AZ14=""),"GST needs a GSTIN; ","")&amp;IF(AND(W14="Yes",X14=""),"GST return frequency missing; ","")&amp;IF(AND(Y14="Yes",TRIM(H14)=""),"TDS needs a TAN; ","")&amp;IF(AND(AA14="Yes",BC14&lt;&gt;"",BC14&lt;&gt;"company",BC14&lt;&gt;"llp"),"ROC is only for a company / LLP; ","")&amp;IF(AND(AA14="Yes",OR(BC14="company",BC14="llp"),TRIM(I14)=""),"ROC needs the CIN / LLPIN; ","")&amp;IF((TRIM(AF14)="")&lt;&gt;(TRIM(AG14)=""),"GST login needs both user ID and password; ","")&amp;IF((TRIM(AH14)="")&lt;&gt;(TRIM(AI14)=""),"Income-tax login needs both user ID and password; ","")&amp;IF((TRIM(AJ14)="")&lt;&gt;(TRIM(AK14)=""),"Income-tax login needs both user ID and password; ","")&amp;IF((TRIM(AL14)="")&lt;&gt;(TRIM(AM14)=""),"TRACES login needs both user ID and password; ","")&amp;IF((TRIM(AN14)="")&lt;&gt;(TRIM(AO14)=""),"MCA login needs both user ID and password; ","")&amp;IF((TRIM(AP14)="")&lt;&gt;(TRIM(AQ14)=""),"E-way bill login needs both user ID and password; ","")</f>
        <v/>
      </c>
    </row>
    <row r="15">
      <c r="A15" s="32" t="n"/>
      <c r="B15" s="33" t="n"/>
      <c r="C15" s="33" t="n"/>
      <c r="D15" s="33" t="n"/>
      <c r="E15" s="32" t="n"/>
      <c r="F15" s="32" t="n"/>
      <c r="G15" s="32" t="n"/>
      <c r="H15" s="32" t="n"/>
      <c r="I15" s="32" t="n"/>
      <c r="J15" s="34" t="n"/>
      <c r="K15" s="33" t="n"/>
      <c r="L15" s="32" t="n"/>
      <c r="M15" s="33" t="n"/>
      <c r="N15" s="33" t="n"/>
      <c r="O15" s="33" t="n"/>
      <c r="P15" s="32" t="n"/>
      <c r="Q15" s="33" t="n"/>
      <c r="R15" s="33" t="n"/>
      <c r="S15" s="33" t="n"/>
      <c r="T15" s="33" t="n"/>
      <c r="U15" s="32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29">
        <f>IF(NOT(COUNTA(A15:AE15)&gt;0),"",IF(A15="","New client","Update"))</f>
        <v/>
      </c>
      <c r="AS15" s="29">
        <f>IF(BA15&lt;&gt;"",BA15,IF(LEN(AZ15)=15,MID(AZ15,3,10),""))</f>
        <v/>
      </c>
      <c r="AT15" s="29">
        <f>IF(BB15="","",BB15&amp;IF(D15="","  (guessed from PAN)",""))</f>
        <v/>
      </c>
      <c r="AU15" s="29">
        <f>IF(AZ15="","",IFERROR(INDEX(Lists!$L$2:$L$38,MATCH(LEFT(AZ15,2),Lists!$K$2:$K$38,0)),"Unknown code"))</f>
        <v/>
      </c>
      <c r="AV15" s="29">
        <f>IF(AZ15="","",IFERROR(IF(NOT(AND(LEN(AZ15)=15,ISNUMBER(MATCH(LEFT(AZ15,2),Lists!$K$2:$K$38,0)),SUMPRODUCT(--ISERROR(FIND(MID(MID(AZ15,3,10),{1,2,3,4,5,10},1),"ABCDEFGHIJKLMNOPQRSTUVWXYZ")))=0,SUMPRODUCT(--ISERROR(FIND(MID(MID(AZ15,3,10),{6,7,8,9},1),"0123456789")))=0,ISNUMBER(FIND(MID(AZ15,13,1),"123456789ABCDEFGHIJKLMNOPQRSTUVWXYZ")),MID(AZ15,14,1)="Z")),"Wrong format",IF(MID("0123456789ABCDEFGHIJKLMNOPQRSTUVWXYZ",MOD(36-MOD(SUMPRODUCT(INT((FIND(MID(AZ15,{1,2,3,4,5,6,7,8,9,10,11,12,13,14},1),"0123456789ABCDEFGHIJKLMNOPQRSTUVWXYZ")-1)*{1,2,1,2,1,2,1,2,1,2,1,2,1,2}/36)+MOD((FIND(MID(AZ15,{1,2,3,4,5,6,7,8,9,10,11,12,13,14},1),"0123456789ABCDEFGHIJKLMNOPQRSTUVWXYZ")-1)*{1,2,1,2,1,2,1,2,1,2,1,2,1,2},36)),36),36)+1,1)=MID(AZ15,15,1),"OK","Typo? check digit wrong")),"Wrong format"))</f>
        <v/>
      </c>
      <c r="AW15" s="29">
        <f>IF(BA15="","",IF(AND(LEN(BA15)=10,SUMPRODUCT(--ISERROR(FIND(MID(BA15,{1,2,3,4,5,10},1),"ABCDEFGHIJKLMNOPQRSTUVWXYZ")))=0,SUMPRODUCT(--ISERROR(FIND(MID(BA15,{6,7,8,9},1),"0123456789")))=0),"OK","Wrong format"))</f>
        <v/>
      </c>
      <c r="AX15" s="29">
        <f>IF(TRIM(H15)="","",IF(AND(LEN(UPPER(TRIM(H15)))=10,SUMPRODUCT(--ISERROR(FIND(MID(UPPER(TRIM(H15)),{1,2,3,4,10},1),"ABCDEFGHIJKLMNOPQRSTUVWXYZ")))=0,SUMPRODUCT(--ISERROR(FIND(MID(UPPER(TRIM(H15)),{5,6,7,8,9},1),"0123456789")))=0),"OK","Wrong format"))</f>
        <v/>
      </c>
      <c r="AY15" s="30">
        <f>IF(NOT(COUNTA(A15:AE15)&gt;0),"",IF(BE15&lt;&gt;"","✖ "&amp;LEFT(BE15,LEN(BE15)-2),IF(BD15&gt;0,"✔ Ready — client + "&amp;BD15&amp;" service(s)","✔ Ready — client only")))</f>
        <v/>
      </c>
      <c r="AZ15" s="31">
        <f>UPPER(SUBSTITUTE(TRIM(F15)," ",""))</f>
        <v/>
      </c>
      <c r="BA15" s="31">
        <f>UPPER(SUBSTITUTE(TRIM(E15)," ",""))</f>
        <v/>
      </c>
      <c r="BB15" s="31">
        <f>IF(D15&lt;&gt;"",D15,IFERROR(VLOOKUP(MID(AS15,4,1),Lists!$E$2:$F$8,2,FALSE),""))</f>
        <v/>
      </c>
      <c r="BC15" s="31">
        <f>IFERROR(VLOOKUP(BB15,Lists!$A$2:$C$12,3,FALSE),"")</f>
        <v/>
      </c>
      <c r="BD15" s="31">
        <f>COUNTIF(W15:AC15,"Yes")</f>
        <v/>
      </c>
      <c r="BE15" s="31">
        <f>IF(TRIM(B15)="","Legal name missing; ","")&amp;IF(AND(AV15&lt;&gt;"",AV15&lt;&gt;"OK"),"GSTIN: "&amp;AV15&amp;"; ","")&amp;IF(AND(AW15&lt;&gt;"",AW15&lt;&gt;"OK"),"PAN wrong format; ","")&amp;IF(AND(BA15&lt;&gt;"",LEN(AZ15)=15,MID(AZ15,3,10)&lt;&gt;BA15),"PAN does not match GSTIN; ","")&amp;IF(AND(AX15&lt;&gt;"",AX15&lt;&gt;"OK"),"TAN wrong format; ","")&amp;IF(AS15="","PAN missing; ","")&amp;IF(BB15="","Entity type missing; ","")&amp;IF(AND(AZ15&lt;&gt;"",COUNTIF($AZ$6:$AZ$1005,AZ15)&gt;1),"GSTIN repeated in this sheet; ","")&amp;IF(AND(AS15&lt;&gt;"",COUNTIF($AS$6:$AS$1005,AS15)&gt;1),"PAN repeated in this sheet (same client? put extra GSTINs in Other GSTINs); ","")&amp;IF(AND(BD15&gt;0,V15=""),"Financial year missing; ","")&amp;IF(AND(BD15=0,V15&lt;&gt;""),"Financial year given but no service is Yes; ","")&amp;IF(AND(W15="Yes",AZ15=""),"GST needs a GSTIN; ","")&amp;IF(AND(W15="Yes",X15=""),"GST return frequency missing; ","")&amp;IF(AND(Y15="Yes",TRIM(H15)=""),"TDS needs a TAN; ","")&amp;IF(AND(AA15="Yes",BC15&lt;&gt;"",BC15&lt;&gt;"company",BC15&lt;&gt;"llp"),"ROC is only for a company / LLP; ","")&amp;IF(AND(AA15="Yes",OR(BC15="company",BC15="llp"),TRIM(I15)=""),"ROC needs the CIN / LLPIN; ","")&amp;IF((TRIM(AF15)="")&lt;&gt;(TRIM(AG15)=""),"GST login needs both user ID and password; ","")&amp;IF((TRIM(AH15)="")&lt;&gt;(TRIM(AI15)=""),"Income-tax login needs both user ID and password; ","")&amp;IF((TRIM(AJ15)="")&lt;&gt;(TRIM(AK15)=""),"Income-tax login needs both user ID and password; ","")&amp;IF((TRIM(AL15)="")&lt;&gt;(TRIM(AM15)=""),"TRACES login needs both user ID and password; ","")&amp;IF((TRIM(AN15)="")&lt;&gt;(TRIM(AO15)=""),"MCA login needs both user ID and password; ","")&amp;IF((TRIM(AP15)="")&lt;&gt;(TRIM(AQ15)=""),"E-way bill login needs both user ID and password; ","")</f>
        <v/>
      </c>
    </row>
    <row r="16">
      <c r="A16" s="32" t="n"/>
      <c r="B16" s="33" t="n"/>
      <c r="C16" s="33" t="n"/>
      <c r="D16" s="33" t="n"/>
      <c r="E16" s="32" t="n"/>
      <c r="F16" s="32" t="n"/>
      <c r="G16" s="32" t="n"/>
      <c r="H16" s="32" t="n"/>
      <c r="I16" s="32" t="n"/>
      <c r="J16" s="34" t="n"/>
      <c r="K16" s="33" t="n"/>
      <c r="L16" s="32" t="n"/>
      <c r="M16" s="33" t="n"/>
      <c r="N16" s="33" t="n"/>
      <c r="O16" s="33" t="n"/>
      <c r="P16" s="32" t="n"/>
      <c r="Q16" s="33" t="n"/>
      <c r="R16" s="33" t="n"/>
      <c r="S16" s="33" t="n"/>
      <c r="T16" s="33" t="n"/>
      <c r="U16" s="32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  <c r="AO16" s="32" t="n"/>
      <c r="AP16" s="32" t="n"/>
      <c r="AQ16" s="32" t="n"/>
      <c r="AR16" s="29">
        <f>IF(NOT(COUNTA(A16:AE16)&gt;0),"",IF(A16="","New client","Update"))</f>
        <v/>
      </c>
      <c r="AS16" s="29">
        <f>IF(BA16&lt;&gt;"",BA16,IF(LEN(AZ16)=15,MID(AZ16,3,10),""))</f>
        <v/>
      </c>
      <c r="AT16" s="29">
        <f>IF(BB16="","",BB16&amp;IF(D16="","  (guessed from PAN)",""))</f>
        <v/>
      </c>
      <c r="AU16" s="29">
        <f>IF(AZ16="","",IFERROR(INDEX(Lists!$L$2:$L$38,MATCH(LEFT(AZ16,2),Lists!$K$2:$K$38,0)),"Unknown code"))</f>
        <v/>
      </c>
      <c r="AV16" s="29">
        <f>IF(AZ16="","",IFERROR(IF(NOT(AND(LEN(AZ16)=15,ISNUMBER(MATCH(LEFT(AZ16,2),Lists!$K$2:$K$38,0)),SUMPRODUCT(--ISERROR(FIND(MID(MID(AZ16,3,10),{1,2,3,4,5,10},1),"ABCDEFGHIJKLMNOPQRSTUVWXYZ")))=0,SUMPRODUCT(--ISERROR(FIND(MID(MID(AZ16,3,10),{6,7,8,9},1),"0123456789")))=0,ISNUMBER(FIND(MID(AZ16,13,1),"123456789ABCDEFGHIJKLMNOPQRSTUVWXYZ")),MID(AZ16,14,1)="Z")),"Wrong format",IF(MID("0123456789ABCDEFGHIJKLMNOPQRSTUVWXYZ",MOD(36-MOD(SUMPRODUCT(INT((FIND(MID(AZ16,{1,2,3,4,5,6,7,8,9,10,11,12,13,14},1),"0123456789ABCDEFGHIJKLMNOPQRSTUVWXYZ")-1)*{1,2,1,2,1,2,1,2,1,2,1,2,1,2}/36)+MOD((FIND(MID(AZ16,{1,2,3,4,5,6,7,8,9,10,11,12,13,14},1),"0123456789ABCDEFGHIJKLMNOPQRSTUVWXYZ")-1)*{1,2,1,2,1,2,1,2,1,2,1,2,1,2},36)),36),36)+1,1)=MID(AZ16,15,1),"OK","Typo? check digit wrong")),"Wrong format"))</f>
        <v/>
      </c>
      <c r="AW16" s="29">
        <f>IF(BA16="","",IF(AND(LEN(BA16)=10,SUMPRODUCT(--ISERROR(FIND(MID(BA16,{1,2,3,4,5,10},1),"ABCDEFGHIJKLMNOPQRSTUVWXYZ")))=0,SUMPRODUCT(--ISERROR(FIND(MID(BA16,{6,7,8,9},1),"0123456789")))=0),"OK","Wrong format"))</f>
        <v/>
      </c>
      <c r="AX16" s="29">
        <f>IF(TRIM(H16)="","",IF(AND(LEN(UPPER(TRIM(H16)))=10,SUMPRODUCT(--ISERROR(FIND(MID(UPPER(TRIM(H16)),{1,2,3,4,10},1),"ABCDEFGHIJKLMNOPQRSTUVWXYZ")))=0,SUMPRODUCT(--ISERROR(FIND(MID(UPPER(TRIM(H16)),{5,6,7,8,9},1),"0123456789")))=0),"OK","Wrong format"))</f>
        <v/>
      </c>
      <c r="AY16" s="30">
        <f>IF(NOT(COUNTA(A16:AE16)&gt;0),"",IF(BE16&lt;&gt;"","✖ "&amp;LEFT(BE16,LEN(BE16)-2),IF(BD16&gt;0,"✔ Ready — client + "&amp;BD16&amp;" service(s)","✔ Ready — client only")))</f>
        <v/>
      </c>
      <c r="AZ16" s="31">
        <f>UPPER(SUBSTITUTE(TRIM(F16)," ",""))</f>
        <v/>
      </c>
      <c r="BA16" s="31">
        <f>UPPER(SUBSTITUTE(TRIM(E16)," ",""))</f>
        <v/>
      </c>
      <c r="BB16" s="31">
        <f>IF(D16&lt;&gt;"",D16,IFERROR(VLOOKUP(MID(AS16,4,1),Lists!$E$2:$F$8,2,FALSE),""))</f>
        <v/>
      </c>
      <c r="BC16" s="31">
        <f>IFERROR(VLOOKUP(BB16,Lists!$A$2:$C$12,3,FALSE),"")</f>
        <v/>
      </c>
      <c r="BD16" s="31">
        <f>COUNTIF(W16:AC16,"Yes")</f>
        <v/>
      </c>
      <c r="BE16" s="31">
        <f>IF(TRIM(B16)="","Legal name missing; ","")&amp;IF(AND(AV16&lt;&gt;"",AV16&lt;&gt;"OK"),"GSTIN: "&amp;AV16&amp;"; ","")&amp;IF(AND(AW16&lt;&gt;"",AW16&lt;&gt;"OK"),"PAN wrong format; ","")&amp;IF(AND(BA16&lt;&gt;"",LEN(AZ16)=15,MID(AZ16,3,10)&lt;&gt;BA16),"PAN does not match GSTIN; ","")&amp;IF(AND(AX16&lt;&gt;"",AX16&lt;&gt;"OK"),"TAN wrong format; ","")&amp;IF(AS16="","PAN missing; ","")&amp;IF(BB16="","Entity type missing; ","")&amp;IF(AND(AZ16&lt;&gt;"",COUNTIF($AZ$6:$AZ$1005,AZ16)&gt;1),"GSTIN repeated in this sheet; ","")&amp;IF(AND(AS16&lt;&gt;"",COUNTIF($AS$6:$AS$1005,AS16)&gt;1),"PAN repeated in this sheet (same client? put extra GSTINs in Other GSTINs); ","")&amp;IF(AND(BD16&gt;0,V16=""),"Financial year missing; ","")&amp;IF(AND(BD16=0,V16&lt;&gt;""),"Financial year given but no service is Yes; ","")&amp;IF(AND(W16="Yes",AZ16=""),"GST needs a GSTIN; ","")&amp;IF(AND(W16="Yes",X16=""),"GST return frequency missing; ","")&amp;IF(AND(Y16="Yes",TRIM(H16)=""),"TDS needs a TAN; ","")&amp;IF(AND(AA16="Yes",BC16&lt;&gt;"",BC16&lt;&gt;"company",BC16&lt;&gt;"llp"),"ROC is only for a company / LLP; ","")&amp;IF(AND(AA16="Yes",OR(BC16="company",BC16="llp"),TRIM(I16)=""),"ROC needs the CIN / LLPIN; ","")&amp;IF((TRIM(AF16)="")&lt;&gt;(TRIM(AG16)=""),"GST login needs both user ID and password; ","")&amp;IF((TRIM(AH16)="")&lt;&gt;(TRIM(AI16)=""),"Income-tax login needs both user ID and password; ","")&amp;IF((TRIM(AJ16)="")&lt;&gt;(TRIM(AK16)=""),"Income-tax login needs both user ID and password; ","")&amp;IF((TRIM(AL16)="")&lt;&gt;(TRIM(AM16)=""),"TRACES login needs both user ID and password; ","")&amp;IF((TRIM(AN16)="")&lt;&gt;(TRIM(AO16)=""),"MCA login needs both user ID and password; ","")&amp;IF((TRIM(AP16)="")&lt;&gt;(TRIM(AQ16)=""),"E-way bill login needs both user ID and password; ","")</f>
        <v/>
      </c>
    </row>
    <row r="17">
      <c r="A17" s="32" t="n"/>
      <c r="B17" s="33" t="n"/>
      <c r="C17" s="33" t="n"/>
      <c r="D17" s="33" t="n"/>
      <c r="E17" s="32" t="n"/>
      <c r="F17" s="32" t="n"/>
      <c r="G17" s="32" t="n"/>
      <c r="H17" s="32" t="n"/>
      <c r="I17" s="32" t="n"/>
      <c r="J17" s="34" t="n"/>
      <c r="K17" s="33" t="n"/>
      <c r="L17" s="32" t="n"/>
      <c r="M17" s="33" t="n"/>
      <c r="N17" s="33" t="n"/>
      <c r="O17" s="33" t="n"/>
      <c r="P17" s="32" t="n"/>
      <c r="Q17" s="33" t="n"/>
      <c r="R17" s="33" t="n"/>
      <c r="S17" s="33" t="n"/>
      <c r="T17" s="33" t="n"/>
      <c r="U17" s="32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29">
        <f>IF(NOT(COUNTA(A17:AE17)&gt;0),"",IF(A17="","New client","Update"))</f>
        <v/>
      </c>
      <c r="AS17" s="29">
        <f>IF(BA17&lt;&gt;"",BA17,IF(LEN(AZ17)=15,MID(AZ17,3,10),""))</f>
        <v/>
      </c>
      <c r="AT17" s="29">
        <f>IF(BB17="","",BB17&amp;IF(D17="","  (guessed from PAN)",""))</f>
        <v/>
      </c>
      <c r="AU17" s="29">
        <f>IF(AZ17="","",IFERROR(INDEX(Lists!$L$2:$L$38,MATCH(LEFT(AZ17,2),Lists!$K$2:$K$38,0)),"Unknown code"))</f>
        <v/>
      </c>
      <c r="AV17" s="29">
        <f>IF(AZ17="","",IFERROR(IF(NOT(AND(LEN(AZ17)=15,ISNUMBER(MATCH(LEFT(AZ17,2),Lists!$K$2:$K$38,0)),SUMPRODUCT(--ISERROR(FIND(MID(MID(AZ17,3,10),{1,2,3,4,5,10},1),"ABCDEFGHIJKLMNOPQRSTUVWXYZ")))=0,SUMPRODUCT(--ISERROR(FIND(MID(MID(AZ17,3,10),{6,7,8,9},1),"0123456789")))=0,ISNUMBER(FIND(MID(AZ17,13,1),"123456789ABCDEFGHIJKLMNOPQRSTUVWXYZ")),MID(AZ17,14,1)="Z")),"Wrong format",IF(MID("0123456789ABCDEFGHIJKLMNOPQRSTUVWXYZ",MOD(36-MOD(SUMPRODUCT(INT((FIND(MID(AZ17,{1,2,3,4,5,6,7,8,9,10,11,12,13,14},1),"0123456789ABCDEFGHIJKLMNOPQRSTUVWXYZ")-1)*{1,2,1,2,1,2,1,2,1,2,1,2,1,2}/36)+MOD((FIND(MID(AZ17,{1,2,3,4,5,6,7,8,9,10,11,12,13,14},1),"0123456789ABCDEFGHIJKLMNOPQRSTUVWXYZ")-1)*{1,2,1,2,1,2,1,2,1,2,1,2,1,2},36)),36),36)+1,1)=MID(AZ17,15,1),"OK","Typo? check digit wrong")),"Wrong format"))</f>
        <v/>
      </c>
      <c r="AW17" s="29">
        <f>IF(BA17="","",IF(AND(LEN(BA17)=10,SUMPRODUCT(--ISERROR(FIND(MID(BA17,{1,2,3,4,5,10},1),"ABCDEFGHIJKLMNOPQRSTUVWXYZ")))=0,SUMPRODUCT(--ISERROR(FIND(MID(BA17,{6,7,8,9},1),"0123456789")))=0),"OK","Wrong format"))</f>
        <v/>
      </c>
      <c r="AX17" s="29">
        <f>IF(TRIM(H17)="","",IF(AND(LEN(UPPER(TRIM(H17)))=10,SUMPRODUCT(--ISERROR(FIND(MID(UPPER(TRIM(H17)),{1,2,3,4,10},1),"ABCDEFGHIJKLMNOPQRSTUVWXYZ")))=0,SUMPRODUCT(--ISERROR(FIND(MID(UPPER(TRIM(H17)),{5,6,7,8,9},1),"0123456789")))=0),"OK","Wrong format"))</f>
        <v/>
      </c>
      <c r="AY17" s="30">
        <f>IF(NOT(COUNTA(A17:AE17)&gt;0),"",IF(BE17&lt;&gt;"","✖ "&amp;LEFT(BE17,LEN(BE17)-2),IF(BD17&gt;0,"✔ Ready — client + "&amp;BD17&amp;" service(s)","✔ Ready — client only")))</f>
        <v/>
      </c>
      <c r="AZ17" s="31">
        <f>UPPER(SUBSTITUTE(TRIM(F17)," ",""))</f>
        <v/>
      </c>
      <c r="BA17" s="31">
        <f>UPPER(SUBSTITUTE(TRIM(E17)," ",""))</f>
        <v/>
      </c>
      <c r="BB17" s="31">
        <f>IF(D17&lt;&gt;"",D17,IFERROR(VLOOKUP(MID(AS17,4,1),Lists!$E$2:$F$8,2,FALSE),""))</f>
        <v/>
      </c>
      <c r="BC17" s="31">
        <f>IFERROR(VLOOKUP(BB17,Lists!$A$2:$C$12,3,FALSE),"")</f>
        <v/>
      </c>
      <c r="BD17" s="31">
        <f>COUNTIF(W17:AC17,"Yes")</f>
        <v/>
      </c>
      <c r="BE17" s="31">
        <f>IF(TRIM(B17)="","Legal name missing; ","")&amp;IF(AND(AV17&lt;&gt;"",AV17&lt;&gt;"OK"),"GSTIN: "&amp;AV17&amp;"; ","")&amp;IF(AND(AW17&lt;&gt;"",AW17&lt;&gt;"OK"),"PAN wrong format; ","")&amp;IF(AND(BA17&lt;&gt;"",LEN(AZ17)=15,MID(AZ17,3,10)&lt;&gt;BA17),"PAN does not match GSTIN; ","")&amp;IF(AND(AX17&lt;&gt;"",AX17&lt;&gt;"OK"),"TAN wrong format; ","")&amp;IF(AS17="","PAN missing; ","")&amp;IF(BB17="","Entity type missing; ","")&amp;IF(AND(AZ17&lt;&gt;"",COUNTIF($AZ$6:$AZ$1005,AZ17)&gt;1),"GSTIN repeated in this sheet; ","")&amp;IF(AND(AS17&lt;&gt;"",COUNTIF($AS$6:$AS$1005,AS17)&gt;1),"PAN repeated in this sheet (same client? put extra GSTINs in Other GSTINs); ","")&amp;IF(AND(BD17&gt;0,V17=""),"Financial year missing; ","")&amp;IF(AND(BD17=0,V17&lt;&gt;""),"Financial year given but no service is Yes; ","")&amp;IF(AND(W17="Yes",AZ17=""),"GST needs a GSTIN; ","")&amp;IF(AND(W17="Yes",X17=""),"GST return frequency missing; ","")&amp;IF(AND(Y17="Yes",TRIM(H17)=""),"TDS needs a TAN; ","")&amp;IF(AND(AA17="Yes",BC17&lt;&gt;"",BC17&lt;&gt;"company",BC17&lt;&gt;"llp"),"ROC is only for a company / LLP; ","")&amp;IF(AND(AA17="Yes",OR(BC17="company",BC17="llp"),TRIM(I17)=""),"ROC needs the CIN / LLPIN; ","")&amp;IF((TRIM(AF17)="")&lt;&gt;(TRIM(AG17)=""),"GST login needs both user ID and password; ","")&amp;IF((TRIM(AH17)="")&lt;&gt;(TRIM(AI17)=""),"Income-tax login needs both user ID and password; ","")&amp;IF((TRIM(AJ17)="")&lt;&gt;(TRIM(AK17)=""),"Income-tax login needs both user ID and password; ","")&amp;IF((TRIM(AL17)="")&lt;&gt;(TRIM(AM17)=""),"TRACES login needs both user ID and password; ","")&amp;IF((TRIM(AN17)="")&lt;&gt;(TRIM(AO17)=""),"MCA login needs both user ID and password; ","")&amp;IF((TRIM(AP17)="")&lt;&gt;(TRIM(AQ17)=""),"E-way bill login needs both user ID and password; ","")</f>
        <v/>
      </c>
    </row>
    <row r="18">
      <c r="A18" s="32" t="n"/>
      <c r="B18" s="33" t="n"/>
      <c r="C18" s="33" t="n"/>
      <c r="D18" s="33" t="n"/>
      <c r="E18" s="32" t="n"/>
      <c r="F18" s="32" t="n"/>
      <c r="G18" s="32" t="n"/>
      <c r="H18" s="32" t="n"/>
      <c r="I18" s="32" t="n"/>
      <c r="J18" s="34" t="n"/>
      <c r="K18" s="33" t="n"/>
      <c r="L18" s="32" t="n"/>
      <c r="M18" s="33" t="n"/>
      <c r="N18" s="33" t="n"/>
      <c r="O18" s="33" t="n"/>
      <c r="P18" s="32" t="n"/>
      <c r="Q18" s="33" t="n"/>
      <c r="R18" s="33" t="n"/>
      <c r="S18" s="33" t="n"/>
      <c r="T18" s="33" t="n"/>
      <c r="U18" s="32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  <c r="AO18" s="32" t="n"/>
      <c r="AP18" s="32" t="n"/>
      <c r="AQ18" s="32" t="n"/>
      <c r="AR18" s="29">
        <f>IF(NOT(COUNTA(A18:AE18)&gt;0),"",IF(A18="","New client","Update"))</f>
        <v/>
      </c>
      <c r="AS18" s="29">
        <f>IF(BA18&lt;&gt;"",BA18,IF(LEN(AZ18)=15,MID(AZ18,3,10),""))</f>
        <v/>
      </c>
      <c r="AT18" s="29">
        <f>IF(BB18="","",BB18&amp;IF(D18="","  (guessed from PAN)",""))</f>
        <v/>
      </c>
      <c r="AU18" s="29">
        <f>IF(AZ18="","",IFERROR(INDEX(Lists!$L$2:$L$38,MATCH(LEFT(AZ18,2),Lists!$K$2:$K$38,0)),"Unknown code"))</f>
        <v/>
      </c>
      <c r="AV18" s="29">
        <f>IF(AZ18="","",IFERROR(IF(NOT(AND(LEN(AZ18)=15,ISNUMBER(MATCH(LEFT(AZ18,2),Lists!$K$2:$K$38,0)),SUMPRODUCT(--ISERROR(FIND(MID(MID(AZ18,3,10),{1,2,3,4,5,10},1),"ABCDEFGHIJKLMNOPQRSTUVWXYZ")))=0,SUMPRODUCT(--ISERROR(FIND(MID(MID(AZ18,3,10),{6,7,8,9},1),"0123456789")))=0,ISNUMBER(FIND(MID(AZ18,13,1),"123456789ABCDEFGHIJKLMNOPQRSTUVWXYZ")),MID(AZ18,14,1)="Z")),"Wrong format",IF(MID("0123456789ABCDEFGHIJKLMNOPQRSTUVWXYZ",MOD(36-MOD(SUMPRODUCT(INT((FIND(MID(AZ18,{1,2,3,4,5,6,7,8,9,10,11,12,13,14},1),"0123456789ABCDEFGHIJKLMNOPQRSTUVWXYZ")-1)*{1,2,1,2,1,2,1,2,1,2,1,2,1,2}/36)+MOD((FIND(MID(AZ18,{1,2,3,4,5,6,7,8,9,10,11,12,13,14},1),"0123456789ABCDEFGHIJKLMNOPQRSTUVWXYZ")-1)*{1,2,1,2,1,2,1,2,1,2,1,2,1,2},36)),36),36)+1,1)=MID(AZ18,15,1),"OK","Typo? check digit wrong")),"Wrong format"))</f>
        <v/>
      </c>
      <c r="AW18" s="29">
        <f>IF(BA18="","",IF(AND(LEN(BA18)=10,SUMPRODUCT(--ISERROR(FIND(MID(BA18,{1,2,3,4,5,10},1),"ABCDEFGHIJKLMNOPQRSTUVWXYZ")))=0,SUMPRODUCT(--ISERROR(FIND(MID(BA18,{6,7,8,9},1),"0123456789")))=0),"OK","Wrong format"))</f>
        <v/>
      </c>
      <c r="AX18" s="29">
        <f>IF(TRIM(H18)="","",IF(AND(LEN(UPPER(TRIM(H18)))=10,SUMPRODUCT(--ISERROR(FIND(MID(UPPER(TRIM(H18)),{1,2,3,4,10},1),"ABCDEFGHIJKLMNOPQRSTUVWXYZ")))=0,SUMPRODUCT(--ISERROR(FIND(MID(UPPER(TRIM(H18)),{5,6,7,8,9},1),"0123456789")))=0),"OK","Wrong format"))</f>
        <v/>
      </c>
      <c r="AY18" s="30">
        <f>IF(NOT(COUNTA(A18:AE18)&gt;0),"",IF(BE18&lt;&gt;"","✖ "&amp;LEFT(BE18,LEN(BE18)-2),IF(BD18&gt;0,"✔ Ready — client + "&amp;BD18&amp;" service(s)","✔ Ready — client only")))</f>
        <v/>
      </c>
      <c r="AZ18" s="31">
        <f>UPPER(SUBSTITUTE(TRIM(F18)," ",""))</f>
        <v/>
      </c>
      <c r="BA18" s="31">
        <f>UPPER(SUBSTITUTE(TRIM(E18)," ",""))</f>
        <v/>
      </c>
      <c r="BB18" s="31">
        <f>IF(D18&lt;&gt;"",D18,IFERROR(VLOOKUP(MID(AS18,4,1),Lists!$E$2:$F$8,2,FALSE),""))</f>
        <v/>
      </c>
      <c r="BC18" s="31">
        <f>IFERROR(VLOOKUP(BB18,Lists!$A$2:$C$12,3,FALSE),"")</f>
        <v/>
      </c>
      <c r="BD18" s="31">
        <f>COUNTIF(W18:AC18,"Yes")</f>
        <v/>
      </c>
      <c r="BE18" s="31">
        <f>IF(TRIM(B18)="","Legal name missing; ","")&amp;IF(AND(AV18&lt;&gt;"",AV18&lt;&gt;"OK"),"GSTIN: "&amp;AV18&amp;"; ","")&amp;IF(AND(AW18&lt;&gt;"",AW18&lt;&gt;"OK"),"PAN wrong format; ","")&amp;IF(AND(BA18&lt;&gt;"",LEN(AZ18)=15,MID(AZ18,3,10)&lt;&gt;BA18),"PAN does not match GSTIN; ","")&amp;IF(AND(AX18&lt;&gt;"",AX18&lt;&gt;"OK"),"TAN wrong format; ","")&amp;IF(AS18="","PAN missing; ","")&amp;IF(BB18="","Entity type missing; ","")&amp;IF(AND(AZ18&lt;&gt;"",COUNTIF($AZ$6:$AZ$1005,AZ18)&gt;1),"GSTIN repeated in this sheet; ","")&amp;IF(AND(AS18&lt;&gt;"",COUNTIF($AS$6:$AS$1005,AS18)&gt;1),"PAN repeated in this sheet (same client? put extra GSTINs in Other GSTINs); ","")&amp;IF(AND(BD18&gt;0,V18=""),"Financial year missing; ","")&amp;IF(AND(BD18=0,V18&lt;&gt;""),"Financial year given but no service is Yes; ","")&amp;IF(AND(W18="Yes",AZ18=""),"GST needs a GSTIN; ","")&amp;IF(AND(W18="Yes",X18=""),"GST return frequency missing; ","")&amp;IF(AND(Y18="Yes",TRIM(H18)=""),"TDS needs a TAN; ","")&amp;IF(AND(AA18="Yes",BC18&lt;&gt;"",BC18&lt;&gt;"company",BC18&lt;&gt;"llp"),"ROC is only for a company / LLP; ","")&amp;IF(AND(AA18="Yes",OR(BC18="company",BC18="llp"),TRIM(I18)=""),"ROC needs the CIN / LLPIN; ","")&amp;IF((TRIM(AF18)="")&lt;&gt;(TRIM(AG18)=""),"GST login needs both user ID and password; ","")&amp;IF((TRIM(AH18)="")&lt;&gt;(TRIM(AI18)=""),"Income-tax login needs both user ID and password; ","")&amp;IF((TRIM(AJ18)="")&lt;&gt;(TRIM(AK18)=""),"Income-tax login needs both user ID and password; ","")&amp;IF((TRIM(AL18)="")&lt;&gt;(TRIM(AM18)=""),"TRACES login needs both user ID and password; ","")&amp;IF((TRIM(AN18)="")&lt;&gt;(TRIM(AO18)=""),"MCA login needs both user ID and password; ","")&amp;IF((TRIM(AP18)="")&lt;&gt;(TRIM(AQ18)=""),"E-way bill login needs both user ID and password; ","")</f>
        <v/>
      </c>
    </row>
    <row r="19">
      <c r="A19" s="32" t="n"/>
      <c r="B19" s="33" t="n"/>
      <c r="C19" s="33" t="n"/>
      <c r="D19" s="33" t="n"/>
      <c r="E19" s="32" t="n"/>
      <c r="F19" s="32" t="n"/>
      <c r="G19" s="32" t="n"/>
      <c r="H19" s="32" t="n"/>
      <c r="I19" s="32" t="n"/>
      <c r="J19" s="34" t="n"/>
      <c r="K19" s="33" t="n"/>
      <c r="L19" s="32" t="n"/>
      <c r="M19" s="33" t="n"/>
      <c r="N19" s="33" t="n"/>
      <c r="O19" s="33" t="n"/>
      <c r="P19" s="32" t="n"/>
      <c r="Q19" s="33" t="n"/>
      <c r="R19" s="33" t="n"/>
      <c r="S19" s="33" t="n"/>
      <c r="T19" s="33" t="n"/>
      <c r="U19" s="32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  <c r="AE19" s="33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  <c r="AR19" s="29">
        <f>IF(NOT(COUNTA(A19:AE19)&gt;0),"",IF(A19="","New client","Update"))</f>
        <v/>
      </c>
      <c r="AS19" s="29">
        <f>IF(BA19&lt;&gt;"",BA19,IF(LEN(AZ19)=15,MID(AZ19,3,10),""))</f>
        <v/>
      </c>
      <c r="AT19" s="29">
        <f>IF(BB19="","",BB19&amp;IF(D19="","  (guessed from PAN)",""))</f>
        <v/>
      </c>
      <c r="AU19" s="29">
        <f>IF(AZ19="","",IFERROR(INDEX(Lists!$L$2:$L$38,MATCH(LEFT(AZ19,2),Lists!$K$2:$K$38,0)),"Unknown code"))</f>
        <v/>
      </c>
      <c r="AV19" s="29">
        <f>IF(AZ19="","",IFERROR(IF(NOT(AND(LEN(AZ19)=15,ISNUMBER(MATCH(LEFT(AZ19,2),Lists!$K$2:$K$38,0)),SUMPRODUCT(--ISERROR(FIND(MID(MID(AZ19,3,10),{1,2,3,4,5,10},1),"ABCDEFGHIJKLMNOPQRSTUVWXYZ")))=0,SUMPRODUCT(--ISERROR(FIND(MID(MID(AZ19,3,10),{6,7,8,9},1),"0123456789")))=0,ISNUMBER(FIND(MID(AZ19,13,1),"123456789ABCDEFGHIJKLMNOPQRSTUVWXYZ")),MID(AZ19,14,1)="Z")),"Wrong format",IF(MID("0123456789ABCDEFGHIJKLMNOPQRSTUVWXYZ",MOD(36-MOD(SUMPRODUCT(INT((FIND(MID(AZ19,{1,2,3,4,5,6,7,8,9,10,11,12,13,14},1),"0123456789ABCDEFGHIJKLMNOPQRSTUVWXYZ")-1)*{1,2,1,2,1,2,1,2,1,2,1,2,1,2}/36)+MOD((FIND(MID(AZ19,{1,2,3,4,5,6,7,8,9,10,11,12,13,14},1),"0123456789ABCDEFGHIJKLMNOPQRSTUVWXYZ")-1)*{1,2,1,2,1,2,1,2,1,2,1,2,1,2},36)),36),36)+1,1)=MID(AZ19,15,1),"OK","Typo? check digit wrong")),"Wrong format"))</f>
        <v/>
      </c>
      <c r="AW19" s="29">
        <f>IF(BA19="","",IF(AND(LEN(BA19)=10,SUMPRODUCT(--ISERROR(FIND(MID(BA19,{1,2,3,4,5,10},1),"ABCDEFGHIJKLMNOPQRSTUVWXYZ")))=0,SUMPRODUCT(--ISERROR(FIND(MID(BA19,{6,7,8,9},1),"0123456789")))=0),"OK","Wrong format"))</f>
        <v/>
      </c>
      <c r="AX19" s="29">
        <f>IF(TRIM(H19)="","",IF(AND(LEN(UPPER(TRIM(H19)))=10,SUMPRODUCT(--ISERROR(FIND(MID(UPPER(TRIM(H19)),{1,2,3,4,10},1),"ABCDEFGHIJKLMNOPQRSTUVWXYZ")))=0,SUMPRODUCT(--ISERROR(FIND(MID(UPPER(TRIM(H19)),{5,6,7,8,9},1),"0123456789")))=0),"OK","Wrong format"))</f>
        <v/>
      </c>
      <c r="AY19" s="30">
        <f>IF(NOT(COUNTA(A19:AE19)&gt;0),"",IF(BE19&lt;&gt;"","✖ "&amp;LEFT(BE19,LEN(BE19)-2),IF(BD19&gt;0,"✔ Ready — client + "&amp;BD19&amp;" service(s)","✔ Ready — client only")))</f>
        <v/>
      </c>
      <c r="AZ19" s="31">
        <f>UPPER(SUBSTITUTE(TRIM(F19)," ",""))</f>
        <v/>
      </c>
      <c r="BA19" s="31">
        <f>UPPER(SUBSTITUTE(TRIM(E19)," ",""))</f>
        <v/>
      </c>
      <c r="BB19" s="31">
        <f>IF(D19&lt;&gt;"",D19,IFERROR(VLOOKUP(MID(AS19,4,1),Lists!$E$2:$F$8,2,FALSE),""))</f>
        <v/>
      </c>
      <c r="BC19" s="31">
        <f>IFERROR(VLOOKUP(BB19,Lists!$A$2:$C$12,3,FALSE),"")</f>
        <v/>
      </c>
      <c r="BD19" s="31">
        <f>COUNTIF(W19:AC19,"Yes")</f>
        <v/>
      </c>
      <c r="BE19" s="31">
        <f>IF(TRIM(B19)="","Legal name missing; ","")&amp;IF(AND(AV19&lt;&gt;"",AV19&lt;&gt;"OK"),"GSTIN: "&amp;AV19&amp;"; ","")&amp;IF(AND(AW19&lt;&gt;"",AW19&lt;&gt;"OK"),"PAN wrong format; ","")&amp;IF(AND(BA19&lt;&gt;"",LEN(AZ19)=15,MID(AZ19,3,10)&lt;&gt;BA19),"PAN does not match GSTIN; ","")&amp;IF(AND(AX19&lt;&gt;"",AX19&lt;&gt;"OK"),"TAN wrong format; ","")&amp;IF(AS19="","PAN missing; ","")&amp;IF(BB19="","Entity type missing; ","")&amp;IF(AND(AZ19&lt;&gt;"",COUNTIF($AZ$6:$AZ$1005,AZ19)&gt;1),"GSTIN repeated in this sheet; ","")&amp;IF(AND(AS19&lt;&gt;"",COUNTIF($AS$6:$AS$1005,AS19)&gt;1),"PAN repeated in this sheet (same client? put extra GSTINs in Other GSTINs); ","")&amp;IF(AND(BD19&gt;0,V19=""),"Financial year missing; ","")&amp;IF(AND(BD19=0,V19&lt;&gt;""),"Financial year given but no service is Yes; ","")&amp;IF(AND(W19="Yes",AZ19=""),"GST needs a GSTIN; ","")&amp;IF(AND(W19="Yes",X19=""),"GST return frequency missing; ","")&amp;IF(AND(Y19="Yes",TRIM(H19)=""),"TDS needs a TAN; ","")&amp;IF(AND(AA19="Yes",BC19&lt;&gt;"",BC19&lt;&gt;"company",BC19&lt;&gt;"llp"),"ROC is only for a company / LLP; ","")&amp;IF(AND(AA19="Yes",OR(BC19="company",BC19="llp"),TRIM(I19)=""),"ROC needs the CIN / LLPIN; ","")&amp;IF((TRIM(AF19)="")&lt;&gt;(TRIM(AG19)=""),"GST login needs both user ID and password; ","")&amp;IF((TRIM(AH19)="")&lt;&gt;(TRIM(AI19)=""),"Income-tax login needs both user ID and password; ","")&amp;IF((TRIM(AJ19)="")&lt;&gt;(TRIM(AK19)=""),"Income-tax login needs both user ID and password; ","")&amp;IF((TRIM(AL19)="")&lt;&gt;(TRIM(AM19)=""),"TRACES login needs both user ID and password; ","")&amp;IF((TRIM(AN19)="")&lt;&gt;(TRIM(AO19)=""),"MCA login needs both user ID and password; ","")&amp;IF((TRIM(AP19)="")&lt;&gt;(TRIM(AQ19)=""),"E-way bill login needs both user ID and password; ","")</f>
        <v/>
      </c>
    </row>
    <row r="20">
      <c r="A20" s="32" t="n"/>
      <c r="B20" s="33" t="n"/>
      <c r="C20" s="33" t="n"/>
      <c r="D20" s="33" t="n"/>
      <c r="E20" s="32" t="n"/>
      <c r="F20" s="32" t="n"/>
      <c r="G20" s="32" t="n"/>
      <c r="H20" s="32" t="n"/>
      <c r="I20" s="32" t="n"/>
      <c r="J20" s="34" t="n"/>
      <c r="K20" s="33" t="n"/>
      <c r="L20" s="32" t="n"/>
      <c r="M20" s="33" t="n"/>
      <c r="N20" s="33" t="n"/>
      <c r="O20" s="33" t="n"/>
      <c r="P20" s="32" t="n"/>
      <c r="Q20" s="33" t="n"/>
      <c r="R20" s="33" t="n"/>
      <c r="S20" s="33" t="n"/>
      <c r="T20" s="33" t="n"/>
      <c r="U20" s="32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29">
        <f>IF(NOT(COUNTA(A20:AE20)&gt;0),"",IF(A20="","New client","Update"))</f>
        <v/>
      </c>
      <c r="AS20" s="29">
        <f>IF(BA20&lt;&gt;"",BA20,IF(LEN(AZ20)=15,MID(AZ20,3,10),""))</f>
        <v/>
      </c>
      <c r="AT20" s="29">
        <f>IF(BB20="","",BB20&amp;IF(D20="","  (guessed from PAN)",""))</f>
        <v/>
      </c>
      <c r="AU20" s="29">
        <f>IF(AZ20="","",IFERROR(INDEX(Lists!$L$2:$L$38,MATCH(LEFT(AZ20,2),Lists!$K$2:$K$38,0)),"Unknown code"))</f>
        <v/>
      </c>
      <c r="AV20" s="29">
        <f>IF(AZ20="","",IFERROR(IF(NOT(AND(LEN(AZ20)=15,ISNUMBER(MATCH(LEFT(AZ20,2),Lists!$K$2:$K$38,0)),SUMPRODUCT(--ISERROR(FIND(MID(MID(AZ20,3,10),{1,2,3,4,5,10},1),"ABCDEFGHIJKLMNOPQRSTUVWXYZ")))=0,SUMPRODUCT(--ISERROR(FIND(MID(MID(AZ20,3,10),{6,7,8,9},1),"0123456789")))=0,ISNUMBER(FIND(MID(AZ20,13,1),"123456789ABCDEFGHIJKLMNOPQRSTUVWXYZ")),MID(AZ20,14,1)="Z")),"Wrong format",IF(MID("0123456789ABCDEFGHIJKLMNOPQRSTUVWXYZ",MOD(36-MOD(SUMPRODUCT(INT((FIND(MID(AZ20,{1,2,3,4,5,6,7,8,9,10,11,12,13,14},1),"0123456789ABCDEFGHIJKLMNOPQRSTUVWXYZ")-1)*{1,2,1,2,1,2,1,2,1,2,1,2,1,2}/36)+MOD((FIND(MID(AZ20,{1,2,3,4,5,6,7,8,9,10,11,12,13,14},1),"0123456789ABCDEFGHIJKLMNOPQRSTUVWXYZ")-1)*{1,2,1,2,1,2,1,2,1,2,1,2,1,2},36)),36),36)+1,1)=MID(AZ20,15,1),"OK","Typo? check digit wrong")),"Wrong format"))</f>
        <v/>
      </c>
      <c r="AW20" s="29">
        <f>IF(BA20="","",IF(AND(LEN(BA20)=10,SUMPRODUCT(--ISERROR(FIND(MID(BA20,{1,2,3,4,5,10},1),"ABCDEFGHIJKLMNOPQRSTUVWXYZ")))=0,SUMPRODUCT(--ISERROR(FIND(MID(BA20,{6,7,8,9},1),"0123456789")))=0),"OK","Wrong format"))</f>
        <v/>
      </c>
      <c r="AX20" s="29">
        <f>IF(TRIM(H20)="","",IF(AND(LEN(UPPER(TRIM(H20)))=10,SUMPRODUCT(--ISERROR(FIND(MID(UPPER(TRIM(H20)),{1,2,3,4,10},1),"ABCDEFGHIJKLMNOPQRSTUVWXYZ")))=0,SUMPRODUCT(--ISERROR(FIND(MID(UPPER(TRIM(H20)),{5,6,7,8,9},1),"0123456789")))=0),"OK","Wrong format"))</f>
        <v/>
      </c>
      <c r="AY20" s="30">
        <f>IF(NOT(COUNTA(A20:AE20)&gt;0),"",IF(BE20&lt;&gt;"","✖ "&amp;LEFT(BE20,LEN(BE20)-2),IF(BD20&gt;0,"✔ Ready — client + "&amp;BD20&amp;" service(s)","✔ Ready — client only")))</f>
        <v/>
      </c>
      <c r="AZ20" s="31">
        <f>UPPER(SUBSTITUTE(TRIM(F20)," ",""))</f>
        <v/>
      </c>
      <c r="BA20" s="31">
        <f>UPPER(SUBSTITUTE(TRIM(E20)," ",""))</f>
        <v/>
      </c>
      <c r="BB20" s="31">
        <f>IF(D20&lt;&gt;"",D20,IFERROR(VLOOKUP(MID(AS20,4,1),Lists!$E$2:$F$8,2,FALSE),""))</f>
        <v/>
      </c>
      <c r="BC20" s="31">
        <f>IFERROR(VLOOKUP(BB20,Lists!$A$2:$C$12,3,FALSE),"")</f>
        <v/>
      </c>
      <c r="BD20" s="31">
        <f>COUNTIF(W20:AC20,"Yes")</f>
        <v/>
      </c>
      <c r="BE20" s="31">
        <f>IF(TRIM(B20)="","Legal name missing; ","")&amp;IF(AND(AV20&lt;&gt;"",AV20&lt;&gt;"OK"),"GSTIN: "&amp;AV20&amp;"; ","")&amp;IF(AND(AW20&lt;&gt;"",AW20&lt;&gt;"OK"),"PAN wrong format; ","")&amp;IF(AND(BA20&lt;&gt;"",LEN(AZ20)=15,MID(AZ20,3,10)&lt;&gt;BA20),"PAN does not match GSTIN; ","")&amp;IF(AND(AX20&lt;&gt;"",AX20&lt;&gt;"OK"),"TAN wrong format; ","")&amp;IF(AS20="","PAN missing; ","")&amp;IF(BB20="","Entity type missing; ","")&amp;IF(AND(AZ20&lt;&gt;"",COUNTIF($AZ$6:$AZ$1005,AZ20)&gt;1),"GSTIN repeated in this sheet; ","")&amp;IF(AND(AS20&lt;&gt;"",COUNTIF($AS$6:$AS$1005,AS20)&gt;1),"PAN repeated in this sheet (same client? put extra GSTINs in Other GSTINs); ","")&amp;IF(AND(BD20&gt;0,V20=""),"Financial year missing; ","")&amp;IF(AND(BD20=0,V20&lt;&gt;""),"Financial year given but no service is Yes; ","")&amp;IF(AND(W20="Yes",AZ20=""),"GST needs a GSTIN; ","")&amp;IF(AND(W20="Yes",X20=""),"GST return frequency missing; ","")&amp;IF(AND(Y20="Yes",TRIM(H20)=""),"TDS needs a TAN; ","")&amp;IF(AND(AA20="Yes",BC20&lt;&gt;"",BC20&lt;&gt;"company",BC20&lt;&gt;"llp"),"ROC is only for a company / LLP; ","")&amp;IF(AND(AA20="Yes",OR(BC20="company",BC20="llp"),TRIM(I20)=""),"ROC needs the CIN / LLPIN; ","")&amp;IF((TRIM(AF20)="")&lt;&gt;(TRIM(AG20)=""),"GST login needs both user ID and password; ","")&amp;IF((TRIM(AH20)="")&lt;&gt;(TRIM(AI20)=""),"Income-tax login needs both user ID and password; ","")&amp;IF((TRIM(AJ20)="")&lt;&gt;(TRIM(AK20)=""),"Income-tax login needs both user ID and password; ","")&amp;IF((TRIM(AL20)="")&lt;&gt;(TRIM(AM20)=""),"TRACES login needs both user ID and password; ","")&amp;IF((TRIM(AN20)="")&lt;&gt;(TRIM(AO20)=""),"MCA login needs both user ID and password; ","")&amp;IF((TRIM(AP20)="")&lt;&gt;(TRIM(AQ20)=""),"E-way bill login needs both user ID and password; ","")</f>
        <v/>
      </c>
    </row>
    <row r="21">
      <c r="A21" s="32" t="n"/>
      <c r="B21" s="33" t="n"/>
      <c r="C21" s="33" t="n"/>
      <c r="D21" s="33" t="n"/>
      <c r="E21" s="32" t="n"/>
      <c r="F21" s="32" t="n"/>
      <c r="G21" s="32" t="n"/>
      <c r="H21" s="32" t="n"/>
      <c r="I21" s="32" t="n"/>
      <c r="J21" s="34" t="n"/>
      <c r="K21" s="33" t="n"/>
      <c r="L21" s="32" t="n"/>
      <c r="M21" s="33" t="n"/>
      <c r="N21" s="33" t="n"/>
      <c r="O21" s="33" t="n"/>
      <c r="P21" s="32" t="n"/>
      <c r="Q21" s="33" t="n"/>
      <c r="R21" s="33" t="n"/>
      <c r="S21" s="33" t="n"/>
      <c r="T21" s="33" t="n"/>
      <c r="U21" s="32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29">
        <f>IF(NOT(COUNTA(A21:AE21)&gt;0),"",IF(A21="","New client","Update"))</f>
        <v/>
      </c>
      <c r="AS21" s="29">
        <f>IF(BA21&lt;&gt;"",BA21,IF(LEN(AZ21)=15,MID(AZ21,3,10),""))</f>
        <v/>
      </c>
      <c r="AT21" s="29">
        <f>IF(BB21="","",BB21&amp;IF(D21="","  (guessed from PAN)",""))</f>
        <v/>
      </c>
      <c r="AU21" s="29">
        <f>IF(AZ21="","",IFERROR(INDEX(Lists!$L$2:$L$38,MATCH(LEFT(AZ21,2),Lists!$K$2:$K$38,0)),"Unknown code"))</f>
        <v/>
      </c>
      <c r="AV21" s="29">
        <f>IF(AZ21="","",IFERROR(IF(NOT(AND(LEN(AZ21)=15,ISNUMBER(MATCH(LEFT(AZ21,2),Lists!$K$2:$K$38,0)),SUMPRODUCT(--ISERROR(FIND(MID(MID(AZ21,3,10),{1,2,3,4,5,10},1),"ABCDEFGHIJKLMNOPQRSTUVWXYZ")))=0,SUMPRODUCT(--ISERROR(FIND(MID(MID(AZ21,3,10),{6,7,8,9},1),"0123456789")))=0,ISNUMBER(FIND(MID(AZ21,13,1),"123456789ABCDEFGHIJKLMNOPQRSTUVWXYZ")),MID(AZ21,14,1)="Z")),"Wrong format",IF(MID("0123456789ABCDEFGHIJKLMNOPQRSTUVWXYZ",MOD(36-MOD(SUMPRODUCT(INT((FIND(MID(AZ21,{1,2,3,4,5,6,7,8,9,10,11,12,13,14},1),"0123456789ABCDEFGHIJKLMNOPQRSTUVWXYZ")-1)*{1,2,1,2,1,2,1,2,1,2,1,2,1,2}/36)+MOD((FIND(MID(AZ21,{1,2,3,4,5,6,7,8,9,10,11,12,13,14},1),"0123456789ABCDEFGHIJKLMNOPQRSTUVWXYZ")-1)*{1,2,1,2,1,2,1,2,1,2,1,2,1,2},36)),36),36)+1,1)=MID(AZ21,15,1),"OK","Typo? check digit wrong")),"Wrong format"))</f>
        <v/>
      </c>
      <c r="AW21" s="29">
        <f>IF(BA21="","",IF(AND(LEN(BA21)=10,SUMPRODUCT(--ISERROR(FIND(MID(BA21,{1,2,3,4,5,10},1),"ABCDEFGHIJKLMNOPQRSTUVWXYZ")))=0,SUMPRODUCT(--ISERROR(FIND(MID(BA21,{6,7,8,9},1),"0123456789")))=0),"OK","Wrong format"))</f>
        <v/>
      </c>
      <c r="AX21" s="29">
        <f>IF(TRIM(H21)="","",IF(AND(LEN(UPPER(TRIM(H21)))=10,SUMPRODUCT(--ISERROR(FIND(MID(UPPER(TRIM(H21)),{1,2,3,4,10},1),"ABCDEFGHIJKLMNOPQRSTUVWXYZ")))=0,SUMPRODUCT(--ISERROR(FIND(MID(UPPER(TRIM(H21)),{5,6,7,8,9},1),"0123456789")))=0),"OK","Wrong format"))</f>
        <v/>
      </c>
      <c r="AY21" s="30">
        <f>IF(NOT(COUNTA(A21:AE21)&gt;0),"",IF(BE21&lt;&gt;"","✖ "&amp;LEFT(BE21,LEN(BE21)-2),IF(BD21&gt;0,"✔ Ready — client + "&amp;BD21&amp;" service(s)","✔ Ready — client only")))</f>
        <v/>
      </c>
      <c r="AZ21" s="31">
        <f>UPPER(SUBSTITUTE(TRIM(F21)," ",""))</f>
        <v/>
      </c>
      <c r="BA21" s="31">
        <f>UPPER(SUBSTITUTE(TRIM(E21)," ",""))</f>
        <v/>
      </c>
      <c r="BB21" s="31">
        <f>IF(D21&lt;&gt;"",D21,IFERROR(VLOOKUP(MID(AS21,4,1),Lists!$E$2:$F$8,2,FALSE),""))</f>
        <v/>
      </c>
      <c r="BC21" s="31">
        <f>IFERROR(VLOOKUP(BB21,Lists!$A$2:$C$12,3,FALSE),"")</f>
        <v/>
      </c>
      <c r="BD21" s="31">
        <f>COUNTIF(W21:AC21,"Yes")</f>
        <v/>
      </c>
      <c r="BE21" s="31">
        <f>IF(TRIM(B21)="","Legal name missing; ","")&amp;IF(AND(AV21&lt;&gt;"",AV21&lt;&gt;"OK"),"GSTIN: "&amp;AV21&amp;"; ","")&amp;IF(AND(AW21&lt;&gt;"",AW21&lt;&gt;"OK"),"PAN wrong format; ","")&amp;IF(AND(BA21&lt;&gt;"",LEN(AZ21)=15,MID(AZ21,3,10)&lt;&gt;BA21),"PAN does not match GSTIN; ","")&amp;IF(AND(AX21&lt;&gt;"",AX21&lt;&gt;"OK"),"TAN wrong format; ","")&amp;IF(AS21="","PAN missing; ","")&amp;IF(BB21="","Entity type missing; ","")&amp;IF(AND(AZ21&lt;&gt;"",COUNTIF($AZ$6:$AZ$1005,AZ21)&gt;1),"GSTIN repeated in this sheet; ","")&amp;IF(AND(AS21&lt;&gt;"",COUNTIF($AS$6:$AS$1005,AS21)&gt;1),"PAN repeated in this sheet (same client? put extra GSTINs in Other GSTINs); ","")&amp;IF(AND(BD21&gt;0,V21=""),"Financial year missing; ","")&amp;IF(AND(BD21=0,V21&lt;&gt;""),"Financial year given but no service is Yes; ","")&amp;IF(AND(W21="Yes",AZ21=""),"GST needs a GSTIN; ","")&amp;IF(AND(W21="Yes",X21=""),"GST return frequency missing; ","")&amp;IF(AND(Y21="Yes",TRIM(H21)=""),"TDS needs a TAN; ","")&amp;IF(AND(AA21="Yes",BC21&lt;&gt;"",BC21&lt;&gt;"company",BC21&lt;&gt;"llp"),"ROC is only for a company / LLP; ","")&amp;IF(AND(AA21="Yes",OR(BC21="company",BC21="llp"),TRIM(I21)=""),"ROC needs the CIN / LLPIN; ","")&amp;IF((TRIM(AF21)="")&lt;&gt;(TRIM(AG21)=""),"GST login needs both user ID and password; ","")&amp;IF((TRIM(AH21)="")&lt;&gt;(TRIM(AI21)=""),"Income-tax login needs both user ID and password; ","")&amp;IF((TRIM(AJ21)="")&lt;&gt;(TRIM(AK21)=""),"Income-tax login needs both user ID and password; ","")&amp;IF((TRIM(AL21)="")&lt;&gt;(TRIM(AM21)=""),"TRACES login needs both user ID and password; ","")&amp;IF((TRIM(AN21)="")&lt;&gt;(TRIM(AO21)=""),"MCA login needs both user ID and password; ","")&amp;IF((TRIM(AP21)="")&lt;&gt;(TRIM(AQ21)=""),"E-way bill login needs both user ID and password; ","")</f>
        <v/>
      </c>
    </row>
    <row r="22">
      <c r="A22" s="32" t="n"/>
      <c r="B22" s="33" t="n"/>
      <c r="C22" s="33" t="n"/>
      <c r="D22" s="33" t="n"/>
      <c r="E22" s="32" t="n"/>
      <c r="F22" s="32" t="n"/>
      <c r="G22" s="32" t="n"/>
      <c r="H22" s="32" t="n"/>
      <c r="I22" s="32" t="n"/>
      <c r="J22" s="34" t="n"/>
      <c r="K22" s="33" t="n"/>
      <c r="L22" s="32" t="n"/>
      <c r="M22" s="33" t="n"/>
      <c r="N22" s="33" t="n"/>
      <c r="O22" s="33" t="n"/>
      <c r="P22" s="32" t="n"/>
      <c r="Q22" s="33" t="n"/>
      <c r="R22" s="33" t="n"/>
      <c r="S22" s="33" t="n"/>
      <c r="T22" s="33" t="n"/>
      <c r="U22" s="32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  <c r="AE22" s="33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29">
        <f>IF(NOT(COUNTA(A22:AE22)&gt;0),"",IF(A22="","New client","Update"))</f>
        <v/>
      </c>
      <c r="AS22" s="29">
        <f>IF(BA22&lt;&gt;"",BA22,IF(LEN(AZ22)=15,MID(AZ22,3,10),""))</f>
        <v/>
      </c>
      <c r="AT22" s="29">
        <f>IF(BB22="","",BB22&amp;IF(D22="","  (guessed from PAN)",""))</f>
        <v/>
      </c>
      <c r="AU22" s="29">
        <f>IF(AZ22="","",IFERROR(INDEX(Lists!$L$2:$L$38,MATCH(LEFT(AZ22,2),Lists!$K$2:$K$38,0)),"Unknown code"))</f>
        <v/>
      </c>
      <c r="AV22" s="29">
        <f>IF(AZ22="","",IFERROR(IF(NOT(AND(LEN(AZ22)=15,ISNUMBER(MATCH(LEFT(AZ22,2),Lists!$K$2:$K$38,0)),SUMPRODUCT(--ISERROR(FIND(MID(MID(AZ22,3,10),{1,2,3,4,5,10},1),"ABCDEFGHIJKLMNOPQRSTUVWXYZ")))=0,SUMPRODUCT(--ISERROR(FIND(MID(MID(AZ22,3,10),{6,7,8,9},1),"0123456789")))=0,ISNUMBER(FIND(MID(AZ22,13,1),"123456789ABCDEFGHIJKLMNOPQRSTUVWXYZ")),MID(AZ22,14,1)="Z")),"Wrong format",IF(MID("0123456789ABCDEFGHIJKLMNOPQRSTUVWXYZ",MOD(36-MOD(SUMPRODUCT(INT((FIND(MID(AZ22,{1,2,3,4,5,6,7,8,9,10,11,12,13,14},1),"0123456789ABCDEFGHIJKLMNOPQRSTUVWXYZ")-1)*{1,2,1,2,1,2,1,2,1,2,1,2,1,2}/36)+MOD((FIND(MID(AZ22,{1,2,3,4,5,6,7,8,9,10,11,12,13,14},1),"0123456789ABCDEFGHIJKLMNOPQRSTUVWXYZ")-1)*{1,2,1,2,1,2,1,2,1,2,1,2,1,2},36)),36),36)+1,1)=MID(AZ22,15,1),"OK","Typo? check digit wrong")),"Wrong format"))</f>
        <v/>
      </c>
      <c r="AW22" s="29">
        <f>IF(BA22="","",IF(AND(LEN(BA22)=10,SUMPRODUCT(--ISERROR(FIND(MID(BA22,{1,2,3,4,5,10},1),"ABCDEFGHIJKLMNOPQRSTUVWXYZ")))=0,SUMPRODUCT(--ISERROR(FIND(MID(BA22,{6,7,8,9},1),"0123456789")))=0),"OK","Wrong format"))</f>
        <v/>
      </c>
      <c r="AX22" s="29">
        <f>IF(TRIM(H22)="","",IF(AND(LEN(UPPER(TRIM(H22)))=10,SUMPRODUCT(--ISERROR(FIND(MID(UPPER(TRIM(H22)),{1,2,3,4,10},1),"ABCDEFGHIJKLMNOPQRSTUVWXYZ")))=0,SUMPRODUCT(--ISERROR(FIND(MID(UPPER(TRIM(H22)),{5,6,7,8,9},1),"0123456789")))=0),"OK","Wrong format"))</f>
        <v/>
      </c>
      <c r="AY22" s="30">
        <f>IF(NOT(COUNTA(A22:AE22)&gt;0),"",IF(BE22&lt;&gt;"","✖ "&amp;LEFT(BE22,LEN(BE22)-2),IF(BD22&gt;0,"✔ Ready — client + "&amp;BD22&amp;" service(s)","✔ Ready — client only")))</f>
        <v/>
      </c>
      <c r="AZ22" s="31">
        <f>UPPER(SUBSTITUTE(TRIM(F22)," ",""))</f>
        <v/>
      </c>
      <c r="BA22" s="31">
        <f>UPPER(SUBSTITUTE(TRIM(E22)," ",""))</f>
        <v/>
      </c>
      <c r="BB22" s="31">
        <f>IF(D22&lt;&gt;"",D22,IFERROR(VLOOKUP(MID(AS22,4,1),Lists!$E$2:$F$8,2,FALSE),""))</f>
        <v/>
      </c>
      <c r="BC22" s="31">
        <f>IFERROR(VLOOKUP(BB22,Lists!$A$2:$C$12,3,FALSE),"")</f>
        <v/>
      </c>
      <c r="BD22" s="31">
        <f>COUNTIF(W22:AC22,"Yes")</f>
        <v/>
      </c>
      <c r="BE22" s="31">
        <f>IF(TRIM(B22)="","Legal name missing; ","")&amp;IF(AND(AV22&lt;&gt;"",AV22&lt;&gt;"OK"),"GSTIN: "&amp;AV22&amp;"; ","")&amp;IF(AND(AW22&lt;&gt;"",AW22&lt;&gt;"OK"),"PAN wrong format; ","")&amp;IF(AND(BA22&lt;&gt;"",LEN(AZ22)=15,MID(AZ22,3,10)&lt;&gt;BA22),"PAN does not match GSTIN; ","")&amp;IF(AND(AX22&lt;&gt;"",AX22&lt;&gt;"OK"),"TAN wrong format; ","")&amp;IF(AS22="","PAN missing; ","")&amp;IF(BB22="","Entity type missing; ","")&amp;IF(AND(AZ22&lt;&gt;"",COUNTIF($AZ$6:$AZ$1005,AZ22)&gt;1),"GSTIN repeated in this sheet; ","")&amp;IF(AND(AS22&lt;&gt;"",COUNTIF($AS$6:$AS$1005,AS22)&gt;1),"PAN repeated in this sheet (same client? put extra GSTINs in Other GSTINs); ","")&amp;IF(AND(BD22&gt;0,V22=""),"Financial year missing; ","")&amp;IF(AND(BD22=0,V22&lt;&gt;""),"Financial year given but no service is Yes; ","")&amp;IF(AND(W22="Yes",AZ22=""),"GST needs a GSTIN; ","")&amp;IF(AND(W22="Yes",X22=""),"GST return frequency missing; ","")&amp;IF(AND(Y22="Yes",TRIM(H22)=""),"TDS needs a TAN; ","")&amp;IF(AND(AA22="Yes",BC22&lt;&gt;"",BC22&lt;&gt;"company",BC22&lt;&gt;"llp"),"ROC is only for a company / LLP; ","")&amp;IF(AND(AA22="Yes",OR(BC22="company",BC22="llp"),TRIM(I22)=""),"ROC needs the CIN / LLPIN; ","")&amp;IF((TRIM(AF22)="")&lt;&gt;(TRIM(AG22)=""),"GST login needs both user ID and password; ","")&amp;IF((TRIM(AH22)="")&lt;&gt;(TRIM(AI22)=""),"Income-tax login needs both user ID and password; ","")&amp;IF((TRIM(AJ22)="")&lt;&gt;(TRIM(AK22)=""),"Income-tax login needs both user ID and password; ","")&amp;IF((TRIM(AL22)="")&lt;&gt;(TRIM(AM22)=""),"TRACES login needs both user ID and password; ","")&amp;IF((TRIM(AN22)="")&lt;&gt;(TRIM(AO22)=""),"MCA login needs both user ID and password; ","")&amp;IF((TRIM(AP22)="")&lt;&gt;(TRIM(AQ22)=""),"E-way bill login needs both user ID and password; ","")</f>
        <v/>
      </c>
    </row>
    <row r="23">
      <c r="A23" s="32" t="n"/>
      <c r="B23" s="33" t="n"/>
      <c r="C23" s="33" t="n"/>
      <c r="D23" s="33" t="n"/>
      <c r="E23" s="32" t="n"/>
      <c r="F23" s="32" t="n"/>
      <c r="G23" s="32" t="n"/>
      <c r="H23" s="32" t="n"/>
      <c r="I23" s="32" t="n"/>
      <c r="J23" s="34" t="n"/>
      <c r="K23" s="33" t="n"/>
      <c r="L23" s="32" t="n"/>
      <c r="M23" s="33" t="n"/>
      <c r="N23" s="33" t="n"/>
      <c r="O23" s="33" t="n"/>
      <c r="P23" s="32" t="n"/>
      <c r="Q23" s="33" t="n"/>
      <c r="R23" s="33" t="n"/>
      <c r="S23" s="33" t="n"/>
      <c r="T23" s="33" t="n"/>
      <c r="U23" s="32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  <c r="AE23" s="33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29">
        <f>IF(NOT(COUNTA(A23:AE23)&gt;0),"",IF(A23="","New client","Update"))</f>
        <v/>
      </c>
      <c r="AS23" s="29">
        <f>IF(BA23&lt;&gt;"",BA23,IF(LEN(AZ23)=15,MID(AZ23,3,10),""))</f>
        <v/>
      </c>
      <c r="AT23" s="29">
        <f>IF(BB23="","",BB23&amp;IF(D23="","  (guessed from PAN)",""))</f>
        <v/>
      </c>
      <c r="AU23" s="29">
        <f>IF(AZ23="","",IFERROR(INDEX(Lists!$L$2:$L$38,MATCH(LEFT(AZ23,2),Lists!$K$2:$K$38,0)),"Unknown code"))</f>
        <v/>
      </c>
      <c r="AV23" s="29">
        <f>IF(AZ23="","",IFERROR(IF(NOT(AND(LEN(AZ23)=15,ISNUMBER(MATCH(LEFT(AZ23,2),Lists!$K$2:$K$38,0)),SUMPRODUCT(--ISERROR(FIND(MID(MID(AZ23,3,10),{1,2,3,4,5,10},1),"ABCDEFGHIJKLMNOPQRSTUVWXYZ")))=0,SUMPRODUCT(--ISERROR(FIND(MID(MID(AZ23,3,10),{6,7,8,9},1),"0123456789")))=0,ISNUMBER(FIND(MID(AZ23,13,1),"123456789ABCDEFGHIJKLMNOPQRSTUVWXYZ")),MID(AZ23,14,1)="Z")),"Wrong format",IF(MID("0123456789ABCDEFGHIJKLMNOPQRSTUVWXYZ",MOD(36-MOD(SUMPRODUCT(INT((FIND(MID(AZ23,{1,2,3,4,5,6,7,8,9,10,11,12,13,14},1),"0123456789ABCDEFGHIJKLMNOPQRSTUVWXYZ")-1)*{1,2,1,2,1,2,1,2,1,2,1,2,1,2}/36)+MOD((FIND(MID(AZ23,{1,2,3,4,5,6,7,8,9,10,11,12,13,14},1),"0123456789ABCDEFGHIJKLMNOPQRSTUVWXYZ")-1)*{1,2,1,2,1,2,1,2,1,2,1,2,1,2},36)),36),36)+1,1)=MID(AZ23,15,1),"OK","Typo? check digit wrong")),"Wrong format"))</f>
        <v/>
      </c>
      <c r="AW23" s="29">
        <f>IF(BA23="","",IF(AND(LEN(BA23)=10,SUMPRODUCT(--ISERROR(FIND(MID(BA23,{1,2,3,4,5,10},1),"ABCDEFGHIJKLMNOPQRSTUVWXYZ")))=0,SUMPRODUCT(--ISERROR(FIND(MID(BA23,{6,7,8,9},1),"0123456789")))=0),"OK","Wrong format"))</f>
        <v/>
      </c>
      <c r="AX23" s="29">
        <f>IF(TRIM(H23)="","",IF(AND(LEN(UPPER(TRIM(H23)))=10,SUMPRODUCT(--ISERROR(FIND(MID(UPPER(TRIM(H23)),{1,2,3,4,10},1),"ABCDEFGHIJKLMNOPQRSTUVWXYZ")))=0,SUMPRODUCT(--ISERROR(FIND(MID(UPPER(TRIM(H23)),{5,6,7,8,9},1),"0123456789")))=0),"OK","Wrong format"))</f>
        <v/>
      </c>
      <c r="AY23" s="30">
        <f>IF(NOT(COUNTA(A23:AE23)&gt;0),"",IF(BE23&lt;&gt;"","✖ "&amp;LEFT(BE23,LEN(BE23)-2),IF(BD23&gt;0,"✔ Ready — client + "&amp;BD23&amp;" service(s)","✔ Ready — client only")))</f>
        <v/>
      </c>
      <c r="AZ23" s="31">
        <f>UPPER(SUBSTITUTE(TRIM(F23)," ",""))</f>
        <v/>
      </c>
      <c r="BA23" s="31">
        <f>UPPER(SUBSTITUTE(TRIM(E23)," ",""))</f>
        <v/>
      </c>
      <c r="BB23" s="31">
        <f>IF(D23&lt;&gt;"",D23,IFERROR(VLOOKUP(MID(AS23,4,1),Lists!$E$2:$F$8,2,FALSE),""))</f>
        <v/>
      </c>
      <c r="BC23" s="31">
        <f>IFERROR(VLOOKUP(BB23,Lists!$A$2:$C$12,3,FALSE),"")</f>
        <v/>
      </c>
      <c r="BD23" s="31">
        <f>COUNTIF(W23:AC23,"Yes")</f>
        <v/>
      </c>
      <c r="BE23" s="31">
        <f>IF(TRIM(B23)="","Legal name missing; ","")&amp;IF(AND(AV23&lt;&gt;"",AV23&lt;&gt;"OK"),"GSTIN: "&amp;AV23&amp;"; ","")&amp;IF(AND(AW23&lt;&gt;"",AW23&lt;&gt;"OK"),"PAN wrong format; ","")&amp;IF(AND(BA23&lt;&gt;"",LEN(AZ23)=15,MID(AZ23,3,10)&lt;&gt;BA23),"PAN does not match GSTIN; ","")&amp;IF(AND(AX23&lt;&gt;"",AX23&lt;&gt;"OK"),"TAN wrong format; ","")&amp;IF(AS23="","PAN missing; ","")&amp;IF(BB23="","Entity type missing; ","")&amp;IF(AND(AZ23&lt;&gt;"",COUNTIF($AZ$6:$AZ$1005,AZ23)&gt;1),"GSTIN repeated in this sheet; ","")&amp;IF(AND(AS23&lt;&gt;"",COUNTIF($AS$6:$AS$1005,AS23)&gt;1),"PAN repeated in this sheet (same client? put extra GSTINs in Other GSTINs); ","")&amp;IF(AND(BD23&gt;0,V23=""),"Financial year missing; ","")&amp;IF(AND(BD23=0,V23&lt;&gt;""),"Financial year given but no service is Yes; ","")&amp;IF(AND(W23="Yes",AZ23=""),"GST needs a GSTIN; ","")&amp;IF(AND(W23="Yes",X23=""),"GST return frequency missing; ","")&amp;IF(AND(Y23="Yes",TRIM(H23)=""),"TDS needs a TAN; ","")&amp;IF(AND(AA23="Yes",BC23&lt;&gt;"",BC23&lt;&gt;"company",BC23&lt;&gt;"llp"),"ROC is only for a company / LLP; ","")&amp;IF(AND(AA23="Yes",OR(BC23="company",BC23="llp"),TRIM(I23)=""),"ROC needs the CIN / LLPIN; ","")&amp;IF((TRIM(AF23)="")&lt;&gt;(TRIM(AG23)=""),"GST login needs both user ID and password; ","")&amp;IF((TRIM(AH23)="")&lt;&gt;(TRIM(AI23)=""),"Income-tax login needs both user ID and password; ","")&amp;IF((TRIM(AJ23)="")&lt;&gt;(TRIM(AK23)=""),"Income-tax login needs both user ID and password; ","")&amp;IF((TRIM(AL23)="")&lt;&gt;(TRIM(AM23)=""),"TRACES login needs both user ID and password; ","")&amp;IF((TRIM(AN23)="")&lt;&gt;(TRIM(AO23)=""),"MCA login needs both user ID and password; ","")&amp;IF((TRIM(AP23)="")&lt;&gt;(TRIM(AQ23)=""),"E-way bill login needs both user ID and password; ","")</f>
        <v/>
      </c>
    </row>
    <row r="24">
      <c r="A24" s="32" t="n"/>
      <c r="B24" s="33" t="n"/>
      <c r="C24" s="33" t="n"/>
      <c r="D24" s="33" t="n"/>
      <c r="E24" s="32" t="n"/>
      <c r="F24" s="32" t="n"/>
      <c r="G24" s="32" t="n"/>
      <c r="H24" s="32" t="n"/>
      <c r="I24" s="32" t="n"/>
      <c r="J24" s="34" t="n"/>
      <c r="K24" s="33" t="n"/>
      <c r="L24" s="32" t="n"/>
      <c r="M24" s="33" t="n"/>
      <c r="N24" s="33" t="n"/>
      <c r="O24" s="33" t="n"/>
      <c r="P24" s="32" t="n"/>
      <c r="Q24" s="33" t="n"/>
      <c r="R24" s="33" t="n"/>
      <c r="S24" s="33" t="n"/>
      <c r="T24" s="33" t="n"/>
      <c r="U24" s="32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29">
        <f>IF(NOT(COUNTA(A24:AE24)&gt;0),"",IF(A24="","New client","Update"))</f>
        <v/>
      </c>
      <c r="AS24" s="29">
        <f>IF(BA24&lt;&gt;"",BA24,IF(LEN(AZ24)=15,MID(AZ24,3,10),""))</f>
        <v/>
      </c>
      <c r="AT24" s="29">
        <f>IF(BB24="","",BB24&amp;IF(D24="","  (guessed from PAN)",""))</f>
        <v/>
      </c>
      <c r="AU24" s="29">
        <f>IF(AZ24="","",IFERROR(INDEX(Lists!$L$2:$L$38,MATCH(LEFT(AZ24,2),Lists!$K$2:$K$38,0)),"Unknown code"))</f>
        <v/>
      </c>
      <c r="AV24" s="29">
        <f>IF(AZ24="","",IFERROR(IF(NOT(AND(LEN(AZ24)=15,ISNUMBER(MATCH(LEFT(AZ24,2),Lists!$K$2:$K$38,0)),SUMPRODUCT(--ISERROR(FIND(MID(MID(AZ24,3,10),{1,2,3,4,5,10},1),"ABCDEFGHIJKLMNOPQRSTUVWXYZ")))=0,SUMPRODUCT(--ISERROR(FIND(MID(MID(AZ24,3,10),{6,7,8,9},1),"0123456789")))=0,ISNUMBER(FIND(MID(AZ24,13,1),"123456789ABCDEFGHIJKLMNOPQRSTUVWXYZ")),MID(AZ24,14,1)="Z")),"Wrong format",IF(MID("0123456789ABCDEFGHIJKLMNOPQRSTUVWXYZ",MOD(36-MOD(SUMPRODUCT(INT((FIND(MID(AZ24,{1,2,3,4,5,6,7,8,9,10,11,12,13,14},1),"0123456789ABCDEFGHIJKLMNOPQRSTUVWXYZ")-1)*{1,2,1,2,1,2,1,2,1,2,1,2,1,2}/36)+MOD((FIND(MID(AZ24,{1,2,3,4,5,6,7,8,9,10,11,12,13,14},1),"0123456789ABCDEFGHIJKLMNOPQRSTUVWXYZ")-1)*{1,2,1,2,1,2,1,2,1,2,1,2,1,2},36)),36),36)+1,1)=MID(AZ24,15,1),"OK","Typo? check digit wrong")),"Wrong format"))</f>
        <v/>
      </c>
      <c r="AW24" s="29">
        <f>IF(BA24="","",IF(AND(LEN(BA24)=10,SUMPRODUCT(--ISERROR(FIND(MID(BA24,{1,2,3,4,5,10},1),"ABCDEFGHIJKLMNOPQRSTUVWXYZ")))=0,SUMPRODUCT(--ISERROR(FIND(MID(BA24,{6,7,8,9},1),"0123456789")))=0),"OK","Wrong format"))</f>
        <v/>
      </c>
      <c r="AX24" s="29">
        <f>IF(TRIM(H24)="","",IF(AND(LEN(UPPER(TRIM(H24)))=10,SUMPRODUCT(--ISERROR(FIND(MID(UPPER(TRIM(H24)),{1,2,3,4,10},1),"ABCDEFGHIJKLMNOPQRSTUVWXYZ")))=0,SUMPRODUCT(--ISERROR(FIND(MID(UPPER(TRIM(H24)),{5,6,7,8,9},1),"0123456789")))=0),"OK","Wrong format"))</f>
        <v/>
      </c>
      <c r="AY24" s="30">
        <f>IF(NOT(COUNTA(A24:AE24)&gt;0),"",IF(BE24&lt;&gt;"","✖ "&amp;LEFT(BE24,LEN(BE24)-2),IF(BD24&gt;0,"✔ Ready — client + "&amp;BD24&amp;" service(s)","✔ Ready — client only")))</f>
        <v/>
      </c>
      <c r="AZ24" s="31">
        <f>UPPER(SUBSTITUTE(TRIM(F24)," ",""))</f>
        <v/>
      </c>
      <c r="BA24" s="31">
        <f>UPPER(SUBSTITUTE(TRIM(E24)," ",""))</f>
        <v/>
      </c>
      <c r="BB24" s="31">
        <f>IF(D24&lt;&gt;"",D24,IFERROR(VLOOKUP(MID(AS24,4,1),Lists!$E$2:$F$8,2,FALSE),""))</f>
        <v/>
      </c>
      <c r="BC24" s="31">
        <f>IFERROR(VLOOKUP(BB24,Lists!$A$2:$C$12,3,FALSE),"")</f>
        <v/>
      </c>
      <c r="BD24" s="31">
        <f>COUNTIF(W24:AC24,"Yes")</f>
        <v/>
      </c>
      <c r="BE24" s="31">
        <f>IF(TRIM(B24)="","Legal name missing; ","")&amp;IF(AND(AV24&lt;&gt;"",AV24&lt;&gt;"OK"),"GSTIN: "&amp;AV24&amp;"; ","")&amp;IF(AND(AW24&lt;&gt;"",AW24&lt;&gt;"OK"),"PAN wrong format; ","")&amp;IF(AND(BA24&lt;&gt;"",LEN(AZ24)=15,MID(AZ24,3,10)&lt;&gt;BA24),"PAN does not match GSTIN; ","")&amp;IF(AND(AX24&lt;&gt;"",AX24&lt;&gt;"OK"),"TAN wrong format; ","")&amp;IF(AS24="","PAN missing; ","")&amp;IF(BB24="","Entity type missing; ","")&amp;IF(AND(AZ24&lt;&gt;"",COUNTIF($AZ$6:$AZ$1005,AZ24)&gt;1),"GSTIN repeated in this sheet; ","")&amp;IF(AND(AS24&lt;&gt;"",COUNTIF($AS$6:$AS$1005,AS24)&gt;1),"PAN repeated in this sheet (same client? put extra GSTINs in Other GSTINs); ","")&amp;IF(AND(BD24&gt;0,V24=""),"Financial year missing; ","")&amp;IF(AND(BD24=0,V24&lt;&gt;""),"Financial year given but no service is Yes; ","")&amp;IF(AND(W24="Yes",AZ24=""),"GST needs a GSTIN; ","")&amp;IF(AND(W24="Yes",X24=""),"GST return frequency missing; ","")&amp;IF(AND(Y24="Yes",TRIM(H24)=""),"TDS needs a TAN; ","")&amp;IF(AND(AA24="Yes",BC24&lt;&gt;"",BC24&lt;&gt;"company",BC24&lt;&gt;"llp"),"ROC is only for a company / LLP; ","")&amp;IF(AND(AA24="Yes",OR(BC24="company",BC24="llp"),TRIM(I24)=""),"ROC needs the CIN / LLPIN; ","")&amp;IF((TRIM(AF24)="")&lt;&gt;(TRIM(AG24)=""),"GST login needs both user ID and password; ","")&amp;IF((TRIM(AH24)="")&lt;&gt;(TRIM(AI24)=""),"Income-tax login needs both user ID and password; ","")&amp;IF((TRIM(AJ24)="")&lt;&gt;(TRIM(AK24)=""),"Income-tax login needs both user ID and password; ","")&amp;IF((TRIM(AL24)="")&lt;&gt;(TRIM(AM24)=""),"TRACES login needs both user ID and password; ","")&amp;IF((TRIM(AN24)="")&lt;&gt;(TRIM(AO24)=""),"MCA login needs both user ID and password; ","")&amp;IF((TRIM(AP24)="")&lt;&gt;(TRIM(AQ24)=""),"E-way bill login needs both user ID and password; ","")</f>
        <v/>
      </c>
    </row>
    <row r="25">
      <c r="A25" s="32" t="n"/>
      <c r="B25" s="33" t="n"/>
      <c r="C25" s="33" t="n"/>
      <c r="D25" s="33" t="n"/>
      <c r="E25" s="32" t="n"/>
      <c r="F25" s="32" t="n"/>
      <c r="G25" s="32" t="n"/>
      <c r="H25" s="32" t="n"/>
      <c r="I25" s="32" t="n"/>
      <c r="J25" s="34" t="n"/>
      <c r="K25" s="33" t="n"/>
      <c r="L25" s="32" t="n"/>
      <c r="M25" s="33" t="n"/>
      <c r="N25" s="33" t="n"/>
      <c r="O25" s="33" t="n"/>
      <c r="P25" s="32" t="n"/>
      <c r="Q25" s="33" t="n"/>
      <c r="R25" s="33" t="n"/>
      <c r="S25" s="33" t="n"/>
      <c r="T25" s="33" t="n"/>
      <c r="U25" s="32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29">
        <f>IF(NOT(COUNTA(A25:AE25)&gt;0),"",IF(A25="","New client","Update"))</f>
        <v/>
      </c>
      <c r="AS25" s="29">
        <f>IF(BA25&lt;&gt;"",BA25,IF(LEN(AZ25)=15,MID(AZ25,3,10),""))</f>
        <v/>
      </c>
      <c r="AT25" s="29">
        <f>IF(BB25="","",BB25&amp;IF(D25="","  (guessed from PAN)",""))</f>
        <v/>
      </c>
      <c r="AU25" s="29">
        <f>IF(AZ25="","",IFERROR(INDEX(Lists!$L$2:$L$38,MATCH(LEFT(AZ25,2),Lists!$K$2:$K$38,0)),"Unknown code"))</f>
        <v/>
      </c>
      <c r="AV25" s="29">
        <f>IF(AZ25="","",IFERROR(IF(NOT(AND(LEN(AZ25)=15,ISNUMBER(MATCH(LEFT(AZ25,2),Lists!$K$2:$K$38,0)),SUMPRODUCT(--ISERROR(FIND(MID(MID(AZ25,3,10),{1,2,3,4,5,10},1),"ABCDEFGHIJKLMNOPQRSTUVWXYZ")))=0,SUMPRODUCT(--ISERROR(FIND(MID(MID(AZ25,3,10),{6,7,8,9},1),"0123456789")))=0,ISNUMBER(FIND(MID(AZ25,13,1),"123456789ABCDEFGHIJKLMNOPQRSTUVWXYZ")),MID(AZ25,14,1)="Z")),"Wrong format",IF(MID("0123456789ABCDEFGHIJKLMNOPQRSTUVWXYZ",MOD(36-MOD(SUMPRODUCT(INT((FIND(MID(AZ25,{1,2,3,4,5,6,7,8,9,10,11,12,13,14},1),"0123456789ABCDEFGHIJKLMNOPQRSTUVWXYZ")-1)*{1,2,1,2,1,2,1,2,1,2,1,2,1,2}/36)+MOD((FIND(MID(AZ25,{1,2,3,4,5,6,7,8,9,10,11,12,13,14},1),"0123456789ABCDEFGHIJKLMNOPQRSTUVWXYZ")-1)*{1,2,1,2,1,2,1,2,1,2,1,2,1,2},36)),36),36)+1,1)=MID(AZ25,15,1),"OK","Typo? check digit wrong")),"Wrong format"))</f>
        <v/>
      </c>
      <c r="AW25" s="29">
        <f>IF(BA25="","",IF(AND(LEN(BA25)=10,SUMPRODUCT(--ISERROR(FIND(MID(BA25,{1,2,3,4,5,10},1),"ABCDEFGHIJKLMNOPQRSTUVWXYZ")))=0,SUMPRODUCT(--ISERROR(FIND(MID(BA25,{6,7,8,9},1),"0123456789")))=0),"OK","Wrong format"))</f>
        <v/>
      </c>
      <c r="AX25" s="29">
        <f>IF(TRIM(H25)="","",IF(AND(LEN(UPPER(TRIM(H25)))=10,SUMPRODUCT(--ISERROR(FIND(MID(UPPER(TRIM(H25)),{1,2,3,4,10},1),"ABCDEFGHIJKLMNOPQRSTUVWXYZ")))=0,SUMPRODUCT(--ISERROR(FIND(MID(UPPER(TRIM(H25)),{5,6,7,8,9},1),"0123456789")))=0),"OK","Wrong format"))</f>
        <v/>
      </c>
      <c r="AY25" s="30">
        <f>IF(NOT(COUNTA(A25:AE25)&gt;0),"",IF(BE25&lt;&gt;"","✖ "&amp;LEFT(BE25,LEN(BE25)-2),IF(BD25&gt;0,"✔ Ready — client + "&amp;BD25&amp;" service(s)","✔ Ready — client only")))</f>
        <v/>
      </c>
      <c r="AZ25" s="31">
        <f>UPPER(SUBSTITUTE(TRIM(F25)," ",""))</f>
        <v/>
      </c>
      <c r="BA25" s="31">
        <f>UPPER(SUBSTITUTE(TRIM(E25)," ",""))</f>
        <v/>
      </c>
      <c r="BB25" s="31">
        <f>IF(D25&lt;&gt;"",D25,IFERROR(VLOOKUP(MID(AS25,4,1),Lists!$E$2:$F$8,2,FALSE),""))</f>
        <v/>
      </c>
      <c r="BC25" s="31">
        <f>IFERROR(VLOOKUP(BB25,Lists!$A$2:$C$12,3,FALSE),"")</f>
        <v/>
      </c>
      <c r="BD25" s="31">
        <f>COUNTIF(W25:AC25,"Yes")</f>
        <v/>
      </c>
      <c r="BE25" s="31">
        <f>IF(TRIM(B25)="","Legal name missing; ","")&amp;IF(AND(AV25&lt;&gt;"",AV25&lt;&gt;"OK"),"GSTIN: "&amp;AV25&amp;"; ","")&amp;IF(AND(AW25&lt;&gt;"",AW25&lt;&gt;"OK"),"PAN wrong format; ","")&amp;IF(AND(BA25&lt;&gt;"",LEN(AZ25)=15,MID(AZ25,3,10)&lt;&gt;BA25),"PAN does not match GSTIN; ","")&amp;IF(AND(AX25&lt;&gt;"",AX25&lt;&gt;"OK"),"TAN wrong format; ","")&amp;IF(AS25="","PAN missing; ","")&amp;IF(BB25="","Entity type missing; ","")&amp;IF(AND(AZ25&lt;&gt;"",COUNTIF($AZ$6:$AZ$1005,AZ25)&gt;1),"GSTIN repeated in this sheet; ","")&amp;IF(AND(AS25&lt;&gt;"",COUNTIF($AS$6:$AS$1005,AS25)&gt;1),"PAN repeated in this sheet (same client? put extra GSTINs in Other GSTINs); ","")&amp;IF(AND(BD25&gt;0,V25=""),"Financial year missing; ","")&amp;IF(AND(BD25=0,V25&lt;&gt;""),"Financial year given but no service is Yes; ","")&amp;IF(AND(W25="Yes",AZ25=""),"GST needs a GSTIN; ","")&amp;IF(AND(W25="Yes",X25=""),"GST return frequency missing; ","")&amp;IF(AND(Y25="Yes",TRIM(H25)=""),"TDS needs a TAN; ","")&amp;IF(AND(AA25="Yes",BC25&lt;&gt;"",BC25&lt;&gt;"company",BC25&lt;&gt;"llp"),"ROC is only for a company / LLP; ","")&amp;IF(AND(AA25="Yes",OR(BC25="company",BC25="llp"),TRIM(I25)=""),"ROC needs the CIN / LLPIN; ","")&amp;IF((TRIM(AF25)="")&lt;&gt;(TRIM(AG25)=""),"GST login needs both user ID and password; ","")&amp;IF((TRIM(AH25)="")&lt;&gt;(TRIM(AI25)=""),"Income-tax login needs both user ID and password; ","")&amp;IF((TRIM(AJ25)="")&lt;&gt;(TRIM(AK25)=""),"Income-tax login needs both user ID and password; ","")&amp;IF((TRIM(AL25)="")&lt;&gt;(TRIM(AM25)=""),"TRACES login needs both user ID and password; ","")&amp;IF((TRIM(AN25)="")&lt;&gt;(TRIM(AO25)=""),"MCA login needs both user ID and password; ","")&amp;IF((TRIM(AP25)="")&lt;&gt;(TRIM(AQ25)=""),"E-way bill login needs both user ID and password; ","")</f>
        <v/>
      </c>
    </row>
    <row r="26">
      <c r="A26" s="32" t="n"/>
      <c r="B26" s="33" t="n"/>
      <c r="C26" s="33" t="n"/>
      <c r="D26" s="33" t="n"/>
      <c r="E26" s="32" t="n"/>
      <c r="F26" s="32" t="n"/>
      <c r="G26" s="32" t="n"/>
      <c r="H26" s="32" t="n"/>
      <c r="I26" s="32" t="n"/>
      <c r="J26" s="34" t="n"/>
      <c r="K26" s="33" t="n"/>
      <c r="L26" s="32" t="n"/>
      <c r="M26" s="33" t="n"/>
      <c r="N26" s="33" t="n"/>
      <c r="O26" s="33" t="n"/>
      <c r="P26" s="32" t="n"/>
      <c r="Q26" s="33" t="n"/>
      <c r="R26" s="33" t="n"/>
      <c r="S26" s="33" t="n"/>
      <c r="T26" s="33" t="n"/>
      <c r="U26" s="32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  <c r="AE26" s="33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29">
        <f>IF(NOT(COUNTA(A26:AE26)&gt;0),"",IF(A26="","New client","Update"))</f>
        <v/>
      </c>
      <c r="AS26" s="29">
        <f>IF(BA26&lt;&gt;"",BA26,IF(LEN(AZ26)=15,MID(AZ26,3,10),""))</f>
        <v/>
      </c>
      <c r="AT26" s="29">
        <f>IF(BB26="","",BB26&amp;IF(D26="","  (guessed from PAN)",""))</f>
        <v/>
      </c>
      <c r="AU26" s="29">
        <f>IF(AZ26="","",IFERROR(INDEX(Lists!$L$2:$L$38,MATCH(LEFT(AZ26,2),Lists!$K$2:$K$38,0)),"Unknown code"))</f>
        <v/>
      </c>
      <c r="AV26" s="29">
        <f>IF(AZ26="","",IFERROR(IF(NOT(AND(LEN(AZ26)=15,ISNUMBER(MATCH(LEFT(AZ26,2),Lists!$K$2:$K$38,0)),SUMPRODUCT(--ISERROR(FIND(MID(MID(AZ26,3,10),{1,2,3,4,5,10},1),"ABCDEFGHIJKLMNOPQRSTUVWXYZ")))=0,SUMPRODUCT(--ISERROR(FIND(MID(MID(AZ26,3,10),{6,7,8,9},1),"0123456789")))=0,ISNUMBER(FIND(MID(AZ26,13,1),"123456789ABCDEFGHIJKLMNOPQRSTUVWXYZ")),MID(AZ26,14,1)="Z")),"Wrong format",IF(MID("0123456789ABCDEFGHIJKLMNOPQRSTUVWXYZ",MOD(36-MOD(SUMPRODUCT(INT((FIND(MID(AZ26,{1,2,3,4,5,6,7,8,9,10,11,12,13,14},1),"0123456789ABCDEFGHIJKLMNOPQRSTUVWXYZ")-1)*{1,2,1,2,1,2,1,2,1,2,1,2,1,2}/36)+MOD((FIND(MID(AZ26,{1,2,3,4,5,6,7,8,9,10,11,12,13,14},1),"0123456789ABCDEFGHIJKLMNOPQRSTUVWXYZ")-1)*{1,2,1,2,1,2,1,2,1,2,1,2,1,2},36)),36),36)+1,1)=MID(AZ26,15,1),"OK","Typo? check digit wrong")),"Wrong format"))</f>
        <v/>
      </c>
      <c r="AW26" s="29">
        <f>IF(BA26="","",IF(AND(LEN(BA26)=10,SUMPRODUCT(--ISERROR(FIND(MID(BA26,{1,2,3,4,5,10},1),"ABCDEFGHIJKLMNOPQRSTUVWXYZ")))=0,SUMPRODUCT(--ISERROR(FIND(MID(BA26,{6,7,8,9},1),"0123456789")))=0),"OK","Wrong format"))</f>
        <v/>
      </c>
      <c r="AX26" s="29">
        <f>IF(TRIM(H26)="","",IF(AND(LEN(UPPER(TRIM(H26)))=10,SUMPRODUCT(--ISERROR(FIND(MID(UPPER(TRIM(H26)),{1,2,3,4,10},1),"ABCDEFGHIJKLMNOPQRSTUVWXYZ")))=0,SUMPRODUCT(--ISERROR(FIND(MID(UPPER(TRIM(H26)),{5,6,7,8,9},1),"0123456789")))=0),"OK","Wrong format"))</f>
        <v/>
      </c>
      <c r="AY26" s="30">
        <f>IF(NOT(COUNTA(A26:AE26)&gt;0),"",IF(BE26&lt;&gt;"","✖ "&amp;LEFT(BE26,LEN(BE26)-2),IF(BD26&gt;0,"✔ Ready — client + "&amp;BD26&amp;" service(s)","✔ Ready — client only")))</f>
        <v/>
      </c>
      <c r="AZ26" s="31">
        <f>UPPER(SUBSTITUTE(TRIM(F26)," ",""))</f>
        <v/>
      </c>
      <c r="BA26" s="31">
        <f>UPPER(SUBSTITUTE(TRIM(E26)," ",""))</f>
        <v/>
      </c>
      <c r="BB26" s="31">
        <f>IF(D26&lt;&gt;"",D26,IFERROR(VLOOKUP(MID(AS26,4,1),Lists!$E$2:$F$8,2,FALSE),""))</f>
        <v/>
      </c>
      <c r="BC26" s="31">
        <f>IFERROR(VLOOKUP(BB26,Lists!$A$2:$C$12,3,FALSE),"")</f>
        <v/>
      </c>
      <c r="BD26" s="31">
        <f>COUNTIF(W26:AC26,"Yes")</f>
        <v/>
      </c>
      <c r="BE26" s="31">
        <f>IF(TRIM(B26)="","Legal name missing; ","")&amp;IF(AND(AV26&lt;&gt;"",AV26&lt;&gt;"OK"),"GSTIN: "&amp;AV26&amp;"; ","")&amp;IF(AND(AW26&lt;&gt;"",AW26&lt;&gt;"OK"),"PAN wrong format; ","")&amp;IF(AND(BA26&lt;&gt;"",LEN(AZ26)=15,MID(AZ26,3,10)&lt;&gt;BA26),"PAN does not match GSTIN; ","")&amp;IF(AND(AX26&lt;&gt;"",AX26&lt;&gt;"OK"),"TAN wrong format; ","")&amp;IF(AS26="","PAN missing; ","")&amp;IF(BB26="","Entity type missing; ","")&amp;IF(AND(AZ26&lt;&gt;"",COUNTIF($AZ$6:$AZ$1005,AZ26)&gt;1),"GSTIN repeated in this sheet; ","")&amp;IF(AND(AS26&lt;&gt;"",COUNTIF($AS$6:$AS$1005,AS26)&gt;1),"PAN repeated in this sheet (same client? put extra GSTINs in Other GSTINs); ","")&amp;IF(AND(BD26&gt;0,V26=""),"Financial year missing; ","")&amp;IF(AND(BD26=0,V26&lt;&gt;""),"Financial year given but no service is Yes; ","")&amp;IF(AND(W26="Yes",AZ26=""),"GST needs a GSTIN; ","")&amp;IF(AND(W26="Yes",X26=""),"GST return frequency missing; ","")&amp;IF(AND(Y26="Yes",TRIM(H26)=""),"TDS needs a TAN; ","")&amp;IF(AND(AA26="Yes",BC26&lt;&gt;"",BC26&lt;&gt;"company",BC26&lt;&gt;"llp"),"ROC is only for a company / LLP; ","")&amp;IF(AND(AA26="Yes",OR(BC26="company",BC26="llp"),TRIM(I26)=""),"ROC needs the CIN / LLPIN; ","")&amp;IF((TRIM(AF26)="")&lt;&gt;(TRIM(AG26)=""),"GST login needs both user ID and password; ","")&amp;IF((TRIM(AH26)="")&lt;&gt;(TRIM(AI26)=""),"Income-tax login needs both user ID and password; ","")&amp;IF((TRIM(AJ26)="")&lt;&gt;(TRIM(AK26)=""),"Income-tax login needs both user ID and password; ","")&amp;IF((TRIM(AL26)="")&lt;&gt;(TRIM(AM26)=""),"TRACES login needs both user ID and password; ","")&amp;IF((TRIM(AN26)="")&lt;&gt;(TRIM(AO26)=""),"MCA login needs both user ID and password; ","")&amp;IF((TRIM(AP26)="")&lt;&gt;(TRIM(AQ26)=""),"E-way bill login needs both user ID and password; ","")</f>
        <v/>
      </c>
    </row>
    <row r="27">
      <c r="A27" s="32" t="n"/>
      <c r="B27" s="33" t="n"/>
      <c r="C27" s="33" t="n"/>
      <c r="D27" s="33" t="n"/>
      <c r="E27" s="32" t="n"/>
      <c r="F27" s="32" t="n"/>
      <c r="G27" s="32" t="n"/>
      <c r="H27" s="32" t="n"/>
      <c r="I27" s="32" t="n"/>
      <c r="J27" s="34" t="n"/>
      <c r="K27" s="33" t="n"/>
      <c r="L27" s="32" t="n"/>
      <c r="M27" s="33" t="n"/>
      <c r="N27" s="33" t="n"/>
      <c r="O27" s="33" t="n"/>
      <c r="P27" s="32" t="n"/>
      <c r="Q27" s="33" t="n"/>
      <c r="R27" s="33" t="n"/>
      <c r="S27" s="33" t="n"/>
      <c r="T27" s="33" t="n"/>
      <c r="U27" s="32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29">
        <f>IF(NOT(COUNTA(A27:AE27)&gt;0),"",IF(A27="","New client","Update"))</f>
        <v/>
      </c>
      <c r="AS27" s="29">
        <f>IF(BA27&lt;&gt;"",BA27,IF(LEN(AZ27)=15,MID(AZ27,3,10),""))</f>
        <v/>
      </c>
      <c r="AT27" s="29">
        <f>IF(BB27="","",BB27&amp;IF(D27="","  (guessed from PAN)",""))</f>
        <v/>
      </c>
      <c r="AU27" s="29">
        <f>IF(AZ27="","",IFERROR(INDEX(Lists!$L$2:$L$38,MATCH(LEFT(AZ27,2),Lists!$K$2:$K$38,0)),"Unknown code"))</f>
        <v/>
      </c>
      <c r="AV27" s="29">
        <f>IF(AZ27="","",IFERROR(IF(NOT(AND(LEN(AZ27)=15,ISNUMBER(MATCH(LEFT(AZ27,2),Lists!$K$2:$K$38,0)),SUMPRODUCT(--ISERROR(FIND(MID(MID(AZ27,3,10),{1,2,3,4,5,10},1),"ABCDEFGHIJKLMNOPQRSTUVWXYZ")))=0,SUMPRODUCT(--ISERROR(FIND(MID(MID(AZ27,3,10),{6,7,8,9},1),"0123456789")))=0,ISNUMBER(FIND(MID(AZ27,13,1),"123456789ABCDEFGHIJKLMNOPQRSTUVWXYZ")),MID(AZ27,14,1)="Z")),"Wrong format",IF(MID("0123456789ABCDEFGHIJKLMNOPQRSTUVWXYZ",MOD(36-MOD(SUMPRODUCT(INT((FIND(MID(AZ27,{1,2,3,4,5,6,7,8,9,10,11,12,13,14},1),"0123456789ABCDEFGHIJKLMNOPQRSTUVWXYZ")-1)*{1,2,1,2,1,2,1,2,1,2,1,2,1,2}/36)+MOD((FIND(MID(AZ27,{1,2,3,4,5,6,7,8,9,10,11,12,13,14},1),"0123456789ABCDEFGHIJKLMNOPQRSTUVWXYZ")-1)*{1,2,1,2,1,2,1,2,1,2,1,2,1,2},36)),36),36)+1,1)=MID(AZ27,15,1),"OK","Typo? check digit wrong")),"Wrong format"))</f>
        <v/>
      </c>
      <c r="AW27" s="29">
        <f>IF(BA27="","",IF(AND(LEN(BA27)=10,SUMPRODUCT(--ISERROR(FIND(MID(BA27,{1,2,3,4,5,10},1),"ABCDEFGHIJKLMNOPQRSTUVWXYZ")))=0,SUMPRODUCT(--ISERROR(FIND(MID(BA27,{6,7,8,9},1),"0123456789")))=0),"OK","Wrong format"))</f>
        <v/>
      </c>
      <c r="AX27" s="29">
        <f>IF(TRIM(H27)="","",IF(AND(LEN(UPPER(TRIM(H27)))=10,SUMPRODUCT(--ISERROR(FIND(MID(UPPER(TRIM(H27)),{1,2,3,4,10},1),"ABCDEFGHIJKLMNOPQRSTUVWXYZ")))=0,SUMPRODUCT(--ISERROR(FIND(MID(UPPER(TRIM(H27)),{5,6,7,8,9},1),"0123456789")))=0),"OK","Wrong format"))</f>
        <v/>
      </c>
      <c r="AY27" s="30">
        <f>IF(NOT(COUNTA(A27:AE27)&gt;0),"",IF(BE27&lt;&gt;"","✖ "&amp;LEFT(BE27,LEN(BE27)-2),IF(BD27&gt;0,"✔ Ready — client + "&amp;BD27&amp;" service(s)","✔ Ready — client only")))</f>
        <v/>
      </c>
      <c r="AZ27" s="31">
        <f>UPPER(SUBSTITUTE(TRIM(F27)," ",""))</f>
        <v/>
      </c>
      <c r="BA27" s="31">
        <f>UPPER(SUBSTITUTE(TRIM(E27)," ",""))</f>
        <v/>
      </c>
      <c r="BB27" s="31">
        <f>IF(D27&lt;&gt;"",D27,IFERROR(VLOOKUP(MID(AS27,4,1),Lists!$E$2:$F$8,2,FALSE),""))</f>
        <v/>
      </c>
      <c r="BC27" s="31">
        <f>IFERROR(VLOOKUP(BB27,Lists!$A$2:$C$12,3,FALSE),"")</f>
        <v/>
      </c>
      <c r="BD27" s="31">
        <f>COUNTIF(W27:AC27,"Yes")</f>
        <v/>
      </c>
      <c r="BE27" s="31">
        <f>IF(TRIM(B27)="","Legal name missing; ","")&amp;IF(AND(AV27&lt;&gt;"",AV27&lt;&gt;"OK"),"GSTIN: "&amp;AV27&amp;"; ","")&amp;IF(AND(AW27&lt;&gt;"",AW27&lt;&gt;"OK"),"PAN wrong format; ","")&amp;IF(AND(BA27&lt;&gt;"",LEN(AZ27)=15,MID(AZ27,3,10)&lt;&gt;BA27),"PAN does not match GSTIN; ","")&amp;IF(AND(AX27&lt;&gt;"",AX27&lt;&gt;"OK"),"TAN wrong format; ","")&amp;IF(AS27="","PAN missing; ","")&amp;IF(BB27="","Entity type missing; ","")&amp;IF(AND(AZ27&lt;&gt;"",COUNTIF($AZ$6:$AZ$1005,AZ27)&gt;1),"GSTIN repeated in this sheet; ","")&amp;IF(AND(AS27&lt;&gt;"",COUNTIF($AS$6:$AS$1005,AS27)&gt;1),"PAN repeated in this sheet (same client? put extra GSTINs in Other GSTINs); ","")&amp;IF(AND(BD27&gt;0,V27=""),"Financial year missing; ","")&amp;IF(AND(BD27=0,V27&lt;&gt;""),"Financial year given but no service is Yes; ","")&amp;IF(AND(W27="Yes",AZ27=""),"GST needs a GSTIN; ","")&amp;IF(AND(W27="Yes",X27=""),"GST return frequency missing; ","")&amp;IF(AND(Y27="Yes",TRIM(H27)=""),"TDS needs a TAN; ","")&amp;IF(AND(AA27="Yes",BC27&lt;&gt;"",BC27&lt;&gt;"company",BC27&lt;&gt;"llp"),"ROC is only for a company / LLP; ","")&amp;IF(AND(AA27="Yes",OR(BC27="company",BC27="llp"),TRIM(I27)=""),"ROC needs the CIN / LLPIN; ","")&amp;IF((TRIM(AF27)="")&lt;&gt;(TRIM(AG27)=""),"GST login needs both user ID and password; ","")&amp;IF((TRIM(AH27)="")&lt;&gt;(TRIM(AI27)=""),"Income-tax login needs both user ID and password; ","")&amp;IF((TRIM(AJ27)="")&lt;&gt;(TRIM(AK27)=""),"Income-tax login needs both user ID and password; ","")&amp;IF((TRIM(AL27)="")&lt;&gt;(TRIM(AM27)=""),"TRACES login needs both user ID and password; ","")&amp;IF((TRIM(AN27)="")&lt;&gt;(TRIM(AO27)=""),"MCA login needs both user ID and password; ","")&amp;IF((TRIM(AP27)="")&lt;&gt;(TRIM(AQ27)=""),"E-way bill login needs both user ID and password; ","")</f>
        <v/>
      </c>
    </row>
    <row r="28">
      <c r="A28" s="32" t="n"/>
      <c r="B28" s="33" t="n"/>
      <c r="C28" s="33" t="n"/>
      <c r="D28" s="33" t="n"/>
      <c r="E28" s="32" t="n"/>
      <c r="F28" s="32" t="n"/>
      <c r="G28" s="32" t="n"/>
      <c r="H28" s="32" t="n"/>
      <c r="I28" s="32" t="n"/>
      <c r="J28" s="34" t="n"/>
      <c r="K28" s="33" t="n"/>
      <c r="L28" s="32" t="n"/>
      <c r="M28" s="33" t="n"/>
      <c r="N28" s="33" t="n"/>
      <c r="O28" s="33" t="n"/>
      <c r="P28" s="32" t="n"/>
      <c r="Q28" s="33" t="n"/>
      <c r="R28" s="33" t="n"/>
      <c r="S28" s="33" t="n"/>
      <c r="T28" s="33" t="n"/>
      <c r="U28" s="32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29">
        <f>IF(NOT(COUNTA(A28:AE28)&gt;0),"",IF(A28="","New client","Update"))</f>
        <v/>
      </c>
      <c r="AS28" s="29">
        <f>IF(BA28&lt;&gt;"",BA28,IF(LEN(AZ28)=15,MID(AZ28,3,10),""))</f>
        <v/>
      </c>
      <c r="AT28" s="29">
        <f>IF(BB28="","",BB28&amp;IF(D28="","  (guessed from PAN)",""))</f>
        <v/>
      </c>
      <c r="AU28" s="29">
        <f>IF(AZ28="","",IFERROR(INDEX(Lists!$L$2:$L$38,MATCH(LEFT(AZ28,2),Lists!$K$2:$K$38,0)),"Unknown code"))</f>
        <v/>
      </c>
      <c r="AV28" s="29">
        <f>IF(AZ28="","",IFERROR(IF(NOT(AND(LEN(AZ28)=15,ISNUMBER(MATCH(LEFT(AZ28,2),Lists!$K$2:$K$38,0)),SUMPRODUCT(--ISERROR(FIND(MID(MID(AZ28,3,10),{1,2,3,4,5,10},1),"ABCDEFGHIJKLMNOPQRSTUVWXYZ")))=0,SUMPRODUCT(--ISERROR(FIND(MID(MID(AZ28,3,10),{6,7,8,9},1),"0123456789")))=0,ISNUMBER(FIND(MID(AZ28,13,1),"123456789ABCDEFGHIJKLMNOPQRSTUVWXYZ")),MID(AZ28,14,1)="Z")),"Wrong format",IF(MID("0123456789ABCDEFGHIJKLMNOPQRSTUVWXYZ",MOD(36-MOD(SUMPRODUCT(INT((FIND(MID(AZ28,{1,2,3,4,5,6,7,8,9,10,11,12,13,14},1),"0123456789ABCDEFGHIJKLMNOPQRSTUVWXYZ")-1)*{1,2,1,2,1,2,1,2,1,2,1,2,1,2}/36)+MOD((FIND(MID(AZ28,{1,2,3,4,5,6,7,8,9,10,11,12,13,14},1),"0123456789ABCDEFGHIJKLMNOPQRSTUVWXYZ")-1)*{1,2,1,2,1,2,1,2,1,2,1,2,1,2},36)),36),36)+1,1)=MID(AZ28,15,1),"OK","Typo? check digit wrong")),"Wrong format"))</f>
        <v/>
      </c>
      <c r="AW28" s="29">
        <f>IF(BA28="","",IF(AND(LEN(BA28)=10,SUMPRODUCT(--ISERROR(FIND(MID(BA28,{1,2,3,4,5,10},1),"ABCDEFGHIJKLMNOPQRSTUVWXYZ")))=0,SUMPRODUCT(--ISERROR(FIND(MID(BA28,{6,7,8,9},1),"0123456789")))=0),"OK","Wrong format"))</f>
        <v/>
      </c>
      <c r="AX28" s="29">
        <f>IF(TRIM(H28)="","",IF(AND(LEN(UPPER(TRIM(H28)))=10,SUMPRODUCT(--ISERROR(FIND(MID(UPPER(TRIM(H28)),{1,2,3,4,10},1),"ABCDEFGHIJKLMNOPQRSTUVWXYZ")))=0,SUMPRODUCT(--ISERROR(FIND(MID(UPPER(TRIM(H28)),{5,6,7,8,9},1),"0123456789")))=0),"OK","Wrong format"))</f>
        <v/>
      </c>
      <c r="AY28" s="30">
        <f>IF(NOT(COUNTA(A28:AE28)&gt;0),"",IF(BE28&lt;&gt;"","✖ "&amp;LEFT(BE28,LEN(BE28)-2),IF(BD28&gt;0,"✔ Ready — client + "&amp;BD28&amp;" service(s)","✔ Ready — client only")))</f>
        <v/>
      </c>
      <c r="AZ28" s="31">
        <f>UPPER(SUBSTITUTE(TRIM(F28)," ",""))</f>
        <v/>
      </c>
      <c r="BA28" s="31">
        <f>UPPER(SUBSTITUTE(TRIM(E28)," ",""))</f>
        <v/>
      </c>
      <c r="BB28" s="31">
        <f>IF(D28&lt;&gt;"",D28,IFERROR(VLOOKUP(MID(AS28,4,1),Lists!$E$2:$F$8,2,FALSE),""))</f>
        <v/>
      </c>
      <c r="BC28" s="31">
        <f>IFERROR(VLOOKUP(BB28,Lists!$A$2:$C$12,3,FALSE),"")</f>
        <v/>
      </c>
      <c r="BD28" s="31">
        <f>COUNTIF(W28:AC28,"Yes")</f>
        <v/>
      </c>
      <c r="BE28" s="31">
        <f>IF(TRIM(B28)="","Legal name missing; ","")&amp;IF(AND(AV28&lt;&gt;"",AV28&lt;&gt;"OK"),"GSTIN: "&amp;AV28&amp;"; ","")&amp;IF(AND(AW28&lt;&gt;"",AW28&lt;&gt;"OK"),"PAN wrong format; ","")&amp;IF(AND(BA28&lt;&gt;"",LEN(AZ28)=15,MID(AZ28,3,10)&lt;&gt;BA28),"PAN does not match GSTIN; ","")&amp;IF(AND(AX28&lt;&gt;"",AX28&lt;&gt;"OK"),"TAN wrong format; ","")&amp;IF(AS28="","PAN missing; ","")&amp;IF(BB28="","Entity type missing; ","")&amp;IF(AND(AZ28&lt;&gt;"",COUNTIF($AZ$6:$AZ$1005,AZ28)&gt;1),"GSTIN repeated in this sheet; ","")&amp;IF(AND(AS28&lt;&gt;"",COUNTIF($AS$6:$AS$1005,AS28)&gt;1),"PAN repeated in this sheet (same client? put extra GSTINs in Other GSTINs); ","")&amp;IF(AND(BD28&gt;0,V28=""),"Financial year missing; ","")&amp;IF(AND(BD28=0,V28&lt;&gt;""),"Financial year given but no service is Yes; ","")&amp;IF(AND(W28="Yes",AZ28=""),"GST needs a GSTIN; ","")&amp;IF(AND(W28="Yes",X28=""),"GST return frequency missing; ","")&amp;IF(AND(Y28="Yes",TRIM(H28)=""),"TDS needs a TAN; ","")&amp;IF(AND(AA28="Yes",BC28&lt;&gt;"",BC28&lt;&gt;"company",BC28&lt;&gt;"llp"),"ROC is only for a company / LLP; ","")&amp;IF(AND(AA28="Yes",OR(BC28="company",BC28="llp"),TRIM(I28)=""),"ROC needs the CIN / LLPIN; ","")&amp;IF((TRIM(AF28)="")&lt;&gt;(TRIM(AG28)=""),"GST login needs both user ID and password; ","")&amp;IF((TRIM(AH28)="")&lt;&gt;(TRIM(AI28)=""),"Income-tax login needs both user ID and password; ","")&amp;IF((TRIM(AJ28)="")&lt;&gt;(TRIM(AK28)=""),"Income-tax login needs both user ID and password; ","")&amp;IF((TRIM(AL28)="")&lt;&gt;(TRIM(AM28)=""),"TRACES login needs both user ID and password; ","")&amp;IF((TRIM(AN28)="")&lt;&gt;(TRIM(AO28)=""),"MCA login needs both user ID and password; ","")&amp;IF((TRIM(AP28)="")&lt;&gt;(TRIM(AQ28)=""),"E-way bill login needs both user ID and password; ","")</f>
        <v/>
      </c>
    </row>
    <row r="29">
      <c r="A29" s="32" t="n"/>
      <c r="B29" s="33" t="n"/>
      <c r="C29" s="33" t="n"/>
      <c r="D29" s="33" t="n"/>
      <c r="E29" s="32" t="n"/>
      <c r="F29" s="32" t="n"/>
      <c r="G29" s="32" t="n"/>
      <c r="H29" s="32" t="n"/>
      <c r="I29" s="32" t="n"/>
      <c r="J29" s="34" t="n"/>
      <c r="K29" s="33" t="n"/>
      <c r="L29" s="32" t="n"/>
      <c r="M29" s="33" t="n"/>
      <c r="N29" s="33" t="n"/>
      <c r="O29" s="33" t="n"/>
      <c r="P29" s="32" t="n"/>
      <c r="Q29" s="33" t="n"/>
      <c r="R29" s="33" t="n"/>
      <c r="S29" s="33" t="n"/>
      <c r="T29" s="33" t="n"/>
      <c r="U29" s="32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29">
        <f>IF(NOT(COUNTA(A29:AE29)&gt;0),"",IF(A29="","New client","Update"))</f>
        <v/>
      </c>
      <c r="AS29" s="29">
        <f>IF(BA29&lt;&gt;"",BA29,IF(LEN(AZ29)=15,MID(AZ29,3,10),""))</f>
        <v/>
      </c>
      <c r="AT29" s="29">
        <f>IF(BB29="","",BB29&amp;IF(D29="","  (guessed from PAN)",""))</f>
        <v/>
      </c>
      <c r="AU29" s="29">
        <f>IF(AZ29="","",IFERROR(INDEX(Lists!$L$2:$L$38,MATCH(LEFT(AZ29,2),Lists!$K$2:$K$38,0)),"Unknown code"))</f>
        <v/>
      </c>
      <c r="AV29" s="29">
        <f>IF(AZ29="","",IFERROR(IF(NOT(AND(LEN(AZ29)=15,ISNUMBER(MATCH(LEFT(AZ29,2),Lists!$K$2:$K$38,0)),SUMPRODUCT(--ISERROR(FIND(MID(MID(AZ29,3,10),{1,2,3,4,5,10},1),"ABCDEFGHIJKLMNOPQRSTUVWXYZ")))=0,SUMPRODUCT(--ISERROR(FIND(MID(MID(AZ29,3,10),{6,7,8,9},1),"0123456789")))=0,ISNUMBER(FIND(MID(AZ29,13,1),"123456789ABCDEFGHIJKLMNOPQRSTUVWXYZ")),MID(AZ29,14,1)="Z")),"Wrong format",IF(MID("0123456789ABCDEFGHIJKLMNOPQRSTUVWXYZ",MOD(36-MOD(SUMPRODUCT(INT((FIND(MID(AZ29,{1,2,3,4,5,6,7,8,9,10,11,12,13,14},1),"0123456789ABCDEFGHIJKLMNOPQRSTUVWXYZ")-1)*{1,2,1,2,1,2,1,2,1,2,1,2,1,2}/36)+MOD((FIND(MID(AZ29,{1,2,3,4,5,6,7,8,9,10,11,12,13,14},1),"0123456789ABCDEFGHIJKLMNOPQRSTUVWXYZ")-1)*{1,2,1,2,1,2,1,2,1,2,1,2,1,2},36)),36),36)+1,1)=MID(AZ29,15,1),"OK","Typo? check digit wrong")),"Wrong format"))</f>
        <v/>
      </c>
      <c r="AW29" s="29">
        <f>IF(BA29="","",IF(AND(LEN(BA29)=10,SUMPRODUCT(--ISERROR(FIND(MID(BA29,{1,2,3,4,5,10},1),"ABCDEFGHIJKLMNOPQRSTUVWXYZ")))=0,SUMPRODUCT(--ISERROR(FIND(MID(BA29,{6,7,8,9},1),"0123456789")))=0),"OK","Wrong format"))</f>
        <v/>
      </c>
      <c r="AX29" s="29">
        <f>IF(TRIM(H29)="","",IF(AND(LEN(UPPER(TRIM(H29)))=10,SUMPRODUCT(--ISERROR(FIND(MID(UPPER(TRIM(H29)),{1,2,3,4,10},1),"ABCDEFGHIJKLMNOPQRSTUVWXYZ")))=0,SUMPRODUCT(--ISERROR(FIND(MID(UPPER(TRIM(H29)),{5,6,7,8,9},1),"0123456789")))=0),"OK","Wrong format"))</f>
        <v/>
      </c>
      <c r="AY29" s="30">
        <f>IF(NOT(COUNTA(A29:AE29)&gt;0),"",IF(BE29&lt;&gt;"","✖ "&amp;LEFT(BE29,LEN(BE29)-2),IF(BD29&gt;0,"✔ Ready — client + "&amp;BD29&amp;" service(s)","✔ Ready — client only")))</f>
        <v/>
      </c>
      <c r="AZ29" s="31">
        <f>UPPER(SUBSTITUTE(TRIM(F29)," ",""))</f>
        <v/>
      </c>
      <c r="BA29" s="31">
        <f>UPPER(SUBSTITUTE(TRIM(E29)," ",""))</f>
        <v/>
      </c>
      <c r="BB29" s="31">
        <f>IF(D29&lt;&gt;"",D29,IFERROR(VLOOKUP(MID(AS29,4,1),Lists!$E$2:$F$8,2,FALSE),""))</f>
        <v/>
      </c>
      <c r="BC29" s="31">
        <f>IFERROR(VLOOKUP(BB29,Lists!$A$2:$C$12,3,FALSE),"")</f>
        <v/>
      </c>
      <c r="BD29" s="31">
        <f>COUNTIF(W29:AC29,"Yes")</f>
        <v/>
      </c>
      <c r="BE29" s="31">
        <f>IF(TRIM(B29)="","Legal name missing; ","")&amp;IF(AND(AV29&lt;&gt;"",AV29&lt;&gt;"OK"),"GSTIN: "&amp;AV29&amp;"; ","")&amp;IF(AND(AW29&lt;&gt;"",AW29&lt;&gt;"OK"),"PAN wrong format; ","")&amp;IF(AND(BA29&lt;&gt;"",LEN(AZ29)=15,MID(AZ29,3,10)&lt;&gt;BA29),"PAN does not match GSTIN; ","")&amp;IF(AND(AX29&lt;&gt;"",AX29&lt;&gt;"OK"),"TAN wrong format; ","")&amp;IF(AS29="","PAN missing; ","")&amp;IF(BB29="","Entity type missing; ","")&amp;IF(AND(AZ29&lt;&gt;"",COUNTIF($AZ$6:$AZ$1005,AZ29)&gt;1),"GSTIN repeated in this sheet; ","")&amp;IF(AND(AS29&lt;&gt;"",COUNTIF($AS$6:$AS$1005,AS29)&gt;1),"PAN repeated in this sheet (same client? put extra GSTINs in Other GSTINs); ","")&amp;IF(AND(BD29&gt;0,V29=""),"Financial year missing; ","")&amp;IF(AND(BD29=0,V29&lt;&gt;""),"Financial year given but no service is Yes; ","")&amp;IF(AND(W29="Yes",AZ29=""),"GST needs a GSTIN; ","")&amp;IF(AND(W29="Yes",X29=""),"GST return frequency missing; ","")&amp;IF(AND(Y29="Yes",TRIM(H29)=""),"TDS needs a TAN; ","")&amp;IF(AND(AA29="Yes",BC29&lt;&gt;"",BC29&lt;&gt;"company",BC29&lt;&gt;"llp"),"ROC is only for a company / LLP; ","")&amp;IF(AND(AA29="Yes",OR(BC29="company",BC29="llp"),TRIM(I29)=""),"ROC needs the CIN / LLPIN; ","")&amp;IF((TRIM(AF29)="")&lt;&gt;(TRIM(AG29)=""),"GST login needs both user ID and password; ","")&amp;IF((TRIM(AH29)="")&lt;&gt;(TRIM(AI29)=""),"Income-tax login needs both user ID and password; ","")&amp;IF((TRIM(AJ29)="")&lt;&gt;(TRIM(AK29)=""),"Income-tax login needs both user ID and password; ","")&amp;IF((TRIM(AL29)="")&lt;&gt;(TRIM(AM29)=""),"TRACES login needs both user ID and password; ","")&amp;IF((TRIM(AN29)="")&lt;&gt;(TRIM(AO29)=""),"MCA login needs both user ID and password; ","")&amp;IF((TRIM(AP29)="")&lt;&gt;(TRIM(AQ29)=""),"E-way bill login needs both user ID and password; ","")</f>
        <v/>
      </c>
    </row>
    <row r="30">
      <c r="A30" s="32" t="n"/>
      <c r="B30" s="33" t="n"/>
      <c r="C30" s="33" t="n"/>
      <c r="D30" s="33" t="n"/>
      <c r="E30" s="32" t="n"/>
      <c r="F30" s="32" t="n"/>
      <c r="G30" s="32" t="n"/>
      <c r="H30" s="32" t="n"/>
      <c r="I30" s="32" t="n"/>
      <c r="J30" s="34" t="n"/>
      <c r="K30" s="33" t="n"/>
      <c r="L30" s="32" t="n"/>
      <c r="M30" s="33" t="n"/>
      <c r="N30" s="33" t="n"/>
      <c r="O30" s="33" t="n"/>
      <c r="P30" s="32" t="n"/>
      <c r="Q30" s="33" t="n"/>
      <c r="R30" s="33" t="n"/>
      <c r="S30" s="33" t="n"/>
      <c r="T30" s="33" t="n"/>
      <c r="U30" s="32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29">
        <f>IF(NOT(COUNTA(A30:AE30)&gt;0),"",IF(A30="","New client","Update"))</f>
        <v/>
      </c>
      <c r="AS30" s="29">
        <f>IF(BA30&lt;&gt;"",BA30,IF(LEN(AZ30)=15,MID(AZ30,3,10),""))</f>
        <v/>
      </c>
      <c r="AT30" s="29">
        <f>IF(BB30="","",BB30&amp;IF(D30="","  (guessed from PAN)",""))</f>
        <v/>
      </c>
      <c r="AU30" s="29">
        <f>IF(AZ30="","",IFERROR(INDEX(Lists!$L$2:$L$38,MATCH(LEFT(AZ30,2),Lists!$K$2:$K$38,0)),"Unknown code"))</f>
        <v/>
      </c>
      <c r="AV30" s="29">
        <f>IF(AZ30="","",IFERROR(IF(NOT(AND(LEN(AZ30)=15,ISNUMBER(MATCH(LEFT(AZ30,2),Lists!$K$2:$K$38,0)),SUMPRODUCT(--ISERROR(FIND(MID(MID(AZ30,3,10),{1,2,3,4,5,10},1),"ABCDEFGHIJKLMNOPQRSTUVWXYZ")))=0,SUMPRODUCT(--ISERROR(FIND(MID(MID(AZ30,3,10),{6,7,8,9},1),"0123456789")))=0,ISNUMBER(FIND(MID(AZ30,13,1),"123456789ABCDEFGHIJKLMNOPQRSTUVWXYZ")),MID(AZ30,14,1)="Z")),"Wrong format",IF(MID("0123456789ABCDEFGHIJKLMNOPQRSTUVWXYZ",MOD(36-MOD(SUMPRODUCT(INT((FIND(MID(AZ30,{1,2,3,4,5,6,7,8,9,10,11,12,13,14},1),"0123456789ABCDEFGHIJKLMNOPQRSTUVWXYZ")-1)*{1,2,1,2,1,2,1,2,1,2,1,2,1,2}/36)+MOD((FIND(MID(AZ30,{1,2,3,4,5,6,7,8,9,10,11,12,13,14},1),"0123456789ABCDEFGHIJKLMNOPQRSTUVWXYZ")-1)*{1,2,1,2,1,2,1,2,1,2,1,2,1,2},36)),36),36)+1,1)=MID(AZ30,15,1),"OK","Typo? check digit wrong")),"Wrong format"))</f>
        <v/>
      </c>
      <c r="AW30" s="29">
        <f>IF(BA30="","",IF(AND(LEN(BA30)=10,SUMPRODUCT(--ISERROR(FIND(MID(BA30,{1,2,3,4,5,10},1),"ABCDEFGHIJKLMNOPQRSTUVWXYZ")))=0,SUMPRODUCT(--ISERROR(FIND(MID(BA30,{6,7,8,9},1),"0123456789")))=0),"OK","Wrong format"))</f>
        <v/>
      </c>
      <c r="AX30" s="29">
        <f>IF(TRIM(H30)="","",IF(AND(LEN(UPPER(TRIM(H30)))=10,SUMPRODUCT(--ISERROR(FIND(MID(UPPER(TRIM(H30)),{1,2,3,4,10},1),"ABCDEFGHIJKLMNOPQRSTUVWXYZ")))=0,SUMPRODUCT(--ISERROR(FIND(MID(UPPER(TRIM(H30)),{5,6,7,8,9},1),"0123456789")))=0),"OK","Wrong format"))</f>
        <v/>
      </c>
      <c r="AY30" s="30">
        <f>IF(NOT(COUNTA(A30:AE30)&gt;0),"",IF(BE30&lt;&gt;"","✖ "&amp;LEFT(BE30,LEN(BE30)-2),IF(BD30&gt;0,"✔ Ready — client + "&amp;BD30&amp;" service(s)","✔ Ready — client only")))</f>
        <v/>
      </c>
      <c r="AZ30" s="31">
        <f>UPPER(SUBSTITUTE(TRIM(F30)," ",""))</f>
        <v/>
      </c>
      <c r="BA30" s="31">
        <f>UPPER(SUBSTITUTE(TRIM(E30)," ",""))</f>
        <v/>
      </c>
      <c r="BB30" s="31">
        <f>IF(D30&lt;&gt;"",D30,IFERROR(VLOOKUP(MID(AS30,4,1),Lists!$E$2:$F$8,2,FALSE),""))</f>
        <v/>
      </c>
      <c r="BC30" s="31">
        <f>IFERROR(VLOOKUP(BB30,Lists!$A$2:$C$12,3,FALSE),"")</f>
        <v/>
      </c>
      <c r="BD30" s="31">
        <f>COUNTIF(W30:AC30,"Yes")</f>
        <v/>
      </c>
      <c r="BE30" s="31">
        <f>IF(TRIM(B30)="","Legal name missing; ","")&amp;IF(AND(AV30&lt;&gt;"",AV30&lt;&gt;"OK"),"GSTIN: "&amp;AV30&amp;"; ","")&amp;IF(AND(AW30&lt;&gt;"",AW30&lt;&gt;"OK"),"PAN wrong format; ","")&amp;IF(AND(BA30&lt;&gt;"",LEN(AZ30)=15,MID(AZ30,3,10)&lt;&gt;BA30),"PAN does not match GSTIN; ","")&amp;IF(AND(AX30&lt;&gt;"",AX30&lt;&gt;"OK"),"TAN wrong format; ","")&amp;IF(AS30="","PAN missing; ","")&amp;IF(BB30="","Entity type missing; ","")&amp;IF(AND(AZ30&lt;&gt;"",COUNTIF($AZ$6:$AZ$1005,AZ30)&gt;1),"GSTIN repeated in this sheet; ","")&amp;IF(AND(AS30&lt;&gt;"",COUNTIF($AS$6:$AS$1005,AS30)&gt;1),"PAN repeated in this sheet (same client? put extra GSTINs in Other GSTINs); ","")&amp;IF(AND(BD30&gt;0,V30=""),"Financial year missing; ","")&amp;IF(AND(BD30=0,V30&lt;&gt;""),"Financial year given but no service is Yes; ","")&amp;IF(AND(W30="Yes",AZ30=""),"GST needs a GSTIN; ","")&amp;IF(AND(W30="Yes",X30=""),"GST return frequency missing; ","")&amp;IF(AND(Y30="Yes",TRIM(H30)=""),"TDS needs a TAN; ","")&amp;IF(AND(AA30="Yes",BC30&lt;&gt;"",BC30&lt;&gt;"company",BC30&lt;&gt;"llp"),"ROC is only for a company / LLP; ","")&amp;IF(AND(AA30="Yes",OR(BC30="company",BC30="llp"),TRIM(I30)=""),"ROC needs the CIN / LLPIN; ","")&amp;IF((TRIM(AF30)="")&lt;&gt;(TRIM(AG30)=""),"GST login needs both user ID and password; ","")&amp;IF((TRIM(AH30)="")&lt;&gt;(TRIM(AI30)=""),"Income-tax login needs both user ID and password; ","")&amp;IF((TRIM(AJ30)="")&lt;&gt;(TRIM(AK30)=""),"Income-tax login needs both user ID and password; ","")&amp;IF((TRIM(AL30)="")&lt;&gt;(TRIM(AM30)=""),"TRACES login needs both user ID and password; ","")&amp;IF((TRIM(AN30)="")&lt;&gt;(TRIM(AO30)=""),"MCA login needs both user ID and password; ","")&amp;IF((TRIM(AP30)="")&lt;&gt;(TRIM(AQ30)=""),"E-way bill login needs both user ID and password; ","")</f>
        <v/>
      </c>
    </row>
    <row r="31">
      <c r="A31" s="32" t="n"/>
      <c r="B31" s="33" t="n"/>
      <c r="C31" s="33" t="n"/>
      <c r="D31" s="33" t="n"/>
      <c r="E31" s="32" t="n"/>
      <c r="F31" s="32" t="n"/>
      <c r="G31" s="32" t="n"/>
      <c r="H31" s="32" t="n"/>
      <c r="I31" s="32" t="n"/>
      <c r="J31" s="34" t="n"/>
      <c r="K31" s="33" t="n"/>
      <c r="L31" s="32" t="n"/>
      <c r="M31" s="33" t="n"/>
      <c r="N31" s="33" t="n"/>
      <c r="O31" s="33" t="n"/>
      <c r="P31" s="32" t="n"/>
      <c r="Q31" s="33" t="n"/>
      <c r="R31" s="33" t="n"/>
      <c r="S31" s="33" t="n"/>
      <c r="T31" s="33" t="n"/>
      <c r="U31" s="32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29">
        <f>IF(NOT(COUNTA(A31:AE31)&gt;0),"",IF(A31="","New client","Update"))</f>
        <v/>
      </c>
      <c r="AS31" s="29">
        <f>IF(BA31&lt;&gt;"",BA31,IF(LEN(AZ31)=15,MID(AZ31,3,10),""))</f>
        <v/>
      </c>
      <c r="AT31" s="29">
        <f>IF(BB31="","",BB31&amp;IF(D31="","  (guessed from PAN)",""))</f>
        <v/>
      </c>
      <c r="AU31" s="29">
        <f>IF(AZ31="","",IFERROR(INDEX(Lists!$L$2:$L$38,MATCH(LEFT(AZ31,2),Lists!$K$2:$K$38,0)),"Unknown code"))</f>
        <v/>
      </c>
      <c r="AV31" s="29">
        <f>IF(AZ31="","",IFERROR(IF(NOT(AND(LEN(AZ31)=15,ISNUMBER(MATCH(LEFT(AZ31,2),Lists!$K$2:$K$38,0)),SUMPRODUCT(--ISERROR(FIND(MID(MID(AZ31,3,10),{1,2,3,4,5,10},1),"ABCDEFGHIJKLMNOPQRSTUVWXYZ")))=0,SUMPRODUCT(--ISERROR(FIND(MID(MID(AZ31,3,10),{6,7,8,9},1),"0123456789")))=0,ISNUMBER(FIND(MID(AZ31,13,1),"123456789ABCDEFGHIJKLMNOPQRSTUVWXYZ")),MID(AZ31,14,1)="Z")),"Wrong format",IF(MID("0123456789ABCDEFGHIJKLMNOPQRSTUVWXYZ",MOD(36-MOD(SUMPRODUCT(INT((FIND(MID(AZ31,{1,2,3,4,5,6,7,8,9,10,11,12,13,14},1),"0123456789ABCDEFGHIJKLMNOPQRSTUVWXYZ")-1)*{1,2,1,2,1,2,1,2,1,2,1,2,1,2}/36)+MOD((FIND(MID(AZ31,{1,2,3,4,5,6,7,8,9,10,11,12,13,14},1),"0123456789ABCDEFGHIJKLMNOPQRSTUVWXYZ")-1)*{1,2,1,2,1,2,1,2,1,2,1,2,1,2},36)),36),36)+1,1)=MID(AZ31,15,1),"OK","Typo? check digit wrong")),"Wrong format"))</f>
        <v/>
      </c>
      <c r="AW31" s="29">
        <f>IF(BA31="","",IF(AND(LEN(BA31)=10,SUMPRODUCT(--ISERROR(FIND(MID(BA31,{1,2,3,4,5,10},1),"ABCDEFGHIJKLMNOPQRSTUVWXYZ")))=0,SUMPRODUCT(--ISERROR(FIND(MID(BA31,{6,7,8,9},1),"0123456789")))=0),"OK","Wrong format"))</f>
        <v/>
      </c>
      <c r="AX31" s="29">
        <f>IF(TRIM(H31)="","",IF(AND(LEN(UPPER(TRIM(H31)))=10,SUMPRODUCT(--ISERROR(FIND(MID(UPPER(TRIM(H31)),{1,2,3,4,10},1),"ABCDEFGHIJKLMNOPQRSTUVWXYZ")))=0,SUMPRODUCT(--ISERROR(FIND(MID(UPPER(TRIM(H31)),{5,6,7,8,9},1),"0123456789")))=0),"OK","Wrong format"))</f>
        <v/>
      </c>
      <c r="AY31" s="30">
        <f>IF(NOT(COUNTA(A31:AE31)&gt;0),"",IF(BE31&lt;&gt;"","✖ "&amp;LEFT(BE31,LEN(BE31)-2),IF(BD31&gt;0,"✔ Ready — client + "&amp;BD31&amp;" service(s)","✔ Ready — client only")))</f>
        <v/>
      </c>
      <c r="AZ31" s="31">
        <f>UPPER(SUBSTITUTE(TRIM(F31)," ",""))</f>
        <v/>
      </c>
      <c r="BA31" s="31">
        <f>UPPER(SUBSTITUTE(TRIM(E31)," ",""))</f>
        <v/>
      </c>
      <c r="BB31" s="31">
        <f>IF(D31&lt;&gt;"",D31,IFERROR(VLOOKUP(MID(AS31,4,1),Lists!$E$2:$F$8,2,FALSE),""))</f>
        <v/>
      </c>
      <c r="BC31" s="31">
        <f>IFERROR(VLOOKUP(BB31,Lists!$A$2:$C$12,3,FALSE),"")</f>
        <v/>
      </c>
      <c r="BD31" s="31">
        <f>COUNTIF(W31:AC31,"Yes")</f>
        <v/>
      </c>
      <c r="BE31" s="31">
        <f>IF(TRIM(B31)="","Legal name missing; ","")&amp;IF(AND(AV31&lt;&gt;"",AV31&lt;&gt;"OK"),"GSTIN: "&amp;AV31&amp;"; ","")&amp;IF(AND(AW31&lt;&gt;"",AW31&lt;&gt;"OK"),"PAN wrong format; ","")&amp;IF(AND(BA31&lt;&gt;"",LEN(AZ31)=15,MID(AZ31,3,10)&lt;&gt;BA31),"PAN does not match GSTIN; ","")&amp;IF(AND(AX31&lt;&gt;"",AX31&lt;&gt;"OK"),"TAN wrong format; ","")&amp;IF(AS31="","PAN missing; ","")&amp;IF(BB31="","Entity type missing; ","")&amp;IF(AND(AZ31&lt;&gt;"",COUNTIF($AZ$6:$AZ$1005,AZ31)&gt;1),"GSTIN repeated in this sheet; ","")&amp;IF(AND(AS31&lt;&gt;"",COUNTIF($AS$6:$AS$1005,AS31)&gt;1),"PAN repeated in this sheet (same client? put extra GSTINs in Other GSTINs); ","")&amp;IF(AND(BD31&gt;0,V31=""),"Financial year missing; ","")&amp;IF(AND(BD31=0,V31&lt;&gt;""),"Financial year given but no service is Yes; ","")&amp;IF(AND(W31="Yes",AZ31=""),"GST needs a GSTIN; ","")&amp;IF(AND(W31="Yes",X31=""),"GST return frequency missing; ","")&amp;IF(AND(Y31="Yes",TRIM(H31)=""),"TDS needs a TAN; ","")&amp;IF(AND(AA31="Yes",BC31&lt;&gt;"",BC31&lt;&gt;"company",BC31&lt;&gt;"llp"),"ROC is only for a company / LLP; ","")&amp;IF(AND(AA31="Yes",OR(BC31="company",BC31="llp"),TRIM(I31)=""),"ROC needs the CIN / LLPIN; ","")&amp;IF((TRIM(AF31)="")&lt;&gt;(TRIM(AG31)=""),"GST login needs both user ID and password; ","")&amp;IF((TRIM(AH31)="")&lt;&gt;(TRIM(AI31)=""),"Income-tax login needs both user ID and password; ","")&amp;IF((TRIM(AJ31)="")&lt;&gt;(TRIM(AK31)=""),"Income-tax login needs both user ID and password; ","")&amp;IF((TRIM(AL31)="")&lt;&gt;(TRIM(AM31)=""),"TRACES login needs both user ID and password; ","")&amp;IF((TRIM(AN31)="")&lt;&gt;(TRIM(AO31)=""),"MCA login needs both user ID and password; ","")&amp;IF((TRIM(AP31)="")&lt;&gt;(TRIM(AQ31)=""),"E-way bill login needs both user ID and password; ","")</f>
        <v/>
      </c>
    </row>
    <row r="32">
      <c r="A32" s="32" t="n"/>
      <c r="B32" s="33" t="n"/>
      <c r="C32" s="33" t="n"/>
      <c r="D32" s="33" t="n"/>
      <c r="E32" s="32" t="n"/>
      <c r="F32" s="32" t="n"/>
      <c r="G32" s="32" t="n"/>
      <c r="H32" s="32" t="n"/>
      <c r="I32" s="32" t="n"/>
      <c r="J32" s="34" t="n"/>
      <c r="K32" s="33" t="n"/>
      <c r="L32" s="32" t="n"/>
      <c r="M32" s="33" t="n"/>
      <c r="N32" s="33" t="n"/>
      <c r="O32" s="33" t="n"/>
      <c r="P32" s="32" t="n"/>
      <c r="Q32" s="33" t="n"/>
      <c r="R32" s="33" t="n"/>
      <c r="S32" s="33" t="n"/>
      <c r="T32" s="33" t="n"/>
      <c r="U32" s="32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29">
        <f>IF(NOT(COUNTA(A32:AE32)&gt;0),"",IF(A32="","New client","Update"))</f>
        <v/>
      </c>
      <c r="AS32" s="29">
        <f>IF(BA32&lt;&gt;"",BA32,IF(LEN(AZ32)=15,MID(AZ32,3,10),""))</f>
        <v/>
      </c>
      <c r="AT32" s="29">
        <f>IF(BB32="","",BB32&amp;IF(D32="","  (guessed from PAN)",""))</f>
        <v/>
      </c>
      <c r="AU32" s="29">
        <f>IF(AZ32="","",IFERROR(INDEX(Lists!$L$2:$L$38,MATCH(LEFT(AZ32,2),Lists!$K$2:$K$38,0)),"Unknown code"))</f>
        <v/>
      </c>
      <c r="AV32" s="29">
        <f>IF(AZ32="","",IFERROR(IF(NOT(AND(LEN(AZ32)=15,ISNUMBER(MATCH(LEFT(AZ32,2),Lists!$K$2:$K$38,0)),SUMPRODUCT(--ISERROR(FIND(MID(MID(AZ32,3,10),{1,2,3,4,5,10},1),"ABCDEFGHIJKLMNOPQRSTUVWXYZ")))=0,SUMPRODUCT(--ISERROR(FIND(MID(MID(AZ32,3,10),{6,7,8,9},1),"0123456789")))=0,ISNUMBER(FIND(MID(AZ32,13,1),"123456789ABCDEFGHIJKLMNOPQRSTUVWXYZ")),MID(AZ32,14,1)="Z")),"Wrong format",IF(MID("0123456789ABCDEFGHIJKLMNOPQRSTUVWXYZ",MOD(36-MOD(SUMPRODUCT(INT((FIND(MID(AZ32,{1,2,3,4,5,6,7,8,9,10,11,12,13,14},1),"0123456789ABCDEFGHIJKLMNOPQRSTUVWXYZ")-1)*{1,2,1,2,1,2,1,2,1,2,1,2,1,2}/36)+MOD((FIND(MID(AZ32,{1,2,3,4,5,6,7,8,9,10,11,12,13,14},1),"0123456789ABCDEFGHIJKLMNOPQRSTUVWXYZ")-1)*{1,2,1,2,1,2,1,2,1,2,1,2,1,2},36)),36),36)+1,1)=MID(AZ32,15,1),"OK","Typo? check digit wrong")),"Wrong format"))</f>
        <v/>
      </c>
      <c r="AW32" s="29">
        <f>IF(BA32="","",IF(AND(LEN(BA32)=10,SUMPRODUCT(--ISERROR(FIND(MID(BA32,{1,2,3,4,5,10},1),"ABCDEFGHIJKLMNOPQRSTUVWXYZ")))=0,SUMPRODUCT(--ISERROR(FIND(MID(BA32,{6,7,8,9},1),"0123456789")))=0),"OK","Wrong format"))</f>
        <v/>
      </c>
      <c r="AX32" s="29">
        <f>IF(TRIM(H32)="","",IF(AND(LEN(UPPER(TRIM(H32)))=10,SUMPRODUCT(--ISERROR(FIND(MID(UPPER(TRIM(H32)),{1,2,3,4,10},1),"ABCDEFGHIJKLMNOPQRSTUVWXYZ")))=0,SUMPRODUCT(--ISERROR(FIND(MID(UPPER(TRIM(H32)),{5,6,7,8,9},1),"0123456789")))=0),"OK","Wrong format"))</f>
        <v/>
      </c>
      <c r="AY32" s="30">
        <f>IF(NOT(COUNTA(A32:AE32)&gt;0),"",IF(BE32&lt;&gt;"","✖ "&amp;LEFT(BE32,LEN(BE32)-2),IF(BD32&gt;0,"✔ Ready — client + "&amp;BD32&amp;" service(s)","✔ Ready — client only")))</f>
        <v/>
      </c>
      <c r="AZ32" s="31">
        <f>UPPER(SUBSTITUTE(TRIM(F32)," ",""))</f>
        <v/>
      </c>
      <c r="BA32" s="31">
        <f>UPPER(SUBSTITUTE(TRIM(E32)," ",""))</f>
        <v/>
      </c>
      <c r="BB32" s="31">
        <f>IF(D32&lt;&gt;"",D32,IFERROR(VLOOKUP(MID(AS32,4,1),Lists!$E$2:$F$8,2,FALSE),""))</f>
        <v/>
      </c>
      <c r="BC32" s="31">
        <f>IFERROR(VLOOKUP(BB32,Lists!$A$2:$C$12,3,FALSE),"")</f>
        <v/>
      </c>
      <c r="BD32" s="31">
        <f>COUNTIF(W32:AC32,"Yes")</f>
        <v/>
      </c>
      <c r="BE32" s="31">
        <f>IF(TRIM(B32)="","Legal name missing; ","")&amp;IF(AND(AV32&lt;&gt;"",AV32&lt;&gt;"OK"),"GSTIN: "&amp;AV32&amp;"; ","")&amp;IF(AND(AW32&lt;&gt;"",AW32&lt;&gt;"OK"),"PAN wrong format; ","")&amp;IF(AND(BA32&lt;&gt;"",LEN(AZ32)=15,MID(AZ32,3,10)&lt;&gt;BA32),"PAN does not match GSTIN; ","")&amp;IF(AND(AX32&lt;&gt;"",AX32&lt;&gt;"OK"),"TAN wrong format; ","")&amp;IF(AS32="","PAN missing; ","")&amp;IF(BB32="","Entity type missing; ","")&amp;IF(AND(AZ32&lt;&gt;"",COUNTIF($AZ$6:$AZ$1005,AZ32)&gt;1),"GSTIN repeated in this sheet; ","")&amp;IF(AND(AS32&lt;&gt;"",COUNTIF($AS$6:$AS$1005,AS32)&gt;1),"PAN repeated in this sheet (same client? put extra GSTINs in Other GSTINs); ","")&amp;IF(AND(BD32&gt;0,V32=""),"Financial year missing; ","")&amp;IF(AND(BD32=0,V32&lt;&gt;""),"Financial year given but no service is Yes; ","")&amp;IF(AND(W32="Yes",AZ32=""),"GST needs a GSTIN; ","")&amp;IF(AND(W32="Yes",X32=""),"GST return frequency missing; ","")&amp;IF(AND(Y32="Yes",TRIM(H32)=""),"TDS needs a TAN; ","")&amp;IF(AND(AA32="Yes",BC32&lt;&gt;"",BC32&lt;&gt;"company",BC32&lt;&gt;"llp"),"ROC is only for a company / LLP; ","")&amp;IF(AND(AA32="Yes",OR(BC32="company",BC32="llp"),TRIM(I32)=""),"ROC needs the CIN / LLPIN; ","")&amp;IF((TRIM(AF32)="")&lt;&gt;(TRIM(AG32)=""),"GST login needs both user ID and password; ","")&amp;IF((TRIM(AH32)="")&lt;&gt;(TRIM(AI32)=""),"Income-tax login needs both user ID and password; ","")&amp;IF((TRIM(AJ32)="")&lt;&gt;(TRIM(AK32)=""),"Income-tax login needs both user ID and password; ","")&amp;IF((TRIM(AL32)="")&lt;&gt;(TRIM(AM32)=""),"TRACES login needs both user ID and password; ","")&amp;IF((TRIM(AN32)="")&lt;&gt;(TRIM(AO32)=""),"MCA login needs both user ID and password; ","")&amp;IF((TRIM(AP32)="")&lt;&gt;(TRIM(AQ32)=""),"E-way bill login needs both user ID and password; ","")</f>
        <v/>
      </c>
    </row>
    <row r="33">
      <c r="A33" s="32" t="n"/>
      <c r="B33" s="33" t="n"/>
      <c r="C33" s="33" t="n"/>
      <c r="D33" s="33" t="n"/>
      <c r="E33" s="32" t="n"/>
      <c r="F33" s="32" t="n"/>
      <c r="G33" s="32" t="n"/>
      <c r="H33" s="32" t="n"/>
      <c r="I33" s="32" t="n"/>
      <c r="J33" s="34" t="n"/>
      <c r="K33" s="33" t="n"/>
      <c r="L33" s="32" t="n"/>
      <c r="M33" s="33" t="n"/>
      <c r="N33" s="33" t="n"/>
      <c r="O33" s="33" t="n"/>
      <c r="P33" s="32" t="n"/>
      <c r="Q33" s="33" t="n"/>
      <c r="R33" s="33" t="n"/>
      <c r="S33" s="33" t="n"/>
      <c r="T33" s="33" t="n"/>
      <c r="U33" s="32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29">
        <f>IF(NOT(COUNTA(A33:AE33)&gt;0),"",IF(A33="","New client","Update"))</f>
        <v/>
      </c>
      <c r="AS33" s="29">
        <f>IF(BA33&lt;&gt;"",BA33,IF(LEN(AZ33)=15,MID(AZ33,3,10),""))</f>
        <v/>
      </c>
      <c r="AT33" s="29">
        <f>IF(BB33="","",BB33&amp;IF(D33="","  (guessed from PAN)",""))</f>
        <v/>
      </c>
      <c r="AU33" s="29">
        <f>IF(AZ33="","",IFERROR(INDEX(Lists!$L$2:$L$38,MATCH(LEFT(AZ33,2),Lists!$K$2:$K$38,0)),"Unknown code"))</f>
        <v/>
      </c>
      <c r="AV33" s="29">
        <f>IF(AZ33="","",IFERROR(IF(NOT(AND(LEN(AZ33)=15,ISNUMBER(MATCH(LEFT(AZ33,2),Lists!$K$2:$K$38,0)),SUMPRODUCT(--ISERROR(FIND(MID(MID(AZ33,3,10),{1,2,3,4,5,10},1),"ABCDEFGHIJKLMNOPQRSTUVWXYZ")))=0,SUMPRODUCT(--ISERROR(FIND(MID(MID(AZ33,3,10),{6,7,8,9},1),"0123456789")))=0,ISNUMBER(FIND(MID(AZ33,13,1),"123456789ABCDEFGHIJKLMNOPQRSTUVWXYZ")),MID(AZ33,14,1)="Z")),"Wrong format",IF(MID("0123456789ABCDEFGHIJKLMNOPQRSTUVWXYZ",MOD(36-MOD(SUMPRODUCT(INT((FIND(MID(AZ33,{1,2,3,4,5,6,7,8,9,10,11,12,13,14},1),"0123456789ABCDEFGHIJKLMNOPQRSTUVWXYZ")-1)*{1,2,1,2,1,2,1,2,1,2,1,2,1,2}/36)+MOD((FIND(MID(AZ33,{1,2,3,4,5,6,7,8,9,10,11,12,13,14},1),"0123456789ABCDEFGHIJKLMNOPQRSTUVWXYZ")-1)*{1,2,1,2,1,2,1,2,1,2,1,2,1,2},36)),36),36)+1,1)=MID(AZ33,15,1),"OK","Typo? check digit wrong")),"Wrong format"))</f>
        <v/>
      </c>
      <c r="AW33" s="29">
        <f>IF(BA33="","",IF(AND(LEN(BA33)=10,SUMPRODUCT(--ISERROR(FIND(MID(BA33,{1,2,3,4,5,10},1),"ABCDEFGHIJKLMNOPQRSTUVWXYZ")))=0,SUMPRODUCT(--ISERROR(FIND(MID(BA33,{6,7,8,9},1),"0123456789")))=0),"OK","Wrong format"))</f>
        <v/>
      </c>
      <c r="AX33" s="29">
        <f>IF(TRIM(H33)="","",IF(AND(LEN(UPPER(TRIM(H33)))=10,SUMPRODUCT(--ISERROR(FIND(MID(UPPER(TRIM(H33)),{1,2,3,4,10},1),"ABCDEFGHIJKLMNOPQRSTUVWXYZ")))=0,SUMPRODUCT(--ISERROR(FIND(MID(UPPER(TRIM(H33)),{5,6,7,8,9},1),"0123456789")))=0),"OK","Wrong format"))</f>
        <v/>
      </c>
      <c r="AY33" s="30">
        <f>IF(NOT(COUNTA(A33:AE33)&gt;0),"",IF(BE33&lt;&gt;"","✖ "&amp;LEFT(BE33,LEN(BE33)-2),IF(BD33&gt;0,"✔ Ready — client + "&amp;BD33&amp;" service(s)","✔ Ready — client only")))</f>
        <v/>
      </c>
      <c r="AZ33" s="31">
        <f>UPPER(SUBSTITUTE(TRIM(F33)," ",""))</f>
        <v/>
      </c>
      <c r="BA33" s="31">
        <f>UPPER(SUBSTITUTE(TRIM(E33)," ",""))</f>
        <v/>
      </c>
      <c r="BB33" s="31">
        <f>IF(D33&lt;&gt;"",D33,IFERROR(VLOOKUP(MID(AS33,4,1),Lists!$E$2:$F$8,2,FALSE),""))</f>
        <v/>
      </c>
      <c r="BC33" s="31">
        <f>IFERROR(VLOOKUP(BB33,Lists!$A$2:$C$12,3,FALSE),"")</f>
        <v/>
      </c>
      <c r="BD33" s="31">
        <f>COUNTIF(W33:AC33,"Yes")</f>
        <v/>
      </c>
      <c r="BE33" s="31">
        <f>IF(TRIM(B33)="","Legal name missing; ","")&amp;IF(AND(AV33&lt;&gt;"",AV33&lt;&gt;"OK"),"GSTIN: "&amp;AV33&amp;"; ","")&amp;IF(AND(AW33&lt;&gt;"",AW33&lt;&gt;"OK"),"PAN wrong format; ","")&amp;IF(AND(BA33&lt;&gt;"",LEN(AZ33)=15,MID(AZ33,3,10)&lt;&gt;BA33),"PAN does not match GSTIN; ","")&amp;IF(AND(AX33&lt;&gt;"",AX33&lt;&gt;"OK"),"TAN wrong format; ","")&amp;IF(AS33="","PAN missing; ","")&amp;IF(BB33="","Entity type missing; ","")&amp;IF(AND(AZ33&lt;&gt;"",COUNTIF($AZ$6:$AZ$1005,AZ33)&gt;1),"GSTIN repeated in this sheet; ","")&amp;IF(AND(AS33&lt;&gt;"",COUNTIF($AS$6:$AS$1005,AS33)&gt;1),"PAN repeated in this sheet (same client? put extra GSTINs in Other GSTINs); ","")&amp;IF(AND(BD33&gt;0,V33=""),"Financial year missing; ","")&amp;IF(AND(BD33=0,V33&lt;&gt;""),"Financial year given but no service is Yes; ","")&amp;IF(AND(W33="Yes",AZ33=""),"GST needs a GSTIN; ","")&amp;IF(AND(W33="Yes",X33=""),"GST return frequency missing; ","")&amp;IF(AND(Y33="Yes",TRIM(H33)=""),"TDS needs a TAN; ","")&amp;IF(AND(AA33="Yes",BC33&lt;&gt;"",BC33&lt;&gt;"company",BC33&lt;&gt;"llp"),"ROC is only for a company / LLP; ","")&amp;IF(AND(AA33="Yes",OR(BC33="company",BC33="llp"),TRIM(I33)=""),"ROC needs the CIN / LLPIN; ","")&amp;IF((TRIM(AF33)="")&lt;&gt;(TRIM(AG33)=""),"GST login needs both user ID and password; ","")&amp;IF((TRIM(AH33)="")&lt;&gt;(TRIM(AI33)=""),"Income-tax login needs both user ID and password; ","")&amp;IF((TRIM(AJ33)="")&lt;&gt;(TRIM(AK33)=""),"Income-tax login needs both user ID and password; ","")&amp;IF((TRIM(AL33)="")&lt;&gt;(TRIM(AM33)=""),"TRACES login needs both user ID and password; ","")&amp;IF((TRIM(AN33)="")&lt;&gt;(TRIM(AO33)=""),"MCA login needs both user ID and password; ","")&amp;IF((TRIM(AP33)="")&lt;&gt;(TRIM(AQ33)=""),"E-way bill login needs both user ID and password; ","")</f>
        <v/>
      </c>
    </row>
    <row r="34">
      <c r="A34" s="32" t="n"/>
      <c r="B34" s="33" t="n"/>
      <c r="C34" s="33" t="n"/>
      <c r="D34" s="33" t="n"/>
      <c r="E34" s="32" t="n"/>
      <c r="F34" s="32" t="n"/>
      <c r="G34" s="32" t="n"/>
      <c r="H34" s="32" t="n"/>
      <c r="I34" s="32" t="n"/>
      <c r="J34" s="34" t="n"/>
      <c r="K34" s="33" t="n"/>
      <c r="L34" s="32" t="n"/>
      <c r="M34" s="33" t="n"/>
      <c r="N34" s="33" t="n"/>
      <c r="O34" s="33" t="n"/>
      <c r="P34" s="32" t="n"/>
      <c r="Q34" s="33" t="n"/>
      <c r="R34" s="33" t="n"/>
      <c r="S34" s="33" t="n"/>
      <c r="T34" s="33" t="n"/>
      <c r="U34" s="32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29">
        <f>IF(NOT(COUNTA(A34:AE34)&gt;0),"",IF(A34="","New client","Update"))</f>
        <v/>
      </c>
      <c r="AS34" s="29">
        <f>IF(BA34&lt;&gt;"",BA34,IF(LEN(AZ34)=15,MID(AZ34,3,10),""))</f>
        <v/>
      </c>
      <c r="AT34" s="29">
        <f>IF(BB34="","",BB34&amp;IF(D34="","  (guessed from PAN)",""))</f>
        <v/>
      </c>
      <c r="AU34" s="29">
        <f>IF(AZ34="","",IFERROR(INDEX(Lists!$L$2:$L$38,MATCH(LEFT(AZ34,2),Lists!$K$2:$K$38,0)),"Unknown code"))</f>
        <v/>
      </c>
      <c r="AV34" s="29">
        <f>IF(AZ34="","",IFERROR(IF(NOT(AND(LEN(AZ34)=15,ISNUMBER(MATCH(LEFT(AZ34,2),Lists!$K$2:$K$38,0)),SUMPRODUCT(--ISERROR(FIND(MID(MID(AZ34,3,10),{1,2,3,4,5,10},1),"ABCDEFGHIJKLMNOPQRSTUVWXYZ")))=0,SUMPRODUCT(--ISERROR(FIND(MID(MID(AZ34,3,10),{6,7,8,9},1),"0123456789")))=0,ISNUMBER(FIND(MID(AZ34,13,1),"123456789ABCDEFGHIJKLMNOPQRSTUVWXYZ")),MID(AZ34,14,1)="Z")),"Wrong format",IF(MID("0123456789ABCDEFGHIJKLMNOPQRSTUVWXYZ",MOD(36-MOD(SUMPRODUCT(INT((FIND(MID(AZ34,{1,2,3,4,5,6,7,8,9,10,11,12,13,14},1),"0123456789ABCDEFGHIJKLMNOPQRSTUVWXYZ")-1)*{1,2,1,2,1,2,1,2,1,2,1,2,1,2}/36)+MOD((FIND(MID(AZ34,{1,2,3,4,5,6,7,8,9,10,11,12,13,14},1),"0123456789ABCDEFGHIJKLMNOPQRSTUVWXYZ")-1)*{1,2,1,2,1,2,1,2,1,2,1,2,1,2},36)),36),36)+1,1)=MID(AZ34,15,1),"OK","Typo? check digit wrong")),"Wrong format"))</f>
        <v/>
      </c>
      <c r="AW34" s="29">
        <f>IF(BA34="","",IF(AND(LEN(BA34)=10,SUMPRODUCT(--ISERROR(FIND(MID(BA34,{1,2,3,4,5,10},1),"ABCDEFGHIJKLMNOPQRSTUVWXYZ")))=0,SUMPRODUCT(--ISERROR(FIND(MID(BA34,{6,7,8,9},1),"0123456789")))=0),"OK","Wrong format"))</f>
        <v/>
      </c>
      <c r="AX34" s="29">
        <f>IF(TRIM(H34)="","",IF(AND(LEN(UPPER(TRIM(H34)))=10,SUMPRODUCT(--ISERROR(FIND(MID(UPPER(TRIM(H34)),{1,2,3,4,10},1),"ABCDEFGHIJKLMNOPQRSTUVWXYZ")))=0,SUMPRODUCT(--ISERROR(FIND(MID(UPPER(TRIM(H34)),{5,6,7,8,9},1),"0123456789")))=0),"OK","Wrong format"))</f>
        <v/>
      </c>
      <c r="AY34" s="30">
        <f>IF(NOT(COUNTA(A34:AE34)&gt;0),"",IF(BE34&lt;&gt;"","✖ "&amp;LEFT(BE34,LEN(BE34)-2),IF(BD34&gt;0,"✔ Ready — client + "&amp;BD34&amp;" service(s)","✔ Ready — client only")))</f>
        <v/>
      </c>
      <c r="AZ34" s="31">
        <f>UPPER(SUBSTITUTE(TRIM(F34)," ",""))</f>
        <v/>
      </c>
      <c r="BA34" s="31">
        <f>UPPER(SUBSTITUTE(TRIM(E34)," ",""))</f>
        <v/>
      </c>
      <c r="BB34" s="31">
        <f>IF(D34&lt;&gt;"",D34,IFERROR(VLOOKUP(MID(AS34,4,1),Lists!$E$2:$F$8,2,FALSE),""))</f>
        <v/>
      </c>
      <c r="BC34" s="31">
        <f>IFERROR(VLOOKUP(BB34,Lists!$A$2:$C$12,3,FALSE),"")</f>
        <v/>
      </c>
      <c r="BD34" s="31">
        <f>COUNTIF(W34:AC34,"Yes")</f>
        <v/>
      </c>
      <c r="BE34" s="31">
        <f>IF(TRIM(B34)="","Legal name missing; ","")&amp;IF(AND(AV34&lt;&gt;"",AV34&lt;&gt;"OK"),"GSTIN: "&amp;AV34&amp;"; ","")&amp;IF(AND(AW34&lt;&gt;"",AW34&lt;&gt;"OK"),"PAN wrong format; ","")&amp;IF(AND(BA34&lt;&gt;"",LEN(AZ34)=15,MID(AZ34,3,10)&lt;&gt;BA34),"PAN does not match GSTIN; ","")&amp;IF(AND(AX34&lt;&gt;"",AX34&lt;&gt;"OK"),"TAN wrong format; ","")&amp;IF(AS34="","PAN missing; ","")&amp;IF(BB34="","Entity type missing; ","")&amp;IF(AND(AZ34&lt;&gt;"",COUNTIF($AZ$6:$AZ$1005,AZ34)&gt;1),"GSTIN repeated in this sheet; ","")&amp;IF(AND(AS34&lt;&gt;"",COUNTIF($AS$6:$AS$1005,AS34)&gt;1),"PAN repeated in this sheet (same client? put extra GSTINs in Other GSTINs); ","")&amp;IF(AND(BD34&gt;0,V34=""),"Financial year missing; ","")&amp;IF(AND(BD34=0,V34&lt;&gt;""),"Financial year given but no service is Yes; ","")&amp;IF(AND(W34="Yes",AZ34=""),"GST needs a GSTIN; ","")&amp;IF(AND(W34="Yes",X34=""),"GST return frequency missing; ","")&amp;IF(AND(Y34="Yes",TRIM(H34)=""),"TDS needs a TAN; ","")&amp;IF(AND(AA34="Yes",BC34&lt;&gt;"",BC34&lt;&gt;"company",BC34&lt;&gt;"llp"),"ROC is only for a company / LLP; ","")&amp;IF(AND(AA34="Yes",OR(BC34="company",BC34="llp"),TRIM(I34)=""),"ROC needs the CIN / LLPIN; ","")&amp;IF((TRIM(AF34)="")&lt;&gt;(TRIM(AG34)=""),"GST login needs both user ID and password; ","")&amp;IF((TRIM(AH34)="")&lt;&gt;(TRIM(AI34)=""),"Income-tax login needs both user ID and password; ","")&amp;IF((TRIM(AJ34)="")&lt;&gt;(TRIM(AK34)=""),"Income-tax login needs both user ID and password; ","")&amp;IF((TRIM(AL34)="")&lt;&gt;(TRIM(AM34)=""),"TRACES login needs both user ID and password; ","")&amp;IF((TRIM(AN34)="")&lt;&gt;(TRIM(AO34)=""),"MCA login needs both user ID and password; ","")&amp;IF((TRIM(AP34)="")&lt;&gt;(TRIM(AQ34)=""),"E-way bill login needs both user ID and password; ","")</f>
        <v/>
      </c>
    </row>
    <row r="35">
      <c r="A35" s="32" t="n"/>
      <c r="B35" s="33" t="n"/>
      <c r="C35" s="33" t="n"/>
      <c r="D35" s="33" t="n"/>
      <c r="E35" s="32" t="n"/>
      <c r="F35" s="32" t="n"/>
      <c r="G35" s="32" t="n"/>
      <c r="H35" s="32" t="n"/>
      <c r="I35" s="32" t="n"/>
      <c r="J35" s="34" t="n"/>
      <c r="K35" s="33" t="n"/>
      <c r="L35" s="32" t="n"/>
      <c r="M35" s="33" t="n"/>
      <c r="N35" s="33" t="n"/>
      <c r="O35" s="33" t="n"/>
      <c r="P35" s="32" t="n"/>
      <c r="Q35" s="33" t="n"/>
      <c r="R35" s="33" t="n"/>
      <c r="S35" s="33" t="n"/>
      <c r="T35" s="33" t="n"/>
      <c r="U35" s="32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  <c r="AE35" s="33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  <c r="AO35" s="32" t="n"/>
      <c r="AP35" s="32" t="n"/>
      <c r="AQ35" s="32" t="n"/>
      <c r="AR35" s="29">
        <f>IF(NOT(COUNTA(A35:AE35)&gt;0),"",IF(A35="","New client","Update"))</f>
        <v/>
      </c>
      <c r="AS35" s="29">
        <f>IF(BA35&lt;&gt;"",BA35,IF(LEN(AZ35)=15,MID(AZ35,3,10),""))</f>
        <v/>
      </c>
      <c r="AT35" s="29">
        <f>IF(BB35="","",BB35&amp;IF(D35="","  (guessed from PAN)",""))</f>
        <v/>
      </c>
      <c r="AU35" s="29">
        <f>IF(AZ35="","",IFERROR(INDEX(Lists!$L$2:$L$38,MATCH(LEFT(AZ35,2),Lists!$K$2:$K$38,0)),"Unknown code"))</f>
        <v/>
      </c>
      <c r="AV35" s="29">
        <f>IF(AZ35="","",IFERROR(IF(NOT(AND(LEN(AZ35)=15,ISNUMBER(MATCH(LEFT(AZ35,2),Lists!$K$2:$K$38,0)),SUMPRODUCT(--ISERROR(FIND(MID(MID(AZ35,3,10),{1,2,3,4,5,10},1),"ABCDEFGHIJKLMNOPQRSTUVWXYZ")))=0,SUMPRODUCT(--ISERROR(FIND(MID(MID(AZ35,3,10),{6,7,8,9},1),"0123456789")))=0,ISNUMBER(FIND(MID(AZ35,13,1),"123456789ABCDEFGHIJKLMNOPQRSTUVWXYZ")),MID(AZ35,14,1)="Z")),"Wrong format",IF(MID("0123456789ABCDEFGHIJKLMNOPQRSTUVWXYZ",MOD(36-MOD(SUMPRODUCT(INT((FIND(MID(AZ35,{1,2,3,4,5,6,7,8,9,10,11,12,13,14},1),"0123456789ABCDEFGHIJKLMNOPQRSTUVWXYZ")-1)*{1,2,1,2,1,2,1,2,1,2,1,2,1,2}/36)+MOD((FIND(MID(AZ35,{1,2,3,4,5,6,7,8,9,10,11,12,13,14},1),"0123456789ABCDEFGHIJKLMNOPQRSTUVWXYZ")-1)*{1,2,1,2,1,2,1,2,1,2,1,2,1,2},36)),36),36)+1,1)=MID(AZ35,15,1),"OK","Typo? check digit wrong")),"Wrong format"))</f>
        <v/>
      </c>
      <c r="AW35" s="29">
        <f>IF(BA35="","",IF(AND(LEN(BA35)=10,SUMPRODUCT(--ISERROR(FIND(MID(BA35,{1,2,3,4,5,10},1),"ABCDEFGHIJKLMNOPQRSTUVWXYZ")))=0,SUMPRODUCT(--ISERROR(FIND(MID(BA35,{6,7,8,9},1),"0123456789")))=0),"OK","Wrong format"))</f>
        <v/>
      </c>
      <c r="AX35" s="29">
        <f>IF(TRIM(H35)="","",IF(AND(LEN(UPPER(TRIM(H35)))=10,SUMPRODUCT(--ISERROR(FIND(MID(UPPER(TRIM(H35)),{1,2,3,4,10},1),"ABCDEFGHIJKLMNOPQRSTUVWXYZ")))=0,SUMPRODUCT(--ISERROR(FIND(MID(UPPER(TRIM(H35)),{5,6,7,8,9},1),"0123456789")))=0),"OK","Wrong format"))</f>
        <v/>
      </c>
      <c r="AY35" s="30">
        <f>IF(NOT(COUNTA(A35:AE35)&gt;0),"",IF(BE35&lt;&gt;"","✖ "&amp;LEFT(BE35,LEN(BE35)-2),IF(BD35&gt;0,"✔ Ready — client + "&amp;BD35&amp;" service(s)","✔ Ready — client only")))</f>
        <v/>
      </c>
      <c r="AZ35" s="31">
        <f>UPPER(SUBSTITUTE(TRIM(F35)," ",""))</f>
        <v/>
      </c>
      <c r="BA35" s="31">
        <f>UPPER(SUBSTITUTE(TRIM(E35)," ",""))</f>
        <v/>
      </c>
      <c r="BB35" s="31">
        <f>IF(D35&lt;&gt;"",D35,IFERROR(VLOOKUP(MID(AS35,4,1),Lists!$E$2:$F$8,2,FALSE),""))</f>
        <v/>
      </c>
      <c r="BC35" s="31">
        <f>IFERROR(VLOOKUP(BB35,Lists!$A$2:$C$12,3,FALSE),"")</f>
        <v/>
      </c>
      <c r="BD35" s="31">
        <f>COUNTIF(W35:AC35,"Yes")</f>
        <v/>
      </c>
      <c r="BE35" s="31">
        <f>IF(TRIM(B35)="","Legal name missing; ","")&amp;IF(AND(AV35&lt;&gt;"",AV35&lt;&gt;"OK"),"GSTIN: "&amp;AV35&amp;"; ","")&amp;IF(AND(AW35&lt;&gt;"",AW35&lt;&gt;"OK"),"PAN wrong format; ","")&amp;IF(AND(BA35&lt;&gt;"",LEN(AZ35)=15,MID(AZ35,3,10)&lt;&gt;BA35),"PAN does not match GSTIN; ","")&amp;IF(AND(AX35&lt;&gt;"",AX35&lt;&gt;"OK"),"TAN wrong format; ","")&amp;IF(AS35="","PAN missing; ","")&amp;IF(BB35="","Entity type missing; ","")&amp;IF(AND(AZ35&lt;&gt;"",COUNTIF($AZ$6:$AZ$1005,AZ35)&gt;1),"GSTIN repeated in this sheet; ","")&amp;IF(AND(AS35&lt;&gt;"",COUNTIF($AS$6:$AS$1005,AS35)&gt;1),"PAN repeated in this sheet (same client? put extra GSTINs in Other GSTINs); ","")&amp;IF(AND(BD35&gt;0,V35=""),"Financial year missing; ","")&amp;IF(AND(BD35=0,V35&lt;&gt;""),"Financial year given but no service is Yes; ","")&amp;IF(AND(W35="Yes",AZ35=""),"GST needs a GSTIN; ","")&amp;IF(AND(W35="Yes",X35=""),"GST return frequency missing; ","")&amp;IF(AND(Y35="Yes",TRIM(H35)=""),"TDS needs a TAN; ","")&amp;IF(AND(AA35="Yes",BC35&lt;&gt;"",BC35&lt;&gt;"company",BC35&lt;&gt;"llp"),"ROC is only for a company / LLP; ","")&amp;IF(AND(AA35="Yes",OR(BC35="company",BC35="llp"),TRIM(I35)=""),"ROC needs the CIN / LLPIN; ","")&amp;IF((TRIM(AF35)="")&lt;&gt;(TRIM(AG35)=""),"GST login needs both user ID and password; ","")&amp;IF((TRIM(AH35)="")&lt;&gt;(TRIM(AI35)=""),"Income-tax login needs both user ID and password; ","")&amp;IF((TRIM(AJ35)="")&lt;&gt;(TRIM(AK35)=""),"Income-tax login needs both user ID and password; ","")&amp;IF((TRIM(AL35)="")&lt;&gt;(TRIM(AM35)=""),"TRACES login needs both user ID and password; ","")&amp;IF((TRIM(AN35)="")&lt;&gt;(TRIM(AO35)=""),"MCA login needs both user ID and password; ","")&amp;IF((TRIM(AP35)="")&lt;&gt;(TRIM(AQ35)=""),"E-way bill login needs both user ID and password; ","")</f>
        <v/>
      </c>
    </row>
    <row r="36">
      <c r="A36" s="32" t="n"/>
      <c r="B36" s="33" t="n"/>
      <c r="C36" s="33" t="n"/>
      <c r="D36" s="33" t="n"/>
      <c r="E36" s="32" t="n"/>
      <c r="F36" s="32" t="n"/>
      <c r="G36" s="32" t="n"/>
      <c r="H36" s="32" t="n"/>
      <c r="I36" s="32" t="n"/>
      <c r="J36" s="34" t="n"/>
      <c r="K36" s="33" t="n"/>
      <c r="L36" s="32" t="n"/>
      <c r="M36" s="33" t="n"/>
      <c r="N36" s="33" t="n"/>
      <c r="O36" s="33" t="n"/>
      <c r="P36" s="32" t="n"/>
      <c r="Q36" s="33" t="n"/>
      <c r="R36" s="33" t="n"/>
      <c r="S36" s="33" t="n"/>
      <c r="T36" s="33" t="n"/>
      <c r="U36" s="32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29">
        <f>IF(NOT(COUNTA(A36:AE36)&gt;0),"",IF(A36="","New client","Update"))</f>
        <v/>
      </c>
      <c r="AS36" s="29">
        <f>IF(BA36&lt;&gt;"",BA36,IF(LEN(AZ36)=15,MID(AZ36,3,10),""))</f>
        <v/>
      </c>
      <c r="AT36" s="29">
        <f>IF(BB36="","",BB36&amp;IF(D36="","  (guessed from PAN)",""))</f>
        <v/>
      </c>
      <c r="AU36" s="29">
        <f>IF(AZ36="","",IFERROR(INDEX(Lists!$L$2:$L$38,MATCH(LEFT(AZ36,2),Lists!$K$2:$K$38,0)),"Unknown code"))</f>
        <v/>
      </c>
      <c r="AV36" s="29">
        <f>IF(AZ36="","",IFERROR(IF(NOT(AND(LEN(AZ36)=15,ISNUMBER(MATCH(LEFT(AZ36,2),Lists!$K$2:$K$38,0)),SUMPRODUCT(--ISERROR(FIND(MID(MID(AZ36,3,10),{1,2,3,4,5,10},1),"ABCDEFGHIJKLMNOPQRSTUVWXYZ")))=0,SUMPRODUCT(--ISERROR(FIND(MID(MID(AZ36,3,10),{6,7,8,9},1),"0123456789")))=0,ISNUMBER(FIND(MID(AZ36,13,1),"123456789ABCDEFGHIJKLMNOPQRSTUVWXYZ")),MID(AZ36,14,1)="Z")),"Wrong format",IF(MID("0123456789ABCDEFGHIJKLMNOPQRSTUVWXYZ",MOD(36-MOD(SUMPRODUCT(INT((FIND(MID(AZ36,{1,2,3,4,5,6,7,8,9,10,11,12,13,14},1),"0123456789ABCDEFGHIJKLMNOPQRSTUVWXYZ")-1)*{1,2,1,2,1,2,1,2,1,2,1,2,1,2}/36)+MOD((FIND(MID(AZ36,{1,2,3,4,5,6,7,8,9,10,11,12,13,14},1),"0123456789ABCDEFGHIJKLMNOPQRSTUVWXYZ")-1)*{1,2,1,2,1,2,1,2,1,2,1,2,1,2},36)),36),36)+1,1)=MID(AZ36,15,1),"OK","Typo? check digit wrong")),"Wrong format"))</f>
        <v/>
      </c>
      <c r="AW36" s="29">
        <f>IF(BA36="","",IF(AND(LEN(BA36)=10,SUMPRODUCT(--ISERROR(FIND(MID(BA36,{1,2,3,4,5,10},1),"ABCDEFGHIJKLMNOPQRSTUVWXYZ")))=0,SUMPRODUCT(--ISERROR(FIND(MID(BA36,{6,7,8,9},1),"0123456789")))=0),"OK","Wrong format"))</f>
        <v/>
      </c>
      <c r="AX36" s="29">
        <f>IF(TRIM(H36)="","",IF(AND(LEN(UPPER(TRIM(H36)))=10,SUMPRODUCT(--ISERROR(FIND(MID(UPPER(TRIM(H36)),{1,2,3,4,10},1),"ABCDEFGHIJKLMNOPQRSTUVWXYZ")))=0,SUMPRODUCT(--ISERROR(FIND(MID(UPPER(TRIM(H36)),{5,6,7,8,9},1),"0123456789")))=0),"OK","Wrong format"))</f>
        <v/>
      </c>
      <c r="AY36" s="30">
        <f>IF(NOT(COUNTA(A36:AE36)&gt;0),"",IF(BE36&lt;&gt;"","✖ "&amp;LEFT(BE36,LEN(BE36)-2),IF(BD36&gt;0,"✔ Ready — client + "&amp;BD36&amp;" service(s)","✔ Ready — client only")))</f>
        <v/>
      </c>
      <c r="AZ36" s="31">
        <f>UPPER(SUBSTITUTE(TRIM(F36)," ",""))</f>
        <v/>
      </c>
      <c r="BA36" s="31">
        <f>UPPER(SUBSTITUTE(TRIM(E36)," ",""))</f>
        <v/>
      </c>
      <c r="BB36" s="31">
        <f>IF(D36&lt;&gt;"",D36,IFERROR(VLOOKUP(MID(AS36,4,1),Lists!$E$2:$F$8,2,FALSE),""))</f>
        <v/>
      </c>
      <c r="BC36" s="31">
        <f>IFERROR(VLOOKUP(BB36,Lists!$A$2:$C$12,3,FALSE),"")</f>
        <v/>
      </c>
      <c r="BD36" s="31">
        <f>COUNTIF(W36:AC36,"Yes")</f>
        <v/>
      </c>
      <c r="BE36" s="31">
        <f>IF(TRIM(B36)="","Legal name missing; ","")&amp;IF(AND(AV36&lt;&gt;"",AV36&lt;&gt;"OK"),"GSTIN: "&amp;AV36&amp;"; ","")&amp;IF(AND(AW36&lt;&gt;"",AW36&lt;&gt;"OK"),"PAN wrong format; ","")&amp;IF(AND(BA36&lt;&gt;"",LEN(AZ36)=15,MID(AZ36,3,10)&lt;&gt;BA36),"PAN does not match GSTIN; ","")&amp;IF(AND(AX36&lt;&gt;"",AX36&lt;&gt;"OK"),"TAN wrong format; ","")&amp;IF(AS36="","PAN missing; ","")&amp;IF(BB36="","Entity type missing; ","")&amp;IF(AND(AZ36&lt;&gt;"",COUNTIF($AZ$6:$AZ$1005,AZ36)&gt;1),"GSTIN repeated in this sheet; ","")&amp;IF(AND(AS36&lt;&gt;"",COUNTIF($AS$6:$AS$1005,AS36)&gt;1),"PAN repeated in this sheet (same client? put extra GSTINs in Other GSTINs); ","")&amp;IF(AND(BD36&gt;0,V36=""),"Financial year missing; ","")&amp;IF(AND(BD36=0,V36&lt;&gt;""),"Financial year given but no service is Yes; ","")&amp;IF(AND(W36="Yes",AZ36=""),"GST needs a GSTIN; ","")&amp;IF(AND(W36="Yes",X36=""),"GST return frequency missing; ","")&amp;IF(AND(Y36="Yes",TRIM(H36)=""),"TDS needs a TAN; ","")&amp;IF(AND(AA36="Yes",BC36&lt;&gt;"",BC36&lt;&gt;"company",BC36&lt;&gt;"llp"),"ROC is only for a company / LLP; ","")&amp;IF(AND(AA36="Yes",OR(BC36="company",BC36="llp"),TRIM(I36)=""),"ROC needs the CIN / LLPIN; ","")&amp;IF((TRIM(AF36)="")&lt;&gt;(TRIM(AG36)=""),"GST login needs both user ID and password; ","")&amp;IF((TRIM(AH36)="")&lt;&gt;(TRIM(AI36)=""),"Income-tax login needs both user ID and password; ","")&amp;IF((TRIM(AJ36)="")&lt;&gt;(TRIM(AK36)=""),"Income-tax login needs both user ID and password; ","")&amp;IF((TRIM(AL36)="")&lt;&gt;(TRIM(AM36)=""),"TRACES login needs both user ID and password; ","")&amp;IF((TRIM(AN36)="")&lt;&gt;(TRIM(AO36)=""),"MCA login needs both user ID and password; ","")&amp;IF((TRIM(AP36)="")&lt;&gt;(TRIM(AQ36)=""),"E-way bill login needs both user ID and password; ","")</f>
        <v/>
      </c>
    </row>
    <row r="37">
      <c r="A37" s="32" t="n"/>
      <c r="B37" s="33" t="n"/>
      <c r="C37" s="33" t="n"/>
      <c r="D37" s="33" t="n"/>
      <c r="E37" s="32" t="n"/>
      <c r="F37" s="32" t="n"/>
      <c r="G37" s="32" t="n"/>
      <c r="H37" s="32" t="n"/>
      <c r="I37" s="32" t="n"/>
      <c r="J37" s="34" t="n"/>
      <c r="K37" s="33" t="n"/>
      <c r="L37" s="32" t="n"/>
      <c r="M37" s="33" t="n"/>
      <c r="N37" s="33" t="n"/>
      <c r="O37" s="33" t="n"/>
      <c r="P37" s="32" t="n"/>
      <c r="Q37" s="33" t="n"/>
      <c r="R37" s="33" t="n"/>
      <c r="S37" s="33" t="n"/>
      <c r="T37" s="33" t="n"/>
      <c r="U37" s="32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29">
        <f>IF(NOT(COUNTA(A37:AE37)&gt;0),"",IF(A37="","New client","Update"))</f>
        <v/>
      </c>
      <c r="AS37" s="29">
        <f>IF(BA37&lt;&gt;"",BA37,IF(LEN(AZ37)=15,MID(AZ37,3,10),""))</f>
        <v/>
      </c>
      <c r="AT37" s="29">
        <f>IF(BB37="","",BB37&amp;IF(D37="","  (guessed from PAN)",""))</f>
        <v/>
      </c>
      <c r="AU37" s="29">
        <f>IF(AZ37="","",IFERROR(INDEX(Lists!$L$2:$L$38,MATCH(LEFT(AZ37,2),Lists!$K$2:$K$38,0)),"Unknown code"))</f>
        <v/>
      </c>
      <c r="AV37" s="29">
        <f>IF(AZ37="","",IFERROR(IF(NOT(AND(LEN(AZ37)=15,ISNUMBER(MATCH(LEFT(AZ37,2),Lists!$K$2:$K$38,0)),SUMPRODUCT(--ISERROR(FIND(MID(MID(AZ37,3,10),{1,2,3,4,5,10},1),"ABCDEFGHIJKLMNOPQRSTUVWXYZ")))=0,SUMPRODUCT(--ISERROR(FIND(MID(MID(AZ37,3,10),{6,7,8,9},1),"0123456789")))=0,ISNUMBER(FIND(MID(AZ37,13,1),"123456789ABCDEFGHIJKLMNOPQRSTUVWXYZ")),MID(AZ37,14,1)="Z")),"Wrong format",IF(MID("0123456789ABCDEFGHIJKLMNOPQRSTUVWXYZ",MOD(36-MOD(SUMPRODUCT(INT((FIND(MID(AZ37,{1,2,3,4,5,6,7,8,9,10,11,12,13,14},1),"0123456789ABCDEFGHIJKLMNOPQRSTUVWXYZ")-1)*{1,2,1,2,1,2,1,2,1,2,1,2,1,2}/36)+MOD((FIND(MID(AZ37,{1,2,3,4,5,6,7,8,9,10,11,12,13,14},1),"0123456789ABCDEFGHIJKLMNOPQRSTUVWXYZ")-1)*{1,2,1,2,1,2,1,2,1,2,1,2,1,2},36)),36),36)+1,1)=MID(AZ37,15,1),"OK","Typo? check digit wrong")),"Wrong format"))</f>
        <v/>
      </c>
      <c r="AW37" s="29">
        <f>IF(BA37="","",IF(AND(LEN(BA37)=10,SUMPRODUCT(--ISERROR(FIND(MID(BA37,{1,2,3,4,5,10},1),"ABCDEFGHIJKLMNOPQRSTUVWXYZ")))=0,SUMPRODUCT(--ISERROR(FIND(MID(BA37,{6,7,8,9},1),"0123456789")))=0),"OK","Wrong format"))</f>
        <v/>
      </c>
      <c r="AX37" s="29">
        <f>IF(TRIM(H37)="","",IF(AND(LEN(UPPER(TRIM(H37)))=10,SUMPRODUCT(--ISERROR(FIND(MID(UPPER(TRIM(H37)),{1,2,3,4,10},1),"ABCDEFGHIJKLMNOPQRSTUVWXYZ")))=0,SUMPRODUCT(--ISERROR(FIND(MID(UPPER(TRIM(H37)),{5,6,7,8,9},1),"0123456789")))=0),"OK","Wrong format"))</f>
        <v/>
      </c>
      <c r="AY37" s="30">
        <f>IF(NOT(COUNTA(A37:AE37)&gt;0),"",IF(BE37&lt;&gt;"","✖ "&amp;LEFT(BE37,LEN(BE37)-2),IF(BD37&gt;0,"✔ Ready — client + "&amp;BD37&amp;" service(s)","✔ Ready — client only")))</f>
        <v/>
      </c>
      <c r="AZ37" s="31">
        <f>UPPER(SUBSTITUTE(TRIM(F37)," ",""))</f>
        <v/>
      </c>
      <c r="BA37" s="31">
        <f>UPPER(SUBSTITUTE(TRIM(E37)," ",""))</f>
        <v/>
      </c>
      <c r="BB37" s="31">
        <f>IF(D37&lt;&gt;"",D37,IFERROR(VLOOKUP(MID(AS37,4,1),Lists!$E$2:$F$8,2,FALSE),""))</f>
        <v/>
      </c>
      <c r="BC37" s="31">
        <f>IFERROR(VLOOKUP(BB37,Lists!$A$2:$C$12,3,FALSE),"")</f>
        <v/>
      </c>
      <c r="BD37" s="31">
        <f>COUNTIF(W37:AC37,"Yes")</f>
        <v/>
      </c>
      <c r="BE37" s="31">
        <f>IF(TRIM(B37)="","Legal name missing; ","")&amp;IF(AND(AV37&lt;&gt;"",AV37&lt;&gt;"OK"),"GSTIN: "&amp;AV37&amp;"; ","")&amp;IF(AND(AW37&lt;&gt;"",AW37&lt;&gt;"OK"),"PAN wrong format; ","")&amp;IF(AND(BA37&lt;&gt;"",LEN(AZ37)=15,MID(AZ37,3,10)&lt;&gt;BA37),"PAN does not match GSTIN; ","")&amp;IF(AND(AX37&lt;&gt;"",AX37&lt;&gt;"OK"),"TAN wrong format; ","")&amp;IF(AS37="","PAN missing; ","")&amp;IF(BB37="","Entity type missing; ","")&amp;IF(AND(AZ37&lt;&gt;"",COUNTIF($AZ$6:$AZ$1005,AZ37)&gt;1),"GSTIN repeated in this sheet; ","")&amp;IF(AND(AS37&lt;&gt;"",COUNTIF($AS$6:$AS$1005,AS37)&gt;1),"PAN repeated in this sheet (same client? put extra GSTINs in Other GSTINs); ","")&amp;IF(AND(BD37&gt;0,V37=""),"Financial year missing; ","")&amp;IF(AND(BD37=0,V37&lt;&gt;""),"Financial year given but no service is Yes; ","")&amp;IF(AND(W37="Yes",AZ37=""),"GST needs a GSTIN; ","")&amp;IF(AND(W37="Yes",X37=""),"GST return frequency missing; ","")&amp;IF(AND(Y37="Yes",TRIM(H37)=""),"TDS needs a TAN; ","")&amp;IF(AND(AA37="Yes",BC37&lt;&gt;"",BC37&lt;&gt;"company",BC37&lt;&gt;"llp"),"ROC is only for a company / LLP; ","")&amp;IF(AND(AA37="Yes",OR(BC37="company",BC37="llp"),TRIM(I37)=""),"ROC needs the CIN / LLPIN; ","")&amp;IF((TRIM(AF37)="")&lt;&gt;(TRIM(AG37)=""),"GST login needs both user ID and password; ","")&amp;IF((TRIM(AH37)="")&lt;&gt;(TRIM(AI37)=""),"Income-tax login needs both user ID and password; ","")&amp;IF((TRIM(AJ37)="")&lt;&gt;(TRIM(AK37)=""),"Income-tax login needs both user ID and password; ","")&amp;IF((TRIM(AL37)="")&lt;&gt;(TRIM(AM37)=""),"TRACES login needs both user ID and password; ","")&amp;IF((TRIM(AN37)="")&lt;&gt;(TRIM(AO37)=""),"MCA login needs both user ID and password; ","")&amp;IF((TRIM(AP37)="")&lt;&gt;(TRIM(AQ37)=""),"E-way bill login needs both user ID and password; ","")</f>
        <v/>
      </c>
    </row>
    <row r="38">
      <c r="A38" s="32" t="n"/>
      <c r="B38" s="33" t="n"/>
      <c r="C38" s="33" t="n"/>
      <c r="D38" s="33" t="n"/>
      <c r="E38" s="32" t="n"/>
      <c r="F38" s="32" t="n"/>
      <c r="G38" s="32" t="n"/>
      <c r="H38" s="32" t="n"/>
      <c r="I38" s="32" t="n"/>
      <c r="J38" s="34" t="n"/>
      <c r="K38" s="33" t="n"/>
      <c r="L38" s="32" t="n"/>
      <c r="M38" s="33" t="n"/>
      <c r="N38" s="33" t="n"/>
      <c r="O38" s="33" t="n"/>
      <c r="P38" s="32" t="n"/>
      <c r="Q38" s="33" t="n"/>
      <c r="R38" s="33" t="n"/>
      <c r="S38" s="33" t="n"/>
      <c r="T38" s="33" t="n"/>
      <c r="U38" s="32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33" t="n"/>
      <c r="AE38" s="33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32" t="n"/>
      <c r="AQ38" s="32" t="n"/>
      <c r="AR38" s="29">
        <f>IF(NOT(COUNTA(A38:AE38)&gt;0),"",IF(A38="","New client","Update"))</f>
        <v/>
      </c>
      <c r="AS38" s="29">
        <f>IF(BA38&lt;&gt;"",BA38,IF(LEN(AZ38)=15,MID(AZ38,3,10),""))</f>
        <v/>
      </c>
      <c r="AT38" s="29">
        <f>IF(BB38="","",BB38&amp;IF(D38="","  (guessed from PAN)",""))</f>
        <v/>
      </c>
      <c r="AU38" s="29">
        <f>IF(AZ38="","",IFERROR(INDEX(Lists!$L$2:$L$38,MATCH(LEFT(AZ38,2),Lists!$K$2:$K$38,0)),"Unknown code"))</f>
        <v/>
      </c>
      <c r="AV38" s="29">
        <f>IF(AZ38="","",IFERROR(IF(NOT(AND(LEN(AZ38)=15,ISNUMBER(MATCH(LEFT(AZ38,2),Lists!$K$2:$K$38,0)),SUMPRODUCT(--ISERROR(FIND(MID(MID(AZ38,3,10),{1,2,3,4,5,10},1),"ABCDEFGHIJKLMNOPQRSTUVWXYZ")))=0,SUMPRODUCT(--ISERROR(FIND(MID(MID(AZ38,3,10),{6,7,8,9},1),"0123456789")))=0,ISNUMBER(FIND(MID(AZ38,13,1),"123456789ABCDEFGHIJKLMNOPQRSTUVWXYZ")),MID(AZ38,14,1)="Z")),"Wrong format",IF(MID("0123456789ABCDEFGHIJKLMNOPQRSTUVWXYZ",MOD(36-MOD(SUMPRODUCT(INT((FIND(MID(AZ38,{1,2,3,4,5,6,7,8,9,10,11,12,13,14},1),"0123456789ABCDEFGHIJKLMNOPQRSTUVWXYZ")-1)*{1,2,1,2,1,2,1,2,1,2,1,2,1,2}/36)+MOD((FIND(MID(AZ38,{1,2,3,4,5,6,7,8,9,10,11,12,13,14},1),"0123456789ABCDEFGHIJKLMNOPQRSTUVWXYZ")-1)*{1,2,1,2,1,2,1,2,1,2,1,2,1,2},36)),36),36)+1,1)=MID(AZ38,15,1),"OK","Typo? check digit wrong")),"Wrong format"))</f>
        <v/>
      </c>
      <c r="AW38" s="29">
        <f>IF(BA38="","",IF(AND(LEN(BA38)=10,SUMPRODUCT(--ISERROR(FIND(MID(BA38,{1,2,3,4,5,10},1),"ABCDEFGHIJKLMNOPQRSTUVWXYZ")))=0,SUMPRODUCT(--ISERROR(FIND(MID(BA38,{6,7,8,9},1),"0123456789")))=0),"OK","Wrong format"))</f>
        <v/>
      </c>
      <c r="AX38" s="29">
        <f>IF(TRIM(H38)="","",IF(AND(LEN(UPPER(TRIM(H38)))=10,SUMPRODUCT(--ISERROR(FIND(MID(UPPER(TRIM(H38)),{1,2,3,4,10},1),"ABCDEFGHIJKLMNOPQRSTUVWXYZ")))=0,SUMPRODUCT(--ISERROR(FIND(MID(UPPER(TRIM(H38)),{5,6,7,8,9},1),"0123456789")))=0),"OK","Wrong format"))</f>
        <v/>
      </c>
      <c r="AY38" s="30">
        <f>IF(NOT(COUNTA(A38:AE38)&gt;0),"",IF(BE38&lt;&gt;"","✖ "&amp;LEFT(BE38,LEN(BE38)-2),IF(BD38&gt;0,"✔ Ready — client + "&amp;BD38&amp;" service(s)","✔ Ready — client only")))</f>
        <v/>
      </c>
      <c r="AZ38" s="31">
        <f>UPPER(SUBSTITUTE(TRIM(F38)," ",""))</f>
        <v/>
      </c>
      <c r="BA38" s="31">
        <f>UPPER(SUBSTITUTE(TRIM(E38)," ",""))</f>
        <v/>
      </c>
      <c r="BB38" s="31">
        <f>IF(D38&lt;&gt;"",D38,IFERROR(VLOOKUP(MID(AS38,4,1),Lists!$E$2:$F$8,2,FALSE),""))</f>
        <v/>
      </c>
      <c r="BC38" s="31">
        <f>IFERROR(VLOOKUP(BB38,Lists!$A$2:$C$12,3,FALSE),"")</f>
        <v/>
      </c>
      <c r="BD38" s="31">
        <f>COUNTIF(W38:AC38,"Yes")</f>
        <v/>
      </c>
      <c r="BE38" s="31">
        <f>IF(TRIM(B38)="","Legal name missing; ","")&amp;IF(AND(AV38&lt;&gt;"",AV38&lt;&gt;"OK"),"GSTIN: "&amp;AV38&amp;"; ","")&amp;IF(AND(AW38&lt;&gt;"",AW38&lt;&gt;"OK"),"PAN wrong format; ","")&amp;IF(AND(BA38&lt;&gt;"",LEN(AZ38)=15,MID(AZ38,3,10)&lt;&gt;BA38),"PAN does not match GSTIN; ","")&amp;IF(AND(AX38&lt;&gt;"",AX38&lt;&gt;"OK"),"TAN wrong format; ","")&amp;IF(AS38="","PAN missing; ","")&amp;IF(BB38="","Entity type missing; ","")&amp;IF(AND(AZ38&lt;&gt;"",COUNTIF($AZ$6:$AZ$1005,AZ38)&gt;1),"GSTIN repeated in this sheet; ","")&amp;IF(AND(AS38&lt;&gt;"",COUNTIF($AS$6:$AS$1005,AS38)&gt;1),"PAN repeated in this sheet (same client? put extra GSTINs in Other GSTINs); ","")&amp;IF(AND(BD38&gt;0,V38=""),"Financial year missing; ","")&amp;IF(AND(BD38=0,V38&lt;&gt;""),"Financial year given but no service is Yes; ","")&amp;IF(AND(W38="Yes",AZ38=""),"GST needs a GSTIN; ","")&amp;IF(AND(W38="Yes",X38=""),"GST return frequency missing; ","")&amp;IF(AND(Y38="Yes",TRIM(H38)=""),"TDS needs a TAN; ","")&amp;IF(AND(AA38="Yes",BC38&lt;&gt;"",BC38&lt;&gt;"company",BC38&lt;&gt;"llp"),"ROC is only for a company / LLP; ","")&amp;IF(AND(AA38="Yes",OR(BC38="company",BC38="llp"),TRIM(I38)=""),"ROC needs the CIN / LLPIN; ","")&amp;IF((TRIM(AF38)="")&lt;&gt;(TRIM(AG38)=""),"GST login needs both user ID and password; ","")&amp;IF((TRIM(AH38)="")&lt;&gt;(TRIM(AI38)=""),"Income-tax login needs both user ID and password; ","")&amp;IF((TRIM(AJ38)="")&lt;&gt;(TRIM(AK38)=""),"Income-tax login needs both user ID and password; ","")&amp;IF((TRIM(AL38)="")&lt;&gt;(TRIM(AM38)=""),"TRACES login needs both user ID and password; ","")&amp;IF((TRIM(AN38)="")&lt;&gt;(TRIM(AO38)=""),"MCA login needs both user ID and password; ","")&amp;IF((TRIM(AP38)="")&lt;&gt;(TRIM(AQ38)=""),"E-way bill login needs both user ID and password; ","")</f>
        <v/>
      </c>
    </row>
    <row r="39">
      <c r="A39" s="32" t="n"/>
      <c r="B39" s="33" t="n"/>
      <c r="C39" s="33" t="n"/>
      <c r="D39" s="33" t="n"/>
      <c r="E39" s="32" t="n"/>
      <c r="F39" s="32" t="n"/>
      <c r="G39" s="32" t="n"/>
      <c r="H39" s="32" t="n"/>
      <c r="I39" s="32" t="n"/>
      <c r="J39" s="34" t="n"/>
      <c r="K39" s="33" t="n"/>
      <c r="L39" s="32" t="n"/>
      <c r="M39" s="33" t="n"/>
      <c r="N39" s="33" t="n"/>
      <c r="O39" s="33" t="n"/>
      <c r="P39" s="32" t="n"/>
      <c r="Q39" s="33" t="n"/>
      <c r="R39" s="33" t="n"/>
      <c r="S39" s="33" t="n"/>
      <c r="T39" s="33" t="n"/>
      <c r="U39" s="32" t="n"/>
      <c r="V39" s="33" t="n"/>
      <c r="W39" s="33" t="n"/>
      <c r="X39" s="33" t="n"/>
      <c r="Y39" s="33" t="n"/>
      <c r="Z39" s="33" t="n"/>
      <c r="AA39" s="33" t="n"/>
      <c r="AB39" s="33" t="n"/>
      <c r="AC39" s="33" t="n"/>
      <c r="AD39" s="33" t="n"/>
      <c r="AE39" s="33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29">
        <f>IF(NOT(COUNTA(A39:AE39)&gt;0),"",IF(A39="","New client","Update"))</f>
        <v/>
      </c>
      <c r="AS39" s="29">
        <f>IF(BA39&lt;&gt;"",BA39,IF(LEN(AZ39)=15,MID(AZ39,3,10),""))</f>
        <v/>
      </c>
      <c r="AT39" s="29">
        <f>IF(BB39="","",BB39&amp;IF(D39="","  (guessed from PAN)",""))</f>
        <v/>
      </c>
      <c r="AU39" s="29">
        <f>IF(AZ39="","",IFERROR(INDEX(Lists!$L$2:$L$38,MATCH(LEFT(AZ39,2),Lists!$K$2:$K$38,0)),"Unknown code"))</f>
        <v/>
      </c>
      <c r="AV39" s="29">
        <f>IF(AZ39="","",IFERROR(IF(NOT(AND(LEN(AZ39)=15,ISNUMBER(MATCH(LEFT(AZ39,2),Lists!$K$2:$K$38,0)),SUMPRODUCT(--ISERROR(FIND(MID(MID(AZ39,3,10),{1,2,3,4,5,10},1),"ABCDEFGHIJKLMNOPQRSTUVWXYZ")))=0,SUMPRODUCT(--ISERROR(FIND(MID(MID(AZ39,3,10),{6,7,8,9},1),"0123456789")))=0,ISNUMBER(FIND(MID(AZ39,13,1),"123456789ABCDEFGHIJKLMNOPQRSTUVWXYZ")),MID(AZ39,14,1)="Z")),"Wrong format",IF(MID("0123456789ABCDEFGHIJKLMNOPQRSTUVWXYZ",MOD(36-MOD(SUMPRODUCT(INT((FIND(MID(AZ39,{1,2,3,4,5,6,7,8,9,10,11,12,13,14},1),"0123456789ABCDEFGHIJKLMNOPQRSTUVWXYZ")-1)*{1,2,1,2,1,2,1,2,1,2,1,2,1,2}/36)+MOD((FIND(MID(AZ39,{1,2,3,4,5,6,7,8,9,10,11,12,13,14},1),"0123456789ABCDEFGHIJKLMNOPQRSTUVWXYZ")-1)*{1,2,1,2,1,2,1,2,1,2,1,2,1,2},36)),36),36)+1,1)=MID(AZ39,15,1),"OK","Typo? check digit wrong")),"Wrong format"))</f>
        <v/>
      </c>
      <c r="AW39" s="29">
        <f>IF(BA39="","",IF(AND(LEN(BA39)=10,SUMPRODUCT(--ISERROR(FIND(MID(BA39,{1,2,3,4,5,10},1),"ABCDEFGHIJKLMNOPQRSTUVWXYZ")))=0,SUMPRODUCT(--ISERROR(FIND(MID(BA39,{6,7,8,9},1),"0123456789")))=0),"OK","Wrong format"))</f>
        <v/>
      </c>
      <c r="AX39" s="29">
        <f>IF(TRIM(H39)="","",IF(AND(LEN(UPPER(TRIM(H39)))=10,SUMPRODUCT(--ISERROR(FIND(MID(UPPER(TRIM(H39)),{1,2,3,4,10},1),"ABCDEFGHIJKLMNOPQRSTUVWXYZ")))=0,SUMPRODUCT(--ISERROR(FIND(MID(UPPER(TRIM(H39)),{5,6,7,8,9},1),"0123456789")))=0),"OK","Wrong format"))</f>
        <v/>
      </c>
      <c r="AY39" s="30">
        <f>IF(NOT(COUNTA(A39:AE39)&gt;0),"",IF(BE39&lt;&gt;"","✖ "&amp;LEFT(BE39,LEN(BE39)-2),IF(BD39&gt;0,"✔ Ready — client + "&amp;BD39&amp;" service(s)","✔ Ready — client only")))</f>
        <v/>
      </c>
      <c r="AZ39" s="31">
        <f>UPPER(SUBSTITUTE(TRIM(F39)," ",""))</f>
        <v/>
      </c>
      <c r="BA39" s="31">
        <f>UPPER(SUBSTITUTE(TRIM(E39)," ",""))</f>
        <v/>
      </c>
      <c r="BB39" s="31">
        <f>IF(D39&lt;&gt;"",D39,IFERROR(VLOOKUP(MID(AS39,4,1),Lists!$E$2:$F$8,2,FALSE),""))</f>
        <v/>
      </c>
      <c r="BC39" s="31">
        <f>IFERROR(VLOOKUP(BB39,Lists!$A$2:$C$12,3,FALSE),"")</f>
        <v/>
      </c>
      <c r="BD39" s="31">
        <f>COUNTIF(W39:AC39,"Yes")</f>
        <v/>
      </c>
      <c r="BE39" s="31">
        <f>IF(TRIM(B39)="","Legal name missing; ","")&amp;IF(AND(AV39&lt;&gt;"",AV39&lt;&gt;"OK"),"GSTIN: "&amp;AV39&amp;"; ","")&amp;IF(AND(AW39&lt;&gt;"",AW39&lt;&gt;"OK"),"PAN wrong format; ","")&amp;IF(AND(BA39&lt;&gt;"",LEN(AZ39)=15,MID(AZ39,3,10)&lt;&gt;BA39),"PAN does not match GSTIN; ","")&amp;IF(AND(AX39&lt;&gt;"",AX39&lt;&gt;"OK"),"TAN wrong format; ","")&amp;IF(AS39="","PAN missing; ","")&amp;IF(BB39="","Entity type missing; ","")&amp;IF(AND(AZ39&lt;&gt;"",COUNTIF($AZ$6:$AZ$1005,AZ39)&gt;1),"GSTIN repeated in this sheet; ","")&amp;IF(AND(AS39&lt;&gt;"",COUNTIF($AS$6:$AS$1005,AS39)&gt;1),"PAN repeated in this sheet (same client? put extra GSTINs in Other GSTINs); ","")&amp;IF(AND(BD39&gt;0,V39=""),"Financial year missing; ","")&amp;IF(AND(BD39=0,V39&lt;&gt;""),"Financial year given but no service is Yes; ","")&amp;IF(AND(W39="Yes",AZ39=""),"GST needs a GSTIN; ","")&amp;IF(AND(W39="Yes",X39=""),"GST return frequency missing; ","")&amp;IF(AND(Y39="Yes",TRIM(H39)=""),"TDS needs a TAN; ","")&amp;IF(AND(AA39="Yes",BC39&lt;&gt;"",BC39&lt;&gt;"company",BC39&lt;&gt;"llp"),"ROC is only for a company / LLP; ","")&amp;IF(AND(AA39="Yes",OR(BC39="company",BC39="llp"),TRIM(I39)=""),"ROC needs the CIN / LLPIN; ","")&amp;IF((TRIM(AF39)="")&lt;&gt;(TRIM(AG39)=""),"GST login needs both user ID and password; ","")&amp;IF((TRIM(AH39)="")&lt;&gt;(TRIM(AI39)=""),"Income-tax login needs both user ID and password; ","")&amp;IF((TRIM(AJ39)="")&lt;&gt;(TRIM(AK39)=""),"Income-tax login needs both user ID and password; ","")&amp;IF((TRIM(AL39)="")&lt;&gt;(TRIM(AM39)=""),"TRACES login needs both user ID and password; ","")&amp;IF((TRIM(AN39)="")&lt;&gt;(TRIM(AO39)=""),"MCA login needs both user ID and password; ","")&amp;IF((TRIM(AP39)="")&lt;&gt;(TRIM(AQ39)=""),"E-way bill login needs both user ID and password; ","")</f>
        <v/>
      </c>
    </row>
    <row r="40">
      <c r="A40" s="32" t="n"/>
      <c r="B40" s="33" t="n"/>
      <c r="C40" s="33" t="n"/>
      <c r="D40" s="33" t="n"/>
      <c r="E40" s="32" t="n"/>
      <c r="F40" s="32" t="n"/>
      <c r="G40" s="32" t="n"/>
      <c r="H40" s="32" t="n"/>
      <c r="I40" s="32" t="n"/>
      <c r="J40" s="34" t="n"/>
      <c r="K40" s="33" t="n"/>
      <c r="L40" s="32" t="n"/>
      <c r="M40" s="33" t="n"/>
      <c r="N40" s="33" t="n"/>
      <c r="O40" s="33" t="n"/>
      <c r="P40" s="32" t="n"/>
      <c r="Q40" s="33" t="n"/>
      <c r="R40" s="33" t="n"/>
      <c r="S40" s="33" t="n"/>
      <c r="T40" s="33" t="n"/>
      <c r="U40" s="32" t="n"/>
      <c r="V40" s="33" t="n"/>
      <c r="W40" s="33" t="n"/>
      <c r="X40" s="33" t="n"/>
      <c r="Y40" s="33" t="n"/>
      <c r="Z40" s="33" t="n"/>
      <c r="AA40" s="33" t="n"/>
      <c r="AB40" s="33" t="n"/>
      <c r="AC40" s="33" t="n"/>
      <c r="AD40" s="33" t="n"/>
      <c r="AE40" s="33" t="n"/>
      <c r="AF40" s="32" t="n"/>
      <c r="AG40" s="32" t="n"/>
      <c r="AH40" s="32" t="n"/>
      <c r="AI40" s="32" t="n"/>
      <c r="AJ40" s="32" t="n"/>
      <c r="AK40" s="32" t="n"/>
      <c r="AL40" s="32" t="n"/>
      <c r="AM40" s="32" t="n"/>
      <c r="AN40" s="32" t="n"/>
      <c r="AO40" s="32" t="n"/>
      <c r="AP40" s="32" t="n"/>
      <c r="AQ40" s="32" t="n"/>
      <c r="AR40" s="29">
        <f>IF(NOT(COUNTA(A40:AE40)&gt;0),"",IF(A40="","New client","Update"))</f>
        <v/>
      </c>
      <c r="AS40" s="29">
        <f>IF(BA40&lt;&gt;"",BA40,IF(LEN(AZ40)=15,MID(AZ40,3,10),""))</f>
        <v/>
      </c>
      <c r="AT40" s="29">
        <f>IF(BB40="","",BB40&amp;IF(D40="","  (guessed from PAN)",""))</f>
        <v/>
      </c>
      <c r="AU40" s="29">
        <f>IF(AZ40="","",IFERROR(INDEX(Lists!$L$2:$L$38,MATCH(LEFT(AZ40,2),Lists!$K$2:$K$38,0)),"Unknown code"))</f>
        <v/>
      </c>
      <c r="AV40" s="29">
        <f>IF(AZ40="","",IFERROR(IF(NOT(AND(LEN(AZ40)=15,ISNUMBER(MATCH(LEFT(AZ40,2),Lists!$K$2:$K$38,0)),SUMPRODUCT(--ISERROR(FIND(MID(MID(AZ40,3,10),{1,2,3,4,5,10},1),"ABCDEFGHIJKLMNOPQRSTUVWXYZ")))=0,SUMPRODUCT(--ISERROR(FIND(MID(MID(AZ40,3,10),{6,7,8,9},1),"0123456789")))=0,ISNUMBER(FIND(MID(AZ40,13,1),"123456789ABCDEFGHIJKLMNOPQRSTUVWXYZ")),MID(AZ40,14,1)="Z")),"Wrong format",IF(MID("0123456789ABCDEFGHIJKLMNOPQRSTUVWXYZ",MOD(36-MOD(SUMPRODUCT(INT((FIND(MID(AZ40,{1,2,3,4,5,6,7,8,9,10,11,12,13,14},1),"0123456789ABCDEFGHIJKLMNOPQRSTUVWXYZ")-1)*{1,2,1,2,1,2,1,2,1,2,1,2,1,2}/36)+MOD((FIND(MID(AZ40,{1,2,3,4,5,6,7,8,9,10,11,12,13,14},1),"0123456789ABCDEFGHIJKLMNOPQRSTUVWXYZ")-1)*{1,2,1,2,1,2,1,2,1,2,1,2,1,2},36)),36),36)+1,1)=MID(AZ40,15,1),"OK","Typo? check digit wrong")),"Wrong format"))</f>
        <v/>
      </c>
      <c r="AW40" s="29">
        <f>IF(BA40="","",IF(AND(LEN(BA40)=10,SUMPRODUCT(--ISERROR(FIND(MID(BA40,{1,2,3,4,5,10},1),"ABCDEFGHIJKLMNOPQRSTUVWXYZ")))=0,SUMPRODUCT(--ISERROR(FIND(MID(BA40,{6,7,8,9},1),"0123456789")))=0),"OK","Wrong format"))</f>
        <v/>
      </c>
      <c r="AX40" s="29">
        <f>IF(TRIM(H40)="","",IF(AND(LEN(UPPER(TRIM(H40)))=10,SUMPRODUCT(--ISERROR(FIND(MID(UPPER(TRIM(H40)),{1,2,3,4,10},1),"ABCDEFGHIJKLMNOPQRSTUVWXYZ")))=0,SUMPRODUCT(--ISERROR(FIND(MID(UPPER(TRIM(H40)),{5,6,7,8,9},1),"0123456789")))=0),"OK","Wrong format"))</f>
        <v/>
      </c>
      <c r="AY40" s="30">
        <f>IF(NOT(COUNTA(A40:AE40)&gt;0),"",IF(BE40&lt;&gt;"","✖ "&amp;LEFT(BE40,LEN(BE40)-2),IF(BD40&gt;0,"✔ Ready — client + "&amp;BD40&amp;" service(s)","✔ Ready — client only")))</f>
        <v/>
      </c>
      <c r="AZ40" s="31">
        <f>UPPER(SUBSTITUTE(TRIM(F40)," ",""))</f>
        <v/>
      </c>
      <c r="BA40" s="31">
        <f>UPPER(SUBSTITUTE(TRIM(E40)," ",""))</f>
        <v/>
      </c>
      <c r="BB40" s="31">
        <f>IF(D40&lt;&gt;"",D40,IFERROR(VLOOKUP(MID(AS40,4,1),Lists!$E$2:$F$8,2,FALSE),""))</f>
        <v/>
      </c>
      <c r="BC40" s="31">
        <f>IFERROR(VLOOKUP(BB40,Lists!$A$2:$C$12,3,FALSE),"")</f>
        <v/>
      </c>
      <c r="BD40" s="31">
        <f>COUNTIF(W40:AC40,"Yes")</f>
        <v/>
      </c>
      <c r="BE40" s="31">
        <f>IF(TRIM(B40)="","Legal name missing; ","")&amp;IF(AND(AV40&lt;&gt;"",AV40&lt;&gt;"OK"),"GSTIN: "&amp;AV40&amp;"; ","")&amp;IF(AND(AW40&lt;&gt;"",AW40&lt;&gt;"OK"),"PAN wrong format; ","")&amp;IF(AND(BA40&lt;&gt;"",LEN(AZ40)=15,MID(AZ40,3,10)&lt;&gt;BA40),"PAN does not match GSTIN; ","")&amp;IF(AND(AX40&lt;&gt;"",AX40&lt;&gt;"OK"),"TAN wrong format; ","")&amp;IF(AS40="","PAN missing; ","")&amp;IF(BB40="","Entity type missing; ","")&amp;IF(AND(AZ40&lt;&gt;"",COUNTIF($AZ$6:$AZ$1005,AZ40)&gt;1),"GSTIN repeated in this sheet; ","")&amp;IF(AND(AS40&lt;&gt;"",COUNTIF($AS$6:$AS$1005,AS40)&gt;1),"PAN repeated in this sheet (same client? put extra GSTINs in Other GSTINs); ","")&amp;IF(AND(BD40&gt;0,V40=""),"Financial year missing; ","")&amp;IF(AND(BD40=0,V40&lt;&gt;""),"Financial year given but no service is Yes; ","")&amp;IF(AND(W40="Yes",AZ40=""),"GST needs a GSTIN; ","")&amp;IF(AND(W40="Yes",X40=""),"GST return frequency missing; ","")&amp;IF(AND(Y40="Yes",TRIM(H40)=""),"TDS needs a TAN; ","")&amp;IF(AND(AA40="Yes",BC40&lt;&gt;"",BC40&lt;&gt;"company",BC40&lt;&gt;"llp"),"ROC is only for a company / LLP; ","")&amp;IF(AND(AA40="Yes",OR(BC40="company",BC40="llp"),TRIM(I40)=""),"ROC needs the CIN / LLPIN; ","")&amp;IF((TRIM(AF40)="")&lt;&gt;(TRIM(AG40)=""),"GST login needs both user ID and password; ","")&amp;IF((TRIM(AH40)="")&lt;&gt;(TRIM(AI40)=""),"Income-tax login needs both user ID and password; ","")&amp;IF((TRIM(AJ40)="")&lt;&gt;(TRIM(AK40)=""),"Income-tax login needs both user ID and password; ","")&amp;IF((TRIM(AL40)="")&lt;&gt;(TRIM(AM40)=""),"TRACES login needs both user ID and password; ","")&amp;IF((TRIM(AN40)="")&lt;&gt;(TRIM(AO40)=""),"MCA login needs both user ID and password; ","")&amp;IF((TRIM(AP40)="")&lt;&gt;(TRIM(AQ40)=""),"E-way bill login needs both user ID and password; ","")</f>
        <v/>
      </c>
    </row>
    <row r="41">
      <c r="A41" s="32" t="n"/>
      <c r="B41" s="33" t="n"/>
      <c r="C41" s="33" t="n"/>
      <c r="D41" s="33" t="n"/>
      <c r="E41" s="32" t="n"/>
      <c r="F41" s="32" t="n"/>
      <c r="G41" s="32" t="n"/>
      <c r="H41" s="32" t="n"/>
      <c r="I41" s="32" t="n"/>
      <c r="J41" s="34" t="n"/>
      <c r="K41" s="33" t="n"/>
      <c r="L41" s="32" t="n"/>
      <c r="M41" s="33" t="n"/>
      <c r="N41" s="33" t="n"/>
      <c r="O41" s="33" t="n"/>
      <c r="P41" s="32" t="n"/>
      <c r="Q41" s="33" t="n"/>
      <c r="R41" s="33" t="n"/>
      <c r="S41" s="33" t="n"/>
      <c r="T41" s="33" t="n"/>
      <c r="U41" s="32" t="n"/>
      <c r="V41" s="33" t="n"/>
      <c r="W41" s="33" t="n"/>
      <c r="X41" s="33" t="n"/>
      <c r="Y41" s="33" t="n"/>
      <c r="Z41" s="33" t="n"/>
      <c r="AA41" s="33" t="n"/>
      <c r="AB41" s="33" t="n"/>
      <c r="AC41" s="33" t="n"/>
      <c r="AD41" s="33" t="n"/>
      <c r="AE41" s="33" t="n"/>
      <c r="AF41" s="32" t="n"/>
      <c r="AG41" s="32" t="n"/>
      <c r="AH41" s="32" t="n"/>
      <c r="AI41" s="32" t="n"/>
      <c r="AJ41" s="32" t="n"/>
      <c r="AK41" s="32" t="n"/>
      <c r="AL41" s="32" t="n"/>
      <c r="AM41" s="32" t="n"/>
      <c r="AN41" s="32" t="n"/>
      <c r="AO41" s="32" t="n"/>
      <c r="AP41" s="32" t="n"/>
      <c r="AQ41" s="32" t="n"/>
      <c r="AR41" s="29">
        <f>IF(NOT(COUNTA(A41:AE41)&gt;0),"",IF(A41="","New client","Update"))</f>
        <v/>
      </c>
      <c r="AS41" s="29">
        <f>IF(BA41&lt;&gt;"",BA41,IF(LEN(AZ41)=15,MID(AZ41,3,10),""))</f>
        <v/>
      </c>
      <c r="AT41" s="29">
        <f>IF(BB41="","",BB41&amp;IF(D41="","  (guessed from PAN)",""))</f>
        <v/>
      </c>
      <c r="AU41" s="29">
        <f>IF(AZ41="","",IFERROR(INDEX(Lists!$L$2:$L$38,MATCH(LEFT(AZ41,2),Lists!$K$2:$K$38,0)),"Unknown code"))</f>
        <v/>
      </c>
      <c r="AV41" s="29">
        <f>IF(AZ41="","",IFERROR(IF(NOT(AND(LEN(AZ41)=15,ISNUMBER(MATCH(LEFT(AZ41,2),Lists!$K$2:$K$38,0)),SUMPRODUCT(--ISERROR(FIND(MID(MID(AZ41,3,10),{1,2,3,4,5,10},1),"ABCDEFGHIJKLMNOPQRSTUVWXYZ")))=0,SUMPRODUCT(--ISERROR(FIND(MID(MID(AZ41,3,10),{6,7,8,9},1),"0123456789")))=0,ISNUMBER(FIND(MID(AZ41,13,1),"123456789ABCDEFGHIJKLMNOPQRSTUVWXYZ")),MID(AZ41,14,1)="Z")),"Wrong format",IF(MID("0123456789ABCDEFGHIJKLMNOPQRSTUVWXYZ",MOD(36-MOD(SUMPRODUCT(INT((FIND(MID(AZ41,{1,2,3,4,5,6,7,8,9,10,11,12,13,14},1),"0123456789ABCDEFGHIJKLMNOPQRSTUVWXYZ")-1)*{1,2,1,2,1,2,1,2,1,2,1,2,1,2}/36)+MOD((FIND(MID(AZ41,{1,2,3,4,5,6,7,8,9,10,11,12,13,14},1),"0123456789ABCDEFGHIJKLMNOPQRSTUVWXYZ")-1)*{1,2,1,2,1,2,1,2,1,2,1,2,1,2},36)),36),36)+1,1)=MID(AZ41,15,1),"OK","Typo? check digit wrong")),"Wrong format"))</f>
        <v/>
      </c>
      <c r="AW41" s="29">
        <f>IF(BA41="","",IF(AND(LEN(BA41)=10,SUMPRODUCT(--ISERROR(FIND(MID(BA41,{1,2,3,4,5,10},1),"ABCDEFGHIJKLMNOPQRSTUVWXYZ")))=0,SUMPRODUCT(--ISERROR(FIND(MID(BA41,{6,7,8,9},1),"0123456789")))=0),"OK","Wrong format"))</f>
        <v/>
      </c>
      <c r="AX41" s="29">
        <f>IF(TRIM(H41)="","",IF(AND(LEN(UPPER(TRIM(H41)))=10,SUMPRODUCT(--ISERROR(FIND(MID(UPPER(TRIM(H41)),{1,2,3,4,10},1),"ABCDEFGHIJKLMNOPQRSTUVWXYZ")))=0,SUMPRODUCT(--ISERROR(FIND(MID(UPPER(TRIM(H41)),{5,6,7,8,9},1),"0123456789")))=0),"OK","Wrong format"))</f>
        <v/>
      </c>
      <c r="AY41" s="30">
        <f>IF(NOT(COUNTA(A41:AE41)&gt;0),"",IF(BE41&lt;&gt;"","✖ "&amp;LEFT(BE41,LEN(BE41)-2),IF(BD41&gt;0,"✔ Ready — client + "&amp;BD41&amp;" service(s)","✔ Ready — client only")))</f>
        <v/>
      </c>
      <c r="AZ41" s="31">
        <f>UPPER(SUBSTITUTE(TRIM(F41)," ",""))</f>
        <v/>
      </c>
      <c r="BA41" s="31">
        <f>UPPER(SUBSTITUTE(TRIM(E41)," ",""))</f>
        <v/>
      </c>
      <c r="BB41" s="31">
        <f>IF(D41&lt;&gt;"",D41,IFERROR(VLOOKUP(MID(AS41,4,1),Lists!$E$2:$F$8,2,FALSE),""))</f>
        <v/>
      </c>
      <c r="BC41" s="31">
        <f>IFERROR(VLOOKUP(BB41,Lists!$A$2:$C$12,3,FALSE),"")</f>
        <v/>
      </c>
      <c r="BD41" s="31">
        <f>COUNTIF(W41:AC41,"Yes")</f>
        <v/>
      </c>
      <c r="BE41" s="31">
        <f>IF(TRIM(B41)="","Legal name missing; ","")&amp;IF(AND(AV41&lt;&gt;"",AV41&lt;&gt;"OK"),"GSTIN: "&amp;AV41&amp;"; ","")&amp;IF(AND(AW41&lt;&gt;"",AW41&lt;&gt;"OK"),"PAN wrong format; ","")&amp;IF(AND(BA41&lt;&gt;"",LEN(AZ41)=15,MID(AZ41,3,10)&lt;&gt;BA41),"PAN does not match GSTIN; ","")&amp;IF(AND(AX41&lt;&gt;"",AX41&lt;&gt;"OK"),"TAN wrong format; ","")&amp;IF(AS41="","PAN missing; ","")&amp;IF(BB41="","Entity type missing; ","")&amp;IF(AND(AZ41&lt;&gt;"",COUNTIF($AZ$6:$AZ$1005,AZ41)&gt;1),"GSTIN repeated in this sheet; ","")&amp;IF(AND(AS41&lt;&gt;"",COUNTIF($AS$6:$AS$1005,AS41)&gt;1),"PAN repeated in this sheet (same client? put extra GSTINs in Other GSTINs); ","")&amp;IF(AND(BD41&gt;0,V41=""),"Financial year missing; ","")&amp;IF(AND(BD41=0,V41&lt;&gt;""),"Financial year given but no service is Yes; ","")&amp;IF(AND(W41="Yes",AZ41=""),"GST needs a GSTIN; ","")&amp;IF(AND(W41="Yes",X41=""),"GST return frequency missing; ","")&amp;IF(AND(Y41="Yes",TRIM(H41)=""),"TDS needs a TAN; ","")&amp;IF(AND(AA41="Yes",BC41&lt;&gt;"",BC41&lt;&gt;"company",BC41&lt;&gt;"llp"),"ROC is only for a company / LLP; ","")&amp;IF(AND(AA41="Yes",OR(BC41="company",BC41="llp"),TRIM(I41)=""),"ROC needs the CIN / LLPIN; ","")&amp;IF((TRIM(AF41)="")&lt;&gt;(TRIM(AG41)=""),"GST login needs both user ID and password; ","")&amp;IF((TRIM(AH41)="")&lt;&gt;(TRIM(AI41)=""),"Income-tax login needs both user ID and password; ","")&amp;IF((TRIM(AJ41)="")&lt;&gt;(TRIM(AK41)=""),"Income-tax login needs both user ID and password; ","")&amp;IF((TRIM(AL41)="")&lt;&gt;(TRIM(AM41)=""),"TRACES login needs both user ID and password; ","")&amp;IF((TRIM(AN41)="")&lt;&gt;(TRIM(AO41)=""),"MCA login needs both user ID and password; ","")&amp;IF((TRIM(AP41)="")&lt;&gt;(TRIM(AQ41)=""),"E-way bill login needs both user ID and password; ","")</f>
        <v/>
      </c>
    </row>
    <row r="42">
      <c r="A42" s="32" t="n"/>
      <c r="B42" s="33" t="n"/>
      <c r="C42" s="33" t="n"/>
      <c r="D42" s="33" t="n"/>
      <c r="E42" s="32" t="n"/>
      <c r="F42" s="32" t="n"/>
      <c r="G42" s="32" t="n"/>
      <c r="H42" s="32" t="n"/>
      <c r="I42" s="32" t="n"/>
      <c r="J42" s="34" t="n"/>
      <c r="K42" s="33" t="n"/>
      <c r="L42" s="32" t="n"/>
      <c r="M42" s="33" t="n"/>
      <c r="N42" s="33" t="n"/>
      <c r="O42" s="33" t="n"/>
      <c r="P42" s="32" t="n"/>
      <c r="Q42" s="33" t="n"/>
      <c r="R42" s="33" t="n"/>
      <c r="S42" s="33" t="n"/>
      <c r="T42" s="33" t="n"/>
      <c r="U42" s="32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2" t="n"/>
      <c r="AG42" s="32" t="n"/>
      <c r="AH42" s="32" t="n"/>
      <c r="AI42" s="32" t="n"/>
      <c r="AJ42" s="32" t="n"/>
      <c r="AK42" s="32" t="n"/>
      <c r="AL42" s="32" t="n"/>
      <c r="AM42" s="32" t="n"/>
      <c r="AN42" s="32" t="n"/>
      <c r="AO42" s="32" t="n"/>
      <c r="AP42" s="32" t="n"/>
      <c r="AQ42" s="32" t="n"/>
      <c r="AR42" s="29">
        <f>IF(NOT(COUNTA(A42:AE42)&gt;0),"",IF(A42="","New client","Update"))</f>
        <v/>
      </c>
      <c r="AS42" s="29">
        <f>IF(BA42&lt;&gt;"",BA42,IF(LEN(AZ42)=15,MID(AZ42,3,10),""))</f>
        <v/>
      </c>
      <c r="AT42" s="29">
        <f>IF(BB42="","",BB42&amp;IF(D42="","  (guessed from PAN)",""))</f>
        <v/>
      </c>
      <c r="AU42" s="29">
        <f>IF(AZ42="","",IFERROR(INDEX(Lists!$L$2:$L$38,MATCH(LEFT(AZ42,2),Lists!$K$2:$K$38,0)),"Unknown code"))</f>
        <v/>
      </c>
      <c r="AV42" s="29">
        <f>IF(AZ42="","",IFERROR(IF(NOT(AND(LEN(AZ42)=15,ISNUMBER(MATCH(LEFT(AZ42,2),Lists!$K$2:$K$38,0)),SUMPRODUCT(--ISERROR(FIND(MID(MID(AZ42,3,10),{1,2,3,4,5,10},1),"ABCDEFGHIJKLMNOPQRSTUVWXYZ")))=0,SUMPRODUCT(--ISERROR(FIND(MID(MID(AZ42,3,10),{6,7,8,9},1),"0123456789")))=0,ISNUMBER(FIND(MID(AZ42,13,1),"123456789ABCDEFGHIJKLMNOPQRSTUVWXYZ")),MID(AZ42,14,1)="Z")),"Wrong format",IF(MID("0123456789ABCDEFGHIJKLMNOPQRSTUVWXYZ",MOD(36-MOD(SUMPRODUCT(INT((FIND(MID(AZ42,{1,2,3,4,5,6,7,8,9,10,11,12,13,14},1),"0123456789ABCDEFGHIJKLMNOPQRSTUVWXYZ")-1)*{1,2,1,2,1,2,1,2,1,2,1,2,1,2}/36)+MOD((FIND(MID(AZ42,{1,2,3,4,5,6,7,8,9,10,11,12,13,14},1),"0123456789ABCDEFGHIJKLMNOPQRSTUVWXYZ")-1)*{1,2,1,2,1,2,1,2,1,2,1,2,1,2},36)),36),36)+1,1)=MID(AZ42,15,1),"OK","Typo? check digit wrong")),"Wrong format"))</f>
        <v/>
      </c>
      <c r="AW42" s="29">
        <f>IF(BA42="","",IF(AND(LEN(BA42)=10,SUMPRODUCT(--ISERROR(FIND(MID(BA42,{1,2,3,4,5,10},1),"ABCDEFGHIJKLMNOPQRSTUVWXYZ")))=0,SUMPRODUCT(--ISERROR(FIND(MID(BA42,{6,7,8,9},1),"0123456789")))=0),"OK","Wrong format"))</f>
        <v/>
      </c>
      <c r="AX42" s="29">
        <f>IF(TRIM(H42)="","",IF(AND(LEN(UPPER(TRIM(H42)))=10,SUMPRODUCT(--ISERROR(FIND(MID(UPPER(TRIM(H42)),{1,2,3,4,10},1),"ABCDEFGHIJKLMNOPQRSTUVWXYZ")))=0,SUMPRODUCT(--ISERROR(FIND(MID(UPPER(TRIM(H42)),{5,6,7,8,9},1),"0123456789")))=0),"OK","Wrong format"))</f>
        <v/>
      </c>
      <c r="AY42" s="30">
        <f>IF(NOT(COUNTA(A42:AE42)&gt;0),"",IF(BE42&lt;&gt;"","✖ "&amp;LEFT(BE42,LEN(BE42)-2),IF(BD42&gt;0,"✔ Ready — client + "&amp;BD42&amp;" service(s)","✔ Ready — client only")))</f>
        <v/>
      </c>
      <c r="AZ42" s="31">
        <f>UPPER(SUBSTITUTE(TRIM(F42)," ",""))</f>
        <v/>
      </c>
      <c r="BA42" s="31">
        <f>UPPER(SUBSTITUTE(TRIM(E42)," ",""))</f>
        <v/>
      </c>
      <c r="BB42" s="31">
        <f>IF(D42&lt;&gt;"",D42,IFERROR(VLOOKUP(MID(AS42,4,1),Lists!$E$2:$F$8,2,FALSE),""))</f>
        <v/>
      </c>
      <c r="BC42" s="31">
        <f>IFERROR(VLOOKUP(BB42,Lists!$A$2:$C$12,3,FALSE),"")</f>
        <v/>
      </c>
      <c r="BD42" s="31">
        <f>COUNTIF(W42:AC42,"Yes")</f>
        <v/>
      </c>
      <c r="BE42" s="31">
        <f>IF(TRIM(B42)="","Legal name missing; ","")&amp;IF(AND(AV42&lt;&gt;"",AV42&lt;&gt;"OK"),"GSTIN: "&amp;AV42&amp;"; ","")&amp;IF(AND(AW42&lt;&gt;"",AW42&lt;&gt;"OK"),"PAN wrong format; ","")&amp;IF(AND(BA42&lt;&gt;"",LEN(AZ42)=15,MID(AZ42,3,10)&lt;&gt;BA42),"PAN does not match GSTIN; ","")&amp;IF(AND(AX42&lt;&gt;"",AX42&lt;&gt;"OK"),"TAN wrong format; ","")&amp;IF(AS42="","PAN missing; ","")&amp;IF(BB42="","Entity type missing; ","")&amp;IF(AND(AZ42&lt;&gt;"",COUNTIF($AZ$6:$AZ$1005,AZ42)&gt;1),"GSTIN repeated in this sheet; ","")&amp;IF(AND(AS42&lt;&gt;"",COUNTIF($AS$6:$AS$1005,AS42)&gt;1),"PAN repeated in this sheet (same client? put extra GSTINs in Other GSTINs); ","")&amp;IF(AND(BD42&gt;0,V42=""),"Financial year missing; ","")&amp;IF(AND(BD42=0,V42&lt;&gt;""),"Financial year given but no service is Yes; ","")&amp;IF(AND(W42="Yes",AZ42=""),"GST needs a GSTIN; ","")&amp;IF(AND(W42="Yes",X42=""),"GST return frequency missing; ","")&amp;IF(AND(Y42="Yes",TRIM(H42)=""),"TDS needs a TAN; ","")&amp;IF(AND(AA42="Yes",BC42&lt;&gt;"",BC42&lt;&gt;"company",BC42&lt;&gt;"llp"),"ROC is only for a company / LLP; ","")&amp;IF(AND(AA42="Yes",OR(BC42="company",BC42="llp"),TRIM(I42)=""),"ROC needs the CIN / LLPIN; ","")&amp;IF((TRIM(AF42)="")&lt;&gt;(TRIM(AG42)=""),"GST login needs both user ID and password; ","")&amp;IF((TRIM(AH42)="")&lt;&gt;(TRIM(AI42)=""),"Income-tax login needs both user ID and password; ","")&amp;IF((TRIM(AJ42)="")&lt;&gt;(TRIM(AK42)=""),"Income-tax login needs both user ID and password; ","")&amp;IF((TRIM(AL42)="")&lt;&gt;(TRIM(AM42)=""),"TRACES login needs both user ID and password; ","")&amp;IF((TRIM(AN42)="")&lt;&gt;(TRIM(AO42)=""),"MCA login needs both user ID and password; ","")&amp;IF((TRIM(AP42)="")&lt;&gt;(TRIM(AQ42)=""),"E-way bill login needs both user ID and password; ","")</f>
        <v/>
      </c>
    </row>
    <row r="43">
      <c r="A43" s="32" t="n"/>
      <c r="B43" s="33" t="n"/>
      <c r="C43" s="33" t="n"/>
      <c r="D43" s="33" t="n"/>
      <c r="E43" s="32" t="n"/>
      <c r="F43" s="32" t="n"/>
      <c r="G43" s="32" t="n"/>
      <c r="H43" s="32" t="n"/>
      <c r="I43" s="32" t="n"/>
      <c r="J43" s="34" t="n"/>
      <c r="K43" s="33" t="n"/>
      <c r="L43" s="32" t="n"/>
      <c r="M43" s="33" t="n"/>
      <c r="N43" s="33" t="n"/>
      <c r="O43" s="33" t="n"/>
      <c r="P43" s="32" t="n"/>
      <c r="Q43" s="33" t="n"/>
      <c r="R43" s="33" t="n"/>
      <c r="S43" s="33" t="n"/>
      <c r="T43" s="33" t="n"/>
      <c r="U43" s="32" t="n"/>
      <c r="V43" s="33" t="n"/>
      <c r="W43" s="33" t="n"/>
      <c r="X43" s="33" t="n"/>
      <c r="Y43" s="33" t="n"/>
      <c r="Z43" s="33" t="n"/>
      <c r="AA43" s="33" t="n"/>
      <c r="AB43" s="33" t="n"/>
      <c r="AC43" s="33" t="n"/>
      <c r="AD43" s="33" t="n"/>
      <c r="AE43" s="33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29">
        <f>IF(NOT(COUNTA(A43:AE43)&gt;0),"",IF(A43="","New client","Update"))</f>
        <v/>
      </c>
      <c r="AS43" s="29">
        <f>IF(BA43&lt;&gt;"",BA43,IF(LEN(AZ43)=15,MID(AZ43,3,10),""))</f>
        <v/>
      </c>
      <c r="AT43" s="29">
        <f>IF(BB43="","",BB43&amp;IF(D43="","  (guessed from PAN)",""))</f>
        <v/>
      </c>
      <c r="AU43" s="29">
        <f>IF(AZ43="","",IFERROR(INDEX(Lists!$L$2:$L$38,MATCH(LEFT(AZ43,2),Lists!$K$2:$K$38,0)),"Unknown code"))</f>
        <v/>
      </c>
      <c r="AV43" s="29">
        <f>IF(AZ43="","",IFERROR(IF(NOT(AND(LEN(AZ43)=15,ISNUMBER(MATCH(LEFT(AZ43,2),Lists!$K$2:$K$38,0)),SUMPRODUCT(--ISERROR(FIND(MID(MID(AZ43,3,10),{1,2,3,4,5,10},1),"ABCDEFGHIJKLMNOPQRSTUVWXYZ")))=0,SUMPRODUCT(--ISERROR(FIND(MID(MID(AZ43,3,10),{6,7,8,9},1),"0123456789")))=0,ISNUMBER(FIND(MID(AZ43,13,1),"123456789ABCDEFGHIJKLMNOPQRSTUVWXYZ")),MID(AZ43,14,1)="Z")),"Wrong format",IF(MID("0123456789ABCDEFGHIJKLMNOPQRSTUVWXYZ",MOD(36-MOD(SUMPRODUCT(INT((FIND(MID(AZ43,{1,2,3,4,5,6,7,8,9,10,11,12,13,14},1),"0123456789ABCDEFGHIJKLMNOPQRSTUVWXYZ")-1)*{1,2,1,2,1,2,1,2,1,2,1,2,1,2}/36)+MOD((FIND(MID(AZ43,{1,2,3,4,5,6,7,8,9,10,11,12,13,14},1),"0123456789ABCDEFGHIJKLMNOPQRSTUVWXYZ")-1)*{1,2,1,2,1,2,1,2,1,2,1,2,1,2},36)),36),36)+1,1)=MID(AZ43,15,1),"OK","Typo? check digit wrong")),"Wrong format"))</f>
        <v/>
      </c>
      <c r="AW43" s="29">
        <f>IF(BA43="","",IF(AND(LEN(BA43)=10,SUMPRODUCT(--ISERROR(FIND(MID(BA43,{1,2,3,4,5,10},1),"ABCDEFGHIJKLMNOPQRSTUVWXYZ")))=0,SUMPRODUCT(--ISERROR(FIND(MID(BA43,{6,7,8,9},1),"0123456789")))=0),"OK","Wrong format"))</f>
        <v/>
      </c>
      <c r="AX43" s="29">
        <f>IF(TRIM(H43)="","",IF(AND(LEN(UPPER(TRIM(H43)))=10,SUMPRODUCT(--ISERROR(FIND(MID(UPPER(TRIM(H43)),{1,2,3,4,10},1),"ABCDEFGHIJKLMNOPQRSTUVWXYZ")))=0,SUMPRODUCT(--ISERROR(FIND(MID(UPPER(TRIM(H43)),{5,6,7,8,9},1),"0123456789")))=0),"OK","Wrong format"))</f>
        <v/>
      </c>
      <c r="AY43" s="30">
        <f>IF(NOT(COUNTA(A43:AE43)&gt;0),"",IF(BE43&lt;&gt;"","✖ "&amp;LEFT(BE43,LEN(BE43)-2),IF(BD43&gt;0,"✔ Ready — client + "&amp;BD43&amp;" service(s)","✔ Ready — client only")))</f>
        <v/>
      </c>
      <c r="AZ43" s="31">
        <f>UPPER(SUBSTITUTE(TRIM(F43)," ",""))</f>
        <v/>
      </c>
      <c r="BA43" s="31">
        <f>UPPER(SUBSTITUTE(TRIM(E43)," ",""))</f>
        <v/>
      </c>
      <c r="BB43" s="31">
        <f>IF(D43&lt;&gt;"",D43,IFERROR(VLOOKUP(MID(AS43,4,1),Lists!$E$2:$F$8,2,FALSE),""))</f>
        <v/>
      </c>
      <c r="BC43" s="31">
        <f>IFERROR(VLOOKUP(BB43,Lists!$A$2:$C$12,3,FALSE),"")</f>
        <v/>
      </c>
      <c r="BD43" s="31">
        <f>COUNTIF(W43:AC43,"Yes")</f>
        <v/>
      </c>
      <c r="BE43" s="31">
        <f>IF(TRIM(B43)="","Legal name missing; ","")&amp;IF(AND(AV43&lt;&gt;"",AV43&lt;&gt;"OK"),"GSTIN: "&amp;AV43&amp;"; ","")&amp;IF(AND(AW43&lt;&gt;"",AW43&lt;&gt;"OK"),"PAN wrong format; ","")&amp;IF(AND(BA43&lt;&gt;"",LEN(AZ43)=15,MID(AZ43,3,10)&lt;&gt;BA43),"PAN does not match GSTIN; ","")&amp;IF(AND(AX43&lt;&gt;"",AX43&lt;&gt;"OK"),"TAN wrong format; ","")&amp;IF(AS43="","PAN missing; ","")&amp;IF(BB43="","Entity type missing; ","")&amp;IF(AND(AZ43&lt;&gt;"",COUNTIF($AZ$6:$AZ$1005,AZ43)&gt;1),"GSTIN repeated in this sheet; ","")&amp;IF(AND(AS43&lt;&gt;"",COUNTIF($AS$6:$AS$1005,AS43)&gt;1),"PAN repeated in this sheet (same client? put extra GSTINs in Other GSTINs); ","")&amp;IF(AND(BD43&gt;0,V43=""),"Financial year missing; ","")&amp;IF(AND(BD43=0,V43&lt;&gt;""),"Financial year given but no service is Yes; ","")&amp;IF(AND(W43="Yes",AZ43=""),"GST needs a GSTIN; ","")&amp;IF(AND(W43="Yes",X43=""),"GST return frequency missing; ","")&amp;IF(AND(Y43="Yes",TRIM(H43)=""),"TDS needs a TAN; ","")&amp;IF(AND(AA43="Yes",BC43&lt;&gt;"",BC43&lt;&gt;"company",BC43&lt;&gt;"llp"),"ROC is only for a company / LLP; ","")&amp;IF(AND(AA43="Yes",OR(BC43="company",BC43="llp"),TRIM(I43)=""),"ROC needs the CIN / LLPIN; ","")&amp;IF((TRIM(AF43)="")&lt;&gt;(TRIM(AG43)=""),"GST login needs both user ID and password; ","")&amp;IF((TRIM(AH43)="")&lt;&gt;(TRIM(AI43)=""),"Income-tax login needs both user ID and password; ","")&amp;IF((TRIM(AJ43)="")&lt;&gt;(TRIM(AK43)=""),"Income-tax login needs both user ID and password; ","")&amp;IF((TRIM(AL43)="")&lt;&gt;(TRIM(AM43)=""),"TRACES login needs both user ID and password; ","")&amp;IF((TRIM(AN43)="")&lt;&gt;(TRIM(AO43)=""),"MCA login needs both user ID and password; ","")&amp;IF((TRIM(AP43)="")&lt;&gt;(TRIM(AQ43)=""),"E-way bill login needs both user ID and password; ","")</f>
        <v/>
      </c>
    </row>
    <row r="44">
      <c r="A44" s="32" t="n"/>
      <c r="B44" s="33" t="n"/>
      <c r="C44" s="33" t="n"/>
      <c r="D44" s="33" t="n"/>
      <c r="E44" s="32" t="n"/>
      <c r="F44" s="32" t="n"/>
      <c r="G44" s="32" t="n"/>
      <c r="H44" s="32" t="n"/>
      <c r="I44" s="32" t="n"/>
      <c r="J44" s="34" t="n"/>
      <c r="K44" s="33" t="n"/>
      <c r="L44" s="32" t="n"/>
      <c r="M44" s="33" t="n"/>
      <c r="N44" s="33" t="n"/>
      <c r="O44" s="33" t="n"/>
      <c r="P44" s="32" t="n"/>
      <c r="Q44" s="33" t="n"/>
      <c r="R44" s="33" t="n"/>
      <c r="S44" s="33" t="n"/>
      <c r="T44" s="33" t="n"/>
      <c r="U44" s="32" t="n"/>
      <c r="V44" s="33" t="n"/>
      <c r="W44" s="33" t="n"/>
      <c r="X44" s="33" t="n"/>
      <c r="Y44" s="33" t="n"/>
      <c r="Z44" s="33" t="n"/>
      <c r="AA44" s="33" t="n"/>
      <c r="AB44" s="33" t="n"/>
      <c r="AC44" s="33" t="n"/>
      <c r="AD44" s="33" t="n"/>
      <c r="AE44" s="33" t="n"/>
      <c r="AF44" s="32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  <c r="AQ44" s="32" t="n"/>
      <c r="AR44" s="29">
        <f>IF(NOT(COUNTA(A44:AE44)&gt;0),"",IF(A44="","New client","Update"))</f>
        <v/>
      </c>
      <c r="AS44" s="29">
        <f>IF(BA44&lt;&gt;"",BA44,IF(LEN(AZ44)=15,MID(AZ44,3,10),""))</f>
        <v/>
      </c>
      <c r="AT44" s="29">
        <f>IF(BB44="","",BB44&amp;IF(D44="","  (guessed from PAN)",""))</f>
        <v/>
      </c>
      <c r="AU44" s="29">
        <f>IF(AZ44="","",IFERROR(INDEX(Lists!$L$2:$L$38,MATCH(LEFT(AZ44,2),Lists!$K$2:$K$38,0)),"Unknown code"))</f>
        <v/>
      </c>
      <c r="AV44" s="29">
        <f>IF(AZ44="","",IFERROR(IF(NOT(AND(LEN(AZ44)=15,ISNUMBER(MATCH(LEFT(AZ44,2),Lists!$K$2:$K$38,0)),SUMPRODUCT(--ISERROR(FIND(MID(MID(AZ44,3,10),{1,2,3,4,5,10},1),"ABCDEFGHIJKLMNOPQRSTUVWXYZ")))=0,SUMPRODUCT(--ISERROR(FIND(MID(MID(AZ44,3,10),{6,7,8,9},1),"0123456789")))=0,ISNUMBER(FIND(MID(AZ44,13,1),"123456789ABCDEFGHIJKLMNOPQRSTUVWXYZ")),MID(AZ44,14,1)="Z")),"Wrong format",IF(MID("0123456789ABCDEFGHIJKLMNOPQRSTUVWXYZ",MOD(36-MOD(SUMPRODUCT(INT((FIND(MID(AZ44,{1,2,3,4,5,6,7,8,9,10,11,12,13,14},1),"0123456789ABCDEFGHIJKLMNOPQRSTUVWXYZ")-1)*{1,2,1,2,1,2,1,2,1,2,1,2,1,2}/36)+MOD((FIND(MID(AZ44,{1,2,3,4,5,6,7,8,9,10,11,12,13,14},1),"0123456789ABCDEFGHIJKLMNOPQRSTUVWXYZ")-1)*{1,2,1,2,1,2,1,2,1,2,1,2,1,2},36)),36),36)+1,1)=MID(AZ44,15,1),"OK","Typo? check digit wrong")),"Wrong format"))</f>
        <v/>
      </c>
      <c r="AW44" s="29">
        <f>IF(BA44="","",IF(AND(LEN(BA44)=10,SUMPRODUCT(--ISERROR(FIND(MID(BA44,{1,2,3,4,5,10},1),"ABCDEFGHIJKLMNOPQRSTUVWXYZ")))=0,SUMPRODUCT(--ISERROR(FIND(MID(BA44,{6,7,8,9},1),"0123456789")))=0),"OK","Wrong format"))</f>
        <v/>
      </c>
      <c r="AX44" s="29">
        <f>IF(TRIM(H44)="","",IF(AND(LEN(UPPER(TRIM(H44)))=10,SUMPRODUCT(--ISERROR(FIND(MID(UPPER(TRIM(H44)),{1,2,3,4,10},1),"ABCDEFGHIJKLMNOPQRSTUVWXYZ")))=0,SUMPRODUCT(--ISERROR(FIND(MID(UPPER(TRIM(H44)),{5,6,7,8,9},1),"0123456789")))=0),"OK","Wrong format"))</f>
        <v/>
      </c>
      <c r="AY44" s="30">
        <f>IF(NOT(COUNTA(A44:AE44)&gt;0),"",IF(BE44&lt;&gt;"","✖ "&amp;LEFT(BE44,LEN(BE44)-2),IF(BD44&gt;0,"✔ Ready — client + "&amp;BD44&amp;" service(s)","✔ Ready — client only")))</f>
        <v/>
      </c>
      <c r="AZ44" s="31">
        <f>UPPER(SUBSTITUTE(TRIM(F44)," ",""))</f>
        <v/>
      </c>
      <c r="BA44" s="31">
        <f>UPPER(SUBSTITUTE(TRIM(E44)," ",""))</f>
        <v/>
      </c>
      <c r="BB44" s="31">
        <f>IF(D44&lt;&gt;"",D44,IFERROR(VLOOKUP(MID(AS44,4,1),Lists!$E$2:$F$8,2,FALSE),""))</f>
        <v/>
      </c>
      <c r="BC44" s="31">
        <f>IFERROR(VLOOKUP(BB44,Lists!$A$2:$C$12,3,FALSE),"")</f>
        <v/>
      </c>
      <c r="BD44" s="31">
        <f>COUNTIF(W44:AC44,"Yes")</f>
        <v/>
      </c>
      <c r="BE44" s="31">
        <f>IF(TRIM(B44)="","Legal name missing; ","")&amp;IF(AND(AV44&lt;&gt;"",AV44&lt;&gt;"OK"),"GSTIN: "&amp;AV44&amp;"; ","")&amp;IF(AND(AW44&lt;&gt;"",AW44&lt;&gt;"OK"),"PAN wrong format; ","")&amp;IF(AND(BA44&lt;&gt;"",LEN(AZ44)=15,MID(AZ44,3,10)&lt;&gt;BA44),"PAN does not match GSTIN; ","")&amp;IF(AND(AX44&lt;&gt;"",AX44&lt;&gt;"OK"),"TAN wrong format; ","")&amp;IF(AS44="","PAN missing; ","")&amp;IF(BB44="","Entity type missing; ","")&amp;IF(AND(AZ44&lt;&gt;"",COUNTIF($AZ$6:$AZ$1005,AZ44)&gt;1),"GSTIN repeated in this sheet; ","")&amp;IF(AND(AS44&lt;&gt;"",COUNTIF($AS$6:$AS$1005,AS44)&gt;1),"PAN repeated in this sheet (same client? put extra GSTINs in Other GSTINs); ","")&amp;IF(AND(BD44&gt;0,V44=""),"Financial year missing; ","")&amp;IF(AND(BD44=0,V44&lt;&gt;""),"Financial year given but no service is Yes; ","")&amp;IF(AND(W44="Yes",AZ44=""),"GST needs a GSTIN; ","")&amp;IF(AND(W44="Yes",X44=""),"GST return frequency missing; ","")&amp;IF(AND(Y44="Yes",TRIM(H44)=""),"TDS needs a TAN; ","")&amp;IF(AND(AA44="Yes",BC44&lt;&gt;"",BC44&lt;&gt;"company",BC44&lt;&gt;"llp"),"ROC is only for a company / LLP; ","")&amp;IF(AND(AA44="Yes",OR(BC44="company",BC44="llp"),TRIM(I44)=""),"ROC needs the CIN / LLPIN; ","")&amp;IF((TRIM(AF44)="")&lt;&gt;(TRIM(AG44)=""),"GST login needs both user ID and password; ","")&amp;IF((TRIM(AH44)="")&lt;&gt;(TRIM(AI44)=""),"Income-tax login needs both user ID and password; ","")&amp;IF((TRIM(AJ44)="")&lt;&gt;(TRIM(AK44)=""),"Income-tax login needs both user ID and password; ","")&amp;IF((TRIM(AL44)="")&lt;&gt;(TRIM(AM44)=""),"TRACES login needs both user ID and password; ","")&amp;IF((TRIM(AN44)="")&lt;&gt;(TRIM(AO44)=""),"MCA login needs both user ID and password; ","")&amp;IF((TRIM(AP44)="")&lt;&gt;(TRIM(AQ44)=""),"E-way bill login needs both user ID and password; ","")</f>
        <v/>
      </c>
    </row>
    <row r="45">
      <c r="A45" s="32" t="n"/>
      <c r="B45" s="33" t="n"/>
      <c r="C45" s="33" t="n"/>
      <c r="D45" s="33" t="n"/>
      <c r="E45" s="32" t="n"/>
      <c r="F45" s="32" t="n"/>
      <c r="G45" s="32" t="n"/>
      <c r="H45" s="32" t="n"/>
      <c r="I45" s="32" t="n"/>
      <c r="J45" s="34" t="n"/>
      <c r="K45" s="33" t="n"/>
      <c r="L45" s="32" t="n"/>
      <c r="M45" s="33" t="n"/>
      <c r="N45" s="33" t="n"/>
      <c r="O45" s="33" t="n"/>
      <c r="P45" s="32" t="n"/>
      <c r="Q45" s="33" t="n"/>
      <c r="R45" s="33" t="n"/>
      <c r="S45" s="33" t="n"/>
      <c r="T45" s="33" t="n"/>
      <c r="U45" s="32" t="n"/>
      <c r="V45" s="33" t="n"/>
      <c r="W45" s="33" t="n"/>
      <c r="X45" s="33" t="n"/>
      <c r="Y45" s="33" t="n"/>
      <c r="Z45" s="33" t="n"/>
      <c r="AA45" s="33" t="n"/>
      <c r="AB45" s="33" t="n"/>
      <c r="AC45" s="33" t="n"/>
      <c r="AD45" s="33" t="n"/>
      <c r="AE45" s="33" t="n"/>
      <c r="AF45" s="32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32" t="n"/>
      <c r="AQ45" s="32" t="n"/>
      <c r="AR45" s="29">
        <f>IF(NOT(COUNTA(A45:AE45)&gt;0),"",IF(A45="","New client","Update"))</f>
        <v/>
      </c>
      <c r="AS45" s="29">
        <f>IF(BA45&lt;&gt;"",BA45,IF(LEN(AZ45)=15,MID(AZ45,3,10),""))</f>
        <v/>
      </c>
      <c r="AT45" s="29">
        <f>IF(BB45="","",BB45&amp;IF(D45="","  (guessed from PAN)",""))</f>
        <v/>
      </c>
      <c r="AU45" s="29">
        <f>IF(AZ45="","",IFERROR(INDEX(Lists!$L$2:$L$38,MATCH(LEFT(AZ45,2),Lists!$K$2:$K$38,0)),"Unknown code"))</f>
        <v/>
      </c>
      <c r="AV45" s="29">
        <f>IF(AZ45="","",IFERROR(IF(NOT(AND(LEN(AZ45)=15,ISNUMBER(MATCH(LEFT(AZ45,2),Lists!$K$2:$K$38,0)),SUMPRODUCT(--ISERROR(FIND(MID(MID(AZ45,3,10),{1,2,3,4,5,10},1),"ABCDEFGHIJKLMNOPQRSTUVWXYZ")))=0,SUMPRODUCT(--ISERROR(FIND(MID(MID(AZ45,3,10),{6,7,8,9},1),"0123456789")))=0,ISNUMBER(FIND(MID(AZ45,13,1),"123456789ABCDEFGHIJKLMNOPQRSTUVWXYZ")),MID(AZ45,14,1)="Z")),"Wrong format",IF(MID("0123456789ABCDEFGHIJKLMNOPQRSTUVWXYZ",MOD(36-MOD(SUMPRODUCT(INT((FIND(MID(AZ45,{1,2,3,4,5,6,7,8,9,10,11,12,13,14},1),"0123456789ABCDEFGHIJKLMNOPQRSTUVWXYZ")-1)*{1,2,1,2,1,2,1,2,1,2,1,2,1,2}/36)+MOD((FIND(MID(AZ45,{1,2,3,4,5,6,7,8,9,10,11,12,13,14},1),"0123456789ABCDEFGHIJKLMNOPQRSTUVWXYZ")-1)*{1,2,1,2,1,2,1,2,1,2,1,2,1,2},36)),36),36)+1,1)=MID(AZ45,15,1),"OK","Typo? check digit wrong")),"Wrong format"))</f>
        <v/>
      </c>
      <c r="AW45" s="29">
        <f>IF(BA45="","",IF(AND(LEN(BA45)=10,SUMPRODUCT(--ISERROR(FIND(MID(BA45,{1,2,3,4,5,10},1),"ABCDEFGHIJKLMNOPQRSTUVWXYZ")))=0,SUMPRODUCT(--ISERROR(FIND(MID(BA45,{6,7,8,9},1),"0123456789")))=0),"OK","Wrong format"))</f>
        <v/>
      </c>
      <c r="AX45" s="29">
        <f>IF(TRIM(H45)="","",IF(AND(LEN(UPPER(TRIM(H45)))=10,SUMPRODUCT(--ISERROR(FIND(MID(UPPER(TRIM(H45)),{1,2,3,4,10},1),"ABCDEFGHIJKLMNOPQRSTUVWXYZ")))=0,SUMPRODUCT(--ISERROR(FIND(MID(UPPER(TRIM(H45)),{5,6,7,8,9},1),"0123456789")))=0),"OK","Wrong format"))</f>
        <v/>
      </c>
      <c r="AY45" s="30">
        <f>IF(NOT(COUNTA(A45:AE45)&gt;0),"",IF(BE45&lt;&gt;"","✖ "&amp;LEFT(BE45,LEN(BE45)-2),IF(BD45&gt;0,"✔ Ready — client + "&amp;BD45&amp;" service(s)","✔ Ready — client only")))</f>
        <v/>
      </c>
      <c r="AZ45" s="31">
        <f>UPPER(SUBSTITUTE(TRIM(F45)," ",""))</f>
        <v/>
      </c>
      <c r="BA45" s="31">
        <f>UPPER(SUBSTITUTE(TRIM(E45)," ",""))</f>
        <v/>
      </c>
      <c r="BB45" s="31">
        <f>IF(D45&lt;&gt;"",D45,IFERROR(VLOOKUP(MID(AS45,4,1),Lists!$E$2:$F$8,2,FALSE),""))</f>
        <v/>
      </c>
      <c r="BC45" s="31">
        <f>IFERROR(VLOOKUP(BB45,Lists!$A$2:$C$12,3,FALSE),"")</f>
        <v/>
      </c>
      <c r="BD45" s="31">
        <f>COUNTIF(W45:AC45,"Yes")</f>
        <v/>
      </c>
      <c r="BE45" s="31">
        <f>IF(TRIM(B45)="","Legal name missing; ","")&amp;IF(AND(AV45&lt;&gt;"",AV45&lt;&gt;"OK"),"GSTIN: "&amp;AV45&amp;"; ","")&amp;IF(AND(AW45&lt;&gt;"",AW45&lt;&gt;"OK"),"PAN wrong format; ","")&amp;IF(AND(BA45&lt;&gt;"",LEN(AZ45)=15,MID(AZ45,3,10)&lt;&gt;BA45),"PAN does not match GSTIN; ","")&amp;IF(AND(AX45&lt;&gt;"",AX45&lt;&gt;"OK"),"TAN wrong format; ","")&amp;IF(AS45="","PAN missing; ","")&amp;IF(BB45="","Entity type missing; ","")&amp;IF(AND(AZ45&lt;&gt;"",COUNTIF($AZ$6:$AZ$1005,AZ45)&gt;1),"GSTIN repeated in this sheet; ","")&amp;IF(AND(AS45&lt;&gt;"",COUNTIF($AS$6:$AS$1005,AS45)&gt;1),"PAN repeated in this sheet (same client? put extra GSTINs in Other GSTINs); ","")&amp;IF(AND(BD45&gt;0,V45=""),"Financial year missing; ","")&amp;IF(AND(BD45=0,V45&lt;&gt;""),"Financial year given but no service is Yes; ","")&amp;IF(AND(W45="Yes",AZ45=""),"GST needs a GSTIN; ","")&amp;IF(AND(W45="Yes",X45=""),"GST return frequency missing; ","")&amp;IF(AND(Y45="Yes",TRIM(H45)=""),"TDS needs a TAN; ","")&amp;IF(AND(AA45="Yes",BC45&lt;&gt;"",BC45&lt;&gt;"company",BC45&lt;&gt;"llp"),"ROC is only for a company / LLP; ","")&amp;IF(AND(AA45="Yes",OR(BC45="company",BC45="llp"),TRIM(I45)=""),"ROC needs the CIN / LLPIN; ","")&amp;IF((TRIM(AF45)="")&lt;&gt;(TRIM(AG45)=""),"GST login needs both user ID and password; ","")&amp;IF((TRIM(AH45)="")&lt;&gt;(TRIM(AI45)=""),"Income-tax login needs both user ID and password; ","")&amp;IF((TRIM(AJ45)="")&lt;&gt;(TRIM(AK45)=""),"Income-tax login needs both user ID and password; ","")&amp;IF((TRIM(AL45)="")&lt;&gt;(TRIM(AM45)=""),"TRACES login needs both user ID and password; ","")&amp;IF((TRIM(AN45)="")&lt;&gt;(TRIM(AO45)=""),"MCA login needs both user ID and password; ","")&amp;IF((TRIM(AP45)="")&lt;&gt;(TRIM(AQ45)=""),"E-way bill login needs both user ID and password; ","")</f>
        <v/>
      </c>
    </row>
    <row r="46">
      <c r="A46" s="32" t="n"/>
      <c r="B46" s="33" t="n"/>
      <c r="C46" s="33" t="n"/>
      <c r="D46" s="33" t="n"/>
      <c r="E46" s="32" t="n"/>
      <c r="F46" s="32" t="n"/>
      <c r="G46" s="32" t="n"/>
      <c r="H46" s="32" t="n"/>
      <c r="I46" s="32" t="n"/>
      <c r="J46" s="34" t="n"/>
      <c r="K46" s="33" t="n"/>
      <c r="L46" s="32" t="n"/>
      <c r="M46" s="33" t="n"/>
      <c r="N46" s="33" t="n"/>
      <c r="O46" s="33" t="n"/>
      <c r="P46" s="32" t="n"/>
      <c r="Q46" s="33" t="n"/>
      <c r="R46" s="33" t="n"/>
      <c r="S46" s="33" t="n"/>
      <c r="T46" s="33" t="n"/>
      <c r="U46" s="32" t="n"/>
      <c r="V46" s="33" t="n"/>
      <c r="W46" s="33" t="n"/>
      <c r="X46" s="33" t="n"/>
      <c r="Y46" s="33" t="n"/>
      <c r="Z46" s="33" t="n"/>
      <c r="AA46" s="33" t="n"/>
      <c r="AB46" s="33" t="n"/>
      <c r="AC46" s="33" t="n"/>
      <c r="AD46" s="33" t="n"/>
      <c r="AE46" s="33" t="n"/>
      <c r="AF46" s="32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  <c r="AQ46" s="32" t="n"/>
      <c r="AR46" s="29">
        <f>IF(NOT(COUNTA(A46:AE46)&gt;0),"",IF(A46="","New client","Update"))</f>
        <v/>
      </c>
      <c r="AS46" s="29">
        <f>IF(BA46&lt;&gt;"",BA46,IF(LEN(AZ46)=15,MID(AZ46,3,10),""))</f>
        <v/>
      </c>
      <c r="AT46" s="29">
        <f>IF(BB46="","",BB46&amp;IF(D46="","  (guessed from PAN)",""))</f>
        <v/>
      </c>
      <c r="AU46" s="29">
        <f>IF(AZ46="","",IFERROR(INDEX(Lists!$L$2:$L$38,MATCH(LEFT(AZ46,2),Lists!$K$2:$K$38,0)),"Unknown code"))</f>
        <v/>
      </c>
      <c r="AV46" s="29">
        <f>IF(AZ46="","",IFERROR(IF(NOT(AND(LEN(AZ46)=15,ISNUMBER(MATCH(LEFT(AZ46,2),Lists!$K$2:$K$38,0)),SUMPRODUCT(--ISERROR(FIND(MID(MID(AZ46,3,10),{1,2,3,4,5,10},1),"ABCDEFGHIJKLMNOPQRSTUVWXYZ")))=0,SUMPRODUCT(--ISERROR(FIND(MID(MID(AZ46,3,10),{6,7,8,9},1),"0123456789")))=0,ISNUMBER(FIND(MID(AZ46,13,1),"123456789ABCDEFGHIJKLMNOPQRSTUVWXYZ")),MID(AZ46,14,1)="Z")),"Wrong format",IF(MID("0123456789ABCDEFGHIJKLMNOPQRSTUVWXYZ",MOD(36-MOD(SUMPRODUCT(INT((FIND(MID(AZ46,{1,2,3,4,5,6,7,8,9,10,11,12,13,14},1),"0123456789ABCDEFGHIJKLMNOPQRSTUVWXYZ")-1)*{1,2,1,2,1,2,1,2,1,2,1,2,1,2}/36)+MOD((FIND(MID(AZ46,{1,2,3,4,5,6,7,8,9,10,11,12,13,14},1),"0123456789ABCDEFGHIJKLMNOPQRSTUVWXYZ")-1)*{1,2,1,2,1,2,1,2,1,2,1,2,1,2},36)),36),36)+1,1)=MID(AZ46,15,1),"OK","Typo? check digit wrong")),"Wrong format"))</f>
        <v/>
      </c>
      <c r="AW46" s="29">
        <f>IF(BA46="","",IF(AND(LEN(BA46)=10,SUMPRODUCT(--ISERROR(FIND(MID(BA46,{1,2,3,4,5,10},1),"ABCDEFGHIJKLMNOPQRSTUVWXYZ")))=0,SUMPRODUCT(--ISERROR(FIND(MID(BA46,{6,7,8,9},1),"0123456789")))=0),"OK","Wrong format"))</f>
        <v/>
      </c>
      <c r="AX46" s="29">
        <f>IF(TRIM(H46)="","",IF(AND(LEN(UPPER(TRIM(H46)))=10,SUMPRODUCT(--ISERROR(FIND(MID(UPPER(TRIM(H46)),{1,2,3,4,10},1),"ABCDEFGHIJKLMNOPQRSTUVWXYZ")))=0,SUMPRODUCT(--ISERROR(FIND(MID(UPPER(TRIM(H46)),{5,6,7,8,9},1),"0123456789")))=0),"OK","Wrong format"))</f>
        <v/>
      </c>
      <c r="AY46" s="30">
        <f>IF(NOT(COUNTA(A46:AE46)&gt;0),"",IF(BE46&lt;&gt;"","✖ "&amp;LEFT(BE46,LEN(BE46)-2),IF(BD46&gt;0,"✔ Ready — client + "&amp;BD46&amp;" service(s)","✔ Ready — client only")))</f>
        <v/>
      </c>
      <c r="AZ46" s="31">
        <f>UPPER(SUBSTITUTE(TRIM(F46)," ",""))</f>
        <v/>
      </c>
      <c r="BA46" s="31">
        <f>UPPER(SUBSTITUTE(TRIM(E46)," ",""))</f>
        <v/>
      </c>
      <c r="BB46" s="31">
        <f>IF(D46&lt;&gt;"",D46,IFERROR(VLOOKUP(MID(AS46,4,1),Lists!$E$2:$F$8,2,FALSE),""))</f>
        <v/>
      </c>
      <c r="BC46" s="31">
        <f>IFERROR(VLOOKUP(BB46,Lists!$A$2:$C$12,3,FALSE),"")</f>
        <v/>
      </c>
      <c r="BD46" s="31">
        <f>COUNTIF(W46:AC46,"Yes")</f>
        <v/>
      </c>
      <c r="BE46" s="31">
        <f>IF(TRIM(B46)="","Legal name missing; ","")&amp;IF(AND(AV46&lt;&gt;"",AV46&lt;&gt;"OK"),"GSTIN: "&amp;AV46&amp;"; ","")&amp;IF(AND(AW46&lt;&gt;"",AW46&lt;&gt;"OK"),"PAN wrong format; ","")&amp;IF(AND(BA46&lt;&gt;"",LEN(AZ46)=15,MID(AZ46,3,10)&lt;&gt;BA46),"PAN does not match GSTIN; ","")&amp;IF(AND(AX46&lt;&gt;"",AX46&lt;&gt;"OK"),"TAN wrong format; ","")&amp;IF(AS46="","PAN missing; ","")&amp;IF(BB46="","Entity type missing; ","")&amp;IF(AND(AZ46&lt;&gt;"",COUNTIF($AZ$6:$AZ$1005,AZ46)&gt;1),"GSTIN repeated in this sheet; ","")&amp;IF(AND(AS46&lt;&gt;"",COUNTIF($AS$6:$AS$1005,AS46)&gt;1),"PAN repeated in this sheet (same client? put extra GSTINs in Other GSTINs); ","")&amp;IF(AND(BD46&gt;0,V46=""),"Financial year missing; ","")&amp;IF(AND(BD46=0,V46&lt;&gt;""),"Financial year given but no service is Yes; ","")&amp;IF(AND(W46="Yes",AZ46=""),"GST needs a GSTIN; ","")&amp;IF(AND(W46="Yes",X46=""),"GST return frequency missing; ","")&amp;IF(AND(Y46="Yes",TRIM(H46)=""),"TDS needs a TAN; ","")&amp;IF(AND(AA46="Yes",BC46&lt;&gt;"",BC46&lt;&gt;"company",BC46&lt;&gt;"llp"),"ROC is only for a company / LLP; ","")&amp;IF(AND(AA46="Yes",OR(BC46="company",BC46="llp"),TRIM(I46)=""),"ROC needs the CIN / LLPIN; ","")&amp;IF((TRIM(AF46)="")&lt;&gt;(TRIM(AG46)=""),"GST login needs both user ID and password; ","")&amp;IF((TRIM(AH46)="")&lt;&gt;(TRIM(AI46)=""),"Income-tax login needs both user ID and password; ","")&amp;IF((TRIM(AJ46)="")&lt;&gt;(TRIM(AK46)=""),"Income-tax login needs both user ID and password; ","")&amp;IF((TRIM(AL46)="")&lt;&gt;(TRIM(AM46)=""),"TRACES login needs both user ID and password; ","")&amp;IF((TRIM(AN46)="")&lt;&gt;(TRIM(AO46)=""),"MCA login needs both user ID and password; ","")&amp;IF((TRIM(AP46)="")&lt;&gt;(TRIM(AQ46)=""),"E-way bill login needs both user ID and password; ","")</f>
        <v/>
      </c>
    </row>
    <row r="47">
      <c r="A47" s="32" t="n"/>
      <c r="B47" s="33" t="n"/>
      <c r="C47" s="33" t="n"/>
      <c r="D47" s="33" t="n"/>
      <c r="E47" s="32" t="n"/>
      <c r="F47" s="32" t="n"/>
      <c r="G47" s="32" t="n"/>
      <c r="H47" s="32" t="n"/>
      <c r="I47" s="32" t="n"/>
      <c r="J47" s="34" t="n"/>
      <c r="K47" s="33" t="n"/>
      <c r="L47" s="32" t="n"/>
      <c r="M47" s="33" t="n"/>
      <c r="N47" s="33" t="n"/>
      <c r="O47" s="33" t="n"/>
      <c r="P47" s="32" t="n"/>
      <c r="Q47" s="33" t="n"/>
      <c r="R47" s="33" t="n"/>
      <c r="S47" s="33" t="n"/>
      <c r="T47" s="33" t="n"/>
      <c r="U47" s="32" t="n"/>
      <c r="V47" s="33" t="n"/>
      <c r="W47" s="33" t="n"/>
      <c r="X47" s="33" t="n"/>
      <c r="Y47" s="33" t="n"/>
      <c r="Z47" s="33" t="n"/>
      <c r="AA47" s="33" t="n"/>
      <c r="AB47" s="33" t="n"/>
      <c r="AC47" s="33" t="n"/>
      <c r="AD47" s="33" t="n"/>
      <c r="AE47" s="33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29">
        <f>IF(NOT(COUNTA(A47:AE47)&gt;0),"",IF(A47="","New client","Update"))</f>
        <v/>
      </c>
      <c r="AS47" s="29">
        <f>IF(BA47&lt;&gt;"",BA47,IF(LEN(AZ47)=15,MID(AZ47,3,10),""))</f>
        <v/>
      </c>
      <c r="AT47" s="29">
        <f>IF(BB47="","",BB47&amp;IF(D47="","  (guessed from PAN)",""))</f>
        <v/>
      </c>
      <c r="AU47" s="29">
        <f>IF(AZ47="","",IFERROR(INDEX(Lists!$L$2:$L$38,MATCH(LEFT(AZ47,2),Lists!$K$2:$K$38,0)),"Unknown code"))</f>
        <v/>
      </c>
      <c r="AV47" s="29">
        <f>IF(AZ47="","",IFERROR(IF(NOT(AND(LEN(AZ47)=15,ISNUMBER(MATCH(LEFT(AZ47,2),Lists!$K$2:$K$38,0)),SUMPRODUCT(--ISERROR(FIND(MID(MID(AZ47,3,10),{1,2,3,4,5,10},1),"ABCDEFGHIJKLMNOPQRSTUVWXYZ")))=0,SUMPRODUCT(--ISERROR(FIND(MID(MID(AZ47,3,10),{6,7,8,9},1),"0123456789")))=0,ISNUMBER(FIND(MID(AZ47,13,1),"123456789ABCDEFGHIJKLMNOPQRSTUVWXYZ")),MID(AZ47,14,1)="Z")),"Wrong format",IF(MID("0123456789ABCDEFGHIJKLMNOPQRSTUVWXYZ",MOD(36-MOD(SUMPRODUCT(INT((FIND(MID(AZ47,{1,2,3,4,5,6,7,8,9,10,11,12,13,14},1),"0123456789ABCDEFGHIJKLMNOPQRSTUVWXYZ")-1)*{1,2,1,2,1,2,1,2,1,2,1,2,1,2}/36)+MOD((FIND(MID(AZ47,{1,2,3,4,5,6,7,8,9,10,11,12,13,14},1),"0123456789ABCDEFGHIJKLMNOPQRSTUVWXYZ")-1)*{1,2,1,2,1,2,1,2,1,2,1,2,1,2},36)),36),36)+1,1)=MID(AZ47,15,1),"OK","Typo? check digit wrong")),"Wrong format"))</f>
        <v/>
      </c>
      <c r="AW47" s="29">
        <f>IF(BA47="","",IF(AND(LEN(BA47)=10,SUMPRODUCT(--ISERROR(FIND(MID(BA47,{1,2,3,4,5,10},1),"ABCDEFGHIJKLMNOPQRSTUVWXYZ")))=0,SUMPRODUCT(--ISERROR(FIND(MID(BA47,{6,7,8,9},1),"0123456789")))=0),"OK","Wrong format"))</f>
        <v/>
      </c>
      <c r="AX47" s="29">
        <f>IF(TRIM(H47)="","",IF(AND(LEN(UPPER(TRIM(H47)))=10,SUMPRODUCT(--ISERROR(FIND(MID(UPPER(TRIM(H47)),{1,2,3,4,10},1),"ABCDEFGHIJKLMNOPQRSTUVWXYZ")))=0,SUMPRODUCT(--ISERROR(FIND(MID(UPPER(TRIM(H47)),{5,6,7,8,9},1),"0123456789")))=0),"OK","Wrong format"))</f>
        <v/>
      </c>
      <c r="AY47" s="30">
        <f>IF(NOT(COUNTA(A47:AE47)&gt;0),"",IF(BE47&lt;&gt;"","✖ "&amp;LEFT(BE47,LEN(BE47)-2),IF(BD47&gt;0,"✔ Ready — client + "&amp;BD47&amp;" service(s)","✔ Ready — client only")))</f>
        <v/>
      </c>
      <c r="AZ47" s="31">
        <f>UPPER(SUBSTITUTE(TRIM(F47)," ",""))</f>
        <v/>
      </c>
      <c r="BA47" s="31">
        <f>UPPER(SUBSTITUTE(TRIM(E47)," ",""))</f>
        <v/>
      </c>
      <c r="BB47" s="31">
        <f>IF(D47&lt;&gt;"",D47,IFERROR(VLOOKUP(MID(AS47,4,1),Lists!$E$2:$F$8,2,FALSE),""))</f>
        <v/>
      </c>
      <c r="BC47" s="31">
        <f>IFERROR(VLOOKUP(BB47,Lists!$A$2:$C$12,3,FALSE),"")</f>
        <v/>
      </c>
      <c r="BD47" s="31">
        <f>COUNTIF(W47:AC47,"Yes")</f>
        <v/>
      </c>
      <c r="BE47" s="31">
        <f>IF(TRIM(B47)="","Legal name missing; ","")&amp;IF(AND(AV47&lt;&gt;"",AV47&lt;&gt;"OK"),"GSTIN: "&amp;AV47&amp;"; ","")&amp;IF(AND(AW47&lt;&gt;"",AW47&lt;&gt;"OK"),"PAN wrong format; ","")&amp;IF(AND(BA47&lt;&gt;"",LEN(AZ47)=15,MID(AZ47,3,10)&lt;&gt;BA47),"PAN does not match GSTIN; ","")&amp;IF(AND(AX47&lt;&gt;"",AX47&lt;&gt;"OK"),"TAN wrong format; ","")&amp;IF(AS47="","PAN missing; ","")&amp;IF(BB47="","Entity type missing; ","")&amp;IF(AND(AZ47&lt;&gt;"",COUNTIF($AZ$6:$AZ$1005,AZ47)&gt;1),"GSTIN repeated in this sheet; ","")&amp;IF(AND(AS47&lt;&gt;"",COUNTIF($AS$6:$AS$1005,AS47)&gt;1),"PAN repeated in this sheet (same client? put extra GSTINs in Other GSTINs); ","")&amp;IF(AND(BD47&gt;0,V47=""),"Financial year missing; ","")&amp;IF(AND(BD47=0,V47&lt;&gt;""),"Financial year given but no service is Yes; ","")&amp;IF(AND(W47="Yes",AZ47=""),"GST needs a GSTIN; ","")&amp;IF(AND(W47="Yes",X47=""),"GST return frequency missing; ","")&amp;IF(AND(Y47="Yes",TRIM(H47)=""),"TDS needs a TAN; ","")&amp;IF(AND(AA47="Yes",BC47&lt;&gt;"",BC47&lt;&gt;"company",BC47&lt;&gt;"llp"),"ROC is only for a company / LLP; ","")&amp;IF(AND(AA47="Yes",OR(BC47="company",BC47="llp"),TRIM(I47)=""),"ROC needs the CIN / LLPIN; ","")&amp;IF((TRIM(AF47)="")&lt;&gt;(TRIM(AG47)=""),"GST login needs both user ID and password; ","")&amp;IF((TRIM(AH47)="")&lt;&gt;(TRIM(AI47)=""),"Income-tax login needs both user ID and password; ","")&amp;IF((TRIM(AJ47)="")&lt;&gt;(TRIM(AK47)=""),"Income-tax login needs both user ID and password; ","")&amp;IF((TRIM(AL47)="")&lt;&gt;(TRIM(AM47)=""),"TRACES login needs both user ID and password; ","")&amp;IF((TRIM(AN47)="")&lt;&gt;(TRIM(AO47)=""),"MCA login needs both user ID and password; ","")&amp;IF((TRIM(AP47)="")&lt;&gt;(TRIM(AQ47)=""),"E-way bill login needs both user ID and password; ","")</f>
        <v/>
      </c>
    </row>
    <row r="48">
      <c r="A48" s="32" t="n"/>
      <c r="B48" s="33" t="n"/>
      <c r="C48" s="33" t="n"/>
      <c r="D48" s="33" t="n"/>
      <c r="E48" s="32" t="n"/>
      <c r="F48" s="32" t="n"/>
      <c r="G48" s="32" t="n"/>
      <c r="H48" s="32" t="n"/>
      <c r="I48" s="32" t="n"/>
      <c r="J48" s="34" t="n"/>
      <c r="K48" s="33" t="n"/>
      <c r="L48" s="32" t="n"/>
      <c r="M48" s="33" t="n"/>
      <c r="N48" s="33" t="n"/>
      <c r="O48" s="33" t="n"/>
      <c r="P48" s="32" t="n"/>
      <c r="Q48" s="33" t="n"/>
      <c r="R48" s="33" t="n"/>
      <c r="S48" s="33" t="n"/>
      <c r="T48" s="33" t="n"/>
      <c r="U48" s="32" t="n"/>
      <c r="V48" s="33" t="n"/>
      <c r="W48" s="33" t="n"/>
      <c r="X48" s="33" t="n"/>
      <c r="Y48" s="33" t="n"/>
      <c r="Z48" s="33" t="n"/>
      <c r="AA48" s="33" t="n"/>
      <c r="AB48" s="33" t="n"/>
      <c r="AC48" s="33" t="n"/>
      <c r="AD48" s="33" t="n"/>
      <c r="AE48" s="33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29">
        <f>IF(NOT(COUNTA(A48:AE48)&gt;0),"",IF(A48="","New client","Update"))</f>
        <v/>
      </c>
      <c r="AS48" s="29">
        <f>IF(BA48&lt;&gt;"",BA48,IF(LEN(AZ48)=15,MID(AZ48,3,10),""))</f>
        <v/>
      </c>
      <c r="AT48" s="29">
        <f>IF(BB48="","",BB48&amp;IF(D48="","  (guessed from PAN)",""))</f>
        <v/>
      </c>
      <c r="AU48" s="29">
        <f>IF(AZ48="","",IFERROR(INDEX(Lists!$L$2:$L$38,MATCH(LEFT(AZ48,2),Lists!$K$2:$K$38,0)),"Unknown code"))</f>
        <v/>
      </c>
      <c r="AV48" s="29">
        <f>IF(AZ48="","",IFERROR(IF(NOT(AND(LEN(AZ48)=15,ISNUMBER(MATCH(LEFT(AZ48,2),Lists!$K$2:$K$38,0)),SUMPRODUCT(--ISERROR(FIND(MID(MID(AZ48,3,10),{1,2,3,4,5,10},1),"ABCDEFGHIJKLMNOPQRSTUVWXYZ")))=0,SUMPRODUCT(--ISERROR(FIND(MID(MID(AZ48,3,10),{6,7,8,9},1),"0123456789")))=0,ISNUMBER(FIND(MID(AZ48,13,1),"123456789ABCDEFGHIJKLMNOPQRSTUVWXYZ")),MID(AZ48,14,1)="Z")),"Wrong format",IF(MID("0123456789ABCDEFGHIJKLMNOPQRSTUVWXYZ",MOD(36-MOD(SUMPRODUCT(INT((FIND(MID(AZ48,{1,2,3,4,5,6,7,8,9,10,11,12,13,14},1),"0123456789ABCDEFGHIJKLMNOPQRSTUVWXYZ")-1)*{1,2,1,2,1,2,1,2,1,2,1,2,1,2}/36)+MOD((FIND(MID(AZ48,{1,2,3,4,5,6,7,8,9,10,11,12,13,14},1),"0123456789ABCDEFGHIJKLMNOPQRSTUVWXYZ")-1)*{1,2,1,2,1,2,1,2,1,2,1,2,1,2},36)),36),36)+1,1)=MID(AZ48,15,1),"OK","Typo? check digit wrong")),"Wrong format"))</f>
        <v/>
      </c>
      <c r="AW48" s="29">
        <f>IF(BA48="","",IF(AND(LEN(BA48)=10,SUMPRODUCT(--ISERROR(FIND(MID(BA48,{1,2,3,4,5,10},1),"ABCDEFGHIJKLMNOPQRSTUVWXYZ")))=0,SUMPRODUCT(--ISERROR(FIND(MID(BA48,{6,7,8,9},1),"0123456789")))=0),"OK","Wrong format"))</f>
        <v/>
      </c>
      <c r="AX48" s="29">
        <f>IF(TRIM(H48)="","",IF(AND(LEN(UPPER(TRIM(H48)))=10,SUMPRODUCT(--ISERROR(FIND(MID(UPPER(TRIM(H48)),{1,2,3,4,10},1),"ABCDEFGHIJKLMNOPQRSTUVWXYZ")))=0,SUMPRODUCT(--ISERROR(FIND(MID(UPPER(TRIM(H48)),{5,6,7,8,9},1),"0123456789")))=0),"OK","Wrong format"))</f>
        <v/>
      </c>
      <c r="AY48" s="30">
        <f>IF(NOT(COUNTA(A48:AE48)&gt;0),"",IF(BE48&lt;&gt;"","✖ "&amp;LEFT(BE48,LEN(BE48)-2),IF(BD48&gt;0,"✔ Ready — client + "&amp;BD48&amp;" service(s)","✔ Ready — client only")))</f>
        <v/>
      </c>
      <c r="AZ48" s="31">
        <f>UPPER(SUBSTITUTE(TRIM(F48)," ",""))</f>
        <v/>
      </c>
      <c r="BA48" s="31">
        <f>UPPER(SUBSTITUTE(TRIM(E48)," ",""))</f>
        <v/>
      </c>
      <c r="BB48" s="31">
        <f>IF(D48&lt;&gt;"",D48,IFERROR(VLOOKUP(MID(AS48,4,1),Lists!$E$2:$F$8,2,FALSE),""))</f>
        <v/>
      </c>
      <c r="BC48" s="31">
        <f>IFERROR(VLOOKUP(BB48,Lists!$A$2:$C$12,3,FALSE),"")</f>
        <v/>
      </c>
      <c r="BD48" s="31">
        <f>COUNTIF(W48:AC48,"Yes")</f>
        <v/>
      </c>
      <c r="BE48" s="31">
        <f>IF(TRIM(B48)="","Legal name missing; ","")&amp;IF(AND(AV48&lt;&gt;"",AV48&lt;&gt;"OK"),"GSTIN: "&amp;AV48&amp;"; ","")&amp;IF(AND(AW48&lt;&gt;"",AW48&lt;&gt;"OK"),"PAN wrong format; ","")&amp;IF(AND(BA48&lt;&gt;"",LEN(AZ48)=15,MID(AZ48,3,10)&lt;&gt;BA48),"PAN does not match GSTIN; ","")&amp;IF(AND(AX48&lt;&gt;"",AX48&lt;&gt;"OK"),"TAN wrong format; ","")&amp;IF(AS48="","PAN missing; ","")&amp;IF(BB48="","Entity type missing; ","")&amp;IF(AND(AZ48&lt;&gt;"",COUNTIF($AZ$6:$AZ$1005,AZ48)&gt;1),"GSTIN repeated in this sheet; ","")&amp;IF(AND(AS48&lt;&gt;"",COUNTIF($AS$6:$AS$1005,AS48)&gt;1),"PAN repeated in this sheet (same client? put extra GSTINs in Other GSTINs); ","")&amp;IF(AND(BD48&gt;0,V48=""),"Financial year missing; ","")&amp;IF(AND(BD48=0,V48&lt;&gt;""),"Financial year given but no service is Yes; ","")&amp;IF(AND(W48="Yes",AZ48=""),"GST needs a GSTIN; ","")&amp;IF(AND(W48="Yes",X48=""),"GST return frequency missing; ","")&amp;IF(AND(Y48="Yes",TRIM(H48)=""),"TDS needs a TAN; ","")&amp;IF(AND(AA48="Yes",BC48&lt;&gt;"",BC48&lt;&gt;"company",BC48&lt;&gt;"llp"),"ROC is only for a company / LLP; ","")&amp;IF(AND(AA48="Yes",OR(BC48="company",BC48="llp"),TRIM(I48)=""),"ROC needs the CIN / LLPIN; ","")&amp;IF((TRIM(AF48)="")&lt;&gt;(TRIM(AG48)=""),"GST login needs both user ID and password; ","")&amp;IF((TRIM(AH48)="")&lt;&gt;(TRIM(AI48)=""),"Income-tax login needs both user ID and password; ","")&amp;IF((TRIM(AJ48)="")&lt;&gt;(TRIM(AK48)=""),"Income-tax login needs both user ID and password; ","")&amp;IF((TRIM(AL48)="")&lt;&gt;(TRIM(AM48)=""),"TRACES login needs both user ID and password; ","")&amp;IF((TRIM(AN48)="")&lt;&gt;(TRIM(AO48)=""),"MCA login needs both user ID and password; ","")&amp;IF((TRIM(AP48)="")&lt;&gt;(TRIM(AQ48)=""),"E-way bill login needs both user ID and password; ","")</f>
        <v/>
      </c>
    </row>
    <row r="49">
      <c r="A49" s="32" t="n"/>
      <c r="B49" s="33" t="n"/>
      <c r="C49" s="33" t="n"/>
      <c r="D49" s="33" t="n"/>
      <c r="E49" s="32" t="n"/>
      <c r="F49" s="32" t="n"/>
      <c r="G49" s="32" t="n"/>
      <c r="H49" s="32" t="n"/>
      <c r="I49" s="32" t="n"/>
      <c r="J49" s="34" t="n"/>
      <c r="K49" s="33" t="n"/>
      <c r="L49" s="32" t="n"/>
      <c r="M49" s="33" t="n"/>
      <c r="N49" s="33" t="n"/>
      <c r="O49" s="33" t="n"/>
      <c r="P49" s="32" t="n"/>
      <c r="Q49" s="33" t="n"/>
      <c r="R49" s="33" t="n"/>
      <c r="S49" s="33" t="n"/>
      <c r="T49" s="33" t="n"/>
      <c r="U49" s="32" t="n"/>
      <c r="V49" s="33" t="n"/>
      <c r="W49" s="33" t="n"/>
      <c r="X49" s="33" t="n"/>
      <c r="Y49" s="33" t="n"/>
      <c r="Z49" s="33" t="n"/>
      <c r="AA49" s="33" t="n"/>
      <c r="AB49" s="33" t="n"/>
      <c r="AC49" s="33" t="n"/>
      <c r="AD49" s="33" t="n"/>
      <c r="AE49" s="33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29">
        <f>IF(NOT(COUNTA(A49:AE49)&gt;0),"",IF(A49="","New client","Update"))</f>
        <v/>
      </c>
      <c r="AS49" s="29">
        <f>IF(BA49&lt;&gt;"",BA49,IF(LEN(AZ49)=15,MID(AZ49,3,10),""))</f>
        <v/>
      </c>
      <c r="AT49" s="29">
        <f>IF(BB49="","",BB49&amp;IF(D49="","  (guessed from PAN)",""))</f>
        <v/>
      </c>
      <c r="AU49" s="29">
        <f>IF(AZ49="","",IFERROR(INDEX(Lists!$L$2:$L$38,MATCH(LEFT(AZ49,2),Lists!$K$2:$K$38,0)),"Unknown code"))</f>
        <v/>
      </c>
      <c r="AV49" s="29">
        <f>IF(AZ49="","",IFERROR(IF(NOT(AND(LEN(AZ49)=15,ISNUMBER(MATCH(LEFT(AZ49,2),Lists!$K$2:$K$38,0)),SUMPRODUCT(--ISERROR(FIND(MID(MID(AZ49,3,10),{1,2,3,4,5,10},1),"ABCDEFGHIJKLMNOPQRSTUVWXYZ")))=0,SUMPRODUCT(--ISERROR(FIND(MID(MID(AZ49,3,10),{6,7,8,9},1),"0123456789")))=0,ISNUMBER(FIND(MID(AZ49,13,1),"123456789ABCDEFGHIJKLMNOPQRSTUVWXYZ")),MID(AZ49,14,1)="Z")),"Wrong format",IF(MID("0123456789ABCDEFGHIJKLMNOPQRSTUVWXYZ",MOD(36-MOD(SUMPRODUCT(INT((FIND(MID(AZ49,{1,2,3,4,5,6,7,8,9,10,11,12,13,14},1),"0123456789ABCDEFGHIJKLMNOPQRSTUVWXYZ")-1)*{1,2,1,2,1,2,1,2,1,2,1,2,1,2}/36)+MOD((FIND(MID(AZ49,{1,2,3,4,5,6,7,8,9,10,11,12,13,14},1),"0123456789ABCDEFGHIJKLMNOPQRSTUVWXYZ")-1)*{1,2,1,2,1,2,1,2,1,2,1,2,1,2},36)),36),36)+1,1)=MID(AZ49,15,1),"OK","Typo? check digit wrong")),"Wrong format"))</f>
        <v/>
      </c>
      <c r="AW49" s="29">
        <f>IF(BA49="","",IF(AND(LEN(BA49)=10,SUMPRODUCT(--ISERROR(FIND(MID(BA49,{1,2,3,4,5,10},1),"ABCDEFGHIJKLMNOPQRSTUVWXYZ")))=0,SUMPRODUCT(--ISERROR(FIND(MID(BA49,{6,7,8,9},1),"0123456789")))=0),"OK","Wrong format"))</f>
        <v/>
      </c>
      <c r="AX49" s="29">
        <f>IF(TRIM(H49)="","",IF(AND(LEN(UPPER(TRIM(H49)))=10,SUMPRODUCT(--ISERROR(FIND(MID(UPPER(TRIM(H49)),{1,2,3,4,10},1),"ABCDEFGHIJKLMNOPQRSTUVWXYZ")))=0,SUMPRODUCT(--ISERROR(FIND(MID(UPPER(TRIM(H49)),{5,6,7,8,9},1),"0123456789")))=0),"OK","Wrong format"))</f>
        <v/>
      </c>
      <c r="AY49" s="30">
        <f>IF(NOT(COUNTA(A49:AE49)&gt;0),"",IF(BE49&lt;&gt;"","✖ "&amp;LEFT(BE49,LEN(BE49)-2),IF(BD49&gt;0,"✔ Ready — client + "&amp;BD49&amp;" service(s)","✔ Ready — client only")))</f>
        <v/>
      </c>
      <c r="AZ49" s="31">
        <f>UPPER(SUBSTITUTE(TRIM(F49)," ",""))</f>
        <v/>
      </c>
      <c r="BA49" s="31">
        <f>UPPER(SUBSTITUTE(TRIM(E49)," ",""))</f>
        <v/>
      </c>
      <c r="BB49" s="31">
        <f>IF(D49&lt;&gt;"",D49,IFERROR(VLOOKUP(MID(AS49,4,1),Lists!$E$2:$F$8,2,FALSE),""))</f>
        <v/>
      </c>
      <c r="BC49" s="31">
        <f>IFERROR(VLOOKUP(BB49,Lists!$A$2:$C$12,3,FALSE),"")</f>
        <v/>
      </c>
      <c r="BD49" s="31">
        <f>COUNTIF(W49:AC49,"Yes")</f>
        <v/>
      </c>
      <c r="BE49" s="31">
        <f>IF(TRIM(B49)="","Legal name missing; ","")&amp;IF(AND(AV49&lt;&gt;"",AV49&lt;&gt;"OK"),"GSTIN: "&amp;AV49&amp;"; ","")&amp;IF(AND(AW49&lt;&gt;"",AW49&lt;&gt;"OK"),"PAN wrong format; ","")&amp;IF(AND(BA49&lt;&gt;"",LEN(AZ49)=15,MID(AZ49,3,10)&lt;&gt;BA49),"PAN does not match GSTIN; ","")&amp;IF(AND(AX49&lt;&gt;"",AX49&lt;&gt;"OK"),"TAN wrong format; ","")&amp;IF(AS49="","PAN missing; ","")&amp;IF(BB49="","Entity type missing; ","")&amp;IF(AND(AZ49&lt;&gt;"",COUNTIF($AZ$6:$AZ$1005,AZ49)&gt;1),"GSTIN repeated in this sheet; ","")&amp;IF(AND(AS49&lt;&gt;"",COUNTIF($AS$6:$AS$1005,AS49)&gt;1),"PAN repeated in this sheet (same client? put extra GSTINs in Other GSTINs); ","")&amp;IF(AND(BD49&gt;0,V49=""),"Financial year missing; ","")&amp;IF(AND(BD49=0,V49&lt;&gt;""),"Financial year given but no service is Yes; ","")&amp;IF(AND(W49="Yes",AZ49=""),"GST needs a GSTIN; ","")&amp;IF(AND(W49="Yes",X49=""),"GST return frequency missing; ","")&amp;IF(AND(Y49="Yes",TRIM(H49)=""),"TDS needs a TAN; ","")&amp;IF(AND(AA49="Yes",BC49&lt;&gt;"",BC49&lt;&gt;"company",BC49&lt;&gt;"llp"),"ROC is only for a company / LLP; ","")&amp;IF(AND(AA49="Yes",OR(BC49="company",BC49="llp"),TRIM(I49)=""),"ROC needs the CIN / LLPIN; ","")&amp;IF((TRIM(AF49)="")&lt;&gt;(TRIM(AG49)=""),"GST login needs both user ID and password; ","")&amp;IF((TRIM(AH49)="")&lt;&gt;(TRIM(AI49)=""),"Income-tax login needs both user ID and password; ","")&amp;IF((TRIM(AJ49)="")&lt;&gt;(TRIM(AK49)=""),"Income-tax login needs both user ID and password; ","")&amp;IF((TRIM(AL49)="")&lt;&gt;(TRIM(AM49)=""),"TRACES login needs both user ID and password; ","")&amp;IF((TRIM(AN49)="")&lt;&gt;(TRIM(AO49)=""),"MCA login needs both user ID and password; ","")&amp;IF((TRIM(AP49)="")&lt;&gt;(TRIM(AQ49)=""),"E-way bill login needs both user ID and password; ","")</f>
        <v/>
      </c>
    </row>
    <row r="50">
      <c r="A50" s="32" t="n"/>
      <c r="B50" s="33" t="n"/>
      <c r="C50" s="33" t="n"/>
      <c r="D50" s="33" t="n"/>
      <c r="E50" s="32" t="n"/>
      <c r="F50" s="32" t="n"/>
      <c r="G50" s="32" t="n"/>
      <c r="H50" s="32" t="n"/>
      <c r="I50" s="32" t="n"/>
      <c r="J50" s="34" t="n"/>
      <c r="K50" s="33" t="n"/>
      <c r="L50" s="32" t="n"/>
      <c r="M50" s="33" t="n"/>
      <c r="N50" s="33" t="n"/>
      <c r="O50" s="33" t="n"/>
      <c r="P50" s="32" t="n"/>
      <c r="Q50" s="33" t="n"/>
      <c r="R50" s="33" t="n"/>
      <c r="S50" s="33" t="n"/>
      <c r="T50" s="33" t="n"/>
      <c r="U50" s="32" t="n"/>
      <c r="V50" s="33" t="n"/>
      <c r="W50" s="33" t="n"/>
      <c r="X50" s="33" t="n"/>
      <c r="Y50" s="33" t="n"/>
      <c r="Z50" s="33" t="n"/>
      <c r="AA50" s="33" t="n"/>
      <c r="AB50" s="33" t="n"/>
      <c r="AC50" s="33" t="n"/>
      <c r="AD50" s="33" t="n"/>
      <c r="AE50" s="33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29">
        <f>IF(NOT(COUNTA(A50:AE50)&gt;0),"",IF(A50="","New client","Update"))</f>
        <v/>
      </c>
      <c r="AS50" s="29">
        <f>IF(BA50&lt;&gt;"",BA50,IF(LEN(AZ50)=15,MID(AZ50,3,10),""))</f>
        <v/>
      </c>
      <c r="AT50" s="29">
        <f>IF(BB50="","",BB50&amp;IF(D50="","  (guessed from PAN)",""))</f>
        <v/>
      </c>
      <c r="AU50" s="29">
        <f>IF(AZ50="","",IFERROR(INDEX(Lists!$L$2:$L$38,MATCH(LEFT(AZ50,2),Lists!$K$2:$K$38,0)),"Unknown code"))</f>
        <v/>
      </c>
      <c r="AV50" s="29">
        <f>IF(AZ50="","",IFERROR(IF(NOT(AND(LEN(AZ50)=15,ISNUMBER(MATCH(LEFT(AZ50,2),Lists!$K$2:$K$38,0)),SUMPRODUCT(--ISERROR(FIND(MID(MID(AZ50,3,10),{1,2,3,4,5,10},1),"ABCDEFGHIJKLMNOPQRSTUVWXYZ")))=0,SUMPRODUCT(--ISERROR(FIND(MID(MID(AZ50,3,10),{6,7,8,9},1),"0123456789")))=0,ISNUMBER(FIND(MID(AZ50,13,1),"123456789ABCDEFGHIJKLMNOPQRSTUVWXYZ")),MID(AZ50,14,1)="Z")),"Wrong format",IF(MID("0123456789ABCDEFGHIJKLMNOPQRSTUVWXYZ",MOD(36-MOD(SUMPRODUCT(INT((FIND(MID(AZ50,{1,2,3,4,5,6,7,8,9,10,11,12,13,14},1),"0123456789ABCDEFGHIJKLMNOPQRSTUVWXYZ")-1)*{1,2,1,2,1,2,1,2,1,2,1,2,1,2}/36)+MOD((FIND(MID(AZ50,{1,2,3,4,5,6,7,8,9,10,11,12,13,14},1),"0123456789ABCDEFGHIJKLMNOPQRSTUVWXYZ")-1)*{1,2,1,2,1,2,1,2,1,2,1,2,1,2},36)),36),36)+1,1)=MID(AZ50,15,1),"OK","Typo? check digit wrong")),"Wrong format"))</f>
        <v/>
      </c>
      <c r="AW50" s="29">
        <f>IF(BA50="","",IF(AND(LEN(BA50)=10,SUMPRODUCT(--ISERROR(FIND(MID(BA50,{1,2,3,4,5,10},1),"ABCDEFGHIJKLMNOPQRSTUVWXYZ")))=0,SUMPRODUCT(--ISERROR(FIND(MID(BA50,{6,7,8,9},1),"0123456789")))=0),"OK","Wrong format"))</f>
        <v/>
      </c>
      <c r="AX50" s="29">
        <f>IF(TRIM(H50)="","",IF(AND(LEN(UPPER(TRIM(H50)))=10,SUMPRODUCT(--ISERROR(FIND(MID(UPPER(TRIM(H50)),{1,2,3,4,10},1),"ABCDEFGHIJKLMNOPQRSTUVWXYZ")))=0,SUMPRODUCT(--ISERROR(FIND(MID(UPPER(TRIM(H50)),{5,6,7,8,9},1),"0123456789")))=0),"OK","Wrong format"))</f>
        <v/>
      </c>
      <c r="AY50" s="30">
        <f>IF(NOT(COUNTA(A50:AE50)&gt;0),"",IF(BE50&lt;&gt;"","✖ "&amp;LEFT(BE50,LEN(BE50)-2),IF(BD50&gt;0,"✔ Ready — client + "&amp;BD50&amp;" service(s)","✔ Ready — client only")))</f>
        <v/>
      </c>
      <c r="AZ50" s="31">
        <f>UPPER(SUBSTITUTE(TRIM(F50)," ",""))</f>
        <v/>
      </c>
      <c r="BA50" s="31">
        <f>UPPER(SUBSTITUTE(TRIM(E50)," ",""))</f>
        <v/>
      </c>
      <c r="BB50" s="31">
        <f>IF(D50&lt;&gt;"",D50,IFERROR(VLOOKUP(MID(AS50,4,1),Lists!$E$2:$F$8,2,FALSE),""))</f>
        <v/>
      </c>
      <c r="BC50" s="31">
        <f>IFERROR(VLOOKUP(BB50,Lists!$A$2:$C$12,3,FALSE),"")</f>
        <v/>
      </c>
      <c r="BD50" s="31">
        <f>COUNTIF(W50:AC50,"Yes")</f>
        <v/>
      </c>
      <c r="BE50" s="31">
        <f>IF(TRIM(B50)="","Legal name missing; ","")&amp;IF(AND(AV50&lt;&gt;"",AV50&lt;&gt;"OK"),"GSTIN: "&amp;AV50&amp;"; ","")&amp;IF(AND(AW50&lt;&gt;"",AW50&lt;&gt;"OK"),"PAN wrong format; ","")&amp;IF(AND(BA50&lt;&gt;"",LEN(AZ50)=15,MID(AZ50,3,10)&lt;&gt;BA50),"PAN does not match GSTIN; ","")&amp;IF(AND(AX50&lt;&gt;"",AX50&lt;&gt;"OK"),"TAN wrong format; ","")&amp;IF(AS50="","PAN missing; ","")&amp;IF(BB50="","Entity type missing; ","")&amp;IF(AND(AZ50&lt;&gt;"",COUNTIF($AZ$6:$AZ$1005,AZ50)&gt;1),"GSTIN repeated in this sheet; ","")&amp;IF(AND(AS50&lt;&gt;"",COUNTIF($AS$6:$AS$1005,AS50)&gt;1),"PAN repeated in this sheet (same client? put extra GSTINs in Other GSTINs); ","")&amp;IF(AND(BD50&gt;0,V50=""),"Financial year missing; ","")&amp;IF(AND(BD50=0,V50&lt;&gt;""),"Financial year given but no service is Yes; ","")&amp;IF(AND(W50="Yes",AZ50=""),"GST needs a GSTIN; ","")&amp;IF(AND(W50="Yes",X50=""),"GST return frequency missing; ","")&amp;IF(AND(Y50="Yes",TRIM(H50)=""),"TDS needs a TAN; ","")&amp;IF(AND(AA50="Yes",BC50&lt;&gt;"",BC50&lt;&gt;"company",BC50&lt;&gt;"llp"),"ROC is only for a company / LLP; ","")&amp;IF(AND(AA50="Yes",OR(BC50="company",BC50="llp"),TRIM(I50)=""),"ROC needs the CIN / LLPIN; ","")&amp;IF((TRIM(AF50)="")&lt;&gt;(TRIM(AG50)=""),"GST login needs both user ID and password; ","")&amp;IF((TRIM(AH50)="")&lt;&gt;(TRIM(AI50)=""),"Income-tax login needs both user ID and password; ","")&amp;IF((TRIM(AJ50)="")&lt;&gt;(TRIM(AK50)=""),"Income-tax login needs both user ID and password; ","")&amp;IF((TRIM(AL50)="")&lt;&gt;(TRIM(AM50)=""),"TRACES login needs both user ID and password; ","")&amp;IF((TRIM(AN50)="")&lt;&gt;(TRIM(AO50)=""),"MCA login needs both user ID and password; ","")&amp;IF((TRIM(AP50)="")&lt;&gt;(TRIM(AQ50)=""),"E-way bill login needs both user ID and password; ","")</f>
        <v/>
      </c>
    </row>
    <row r="51">
      <c r="A51" s="32" t="n"/>
      <c r="B51" s="33" t="n"/>
      <c r="C51" s="33" t="n"/>
      <c r="D51" s="33" t="n"/>
      <c r="E51" s="32" t="n"/>
      <c r="F51" s="32" t="n"/>
      <c r="G51" s="32" t="n"/>
      <c r="H51" s="32" t="n"/>
      <c r="I51" s="32" t="n"/>
      <c r="J51" s="34" t="n"/>
      <c r="K51" s="33" t="n"/>
      <c r="L51" s="32" t="n"/>
      <c r="M51" s="33" t="n"/>
      <c r="N51" s="33" t="n"/>
      <c r="O51" s="33" t="n"/>
      <c r="P51" s="32" t="n"/>
      <c r="Q51" s="33" t="n"/>
      <c r="R51" s="33" t="n"/>
      <c r="S51" s="33" t="n"/>
      <c r="T51" s="33" t="n"/>
      <c r="U51" s="32" t="n"/>
      <c r="V51" s="33" t="n"/>
      <c r="W51" s="33" t="n"/>
      <c r="X51" s="33" t="n"/>
      <c r="Y51" s="33" t="n"/>
      <c r="Z51" s="33" t="n"/>
      <c r="AA51" s="33" t="n"/>
      <c r="AB51" s="33" t="n"/>
      <c r="AC51" s="33" t="n"/>
      <c r="AD51" s="33" t="n"/>
      <c r="AE51" s="33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29">
        <f>IF(NOT(COUNTA(A51:AE51)&gt;0),"",IF(A51="","New client","Update"))</f>
        <v/>
      </c>
      <c r="AS51" s="29">
        <f>IF(BA51&lt;&gt;"",BA51,IF(LEN(AZ51)=15,MID(AZ51,3,10),""))</f>
        <v/>
      </c>
      <c r="AT51" s="29">
        <f>IF(BB51="","",BB51&amp;IF(D51="","  (guessed from PAN)",""))</f>
        <v/>
      </c>
      <c r="AU51" s="29">
        <f>IF(AZ51="","",IFERROR(INDEX(Lists!$L$2:$L$38,MATCH(LEFT(AZ51,2),Lists!$K$2:$K$38,0)),"Unknown code"))</f>
        <v/>
      </c>
      <c r="AV51" s="29">
        <f>IF(AZ51="","",IFERROR(IF(NOT(AND(LEN(AZ51)=15,ISNUMBER(MATCH(LEFT(AZ51,2),Lists!$K$2:$K$38,0)),SUMPRODUCT(--ISERROR(FIND(MID(MID(AZ51,3,10),{1,2,3,4,5,10},1),"ABCDEFGHIJKLMNOPQRSTUVWXYZ")))=0,SUMPRODUCT(--ISERROR(FIND(MID(MID(AZ51,3,10),{6,7,8,9},1),"0123456789")))=0,ISNUMBER(FIND(MID(AZ51,13,1),"123456789ABCDEFGHIJKLMNOPQRSTUVWXYZ")),MID(AZ51,14,1)="Z")),"Wrong format",IF(MID("0123456789ABCDEFGHIJKLMNOPQRSTUVWXYZ",MOD(36-MOD(SUMPRODUCT(INT((FIND(MID(AZ51,{1,2,3,4,5,6,7,8,9,10,11,12,13,14},1),"0123456789ABCDEFGHIJKLMNOPQRSTUVWXYZ")-1)*{1,2,1,2,1,2,1,2,1,2,1,2,1,2}/36)+MOD((FIND(MID(AZ51,{1,2,3,4,5,6,7,8,9,10,11,12,13,14},1),"0123456789ABCDEFGHIJKLMNOPQRSTUVWXYZ")-1)*{1,2,1,2,1,2,1,2,1,2,1,2,1,2},36)),36),36)+1,1)=MID(AZ51,15,1),"OK","Typo? check digit wrong")),"Wrong format"))</f>
        <v/>
      </c>
      <c r="AW51" s="29">
        <f>IF(BA51="","",IF(AND(LEN(BA51)=10,SUMPRODUCT(--ISERROR(FIND(MID(BA51,{1,2,3,4,5,10},1),"ABCDEFGHIJKLMNOPQRSTUVWXYZ")))=0,SUMPRODUCT(--ISERROR(FIND(MID(BA51,{6,7,8,9},1),"0123456789")))=0),"OK","Wrong format"))</f>
        <v/>
      </c>
      <c r="AX51" s="29">
        <f>IF(TRIM(H51)="","",IF(AND(LEN(UPPER(TRIM(H51)))=10,SUMPRODUCT(--ISERROR(FIND(MID(UPPER(TRIM(H51)),{1,2,3,4,10},1),"ABCDEFGHIJKLMNOPQRSTUVWXYZ")))=0,SUMPRODUCT(--ISERROR(FIND(MID(UPPER(TRIM(H51)),{5,6,7,8,9},1),"0123456789")))=0),"OK","Wrong format"))</f>
        <v/>
      </c>
      <c r="AY51" s="30">
        <f>IF(NOT(COUNTA(A51:AE51)&gt;0),"",IF(BE51&lt;&gt;"","✖ "&amp;LEFT(BE51,LEN(BE51)-2),IF(BD51&gt;0,"✔ Ready — client + "&amp;BD51&amp;" service(s)","✔ Ready — client only")))</f>
        <v/>
      </c>
      <c r="AZ51" s="31">
        <f>UPPER(SUBSTITUTE(TRIM(F51)," ",""))</f>
        <v/>
      </c>
      <c r="BA51" s="31">
        <f>UPPER(SUBSTITUTE(TRIM(E51)," ",""))</f>
        <v/>
      </c>
      <c r="BB51" s="31">
        <f>IF(D51&lt;&gt;"",D51,IFERROR(VLOOKUP(MID(AS51,4,1),Lists!$E$2:$F$8,2,FALSE),""))</f>
        <v/>
      </c>
      <c r="BC51" s="31">
        <f>IFERROR(VLOOKUP(BB51,Lists!$A$2:$C$12,3,FALSE),"")</f>
        <v/>
      </c>
      <c r="BD51" s="31">
        <f>COUNTIF(W51:AC51,"Yes")</f>
        <v/>
      </c>
      <c r="BE51" s="31">
        <f>IF(TRIM(B51)="","Legal name missing; ","")&amp;IF(AND(AV51&lt;&gt;"",AV51&lt;&gt;"OK"),"GSTIN: "&amp;AV51&amp;"; ","")&amp;IF(AND(AW51&lt;&gt;"",AW51&lt;&gt;"OK"),"PAN wrong format; ","")&amp;IF(AND(BA51&lt;&gt;"",LEN(AZ51)=15,MID(AZ51,3,10)&lt;&gt;BA51),"PAN does not match GSTIN; ","")&amp;IF(AND(AX51&lt;&gt;"",AX51&lt;&gt;"OK"),"TAN wrong format; ","")&amp;IF(AS51="","PAN missing; ","")&amp;IF(BB51="","Entity type missing; ","")&amp;IF(AND(AZ51&lt;&gt;"",COUNTIF($AZ$6:$AZ$1005,AZ51)&gt;1),"GSTIN repeated in this sheet; ","")&amp;IF(AND(AS51&lt;&gt;"",COUNTIF($AS$6:$AS$1005,AS51)&gt;1),"PAN repeated in this sheet (same client? put extra GSTINs in Other GSTINs); ","")&amp;IF(AND(BD51&gt;0,V51=""),"Financial year missing; ","")&amp;IF(AND(BD51=0,V51&lt;&gt;""),"Financial year given but no service is Yes; ","")&amp;IF(AND(W51="Yes",AZ51=""),"GST needs a GSTIN; ","")&amp;IF(AND(W51="Yes",X51=""),"GST return frequency missing; ","")&amp;IF(AND(Y51="Yes",TRIM(H51)=""),"TDS needs a TAN; ","")&amp;IF(AND(AA51="Yes",BC51&lt;&gt;"",BC51&lt;&gt;"company",BC51&lt;&gt;"llp"),"ROC is only for a company / LLP; ","")&amp;IF(AND(AA51="Yes",OR(BC51="company",BC51="llp"),TRIM(I51)=""),"ROC needs the CIN / LLPIN; ","")&amp;IF((TRIM(AF51)="")&lt;&gt;(TRIM(AG51)=""),"GST login needs both user ID and password; ","")&amp;IF((TRIM(AH51)="")&lt;&gt;(TRIM(AI51)=""),"Income-tax login needs both user ID and password; ","")&amp;IF((TRIM(AJ51)="")&lt;&gt;(TRIM(AK51)=""),"Income-tax login needs both user ID and password; ","")&amp;IF((TRIM(AL51)="")&lt;&gt;(TRIM(AM51)=""),"TRACES login needs both user ID and password; ","")&amp;IF((TRIM(AN51)="")&lt;&gt;(TRIM(AO51)=""),"MCA login needs both user ID and password; ","")&amp;IF((TRIM(AP51)="")&lt;&gt;(TRIM(AQ51)=""),"E-way bill login needs both user ID and password; ","")</f>
        <v/>
      </c>
    </row>
    <row r="52">
      <c r="A52" s="32" t="n"/>
      <c r="B52" s="33" t="n"/>
      <c r="C52" s="33" t="n"/>
      <c r="D52" s="33" t="n"/>
      <c r="E52" s="32" t="n"/>
      <c r="F52" s="32" t="n"/>
      <c r="G52" s="32" t="n"/>
      <c r="H52" s="32" t="n"/>
      <c r="I52" s="32" t="n"/>
      <c r="J52" s="34" t="n"/>
      <c r="K52" s="33" t="n"/>
      <c r="L52" s="32" t="n"/>
      <c r="M52" s="33" t="n"/>
      <c r="N52" s="33" t="n"/>
      <c r="O52" s="33" t="n"/>
      <c r="P52" s="32" t="n"/>
      <c r="Q52" s="33" t="n"/>
      <c r="R52" s="33" t="n"/>
      <c r="S52" s="33" t="n"/>
      <c r="T52" s="33" t="n"/>
      <c r="U52" s="32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29">
        <f>IF(NOT(COUNTA(A52:AE52)&gt;0),"",IF(A52="","New client","Update"))</f>
        <v/>
      </c>
      <c r="AS52" s="29">
        <f>IF(BA52&lt;&gt;"",BA52,IF(LEN(AZ52)=15,MID(AZ52,3,10),""))</f>
        <v/>
      </c>
      <c r="AT52" s="29">
        <f>IF(BB52="","",BB52&amp;IF(D52="","  (guessed from PAN)",""))</f>
        <v/>
      </c>
      <c r="AU52" s="29">
        <f>IF(AZ52="","",IFERROR(INDEX(Lists!$L$2:$L$38,MATCH(LEFT(AZ52,2),Lists!$K$2:$K$38,0)),"Unknown code"))</f>
        <v/>
      </c>
      <c r="AV52" s="29">
        <f>IF(AZ52="","",IFERROR(IF(NOT(AND(LEN(AZ52)=15,ISNUMBER(MATCH(LEFT(AZ52,2),Lists!$K$2:$K$38,0)),SUMPRODUCT(--ISERROR(FIND(MID(MID(AZ52,3,10),{1,2,3,4,5,10},1),"ABCDEFGHIJKLMNOPQRSTUVWXYZ")))=0,SUMPRODUCT(--ISERROR(FIND(MID(MID(AZ52,3,10),{6,7,8,9},1),"0123456789")))=0,ISNUMBER(FIND(MID(AZ52,13,1),"123456789ABCDEFGHIJKLMNOPQRSTUVWXYZ")),MID(AZ52,14,1)="Z")),"Wrong format",IF(MID("0123456789ABCDEFGHIJKLMNOPQRSTUVWXYZ",MOD(36-MOD(SUMPRODUCT(INT((FIND(MID(AZ52,{1,2,3,4,5,6,7,8,9,10,11,12,13,14},1),"0123456789ABCDEFGHIJKLMNOPQRSTUVWXYZ")-1)*{1,2,1,2,1,2,1,2,1,2,1,2,1,2}/36)+MOD((FIND(MID(AZ52,{1,2,3,4,5,6,7,8,9,10,11,12,13,14},1),"0123456789ABCDEFGHIJKLMNOPQRSTUVWXYZ")-1)*{1,2,1,2,1,2,1,2,1,2,1,2,1,2},36)),36),36)+1,1)=MID(AZ52,15,1),"OK","Typo? check digit wrong")),"Wrong format"))</f>
        <v/>
      </c>
      <c r="AW52" s="29">
        <f>IF(BA52="","",IF(AND(LEN(BA52)=10,SUMPRODUCT(--ISERROR(FIND(MID(BA52,{1,2,3,4,5,10},1),"ABCDEFGHIJKLMNOPQRSTUVWXYZ")))=0,SUMPRODUCT(--ISERROR(FIND(MID(BA52,{6,7,8,9},1),"0123456789")))=0),"OK","Wrong format"))</f>
        <v/>
      </c>
      <c r="AX52" s="29">
        <f>IF(TRIM(H52)="","",IF(AND(LEN(UPPER(TRIM(H52)))=10,SUMPRODUCT(--ISERROR(FIND(MID(UPPER(TRIM(H52)),{1,2,3,4,10},1),"ABCDEFGHIJKLMNOPQRSTUVWXYZ")))=0,SUMPRODUCT(--ISERROR(FIND(MID(UPPER(TRIM(H52)),{5,6,7,8,9},1),"0123456789")))=0),"OK","Wrong format"))</f>
        <v/>
      </c>
      <c r="AY52" s="30">
        <f>IF(NOT(COUNTA(A52:AE52)&gt;0),"",IF(BE52&lt;&gt;"","✖ "&amp;LEFT(BE52,LEN(BE52)-2),IF(BD52&gt;0,"✔ Ready — client + "&amp;BD52&amp;" service(s)","✔ Ready — client only")))</f>
        <v/>
      </c>
      <c r="AZ52" s="31">
        <f>UPPER(SUBSTITUTE(TRIM(F52)," ",""))</f>
        <v/>
      </c>
      <c r="BA52" s="31">
        <f>UPPER(SUBSTITUTE(TRIM(E52)," ",""))</f>
        <v/>
      </c>
      <c r="BB52" s="31">
        <f>IF(D52&lt;&gt;"",D52,IFERROR(VLOOKUP(MID(AS52,4,1),Lists!$E$2:$F$8,2,FALSE),""))</f>
        <v/>
      </c>
      <c r="BC52" s="31">
        <f>IFERROR(VLOOKUP(BB52,Lists!$A$2:$C$12,3,FALSE),"")</f>
        <v/>
      </c>
      <c r="BD52" s="31">
        <f>COUNTIF(W52:AC52,"Yes")</f>
        <v/>
      </c>
      <c r="BE52" s="31">
        <f>IF(TRIM(B52)="","Legal name missing; ","")&amp;IF(AND(AV52&lt;&gt;"",AV52&lt;&gt;"OK"),"GSTIN: "&amp;AV52&amp;"; ","")&amp;IF(AND(AW52&lt;&gt;"",AW52&lt;&gt;"OK"),"PAN wrong format; ","")&amp;IF(AND(BA52&lt;&gt;"",LEN(AZ52)=15,MID(AZ52,3,10)&lt;&gt;BA52),"PAN does not match GSTIN; ","")&amp;IF(AND(AX52&lt;&gt;"",AX52&lt;&gt;"OK"),"TAN wrong format; ","")&amp;IF(AS52="","PAN missing; ","")&amp;IF(BB52="","Entity type missing; ","")&amp;IF(AND(AZ52&lt;&gt;"",COUNTIF($AZ$6:$AZ$1005,AZ52)&gt;1),"GSTIN repeated in this sheet; ","")&amp;IF(AND(AS52&lt;&gt;"",COUNTIF($AS$6:$AS$1005,AS52)&gt;1),"PAN repeated in this sheet (same client? put extra GSTINs in Other GSTINs); ","")&amp;IF(AND(BD52&gt;0,V52=""),"Financial year missing; ","")&amp;IF(AND(BD52=0,V52&lt;&gt;""),"Financial year given but no service is Yes; ","")&amp;IF(AND(W52="Yes",AZ52=""),"GST needs a GSTIN; ","")&amp;IF(AND(W52="Yes",X52=""),"GST return frequency missing; ","")&amp;IF(AND(Y52="Yes",TRIM(H52)=""),"TDS needs a TAN; ","")&amp;IF(AND(AA52="Yes",BC52&lt;&gt;"",BC52&lt;&gt;"company",BC52&lt;&gt;"llp"),"ROC is only for a company / LLP; ","")&amp;IF(AND(AA52="Yes",OR(BC52="company",BC52="llp"),TRIM(I52)=""),"ROC needs the CIN / LLPIN; ","")&amp;IF((TRIM(AF52)="")&lt;&gt;(TRIM(AG52)=""),"GST login needs both user ID and password; ","")&amp;IF((TRIM(AH52)="")&lt;&gt;(TRIM(AI52)=""),"Income-tax login needs both user ID and password; ","")&amp;IF((TRIM(AJ52)="")&lt;&gt;(TRIM(AK52)=""),"Income-tax login needs both user ID and password; ","")&amp;IF((TRIM(AL52)="")&lt;&gt;(TRIM(AM52)=""),"TRACES login needs both user ID and password; ","")&amp;IF((TRIM(AN52)="")&lt;&gt;(TRIM(AO52)=""),"MCA login needs both user ID and password; ","")&amp;IF((TRIM(AP52)="")&lt;&gt;(TRIM(AQ52)=""),"E-way bill login needs both user ID and password; ","")</f>
        <v/>
      </c>
    </row>
    <row r="53">
      <c r="A53" s="32" t="n"/>
      <c r="B53" s="33" t="n"/>
      <c r="C53" s="33" t="n"/>
      <c r="D53" s="33" t="n"/>
      <c r="E53" s="32" t="n"/>
      <c r="F53" s="32" t="n"/>
      <c r="G53" s="32" t="n"/>
      <c r="H53" s="32" t="n"/>
      <c r="I53" s="32" t="n"/>
      <c r="J53" s="34" t="n"/>
      <c r="K53" s="33" t="n"/>
      <c r="L53" s="32" t="n"/>
      <c r="M53" s="33" t="n"/>
      <c r="N53" s="33" t="n"/>
      <c r="O53" s="33" t="n"/>
      <c r="P53" s="32" t="n"/>
      <c r="Q53" s="33" t="n"/>
      <c r="R53" s="33" t="n"/>
      <c r="S53" s="33" t="n"/>
      <c r="T53" s="33" t="n"/>
      <c r="U53" s="32" t="n"/>
      <c r="V53" s="33" t="n"/>
      <c r="W53" s="33" t="n"/>
      <c r="X53" s="33" t="n"/>
      <c r="Y53" s="33" t="n"/>
      <c r="Z53" s="33" t="n"/>
      <c r="AA53" s="33" t="n"/>
      <c r="AB53" s="33" t="n"/>
      <c r="AC53" s="33" t="n"/>
      <c r="AD53" s="33" t="n"/>
      <c r="AE53" s="33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29">
        <f>IF(NOT(COUNTA(A53:AE53)&gt;0),"",IF(A53="","New client","Update"))</f>
        <v/>
      </c>
      <c r="AS53" s="29">
        <f>IF(BA53&lt;&gt;"",BA53,IF(LEN(AZ53)=15,MID(AZ53,3,10),""))</f>
        <v/>
      </c>
      <c r="AT53" s="29">
        <f>IF(BB53="","",BB53&amp;IF(D53="","  (guessed from PAN)",""))</f>
        <v/>
      </c>
      <c r="AU53" s="29">
        <f>IF(AZ53="","",IFERROR(INDEX(Lists!$L$2:$L$38,MATCH(LEFT(AZ53,2),Lists!$K$2:$K$38,0)),"Unknown code"))</f>
        <v/>
      </c>
      <c r="AV53" s="29">
        <f>IF(AZ53="","",IFERROR(IF(NOT(AND(LEN(AZ53)=15,ISNUMBER(MATCH(LEFT(AZ53,2),Lists!$K$2:$K$38,0)),SUMPRODUCT(--ISERROR(FIND(MID(MID(AZ53,3,10),{1,2,3,4,5,10},1),"ABCDEFGHIJKLMNOPQRSTUVWXYZ")))=0,SUMPRODUCT(--ISERROR(FIND(MID(MID(AZ53,3,10),{6,7,8,9},1),"0123456789")))=0,ISNUMBER(FIND(MID(AZ53,13,1),"123456789ABCDEFGHIJKLMNOPQRSTUVWXYZ")),MID(AZ53,14,1)="Z")),"Wrong format",IF(MID("0123456789ABCDEFGHIJKLMNOPQRSTUVWXYZ",MOD(36-MOD(SUMPRODUCT(INT((FIND(MID(AZ53,{1,2,3,4,5,6,7,8,9,10,11,12,13,14},1),"0123456789ABCDEFGHIJKLMNOPQRSTUVWXYZ")-1)*{1,2,1,2,1,2,1,2,1,2,1,2,1,2}/36)+MOD((FIND(MID(AZ53,{1,2,3,4,5,6,7,8,9,10,11,12,13,14},1),"0123456789ABCDEFGHIJKLMNOPQRSTUVWXYZ")-1)*{1,2,1,2,1,2,1,2,1,2,1,2,1,2},36)),36),36)+1,1)=MID(AZ53,15,1),"OK","Typo? check digit wrong")),"Wrong format"))</f>
        <v/>
      </c>
      <c r="AW53" s="29">
        <f>IF(BA53="","",IF(AND(LEN(BA53)=10,SUMPRODUCT(--ISERROR(FIND(MID(BA53,{1,2,3,4,5,10},1),"ABCDEFGHIJKLMNOPQRSTUVWXYZ")))=0,SUMPRODUCT(--ISERROR(FIND(MID(BA53,{6,7,8,9},1),"0123456789")))=0),"OK","Wrong format"))</f>
        <v/>
      </c>
      <c r="AX53" s="29">
        <f>IF(TRIM(H53)="","",IF(AND(LEN(UPPER(TRIM(H53)))=10,SUMPRODUCT(--ISERROR(FIND(MID(UPPER(TRIM(H53)),{1,2,3,4,10},1),"ABCDEFGHIJKLMNOPQRSTUVWXYZ")))=0,SUMPRODUCT(--ISERROR(FIND(MID(UPPER(TRIM(H53)),{5,6,7,8,9},1),"0123456789")))=0),"OK","Wrong format"))</f>
        <v/>
      </c>
      <c r="AY53" s="30">
        <f>IF(NOT(COUNTA(A53:AE53)&gt;0),"",IF(BE53&lt;&gt;"","✖ "&amp;LEFT(BE53,LEN(BE53)-2),IF(BD53&gt;0,"✔ Ready — client + "&amp;BD53&amp;" service(s)","✔ Ready — client only")))</f>
        <v/>
      </c>
      <c r="AZ53" s="31">
        <f>UPPER(SUBSTITUTE(TRIM(F53)," ",""))</f>
        <v/>
      </c>
      <c r="BA53" s="31">
        <f>UPPER(SUBSTITUTE(TRIM(E53)," ",""))</f>
        <v/>
      </c>
      <c r="BB53" s="31">
        <f>IF(D53&lt;&gt;"",D53,IFERROR(VLOOKUP(MID(AS53,4,1),Lists!$E$2:$F$8,2,FALSE),""))</f>
        <v/>
      </c>
      <c r="BC53" s="31">
        <f>IFERROR(VLOOKUP(BB53,Lists!$A$2:$C$12,3,FALSE),"")</f>
        <v/>
      </c>
      <c r="BD53" s="31">
        <f>COUNTIF(W53:AC53,"Yes")</f>
        <v/>
      </c>
      <c r="BE53" s="31">
        <f>IF(TRIM(B53)="","Legal name missing; ","")&amp;IF(AND(AV53&lt;&gt;"",AV53&lt;&gt;"OK"),"GSTIN: "&amp;AV53&amp;"; ","")&amp;IF(AND(AW53&lt;&gt;"",AW53&lt;&gt;"OK"),"PAN wrong format; ","")&amp;IF(AND(BA53&lt;&gt;"",LEN(AZ53)=15,MID(AZ53,3,10)&lt;&gt;BA53),"PAN does not match GSTIN; ","")&amp;IF(AND(AX53&lt;&gt;"",AX53&lt;&gt;"OK"),"TAN wrong format; ","")&amp;IF(AS53="","PAN missing; ","")&amp;IF(BB53="","Entity type missing; ","")&amp;IF(AND(AZ53&lt;&gt;"",COUNTIF($AZ$6:$AZ$1005,AZ53)&gt;1),"GSTIN repeated in this sheet; ","")&amp;IF(AND(AS53&lt;&gt;"",COUNTIF($AS$6:$AS$1005,AS53)&gt;1),"PAN repeated in this sheet (same client? put extra GSTINs in Other GSTINs); ","")&amp;IF(AND(BD53&gt;0,V53=""),"Financial year missing; ","")&amp;IF(AND(BD53=0,V53&lt;&gt;""),"Financial year given but no service is Yes; ","")&amp;IF(AND(W53="Yes",AZ53=""),"GST needs a GSTIN; ","")&amp;IF(AND(W53="Yes",X53=""),"GST return frequency missing; ","")&amp;IF(AND(Y53="Yes",TRIM(H53)=""),"TDS needs a TAN; ","")&amp;IF(AND(AA53="Yes",BC53&lt;&gt;"",BC53&lt;&gt;"company",BC53&lt;&gt;"llp"),"ROC is only for a company / LLP; ","")&amp;IF(AND(AA53="Yes",OR(BC53="company",BC53="llp"),TRIM(I53)=""),"ROC needs the CIN / LLPIN; ","")&amp;IF((TRIM(AF53)="")&lt;&gt;(TRIM(AG53)=""),"GST login needs both user ID and password; ","")&amp;IF((TRIM(AH53)="")&lt;&gt;(TRIM(AI53)=""),"Income-tax login needs both user ID and password; ","")&amp;IF((TRIM(AJ53)="")&lt;&gt;(TRIM(AK53)=""),"Income-tax login needs both user ID and password; ","")&amp;IF((TRIM(AL53)="")&lt;&gt;(TRIM(AM53)=""),"TRACES login needs both user ID and password; ","")&amp;IF((TRIM(AN53)="")&lt;&gt;(TRIM(AO53)=""),"MCA login needs both user ID and password; ","")&amp;IF((TRIM(AP53)="")&lt;&gt;(TRIM(AQ53)=""),"E-way bill login needs both user ID and password; ","")</f>
        <v/>
      </c>
    </row>
    <row r="54">
      <c r="A54" s="32" t="n"/>
      <c r="B54" s="33" t="n"/>
      <c r="C54" s="33" t="n"/>
      <c r="D54" s="33" t="n"/>
      <c r="E54" s="32" t="n"/>
      <c r="F54" s="32" t="n"/>
      <c r="G54" s="32" t="n"/>
      <c r="H54" s="32" t="n"/>
      <c r="I54" s="32" t="n"/>
      <c r="J54" s="34" t="n"/>
      <c r="K54" s="33" t="n"/>
      <c r="L54" s="32" t="n"/>
      <c r="M54" s="33" t="n"/>
      <c r="N54" s="33" t="n"/>
      <c r="O54" s="33" t="n"/>
      <c r="P54" s="32" t="n"/>
      <c r="Q54" s="33" t="n"/>
      <c r="R54" s="33" t="n"/>
      <c r="S54" s="33" t="n"/>
      <c r="T54" s="33" t="n"/>
      <c r="U54" s="32" t="n"/>
      <c r="V54" s="33" t="n"/>
      <c r="W54" s="33" t="n"/>
      <c r="X54" s="33" t="n"/>
      <c r="Y54" s="33" t="n"/>
      <c r="Z54" s="33" t="n"/>
      <c r="AA54" s="33" t="n"/>
      <c r="AB54" s="33" t="n"/>
      <c r="AC54" s="33" t="n"/>
      <c r="AD54" s="33" t="n"/>
      <c r="AE54" s="33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29">
        <f>IF(NOT(COUNTA(A54:AE54)&gt;0),"",IF(A54="","New client","Update"))</f>
        <v/>
      </c>
      <c r="AS54" s="29">
        <f>IF(BA54&lt;&gt;"",BA54,IF(LEN(AZ54)=15,MID(AZ54,3,10),""))</f>
        <v/>
      </c>
      <c r="AT54" s="29">
        <f>IF(BB54="","",BB54&amp;IF(D54="","  (guessed from PAN)",""))</f>
        <v/>
      </c>
      <c r="AU54" s="29">
        <f>IF(AZ54="","",IFERROR(INDEX(Lists!$L$2:$L$38,MATCH(LEFT(AZ54,2),Lists!$K$2:$K$38,0)),"Unknown code"))</f>
        <v/>
      </c>
      <c r="AV54" s="29">
        <f>IF(AZ54="","",IFERROR(IF(NOT(AND(LEN(AZ54)=15,ISNUMBER(MATCH(LEFT(AZ54,2),Lists!$K$2:$K$38,0)),SUMPRODUCT(--ISERROR(FIND(MID(MID(AZ54,3,10),{1,2,3,4,5,10},1),"ABCDEFGHIJKLMNOPQRSTUVWXYZ")))=0,SUMPRODUCT(--ISERROR(FIND(MID(MID(AZ54,3,10),{6,7,8,9},1),"0123456789")))=0,ISNUMBER(FIND(MID(AZ54,13,1),"123456789ABCDEFGHIJKLMNOPQRSTUVWXYZ")),MID(AZ54,14,1)="Z")),"Wrong format",IF(MID("0123456789ABCDEFGHIJKLMNOPQRSTUVWXYZ",MOD(36-MOD(SUMPRODUCT(INT((FIND(MID(AZ54,{1,2,3,4,5,6,7,8,9,10,11,12,13,14},1),"0123456789ABCDEFGHIJKLMNOPQRSTUVWXYZ")-1)*{1,2,1,2,1,2,1,2,1,2,1,2,1,2}/36)+MOD((FIND(MID(AZ54,{1,2,3,4,5,6,7,8,9,10,11,12,13,14},1),"0123456789ABCDEFGHIJKLMNOPQRSTUVWXYZ")-1)*{1,2,1,2,1,2,1,2,1,2,1,2,1,2},36)),36),36)+1,1)=MID(AZ54,15,1),"OK","Typo? check digit wrong")),"Wrong format"))</f>
        <v/>
      </c>
      <c r="AW54" s="29">
        <f>IF(BA54="","",IF(AND(LEN(BA54)=10,SUMPRODUCT(--ISERROR(FIND(MID(BA54,{1,2,3,4,5,10},1),"ABCDEFGHIJKLMNOPQRSTUVWXYZ")))=0,SUMPRODUCT(--ISERROR(FIND(MID(BA54,{6,7,8,9},1),"0123456789")))=0),"OK","Wrong format"))</f>
        <v/>
      </c>
      <c r="AX54" s="29">
        <f>IF(TRIM(H54)="","",IF(AND(LEN(UPPER(TRIM(H54)))=10,SUMPRODUCT(--ISERROR(FIND(MID(UPPER(TRIM(H54)),{1,2,3,4,10},1),"ABCDEFGHIJKLMNOPQRSTUVWXYZ")))=0,SUMPRODUCT(--ISERROR(FIND(MID(UPPER(TRIM(H54)),{5,6,7,8,9},1),"0123456789")))=0),"OK","Wrong format"))</f>
        <v/>
      </c>
      <c r="AY54" s="30">
        <f>IF(NOT(COUNTA(A54:AE54)&gt;0),"",IF(BE54&lt;&gt;"","✖ "&amp;LEFT(BE54,LEN(BE54)-2),IF(BD54&gt;0,"✔ Ready — client + "&amp;BD54&amp;" service(s)","✔ Ready — client only")))</f>
        <v/>
      </c>
      <c r="AZ54" s="31">
        <f>UPPER(SUBSTITUTE(TRIM(F54)," ",""))</f>
        <v/>
      </c>
      <c r="BA54" s="31">
        <f>UPPER(SUBSTITUTE(TRIM(E54)," ",""))</f>
        <v/>
      </c>
      <c r="BB54" s="31">
        <f>IF(D54&lt;&gt;"",D54,IFERROR(VLOOKUP(MID(AS54,4,1),Lists!$E$2:$F$8,2,FALSE),""))</f>
        <v/>
      </c>
      <c r="BC54" s="31">
        <f>IFERROR(VLOOKUP(BB54,Lists!$A$2:$C$12,3,FALSE),"")</f>
        <v/>
      </c>
      <c r="BD54" s="31">
        <f>COUNTIF(W54:AC54,"Yes")</f>
        <v/>
      </c>
      <c r="BE54" s="31">
        <f>IF(TRIM(B54)="","Legal name missing; ","")&amp;IF(AND(AV54&lt;&gt;"",AV54&lt;&gt;"OK"),"GSTIN: "&amp;AV54&amp;"; ","")&amp;IF(AND(AW54&lt;&gt;"",AW54&lt;&gt;"OK"),"PAN wrong format; ","")&amp;IF(AND(BA54&lt;&gt;"",LEN(AZ54)=15,MID(AZ54,3,10)&lt;&gt;BA54),"PAN does not match GSTIN; ","")&amp;IF(AND(AX54&lt;&gt;"",AX54&lt;&gt;"OK"),"TAN wrong format; ","")&amp;IF(AS54="","PAN missing; ","")&amp;IF(BB54="","Entity type missing; ","")&amp;IF(AND(AZ54&lt;&gt;"",COUNTIF($AZ$6:$AZ$1005,AZ54)&gt;1),"GSTIN repeated in this sheet; ","")&amp;IF(AND(AS54&lt;&gt;"",COUNTIF($AS$6:$AS$1005,AS54)&gt;1),"PAN repeated in this sheet (same client? put extra GSTINs in Other GSTINs); ","")&amp;IF(AND(BD54&gt;0,V54=""),"Financial year missing; ","")&amp;IF(AND(BD54=0,V54&lt;&gt;""),"Financial year given but no service is Yes; ","")&amp;IF(AND(W54="Yes",AZ54=""),"GST needs a GSTIN; ","")&amp;IF(AND(W54="Yes",X54=""),"GST return frequency missing; ","")&amp;IF(AND(Y54="Yes",TRIM(H54)=""),"TDS needs a TAN; ","")&amp;IF(AND(AA54="Yes",BC54&lt;&gt;"",BC54&lt;&gt;"company",BC54&lt;&gt;"llp"),"ROC is only for a company / LLP; ","")&amp;IF(AND(AA54="Yes",OR(BC54="company",BC54="llp"),TRIM(I54)=""),"ROC needs the CIN / LLPIN; ","")&amp;IF((TRIM(AF54)="")&lt;&gt;(TRIM(AG54)=""),"GST login needs both user ID and password; ","")&amp;IF((TRIM(AH54)="")&lt;&gt;(TRIM(AI54)=""),"Income-tax login needs both user ID and password; ","")&amp;IF((TRIM(AJ54)="")&lt;&gt;(TRIM(AK54)=""),"Income-tax login needs both user ID and password; ","")&amp;IF((TRIM(AL54)="")&lt;&gt;(TRIM(AM54)=""),"TRACES login needs both user ID and password; ","")&amp;IF((TRIM(AN54)="")&lt;&gt;(TRIM(AO54)=""),"MCA login needs both user ID and password; ","")&amp;IF((TRIM(AP54)="")&lt;&gt;(TRIM(AQ54)=""),"E-way bill login needs both user ID and password; ","")</f>
        <v/>
      </c>
    </row>
    <row r="55">
      <c r="A55" s="32" t="n"/>
      <c r="B55" s="33" t="n"/>
      <c r="C55" s="33" t="n"/>
      <c r="D55" s="33" t="n"/>
      <c r="E55" s="32" t="n"/>
      <c r="F55" s="32" t="n"/>
      <c r="G55" s="32" t="n"/>
      <c r="H55" s="32" t="n"/>
      <c r="I55" s="32" t="n"/>
      <c r="J55" s="34" t="n"/>
      <c r="K55" s="33" t="n"/>
      <c r="L55" s="32" t="n"/>
      <c r="M55" s="33" t="n"/>
      <c r="N55" s="33" t="n"/>
      <c r="O55" s="33" t="n"/>
      <c r="P55" s="32" t="n"/>
      <c r="Q55" s="33" t="n"/>
      <c r="R55" s="33" t="n"/>
      <c r="S55" s="33" t="n"/>
      <c r="T55" s="33" t="n"/>
      <c r="U55" s="32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  <c r="AE55" s="33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29">
        <f>IF(NOT(COUNTA(A55:AE55)&gt;0),"",IF(A55="","New client","Update"))</f>
        <v/>
      </c>
      <c r="AS55" s="29">
        <f>IF(BA55&lt;&gt;"",BA55,IF(LEN(AZ55)=15,MID(AZ55,3,10),""))</f>
        <v/>
      </c>
      <c r="AT55" s="29">
        <f>IF(BB55="","",BB55&amp;IF(D55="","  (guessed from PAN)",""))</f>
        <v/>
      </c>
      <c r="AU55" s="29">
        <f>IF(AZ55="","",IFERROR(INDEX(Lists!$L$2:$L$38,MATCH(LEFT(AZ55,2),Lists!$K$2:$K$38,0)),"Unknown code"))</f>
        <v/>
      </c>
      <c r="AV55" s="29">
        <f>IF(AZ55="","",IFERROR(IF(NOT(AND(LEN(AZ55)=15,ISNUMBER(MATCH(LEFT(AZ55,2),Lists!$K$2:$K$38,0)),SUMPRODUCT(--ISERROR(FIND(MID(MID(AZ55,3,10),{1,2,3,4,5,10},1),"ABCDEFGHIJKLMNOPQRSTUVWXYZ")))=0,SUMPRODUCT(--ISERROR(FIND(MID(MID(AZ55,3,10),{6,7,8,9},1),"0123456789")))=0,ISNUMBER(FIND(MID(AZ55,13,1),"123456789ABCDEFGHIJKLMNOPQRSTUVWXYZ")),MID(AZ55,14,1)="Z")),"Wrong format",IF(MID("0123456789ABCDEFGHIJKLMNOPQRSTUVWXYZ",MOD(36-MOD(SUMPRODUCT(INT((FIND(MID(AZ55,{1,2,3,4,5,6,7,8,9,10,11,12,13,14},1),"0123456789ABCDEFGHIJKLMNOPQRSTUVWXYZ")-1)*{1,2,1,2,1,2,1,2,1,2,1,2,1,2}/36)+MOD((FIND(MID(AZ55,{1,2,3,4,5,6,7,8,9,10,11,12,13,14},1),"0123456789ABCDEFGHIJKLMNOPQRSTUVWXYZ")-1)*{1,2,1,2,1,2,1,2,1,2,1,2,1,2},36)),36),36)+1,1)=MID(AZ55,15,1),"OK","Typo? check digit wrong")),"Wrong format"))</f>
        <v/>
      </c>
      <c r="AW55" s="29">
        <f>IF(BA55="","",IF(AND(LEN(BA55)=10,SUMPRODUCT(--ISERROR(FIND(MID(BA55,{1,2,3,4,5,10},1),"ABCDEFGHIJKLMNOPQRSTUVWXYZ")))=0,SUMPRODUCT(--ISERROR(FIND(MID(BA55,{6,7,8,9},1),"0123456789")))=0),"OK","Wrong format"))</f>
        <v/>
      </c>
      <c r="AX55" s="29">
        <f>IF(TRIM(H55)="","",IF(AND(LEN(UPPER(TRIM(H55)))=10,SUMPRODUCT(--ISERROR(FIND(MID(UPPER(TRIM(H55)),{1,2,3,4,10},1),"ABCDEFGHIJKLMNOPQRSTUVWXYZ")))=0,SUMPRODUCT(--ISERROR(FIND(MID(UPPER(TRIM(H55)),{5,6,7,8,9},1),"0123456789")))=0),"OK","Wrong format"))</f>
        <v/>
      </c>
      <c r="AY55" s="30">
        <f>IF(NOT(COUNTA(A55:AE55)&gt;0),"",IF(BE55&lt;&gt;"","✖ "&amp;LEFT(BE55,LEN(BE55)-2),IF(BD55&gt;0,"✔ Ready — client + "&amp;BD55&amp;" service(s)","✔ Ready — client only")))</f>
        <v/>
      </c>
      <c r="AZ55" s="31">
        <f>UPPER(SUBSTITUTE(TRIM(F55)," ",""))</f>
        <v/>
      </c>
      <c r="BA55" s="31">
        <f>UPPER(SUBSTITUTE(TRIM(E55)," ",""))</f>
        <v/>
      </c>
      <c r="BB55" s="31">
        <f>IF(D55&lt;&gt;"",D55,IFERROR(VLOOKUP(MID(AS55,4,1),Lists!$E$2:$F$8,2,FALSE),""))</f>
        <v/>
      </c>
      <c r="BC55" s="31">
        <f>IFERROR(VLOOKUP(BB55,Lists!$A$2:$C$12,3,FALSE),"")</f>
        <v/>
      </c>
      <c r="BD55" s="31">
        <f>COUNTIF(W55:AC55,"Yes")</f>
        <v/>
      </c>
      <c r="BE55" s="31">
        <f>IF(TRIM(B55)="","Legal name missing; ","")&amp;IF(AND(AV55&lt;&gt;"",AV55&lt;&gt;"OK"),"GSTIN: "&amp;AV55&amp;"; ","")&amp;IF(AND(AW55&lt;&gt;"",AW55&lt;&gt;"OK"),"PAN wrong format; ","")&amp;IF(AND(BA55&lt;&gt;"",LEN(AZ55)=15,MID(AZ55,3,10)&lt;&gt;BA55),"PAN does not match GSTIN; ","")&amp;IF(AND(AX55&lt;&gt;"",AX55&lt;&gt;"OK"),"TAN wrong format; ","")&amp;IF(AS55="","PAN missing; ","")&amp;IF(BB55="","Entity type missing; ","")&amp;IF(AND(AZ55&lt;&gt;"",COUNTIF($AZ$6:$AZ$1005,AZ55)&gt;1),"GSTIN repeated in this sheet; ","")&amp;IF(AND(AS55&lt;&gt;"",COUNTIF($AS$6:$AS$1005,AS55)&gt;1),"PAN repeated in this sheet (same client? put extra GSTINs in Other GSTINs); ","")&amp;IF(AND(BD55&gt;0,V55=""),"Financial year missing; ","")&amp;IF(AND(BD55=0,V55&lt;&gt;""),"Financial year given but no service is Yes; ","")&amp;IF(AND(W55="Yes",AZ55=""),"GST needs a GSTIN; ","")&amp;IF(AND(W55="Yes",X55=""),"GST return frequency missing; ","")&amp;IF(AND(Y55="Yes",TRIM(H55)=""),"TDS needs a TAN; ","")&amp;IF(AND(AA55="Yes",BC55&lt;&gt;"",BC55&lt;&gt;"company",BC55&lt;&gt;"llp"),"ROC is only for a company / LLP; ","")&amp;IF(AND(AA55="Yes",OR(BC55="company",BC55="llp"),TRIM(I55)=""),"ROC needs the CIN / LLPIN; ","")&amp;IF((TRIM(AF55)="")&lt;&gt;(TRIM(AG55)=""),"GST login needs both user ID and password; ","")&amp;IF((TRIM(AH55)="")&lt;&gt;(TRIM(AI55)=""),"Income-tax login needs both user ID and password; ","")&amp;IF((TRIM(AJ55)="")&lt;&gt;(TRIM(AK55)=""),"Income-tax login needs both user ID and password; ","")&amp;IF((TRIM(AL55)="")&lt;&gt;(TRIM(AM55)=""),"TRACES login needs both user ID and password; ","")&amp;IF((TRIM(AN55)="")&lt;&gt;(TRIM(AO55)=""),"MCA login needs both user ID and password; ","")&amp;IF((TRIM(AP55)="")&lt;&gt;(TRIM(AQ55)=""),"E-way bill login needs both user ID and password; ","")</f>
        <v/>
      </c>
    </row>
    <row r="56">
      <c r="A56" s="32" t="n"/>
      <c r="B56" s="33" t="n"/>
      <c r="C56" s="33" t="n"/>
      <c r="D56" s="33" t="n"/>
      <c r="E56" s="32" t="n"/>
      <c r="F56" s="32" t="n"/>
      <c r="G56" s="32" t="n"/>
      <c r="H56" s="32" t="n"/>
      <c r="I56" s="32" t="n"/>
      <c r="J56" s="34" t="n"/>
      <c r="K56" s="33" t="n"/>
      <c r="L56" s="32" t="n"/>
      <c r="M56" s="33" t="n"/>
      <c r="N56" s="33" t="n"/>
      <c r="O56" s="33" t="n"/>
      <c r="P56" s="32" t="n"/>
      <c r="Q56" s="33" t="n"/>
      <c r="R56" s="33" t="n"/>
      <c r="S56" s="33" t="n"/>
      <c r="T56" s="33" t="n"/>
      <c r="U56" s="32" t="n"/>
      <c r="V56" s="33" t="n"/>
      <c r="W56" s="33" t="n"/>
      <c r="X56" s="33" t="n"/>
      <c r="Y56" s="33" t="n"/>
      <c r="Z56" s="33" t="n"/>
      <c r="AA56" s="33" t="n"/>
      <c r="AB56" s="33" t="n"/>
      <c r="AC56" s="33" t="n"/>
      <c r="AD56" s="33" t="n"/>
      <c r="AE56" s="33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29">
        <f>IF(NOT(COUNTA(A56:AE56)&gt;0),"",IF(A56="","New client","Update"))</f>
        <v/>
      </c>
      <c r="AS56" s="29">
        <f>IF(BA56&lt;&gt;"",BA56,IF(LEN(AZ56)=15,MID(AZ56,3,10),""))</f>
        <v/>
      </c>
      <c r="AT56" s="29">
        <f>IF(BB56="","",BB56&amp;IF(D56="","  (guessed from PAN)",""))</f>
        <v/>
      </c>
      <c r="AU56" s="29">
        <f>IF(AZ56="","",IFERROR(INDEX(Lists!$L$2:$L$38,MATCH(LEFT(AZ56,2),Lists!$K$2:$K$38,0)),"Unknown code"))</f>
        <v/>
      </c>
      <c r="AV56" s="29">
        <f>IF(AZ56="","",IFERROR(IF(NOT(AND(LEN(AZ56)=15,ISNUMBER(MATCH(LEFT(AZ56,2),Lists!$K$2:$K$38,0)),SUMPRODUCT(--ISERROR(FIND(MID(MID(AZ56,3,10),{1,2,3,4,5,10},1),"ABCDEFGHIJKLMNOPQRSTUVWXYZ")))=0,SUMPRODUCT(--ISERROR(FIND(MID(MID(AZ56,3,10),{6,7,8,9},1),"0123456789")))=0,ISNUMBER(FIND(MID(AZ56,13,1),"123456789ABCDEFGHIJKLMNOPQRSTUVWXYZ")),MID(AZ56,14,1)="Z")),"Wrong format",IF(MID("0123456789ABCDEFGHIJKLMNOPQRSTUVWXYZ",MOD(36-MOD(SUMPRODUCT(INT((FIND(MID(AZ56,{1,2,3,4,5,6,7,8,9,10,11,12,13,14},1),"0123456789ABCDEFGHIJKLMNOPQRSTUVWXYZ")-1)*{1,2,1,2,1,2,1,2,1,2,1,2,1,2}/36)+MOD((FIND(MID(AZ56,{1,2,3,4,5,6,7,8,9,10,11,12,13,14},1),"0123456789ABCDEFGHIJKLMNOPQRSTUVWXYZ")-1)*{1,2,1,2,1,2,1,2,1,2,1,2,1,2},36)),36),36)+1,1)=MID(AZ56,15,1),"OK","Typo? check digit wrong")),"Wrong format"))</f>
        <v/>
      </c>
      <c r="AW56" s="29">
        <f>IF(BA56="","",IF(AND(LEN(BA56)=10,SUMPRODUCT(--ISERROR(FIND(MID(BA56,{1,2,3,4,5,10},1),"ABCDEFGHIJKLMNOPQRSTUVWXYZ")))=0,SUMPRODUCT(--ISERROR(FIND(MID(BA56,{6,7,8,9},1),"0123456789")))=0),"OK","Wrong format"))</f>
        <v/>
      </c>
      <c r="AX56" s="29">
        <f>IF(TRIM(H56)="","",IF(AND(LEN(UPPER(TRIM(H56)))=10,SUMPRODUCT(--ISERROR(FIND(MID(UPPER(TRIM(H56)),{1,2,3,4,10},1),"ABCDEFGHIJKLMNOPQRSTUVWXYZ")))=0,SUMPRODUCT(--ISERROR(FIND(MID(UPPER(TRIM(H56)),{5,6,7,8,9},1),"0123456789")))=0),"OK","Wrong format"))</f>
        <v/>
      </c>
      <c r="AY56" s="30">
        <f>IF(NOT(COUNTA(A56:AE56)&gt;0),"",IF(BE56&lt;&gt;"","✖ "&amp;LEFT(BE56,LEN(BE56)-2),IF(BD56&gt;0,"✔ Ready — client + "&amp;BD56&amp;" service(s)","✔ Ready — client only")))</f>
        <v/>
      </c>
      <c r="AZ56" s="31">
        <f>UPPER(SUBSTITUTE(TRIM(F56)," ",""))</f>
        <v/>
      </c>
      <c r="BA56" s="31">
        <f>UPPER(SUBSTITUTE(TRIM(E56)," ",""))</f>
        <v/>
      </c>
      <c r="BB56" s="31">
        <f>IF(D56&lt;&gt;"",D56,IFERROR(VLOOKUP(MID(AS56,4,1),Lists!$E$2:$F$8,2,FALSE),""))</f>
        <v/>
      </c>
      <c r="BC56" s="31">
        <f>IFERROR(VLOOKUP(BB56,Lists!$A$2:$C$12,3,FALSE),"")</f>
        <v/>
      </c>
      <c r="BD56" s="31">
        <f>COUNTIF(W56:AC56,"Yes")</f>
        <v/>
      </c>
      <c r="BE56" s="31">
        <f>IF(TRIM(B56)="","Legal name missing; ","")&amp;IF(AND(AV56&lt;&gt;"",AV56&lt;&gt;"OK"),"GSTIN: "&amp;AV56&amp;"; ","")&amp;IF(AND(AW56&lt;&gt;"",AW56&lt;&gt;"OK"),"PAN wrong format; ","")&amp;IF(AND(BA56&lt;&gt;"",LEN(AZ56)=15,MID(AZ56,3,10)&lt;&gt;BA56),"PAN does not match GSTIN; ","")&amp;IF(AND(AX56&lt;&gt;"",AX56&lt;&gt;"OK"),"TAN wrong format; ","")&amp;IF(AS56="","PAN missing; ","")&amp;IF(BB56="","Entity type missing; ","")&amp;IF(AND(AZ56&lt;&gt;"",COUNTIF($AZ$6:$AZ$1005,AZ56)&gt;1),"GSTIN repeated in this sheet; ","")&amp;IF(AND(AS56&lt;&gt;"",COUNTIF($AS$6:$AS$1005,AS56)&gt;1),"PAN repeated in this sheet (same client? put extra GSTINs in Other GSTINs); ","")&amp;IF(AND(BD56&gt;0,V56=""),"Financial year missing; ","")&amp;IF(AND(BD56=0,V56&lt;&gt;""),"Financial year given but no service is Yes; ","")&amp;IF(AND(W56="Yes",AZ56=""),"GST needs a GSTIN; ","")&amp;IF(AND(W56="Yes",X56=""),"GST return frequency missing; ","")&amp;IF(AND(Y56="Yes",TRIM(H56)=""),"TDS needs a TAN; ","")&amp;IF(AND(AA56="Yes",BC56&lt;&gt;"",BC56&lt;&gt;"company",BC56&lt;&gt;"llp"),"ROC is only for a company / LLP; ","")&amp;IF(AND(AA56="Yes",OR(BC56="company",BC56="llp"),TRIM(I56)=""),"ROC needs the CIN / LLPIN; ","")&amp;IF((TRIM(AF56)="")&lt;&gt;(TRIM(AG56)=""),"GST login needs both user ID and password; ","")&amp;IF((TRIM(AH56)="")&lt;&gt;(TRIM(AI56)=""),"Income-tax login needs both user ID and password; ","")&amp;IF((TRIM(AJ56)="")&lt;&gt;(TRIM(AK56)=""),"Income-tax login needs both user ID and password; ","")&amp;IF((TRIM(AL56)="")&lt;&gt;(TRIM(AM56)=""),"TRACES login needs both user ID and password; ","")&amp;IF((TRIM(AN56)="")&lt;&gt;(TRIM(AO56)=""),"MCA login needs both user ID and password; ","")&amp;IF((TRIM(AP56)="")&lt;&gt;(TRIM(AQ56)=""),"E-way bill login needs both user ID and password; ","")</f>
        <v/>
      </c>
    </row>
    <row r="57">
      <c r="A57" s="32" t="n"/>
      <c r="B57" s="33" t="n"/>
      <c r="C57" s="33" t="n"/>
      <c r="D57" s="33" t="n"/>
      <c r="E57" s="32" t="n"/>
      <c r="F57" s="32" t="n"/>
      <c r="G57" s="32" t="n"/>
      <c r="H57" s="32" t="n"/>
      <c r="I57" s="32" t="n"/>
      <c r="J57" s="34" t="n"/>
      <c r="K57" s="33" t="n"/>
      <c r="L57" s="32" t="n"/>
      <c r="M57" s="33" t="n"/>
      <c r="N57" s="33" t="n"/>
      <c r="O57" s="33" t="n"/>
      <c r="P57" s="32" t="n"/>
      <c r="Q57" s="33" t="n"/>
      <c r="R57" s="33" t="n"/>
      <c r="S57" s="33" t="n"/>
      <c r="T57" s="33" t="n"/>
      <c r="U57" s="32" t="n"/>
      <c r="V57" s="33" t="n"/>
      <c r="W57" s="33" t="n"/>
      <c r="X57" s="33" t="n"/>
      <c r="Y57" s="33" t="n"/>
      <c r="Z57" s="33" t="n"/>
      <c r="AA57" s="33" t="n"/>
      <c r="AB57" s="33" t="n"/>
      <c r="AC57" s="33" t="n"/>
      <c r="AD57" s="33" t="n"/>
      <c r="AE57" s="33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29">
        <f>IF(NOT(COUNTA(A57:AE57)&gt;0),"",IF(A57="","New client","Update"))</f>
        <v/>
      </c>
      <c r="AS57" s="29">
        <f>IF(BA57&lt;&gt;"",BA57,IF(LEN(AZ57)=15,MID(AZ57,3,10),""))</f>
        <v/>
      </c>
      <c r="AT57" s="29">
        <f>IF(BB57="","",BB57&amp;IF(D57="","  (guessed from PAN)",""))</f>
        <v/>
      </c>
      <c r="AU57" s="29">
        <f>IF(AZ57="","",IFERROR(INDEX(Lists!$L$2:$L$38,MATCH(LEFT(AZ57,2),Lists!$K$2:$K$38,0)),"Unknown code"))</f>
        <v/>
      </c>
      <c r="AV57" s="29">
        <f>IF(AZ57="","",IFERROR(IF(NOT(AND(LEN(AZ57)=15,ISNUMBER(MATCH(LEFT(AZ57,2),Lists!$K$2:$K$38,0)),SUMPRODUCT(--ISERROR(FIND(MID(MID(AZ57,3,10),{1,2,3,4,5,10},1),"ABCDEFGHIJKLMNOPQRSTUVWXYZ")))=0,SUMPRODUCT(--ISERROR(FIND(MID(MID(AZ57,3,10),{6,7,8,9},1),"0123456789")))=0,ISNUMBER(FIND(MID(AZ57,13,1),"123456789ABCDEFGHIJKLMNOPQRSTUVWXYZ")),MID(AZ57,14,1)="Z")),"Wrong format",IF(MID("0123456789ABCDEFGHIJKLMNOPQRSTUVWXYZ",MOD(36-MOD(SUMPRODUCT(INT((FIND(MID(AZ57,{1,2,3,4,5,6,7,8,9,10,11,12,13,14},1),"0123456789ABCDEFGHIJKLMNOPQRSTUVWXYZ")-1)*{1,2,1,2,1,2,1,2,1,2,1,2,1,2}/36)+MOD((FIND(MID(AZ57,{1,2,3,4,5,6,7,8,9,10,11,12,13,14},1),"0123456789ABCDEFGHIJKLMNOPQRSTUVWXYZ")-1)*{1,2,1,2,1,2,1,2,1,2,1,2,1,2},36)),36),36)+1,1)=MID(AZ57,15,1),"OK","Typo? check digit wrong")),"Wrong format"))</f>
        <v/>
      </c>
      <c r="AW57" s="29">
        <f>IF(BA57="","",IF(AND(LEN(BA57)=10,SUMPRODUCT(--ISERROR(FIND(MID(BA57,{1,2,3,4,5,10},1),"ABCDEFGHIJKLMNOPQRSTUVWXYZ")))=0,SUMPRODUCT(--ISERROR(FIND(MID(BA57,{6,7,8,9},1),"0123456789")))=0),"OK","Wrong format"))</f>
        <v/>
      </c>
      <c r="AX57" s="29">
        <f>IF(TRIM(H57)="","",IF(AND(LEN(UPPER(TRIM(H57)))=10,SUMPRODUCT(--ISERROR(FIND(MID(UPPER(TRIM(H57)),{1,2,3,4,10},1),"ABCDEFGHIJKLMNOPQRSTUVWXYZ")))=0,SUMPRODUCT(--ISERROR(FIND(MID(UPPER(TRIM(H57)),{5,6,7,8,9},1),"0123456789")))=0),"OK","Wrong format"))</f>
        <v/>
      </c>
      <c r="AY57" s="30">
        <f>IF(NOT(COUNTA(A57:AE57)&gt;0),"",IF(BE57&lt;&gt;"","✖ "&amp;LEFT(BE57,LEN(BE57)-2),IF(BD57&gt;0,"✔ Ready — client + "&amp;BD57&amp;" service(s)","✔ Ready — client only")))</f>
        <v/>
      </c>
      <c r="AZ57" s="31">
        <f>UPPER(SUBSTITUTE(TRIM(F57)," ",""))</f>
        <v/>
      </c>
      <c r="BA57" s="31">
        <f>UPPER(SUBSTITUTE(TRIM(E57)," ",""))</f>
        <v/>
      </c>
      <c r="BB57" s="31">
        <f>IF(D57&lt;&gt;"",D57,IFERROR(VLOOKUP(MID(AS57,4,1),Lists!$E$2:$F$8,2,FALSE),""))</f>
        <v/>
      </c>
      <c r="BC57" s="31">
        <f>IFERROR(VLOOKUP(BB57,Lists!$A$2:$C$12,3,FALSE),"")</f>
        <v/>
      </c>
      <c r="BD57" s="31">
        <f>COUNTIF(W57:AC57,"Yes")</f>
        <v/>
      </c>
      <c r="BE57" s="31">
        <f>IF(TRIM(B57)="","Legal name missing; ","")&amp;IF(AND(AV57&lt;&gt;"",AV57&lt;&gt;"OK"),"GSTIN: "&amp;AV57&amp;"; ","")&amp;IF(AND(AW57&lt;&gt;"",AW57&lt;&gt;"OK"),"PAN wrong format; ","")&amp;IF(AND(BA57&lt;&gt;"",LEN(AZ57)=15,MID(AZ57,3,10)&lt;&gt;BA57),"PAN does not match GSTIN; ","")&amp;IF(AND(AX57&lt;&gt;"",AX57&lt;&gt;"OK"),"TAN wrong format; ","")&amp;IF(AS57="","PAN missing; ","")&amp;IF(BB57="","Entity type missing; ","")&amp;IF(AND(AZ57&lt;&gt;"",COUNTIF($AZ$6:$AZ$1005,AZ57)&gt;1),"GSTIN repeated in this sheet; ","")&amp;IF(AND(AS57&lt;&gt;"",COUNTIF($AS$6:$AS$1005,AS57)&gt;1),"PAN repeated in this sheet (same client? put extra GSTINs in Other GSTINs); ","")&amp;IF(AND(BD57&gt;0,V57=""),"Financial year missing; ","")&amp;IF(AND(BD57=0,V57&lt;&gt;""),"Financial year given but no service is Yes; ","")&amp;IF(AND(W57="Yes",AZ57=""),"GST needs a GSTIN; ","")&amp;IF(AND(W57="Yes",X57=""),"GST return frequency missing; ","")&amp;IF(AND(Y57="Yes",TRIM(H57)=""),"TDS needs a TAN; ","")&amp;IF(AND(AA57="Yes",BC57&lt;&gt;"",BC57&lt;&gt;"company",BC57&lt;&gt;"llp"),"ROC is only for a company / LLP; ","")&amp;IF(AND(AA57="Yes",OR(BC57="company",BC57="llp"),TRIM(I57)=""),"ROC needs the CIN / LLPIN; ","")&amp;IF((TRIM(AF57)="")&lt;&gt;(TRIM(AG57)=""),"GST login needs both user ID and password; ","")&amp;IF((TRIM(AH57)="")&lt;&gt;(TRIM(AI57)=""),"Income-tax login needs both user ID and password; ","")&amp;IF((TRIM(AJ57)="")&lt;&gt;(TRIM(AK57)=""),"Income-tax login needs both user ID and password; ","")&amp;IF((TRIM(AL57)="")&lt;&gt;(TRIM(AM57)=""),"TRACES login needs both user ID and password; ","")&amp;IF((TRIM(AN57)="")&lt;&gt;(TRIM(AO57)=""),"MCA login needs both user ID and password; ","")&amp;IF((TRIM(AP57)="")&lt;&gt;(TRIM(AQ57)=""),"E-way bill login needs both user ID and password; ","")</f>
        <v/>
      </c>
    </row>
    <row r="58">
      <c r="A58" s="32" t="n"/>
      <c r="B58" s="33" t="n"/>
      <c r="C58" s="33" t="n"/>
      <c r="D58" s="33" t="n"/>
      <c r="E58" s="32" t="n"/>
      <c r="F58" s="32" t="n"/>
      <c r="G58" s="32" t="n"/>
      <c r="H58" s="32" t="n"/>
      <c r="I58" s="32" t="n"/>
      <c r="J58" s="34" t="n"/>
      <c r="K58" s="33" t="n"/>
      <c r="L58" s="32" t="n"/>
      <c r="M58" s="33" t="n"/>
      <c r="N58" s="33" t="n"/>
      <c r="O58" s="33" t="n"/>
      <c r="P58" s="32" t="n"/>
      <c r="Q58" s="33" t="n"/>
      <c r="R58" s="33" t="n"/>
      <c r="S58" s="33" t="n"/>
      <c r="T58" s="33" t="n"/>
      <c r="U58" s="32" t="n"/>
      <c r="V58" s="33" t="n"/>
      <c r="W58" s="33" t="n"/>
      <c r="X58" s="33" t="n"/>
      <c r="Y58" s="33" t="n"/>
      <c r="Z58" s="33" t="n"/>
      <c r="AA58" s="33" t="n"/>
      <c r="AB58" s="33" t="n"/>
      <c r="AC58" s="33" t="n"/>
      <c r="AD58" s="33" t="n"/>
      <c r="AE58" s="33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29">
        <f>IF(NOT(COUNTA(A58:AE58)&gt;0),"",IF(A58="","New client","Update"))</f>
        <v/>
      </c>
      <c r="AS58" s="29">
        <f>IF(BA58&lt;&gt;"",BA58,IF(LEN(AZ58)=15,MID(AZ58,3,10),""))</f>
        <v/>
      </c>
      <c r="AT58" s="29">
        <f>IF(BB58="","",BB58&amp;IF(D58="","  (guessed from PAN)",""))</f>
        <v/>
      </c>
      <c r="AU58" s="29">
        <f>IF(AZ58="","",IFERROR(INDEX(Lists!$L$2:$L$38,MATCH(LEFT(AZ58,2),Lists!$K$2:$K$38,0)),"Unknown code"))</f>
        <v/>
      </c>
      <c r="AV58" s="29">
        <f>IF(AZ58="","",IFERROR(IF(NOT(AND(LEN(AZ58)=15,ISNUMBER(MATCH(LEFT(AZ58,2),Lists!$K$2:$K$38,0)),SUMPRODUCT(--ISERROR(FIND(MID(MID(AZ58,3,10),{1,2,3,4,5,10},1),"ABCDEFGHIJKLMNOPQRSTUVWXYZ")))=0,SUMPRODUCT(--ISERROR(FIND(MID(MID(AZ58,3,10),{6,7,8,9},1),"0123456789")))=0,ISNUMBER(FIND(MID(AZ58,13,1),"123456789ABCDEFGHIJKLMNOPQRSTUVWXYZ")),MID(AZ58,14,1)="Z")),"Wrong format",IF(MID("0123456789ABCDEFGHIJKLMNOPQRSTUVWXYZ",MOD(36-MOD(SUMPRODUCT(INT((FIND(MID(AZ58,{1,2,3,4,5,6,7,8,9,10,11,12,13,14},1),"0123456789ABCDEFGHIJKLMNOPQRSTUVWXYZ")-1)*{1,2,1,2,1,2,1,2,1,2,1,2,1,2}/36)+MOD((FIND(MID(AZ58,{1,2,3,4,5,6,7,8,9,10,11,12,13,14},1),"0123456789ABCDEFGHIJKLMNOPQRSTUVWXYZ")-1)*{1,2,1,2,1,2,1,2,1,2,1,2,1,2},36)),36),36)+1,1)=MID(AZ58,15,1),"OK","Typo? check digit wrong")),"Wrong format"))</f>
        <v/>
      </c>
      <c r="AW58" s="29">
        <f>IF(BA58="","",IF(AND(LEN(BA58)=10,SUMPRODUCT(--ISERROR(FIND(MID(BA58,{1,2,3,4,5,10},1),"ABCDEFGHIJKLMNOPQRSTUVWXYZ")))=0,SUMPRODUCT(--ISERROR(FIND(MID(BA58,{6,7,8,9},1),"0123456789")))=0),"OK","Wrong format"))</f>
        <v/>
      </c>
      <c r="AX58" s="29">
        <f>IF(TRIM(H58)="","",IF(AND(LEN(UPPER(TRIM(H58)))=10,SUMPRODUCT(--ISERROR(FIND(MID(UPPER(TRIM(H58)),{1,2,3,4,10},1),"ABCDEFGHIJKLMNOPQRSTUVWXYZ")))=0,SUMPRODUCT(--ISERROR(FIND(MID(UPPER(TRIM(H58)),{5,6,7,8,9},1),"0123456789")))=0),"OK","Wrong format"))</f>
        <v/>
      </c>
      <c r="AY58" s="30">
        <f>IF(NOT(COUNTA(A58:AE58)&gt;0),"",IF(BE58&lt;&gt;"","✖ "&amp;LEFT(BE58,LEN(BE58)-2),IF(BD58&gt;0,"✔ Ready — client + "&amp;BD58&amp;" service(s)","✔ Ready — client only")))</f>
        <v/>
      </c>
      <c r="AZ58" s="31">
        <f>UPPER(SUBSTITUTE(TRIM(F58)," ",""))</f>
        <v/>
      </c>
      <c r="BA58" s="31">
        <f>UPPER(SUBSTITUTE(TRIM(E58)," ",""))</f>
        <v/>
      </c>
      <c r="BB58" s="31">
        <f>IF(D58&lt;&gt;"",D58,IFERROR(VLOOKUP(MID(AS58,4,1),Lists!$E$2:$F$8,2,FALSE),""))</f>
        <v/>
      </c>
      <c r="BC58" s="31">
        <f>IFERROR(VLOOKUP(BB58,Lists!$A$2:$C$12,3,FALSE),"")</f>
        <v/>
      </c>
      <c r="BD58" s="31">
        <f>COUNTIF(W58:AC58,"Yes")</f>
        <v/>
      </c>
      <c r="BE58" s="31">
        <f>IF(TRIM(B58)="","Legal name missing; ","")&amp;IF(AND(AV58&lt;&gt;"",AV58&lt;&gt;"OK"),"GSTIN: "&amp;AV58&amp;"; ","")&amp;IF(AND(AW58&lt;&gt;"",AW58&lt;&gt;"OK"),"PAN wrong format; ","")&amp;IF(AND(BA58&lt;&gt;"",LEN(AZ58)=15,MID(AZ58,3,10)&lt;&gt;BA58),"PAN does not match GSTIN; ","")&amp;IF(AND(AX58&lt;&gt;"",AX58&lt;&gt;"OK"),"TAN wrong format; ","")&amp;IF(AS58="","PAN missing; ","")&amp;IF(BB58="","Entity type missing; ","")&amp;IF(AND(AZ58&lt;&gt;"",COUNTIF($AZ$6:$AZ$1005,AZ58)&gt;1),"GSTIN repeated in this sheet; ","")&amp;IF(AND(AS58&lt;&gt;"",COUNTIF($AS$6:$AS$1005,AS58)&gt;1),"PAN repeated in this sheet (same client? put extra GSTINs in Other GSTINs); ","")&amp;IF(AND(BD58&gt;0,V58=""),"Financial year missing; ","")&amp;IF(AND(BD58=0,V58&lt;&gt;""),"Financial year given but no service is Yes; ","")&amp;IF(AND(W58="Yes",AZ58=""),"GST needs a GSTIN; ","")&amp;IF(AND(W58="Yes",X58=""),"GST return frequency missing; ","")&amp;IF(AND(Y58="Yes",TRIM(H58)=""),"TDS needs a TAN; ","")&amp;IF(AND(AA58="Yes",BC58&lt;&gt;"",BC58&lt;&gt;"company",BC58&lt;&gt;"llp"),"ROC is only for a company / LLP; ","")&amp;IF(AND(AA58="Yes",OR(BC58="company",BC58="llp"),TRIM(I58)=""),"ROC needs the CIN / LLPIN; ","")&amp;IF((TRIM(AF58)="")&lt;&gt;(TRIM(AG58)=""),"GST login needs both user ID and password; ","")&amp;IF((TRIM(AH58)="")&lt;&gt;(TRIM(AI58)=""),"Income-tax login needs both user ID and password; ","")&amp;IF((TRIM(AJ58)="")&lt;&gt;(TRIM(AK58)=""),"Income-tax login needs both user ID and password; ","")&amp;IF((TRIM(AL58)="")&lt;&gt;(TRIM(AM58)=""),"TRACES login needs both user ID and password; ","")&amp;IF((TRIM(AN58)="")&lt;&gt;(TRIM(AO58)=""),"MCA login needs both user ID and password; ","")&amp;IF((TRIM(AP58)="")&lt;&gt;(TRIM(AQ58)=""),"E-way bill login needs both user ID and password; ","")</f>
        <v/>
      </c>
    </row>
    <row r="59">
      <c r="A59" s="32" t="n"/>
      <c r="B59" s="33" t="n"/>
      <c r="C59" s="33" t="n"/>
      <c r="D59" s="33" t="n"/>
      <c r="E59" s="32" t="n"/>
      <c r="F59" s="32" t="n"/>
      <c r="G59" s="32" t="n"/>
      <c r="H59" s="32" t="n"/>
      <c r="I59" s="32" t="n"/>
      <c r="J59" s="34" t="n"/>
      <c r="K59" s="33" t="n"/>
      <c r="L59" s="32" t="n"/>
      <c r="M59" s="33" t="n"/>
      <c r="N59" s="33" t="n"/>
      <c r="O59" s="33" t="n"/>
      <c r="P59" s="32" t="n"/>
      <c r="Q59" s="33" t="n"/>
      <c r="R59" s="33" t="n"/>
      <c r="S59" s="33" t="n"/>
      <c r="T59" s="33" t="n"/>
      <c r="U59" s="32" t="n"/>
      <c r="V59" s="33" t="n"/>
      <c r="W59" s="33" t="n"/>
      <c r="X59" s="33" t="n"/>
      <c r="Y59" s="33" t="n"/>
      <c r="Z59" s="33" t="n"/>
      <c r="AA59" s="33" t="n"/>
      <c r="AB59" s="33" t="n"/>
      <c r="AC59" s="33" t="n"/>
      <c r="AD59" s="33" t="n"/>
      <c r="AE59" s="33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29">
        <f>IF(NOT(COUNTA(A59:AE59)&gt;0),"",IF(A59="","New client","Update"))</f>
        <v/>
      </c>
      <c r="AS59" s="29">
        <f>IF(BA59&lt;&gt;"",BA59,IF(LEN(AZ59)=15,MID(AZ59,3,10),""))</f>
        <v/>
      </c>
      <c r="AT59" s="29">
        <f>IF(BB59="","",BB59&amp;IF(D59="","  (guessed from PAN)",""))</f>
        <v/>
      </c>
      <c r="AU59" s="29">
        <f>IF(AZ59="","",IFERROR(INDEX(Lists!$L$2:$L$38,MATCH(LEFT(AZ59,2),Lists!$K$2:$K$38,0)),"Unknown code"))</f>
        <v/>
      </c>
      <c r="AV59" s="29">
        <f>IF(AZ59="","",IFERROR(IF(NOT(AND(LEN(AZ59)=15,ISNUMBER(MATCH(LEFT(AZ59,2),Lists!$K$2:$K$38,0)),SUMPRODUCT(--ISERROR(FIND(MID(MID(AZ59,3,10),{1,2,3,4,5,10},1),"ABCDEFGHIJKLMNOPQRSTUVWXYZ")))=0,SUMPRODUCT(--ISERROR(FIND(MID(MID(AZ59,3,10),{6,7,8,9},1),"0123456789")))=0,ISNUMBER(FIND(MID(AZ59,13,1),"123456789ABCDEFGHIJKLMNOPQRSTUVWXYZ")),MID(AZ59,14,1)="Z")),"Wrong format",IF(MID("0123456789ABCDEFGHIJKLMNOPQRSTUVWXYZ",MOD(36-MOD(SUMPRODUCT(INT((FIND(MID(AZ59,{1,2,3,4,5,6,7,8,9,10,11,12,13,14},1),"0123456789ABCDEFGHIJKLMNOPQRSTUVWXYZ")-1)*{1,2,1,2,1,2,1,2,1,2,1,2,1,2}/36)+MOD((FIND(MID(AZ59,{1,2,3,4,5,6,7,8,9,10,11,12,13,14},1),"0123456789ABCDEFGHIJKLMNOPQRSTUVWXYZ")-1)*{1,2,1,2,1,2,1,2,1,2,1,2,1,2},36)),36),36)+1,1)=MID(AZ59,15,1),"OK","Typo? check digit wrong")),"Wrong format"))</f>
        <v/>
      </c>
      <c r="AW59" s="29">
        <f>IF(BA59="","",IF(AND(LEN(BA59)=10,SUMPRODUCT(--ISERROR(FIND(MID(BA59,{1,2,3,4,5,10},1),"ABCDEFGHIJKLMNOPQRSTUVWXYZ")))=0,SUMPRODUCT(--ISERROR(FIND(MID(BA59,{6,7,8,9},1),"0123456789")))=0),"OK","Wrong format"))</f>
        <v/>
      </c>
      <c r="AX59" s="29">
        <f>IF(TRIM(H59)="","",IF(AND(LEN(UPPER(TRIM(H59)))=10,SUMPRODUCT(--ISERROR(FIND(MID(UPPER(TRIM(H59)),{1,2,3,4,10},1),"ABCDEFGHIJKLMNOPQRSTUVWXYZ")))=0,SUMPRODUCT(--ISERROR(FIND(MID(UPPER(TRIM(H59)),{5,6,7,8,9},1),"0123456789")))=0),"OK","Wrong format"))</f>
        <v/>
      </c>
      <c r="AY59" s="30">
        <f>IF(NOT(COUNTA(A59:AE59)&gt;0),"",IF(BE59&lt;&gt;"","✖ "&amp;LEFT(BE59,LEN(BE59)-2),IF(BD59&gt;0,"✔ Ready — client + "&amp;BD59&amp;" service(s)","✔ Ready — client only")))</f>
        <v/>
      </c>
      <c r="AZ59" s="31">
        <f>UPPER(SUBSTITUTE(TRIM(F59)," ",""))</f>
        <v/>
      </c>
      <c r="BA59" s="31">
        <f>UPPER(SUBSTITUTE(TRIM(E59)," ",""))</f>
        <v/>
      </c>
      <c r="BB59" s="31">
        <f>IF(D59&lt;&gt;"",D59,IFERROR(VLOOKUP(MID(AS59,4,1),Lists!$E$2:$F$8,2,FALSE),""))</f>
        <v/>
      </c>
      <c r="BC59" s="31">
        <f>IFERROR(VLOOKUP(BB59,Lists!$A$2:$C$12,3,FALSE),"")</f>
        <v/>
      </c>
      <c r="BD59" s="31">
        <f>COUNTIF(W59:AC59,"Yes")</f>
        <v/>
      </c>
      <c r="BE59" s="31">
        <f>IF(TRIM(B59)="","Legal name missing; ","")&amp;IF(AND(AV59&lt;&gt;"",AV59&lt;&gt;"OK"),"GSTIN: "&amp;AV59&amp;"; ","")&amp;IF(AND(AW59&lt;&gt;"",AW59&lt;&gt;"OK"),"PAN wrong format; ","")&amp;IF(AND(BA59&lt;&gt;"",LEN(AZ59)=15,MID(AZ59,3,10)&lt;&gt;BA59),"PAN does not match GSTIN; ","")&amp;IF(AND(AX59&lt;&gt;"",AX59&lt;&gt;"OK"),"TAN wrong format; ","")&amp;IF(AS59="","PAN missing; ","")&amp;IF(BB59="","Entity type missing; ","")&amp;IF(AND(AZ59&lt;&gt;"",COUNTIF($AZ$6:$AZ$1005,AZ59)&gt;1),"GSTIN repeated in this sheet; ","")&amp;IF(AND(AS59&lt;&gt;"",COUNTIF($AS$6:$AS$1005,AS59)&gt;1),"PAN repeated in this sheet (same client? put extra GSTINs in Other GSTINs); ","")&amp;IF(AND(BD59&gt;0,V59=""),"Financial year missing; ","")&amp;IF(AND(BD59=0,V59&lt;&gt;""),"Financial year given but no service is Yes; ","")&amp;IF(AND(W59="Yes",AZ59=""),"GST needs a GSTIN; ","")&amp;IF(AND(W59="Yes",X59=""),"GST return frequency missing; ","")&amp;IF(AND(Y59="Yes",TRIM(H59)=""),"TDS needs a TAN; ","")&amp;IF(AND(AA59="Yes",BC59&lt;&gt;"",BC59&lt;&gt;"company",BC59&lt;&gt;"llp"),"ROC is only for a company / LLP; ","")&amp;IF(AND(AA59="Yes",OR(BC59="company",BC59="llp"),TRIM(I59)=""),"ROC needs the CIN / LLPIN; ","")&amp;IF((TRIM(AF59)="")&lt;&gt;(TRIM(AG59)=""),"GST login needs both user ID and password; ","")&amp;IF((TRIM(AH59)="")&lt;&gt;(TRIM(AI59)=""),"Income-tax login needs both user ID and password; ","")&amp;IF((TRIM(AJ59)="")&lt;&gt;(TRIM(AK59)=""),"Income-tax login needs both user ID and password; ","")&amp;IF((TRIM(AL59)="")&lt;&gt;(TRIM(AM59)=""),"TRACES login needs both user ID and password; ","")&amp;IF((TRIM(AN59)="")&lt;&gt;(TRIM(AO59)=""),"MCA login needs both user ID and password; ","")&amp;IF((TRIM(AP59)="")&lt;&gt;(TRIM(AQ59)=""),"E-way bill login needs both user ID and password; ","")</f>
        <v/>
      </c>
    </row>
    <row r="60">
      <c r="A60" s="32" t="n"/>
      <c r="B60" s="33" t="n"/>
      <c r="C60" s="33" t="n"/>
      <c r="D60" s="33" t="n"/>
      <c r="E60" s="32" t="n"/>
      <c r="F60" s="32" t="n"/>
      <c r="G60" s="32" t="n"/>
      <c r="H60" s="32" t="n"/>
      <c r="I60" s="32" t="n"/>
      <c r="J60" s="34" t="n"/>
      <c r="K60" s="33" t="n"/>
      <c r="L60" s="32" t="n"/>
      <c r="M60" s="33" t="n"/>
      <c r="N60" s="33" t="n"/>
      <c r="O60" s="33" t="n"/>
      <c r="P60" s="32" t="n"/>
      <c r="Q60" s="33" t="n"/>
      <c r="R60" s="33" t="n"/>
      <c r="S60" s="33" t="n"/>
      <c r="T60" s="33" t="n"/>
      <c r="U60" s="32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29">
        <f>IF(NOT(COUNTA(A60:AE60)&gt;0),"",IF(A60="","New client","Update"))</f>
        <v/>
      </c>
      <c r="AS60" s="29">
        <f>IF(BA60&lt;&gt;"",BA60,IF(LEN(AZ60)=15,MID(AZ60,3,10),""))</f>
        <v/>
      </c>
      <c r="AT60" s="29">
        <f>IF(BB60="","",BB60&amp;IF(D60="","  (guessed from PAN)",""))</f>
        <v/>
      </c>
      <c r="AU60" s="29">
        <f>IF(AZ60="","",IFERROR(INDEX(Lists!$L$2:$L$38,MATCH(LEFT(AZ60,2),Lists!$K$2:$K$38,0)),"Unknown code"))</f>
        <v/>
      </c>
      <c r="AV60" s="29">
        <f>IF(AZ60="","",IFERROR(IF(NOT(AND(LEN(AZ60)=15,ISNUMBER(MATCH(LEFT(AZ60,2),Lists!$K$2:$K$38,0)),SUMPRODUCT(--ISERROR(FIND(MID(MID(AZ60,3,10),{1,2,3,4,5,10},1),"ABCDEFGHIJKLMNOPQRSTUVWXYZ")))=0,SUMPRODUCT(--ISERROR(FIND(MID(MID(AZ60,3,10),{6,7,8,9},1),"0123456789")))=0,ISNUMBER(FIND(MID(AZ60,13,1),"123456789ABCDEFGHIJKLMNOPQRSTUVWXYZ")),MID(AZ60,14,1)="Z")),"Wrong format",IF(MID("0123456789ABCDEFGHIJKLMNOPQRSTUVWXYZ",MOD(36-MOD(SUMPRODUCT(INT((FIND(MID(AZ60,{1,2,3,4,5,6,7,8,9,10,11,12,13,14},1),"0123456789ABCDEFGHIJKLMNOPQRSTUVWXYZ")-1)*{1,2,1,2,1,2,1,2,1,2,1,2,1,2}/36)+MOD((FIND(MID(AZ60,{1,2,3,4,5,6,7,8,9,10,11,12,13,14},1),"0123456789ABCDEFGHIJKLMNOPQRSTUVWXYZ")-1)*{1,2,1,2,1,2,1,2,1,2,1,2,1,2},36)),36),36)+1,1)=MID(AZ60,15,1),"OK","Typo? check digit wrong")),"Wrong format"))</f>
        <v/>
      </c>
      <c r="AW60" s="29">
        <f>IF(BA60="","",IF(AND(LEN(BA60)=10,SUMPRODUCT(--ISERROR(FIND(MID(BA60,{1,2,3,4,5,10},1),"ABCDEFGHIJKLMNOPQRSTUVWXYZ")))=0,SUMPRODUCT(--ISERROR(FIND(MID(BA60,{6,7,8,9},1),"0123456789")))=0),"OK","Wrong format"))</f>
        <v/>
      </c>
      <c r="AX60" s="29">
        <f>IF(TRIM(H60)="","",IF(AND(LEN(UPPER(TRIM(H60)))=10,SUMPRODUCT(--ISERROR(FIND(MID(UPPER(TRIM(H60)),{1,2,3,4,10},1),"ABCDEFGHIJKLMNOPQRSTUVWXYZ")))=0,SUMPRODUCT(--ISERROR(FIND(MID(UPPER(TRIM(H60)),{5,6,7,8,9},1),"0123456789")))=0),"OK","Wrong format"))</f>
        <v/>
      </c>
      <c r="AY60" s="30">
        <f>IF(NOT(COUNTA(A60:AE60)&gt;0),"",IF(BE60&lt;&gt;"","✖ "&amp;LEFT(BE60,LEN(BE60)-2),IF(BD60&gt;0,"✔ Ready — client + "&amp;BD60&amp;" service(s)","✔ Ready — client only")))</f>
        <v/>
      </c>
      <c r="AZ60" s="31">
        <f>UPPER(SUBSTITUTE(TRIM(F60)," ",""))</f>
        <v/>
      </c>
      <c r="BA60" s="31">
        <f>UPPER(SUBSTITUTE(TRIM(E60)," ",""))</f>
        <v/>
      </c>
      <c r="BB60" s="31">
        <f>IF(D60&lt;&gt;"",D60,IFERROR(VLOOKUP(MID(AS60,4,1),Lists!$E$2:$F$8,2,FALSE),""))</f>
        <v/>
      </c>
      <c r="BC60" s="31">
        <f>IFERROR(VLOOKUP(BB60,Lists!$A$2:$C$12,3,FALSE),"")</f>
        <v/>
      </c>
      <c r="BD60" s="31">
        <f>COUNTIF(W60:AC60,"Yes")</f>
        <v/>
      </c>
      <c r="BE60" s="31">
        <f>IF(TRIM(B60)="","Legal name missing; ","")&amp;IF(AND(AV60&lt;&gt;"",AV60&lt;&gt;"OK"),"GSTIN: "&amp;AV60&amp;"; ","")&amp;IF(AND(AW60&lt;&gt;"",AW60&lt;&gt;"OK"),"PAN wrong format; ","")&amp;IF(AND(BA60&lt;&gt;"",LEN(AZ60)=15,MID(AZ60,3,10)&lt;&gt;BA60),"PAN does not match GSTIN; ","")&amp;IF(AND(AX60&lt;&gt;"",AX60&lt;&gt;"OK"),"TAN wrong format; ","")&amp;IF(AS60="","PAN missing; ","")&amp;IF(BB60="","Entity type missing; ","")&amp;IF(AND(AZ60&lt;&gt;"",COUNTIF($AZ$6:$AZ$1005,AZ60)&gt;1),"GSTIN repeated in this sheet; ","")&amp;IF(AND(AS60&lt;&gt;"",COUNTIF($AS$6:$AS$1005,AS60)&gt;1),"PAN repeated in this sheet (same client? put extra GSTINs in Other GSTINs); ","")&amp;IF(AND(BD60&gt;0,V60=""),"Financial year missing; ","")&amp;IF(AND(BD60=0,V60&lt;&gt;""),"Financial year given but no service is Yes; ","")&amp;IF(AND(W60="Yes",AZ60=""),"GST needs a GSTIN; ","")&amp;IF(AND(W60="Yes",X60=""),"GST return frequency missing; ","")&amp;IF(AND(Y60="Yes",TRIM(H60)=""),"TDS needs a TAN; ","")&amp;IF(AND(AA60="Yes",BC60&lt;&gt;"",BC60&lt;&gt;"company",BC60&lt;&gt;"llp"),"ROC is only for a company / LLP; ","")&amp;IF(AND(AA60="Yes",OR(BC60="company",BC60="llp"),TRIM(I60)=""),"ROC needs the CIN / LLPIN; ","")&amp;IF((TRIM(AF60)="")&lt;&gt;(TRIM(AG60)=""),"GST login needs both user ID and password; ","")&amp;IF((TRIM(AH60)="")&lt;&gt;(TRIM(AI60)=""),"Income-tax login needs both user ID and password; ","")&amp;IF((TRIM(AJ60)="")&lt;&gt;(TRIM(AK60)=""),"Income-tax login needs both user ID and password; ","")&amp;IF((TRIM(AL60)="")&lt;&gt;(TRIM(AM60)=""),"TRACES login needs both user ID and password; ","")&amp;IF((TRIM(AN60)="")&lt;&gt;(TRIM(AO60)=""),"MCA login needs both user ID and password; ","")&amp;IF((TRIM(AP60)="")&lt;&gt;(TRIM(AQ60)=""),"E-way bill login needs both user ID and password; ","")</f>
        <v/>
      </c>
    </row>
    <row r="61">
      <c r="A61" s="32" t="n"/>
      <c r="B61" s="33" t="n"/>
      <c r="C61" s="33" t="n"/>
      <c r="D61" s="33" t="n"/>
      <c r="E61" s="32" t="n"/>
      <c r="F61" s="32" t="n"/>
      <c r="G61" s="32" t="n"/>
      <c r="H61" s="32" t="n"/>
      <c r="I61" s="32" t="n"/>
      <c r="J61" s="34" t="n"/>
      <c r="K61" s="33" t="n"/>
      <c r="L61" s="32" t="n"/>
      <c r="M61" s="33" t="n"/>
      <c r="N61" s="33" t="n"/>
      <c r="O61" s="33" t="n"/>
      <c r="P61" s="32" t="n"/>
      <c r="Q61" s="33" t="n"/>
      <c r="R61" s="33" t="n"/>
      <c r="S61" s="33" t="n"/>
      <c r="T61" s="33" t="n"/>
      <c r="U61" s="32" t="n"/>
      <c r="V61" s="33" t="n"/>
      <c r="W61" s="33" t="n"/>
      <c r="X61" s="33" t="n"/>
      <c r="Y61" s="33" t="n"/>
      <c r="Z61" s="33" t="n"/>
      <c r="AA61" s="33" t="n"/>
      <c r="AB61" s="33" t="n"/>
      <c r="AC61" s="33" t="n"/>
      <c r="AD61" s="33" t="n"/>
      <c r="AE61" s="33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29">
        <f>IF(NOT(COUNTA(A61:AE61)&gt;0),"",IF(A61="","New client","Update"))</f>
        <v/>
      </c>
      <c r="AS61" s="29">
        <f>IF(BA61&lt;&gt;"",BA61,IF(LEN(AZ61)=15,MID(AZ61,3,10),""))</f>
        <v/>
      </c>
      <c r="AT61" s="29">
        <f>IF(BB61="","",BB61&amp;IF(D61="","  (guessed from PAN)",""))</f>
        <v/>
      </c>
      <c r="AU61" s="29">
        <f>IF(AZ61="","",IFERROR(INDEX(Lists!$L$2:$L$38,MATCH(LEFT(AZ61,2),Lists!$K$2:$K$38,0)),"Unknown code"))</f>
        <v/>
      </c>
      <c r="AV61" s="29">
        <f>IF(AZ61="","",IFERROR(IF(NOT(AND(LEN(AZ61)=15,ISNUMBER(MATCH(LEFT(AZ61,2),Lists!$K$2:$K$38,0)),SUMPRODUCT(--ISERROR(FIND(MID(MID(AZ61,3,10),{1,2,3,4,5,10},1),"ABCDEFGHIJKLMNOPQRSTUVWXYZ")))=0,SUMPRODUCT(--ISERROR(FIND(MID(MID(AZ61,3,10),{6,7,8,9},1),"0123456789")))=0,ISNUMBER(FIND(MID(AZ61,13,1),"123456789ABCDEFGHIJKLMNOPQRSTUVWXYZ")),MID(AZ61,14,1)="Z")),"Wrong format",IF(MID("0123456789ABCDEFGHIJKLMNOPQRSTUVWXYZ",MOD(36-MOD(SUMPRODUCT(INT((FIND(MID(AZ61,{1,2,3,4,5,6,7,8,9,10,11,12,13,14},1),"0123456789ABCDEFGHIJKLMNOPQRSTUVWXYZ")-1)*{1,2,1,2,1,2,1,2,1,2,1,2,1,2}/36)+MOD((FIND(MID(AZ61,{1,2,3,4,5,6,7,8,9,10,11,12,13,14},1),"0123456789ABCDEFGHIJKLMNOPQRSTUVWXYZ")-1)*{1,2,1,2,1,2,1,2,1,2,1,2,1,2},36)),36),36)+1,1)=MID(AZ61,15,1),"OK","Typo? check digit wrong")),"Wrong format"))</f>
        <v/>
      </c>
      <c r="AW61" s="29">
        <f>IF(BA61="","",IF(AND(LEN(BA61)=10,SUMPRODUCT(--ISERROR(FIND(MID(BA61,{1,2,3,4,5,10},1),"ABCDEFGHIJKLMNOPQRSTUVWXYZ")))=0,SUMPRODUCT(--ISERROR(FIND(MID(BA61,{6,7,8,9},1),"0123456789")))=0),"OK","Wrong format"))</f>
        <v/>
      </c>
      <c r="AX61" s="29">
        <f>IF(TRIM(H61)="","",IF(AND(LEN(UPPER(TRIM(H61)))=10,SUMPRODUCT(--ISERROR(FIND(MID(UPPER(TRIM(H61)),{1,2,3,4,10},1),"ABCDEFGHIJKLMNOPQRSTUVWXYZ")))=0,SUMPRODUCT(--ISERROR(FIND(MID(UPPER(TRIM(H61)),{5,6,7,8,9},1),"0123456789")))=0),"OK","Wrong format"))</f>
        <v/>
      </c>
      <c r="AY61" s="30">
        <f>IF(NOT(COUNTA(A61:AE61)&gt;0),"",IF(BE61&lt;&gt;"","✖ "&amp;LEFT(BE61,LEN(BE61)-2),IF(BD61&gt;0,"✔ Ready — client + "&amp;BD61&amp;" service(s)","✔ Ready — client only")))</f>
        <v/>
      </c>
      <c r="AZ61" s="31">
        <f>UPPER(SUBSTITUTE(TRIM(F61)," ",""))</f>
        <v/>
      </c>
      <c r="BA61" s="31">
        <f>UPPER(SUBSTITUTE(TRIM(E61)," ",""))</f>
        <v/>
      </c>
      <c r="BB61" s="31">
        <f>IF(D61&lt;&gt;"",D61,IFERROR(VLOOKUP(MID(AS61,4,1),Lists!$E$2:$F$8,2,FALSE),""))</f>
        <v/>
      </c>
      <c r="BC61" s="31">
        <f>IFERROR(VLOOKUP(BB61,Lists!$A$2:$C$12,3,FALSE),"")</f>
        <v/>
      </c>
      <c r="BD61" s="31">
        <f>COUNTIF(W61:AC61,"Yes")</f>
        <v/>
      </c>
      <c r="BE61" s="31">
        <f>IF(TRIM(B61)="","Legal name missing; ","")&amp;IF(AND(AV61&lt;&gt;"",AV61&lt;&gt;"OK"),"GSTIN: "&amp;AV61&amp;"; ","")&amp;IF(AND(AW61&lt;&gt;"",AW61&lt;&gt;"OK"),"PAN wrong format; ","")&amp;IF(AND(BA61&lt;&gt;"",LEN(AZ61)=15,MID(AZ61,3,10)&lt;&gt;BA61),"PAN does not match GSTIN; ","")&amp;IF(AND(AX61&lt;&gt;"",AX61&lt;&gt;"OK"),"TAN wrong format; ","")&amp;IF(AS61="","PAN missing; ","")&amp;IF(BB61="","Entity type missing; ","")&amp;IF(AND(AZ61&lt;&gt;"",COUNTIF($AZ$6:$AZ$1005,AZ61)&gt;1),"GSTIN repeated in this sheet; ","")&amp;IF(AND(AS61&lt;&gt;"",COUNTIF($AS$6:$AS$1005,AS61)&gt;1),"PAN repeated in this sheet (same client? put extra GSTINs in Other GSTINs); ","")&amp;IF(AND(BD61&gt;0,V61=""),"Financial year missing; ","")&amp;IF(AND(BD61=0,V61&lt;&gt;""),"Financial year given but no service is Yes; ","")&amp;IF(AND(W61="Yes",AZ61=""),"GST needs a GSTIN; ","")&amp;IF(AND(W61="Yes",X61=""),"GST return frequency missing; ","")&amp;IF(AND(Y61="Yes",TRIM(H61)=""),"TDS needs a TAN; ","")&amp;IF(AND(AA61="Yes",BC61&lt;&gt;"",BC61&lt;&gt;"company",BC61&lt;&gt;"llp"),"ROC is only for a company / LLP; ","")&amp;IF(AND(AA61="Yes",OR(BC61="company",BC61="llp"),TRIM(I61)=""),"ROC needs the CIN / LLPIN; ","")&amp;IF((TRIM(AF61)="")&lt;&gt;(TRIM(AG61)=""),"GST login needs both user ID and password; ","")&amp;IF((TRIM(AH61)="")&lt;&gt;(TRIM(AI61)=""),"Income-tax login needs both user ID and password; ","")&amp;IF((TRIM(AJ61)="")&lt;&gt;(TRIM(AK61)=""),"Income-tax login needs both user ID and password; ","")&amp;IF((TRIM(AL61)="")&lt;&gt;(TRIM(AM61)=""),"TRACES login needs both user ID and password; ","")&amp;IF((TRIM(AN61)="")&lt;&gt;(TRIM(AO61)=""),"MCA login needs both user ID and password; ","")&amp;IF((TRIM(AP61)="")&lt;&gt;(TRIM(AQ61)=""),"E-way bill login needs both user ID and password; ","")</f>
        <v/>
      </c>
    </row>
    <row r="62">
      <c r="A62" s="32" t="n"/>
      <c r="B62" s="33" t="n"/>
      <c r="C62" s="33" t="n"/>
      <c r="D62" s="33" t="n"/>
      <c r="E62" s="32" t="n"/>
      <c r="F62" s="32" t="n"/>
      <c r="G62" s="32" t="n"/>
      <c r="H62" s="32" t="n"/>
      <c r="I62" s="32" t="n"/>
      <c r="J62" s="34" t="n"/>
      <c r="K62" s="33" t="n"/>
      <c r="L62" s="32" t="n"/>
      <c r="M62" s="33" t="n"/>
      <c r="N62" s="33" t="n"/>
      <c r="O62" s="33" t="n"/>
      <c r="P62" s="32" t="n"/>
      <c r="Q62" s="33" t="n"/>
      <c r="R62" s="33" t="n"/>
      <c r="S62" s="33" t="n"/>
      <c r="T62" s="33" t="n"/>
      <c r="U62" s="32" t="n"/>
      <c r="V62" s="33" t="n"/>
      <c r="W62" s="33" t="n"/>
      <c r="X62" s="33" t="n"/>
      <c r="Y62" s="33" t="n"/>
      <c r="Z62" s="33" t="n"/>
      <c r="AA62" s="33" t="n"/>
      <c r="AB62" s="33" t="n"/>
      <c r="AC62" s="33" t="n"/>
      <c r="AD62" s="33" t="n"/>
      <c r="AE62" s="33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29">
        <f>IF(NOT(COUNTA(A62:AE62)&gt;0),"",IF(A62="","New client","Update"))</f>
        <v/>
      </c>
      <c r="AS62" s="29">
        <f>IF(BA62&lt;&gt;"",BA62,IF(LEN(AZ62)=15,MID(AZ62,3,10),""))</f>
        <v/>
      </c>
      <c r="AT62" s="29">
        <f>IF(BB62="","",BB62&amp;IF(D62="","  (guessed from PAN)",""))</f>
        <v/>
      </c>
      <c r="AU62" s="29">
        <f>IF(AZ62="","",IFERROR(INDEX(Lists!$L$2:$L$38,MATCH(LEFT(AZ62,2),Lists!$K$2:$K$38,0)),"Unknown code"))</f>
        <v/>
      </c>
      <c r="AV62" s="29">
        <f>IF(AZ62="","",IFERROR(IF(NOT(AND(LEN(AZ62)=15,ISNUMBER(MATCH(LEFT(AZ62,2),Lists!$K$2:$K$38,0)),SUMPRODUCT(--ISERROR(FIND(MID(MID(AZ62,3,10),{1,2,3,4,5,10},1),"ABCDEFGHIJKLMNOPQRSTUVWXYZ")))=0,SUMPRODUCT(--ISERROR(FIND(MID(MID(AZ62,3,10),{6,7,8,9},1),"0123456789")))=0,ISNUMBER(FIND(MID(AZ62,13,1),"123456789ABCDEFGHIJKLMNOPQRSTUVWXYZ")),MID(AZ62,14,1)="Z")),"Wrong format",IF(MID("0123456789ABCDEFGHIJKLMNOPQRSTUVWXYZ",MOD(36-MOD(SUMPRODUCT(INT((FIND(MID(AZ62,{1,2,3,4,5,6,7,8,9,10,11,12,13,14},1),"0123456789ABCDEFGHIJKLMNOPQRSTUVWXYZ")-1)*{1,2,1,2,1,2,1,2,1,2,1,2,1,2}/36)+MOD((FIND(MID(AZ62,{1,2,3,4,5,6,7,8,9,10,11,12,13,14},1),"0123456789ABCDEFGHIJKLMNOPQRSTUVWXYZ")-1)*{1,2,1,2,1,2,1,2,1,2,1,2,1,2},36)),36),36)+1,1)=MID(AZ62,15,1),"OK","Typo? check digit wrong")),"Wrong format"))</f>
        <v/>
      </c>
      <c r="AW62" s="29">
        <f>IF(BA62="","",IF(AND(LEN(BA62)=10,SUMPRODUCT(--ISERROR(FIND(MID(BA62,{1,2,3,4,5,10},1),"ABCDEFGHIJKLMNOPQRSTUVWXYZ")))=0,SUMPRODUCT(--ISERROR(FIND(MID(BA62,{6,7,8,9},1),"0123456789")))=0),"OK","Wrong format"))</f>
        <v/>
      </c>
      <c r="AX62" s="29">
        <f>IF(TRIM(H62)="","",IF(AND(LEN(UPPER(TRIM(H62)))=10,SUMPRODUCT(--ISERROR(FIND(MID(UPPER(TRIM(H62)),{1,2,3,4,10},1),"ABCDEFGHIJKLMNOPQRSTUVWXYZ")))=0,SUMPRODUCT(--ISERROR(FIND(MID(UPPER(TRIM(H62)),{5,6,7,8,9},1),"0123456789")))=0),"OK","Wrong format"))</f>
        <v/>
      </c>
      <c r="AY62" s="30">
        <f>IF(NOT(COUNTA(A62:AE62)&gt;0),"",IF(BE62&lt;&gt;"","✖ "&amp;LEFT(BE62,LEN(BE62)-2),IF(BD62&gt;0,"✔ Ready — client + "&amp;BD62&amp;" service(s)","✔ Ready — client only")))</f>
        <v/>
      </c>
      <c r="AZ62" s="31">
        <f>UPPER(SUBSTITUTE(TRIM(F62)," ",""))</f>
        <v/>
      </c>
      <c r="BA62" s="31">
        <f>UPPER(SUBSTITUTE(TRIM(E62)," ",""))</f>
        <v/>
      </c>
      <c r="BB62" s="31">
        <f>IF(D62&lt;&gt;"",D62,IFERROR(VLOOKUP(MID(AS62,4,1),Lists!$E$2:$F$8,2,FALSE),""))</f>
        <v/>
      </c>
      <c r="BC62" s="31">
        <f>IFERROR(VLOOKUP(BB62,Lists!$A$2:$C$12,3,FALSE),"")</f>
        <v/>
      </c>
      <c r="BD62" s="31">
        <f>COUNTIF(W62:AC62,"Yes")</f>
        <v/>
      </c>
      <c r="BE62" s="31">
        <f>IF(TRIM(B62)="","Legal name missing; ","")&amp;IF(AND(AV62&lt;&gt;"",AV62&lt;&gt;"OK"),"GSTIN: "&amp;AV62&amp;"; ","")&amp;IF(AND(AW62&lt;&gt;"",AW62&lt;&gt;"OK"),"PAN wrong format; ","")&amp;IF(AND(BA62&lt;&gt;"",LEN(AZ62)=15,MID(AZ62,3,10)&lt;&gt;BA62),"PAN does not match GSTIN; ","")&amp;IF(AND(AX62&lt;&gt;"",AX62&lt;&gt;"OK"),"TAN wrong format; ","")&amp;IF(AS62="","PAN missing; ","")&amp;IF(BB62="","Entity type missing; ","")&amp;IF(AND(AZ62&lt;&gt;"",COUNTIF($AZ$6:$AZ$1005,AZ62)&gt;1),"GSTIN repeated in this sheet; ","")&amp;IF(AND(AS62&lt;&gt;"",COUNTIF($AS$6:$AS$1005,AS62)&gt;1),"PAN repeated in this sheet (same client? put extra GSTINs in Other GSTINs); ","")&amp;IF(AND(BD62&gt;0,V62=""),"Financial year missing; ","")&amp;IF(AND(BD62=0,V62&lt;&gt;""),"Financial year given but no service is Yes; ","")&amp;IF(AND(W62="Yes",AZ62=""),"GST needs a GSTIN; ","")&amp;IF(AND(W62="Yes",X62=""),"GST return frequency missing; ","")&amp;IF(AND(Y62="Yes",TRIM(H62)=""),"TDS needs a TAN; ","")&amp;IF(AND(AA62="Yes",BC62&lt;&gt;"",BC62&lt;&gt;"company",BC62&lt;&gt;"llp"),"ROC is only for a company / LLP; ","")&amp;IF(AND(AA62="Yes",OR(BC62="company",BC62="llp"),TRIM(I62)=""),"ROC needs the CIN / LLPIN; ","")&amp;IF((TRIM(AF62)="")&lt;&gt;(TRIM(AG62)=""),"GST login needs both user ID and password; ","")&amp;IF((TRIM(AH62)="")&lt;&gt;(TRIM(AI62)=""),"Income-tax login needs both user ID and password; ","")&amp;IF((TRIM(AJ62)="")&lt;&gt;(TRIM(AK62)=""),"Income-tax login needs both user ID and password; ","")&amp;IF((TRIM(AL62)="")&lt;&gt;(TRIM(AM62)=""),"TRACES login needs both user ID and password; ","")&amp;IF((TRIM(AN62)="")&lt;&gt;(TRIM(AO62)=""),"MCA login needs both user ID and password; ","")&amp;IF((TRIM(AP62)="")&lt;&gt;(TRIM(AQ62)=""),"E-way bill login needs both user ID and password; ","")</f>
        <v/>
      </c>
    </row>
    <row r="63">
      <c r="A63" s="32" t="n"/>
      <c r="B63" s="33" t="n"/>
      <c r="C63" s="33" t="n"/>
      <c r="D63" s="33" t="n"/>
      <c r="E63" s="32" t="n"/>
      <c r="F63" s="32" t="n"/>
      <c r="G63" s="32" t="n"/>
      <c r="H63" s="32" t="n"/>
      <c r="I63" s="32" t="n"/>
      <c r="J63" s="34" t="n"/>
      <c r="K63" s="33" t="n"/>
      <c r="L63" s="32" t="n"/>
      <c r="M63" s="33" t="n"/>
      <c r="N63" s="33" t="n"/>
      <c r="O63" s="33" t="n"/>
      <c r="P63" s="32" t="n"/>
      <c r="Q63" s="33" t="n"/>
      <c r="R63" s="33" t="n"/>
      <c r="S63" s="33" t="n"/>
      <c r="T63" s="33" t="n"/>
      <c r="U63" s="32" t="n"/>
      <c r="V63" s="33" t="n"/>
      <c r="W63" s="33" t="n"/>
      <c r="X63" s="33" t="n"/>
      <c r="Y63" s="33" t="n"/>
      <c r="Z63" s="33" t="n"/>
      <c r="AA63" s="33" t="n"/>
      <c r="AB63" s="33" t="n"/>
      <c r="AC63" s="33" t="n"/>
      <c r="AD63" s="33" t="n"/>
      <c r="AE63" s="33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29">
        <f>IF(NOT(COUNTA(A63:AE63)&gt;0),"",IF(A63="","New client","Update"))</f>
        <v/>
      </c>
      <c r="AS63" s="29">
        <f>IF(BA63&lt;&gt;"",BA63,IF(LEN(AZ63)=15,MID(AZ63,3,10),""))</f>
        <v/>
      </c>
      <c r="AT63" s="29">
        <f>IF(BB63="","",BB63&amp;IF(D63="","  (guessed from PAN)",""))</f>
        <v/>
      </c>
      <c r="AU63" s="29">
        <f>IF(AZ63="","",IFERROR(INDEX(Lists!$L$2:$L$38,MATCH(LEFT(AZ63,2),Lists!$K$2:$K$38,0)),"Unknown code"))</f>
        <v/>
      </c>
      <c r="AV63" s="29">
        <f>IF(AZ63="","",IFERROR(IF(NOT(AND(LEN(AZ63)=15,ISNUMBER(MATCH(LEFT(AZ63,2),Lists!$K$2:$K$38,0)),SUMPRODUCT(--ISERROR(FIND(MID(MID(AZ63,3,10),{1,2,3,4,5,10},1),"ABCDEFGHIJKLMNOPQRSTUVWXYZ")))=0,SUMPRODUCT(--ISERROR(FIND(MID(MID(AZ63,3,10),{6,7,8,9},1),"0123456789")))=0,ISNUMBER(FIND(MID(AZ63,13,1),"123456789ABCDEFGHIJKLMNOPQRSTUVWXYZ")),MID(AZ63,14,1)="Z")),"Wrong format",IF(MID("0123456789ABCDEFGHIJKLMNOPQRSTUVWXYZ",MOD(36-MOD(SUMPRODUCT(INT((FIND(MID(AZ63,{1,2,3,4,5,6,7,8,9,10,11,12,13,14},1),"0123456789ABCDEFGHIJKLMNOPQRSTUVWXYZ")-1)*{1,2,1,2,1,2,1,2,1,2,1,2,1,2}/36)+MOD((FIND(MID(AZ63,{1,2,3,4,5,6,7,8,9,10,11,12,13,14},1),"0123456789ABCDEFGHIJKLMNOPQRSTUVWXYZ")-1)*{1,2,1,2,1,2,1,2,1,2,1,2,1,2},36)),36),36)+1,1)=MID(AZ63,15,1),"OK","Typo? check digit wrong")),"Wrong format"))</f>
        <v/>
      </c>
      <c r="AW63" s="29">
        <f>IF(BA63="","",IF(AND(LEN(BA63)=10,SUMPRODUCT(--ISERROR(FIND(MID(BA63,{1,2,3,4,5,10},1),"ABCDEFGHIJKLMNOPQRSTUVWXYZ")))=0,SUMPRODUCT(--ISERROR(FIND(MID(BA63,{6,7,8,9},1),"0123456789")))=0),"OK","Wrong format"))</f>
        <v/>
      </c>
      <c r="AX63" s="29">
        <f>IF(TRIM(H63)="","",IF(AND(LEN(UPPER(TRIM(H63)))=10,SUMPRODUCT(--ISERROR(FIND(MID(UPPER(TRIM(H63)),{1,2,3,4,10},1),"ABCDEFGHIJKLMNOPQRSTUVWXYZ")))=0,SUMPRODUCT(--ISERROR(FIND(MID(UPPER(TRIM(H63)),{5,6,7,8,9},1),"0123456789")))=0),"OK","Wrong format"))</f>
        <v/>
      </c>
      <c r="AY63" s="30">
        <f>IF(NOT(COUNTA(A63:AE63)&gt;0),"",IF(BE63&lt;&gt;"","✖ "&amp;LEFT(BE63,LEN(BE63)-2),IF(BD63&gt;0,"✔ Ready — client + "&amp;BD63&amp;" service(s)","✔ Ready — client only")))</f>
        <v/>
      </c>
      <c r="AZ63" s="31">
        <f>UPPER(SUBSTITUTE(TRIM(F63)," ",""))</f>
        <v/>
      </c>
      <c r="BA63" s="31">
        <f>UPPER(SUBSTITUTE(TRIM(E63)," ",""))</f>
        <v/>
      </c>
      <c r="BB63" s="31">
        <f>IF(D63&lt;&gt;"",D63,IFERROR(VLOOKUP(MID(AS63,4,1),Lists!$E$2:$F$8,2,FALSE),""))</f>
        <v/>
      </c>
      <c r="BC63" s="31">
        <f>IFERROR(VLOOKUP(BB63,Lists!$A$2:$C$12,3,FALSE),"")</f>
        <v/>
      </c>
      <c r="BD63" s="31">
        <f>COUNTIF(W63:AC63,"Yes")</f>
        <v/>
      </c>
      <c r="BE63" s="31">
        <f>IF(TRIM(B63)="","Legal name missing; ","")&amp;IF(AND(AV63&lt;&gt;"",AV63&lt;&gt;"OK"),"GSTIN: "&amp;AV63&amp;"; ","")&amp;IF(AND(AW63&lt;&gt;"",AW63&lt;&gt;"OK"),"PAN wrong format; ","")&amp;IF(AND(BA63&lt;&gt;"",LEN(AZ63)=15,MID(AZ63,3,10)&lt;&gt;BA63),"PAN does not match GSTIN; ","")&amp;IF(AND(AX63&lt;&gt;"",AX63&lt;&gt;"OK"),"TAN wrong format; ","")&amp;IF(AS63="","PAN missing; ","")&amp;IF(BB63="","Entity type missing; ","")&amp;IF(AND(AZ63&lt;&gt;"",COUNTIF($AZ$6:$AZ$1005,AZ63)&gt;1),"GSTIN repeated in this sheet; ","")&amp;IF(AND(AS63&lt;&gt;"",COUNTIF($AS$6:$AS$1005,AS63)&gt;1),"PAN repeated in this sheet (same client? put extra GSTINs in Other GSTINs); ","")&amp;IF(AND(BD63&gt;0,V63=""),"Financial year missing; ","")&amp;IF(AND(BD63=0,V63&lt;&gt;""),"Financial year given but no service is Yes; ","")&amp;IF(AND(W63="Yes",AZ63=""),"GST needs a GSTIN; ","")&amp;IF(AND(W63="Yes",X63=""),"GST return frequency missing; ","")&amp;IF(AND(Y63="Yes",TRIM(H63)=""),"TDS needs a TAN; ","")&amp;IF(AND(AA63="Yes",BC63&lt;&gt;"",BC63&lt;&gt;"company",BC63&lt;&gt;"llp"),"ROC is only for a company / LLP; ","")&amp;IF(AND(AA63="Yes",OR(BC63="company",BC63="llp"),TRIM(I63)=""),"ROC needs the CIN / LLPIN; ","")&amp;IF((TRIM(AF63)="")&lt;&gt;(TRIM(AG63)=""),"GST login needs both user ID and password; ","")&amp;IF((TRIM(AH63)="")&lt;&gt;(TRIM(AI63)=""),"Income-tax login needs both user ID and password; ","")&amp;IF((TRIM(AJ63)="")&lt;&gt;(TRIM(AK63)=""),"Income-tax login needs both user ID and password; ","")&amp;IF((TRIM(AL63)="")&lt;&gt;(TRIM(AM63)=""),"TRACES login needs both user ID and password; ","")&amp;IF((TRIM(AN63)="")&lt;&gt;(TRIM(AO63)=""),"MCA login needs both user ID and password; ","")&amp;IF((TRIM(AP63)="")&lt;&gt;(TRIM(AQ63)=""),"E-way bill login needs both user ID and password; ","")</f>
        <v/>
      </c>
    </row>
    <row r="64">
      <c r="A64" s="32" t="n"/>
      <c r="B64" s="33" t="n"/>
      <c r="C64" s="33" t="n"/>
      <c r="D64" s="33" t="n"/>
      <c r="E64" s="32" t="n"/>
      <c r="F64" s="32" t="n"/>
      <c r="G64" s="32" t="n"/>
      <c r="H64" s="32" t="n"/>
      <c r="I64" s="32" t="n"/>
      <c r="J64" s="34" t="n"/>
      <c r="K64" s="33" t="n"/>
      <c r="L64" s="32" t="n"/>
      <c r="M64" s="33" t="n"/>
      <c r="N64" s="33" t="n"/>
      <c r="O64" s="33" t="n"/>
      <c r="P64" s="32" t="n"/>
      <c r="Q64" s="33" t="n"/>
      <c r="R64" s="33" t="n"/>
      <c r="S64" s="33" t="n"/>
      <c r="T64" s="33" t="n"/>
      <c r="U64" s="32" t="n"/>
      <c r="V64" s="33" t="n"/>
      <c r="W64" s="33" t="n"/>
      <c r="X64" s="33" t="n"/>
      <c r="Y64" s="33" t="n"/>
      <c r="Z64" s="33" t="n"/>
      <c r="AA64" s="33" t="n"/>
      <c r="AB64" s="33" t="n"/>
      <c r="AC64" s="33" t="n"/>
      <c r="AD64" s="33" t="n"/>
      <c r="AE64" s="33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29">
        <f>IF(NOT(COUNTA(A64:AE64)&gt;0),"",IF(A64="","New client","Update"))</f>
        <v/>
      </c>
      <c r="AS64" s="29">
        <f>IF(BA64&lt;&gt;"",BA64,IF(LEN(AZ64)=15,MID(AZ64,3,10),""))</f>
        <v/>
      </c>
      <c r="AT64" s="29">
        <f>IF(BB64="","",BB64&amp;IF(D64="","  (guessed from PAN)",""))</f>
        <v/>
      </c>
      <c r="AU64" s="29">
        <f>IF(AZ64="","",IFERROR(INDEX(Lists!$L$2:$L$38,MATCH(LEFT(AZ64,2),Lists!$K$2:$K$38,0)),"Unknown code"))</f>
        <v/>
      </c>
      <c r="AV64" s="29">
        <f>IF(AZ64="","",IFERROR(IF(NOT(AND(LEN(AZ64)=15,ISNUMBER(MATCH(LEFT(AZ64,2),Lists!$K$2:$K$38,0)),SUMPRODUCT(--ISERROR(FIND(MID(MID(AZ64,3,10),{1,2,3,4,5,10},1),"ABCDEFGHIJKLMNOPQRSTUVWXYZ")))=0,SUMPRODUCT(--ISERROR(FIND(MID(MID(AZ64,3,10),{6,7,8,9},1),"0123456789")))=0,ISNUMBER(FIND(MID(AZ64,13,1),"123456789ABCDEFGHIJKLMNOPQRSTUVWXYZ")),MID(AZ64,14,1)="Z")),"Wrong format",IF(MID("0123456789ABCDEFGHIJKLMNOPQRSTUVWXYZ",MOD(36-MOD(SUMPRODUCT(INT((FIND(MID(AZ64,{1,2,3,4,5,6,7,8,9,10,11,12,13,14},1),"0123456789ABCDEFGHIJKLMNOPQRSTUVWXYZ")-1)*{1,2,1,2,1,2,1,2,1,2,1,2,1,2}/36)+MOD((FIND(MID(AZ64,{1,2,3,4,5,6,7,8,9,10,11,12,13,14},1),"0123456789ABCDEFGHIJKLMNOPQRSTUVWXYZ")-1)*{1,2,1,2,1,2,1,2,1,2,1,2,1,2},36)),36),36)+1,1)=MID(AZ64,15,1),"OK","Typo? check digit wrong")),"Wrong format"))</f>
        <v/>
      </c>
      <c r="AW64" s="29">
        <f>IF(BA64="","",IF(AND(LEN(BA64)=10,SUMPRODUCT(--ISERROR(FIND(MID(BA64,{1,2,3,4,5,10},1),"ABCDEFGHIJKLMNOPQRSTUVWXYZ")))=0,SUMPRODUCT(--ISERROR(FIND(MID(BA64,{6,7,8,9},1),"0123456789")))=0),"OK","Wrong format"))</f>
        <v/>
      </c>
      <c r="AX64" s="29">
        <f>IF(TRIM(H64)="","",IF(AND(LEN(UPPER(TRIM(H64)))=10,SUMPRODUCT(--ISERROR(FIND(MID(UPPER(TRIM(H64)),{1,2,3,4,10},1),"ABCDEFGHIJKLMNOPQRSTUVWXYZ")))=0,SUMPRODUCT(--ISERROR(FIND(MID(UPPER(TRIM(H64)),{5,6,7,8,9},1),"0123456789")))=0),"OK","Wrong format"))</f>
        <v/>
      </c>
      <c r="AY64" s="30">
        <f>IF(NOT(COUNTA(A64:AE64)&gt;0),"",IF(BE64&lt;&gt;"","✖ "&amp;LEFT(BE64,LEN(BE64)-2),IF(BD64&gt;0,"✔ Ready — client + "&amp;BD64&amp;" service(s)","✔ Ready — client only")))</f>
        <v/>
      </c>
      <c r="AZ64" s="31">
        <f>UPPER(SUBSTITUTE(TRIM(F64)," ",""))</f>
        <v/>
      </c>
      <c r="BA64" s="31">
        <f>UPPER(SUBSTITUTE(TRIM(E64)," ",""))</f>
        <v/>
      </c>
      <c r="BB64" s="31">
        <f>IF(D64&lt;&gt;"",D64,IFERROR(VLOOKUP(MID(AS64,4,1),Lists!$E$2:$F$8,2,FALSE),""))</f>
        <v/>
      </c>
      <c r="BC64" s="31">
        <f>IFERROR(VLOOKUP(BB64,Lists!$A$2:$C$12,3,FALSE),"")</f>
        <v/>
      </c>
      <c r="BD64" s="31">
        <f>COUNTIF(W64:AC64,"Yes")</f>
        <v/>
      </c>
      <c r="BE64" s="31">
        <f>IF(TRIM(B64)="","Legal name missing; ","")&amp;IF(AND(AV64&lt;&gt;"",AV64&lt;&gt;"OK"),"GSTIN: "&amp;AV64&amp;"; ","")&amp;IF(AND(AW64&lt;&gt;"",AW64&lt;&gt;"OK"),"PAN wrong format; ","")&amp;IF(AND(BA64&lt;&gt;"",LEN(AZ64)=15,MID(AZ64,3,10)&lt;&gt;BA64),"PAN does not match GSTIN; ","")&amp;IF(AND(AX64&lt;&gt;"",AX64&lt;&gt;"OK"),"TAN wrong format; ","")&amp;IF(AS64="","PAN missing; ","")&amp;IF(BB64="","Entity type missing; ","")&amp;IF(AND(AZ64&lt;&gt;"",COUNTIF($AZ$6:$AZ$1005,AZ64)&gt;1),"GSTIN repeated in this sheet; ","")&amp;IF(AND(AS64&lt;&gt;"",COUNTIF($AS$6:$AS$1005,AS64)&gt;1),"PAN repeated in this sheet (same client? put extra GSTINs in Other GSTINs); ","")&amp;IF(AND(BD64&gt;0,V64=""),"Financial year missing; ","")&amp;IF(AND(BD64=0,V64&lt;&gt;""),"Financial year given but no service is Yes; ","")&amp;IF(AND(W64="Yes",AZ64=""),"GST needs a GSTIN; ","")&amp;IF(AND(W64="Yes",X64=""),"GST return frequency missing; ","")&amp;IF(AND(Y64="Yes",TRIM(H64)=""),"TDS needs a TAN; ","")&amp;IF(AND(AA64="Yes",BC64&lt;&gt;"",BC64&lt;&gt;"company",BC64&lt;&gt;"llp"),"ROC is only for a company / LLP; ","")&amp;IF(AND(AA64="Yes",OR(BC64="company",BC64="llp"),TRIM(I64)=""),"ROC needs the CIN / LLPIN; ","")&amp;IF((TRIM(AF64)="")&lt;&gt;(TRIM(AG64)=""),"GST login needs both user ID and password; ","")&amp;IF((TRIM(AH64)="")&lt;&gt;(TRIM(AI64)=""),"Income-tax login needs both user ID and password; ","")&amp;IF((TRIM(AJ64)="")&lt;&gt;(TRIM(AK64)=""),"Income-tax login needs both user ID and password; ","")&amp;IF((TRIM(AL64)="")&lt;&gt;(TRIM(AM64)=""),"TRACES login needs both user ID and password; ","")&amp;IF((TRIM(AN64)="")&lt;&gt;(TRIM(AO64)=""),"MCA login needs both user ID and password; ","")&amp;IF((TRIM(AP64)="")&lt;&gt;(TRIM(AQ64)=""),"E-way bill login needs both user ID and password; ","")</f>
        <v/>
      </c>
    </row>
    <row r="65">
      <c r="A65" s="32" t="n"/>
      <c r="B65" s="33" t="n"/>
      <c r="C65" s="33" t="n"/>
      <c r="D65" s="33" t="n"/>
      <c r="E65" s="32" t="n"/>
      <c r="F65" s="32" t="n"/>
      <c r="G65" s="32" t="n"/>
      <c r="H65" s="32" t="n"/>
      <c r="I65" s="32" t="n"/>
      <c r="J65" s="34" t="n"/>
      <c r="K65" s="33" t="n"/>
      <c r="L65" s="32" t="n"/>
      <c r="M65" s="33" t="n"/>
      <c r="N65" s="33" t="n"/>
      <c r="O65" s="33" t="n"/>
      <c r="P65" s="32" t="n"/>
      <c r="Q65" s="33" t="n"/>
      <c r="R65" s="33" t="n"/>
      <c r="S65" s="33" t="n"/>
      <c r="T65" s="33" t="n"/>
      <c r="U65" s="32" t="n"/>
      <c r="V65" s="33" t="n"/>
      <c r="W65" s="33" t="n"/>
      <c r="X65" s="33" t="n"/>
      <c r="Y65" s="33" t="n"/>
      <c r="Z65" s="33" t="n"/>
      <c r="AA65" s="33" t="n"/>
      <c r="AB65" s="33" t="n"/>
      <c r="AC65" s="33" t="n"/>
      <c r="AD65" s="33" t="n"/>
      <c r="AE65" s="33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29">
        <f>IF(NOT(COUNTA(A65:AE65)&gt;0),"",IF(A65="","New client","Update"))</f>
        <v/>
      </c>
      <c r="AS65" s="29">
        <f>IF(BA65&lt;&gt;"",BA65,IF(LEN(AZ65)=15,MID(AZ65,3,10),""))</f>
        <v/>
      </c>
      <c r="AT65" s="29">
        <f>IF(BB65="","",BB65&amp;IF(D65="","  (guessed from PAN)",""))</f>
        <v/>
      </c>
      <c r="AU65" s="29">
        <f>IF(AZ65="","",IFERROR(INDEX(Lists!$L$2:$L$38,MATCH(LEFT(AZ65,2),Lists!$K$2:$K$38,0)),"Unknown code"))</f>
        <v/>
      </c>
      <c r="AV65" s="29">
        <f>IF(AZ65="","",IFERROR(IF(NOT(AND(LEN(AZ65)=15,ISNUMBER(MATCH(LEFT(AZ65,2),Lists!$K$2:$K$38,0)),SUMPRODUCT(--ISERROR(FIND(MID(MID(AZ65,3,10),{1,2,3,4,5,10},1),"ABCDEFGHIJKLMNOPQRSTUVWXYZ")))=0,SUMPRODUCT(--ISERROR(FIND(MID(MID(AZ65,3,10),{6,7,8,9},1),"0123456789")))=0,ISNUMBER(FIND(MID(AZ65,13,1),"123456789ABCDEFGHIJKLMNOPQRSTUVWXYZ")),MID(AZ65,14,1)="Z")),"Wrong format",IF(MID("0123456789ABCDEFGHIJKLMNOPQRSTUVWXYZ",MOD(36-MOD(SUMPRODUCT(INT((FIND(MID(AZ65,{1,2,3,4,5,6,7,8,9,10,11,12,13,14},1),"0123456789ABCDEFGHIJKLMNOPQRSTUVWXYZ")-1)*{1,2,1,2,1,2,1,2,1,2,1,2,1,2}/36)+MOD((FIND(MID(AZ65,{1,2,3,4,5,6,7,8,9,10,11,12,13,14},1),"0123456789ABCDEFGHIJKLMNOPQRSTUVWXYZ")-1)*{1,2,1,2,1,2,1,2,1,2,1,2,1,2},36)),36),36)+1,1)=MID(AZ65,15,1),"OK","Typo? check digit wrong")),"Wrong format"))</f>
        <v/>
      </c>
      <c r="AW65" s="29">
        <f>IF(BA65="","",IF(AND(LEN(BA65)=10,SUMPRODUCT(--ISERROR(FIND(MID(BA65,{1,2,3,4,5,10},1),"ABCDEFGHIJKLMNOPQRSTUVWXYZ")))=0,SUMPRODUCT(--ISERROR(FIND(MID(BA65,{6,7,8,9},1),"0123456789")))=0),"OK","Wrong format"))</f>
        <v/>
      </c>
      <c r="AX65" s="29">
        <f>IF(TRIM(H65)="","",IF(AND(LEN(UPPER(TRIM(H65)))=10,SUMPRODUCT(--ISERROR(FIND(MID(UPPER(TRIM(H65)),{1,2,3,4,10},1),"ABCDEFGHIJKLMNOPQRSTUVWXYZ")))=0,SUMPRODUCT(--ISERROR(FIND(MID(UPPER(TRIM(H65)),{5,6,7,8,9},1),"0123456789")))=0),"OK","Wrong format"))</f>
        <v/>
      </c>
      <c r="AY65" s="30">
        <f>IF(NOT(COUNTA(A65:AE65)&gt;0),"",IF(BE65&lt;&gt;"","✖ "&amp;LEFT(BE65,LEN(BE65)-2),IF(BD65&gt;0,"✔ Ready — client + "&amp;BD65&amp;" service(s)","✔ Ready — client only")))</f>
        <v/>
      </c>
      <c r="AZ65" s="31">
        <f>UPPER(SUBSTITUTE(TRIM(F65)," ",""))</f>
        <v/>
      </c>
      <c r="BA65" s="31">
        <f>UPPER(SUBSTITUTE(TRIM(E65)," ",""))</f>
        <v/>
      </c>
      <c r="BB65" s="31">
        <f>IF(D65&lt;&gt;"",D65,IFERROR(VLOOKUP(MID(AS65,4,1),Lists!$E$2:$F$8,2,FALSE),""))</f>
        <v/>
      </c>
      <c r="BC65" s="31">
        <f>IFERROR(VLOOKUP(BB65,Lists!$A$2:$C$12,3,FALSE),"")</f>
        <v/>
      </c>
      <c r="BD65" s="31">
        <f>COUNTIF(W65:AC65,"Yes")</f>
        <v/>
      </c>
      <c r="BE65" s="31">
        <f>IF(TRIM(B65)="","Legal name missing; ","")&amp;IF(AND(AV65&lt;&gt;"",AV65&lt;&gt;"OK"),"GSTIN: "&amp;AV65&amp;"; ","")&amp;IF(AND(AW65&lt;&gt;"",AW65&lt;&gt;"OK"),"PAN wrong format; ","")&amp;IF(AND(BA65&lt;&gt;"",LEN(AZ65)=15,MID(AZ65,3,10)&lt;&gt;BA65),"PAN does not match GSTIN; ","")&amp;IF(AND(AX65&lt;&gt;"",AX65&lt;&gt;"OK"),"TAN wrong format; ","")&amp;IF(AS65="","PAN missing; ","")&amp;IF(BB65="","Entity type missing; ","")&amp;IF(AND(AZ65&lt;&gt;"",COUNTIF($AZ$6:$AZ$1005,AZ65)&gt;1),"GSTIN repeated in this sheet; ","")&amp;IF(AND(AS65&lt;&gt;"",COUNTIF($AS$6:$AS$1005,AS65)&gt;1),"PAN repeated in this sheet (same client? put extra GSTINs in Other GSTINs); ","")&amp;IF(AND(BD65&gt;0,V65=""),"Financial year missing; ","")&amp;IF(AND(BD65=0,V65&lt;&gt;""),"Financial year given but no service is Yes; ","")&amp;IF(AND(W65="Yes",AZ65=""),"GST needs a GSTIN; ","")&amp;IF(AND(W65="Yes",X65=""),"GST return frequency missing; ","")&amp;IF(AND(Y65="Yes",TRIM(H65)=""),"TDS needs a TAN; ","")&amp;IF(AND(AA65="Yes",BC65&lt;&gt;"",BC65&lt;&gt;"company",BC65&lt;&gt;"llp"),"ROC is only for a company / LLP; ","")&amp;IF(AND(AA65="Yes",OR(BC65="company",BC65="llp"),TRIM(I65)=""),"ROC needs the CIN / LLPIN; ","")&amp;IF((TRIM(AF65)="")&lt;&gt;(TRIM(AG65)=""),"GST login needs both user ID and password; ","")&amp;IF((TRIM(AH65)="")&lt;&gt;(TRIM(AI65)=""),"Income-tax login needs both user ID and password; ","")&amp;IF((TRIM(AJ65)="")&lt;&gt;(TRIM(AK65)=""),"Income-tax login needs both user ID and password; ","")&amp;IF((TRIM(AL65)="")&lt;&gt;(TRIM(AM65)=""),"TRACES login needs both user ID and password; ","")&amp;IF((TRIM(AN65)="")&lt;&gt;(TRIM(AO65)=""),"MCA login needs both user ID and password; ","")&amp;IF((TRIM(AP65)="")&lt;&gt;(TRIM(AQ65)=""),"E-way bill login needs both user ID and password; ","")</f>
        <v/>
      </c>
    </row>
    <row r="66">
      <c r="A66" s="32" t="n"/>
      <c r="B66" s="33" t="n"/>
      <c r="C66" s="33" t="n"/>
      <c r="D66" s="33" t="n"/>
      <c r="E66" s="32" t="n"/>
      <c r="F66" s="32" t="n"/>
      <c r="G66" s="32" t="n"/>
      <c r="H66" s="32" t="n"/>
      <c r="I66" s="32" t="n"/>
      <c r="J66" s="34" t="n"/>
      <c r="K66" s="33" t="n"/>
      <c r="L66" s="32" t="n"/>
      <c r="M66" s="33" t="n"/>
      <c r="N66" s="33" t="n"/>
      <c r="O66" s="33" t="n"/>
      <c r="P66" s="32" t="n"/>
      <c r="Q66" s="33" t="n"/>
      <c r="R66" s="33" t="n"/>
      <c r="S66" s="33" t="n"/>
      <c r="T66" s="33" t="n"/>
      <c r="U66" s="32" t="n"/>
      <c r="V66" s="33" t="n"/>
      <c r="W66" s="33" t="n"/>
      <c r="X66" s="33" t="n"/>
      <c r="Y66" s="33" t="n"/>
      <c r="Z66" s="33" t="n"/>
      <c r="AA66" s="33" t="n"/>
      <c r="AB66" s="33" t="n"/>
      <c r="AC66" s="33" t="n"/>
      <c r="AD66" s="33" t="n"/>
      <c r="AE66" s="33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29">
        <f>IF(NOT(COUNTA(A66:AE66)&gt;0),"",IF(A66="","New client","Update"))</f>
        <v/>
      </c>
      <c r="AS66" s="29">
        <f>IF(BA66&lt;&gt;"",BA66,IF(LEN(AZ66)=15,MID(AZ66,3,10),""))</f>
        <v/>
      </c>
      <c r="AT66" s="29">
        <f>IF(BB66="","",BB66&amp;IF(D66="","  (guessed from PAN)",""))</f>
        <v/>
      </c>
      <c r="AU66" s="29">
        <f>IF(AZ66="","",IFERROR(INDEX(Lists!$L$2:$L$38,MATCH(LEFT(AZ66,2),Lists!$K$2:$K$38,0)),"Unknown code"))</f>
        <v/>
      </c>
      <c r="AV66" s="29">
        <f>IF(AZ66="","",IFERROR(IF(NOT(AND(LEN(AZ66)=15,ISNUMBER(MATCH(LEFT(AZ66,2),Lists!$K$2:$K$38,0)),SUMPRODUCT(--ISERROR(FIND(MID(MID(AZ66,3,10),{1,2,3,4,5,10},1),"ABCDEFGHIJKLMNOPQRSTUVWXYZ")))=0,SUMPRODUCT(--ISERROR(FIND(MID(MID(AZ66,3,10),{6,7,8,9},1),"0123456789")))=0,ISNUMBER(FIND(MID(AZ66,13,1),"123456789ABCDEFGHIJKLMNOPQRSTUVWXYZ")),MID(AZ66,14,1)="Z")),"Wrong format",IF(MID("0123456789ABCDEFGHIJKLMNOPQRSTUVWXYZ",MOD(36-MOD(SUMPRODUCT(INT((FIND(MID(AZ66,{1,2,3,4,5,6,7,8,9,10,11,12,13,14},1),"0123456789ABCDEFGHIJKLMNOPQRSTUVWXYZ")-1)*{1,2,1,2,1,2,1,2,1,2,1,2,1,2}/36)+MOD((FIND(MID(AZ66,{1,2,3,4,5,6,7,8,9,10,11,12,13,14},1),"0123456789ABCDEFGHIJKLMNOPQRSTUVWXYZ")-1)*{1,2,1,2,1,2,1,2,1,2,1,2,1,2},36)),36),36)+1,1)=MID(AZ66,15,1),"OK","Typo? check digit wrong")),"Wrong format"))</f>
        <v/>
      </c>
      <c r="AW66" s="29">
        <f>IF(BA66="","",IF(AND(LEN(BA66)=10,SUMPRODUCT(--ISERROR(FIND(MID(BA66,{1,2,3,4,5,10},1),"ABCDEFGHIJKLMNOPQRSTUVWXYZ")))=0,SUMPRODUCT(--ISERROR(FIND(MID(BA66,{6,7,8,9},1),"0123456789")))=0),"OK","Wrong format"))</f>
        <v/>
      </c>
      <c r="AX66" s="29">
        <f>IF(TRIM(H66)="","",IF(AND(LEN(UPPER(TRIM(H66)))=10,SUMPRODUCT(--ISERROR(FIND(MID(UPPER(TRIM(H66)),{1,2,3,4,10},1),"ABCDEFGHIJKLMNOPQRSTUVWXYZ")))=0,SUMPRODUCT(--ISERROR(FIND(MID(UPPER(TRIM(H66)),{5,6,7,8,9},1),"0123456789")))=0),"OK","Wrong format"))</f>
        <v/>
      </c>
      <c r="AY66" s="30">
        <f>IF(NOT(COUNTA(A66:AE66)&gt;0),"",IF(BE66&lt;&gt;"","✖ "&amp;LEFT(BE66,LEN(BE66)-2),IF(BD66&gt;0,"✔ Ready — client + "&amp;BD66&amp;" service(s)","✔ Ready — client only")))</f>
        <v/>
      </c>
      <c r="AZ66" s="31">
        <f>UPPER(SUBSTITUTE(TRIM(F66)," ",""))</f>
        <v/>
      </c>
      <c r="BA66" s="31">
        <f>UPPER(SUBSTITUTE(TRIM(E66)," ",""))</f>
        <v/>
      </c>
      <c r="BB66" s="31">
        <f>IF(D66&lt;&gt;"",D66,IFERROR(VLOOKUP(MID(AS66,4,1),Lists!$E$2:$F$8,2,FALSE),""))</f>
        <v/>
      </c>
      <c r="BC66" s="31">
        <f>IFERROR(VLOOKUP(BB66,Lists!$A$2:$C$12,3,FALSE),"")</f>
        <v/>
      </c>
      <c r="BD66" s="31">
        <f>COUNTIF(W66:AC66,"Yes")</f>
        <v/>
      </c>
      <c r="BE66" s="31">
        <f>IF(TRIM(B66)="","Legal name missing; ","")&amp;IF(AND(AV66&lt;&gt;"",AV66&lt;&gt;"OK"),"GSTIN: "&amp;AV66&amp;"; ","")&amp;IF(AND(AW66&lt;&gt;"",AW66&lt;&gt;"OK"),"PAN wrong format; ","")&amp;IF(AND(BA66&lt;&gt;"",LEN(AZ66)=15,MID(AZ66,3,10)&lt;&gt;BA66),"PAN does not match GSTIN; ","")&amp;IF(AND(AX66&lt;&gt;"",AX66&lt;&gt;"OK"),"TAN wrong format; ","")&amp;IF(AS66="","PAN missing; ","")&amp;IF(BB66="","Entity type missing; ","")&amp;IF(AND(AZ66&lt;&gt;"",COUNTIF($AZ$6:$AZ$1005,AZ66)&gt;1),"GSTIN repeated in this sheet; ","")&amp;IF(AND(AS66&lt;&gt;"",COUNTIF($AS$6:$AS$1005,AS66)&gt;1),"PAN repeated in this sheet (same client? put extra GSTINs in Other GSTINs); ","")&amp;IF(AND(BD66&gt;0,V66=""),"Financial year missing; ","")&amp;IF(AND(BD66=0,V66&lt;&gt;""),"Financial year given but no service is Yes; ","")&amp;IF(AND(W66="Yes",AZ66=""),"GST needs a GSTIN; ","")&amp;IF(AND(W66="Yes",X66=""),"GST return frequency missing; ","")&amp;IF(AND(Y66="Yes",TRIM(H66)=""),"TDS needs a TAN; ","")&amp;IF(AND(AA66="Yes",BC66&lt;&gt;"",BC66&lt;&gt;"company",BC66&lt;&gt;"llp"),"ROC is only for a company / LLP; ","")&amp;IF(AND(AA66="Yes",OR(BC66="company",BC66="llp"),TRIM(I66)=""),"ROC needs the CIN / LLPIN; ","")&amp;IF((TRIM(AF66)="")&lt;&gt;(TRIM(AG66)=""),"GST login needs both user ID and password; ","")&amp;IF((TRIM(AH66)="")&lt;&gt;(TRIM(AI66)=""),"Income-tax login needs both user ID and password; ","")&amp;IF((TRIM(AJ66)="")&lt;&gt;(TRIM(AK66)=""),"Income-tax login needs both user ID and password; ","")&amp;IF((TRIM(AL66)="")&lt;&gt;(TRIM(AM66)=""),"TRACES login needs both user ID and password; ","")&amp;IF((TRIM(AN66)="")&lt;&gt;(TRIM(AO66)=""),"MCA login needs both user ID and password; ","")&amp;IF((TRIM(AP66)="")&lt;&gt;(TRIM(AQ66)=""),"E-way bill login needs both user ID and password; ","")</f>
        <v/>
      </c>
    </row>
    <row r="67">
      <c r="A67" s="32" t="n"/>
      <c r="B67" s="33" t="n"/>
      <c r="C67" s="33" t="n"/>
      <c r="D67" s="33" t="n"/>
      <c r="E67" s="32" t="n"/>
      <c r="F67" s="32" t="n"/>
      <c r="G67" s="32" t="n"/>
      <c r="H67" s="32" t="n"/>
      <c r="I67" s="32" t="n"/>
      <c r="J67" s="34" t="n"/>
      <c r="K67" s="33" t="n"/>
      <c r="L67" s="32" t="n"/>
      <c r="M67" s="33" t="n"/>
      <c r="N67" s="33" t="n"/>
      <c r="O67" s="33" t="n"/>
      <c r="P67" s="32" t="n"/>
      <c r="Q67" s="33" t="n"/>
      <c r="R67" s="33" t="n"/>
      <c r="S67" s="33" t="n"/>
      <c r="T67" s="33" t="n"/>
      <c r="U67" s="32" t="n"/>
      <c r="V67" s="33" t="n"/>
      <c r="W67" s="33" t="n"/>
      <c r="X67" s="33" t="n"/>
      <c r="Y67" s="33" t="n"/>
      <c r="Z67" s="33" t="n"/>
      <c r="AA67" s="33" t="n"/>
      <c r="AB67" s="33" t="n"/>
      <c r="AC67" s="33" t="n"/>
      <c r="AD67" s="33" t="n"/>
      <c r="AE67" s="33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29">
        <f>IF(NOT(COUNTA(A67:AE67)&gt;0),"",IF(A67="","New client","Update"))</f>
        <v/>
      </c>
      <c r="AS67" s="29">
        <f>IF(BA67&lt;&gt;"",BA67,IF(LEN(AZ67)=15,MID(AZ67,3,10),""))</f>
        <v/>
      </c>
      <c r="AT67" s="29">
        <f>IF(BB67="","",BB67&amp;IF(D67="","  (guessed from PAN)",""))</f>
        <v/>
      </c>
      <c r="AU67" s="29">
        <f>IF(AZ67="","",IFERROR(INDEX(Lists!$L$2:$L$38,MATCH(LEFT(AZ67,2),Lists!$K$2:$K$38,0)),"Unknown code"))</f>
        <v/>
      </c>
      <c r="AV67" s="29">
        <f>IF(AZ67="","",IFERROR(IF(NOT(AND(LEN(AZ67)=15,ISNUMBER(MATCH(LEFT(AZ67,2),Lists!$K$2:$K$38,0)),SUMPRODUCT(--ISERROR(FIND(MID(MID(AZ67,3,10),{1,2,3,4,5,10},1),"ABCDEFGHIJKLMNOPQRSTUVWXYZ")))=0,SUMPRODUCT(--ISERROR(FIND(MID(MID(AZ67,3,10),{6,7,8,9},1),"0123456789")))=0,ISNUMBER(FIND(MID(AZ67,13,1),"123456789ABCDEFGHIJKLMNOPQRSTUVWXYZ")),MID(AZ67,14,1)="Z")),"Wrong format",IF(MID("0123456789ABCDEFGHIJKLMNOPQRSTUVWXYZ",MOD(36-MOD(SUMPRODUCT(INT((FIND(MID(AZ67,{1,2,3,4,5,6,7,8,9,10,11,12,13,14},1),"0123456789ABCDEFGHIJKLMNOPQRSTUVWXYZ")-1)*{1,2,1,2,1,2,1,2,1,2,1,2,1,2}/36)+MOD((FIND(MID(AZ67,{1,2,3,4,5,6,7,8,9,10,11,12,13,14},1),"0123456789ABCDEFGHIJKLMNOPQRSTUVWXYZ")-1)*{1,2,1,2,1,2,1,2,1,2,1,2,1,2},36)),36),36)+1,1)=MID(AZ67,15,1),"OK","Typo? check digit wrong")),"Wrong format"))</f>
        <v/>
      </c>
      <c r="AW67" s="29">
        <f>IF(BA67="","",IF(AND(LEN(BA67)=10,SUMPRODUCT(--ISERROR(FIND(MID(BA67,{1,2,3,4,5,10},1),"ABCDEFGHIJKLMNOPQRSTUVWXYZ")))=0,SUMPRODUCT(--ISERROR(FIND(MID(BA67,{6,7,8,9},1),"0123456789")))=0),"OK","Wrong format"))</f>
        <v/>
      </c>
      <c r="AX67" s="29">
        <f>IF(TRIM(H67)="","",IF(AND(LEN(UPPER(TRIM(H67)))=10,SUMPRODUCT(--ISERROR(FIND(MID(UPPER(TRIM(H67)),{1,2,3,4,10},1),"ABCDEFGHIJKLMNOPQRSTUVWXYZ")))=0,SUMPRODUCT(--ISERROR(FIND(MID(UPPER(TRIM(H67)),{5,6,7,8,9},1),"0123456789")))=0),"OK","Wrong format"))</f>
        <v/>
      </c>
      <c r="AY67" s="30">
        <f>IF(NOT(COUNTA(A67:AE67)&gt;0),"",IF(BE67&lt;&gt;"","✖ "&amp;LEFT(BE67,LEN(BE67)-2),IF(BD67&gt;0,"✔ Ready — client + "&amp;BD67&amp;" service(s)","✔ Ready — client only")))</f>
        <v/>
      </c>
      <c r="AZ67" s="31">
        <f>UPPER(SUBSTITUTE(TRIM(F67)," ",""))</f>
        <v/>
      </c>
      <c r="BA67" s="31">
        <f>UPPER(SUBSTITUTE(TRIM(E67)," ",""))</f>
        <v/>
      </c>
      <c r="BB67" s="31">
        <f>IF(D67&lt;&gt;"",D67,IFERROR(VLOOKUP(MID(AS67,4,1),Lists!$E$2:$F$8,2,FALSE),""))</f>
        <v/>
      </c>
      <c r="BC67" s="31">
        <f>IFERROR(VLOOKUP(BB67,Lists!$A$2:$C$12,3,FALSE),"")</f>
        <v/>
      </c>
      <c r="BD67" s="31">
        <f>COUNTIF(W67:AC67,"Yes")</f>
        <v/>
      </c>
      <c r="BE67" s="31">
        <f>IF(TRIM(B67)="","Legal name missing; ","")&amp;IF(AND(AV67&lt;&gt;"",AV67&lt;&gt;"OK"),"GSTIN: "&amp;AV67&amp;"; ","")&amp;IF(AND(AW67&lt;&gt;"",AW67&lt;&gt;"OK"),"PAN wrong format; ","")&amp;IF(AND(BA67&lt;&gt;"",LEN(AZ67)=15,MID(AZ67,3,10)&lt;&gt;BA67),"PAN does not match GSTIN; ","")&amp;IF(AND(AX67&lt;&gt;"",AX67&lt;&gt;"OK"),"TAN wrong format; ","")&amp;IF(AS67="","PAN missing; ","")&amp;IF(BB67="","Entity type missing; ","")&amp;IF(AND(AZ67&lt;&gt;"",COUNTIF($AZ$6:$AZ$1005,AZ67)&gt;1),"GSTIN repeated in this sheet; ","")&amp;IF(AND(AS67&lt;&gt;"",COUNTIF($AS$6:$AS$1005,AS67)&gt;1),"PAN repeated in this sheet (same client? put extra GSTINs in Other GSTINs); ","")&amp;IF(AND(BD67&gt;0,V67=""),"Financial year missing; ","")&amp;IF(AND(BD67=0,V67&lt;&gt;""),"Financial year given but no service is Yes; ","")&amp;IF(AND(W67="Yes",AZ67=""),"GST needs a GSTIN; ","")&amp;IF(AND(W67="Yes",X67=""),"GST return frequency missing; ","")&amp;IF(AND(Y67="Yes",TRIM(H67)=""),"TDS needs a TAN; ","")&amp;IF(AND(AA67="Yes",BC67&lt;&gt;"",BC67&lt;&gt;"company",BC67&lt;&gt;"llp"),"ROC is only for a company / LLP; ","")&amp;IF(AND(AA67="Yes",OR(BC67="company",BC67="llp"),TRIM(I67)=""),"ROC needs the CIN / LLPIN; ","")&amp;IF((TRIM(AF67)="")&lt;&gt;(TRIM(AG67)=""),"GST login needs both user ID and password; ","")&amp;IF((TRIM(AH67)="")&lt;&gt;(TRIM(AI67)=""),"Income-tax login needs both user ID and password; ","")&amp;IF((TRIM(AJ67)="")&lt;&gt;(TRIM(AK67)=""),"Income-tax login needs both user ID and password; ","")&amp;IF((TRIM(AL67)="")&lt;&gt;(TRIM(AM67)=""),"TRACES login needs both user ID and password; ","")&amp;IF((TRIM(AN67)="")&lt;&gt;(TRIM(AO67)=""),"MCA login needs both user ID and password; ","")&amp;IF((TRIM(AP67)="")&lt;&gt;(TRIM(AQ67)=""),"E-way bill login needs both user ID and password; ","")</f>
        <v/>
      </c>
    </row>
    <row r="68">
      <c r="A68" s="32" t="n"/>
      <c r="B68" s="33" t="n"/>
      <c r="C68" s="33" t="n"/>
      <c r="D68" s="33" t="n"/>
      <c r="E68" s="32" t="n"/>
      <c r="F68" s="32" t="n"/>
      <c r="G68" s="32" t="n"/>
      <c r="H68" s="32" t="n"/>
      <c r="I68" s="32" t="n"/>
      <c r="J68" s="34" t="n"/>
      <c r="K68" s="33" t="n"/>
      <c r="L68" s="32" t="n"/>
      <c r="M68" s="33" t="n"/>
      <c r="N68" s="33" t="n"/>
      <c r="O68" s="33" t="n"/>
      <c r="P68" s="32" t="n"/>
      <c r="Q68" s="33" t="n"/>
      <c r="R68" s="33" t="n"/>
      <c r="S68" s="33" t="n"/>
      <c r="T68" s="33" t="n"/>
      <c r="U68" s="32" t="n"/>
      <c r="V68" s="33" t="n"/>
      <c r="W68" s="33" t="n"/>
      <c r="X68" s="33" t="n"/>
      <c r="Y68" s="33" t="n"/>
      <c r="Z68" s="33" t="n"/>
      <c r="AA68" s="33" t="n"/>
      <c r="AB68" s="33" t="n"/>
      <c r="AC68" s="33" t="n"/>
      <c r="AD68" s="33" t="n"/>
      <c r="AE68" s="33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2" t="n"/>
      <c r="AO68" s="32" t="n"/>
      <c r="AP68" s="32" t="n"/>
      <c r="AQ68" s="32" t="n"/>
      <c r="AR68" s="29">
        <f>IF(NOT(COUNTA(A68:AE68)&gt;0),"",IF(A68="","New client","Update"))</f>
        <v/>
      </c>
      <c r="AS68" s="29">
        <f>IF(BA68&lt;&gt;"",BA68,IF(LEN(AZ68)=15,MID(AZ68,3,10),""))</f>
        <v/>
      </c>
      <c r="AT68" s="29">
        <f>IF(BB68="","",BB68&amp;IF(D68="","  (guessed from PAN)",""))</f>
        <v/>
      </c>
      <c r="AU68" s="29">
        <f>IF(AZ68="","",IFERROR(INDEX(Lists!$L$2:$L$38,MATCH(LEFT(AZ68,2),Lists!$K$2:$K$38,0)),"Unknown code"))</f>
        <v/>
      </c>
      <c r="AV68" s="29">
        <f>IF(AZ68="","",IFERROR(IF(NOT(AND(LEN(AZ68)=15,ISNUMBER(MATCH(LEFT(AZ68,2),Lists!$K$2:$K$38,0)),SUMPRODUCT(--ISERROR(FIND(MID(MID(AZ68,3,10),{1,2,3,4,5,10},1),"ABCDEFGHIJKLMNOPQRSTUVWXYZ")))=0,SUMPRODUCT(--ISERROR(FIND(MID(MID(AZ68,3,10),{6,7,8,9},1),"0123456789")))=0,ISNUMBER(FIND(MID(AZ68,13,1),"123456789ABCDEFGHIJKLMNOPQRSTUVWXYZ")),MID(AZ68,14,1)="Z")),"Wrong format",IF(MID("0123456789ABCDEFGHIJKLMNOPQRSTUVWXYZ",MOD(36-MOD(SUMPRODUCT(INT((FIND(MID(AZ68,{1,2,3,4,5,6,7,8,9,10,11,12,13,14},1),"0123456789ABCDEFGHIJKLMNOPQRSTUVWXYZ")-1)*{1,2,1,2,1,2,1,2,1,2,1,2,1,2}/36)+MOD((FIND(MID(AZ68,{1,2,3,4,5,6,7,8,9,10,11,12,13,14},1),"0123456789ABCDEFGHIJKLMNOPQRSTUVWXYZ")-1)*{1,2,1,2,1,2,1,2,1,2,1,2,1,2},36)),36),36)+1,1)=MID(AZ68,15,1),"OK","Typo? check digit wrong")),"Wrong format"))</f>
        <v/>
      </c>
      <c r="AW68" s="29">
        <f>IF(BA68="","",IF(AND(LEN(BA68)=10,SUMPRODUCT(--ISERROR(FIND(MID(BA68,{1,2,3,4,5,10},1),"ABCDEFGHIJKLMNOPQRSTUVWXYZ")))=0,SUMPRODUCT(--ISERROR(FIND(MID(BA68,{6,7,8,9},1),"0123456789")))=0),"OK","Wrong format"))</f>
        <v/>
      </c>
      <c r="AX68" s="29">
        <f>IF(TRIM(H68)="","",IF(AND(LEN(UPPER(TRIM(H68)))=10,SUMPRODUCT(--ISERROR(FIND(MID(UPPER(TRIM(H68)),{1,2,3,4,10},1),"ABCDEFGHIJKLMNOPQRSTUVWXYZ")))=0,SUMPRODUCT(--ISERROR(FIND(MID(UPPER(TRIM(H68)),{5,6,7,8,9},1),"0123456789")))=0),"OK","Wrong format"))</f>
        <v/>
      </c>
      <c r="AY68" s="30">
        <f>IF(NOT(COUNTA(A68:AE68)&gt;0),"",IF(BE68&lt;&gt;"","✖ "&amp;LEFT(BE68,LEN(BE68)-2),IF(BD68&gt;0,"✔ Ready — client + "&amp;BD68&amp;" service(s)","✔ Ready — client only")))</f>
        <v/>
      </c>
      <c r="AZ68" s="31">
        <f>UPPER(SUBSTITUTE(TRIM(F68)," ",""))</f>
        <v/>
      </c>
      <c r="BA68" s="31">
        <f>UPPER(SUBSTITUTE(TRIM(E68)," ",""))</f>
        <v/>
      </c>
      <c r="BB68" s="31">
        <f>IF(D68&lt;&gt;"",D68,IFERROR(VLOOKUP(MID(AS68,4,1),Lists!$E$2:$F$8,2,FALSE),""))</f>
        <v/>
      </c>
      <c r="BC68" s="31">
        <f>IFERROR(VLOOKUP(BB68,Lists!$A$2:$C$12,3,FALSE),"")</f>
        <v/>
      </c>
      <c r="BD68" s="31">
        <f>COUNTIF(W68:AC68,"Yes")</f>
        <v/>
      </c>
      <c r="BE68" s="31">
        <f>IF(TRIM(B68)="","Legal name missing; ","")&amp;IF(AND(AV68&lt;&gt;"",AV68&lt;&gt;"OK"),"GSTIN: "&amp;AV68&amp;"; ","")&amp;IF(AND(AW68&lt;&gt;"",AW68&lt;&gt;"OK"),"PAN wrong format; ","")&amp;IF(AND(BA68&lt;&gt;"",LEN(AZ68)=15,MID(AZ68,3,10)&lt;&gt;BA68),"PAN does not match GSTIN; ","")&amp;IF(AND(AX68&lt;&gt;"",AX68&lt;&gt;"OK"),"TAN wrong format; ","")&amp;IF(AS68="","PAN missing; ","")&amp;IF(BB68="","Entity type missing; ","")&amp;IF(AND(AZ68&lt;&gt;"",COUNTIF($AZ$6:$AZ$1005,AZ68)&gt;1),"GSTIN repeated in this sheet; ","")&amp;IF(AND(AS68&lt;&gt;"",COUNTIF($AS$6:$AS$1005,AS68)&gt;1),"PAN repeated in this sheet (same client? put extra GSTINs in Other GSTINs); ","")&amp;IF(AND(BD68&gt;0,V68=""),"Financial year missing; ","")&amp;IF(AND(BD68=0,V68&lt;&gt;""),"Financial year given but no service is Yes; ","")&amp;IF(AND(W68="Yes",AZ68=""),"GST needs a GSTIN; ","")&amp;IF(AND(W68="Yes",X68=""),"GST return frequency missing; ","")&amp;IF(AND(Y68="Yes",TRIM(H68)=""),"TDS needs a TAN; ","")&amp;IF(AND(AA68="Yes",BC68&lt;&gt;"",BC68&lt;&gt;"company",BC68&lt;&gt;"llp"),"ROC is only for a company / LLP; ","")&amp;IF(AND(AA68="Yes",OR(BC68="company",BC68="llp"),TRIM(I68)=""),"ROC needs the CIN / LLPIN; ","")&amp;IF((TRIM(AF68)="")&lt;&gt;(TRIM(AG68)=""),"GST login needs both user ID and password; ","")&amp;IF((TRIM(AH68)="")&lt;&gt;(TRIM(AI68)=""),"Income-tax login needs both user ID and password; ","")&amp;IF((TRIM(AJ68)="")&lt;&gt;(TRIM(AK68)=""),"Income-tax login needs both user ID and password; ","")&amp;IF((TRIM(AL68)="")&lt;&gt;(TRIM(AM68)=""),"TRACES login needs both user ID and password; ","")&amp;IF((TRIM(AN68)="")&lt;&gt;(TRIM(AO68)=""),"MCA login needs both user ID and password; ","")&amp;IF((TRIM(AP68)="")&lt;&gt;(TRIM(AQ68)=""),"E-way bill login needs both user ID and password; ","")</f>
        <v/>
      </c>
    </row>
    <row r="69">
      <c r="A69" s="32" t="n"/>
      <c r="B69" s="33" t="n"/>
      <c r="C69" s="33" t="n"/>
      <c r="D69" s="33" t="n"/>
      <c r="E69" s="32" t="n"/>
      <c r="F69" s="32" t="n"/>
      <c r="G69" s="32" t="n"/>
      <c r="H69" s="32" t="n"/>
      <c r="I69" s="32" t="n"/>
      <c r="J69" s="34" t="n"/>
      <c r="K69" s="33" t="n"/>
      <c r="L69" s="32" t="n"/>
      <c r="M69" s="33" t="n"/>
      <c r="N69" s="33" t="n"/>
      <c r="O69" s="33" t="n"/>
      <c r="P69" s="32" t="n"/>
      <c r="Q69" s="33" t="n"/>
      <c r="R69" s="33" t="n"/>
      <c r="S69" s="33" t="n"/>
      <c r="T69" s="33" t="n"/>
      <c r="U69" s="32" t="n"/>
      <c r="V69" s="33" t="n"/>
      <c r="W69" s="33" t="n"/>
      <c r="X69" s="33" t="n"/>
      <c r="Y69" s="33" t="n"/>
      <c r="Z69" s="33" t="n"/>
      <c r="AA69" s="33" t="n"/>
      <c r="AB69" s="33" t="n"/>
      <c r="AC69" s="33" t="n"/>
      <c r="AD69" s="33" t="n"/>
      <c r="AE69" s="33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29">
        <f>IF(NOT(COUNTA(A69:AE69)&gt;0),"",IF(A69="","New client","Update"))</f>
        <v/>
      </c>
      <c r="AS69" s="29">
        <f>IF(BA69&lt;&gt;"",BA69,IF(LEN(AZ69)=15,MID(AZ69,3,10),""))</f>
        <v/>
      </c>
      <c r="AT69" s="29">
        <f>IF(BB69="","",BB69&amp;IF(D69="","  (guessed from PAN)",""))</f>
        <v/>
      </c>
      <c r="AU69" s="29">
        <f>IF(AZ69="","",IFERROR(INDEX(Lists!$L$2:$L$38,MATCH(LEFT(AZ69,2),Lists!$K$2:$K$38,0)),"Unknown code"))</f>
        <v/>
      </c>
      <c r="AV69" s="29">
        <f>IF(AZ69="","",IFERROR(IF(NOT(AND(LEN(AZ69)=15,ISNUMBER(MATCH(LEFT(AZ69,2),Lists!$K$2:$K$38,0)),SUMPRODUCT(--ISERROR(FIND(MID(MID(AZ69,3,10),{1,2,3,4,5,10},1),"ABCDEFGHIJKLMNOPQRSTUVWXYZ")))=0,SUMPRODUCT(--ISERROR(FIND(MID(MID(AZ69,3,10),{6,7,8,9},1),"0123456789")))=0,ISNUMBER(FIND(MID(AZ69,13,1),"123456789ABCDEFGHIJKLMNOPQRSTUVWXYZ")),MID(AZ69,14,1)="Z")),"Wrong format",IF(MID("0123456789ABCDEFGHIJKLMNOPQRSTUVWXYZ",MOD(36-MOD(SUMPRODUCT(INT((FIND(MID(AZ69,{1,2,3,4,5,6,7,8,9,10,11,12,13,14},1),"0123456789ABCDEFGHIJKLMNOPQRSTUVWXYZ")-1)*{1,2,1,2,1,2,1,2,1,2,1,2,1,2}/36)+MOD((FIND(MID(AZ69,{1,2,3,4,5,6,7,8,9,10,11,12,13,14},1),"0123456789ABCDEFGHIJKLMNOPQRSTUVWXYZ")-1)*{1,2,1,2,1,2,1,2,1,2,1,2,1,2},36)),36),36)+1,1)=MID(AZ69,15,1),"OK","Typo? check digit wrong")),"Wrong format"))</f>
        <v/>
      </c>
      <c r="AW69" s="29">
        <f>IF(BA69="","",IF(AND(LEN(BA69)=10,SUMPRODUCT(--ISERROR(FIND(MID(BA69,{1,2,3,4,5,10},1),"ABCDEFGHIJKLMNOPQRSTUVWXYZ")))=0,SUMPRODUCT(--ISERROR(FIND(MID(BA69,{6,7,8,9},1),"0123456789")))=0),"OK","Wrong format"))</f>
        <v/>
      </c>
      <c r="AX69" s="29">
        <f>IF(TRIM(H69)="","",IF(AND(LEN(UPPER(TRIM(H69)))=10,SUMPRODUCT(--ISERROR(FIND(MID(UPPER(TRIM(H69)),{1,2,3,4,10},1),"ABCDEFGHIJKLMNOPQRSTUVWXYZ")))=0,SUMPRODUCT(--ISERROR(FIND(MID(UPPER(TRIM(H69)),{5,6,7,8,9},1),"0123456789")))=0),"OK","Wrong format"))</f>
        <v/>
      </c>
      <c r="AY69" s="30">
        <f>IF(NOT(COUNTA(A69:AE69)&gt;0),"",IF(BE69&lt;&gt;"","✖ "&amp;LEFT(BE69,LEN(BE69)-2),IF(BD69&gt;0,"✔ Ready — client + "&amp;BD69&amp;" service(s)","✔ Ready — client only")))</f>
        <v/>
      </c>
      <c r="AZ69" s="31">
        <f>UPPER(SUBSTITUTE(TRIM(F69)," ",""))</f>
        <v/>
      </c>
      <c r="BA69" s="31">
        <f>UPPER(SUBSTITUTE(TRIM(E69)," ",""))</f>
        <v/>
      </c>
      <c r="BB69" s="31">
        <f>IF(D69&lt;&gt;"",D69,IFERROR(VLOOKUP(MID(AS69,4,1),Lists!$E$2:$F$8,2,FALSE),""))</f>
        <v/>
      </c>
      <c r="BC69" s="31">
        <f>IFERROR(VLOOKUP(BB69,Lists!$A$2:$C$12,3,FALSE),"")</f>
        <v/>
      </c>
      <c r="BD69" s="31">
        <f>COUNTIF(W69:AC69,"Yes")</f>
        <v/>
      </c>
      <c r="BE69" s="31">
        <f>IF(TRIM(B69)="","Legal name missing; ","")&amp;IF(AND(AV69&lt;&gt;"",AV69&lt;&gt;"OK"),"GSTIN: "&amp;AV69&amp;"; ","")&amp;IF(AND(AW69&lt;&gt;"",AW69&lt;&gt;"OK"),"PAN wrong format; ","")&amp;IF(AND(BA69&lt;&gt;"",LEN(AZ69)=15,MID(AZ69,3,10)&lt;&gt;BA69),"PAN does not match GSTIN; ","")&amp;IF(AND(AX69&lt;&gt;"",AX69&lt;&gt;"OK"),"TAN wrong format; ","")&amp;IF(AS69="","PAN missing; ","")&amp;IF(BB69="","Entity type missing; ","")&amp;IF(AND(AZ69&lt;&gt;"",COUNTIF($AZ$6:$AZ$1005,AZ69)&gt;1),"GSTIN repeated in this sheet; ","")&amp;IF(AND(AS69&lt;&gt;"",COUNTIF($AS$6:$AS$1005,AS69)&gt;1),"PAN repeated in this sheet (same client? put extra GSTINs in Other GSTINs); ","")&amp;IF(AND(BD69&gt;0,V69=""),"Financial year missing; ","")&amp;IF(AND(BD69=0,V69&lt;&gt;""),"Financial year given but no service is Yes; ","")&amp;IF(AND(W69="Yes",AZ69=""),"GST needs a GSTIN; ","")&amp;IF(AND(W69="Yes",X69=""),"GST return frequency missing; ","")&amp;IF(AND(Y69="Yes",TRIM(H69)=""),"TDS needs a TAN; ","")&amp;IF(AND(AA69="Yes",BC69&lt;&gt;"",BC69&lt;&gt;"company",BC69&lt;&gt;"llp"),"ROC is only for a company / LLP; ","")&amp;IF(AND(AA69="Yes",OR(BC69="company",BC69="llp"),TRIM(I69)=""),"ROC needs the CIN / LLPIN; ","")&amp;IF((TRIM(AF69)="")&lt;&gt;(TRIM(AG69)=""),"GST login needs both user ID and password; ","")&amp;IF((TRIM(AH69)="")&lt;&gt;(TRIM(AI69)=""),"Income-tax login needs both user ID and password; ","")&amp;IF((TRIM(AJ69)="")&lt;&gt;(TRIM(AK69)=""),"Income-tax login needs both user ID and password; ","")&amp;IF((TRIM(AL69)="")&lt;&gt;(TRIM(AM69)=""),"TRACES login needs both user ID and password; ","")&amp;IF((TRIM(AN69)="")&lt;&gt;(TRIM(AO69)=""),"MCA login needs both user ID and password; ","")&amp;IF((TRIM(AP69)="")&lt;&gt;(TRIM(AQ69)=""),"E-way bill login needs both user ID and password; ","")</f>
        <v/>
      </c>
    </row>
    <row r="70">
      <c r="A70" s="32" t="n"/>
      <c r="B70" s="33" t="n"/>
      <c r="C70" s="33" t="n"/>
      <c r="D70" s="33" t="n"/>
      <c r="E70" s="32" t="n"/>
      <c r="F70" s="32" t="n"/>
      <c r="G70" s="32" t="n"/>
      <c r="H70" s="32" t="n"/>
      <c r="I70" s="32" t="n"/>
      <c r="J70" s="34" t="n"/>
      <c r="K70" s="33" t="n"/>
      <c r="L70" s="32" t="n"/>
      <c r="M70" s="33" t="n"/>
      <c r="N70" s="33" t="n"/>
      <c r="O70" s="33" t="n"/>
      <c r="P70" s="32" t="n"/>
      <c r="Q70" s="33" t="n"/>
      <c r="R70" s="33" t="n"/>
      <c r="S70" s="33" t="n"/>
      <c r="T70" s="33" t="n"/>
      <c r="U70" s="32" t="n"/>
      <c r="V70" s="33" t="n"/>
      <c r="W70" s="33" t="n"/>
      <c r="X70" s="33" t="n"/>
      <c r="Y70" s="33" t="n"/>
      <c r="Z70" s="33" t="n"/>
      <c r="AA70" s="33" t="n"/>
      <c r="AB70" s="33" t="n"/>
      <c r="AC70" s="33" t="n"/>
      <c r="AD70" s="33" t="n"/>
      <c r="AE70" s="33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29">
        <f>IF(NOT(COUNTA(A70:AE70)&gt;0),"",IF(A70="","New client","Update"))</f>
        <v/>
      </c>
      <c r="AS70" s="29">
        <f>IF(BA70&lt;&gt;"",BA70,IF(LEN(AZ70)=15,MID(AZ70,3,10),""))</f>
        <v/>
      </c>
      <c r="AT70" s="29">
        <f>IF(BB70="","",BB70&amp;IF(D70="","  (guessed from PAN)",""))</f>
        <v/>
      </c>
      <c r="AU70" s="29">
        <f>IF(AZ70="","",IFERROR(INDEX(Lists!$L$2:$L$38,MATCH(LEFT(AZ70,2),Lists!$K$2:$K$38,0)),"Unknown code"))</f>
        <v/>
      </c>
      <c r="AV70" s="29">
        <f>IF(AZ70="","",IFERROR(IF(NOT(AND(LEN(AZ70)=15,ISNUMBER(MATCH(LEFT(AZ70,2),Lists!$K$2:$K$38,0)),SUMPRODUCT(--ISERROR(FIND(MID(MID(AZ70,3,10),{1,2,3,4,5,10},1),"ABCDEFGHIJKLMNOPQRSTUVWXYZ")))=0,SUMPRODUCT(--ISERROR(FIND(MID(MID(AZ70,3,10),{6,7,8,9},1),"0123456789")))=0,ISNUMBER(FIND(MID(AZ70,13,1),"123456789ABCDEFGHIJKLMNOPQRSTUVWXYZ")),MID(AZ70,14,1)="Z")),"Wrong format",IF(MID("0123456789ABCDEFGHIJKLMNOPQRSTUVWXYZ",MOD(36-MOD(SUMPRODUCT(INT((FIND(MID(AZ70,{1,2,3,4,5,6,7,8,9,10,11,12,13,14},1),"0123456789ABCDEFGHIJKLMNOPQRSTUVWXYZ")-1)*{1,2,1,2,1,2,1,2,1,2,1,2,1,2}/36)+MOD((FIND(MID(AZ70,{1,2,3,4,5,6,7,8,9,10,11,12,13,14},1),"0123456789ABCDEFGHIJKLMNOPQRSTUVWXYZ")-1)*{1,2,1,2,1,2,1,2,1,2,1,2,1,2},36)),36),36)+1,1)=MID(AZ70,15,1),"OK","Typo? check digit wrong")),"Wrong format"))</f>
        <v/>
      </c>
      <c r="AW70" s="29">
        <f>IF(BA70="","",IF(AND(LEN(BA70)=10,SUMPRODUCT(--ISERROR(FIND(MID(BA70,{1,2,3,4,5,10},1),"ABCDEFGHIJKLMNOPQRSTUVWXYZ")))=0,SUMPRODUCT(--ISERROR(FIND(MID(BA70,{6,7,8,9},1),"0123456789")))=0),"OK","Wrong format"))</f>
        <v/>
      </c>
      <c r="AX70" s="29">
        <f>IF(TRIM(H70)="","",IF(AND(LEN(UPPER(TRIM(H70)))=10,SUMPRODUCT(--ISERROR(FIND(MID(UPPER(TRIM(H70)),{1,2,3,4,10},1),"ABCDEFGHIJKLMNOPQRSTUVWXYZ")))=0,SUMPRODUCT(--ISERROR(FIND(MID(UPPER(TRIM(H70)),{5,6,7,8,9},1),"0123456789")))=0),"OK","Wrong format"))</f>
        <v/>
      </c>
      <c r="AY70" s="30">
        <f>IF(NOT(COUNTA(A70:AE70)&gt;0),"",IF(BE70&lt;&gt;"","✖ "&amp;LEFT(BE70,LEN(BE70)-2),IF(BD70&gt;0,"✔ Ready — client + "&amp;BD70&amp;" service(s)","✔ Ready — client only")))</f>
        <v/>
      </c>
      <c r="AZ70" s="31">
        <f>UPPER(SUBSTITUTE(TRIM(F70)," ",""))</f>
        <v/>
      </c>
      <c r="BA70" s="31">
        <f>UPPER(SUBSTITUTE(TRIM(E70)," ",""))</f>
        <v/>
      </c>
      <c r="BB70" s="31">
        <f>IF(D70&lt;&gt;"",D70,IFERROR(VLOOKUP(MID(AS70,4,1),Lists!$E$2:$F$8,2,FALSE),""))</f>
        <v/>
      </c>
      <c r="BC70" s="31">
        <f>IFERROR(VLOOKUP(BB70,Lists!$A$2:$C$12,3,FALSE),"")</f>
        <v/>
      </c>
      <c r="BD70" s="31">
        <f>COUNTIF(W70:AC70,"Yes")</f>
        <v/>
      </c>
      <c r="BE70" s="31">
        <f>IF(TRIM(B70)="","Legal name missing; ","")&amp;IF(AND(AV70&lt;&gt;"",AV70&lt;&gt;"OK"),"GSTIN: "&amp;AV70&amp;"; ","")&amp;IF(AND(AW70&lt;&gt;"",AW70&lt;&gt;"OK"),"PAN wrong format; ","")&amp;IF(AND(BA70&lt;&gt;"",LEN(AZ70)=15,MID(AZ70,3,10)&lt;&gt;BA70),"PAN does not match GSTIN; ","")&amp;IF(AND(AX70&lt;&gt;"",AX70&lt;&gt;"OK"),"TAN wrong format; ","")&amp;IF(AS70="","PAN missing; ","")&amp;IF(BB70="","Entity type missing; ","")&amp;IF(AND(AZ70&lt;&gt;"",COUNTIF($AZ$6:$AZ$1005,AZ70)&gt;1),"GSTIN repeated in this sheet; ","")&amp;IF(AND(AS70&lt;&gt;"",COUNTIF($AS$6:$AS$1005,AS70)&gt;1),"PAN repeated in this sheet (same client? put extra GSTINs in Other GSTINs); ","")&amp;IF(AND(BD70&gt;0,V70=""),"Financial year missing; ","")&amp;IF(AND(BD70=0,V70&lt;&gt;""),"Financial year given but no service is Yes; ","")&amp;IF(AND(W70="Yes",AZ70=""),"GST needs a GSTIN; ","")&amp;IF(AND(W70="Yes",X70=""),"GST return frequency missing; ","")&amp;IF(AND(Y70="Yes",TRIM(H70)=""),"TDS needs a TAN; ","")&amp;IF(AND(AA70="Yes",BC70&lt;&gt;"",BC70&lt;&gt;"company",BC70&lt;&gt;"llp"),"ROC is only for a company / LLP; ","")&amp;IF(AND(AA70="Yes",OR(BC70="company",BC70="llp"),TRIM(I70)=""),"ROC needs the CIN / LLPIN; ","")&amp;IF((TRIM(AF70)="")&lt;&gt;(TRIM(AG70)=""),"GST login needs both user ID and password; ","")&amp;IF((TRIM(AH70)="")&lt;&gt;(TRIM(AI70)=""),"Income-tax login needs both user ID and password; ","")&amp;IF((TRIM(AJ70)="")&lt;&gt;(TRIM(AK70)=""),"Income-tax login needs both user ID and password; ","")&amp;IF((TRIM(AL70)="")&lt;&gt;(TRIM(AM70)=""),"TRACES login needs both user ID and password; ","")&amp;IF((TRIM(AN70)="")&lt;&gt;(TRIM(AO70)=""),"MCA login needs both user ID and password; ","")&amp;IF((TRIM(AP70)="")&lt;&gt;(TRIM(AQ70)=""),"E-way bill login needs both user ID and password; ","")</f>
        <v/>
      </c>
    </row>
    <row r="71">
      <c r="A71" s="32" t="n"/>
      <c r="B71" s="33" t="n"/>
      <c r="C71" s="33" t="n"/>
      <c r="D71" s="33" t="n"/>
      <c r="E71" s="32" t="n"/>
      <c r="F71" s="32" t="n"/>
      <c r="G71" s="32" t="n"/>
      <c r="H71" s="32" t="n"/>
      <c r="I71" s="32" t="n"/>
      <c r="J71" s="34" t="n"/>
      <c r="K71" s="33" t="n"/>
      <c r="L71" s="32" t="n"/>
      <c r="M71" s="33" t="n"/>
      <c r="N71" s="33" t="n"/>
      <c r="O71" s="33" t="n"/>
      <c r="P71" s="32" t="n"/>
      <c r="Q71" s="33" t="n"/>
      <c r="R71" s="33" t="n"/>
      <c r="S71" s="33" t="n"/>
      <c r="T71" s="33" t="n"/>
      <c r="U71" s="32" t="n"/>
      <c r="V71" s="33" t="n"/>
      <c r="W71" s="33" t="n"/>
      <c r="X71" s="33" t="n"/>
      <c r="Y71" s="33" t="n"/>
      <c r="Z71" s="33" t="n"/>
      <c r="AA71" s="33" t="n"/>
      <c r="AB71" s="33" t="n"/>
      <c r="AC71" s="33" t="n"/>
      <c r="AD71" s="33" t="n"/>
      <c r="AE71" s="33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29">
        <f>IF(NOT(COUNTA(A71:AE71)&gt;0),"",IF(A71="","New client","Update"))</f>
        <v/>
      </c>
      <c r="AS71" s="29">
        <f>IF(BA71&lt;&gt;"",BA71,IF(LEN(AZ71)=15,MID(AZ71,3,10),""))</f>
        <v/>
      </c>
      <c r="AT71" s="29">
        <f>IF(BB71="","",BB71&amp;IF(D71="","  (guessed from PAN)",""))</f>
        <v/>
      </c>
      <c r="AU71" s="29">
        <f>IF(AZ71="","",IFERROR(INDEX(Lists!$L$2:$L$38,MATCH(LEFT(AZ71,2),Lists!$K$2:$K$38,0)),"Unknown code"))</f>
        <v/>
      </c>
      <c r="AV71" s="29">
        <f>IF(AZ71="","",IFERROR(IF(NOT(AND(LEN(AZ71)=15,ISNUMBER(MATCH(LEFT(AZ71,2),Lists!$K$2:$K$38,0)),SUMPRODUCT(--ISERROR(FIND(MID(MID(AZ71,3,10),{1,2,3,4,5,10},1),"ABCDEFGHIJKLMNOPQRSTUVWXYZ")))=0,SUMPRODUCT(--ISERROR(FIND(MID(MID(AZ71,3,10),{6,7,8,9},1),"0123456789")))=0,ISNUMBER(FIND(MID(AZ71,13,1),"123456789ABCDEFGHIJKLMNOPQRSTUVWXYZ")),MID(AZ71,14,1)="Z")),"Wrong format",IF(MID("0123456789ABCDEFGHIJKLMNOPQRSTUVWXYZ",MOD(36-MOD(SUMPRODUCT(INT((FIND(MID(AZ71,{1,2,3,4,5,6,7,8,9,10,11,12,13,14},1),"0123456789ABCDEFGHIJKLMNOPQRSTUVWXYZ")-1)*{1,2,1,2,1,2,1,2,1,2,1,2,1,2}/36)+MOD((FIND(MID(AZ71,{1,2,3,4,5,6,7,8,9,10,11,12,13,14},1),"0123456789ABCDEFGHIJKLMNOPQRSTUVWXYZ")-1)*{1,2,1,2,1,2,1,2,1,2,1,2,1,2},36)),36),36)+1,1)=MID(AZ71,15,1),"OK","Typo? check digit wrong")),"Wrong format"))</f>
        <v/>
      </c>
      <c r="AW71" s="29">
        <f>IF(BA71="","",IF(AND(LEN(BA71)=10,SUMPRODUCT(--ISERROR(FIND(MID(BA71,{1,2,3,4,5,10},1),"ABCDEFGHIJKLMNOPQRSTUVWXYZ")))=0,SUMPRODUCT(--ISERROR(FIND(MID(BA71,{6,7,8,9},1),"0123456789")))=0),"OK","Wrong format"))</f>
        <v/>
      </c>
      <c r="AX71" s="29">
        <f>IF(TRIM(H71)="","",IF(AND(LEN(UPPER(TRIM(H71)))=10,SUMPRODUCT(--ISERROR(FIND(MID(UPPER(TRIM(H71)),{1,2,3,4,10},1),"ABCDEFGHIJKLMNOPQRSTUVWXYZ")))=0,SUMPRODUCT(--ISERROR(FIND(MID(UPPER(TRIM(H71)),{5,6,7,8,9},1),"0123456789")))=0),"OK","Wrong format"))</f>
        <v/>
      </c>
      <c r="AY71" s="30">
        <f>IF(NOT(COUNTA(A71:AE71)&gt;0),"",IF(BE71&lt;&gt;"","✖ "&amp;LEFT(BE71,LEN(BE71)-2),IF(BD71&gt;0,"✔ Ready — client + "&amp;BD71&amp;" service(s)","✔ Ready — client only")))</f>
        <v/>
      </c>
      <c r="AZ71" s="31">
        <f>UPPER(SUBSTITUTE(TRIM(F71)," ",""))</f>
        <v/>
      </c>
      <c r="BA71" s="31">
        <f>UPPER(SUBSTITUTE(TRIM(E71)," ",""))</f>
        <v/>
      </c>
      <c r="BB71" s="31">
        <f>IF(D71&lt;&gt;"",D71,IFERROR(VLOOKUP(MID(AS71,4,1),Lists!$E$2:$F$8,2,FALSE),""))</f>
        <v/>
      </c>
      <c r="BC71" s="31">
        <f>IFERROR(VLOOKUP(BB71,Lists!$A$2:$C$12,3,FALSE),"")</f>
        <v/>
      </c>
      <c r="BD71" s="31">
        <f>COUNTIF(W71:AC71,"Yes")</f>
        <v/>
      </c>
      <c r="BE71" s="31">
        <f>IF(TRIM(B71)="","Legal name missing; ","")&amp;IF(AND(AV71&lt;&gt;"",AV71&lt;&gt;"OK"),"GSTIN: "&amp;AV71&amp;"; ","")&amp;IF(AND(AW71&lt;&gt;"",AW71&lt;&gt;"OK"),"PAN wrong format; ","")&amp;IF(AND(BA71&lt;&gt;"",LEN(AZ71)=15,MID(AZ71,3,10)&lt;&gt;BA71),"PAN does not match GSTIN; ","")&amp;IF(AND(AX71&lt;&gt;"",AX71&lt;&gt;"OK"),"TAN wrong format; ","")&amp;IF(AS71="","PAN missing; ","")&amp;IF(BB71="","Entity type missing; ","")&amp;IF(AND(AZ71&lt;&gt;"",COUNTIF($AZ$6:$AZ$1005,AZ71)&gt;1),"GSTIN repeated in this sheet; ","")&amp;IF(AND(AS71&lt;&gt;"",COUNTIF($AS$6:$AS$1005,AS71)&gt;1),"PAN repeated in this sheet (same client? put extra GSTINs in Other GSTINs); ","")&amp;IF(AND(BD71&gt;0,V71=""),"Financial year missing; ","")&amp;IF(AND(BD71=0,V71&lt;&gt;""),"Financial year given but no service is Yes; ","")&amp;IF(AND(W71="Yes",AZ71=""),"GST needs a GSTIN; ","")&amp;IF(AND(W71="Yes",X71=""),"GST return frequency missing; ","")&amp;IF(AND(Y71="Yes",TRIM(H71)=""),"TDS needs a TAN; ","")&amp;IF(AND(AA71="Yes",BC71&lt;&gt;"",BC71&lt;&gt;"company",BC71&lt;&gt;"llp"),"ROC is only for a company / LLP; ","")&amp;IF(AND(AA71="Yes",OR(BC71="company",BC71="llp"),TRIM(I71)=""),"ROC needs the CIN / LLPIN; ","")&amp;IF((TRIM(AF71)="")&lt;&gt;(TRIM(AG71)=""),"GST login needs both user ID and password; ","")&amp;IF((TRIM(AH71)="")&lt;&gt;(TRIM(AI71)=""),"Income-tax login needs both user ID and password; ","")&amp;IF((TRIM(AJ71)="")&lt;&gt;(TRIM(AK71)=""),"Income-tax login needs both user ID and password; ","")&amp;IF((TRIM(AL71)="")&lt;&gt;(TRIM(AM71)=""),"TRACES login needs both user ID and password; ","")&amp;IF((TRIM(AN71)="")&lt;&gt;(TRIM(AO71)=""),"MCA login needs both user ID and password; ","")&amp;IF((TRIM(AP71)="")&lt;&gt;(TRIM(AQ71)=""),"E-way bill login needs both user ID and password; ","")</f>
        <v/>
      </c>
    </row>
    <row r="72">
      <c r="A72" s="32" t="n"/>
      <c r="B72" s="33" t="n"/>
      <c r="C72" s="33" t="n"/>
      <c r="D72" s="33" t="n"/>
      <c r="E72" s="32" t="n"/>
      <c r="F72" s="32" t="n"/>
      <c r="G72" s="32" t="n"/>
      <c r="H72" s="32" t="n"/>
      <c r="I72" s="32" t="n"/>
      <c r="J72" s="34" t="n"/>
      <c r="K72" s="33" t="n"/>
      <c r="L72" s="32" t="n"/>
      <c r="M72" s="33" t="n"/>
      <c r="N72" s="33" t="n"/>
      <c r="O72" s="33" t="n"/>
      <c r="P72" s="32" t="n"/>
      <c r="Q72" s="33" t="n"/>
      <c r="R72" s="33" t="n"/>
      <c r="S72" s="33" t="n"/>
      <c r="T72" s="33" t="n"/>
      <c r="U72" s="32" t="n"/>
      <c r="V72" s="33" t="n"/>
      <c r="W72" s="33" t="n"/>
      <c r="X72" s="33" t="n"/>
      <c r="Y72" s="33" t="n"/>
      <c r="Z72" s="33" t="n"/>
      <c r="AA72" s="33" t="n"/>
      <c r="AB72" s="33" t="n"/>
      <c r="AC72" s="33" t="n"/>
      <c r="AD72" s="33" t="n"/>
      <c r="AE72" s="33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29">
        <f>IF(NOT(COUNTA(A72:AE72)&gt;0),"",IF(A72="","New client","Update"))</f>
        <v/>
      </c>
      <c r="AS72" s="29">
        <f>IF(BA72&lt;&gt;"",BA72,IF(LEN(AZ72)=15,MID(AZ72,3,10),""))</f>
        <v/>
      </c>
      <c r="AT72" s="29">
        <f>IF(BB72="","",BB72&amp;IF(D72="","  (guessed from PAN)",""))</f>
        <v/>
      </c>
      <c r="AU72" s="29">
        <f>IF(AZ72="","",IFERROR(INDEX(Lists!$L$2:$L$38,MATCH(LEFT(AZ72,2),Lists!$K$2:$K$38,0)),"Unknown code"))</f>
        <v/>
      </c>
      <c r="AV72" s="29">
        <f>IF(AZ72="","",IFERROR(IF(NOT(AND(LEN(AZ72)=15,ISNUMBER(MATCH(LEFT(AZ72,2),Lists!$K$2:$K$38,0)),SUMPRODUCT(--ISERROR(FIND(MID(MID(AZ72,3,10),{1,2,3,4,5,10},1),"ABCDEFGHIJKLMNOPQRSTUVWXYZ")))=0,SUMPRODUCT(--ISERROR(FIND(MID(MID(AZ72,3,10),{6,7,8,9},1),"0123456789")))=0,ISNUMBER(FIND(MID(AZ72,13,1),"123456789ABCDEFGHIJKLMNOPQRSTUVWXYZ")),MID(AZ72,14,1)="Z")),"Wrong format",IF(MID("0123456789ABCDEFGHIJKLMNOPQRSTUVWXYZ",MOD(36-MOD(SUMPRODUCT(INT((FIND(MID(AZ72,{1,2,3,4,5,6,7,8,9,10,11,12,13,14},1),"0123456789ABCDEFGHIJKLMNOPQRSTUVWXYZ")-1)*{1,2,1,2,1,2,1,2,1,2,1,2,1,2}/36)+MOD((FIND(MID(AZ72,{1,2,3,4,5,6,7,8,9,10,11,12,13,14},1),"0123456789ABCDEFGHIJKLMNOPQRSTUVWXYZ")-1)*{1,2,1,2,1,2,1,2,1,2,1,2,1,2},36)),36),36)+1,1)=MID(AZ72,15,1),"OK","Typo? check digit wrong")),"Wrong format"))</f>
        <v/>
      </c>
      <c r="AW72" s="29">
        <f>IF(BA72="","",IF(AND(LEN(BA72)=10,SUMPRODUCT(--ISERROR(FIND(MID(BA72,{1,2,3,4,5,10},1),"ABCDEFGHIJKLMNOPQRSTUVWXYZ")))=0,SUMPRODUCT(--ISERROR(FIND(MID(BA72,{6,7,8,9},1),"0123456789")))=0),"OK","Wrong format"))</f>
        <v/>
      </c>
      <c r="AX72" s="29">
        <f>IF(TRIM(H72)="","",IF(AND(LEN(UPPER(TRIM(H72)))=10,SUMPRODUCT(--ISERROR(FIND(MID(UPPER(TRIM(H72)),{1,2,3,4,10},1),"ABCDEFGHIJKLMNOPQRSTUVWXYZ")))=0,SUMPRODUCT(--ISERROR(FIND(MID(UPPER(TRIM(H72)),{5,6,7,8,9},1),"0123456789")))=0),"OK","Wrong format"))</f>
        <v/>
      </c>
      <c r="AY72" s="30">
        <f>IF(NOT(COUNTA(A72:AE72)&gt;0),"",IF(BE72&lt;&gt;"","✖ "&amp;LEFT(BE72,LEN(BE72)-2),IF(BD72&gt;0,"✔ Ready — client + "&amp;BD72&amp;" service(s)","✔ Ready — client only")))</f>
        <v/>
      </c>
      <c r="AZ72" s="31">
        <f>UPPER(SUBSTITUTE(TRIM(F72)," ",""))</f>
        <v/>
      </c>
      <c r="BA72" s="31">
        <f>UPPER(SUBSTITUTE(TRIM(E72)," ",""))</f>
        <v/>
      </c>
      <c r="BB72" s="31">
        <f>IF(D72&lt;&gt;"",D72,IFERROR(VLOOKUP(MID(AS72,4,1),Lists!$E$2:$F$8,2,FALSE),""))</f>
        <v/>
      </c>
      <c r="BC72" s="31">
        <f>IFERROR(VLOOKUP(BB72,Lists!$A$2:$C$12,3,FALSE),"")</f>
        <v/>
      </c>
      <c r="BD72" s="31">
        <f>COUNTIF(W72:AC72,"Yes")</f>
        <v/>
      </c>
      <c r="BE72" s="31">
        <f>IF(TRIM(B72)="","Legal name missing; ","")&amp;IF(AND(AV72&lt;&gt;"",AV72&lt;&gt;"OK"),"GSTIN: "&amp;AV72&amp;"; ","")&amp;IF(AND(AW72&lt;&gt;"",AW72&lt;&gt;"OK"),"PAN wrong format; ","")&amp;IF(AND(BA72&lt;&gt;"",LEN(AZ72)=15,MID(AZ72,3,10)&lt;&gt;BA72),"PAN does not match GSTIN; ","")&amp;IF(AND(AX72&lt;&gt;"",AX72&lt;&gt;"OK"),"TAN wrong format; ","")&amp;IF(AS72="","PAN missing; ","")&amp;IF(BB72="","Entity type missing; ","")&amp;IF(AND(AZ72&lt;&gt;"",COUNTIF($AZ$6:$AZ$1005,AZ72)&gt;1),"GSTIN repeated in this sheet; ","")&amp;IF(AND(AS72&lt;&gt;"",COUNTIF($AS$6:$AS$1005,AS72)&gt;1),"PAN repeated in this sheet (same client? put extra GSTINs in Other GSTINs); ","")&amp;IF(AND(BD72&gt;0,V72=""),"Financial year missing; ","")&amp;IF(AND(BD72=0,V72&lt;&gt;""),"Financial year given but no service is Yes; ","")&amp;IF(AND(W72="Yes",AZ72=""),"GST needs a GSTIN; ","")&amp;IF(AND(W72="Yes",X72=""),"GST return frequency missing; ","")&amp;IF(AND(Y72="Yes",TRIM(H72)=""),"TDS needs a TAN; ","")&amp;IF(AND(AA72="Yes",BC72&lt;&gt;"",BC72&lt;&gt;"company",BC72&lt;&gt;"llp"),"ROC is only for a company / LLP; ","")&amp;IF(AND(AA72="Yes",OR(BC72="company",BC72="llp"),TRIM(I72)=""),"ROC needs the CIN / LLPIN; ","")&amp;IF((TRIM(AF72)="")&lt;&gt;(TRIM(AG72)=""),"GST login needs both user ID and password; ","")&amp;IF((TRIM(AH72)="")&lt;&gt;(TRIM(AI72)=""),"Income-tax login needs both user ID and password; ","")&amp;IF((TRIM(AJ72)="")&lt;&gt;(TRIM(AK72)=""),"Income-tax login needs both user ID and password; ","")&amp;IF((TRIM(AL72)="")&lt;&gt;(TRIM(AM72)=""),"TRACES login needs both user ID and password; ","")&amp;IF((TRIM(AN72)="")&lt;&gt;(TRIM(AO72)=""),"MCA login needs both user ID and password; ","")&amp;IF((TRIM(AP72)="")&lt;&gt;(TRIM(AQ72)=""),"E-way bill login needs both user ID and password; ","")</f>
        <v/>
      </c>
    </row>
    <row r="73">
      <c r="A73" s="32" t="n"/>
      <c r="B73" s="33" t="n"/>
      <c r="C73" s="33" t="n"/>
      <c r="D73" s="33" t="n"/>
      <c r="E73" s="32" t="n"/>
      <c r="F73" s="32" t="n"/>
      <c r="G73" s="32" t="n"/>
      <c r="H73" s="32" t="n"/>
      <c r="I73" s="32" t="n"/>
      <c r="J73" s="34" t="n"/>
      <c r="K73" s="33" t="n"/>
      <c r="L73" s="32" t="n"/>
      <c r="M73" s="33" t="n"/>
      <c r="N73" s="33" t="n"/>
      <c r="O73" s="33" t="n"/>
      <c r="P73" s="32" t="n"/>
      <c r="Q73" s="33" t="n"/>
      <c r="R73" s="33" t="n"/>
      <c r="S73" s="33" t="n"/>
      <c r="T73" s="33" t="n"/>
      <c r="U73" s="32" t="n"/>
      <c r="V73" s="33" t="n"/>
      <c r="W73" s="33" t="n"/>
      <c r="X73" s="33" t="n"/>
      <c r="Y73" s="33" t="n"/>
      <c r="Z73" s="33" t="n"/>
      <c r="AA73" s="33" t="n"/>
      <c r="AB73" s="33" t="n"/>
      <c r="AC73" s="33" t="n"/>
      <c r="AD73" s="33" t="n"/>
      <c r="AE73" s="33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2" t="n"/>
      <c r="AO73" s="32" t="n"/>
      <c r="AP73" s="32" t="n"/>
      <c r="AQ73" s="32" t="n"/>
      <c r="AR73" s="29">
        <f>IF(NOT(COUNTA(A73:AE73)&gt;0),"",IF(A73="","New client","Update"))</f>
        <v/>
      </c>
      <c r="AS73" s="29">
        <f>IF(BA73&lt;&gt;"",BA73,IF(LEN(AZ73)=15,MID(AZ73,3,10),""))</f>
        <v/>
      </c>
      <c r="AT73" s="29">
        <f>IF(BB73="","",BB73&amp;IF(D73="","  (guessed from PAN)",""))</f>
        <v/>
      </c>
      <c r="AU73" s="29">
        <f>IF(AZ73="","",IFERROR(INDEX(Lists!$L$2:$L$38,MATCH(LEFT(AZ73,2),Lists!$K$2:$K$38,0)),"Unknown code"))</f>
        <v/>
      </c>
      <c r="AV73" s="29">
        <f>IF(AZ73="","",IFERROR(IF(NOT(AND(LEN(AZ73)=15,ISNUMBER(MATCH(LEFT(AZ73,2),Lists!$K$2:$K$38,0)),SUMPRODUCT(--ISERROR(FIND(MID(MID(AZ73,3,10),{1,2,3,4,5,10},1),"ABCDEFGHIJKLMNOPQRSTUVWXYZ")))=0,SUMPRODUCT(--ISERROR(FIND(MID(MID(AZ73,3,10),{6,7,8,9},1),"0123456789")))=0,ISNUMBER(FIND(MID(AZ73,13,1),"123456789ABCDEFGHIJKLMNOPQRSTUVWXYZ")),MID(AZ73,14,1)="Z")),"Wrong format",IF(MID("0123456789ABCDEFGHIJKLMNOPQRSTUVWXYZ",MOD(36-MOD(SUMPRODUCT(INT((FIND(MID(AZ73,{1,2,3,4,5,6,7,8,9,10,11,12,13,14},1),"0123456789ABCDEFGHIJKLMNOPQRSTUVWXYZ")-1)*{1,2,1,2,1,2,1,2,1,2,1,2,1,2}/36)+MOD((FIND(MID(AZ73,{1,2,3,4,5,6,7,8,9,10,11,12,13,14},1),"0123456789ABCDEFGHIJKLMNOPQRSTUVWXYZ")-1)*{1,2,1,2,1,2,1,2,1,2,1,2,1,2},36)),36),36)+1,1)=MID(AZ73,15,1),"OK","Typo? check digit wrong")),"Wrong format"))</f>
        <v/>
      </c>
      <c r="AW73" s="29">
        <f>IF(BA73="","",IF(AND(LEN(BA73)=10,SUMPRODUCT(--ISERROR(FIND(MID(BA73,{1,2,3,4,5,10},1),"ABCDEFGHIJKLMNOPQRSTUVWXYZ")))=0,SUMPRODUCT(--ISERROR(FIND(MID(BA73,{6,7,8,9},1),"0123456789")))=0),"OK","Wrong format"))</f>
        <v/>
      </c>
      <c r="AX73" s="29">
        <f>IF(TRIM(H73)="","",IF(AND(LEN(UPPER(TRIM(H73)))=10,SUMPRODUCT(--ISERROR(FIND(MID(UPPER(TRIM(H73)),{1,2,3,4,10},1),"ABCDEFGHIJKLMNOPQRSTUVWXYZ")))=0,SUMPRODUCT(--ISERROR(FIND(MID(UPPER(TRIM(H73)),{5,6,7,8,9},1),"0123456789")))=0),"OK","Wrong format"))</f>
        <v/>
      </c>
      <c r="AY73" s="30">
        <f>IF(NOT(COUNTA(A73:AE73)&gt;0),"",IF(BE73&lt;&gt;"","✖ "&amp;LEFT(BE73,LEN(BE73)-2),IF(BD73&gt;0,"✔ Ready — client + "&amp;BD73&amp;" service(s)","✔ Ready — client only")))</f>
        <v/>
      </c>
      <c r="AZ73" s="31">
        <f>UPPER(SUBSTITUTE(TRIM(F73)," ",""))</f>
        <v/>
      </c>
      <c r="BA73" s="31">
        <f>UPPER(SUBSTITUTE(TRIM(E73)," ",""))</f>
        <v/>
      </c>
      <c r="BB73" s="31">
        <f>IF(D73&lt;&gt;"",D73,IFERROR(VLOOKUP(MID(AS73,4,1),Lists!$E$2:$F$8,2,FALSE),""))</f>
        <v/>
      </c>
      <c r="BC73" s="31">
        <f>IFERROR(VLOOKUP(BB73,Lists!$A$2:$C$12,3,FALSE),"")</f>
        <v/>
      </c>
      <c r="BD73" s="31">
        <f>COUNTIF(W73:AC73,"Yes")</f>
        <v/>
      </c>
      <c r="BE73" s="31">
        <f>IF(TRIM(B73)="","Legal name missing; ","")&amp;IF(AND(AV73&lt;&gt;"",AV73&lt;&gt;"OK"),"GSTIN: "&amp;AV73&amp;"; ","")&amp;IF(AND(AW73&lt;&gt;"",AW73&lt;&gt;"OK"),"PAN wrong format; ","")&amp;IF(AND(BA73&lt;&gt;"",LEN(AZ73)=15,MID(AZ73,3,10)&lt;&gt;BA73),"PAN does not match GSTIN; ","")&amp;IF(AND(AX73&lt;&gt;"",AX73&lt;&gt;"OK"),"TAN wrong format; ","")&amp;IF(AS73="","PAN missing; ","")&amp;IF(BB73="","Entity type missing; ","")&amp;IF(AND(AZ73&lt;&gt;"",COUNTIF($AZ$6:$AZ$1005,AZ73)&gt;1),"GSTIN repeated in this sheet; ","")&amp;IF(AND(AS73&lt;&gt;"",COUNTIF($AS$6:$AS$1005,AS73)&gt;1),"PAN repeated in this sheet (same client? put extra GSTINs in Other GSTINs); ","")&amp;IF(AND(BD73&gt;0,V73=""),"Financial year missing; ","")&amp;IF(AND(BD73=0,V73&lt;&gt;""),"Financial year given but no service is Yes; ","")&amp;IF(AND(W73="Yes",AZ73=""),"GST needs a GSTIN; ","")&amp;IF(AND(W73="Yes",X73=""),"GST return frequency missing; ","")&amp;IF(AND(Y73="Yes",TRIM(H73)=""),"TDS needs a TAN; ","")&amp;IF(AND(AA73="Yes",BC73&lt;&gt;"",BC73&lt;&gt;"company",BC73&lt;&gt;"llp"),"ROC is only for a company / LLP; ","")&amp;IF(AND(AA73="Yes",OR(BC73="company",BC73="llp"),TRIM(I73)=""),"ROC needs the CIN / LLPIN; ","")&amp;IF((TRIM(AF73)="")&lt;&gt;(TRIM(AG73)=""),"GST login needs both user ID and password; ","")&amp;IF((TRIM(AH73)="")&lt;&gt;(TRIM(AI73)=""),"Income-tax login needs both user ID and password; ","")&amp;IF((TRIM(AJ73)="")&lt;&gt;(TRIM(AK73)=""),"Income-tax login needs both user ID and password; ","")&amp;IF((TRIM(AL73)="")&lt;&gt;(TRIM(AM73)=""),"TRACES login needs both user ID and password; ","")&amp;IF((TRIM(AN73)="")&lt;&gt;(TRIM(AO73)=""),"MCA login needs both user ID and password; ","")&amp;IF((TRIM(AP73)="")&lt;&gt;(TRIM(AQ73)=""),"E-way bill login needs both user ID and password; ","")</f>
        <v/>
      </c>
    </row>
    <row r="74">
      <c r="A74" s="32" t="n"/>
      <c r="B74" s="33" t="n"/>
      <c r="C74" s="33" t="n"/>
      <c r="D74" s="33" t="n"/>
      <c r="E74" s="32" t="n"/>
      <c r="F74" s="32" t="n"/>
      <c r="G74" s="32" t="n"/>
      <c r="H74" s="32" t="n"/>
      <c r="I74" s="32" t="n"/>
      <c r="J74" s="34" t="n"/>
      <c r="K74" s="33" t="n"/>
      <c r="L74" s="32" t="n"/>
      <c r="M74" s="33" t="n"/>
      <c r="N74" s="33" t="n"/>
      <c r="O74" s="33" t="n"/>
      <c r="P74" s="32" t="n"/>
      <c r="Q74" s="33" t="n"/>
      <c r="R74" s="33" t="n"/>
      <c r="S74" s="33" t="n"/>
      <c r="T74" s="33" t="n"/>
      <c r="U74" s="32" t="n"/>
      <c r="V74" s="33" t="n"/>
      <c r="W74" s="33" t="n"/>
      <c r="X74" s="33" t="n"/>
      <c r="Y74" s="33" t="n"/>
      <c r="Z74" s="33" t="n"/>
      <c r="AA74" s="33" t="n"/>
      <c r="AB74" s="33" t="n"/>
      <c r="AC74" s="33" t="n"/>
      <c r="AD74" s="33" t="n"/>
      <c r="AE74" s="33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29">
        <f>IF(NOT(COUNTA(A74:AE74)&gt;0),"",IF(A74="","New client","Update"))</f>
        <v/>
      </c>
      <c r="AS74" s="29">
        <f>IF(BA74&lt;&gt;"",BA74,IF(LEN(AZ74)=15,MID(AZ74,3,10),""))</f>
        <v/>
      </c>
      <c r="AT74" s="29">
        <f>IF(BB74="","",BB74&amp;IF(D74="","  (guessed from PAN)",""))</f>
        <v/>
      </c>
      <c r="AU74" s="29">
        <f>IF(AZ74="","",IFERROR(INDEX(Lists!$L$2:$L$38,MATCH(LEFT(AZ74,2),Lists!$K$2:$K$38,0)),"Unknown code"))</f>
        <v/>
      </c>
      <c r="AV74" s="29">
        <f>IF(AZ74="","",IFERROR(IF(NOT(AND(LEN(AZ74)=15,ISNUMBER(MATCH(LEFT(AZ74,2),Lists!$K$2:$K$38,0)),SUMPRODUCT(--ISERROR(FIND(MID(MID(AZ74,3,10),{1,2,3,4,5,10},1),"ABCDEFGHIJKLMNOPQRSTUVWXYZ")))=0,SUMPRODUCT(--ISERROR(FIND(MID(MID(AZ74,3,10),{6,7,8,9},1),"0123456789")))=0,ISNUMBER(FIND(MID(AZ74,13,1),"123456789ABCDEFGHIJKLMNOPQRSTUVWXYZ")),MID(AZ74,14,1)="Z")),"Wrong format",IF(MID("0123456789ABCDEFGHIJKLMNOPQRSTUVWXYZ",MOD(36-MOD(SUMPRODUCT(INT((FIND(MID(AZ74,{1,2,3,4,5,6,7,8,9,10,11,12,13,14},1),"0123456789ABCDEFGHIJKLMNOPQRSTUVWXYZ")-1)*{1,2,1,2,1,2,1,2,1,2,1,2,1,2}/36)+MOD((FIND(MID(AZ74,{1,2,3,4,5,6,7,8,9,10,11,12,13,14},1),"0123456789ABCDEFGHIJKLMNOPQRSTUVWXYZ")-1)*{1,2,1,2,1,2,1,2,1,2,1,2,1,2},36)),36),36)+1,1)=MID(AZ74,15,1),"OK","Typo? check digit wrong")),"Wrong format"))</f>
        <v/>
      </c>
      <c r="AW74" s="29">
        <f>IF(BA74="","",IF(AND(LEN(BA74)=10,SUMPRODUCT(--ISERROR(FIND(MID(BA74,{1,2,3,4,5,10},1),"ABCDEFGHIJKLMNOPQRSTUVWXYZ")))=0,SUMPRODUCT(--ISERROR(FIND(MID(BA74,{6,7,8,9},1),"0123456789")))=0),"OK","Wrong format"))</f>
        <v/>
      </c>
      <c r="AX74" s="29">
        <f>IF(TRIM(H74)="","",IF(AND(LEN(UPPER(TRIM(H74)))=10,SUMPRODUCT(--ISERROR(FIND(MID(UPPER(TRIM(H74)),{1,2,3,4,10},1),"ABCDEFGHIJKLMNOPQRSTUVWXYZ")))=0,SUMPRODUCT(--ISERROR(FIND(MID(UPPER(TRIM(H74)),{5,6,7,8,9},1),"0123456789")))=0),"OK","Wrong format"))</f>
        <v/>
      </c>
      <c r="AY74" s="30">
        <f>IF(NOT(COUNTA(A74:AE74)&gt;0),"",IF(BE74&lt;&gt;"","✖ "&amp;LEFT(BE74,LEN(BE74)-2),IF(BD74&gt;0,"✔ Ready — client + "&amp;BD74&amp;" service(s)","✔ Ready — client only")))</f>
        <v/>
      </c>
      <c r="AZ74" s="31">
        <f>UPPER(SUBSTITUTE(TRIM(F74)," ",""))</f>
        <v/>
      </c>
      <c r="BA74" s="31">
        <f>UPPER(SUBSTITUTE(TRIM(E74)," ",""))</f>
        <v/>
      </c>
      <c r="BB74" s="31">
        <f>IF(D74&lt;&gt;"",D74,IFERROR(VLOOKUP(MID(AS74,4,1),Lists!$E$2:$F$8,2,FALSE),""))</f>
        <v/>
      </c>
      <c r="BC74" s="31">
        <f>IFERROR(VLOOKUP(BB74,Lists!$A$2:$C$12,3,FALSE),"")</f>
        <v/>
      </c>
      <c r="BD74" s="31">
        <f>COUNTIF(W74:AC74,"Yes")</f>
        <v/>
      </c>
      <c r="BE74" s="31">
        <f>IF(TRIM(B74)="","Legal name missing; ","")&amp;IF(AND(AV74&lt;&gt;"",AV74&lt;&gt;"OK"),"GSTIN: "&amp;AV74&amp;"; ","")&amp;IF(AND(AW74&lt;&gt;"",AW74&lt;&gt;"OK"),"PAN wrong format; ","")&amp;IF(AND(BA74&lt;&gt;"",LEN(AZ74)=15,MID(AZ74,3,10)&lt;&gt;BA74),"PAN does not match GSTIN; ","")&amp;IF(AND(AX74&lt;&gt;"",AX74&lt;&gt;"OK"),"TAN wrong format; ","")&amp;IF(AS74="","PAN missing; ","")&amp;IF(BB74="","Entity type missing; ","")&amp;IF(AND(AZ74&lt;&gt;"",COUNTIF($AZ$6:$AZ$1005,AZ74)&gt;1),"GSTIN repeated in this sheet; ","")&amp;IF(AND(AS74&lt;&gt;"",COUNTIF($AS$6:$AS$1005,AS74)&gt;1),"PAN repeated in this sheet (same client? put extra GSTINs in Other GSTINs); ","")&amp;IF(AND(BD74&gt;0,V74=""),"Financial year missing; ","")&amp;IF(AND(BD74=0,V74&lt;&gt;""),"Financial year given but no service is Yes; ","")&amp;IF(AND(W74="Yes",AZ74=""),"GST needs a GSTIN; ","")&amp;IF(AND(W74="Yes",X74=""),"GST return frequency missing; ","")&amp;IF(AND(Y74="Yes",TRIM(H74)=""),"TDS needs a TAN; ","")&amp;IF(AND(AA74="Yes",BC74&lt;&gt;"",BC74&lt;&gt;"company",BC74&lt;&gt;"llp"),"ROC is only for a company / LLP; ","")&amp;IF(AND(AA74="Yes",OR(BC74="company",BC74="llp"),TRIM(I74)=""),"ROC needs the CIN / LLPIN; ","")&amp;IF((TRIM(AF74)="")&lt;&gt;(TRIM(AG74)=""),"GST login needs both user ID and password; ","")&amp;IF((TRIM(AH74)="")&lt;&gt;(TRIM(AI74)=""),"Income-tax login needs both user ID and password; ","")&amp;IF((TRIM(AJ74)="")&lt;&gt;(TRIM(AK74)=""),"Income-tax login needs both user ID and password; ","")&amp;IF((TRIM(AL74)="")&lt;&gt;(TRIM(AM74)=""),"TRACES login needs both user ID and password; ","")&amp;IF((TRIM(AN74)="")&lt;&gt;(TRIM(AO74)=""),"MCA login needs both user ID and password; ","")&amp;IF((TRIM(AP74)="")&lt;&gt;(TRIM(AQ74)=""),"E-way bill login needs both user ID and password; ","")</f>
        <v/>
      </c>
    </row>
    <row r="75">
      <c r="A75" s="32" t="n"/>
      <c r="B75" s="33" t="n"/>
      <c r="C75" s="33" t="n"/>
      <c r="D75" s="33" t="n"/>
      <c r="E75" s="32" t="n"/>
      <c r="F75" s="32" t="n"/>
      <c r="G75" s="32" t="n"/>
      <c r="H75" s="32" t="n"/>
      <c r="I75" s="32" t="n"/>
      <c r="J75" s="34" t="n"/>
      <c r="K75" s="33" t="n"/>
      <c r="L75" s="32" t="n"/>
      <c r="M75" s="33" t="n"/>
      <c r="N75" s="33" t="n"/>
      <c r="O75" s="33" t="n"/>
      <c r="P75" s="32" t="n"/>
      <c r="Q75" s="33" t="n"/>
      <c r="R75" s="33" t="n"/>
      <c r="S75" s="33" t="n"/>
      <c r="T75" s="33" t="n"/>
      <c r="U75" s="32" t="n"/>
      <c r="V75" s="33" t="n"/>
      <c r="W75" s="33" t="n"/>
      <c r="X75" s="33" t="n"/>
      <c r="Y75" s="33" t="n"/>
      <c r="Z75" s="33" t="n"/>
      <c r="AA75" s="33" t="n"/>
      <c r="AB75" s="33" t="n"/>
      <c r="AC75" s="33" t="n"/>
      <c r="AD75" s="33" t="n"/>
      <c r="AE75" s="33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2" t="n"/>
      <c r="AO75" s="32" t="n"/>
      <c r="AP75" s="32" t="n"/>
      <c r="AQ75" s="32" t="n"/>
      <c r="AR75" s="29">
        <f>IF(NOT(COUNTA(A75:AE75)&gt;0),"",IF(A75="","New client","Update"))</f>
        <v/>
      </c>
      <c r="AS75" s="29">
        <f>IF(BA75&lt;&gt;"",BA75,IF(LEN(AZ75)=15,MID(AZ75,3,10),""))</f>
        <v/>
      </c>
      <c r="AT75" s="29">
        <f>IF(BB75="","",BB75&amp;IF(D75="","  (guessed from PAN)",""))</f>
        <v/>
      </c>
      <c r="AU75" s="29">
        <f>IF(AZ75="","",IFERROR(INDEX(Lists!$L$2:$L$38,MATCH(LEFT(AZ75,2),Lists!$K$2:$K$38,0)),"Unknown code"))</f>
        <v/>
      </c>
      <c r="AV75" s="29">
        <f>IF(AZ75="","",IFERROR(IF(NOT(AND(LEN(AZ75)=15,ISNUMBER(MATCH(LEFT(AZ75,2),Lists!$K$2:$K$38,0)),SUMPRODUCT(--ISERROR(FIND(MID(MID(AZ75,3,10),{1,2,3,4,5,10},1),"ABCDEFGHIJKLMNOPQRSTUVWXYZ")))=0,SUMPRODUCT(--ISERROR(FIND(MID(MID(AZ75,3,10),{6,7,8,9},1),"0123456789")))=0,ISNUMBER(FIND(MID(AZ75,13,1),"123456789ABCDEFGHIJKLMNOPQRSTUVWXYZ")),MID(AZ75,14,1)="Z")),"Wrong format",IF(MID("0123456789ABCDEFGHIJKLMNOPQRSTUVWXYZ",MOD(36-MOD(SUMPRODUCT(INT((FIND(MID(AZ75,{1,2,3,4,5,6,7,8,9,10,11,12,13,14},1),"0123456789ABCDEFGHIJKLMNOPQRSTUVWXYZ")-1)*{1,2,1,2,1,2,1,2,1,2,1,2,1,2}/36)+MOD((FIND(MID(AZ75,{1,2,3,4,5,6,7,8,9,10,11,12,13,14},1),"0123456789ABCDEFGHIJKLMNOPQRSTUVWXYZ")-1)*{1,2,1,2,1,2,1,2,1,2,1,2,1,2},36)),36),36)+1,1)=MID(AZ75,15,1),"OK","Typo? check digit wrong")),"Wrong format"))</f>
        <v/>
      </c>
      <c r="AW75" s="29">
        <f>IF(BA75="","",IF(AND(LEN(BA75)=10,SUMPRODUCT(--ISERROR(FIND(MID(BA75,{1,2,3,4,5,10},1),"ABCDEFGHIJKLMNOPQRSTUVWXYZ")))=0,SUMPRODUCT(--ISERROR(FIND(MID(BA75,{6,7,8,9},1),"0123456789")))=0),"OK","Wrong format"))</f>
        <v/>
      </c>
      <c r="AX75" s="29">
        <f>IF(TRIM(H75)="","",IF(AND(LEN(UPPER(TRIM(H75)))=10,SUMPRODUCT(--ISERROR(FIND(MID(UPPER(TRIM(H75)),{1,2,3,4,10},1),"ABCDEFGHIJKLMNOPQRSTUVWXYZ")))=0,SUMPRODUCT(--ISERROR(FIND(MID(UPPER(TRIM(H75)),{5,6,7,8,9},1),"0123456789")))=0),"OK","Wrong format"))</f>
        <v/>
      </c>
      <c r="AY75" s="30">
        <f>IF(NOT(COUNTA(A75:AE75)&gt;0),"",IF(BE75&lt;&gt;"","✖ "&amp;LEFT(BE75,LEN(BE75)-2),IF(BD75&gt;0,"✔ Ready — client + "&amp;BD75&amp;" service(s)","✔ Ready — client only")))</f>
        <v/>
      </c>
      <c r="AZ75" s="31">
        <f>UPPER(SUBSTITUTE(TRIM(F75)," ",""))</f>
        <v/>
      </c>
      <c r="BA75" s="31">
        <f>UPPER(SUBSTITUTE(TRIM(E75)," ",""))</f>
        <v/>
      </c>
      <c r="BB75" s="31">
        <f>IF(D75&lt;&gt;"",D75,IFERROR(VLOOKUP(MID(AS75,4,1),Lists!$E$2:$F$8,2,FALSE),""))</f>
        <v/>
      </c>
      <c r="BC75" s="31">
        <f>IFERROR(VLOOKUP(BB75,Lists!$A$2:$C$12,3,FALSE),"")</f>
        <v/>
      </c>
      <c r="BD75" s="31">
        <f>COUNTIF(W75:AC75,"Yes")</f>
        <v/>
      </c>
      <c r="BE75" s="31">
        <f>IF(TRIM(B75)="","Legal name missing; ","")&amp;IF(AND(AV75&lt;&gt;"",AV75&lt;&gt;"OK"),"GSTIN: "&amp;AV75&amp;"; ","")&amp;IF(AND(AW75&lt;&gt;"",AW75&lt;&gt;"OK"),"PAN wrong format; ","")&amp;IF(AND(BA75&lt;&gt;"",LEN(AZ75)=15,MID(AZ75,3,10)&lt;&gt;BA75),"PAN does not match GSTIN; ","")&amp;IF(AND(AX75&lt;&gt;"",AX75&lt;&gt;"OK"),"TAN wrong format; ","")&amp;IF(AS75="","PAN missing; ","")&amp;IF(BB75="","Entity type missing; ","")&amp;IF(AND(AZ75&lt;&gt;"",COUNTIF($AZ$6:$AZ$1005,AZ75)&gt;1),"GSTIN repeated in this sheet; ","")&amp;IF(AND(AS75&lt;&gt;"",COUNTIF($AS$6:$AS$1005,AS75)&gt;1),"PAN repeated in this sheet (same client? put extra GSTINs in Other GSTINs); ","")&amp;IF(AND(BD75&gt;0,V75=""),"Financial year missing; ","")&amp;IF(AND(BD75=0,V75&lt;&gt;""),"Financial year given but no service is Yes; ","")&amp;IF(AND(W75="Yes",AZ75=""),"GST needs a GSTIN; ","")&amp;IF(AND(W75="Yes",X75=""),"GST return frequency missing; ","")&amp;IF(AND(Y75="Yes",TRIM(H75)=""),"TDS needs a TAN; ","")&amp;IF(AND(AA75="Yes",BC75&lt;&gt;"",BC75&lt;&gt;"company",BC75&lt;&gt;"llp"),"ROC is only for a company / LLP; ","")&amp;IF(AND(AA75="Yes",OR(BC75="company",BC75="llp"),TRIM(I75)=""),"ROC needs the CIN / LLPIN; ","")&amp;IF((TRIM(AF75)="")&lt;&gt;(TRIM(AG75)=""),"GST login needs both user ID and password; ","")&amp;IF((TRIM(AH75)="")&lt;&gt;(TRIM(AI75)=""),"Income-tax login needs both user ID and password; ","")&amp;IF((TRIM(AJ75)="")&lt;&gt;(TRIM(AK75)=""),"Income-tax login needs both user ID and password; ","")&amp;IF((TRIM(AL75)="")&lt;&gt;(TRIM(AM75)=""),"TRACES login needs both user ID and password; ","")&amp;IF((TRIM(AN75)="")&lt;&gt;(TRIM(AO75)=""),"MCA login needs both user ID and password; ","")&amp;IF((TRIM(AP75)="")&lt;&gt;(TRIM(AQ75)=""),"E-way bill login needs both user ID and password; ","")</f>
        <v/>
      </c>
    </row>
    <row r="76">
      <c r="A76" s="32" t="n"/>
      <c r="B76" s="33" t="n"/>
      <c r="C76" s="33" t="n"/>
      <c r="D76" s="33" t="n"/>
      <c r="E76" s="32" t="n"/>
      <c r="F76" s="32" t="n"/>
      <c r="G76" s="32" t="n"/>
      <c r="H76" s="32" t="n"/>
      <c r="I76" s="32" t="n"/>
      <c r="J76" s="34" t="n"/>
      <c r="K76" s="33" t="n"/>
      <c r="L76" s="32" t="n"/>
      <c r="M76" s="33" t="n"/>
      <c r="N76" s="33" t="n"/>
      <c r="O76" s="33" t="n"/>
      <c r="P76" s="32" t="n"/>
      <c r="Q76" s="33" t="n"/>
      <c r="R76" s="33" t="n"/>
      <c r="S76" s="33" t="n"/>
      <c r="T76" s="33" t="n"/>
      <c r="U76" s="32" t="n"/>
      <c r="V76" s="33" t="n"/>
      <c r="W76" s="33" t="n"/>
      <c r="X76" s="33" t="n"/>
      <c r="Y76" s="33" t="n"/>
      <c r="Z76" s="33" t="n"/>
      <c r="AA76" s="33" t="n"/>
      <c r="AB76" s="33" t="n"/>
      <c r="AC76" s="33" t="n"/>
      <c r="AD76" s="33" t="n"/>
      <c r="AE76" s="33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2" t="n"/>
      <c r="AO76" s="32" t="n"/>
      <c r="AP76" s="32" t="n"/>
      <c r="AQ76" s="32" t="n"/>
      <c r="AR76" s="29">
        <f>IF(NOT(COUNTA(A76:AE76)&gt;0),"",IF(A76="","New client","Update"))</f>
        <v/>
      </c>
      <c r="AS76" s="29">
        <f>IF(BA76&lt;&gt;"",BA76,IF(LEN(AZ76)=15,MID(AZ76,3,10),""))</f>
        <v/>
      </c>
      <c r="AT76" s="29">
        <f>IF(BB76="","",BB76&amp;IF(D76="","  (guessed from PAN)",""))</f>
        <v/>
      </c>
      <c r="AU76" s="29">
        <f>IF(AZ76="","",IFERROR(INDEX(Lists!$L$2:$L$38,MATCH(LEFT(AZ76,2),Lists!$K$2:$K$38,0)),"Unknown code"))</f>
        <v/>
      </c>
      <c r="AV76" s="29">
        <f>IF(AZ76="","",IFERROR(IF(NOT(AND(LEN(AZ76)=15,ISNUMBER(MATCH(LEFT(AZ76,2),Lists!$K$2:$K$38,0)),SUMPRODUCT(--ISERROR(FIND(MID(MID(AZ76,3,10),{1,2,3,4,5,10},1),"ABCDEFGHIJKLMNOPQRSTUVWXYZ")))=0,SUMPRODUCT(--ISERROR(FIND(MID(MID(AZ76,3,10),{6,7,8,9},1),"0123456789")))=0,ISNUMBER(FIND(MID(AZ76,13,1),"123456789ABCDEFGHIJKLMNOPQRSTUVWXYZ")),MID(AZ76,14,1)="Z")),"Wrong format",IF(MID("0123456789ABCDEFGHIJKLMNOPQRSTUVWXYZ",MOD(36-MOD(SUMPRODUCT(INT((FIND(MID(AZ76,{1,2,3,4,5,6,7,8,9,10,11,12,13,14},1),"0123456789ABCDEFGHIJKLMNOPQRSTUVWXYZ")-1)*{1,2,1,2,1,2,1,2,1,2,1,2,1,2}/36)+MOD((FIND(MID(AZ76,{1,2,3,4,5,6,7,8,9,10,11,12,13,14},1),"0123456789ABCDEFGHIJKLMNOPQRSTUVWXYZ")-1)*{1,2,1,2,1,2,1,2,1,2,1,2,1,2},36)),36),36)+1,1)=MID(AZ76,15,1),"OK","Typo? check digit wrong")),"Wrong format"))</f>
        <v/>
      </c>
      <c r="AW76" s="29">
        <f>IF(BA76="","",IF(AND(LEN(BA76)=10,SUMPRODUCT(--ISERROR(FIND(MID(BA76,{1,2,3,4,5,10},1),"ABCDEFGHIJKLMNOPQRSTUVWXYZ")))=0,SUMPRODUCT(--ISERROR(FIND(MID(BA76,{6,7,8,9},1),"0123456789")))=0),"OK","Wrong format"))</f>
        <v/>
      </c>
      <c r="AX76" s="29">
        <f>IF(TRIM(H76)="","",IF(AND(LEN(UPPER(TRIM(H76)))=10,SUMPRODUCT(--ISERROR(FIND(MID(UPPER(TRIM(H76)),{1,2,3,4,10},1),"ABCDEFGHIJKLMNOPQRSTUVWXYZ")))=0,SUMPRODUCT(--ISERROR(FIND(MID(UPPER(TRIM(H76)),{5,6,7,8,9},1),"0123456789")))=0),"OK","Wrong format"))</f>
        <v/>
      </c>
      <c r="AY76" s="30">
        <f>IF(NOT(COUNTA(A76:AE76)&gt;0),"",IF(BE76&lt;&gt;"","✖ "&amp;LEFT(BE76,LEN(BE76)-2),IF(BD76&gt;0,"✔ Ready — client + "&amp;BD76&amp;" service(s)","✔ Ready — client only")))</f>
        <v/>
      </c>
      <c r="AZ76" s="31">
        <f>UPPER(SUBSTITUTE(TRIM(F76)," ",""))</f>
        <v/>
      </c>
      <c r="BA76" s="31">
        <f>UPPER(SUBSTITUTE(TRIM(E76)," ",""))</f>
        <v/>
      </c>
      <c r="BB76" s="31">
        <f>IF(D76&lt;&gt;"",D76,IFERROR(VLOOKUP(MID(AS76,4,1),Lists!$E$2:$F$8,2,FALSE),""))</f>
        <v/>
      </c>
      <c r="BC76" s="31">
        <f>IFERROR(VLOOKUP(BB76,Lists!$A$2:$C$12,3,FALSE),"")</f>
        <v/>
      </c>
      <c r="BD76" s="31">
        <f>COUNTIF(W76:AC76,"Yes")</f>
        <v/>
      </c>
      <c r="BE76" s="31">
        <f>IF(TRIM(B76)="","Legal name missing; ","")&amp;IF(AND(AV76&lt;&gt;"",AV76&lt;&gt;"OK"),"GSTIN: "&amp;AV76&amp;"; ","")&amp;IF(AND(AW76&lt;&gt;"",AW76&lt;&gt;"OK"),"PAN wrong format; ","")&amp;IF(AND(BA76&lt;&gt;"",LEN(AZ76)=15,MID(AZ76,3,10)&lt;&gt;BA76),"PAN does not match GSTIN; ","")&amp;IF(AND(AX76&lt;&gt;"",AX76&lt;&gt;"OK"),"TAN wrong format; ","")&amp;IF(AS76="","PAN missing; ","")&amp;IF(BB76="","Entity type missing; ","")&amp;IF(AND(AZ76&lt;&gt;"",COUNTIF($AZ$6:$AZ$1005,AZ76)&gt;1),"GSTIN repeated in this sheet; ","")&amp;IF(AND(AS76&lt;&gt;"",COUNTIF($AS$6:$AS$1005,AS76)&gt;1),"PAN repeated in this sheet (same client? put extra GSTINs in Other GSTINs); ","")&amp;IF(AND(BD76&gt;0,V76=""),"Financial year missing; ","")&amp;IF(AND(BD76=0,V76&lt;&gt;""),"Financial year given but no service is Yes; ","")&amp;IF(AND(W76="Yes",AZ76=""),"GST needs a GSTIN; ","")&amp;IF(AND(W76="Yes",X76=""),"GST return frequency missing; ","")&amp;IF(AND(Y76="Yes",TRIM(H76)=""),"TDS needs a TAN; ","")&amp;IF(AND(AA76="Yes",BC76&lt;&gt;"",BC76&lt;&gt;"company",BC76&lt;&gt;"llp"),"ROC is only for a company / LLP; ","")&amp;IF(AND(AA76="Yes",OR(BC76="company",BC76="llp"),TRIM(I76)=""),"ROC needs the CIN / LLPIN; ","")&amp;IF((TRIM(AF76)="")&lt;&gt;(TRIM(AG76)=""),"GST login needs both user ID and password; ","")&amp;IF((TRIM(AH76)="")&lt;&gt;(TRIM(AI76)=""),"Income-tax login needs both user ID and password; ","")&amp;IF((TRIM(AJ76)="")&lt;&gt;(TRIM(AK76)=""),"Income-tax login needs both user ID and password; ","")&amp;IF((TRIM(AL76)="")&lt;&gt;(TRIM(AM76)=""),"TRACES login needs both user ID and password; ","")&amp;IF((TRIM(AN76)="")&lt;&gt;(TRIM(AO76)=""),"MCA login needs both user ID and password; ","")&amp;IF((TRIM(AP76)="")&lt;&gt;(TRIM(AQ76)=""),"E-way bill login needs both user ID and password; ","")</f>
        <v/>
      </c>
    </row>
    <row r="77">
      <c r="A77" s="32" t="n"/>
      <c r="B77" s="33" t="n"/>
      <c r="C77" s="33" t="n"/>
      <c r="D77" s="33" t="n"/>
      <c r="E77" s="32" t="n"/>
      <c r="F77" s="32" t="n"/>
      <c r="G77" s="32" t="n"/>
      <c r="H77" s="32" t="n"/>
      <c r="I77" s="32" t="n"/>
      <c r="J77" s="34" t="n"/>
      <c r="K77" s="33" t="n"/>
      <c r="L77" s="32" t="n"/>
      <c r="M77" s="33" t="n"/>
      <c r="N77" s="33" t="n"/>
      <c r="O77" s="33" t="n"/>
      <c r="P77" s="32" t="n"/>
      <c r="Q77" s="33" t="n"/>
      <c r="R77" s="33" t="n"/>
      <c r="S77" s="33" t="n"/>
      <c r="T77" s="33" t="n"/>
      <c r="U77" s="32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33" t="n"/>
      <c r="AE77" s="33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29">
        <f>IF(NOT(COUNTA(A77:AE77)&gt;0),"",IF(A77="","New client","Update"))</f>
        <v/>
      </c>
      <c r="AS77" s="29">
        <f>IF(BA77&lt;&gt;"",BA77,IF(LEN(AZ77)=15,MID(AZ77,3,10),""))</f>
        <v/>
      </c>
      <c r="AT77" s="29">
        <f>IF(BB77="","",BB77&amp;IF(D77="","  (guessed from PAN)",""))</f>
        <v/>
      </c>
      <c r="AU77" s="29">
        <f>IF(AZ77="","",IFERROR(INDEX(Lists!$L$2:$L$38,MATCH(LEFT(AZ77,2),Lists!$K$2:$K$38,0)),"Unknown code"))</f>
        <v/>
      </c>
      <c r="AV77" s="29">
        <f>IF(AZ77="","",IFERROR(IF(NOT(AND(LEN(AZ77)=15,ISNUMBER(MATCH(LEFT(AZ77,2),Lists!$K$2:$K$38,0)),SUMPRODUCT(--ISERROR(FIND(MID(MID(AZ77,3,10),{1,2,3,4,5,10},1),"ABCDEFGHIJKLMNOPQRSTUVWXYZ")))=0,SUMPRODUCT(--ISERROR(FIND(MID(MID(AZ77,3,10),{6,7,8,9},1),"0123456789")))=0,ISNUMBER(FIND(MID(AZ77,13,1),"123456789ABCDEFGHIJKLMNOPQRSTUVWXYZ")),MID(AZ77,14,1)="Z")),"Wrong format",IF(MID("0123456789ABCDEFGHIJKLMNOPQRSTUVWXYZ",MOD(36-MOD(SUMPRODUCT(INT((FIND(MID(AZ77,{1,2,3,4,5,6,7,8,9,10,11,12,13,14},1),"0123456789ABCDEFGHIJKLMNOPQRSTUVWXYZ")-1)*{1,2,1,2,1,2,1,2,1,2,1,2,1,2}/36)+MOD((FIND(MID(AZ77,{1,2,3,4,5,6,7,8,9,10,11,12,13,14},1),"0123456789ABCDEFGHIJKLMNOPQRSTUVWXYZ")-1)*{1,2,1,2,1,2,1,2,1,2,1,2,1,2},36)),36),36)+1,1)=MID(AZ77,15,1),"OK","Typo? check digit wrong")),"Wrong format"))</f>
        <v/>
      </c>
      <c r="AW77" s="29">
        <f>IF(BA77="","",IF(AND(LEN(BA77)=10,SUMPRODUCT(--ISERROR(FIND(MID(BA77,{1,2,3,4,5,10},1),"ABCDEFGHIJKLMNOPQRSTUVWXYZ")))=0,SUMPRODUCT(--ISERROR(FIND(MID(BA77,{6,7,8,9},1),"0123456789")))=0),"OK","Wrong format"))</f>
        <v/>
      </c>
      <c r="AX77" s="29">
        <f>IF(TRIM(H77)="","",IF(AND(LEN(UPPER(TRIM(H77)))=10,SUMPRODUCT(--ISERROR(FIND(MID(UPPER(TRIM(H77)),{1,2,3,4,10},1),"ABCDEFGHIJKLMNOPQRSTUVWXYZ")))=0,SUMPRODUCT(--ISERROR(FIND(MID(UPPER(TRIM(H77)),{5,6,7,8,9},1),"0123456789")))=0),"OK","Wrong format"))</f>
        <v/>
      </c>
      <c r="AY77" s="30">
        <f>IF(NOT(COUNTA(A77:AE77)&gt;0),"",IF(BE77&lt;&gt;"","✖ "&amp;LEFT(BE77,LEN(BE77)-2),IF(BD77&gt;0,"✔ Ready — client + "&amp;BD77&amp;" service(s)","✔ Ready — client only")))</f>
        <v/>
      </c>
      <c r="AZ77" s="31">
        <f>UPPER(SUBSTITUTE(TRIM(F77)," ",""))</f>
        <v/>
      </c>
      <c r="BA77" s="31">
        <f>UPPER(SUBSTITUTE(TRIM(E77)," ",""))</f>
        <v/>
      </c>
      <c r="BB77" s="31">
        <f>IF(D77&lt;&gt;"",D77,IFERROR(VLOOKUP(MID(AS77,4,1),Lists!$E$2:$F$8,2,FALSE),""))</f>
        <v/>
      </c>
      <c r="BC77" s="31">
        <f>IFERROR(VLOOKUP(BB77,Lists!$A$2:$C$12,3,FALSE),"")</f>
        <v/>
      </c>
      <c r="BD77" s="31">
        <f>COUNTIF(W77:AC77,"Yes")</f>
        <v/>
      </c>
      <c r="BE77" s="31">
        <f>IF(TRIM(B77)="","Legal name missing; ","")&amp;IF(AND(AV77&lt;&gt;"",AV77&lt;&gt;"OK"),"GSTIN: "&amp;AV77&amp;"; ","")&amp;IF(AND(AW77&lt;&gt;"",AW77&lt;&gt;"OK"),"PAN wrong format; ","")&amp;IF(AND(BA77&lt;&gt;"",LEN(AZ77)=15,MID(AZ77,3,10)&lt;&gt;BA77),"PAN does not match GSTIN; ","")&amp;IF(AND(AX77&lt;&gt;"",AX77&lt;&gt;"OK"),"TAN wrong format; ","")&amp;IF(AS77="","PAN missing; ","")&amp;IF(BB77="","Entity type missing; ","")&amp;IF(AND(AZ77&lt;&gt;"",COUNTIF($AZ$6:$AZ$1005,AZ77)&gt;1),"GSTIN repeated in this sheet; ","")&amp;IF(AND(AS77&lt;&gt;"",COUNTIF($AS$6:$AS$1005,AS77)&gt;1),"PAN repeated in this sheet (same client? put extra GSTINs in Other GSTINs); ","")&amp;IF(AND(BD77&gt;0,V77=""),"Financial year missing; ","")&amp;IF(AND(BD77=0,V77&lt;&gt;""),"Financial year given but no service is Yes; ","")&amp;IF(AND(W77="Yes",AZ77=""),"GST needs a GSTIN; ","")&amp;IF(AND(W77="Yes",X77=""),"GST return frequency missing; ","")&amp;IF(AND(Y77="Yes",TRIM(H77)=""),"TDS needs a TAN; ","")&amp;IF(AND(AA77="Yes",BC77&lt;&gt;"",BC77&lt;&gt;"company",BC77&lt;&gt;"llp"),"ROC is only for a company / LLP; ","")&amp;IF(AND(AA77="Yes",OR(BC77="company",BC77="llp"),TRIM(I77)=""),"ROC needs the CIN / LLPIN; ","")&amp;IF((TRIM(AF77)="")&lt;&gt;(TRIM(AG77)=""),"GST login needs both user ID and password; ","")&amp;IF((TRIM(AH77)="")&lt;&gt;(TRIM(AI77)=""),"Income-tax login needs both user ID and password; ","")&amp;IF((TRIM(AJ77)="")&lt;&gt;(TRIM(AK77)=""),"Income-tax login needs both user ID and password; ","")&amp;IF((TRIM(AL77)="")&lt;&gt;(TRIM(AM77)=""),"TRACES login needs both user ID and password; ","")&amp;IF((TRIM(AN77)="")&lt;&gt;(TRIM(AO77)=""),"MCA login needs both user ID and password; ","")&amp;IF((TRIM(AP77)="")&lt;&gt;(TRIM(AQ77)=""),"E-way bill login needs both user ID and password; ","")</f>
        <v/>
      </c>
    </row>
    <row r="78">
      <c r="A78" s="32" t="n"/>
      <c r="B78" s="33" t="n"/>
      <c r="C78" s="33" t="n"/>
      <c r="D78" s="33" t="n"/>
      <c r="E78" s="32" t="n"/>
      <c r="F78" s="32" t="n"/>
      <c r="G78" s="32" t="n"/>
      <c r="H78" s="32" t="n"/>
      <c r="I78" s="32" t="n"/>
      <c r="J78" s="34" t="n"/>
      <c r="K78" s="33" t="n"/>
      <c r="L78" s="32" t="n"/>
      <c r="M78" s="33" t="n"/>
      <c r="N78" s="33" t="n"/>
      <c r="O78" s="33" t="n"/>
      <c r="P78" s="32" t="n"/>
      <c r="Q78" s="33" t="n"/>
      <c r="R78" s="33" t="n"/>
      <c r="S78" s="33" t="n"/>
      <c r="T78" s="33" t="n"/>
      <c r="U78" s="32" t="n"/>
      <c r="V78" s="33" t="n"/>
      <c r="W78" s="33" t="n"/>
      <c r="X78" s="33" t="n"/>
      <c r="Y78" s="33" t="n"/>
      <c r="Z78" s="33" t="n"/>
      <c r="AA78" s="33" t="n"/>
      <c r="AB78" s="33" t="n"/>
      <c r="AC78" s="33" t="n"/>
      <c r="AD78" s="33" t="n"/>
      <c r="AE78" s="33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2" t="n"/>
      <c r="AO78" s="32" t="n"/>
      <c r="AP78" s="32" t="n"/>
      <c r="AQ78" s="32" t="n"/>
      <c r="AR78" s="29">
        <f>IF(NOT(COUNTA(A78:AE78)&gt;0),"",IF(A78="","New client","Update"))</f>
        <v/>
      </c>
      <c r="AS78" s="29">
        <f>IF(BA78&lt;&gt;"",BA78,IF(LEN(AZ78)=15,MID(AZ78,3,10),""))</f>
        <v/>
      </c>
      <c r="AT78" s="29">
        <f>IF(BB78="","",BB78&amp;IF(D78="","  (guessed from PAN)",""))</f>
        <v/>
      </c>
      <c r="AU78" s="29">
        <f>IF(AZ78="","",IFERROR(INDEX(Lists!$L$2:$L$38,MATCH(LEFT(AZ78,2),Lists!$K$2:$K$38,0)),"Unknown code"))</f>
        <v/>
      </c>
      <c r="AV78" s="29">
        <f>IF(AZ78="","",IFERROR(IF(NOT(AND(LEN(AZ78)=15,ISNUMBER(MATCH(LEFT(AZ78,2),Lists!$K$2:$K$38,0)),SUMPRODUCT(--ISERROR(FIND(MID(MID(AZ78,3,10),{1,2,3,4,5,10},1),"ABCDEFGHIJKLMNOPQRSTUVWXYZ")))=0,SUMPRODUCT(--ISERROR(FIND(MID(MID(AZ78,3,10),{6,7,8,9},1),"0123456789")))=0,ISNUMBER(FIND(MID(AZ78,13,1),"123456789ABCDEFGHIJKLMNOPQRSTUVWXYZ")),MID(AZ78,14,1)="Z")),"Wrong format",IF(MID("0123456789ABCDEFGHIJKLMNOPQRSTUVWXYZ",MOD(36-MOD(SUMPRODUCT(INT((FIND(MID(AZ78,{1,2,3,4,5,6,7,8,9,10,11,12,13,14},1),"0123456789ABCDEFGHIJKLMNOPQRSTUVWXYZ")-1)*{1,2,1,2,1,2,1,2,1,2,1,2,1,2}/36)+MOD((FIND(MID(AZ78,{1,2,3,4,5,6,7,8,9,10,11,12,13,14},1),"0123456789ABCDEFGHIJKLMNOPQRSTUVWXYZ")-1)*{1,2,1,2,1,2,1,2,1,2,1,2,1,2},36)),36),36)+1,1)=MID(AZ78,15,1),"OK","Typo? check digit wrong")),"Wrong format"))</f>
        <v/>
      </c>
      <c r="AW78" s="29">
        <f>IF(BA78="","",IF(AND(LEN(BA78)=10,SUMPRODUCT(--ISERROR(FIND(MID(BA78,{1,2,3,4,5,10},1),"ABCDEFGHIJKLMNOPQRSTUVWXYZ")))=0,SUMPRODUCT(--ISERROR(FIND(MID(BA78,{6,7,8,9},1),"0123456789")))=0),"OK","Wrong format"))</f>
        <v/>
      </c>
      <c r="AX78" s="29">
        <f>IF(TRIM(H78)="","",IF(AND(LEN(UPPER(TRIM(H78)))=10,SUMPRODUCT(--ISERROR(FIND(MID(UPPER(TRIM(H78)),{1,2,3,4,10},1),"ABCDEFGHIJKLMNOPQRSTUVWXYZ")))=0,SUMPRODUCT(--ISERROR(FIND(MID(UPPER(TRIM(H78)),{5,6,7,8,9},1),"0123456789")))=0),"OK","Wrong format"))</f>
        <v/>
      </c>
      <c r="AY78" s="30">
        <f>IF(NOT(COUNTA(A78:AE78)&gt;0),"",IF(BE78&lt;&gt;"","✖ "&amp;LEFT(BE78,LEN(BE78)-2),IF(BD78&gt;0,"✔ Ready — client + "&amp;BD78&amp;" service(s)","✔ Ready — client only")))</f>
        <v/>
      </c>
      <c r="AZ78" s="31">
        <f>UPPER(SUBSTITUTE(TRIM(F78)," ",""))</f>
        <v/>
      </c>
      <c r="BA78" s="31">
        <f>UPPER(SUBSTITUTE(TRIM(E78)," ",""))</f>
        <v/>
      </c>
      <c r="BB78" s="31">
        <f>IF(D78&lt;&gt;"",D78,IFERROR(VLOOKUP(MID(AS78,4,1),Lists!$E$2:$F$8,2,FALSE),""))</f>
        <v/>
      </c>
      <c r="BC78" s="31">
        <f>IFERROR(VLOOKUP(BB78,Lists!$A$2:$C$12,3,FALSE),"")</f>
        <v/>
      </c>
      <c r="BD78" s="31">
        <f>COUNTIF(W78:AC78,"Yes")</f>
        <v/>
      </c>
      <c r="BE78" s="31">
        <f>IF(TRIM(B78)="","Legal name missing; ","")&amp;IF(AND(AV78&lt;&gt;"",AV78&lt;&gt;"OK"),"GSTIN: "&amp;AV78&amp;"; ","")&amp;IF(AND(AW78&lt;&gt;"",AW78&lt;&gt;"OK"),"PAN wrong format; ","")&amp;IF(AND(BA78&lt;&gt;"",LEN(AZ78)=15,MID(AZ78,3,10)&lt;&gt;BA78),"PAN does not match GSTIN; ","")&amp;IF(AND(AX78&lt;&gt;"",AX78&lt;&gt;"OK"),"TAN wrong format; ","")&amp;IF(AS78="","PAN missing; ","")&amp;IF(BB78="","Entity type missing; ","")&amp;IF(AND(AZ78&lt;&gt;"",COUNTIF($AZ$6:$AZ$1005,AZ78)&gt;1),"GSTIN repeated in this sheet; ","")&amp;IF(AND(AS78&lt;&gt;"",COUNTIF($AS$6:$AS$1005,AS78)&gt;1),"PAN repeated in this sheet (same client? put extra GSTINs in Other GSTINs); ","")&amp;IF(AND(BD78&gt;0,V78=""),"Financial year missing; ","")&amp;IF(AND(BD78=0,V78&lt;&gt;""),"Financial year given but no service is Yes; ","")&amp;IF(AND(W78="Yes",AZ78=""),"GST needs a GSTIN; ","")&amp;IF(AND(W78="Yes",X78=""),"GST return frequency missing; ","")&amp;IF(AND(Y78="Yes",TRIM(H78)=""),"TDS needs a TAN; ","")&amp;IF(AND(AA78="Yes",BC78&lt;&gt;"",BC78&lt;&gt;"company",BC78&lt;&gt;"llp"),"ROC is only for a company / LLP; ","")&amp;IF(AND(AA78="Yes",OR(BC78="company",BC78="llp"),TRIM(I78)=""),"ROC needs the CIN / LLPIN; ","")&amp;IF((TRIM(AF78)="")&lt;&gt;(TRIM(AG78)=""),"GST login needs both user ID and password; ","")&amp;IF((TRIM(AH78)="")&lt;&gt;(TRIM(AI78)=""),"Income-tax login needs both user ID and password; ","")&amp;IF((TRIM(AJ78)="")&lt;&gt;(TRIM(AK78)=""),"Income-tax login needs both user ID and password; ","")&amp;IF((TRIM(AL78)="")&lt;&gt;(TRIM(AM78)=""),"TRACES login needs both user ID and password; ","")&amp;IF((TRIM(AN78)="")&lt;&gt;(TRIM(AO78)=""),"MCA login needs both user ID and password; ","")&amp;IF((TRIM(AP78)="")&lt;&gt;(TRIM(AQ78)=""),"E-way bill login needs both user ID and password; ","")</f>
        <v/>
      </c>
    </row>
    <row r="79">
      <c r="A79" s="32" t="n"/>
      <c r="B79" s="33" t="n"/>
      <c r="C79" s="33" t="n"/>
      <c r="D79" s="33" t="n"/>
      <c r="E79" s="32" t="n"/>
      <c r="F79" s="32" t="n"/>
      <c r="G79" s="32" t="n"/>
      <c r="H79" s="32" t="n"/>
      <c r="I79" s="32" t="n"/>
      <c r="J79" s="34" t="n"/>
      <c r="K79" s="33" t="n"/>
      <c r="L79" s="32" t="n"/>
      <c r="M79" s="33" t="n"/>
      <c r="N79" s="33" t="n"/>
      <c r="O79" s="33" t="n"/>
      <c r="P79" s="32" t="n"/>
      <c r="Q79" s="33" t="n"/>
      <c r="R79" s="33" t="n"/>
      <c r="S79" s="33" t="n"/>
      <c r="T79" s="33" t="n"/>
      <c r="U79" s="32" t="n"/>
      <c r="V79" s="33" t="n"/>
      <c r="W79" s="33" t="n"/>
      <c r="X79" s="33" t="n"/>
      <c r="Y79" s="33" t="n"/>
      <c r="Z79" s="33" t="n"/>
      <c r="AA79" s="33" t="n"/>
      <c r="AB79" s="33" t="n"/>
      <c r="AC79" s="33" t="n"/>
      <c r="AD79" s="33" t="n"/>
      <c r="AE79" s="33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2" t="n"/>
      <c r="AO79" s="32" t="n"/>
      <c r="AP79" s="32" t="n"/>
      <c r="AQ79" s="32" t="n"/>
      <c r="AR79" s="29">
        <f>IF(NOT(COUNTA(A79:AE79)&gt;0),"",IF(A79="","New client","Update"))</f>
        <v/>
      </c>
      <c r="AS79" s="29">
        <f>IF(BA79&lt;&gt;"",BA79,IF(LEN(AZ79)=15,MID(AZ79,3,10),""))</f>
        <v/>
      </c>
      <c r="AT79" s="29">
        <f>IF(BB79="","",BB79&amp;IF(D79="","  (guessed from PAN)",""))</f>
        <v/>
      </c>
      <c r="AU79" s="29">
        <f>IF(AZ79="","",IFERROR(INDEX(Lists!$L$2:$L$38,MATCH(LEFT(AZ79,2),Lists!$K$2:$K$38,0)),"Unknown code"))</f>
        <v/>
      </c>
      <c r="AV79" s="29">
        <f>IF(AZ79="","",IFERROR(IF(NOT(AND(LEN(AZ79)=15,ISNUMBER(MATCH(LEFT(AZ79,2),Lists!$K$2:$K$38,0)),SUMPRODUCT(--ISERROR(FIND(MID(MID(AZ79,3,10),{1,2,3,4,5,10},1),"ABCDEFGHIJKLMNOPQRSTUVWXYZ")))=0,SUMPRODUCT(--ISERROR(FIND(MID(MID(AZ79,3,10),{6,7,8,9},1),"0123456789")))=0,ISNUMBER(FIND(MID(AZ79,13,1),"123456789ABCDEFGHIJKLMNOPQRSTUVWXYZ")),MID(AZ79,14,1)="Z")),"Wrong format",IF(MID("0123456789ABCDEFGHIJKLMNOPQRSTUVWXYZ",MOD(36-MOD(SUMPRODUCT(INT((FIND(MID(AZ79,{1,2,3,4,5,6,7,8,9,10,11,12,13,14},1),"0123456789ABCDEFGHIJKLMNOPQRSTUVWXYZ")-1)*{1,2,1,2,1,2,1,2,1,2,1,2,1,2}/36)+MOD((FIND(MID(AZ79,{1,2,3,4,5,6,7,8,9,10,11,12,13,14},1),"0123456789ABCDEFGHIJKLMNOPQRSTUVWXYZ")-1)*{1,2,1,2,1,2,1,2,1,2,1,2,1,2},36)),36),36)+1,1)=MID(AZ79,15,1),"OK","Typo? check digit wrong")),"Wrong format"))</f>
        <v/>
      </c>
      <c r="AW79" s="29">
        <f>IF(BA79="","",IF(AND(LEN(BA79)=10,SUMPRODUCT(--ISERROR(FIND(MID(BA79,{1,2,3,4,5,10},1),"ABCDEFGHIJKLMNOPQRSTUVWXYZ")))=0,SUMPRODUCT(--ISERROR(FIND(MID(BA79,{6,7,8,9},1),"0123456789")))=0),"OK","Wrong format"))</f>
        <v/>
      </c>
      <c r="AX79" s="29">
        <f>IF(TRIM(H79)="","",IF(AND(LEN(UPPER(TRIM(H79)))=10,SUMPRODUCT(--ISERROR(FIND(MID(UPPER(TRIM(H79)),{1,2,3,4,10},1),"ABCDEFGHIJKLMNOPQRSTUVWXYZ")))=0,SUMPRODUCT(--ISERROR(FIND(MID(UPPER(TRIM(H79)),{5,6,7,8,9},1),"0123456789")))=0),"OK","Wrong format"))</f>
        <v/>
      </c>
      <c r="AY79" s="30">
        <f>IF(NOT(COUNTA(A79:AE79)&gt;0),"",IF(BE79&lt;&gt;"","✖ "&amp;LEFT(BE79,LEN(BE79)-2),IF(BD79&gt;0,"✔ Ready — client + "&amp;BD79&amp;" service(s)","✔ Ready — client only")))</f>
        <v/>
      </c>
      <c r="AZ79" s="31">
        <f>UPPER(SUBSTITUTE(TRIM(F79)," ",""))</f>
        <v/>
      </c>
      <c r="BA79" s="31">
        <f>UPPER(SUBSTITUTE(TRIM(E79)," ",""))</f>
        <v/>
      </c>
      <c r="BB79" s="31">
        <f>IF(D79&lt;&gt;"",D79,IFERROR(VLOOKUP(MID(AS79,4,1),Lists!$E$2:$F$8,2,FALSE),""))</f>
        <v/>
      </c>
      <c r="BC79" s="31">
        <f>IFERROR(VLOOKUP(BB79,Lists!$A$2:$C$12,3,FALSE),"")</f>
        <v/>
      </c>
      <c r="BD79" s="31">
        <f>COUNTIF(W79:AC79,"Yes")</f>
        <v/>
      </c>
      <c r="BE79" s="31">
        <f>IF(TRIM(B79)="","Legal name missing; ","")&amp;IF(AND(AV79&lt;&gt;"",AV79&lt;&gt;"OK"),"GSTIN: "&amp;AV79&amp;"; ","")&amp;IF(AND(AW79&lt;&gt;"",AW79&lt;&gt;"OK"),"PAN wrong format; ","")&amp;IF(AND(BA79&lt;&gt;"",LEN(AZ79)=15,MID(AZ79,3,10)&lt;&gt;BA79),"PAN does not match GSTIN; ","")&amp;IF(AND(AX79&lt;&gt;"",AX79&lt;&gt;"OK"),"TAN wrong format; ","")&amp;IF(AS79="","PAN missing; ","")&amp;IF(BB79="","Entity type missing; ","")&amp;IF(AND(AZ79&lt;&gt;"",COUNTIF($AZ$6:$AZ$1005,AZ79)&gt;1),"GSTIN repeated in this sheet; ","")&amp;IF(AND(AS79&lt;&gt;"",COUNTIF($AS$6:$AS$1005,AS79)&gt;1),"PAN repeated in this sheet (same client? put extra GSTINs in Other GSTINs); ","")&amp;IF(AND(BD79&gt;0,V79=""),"Financial year missing; ","")&amp;IF(AND(BD79=0,V79&lt;&gt;""),"Financial year given but no service is Yes; ","")&amp;IF(AND(W79="Yes",AZ79=""),"GST needs a GSTIN; ","")&amp;IF(AND(W79="Yes",X79=""),"GST return frequency missing; ","")&amp;IF(AND(Y79="Yes",TRIM(H79)=""),"TDS needs a TAN; ","")&amp;IF(AND(AA79="Yes",BC79&lt;&gt;"",BC79&lt;&gt;"company",BC79&lt;&gt;"llp"),"ROC is only for a company / LLP; ","")&amp;IF(AND(AA79="Yes",OR(BC79="company",BC79="llp"),TRIM(I79)=""),"ROC needs the CIN / LLPIN; ","")&amp;IF((TRIM(AF79)="")&lt;&gt;(TRIM(AG79)=""),"GST login needs both user ID and password; ","")&amp;IF((TRIM(AH79)="")&lt;&gt;(TRIM(AI79)=""),"Income-tax login needs both user ID and password; ","")&amp;IF((TRIM(AJ79)="")&lt;&gt;(TRIM(AK79)=""),"Income-tax login needs both user ID and password; ","")&amp;IF((TRIM(AL79)="")&lt;&gt;(TRIM(AM79)=""),"TRACES login needs both user ID and password; ","")&amp;IF((TRIM(AN79)="")&lt;&gt;(TRIM(AO79)=""),"MCA login needs both user ID and password; ","")&amp;IF((TRIM(AP79)="")&lt;&gt;(TRIM(AQ79)=""),"E-way bill login needs both user ID and password; ","")</f>
        <v/>
      </c>
    </row>
    <row r="80">
      <c r="A80" s="32" t="n"/>
      <c r="B80" s="33" t="n"/>
      <c r="C80" s="33" t="n"/>
      <c r="D80" s="33" t="n"/>
      <c r="E80" s="32" t="n"/>
      <c r="F80" s="32" t="n"/>
      <c r="G80" s="32" t="n"/>
      <c r="H80" s="32" t="n"/>
      <c r="I80" s="32" t="n"/>
      <c r="J80" s="34" t="n"/>
      <c r="K80" s="33" t="n"/>
      <c r="L80" s="32" t="n"/>
      <c r="M80" s="33" t="n"/>
      <c r="N80" s="33" t="n"/>
      <c r="O80" s="33" t="n"/>
      <c r="P80" s="32" t="n"/>
      <c r="Q80" s="33" t="n"/>
      <c r="R80" s="33" t="n"/>
      <c r="S80" s="33" t="n"/>
      <c r="T80" s="33" t="n"/>
      <c r="U80" s="32" t="n"/>
      <c r="V80" s="33" t="n"/>
      <c r="W80" s="33" t="n"/>
      <c r="X80" s="33" t="n"/>
      <c r="Y80" s="33" t="n"/>
      <c r="Z80" s="33" t="n"/>
      <c r="AA80" s="33" t="n"/>
      <c r="AB80" s="33" t="n"/>
      <c r="AC80" s="33" t="n"/>
      <c r="AD80" s="33" t="n"/>
      <c r="AE80" s="33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2" t="n"/>
      <c r="AO80" s="32" t="n"/>
      <c r="AP80" s="32" t="n"/>
      <c r="AQ80" s="32" t="n"/>
      <c r="AR80" s="29">
        <f>IF(NOT(COUNTA(A80:AE80)&gt;0),"",IF(A80="","New client","Update"))</f>
        <v/>
      </c>
      <c r="AS80" s="29">
        <f>IF(BA80&lt;&gt;"",BA80,IF(LEN(AZ80)=15,MID(AZ80,3,10),""))</f>
        <v/>
      </c>
      <c r="AT80" s="29">
        <f>IF(BB80="","",BB80&amp;IF(D80="","  (guessed from PAN)",""))</f>
        <v/>
      </c>
      <c r="AU80" s="29">
        <f>IF(AZ80="","",IFERROR(INDEX(Lists!$L$2:$L$38,MATCH(LEFT(AZ80,2),Lists!$K$2:$K$38,0)),"Unknown code"))</f>
        <v/>
      </c>
      <c r="AV80" s="29">
        <f>IF(AZ80="","",IFERROR(IF(NOT(AND(LEN(AZ80)=15,ISNUMBER(MATCH(LEFT(AZ80,2),Lists!$K$2:$K$38,0)),SUMPRODUCT(--ISERROR(FIND(MID(MID(AZ80,3,10),{1,2,3,4,5,10},1),"ABCDEFGHIJKLMNOPQRSTUVWXYZ")))=0,SUMPRODUCT(--ISERROR(FIND(MID(MID(AZ80,3,10),{6,7,8,9},1),"0123456789")))=0,ISNUMBER(FIND(MID(AZ80,13,1),"123456789ABCDEFGHIJKLMNOPQRSTUVWXYZ")),MID(AZ80,14,1)="Z")),"Wrong format",IF(MID("0123456789ABCDEFGHIJKLMNOPQRSTUVWXYZ",MOD(36-MOD(SUMPRODUCT(INT((FIND(MID(AZ80,{1,2,3,4,5,6,7,8,9,10,11,12,13,14},1),"0123456789ABCDEFGHIJKLMNOPQRSTUVWXYZ")-1)*{1,2,1,2,1,2,1,2,1,2,1,2,1,2}/36)+MOD((FIND(MID(AZ80,{1,2,3,4,5,6,7,8,9,10,11,12,13,14},1),"0123456789ABCDEFGHIJKLMNOPQRSTUVWXYZ")-1)*{1,2,1,2,1,2,1,2,1,2,1,2,1,2},36)),36),36)+1,1)=MID(AZ80,15,1),"OK","Typo? check digit wrong")),"Wrong format"))</f>
        <v/>
      </c>
      <c r="AW80" s="29">
        <f>IF(BA80="","",IF(AND(LEN(BA80)=10,SUMPRODUCT(--ISERROR(FIND(MID(BA80,{1,2,3,4,5,10},1),"ABCDEFGHIJKLMNOPQRSTUVWXYZ")))=0,SUMPRODUCT(--ISERROR(FIND(MID(BA80,{6,7,8,9},1),"0123456789")))=0),"OK","Wrong format"))</f>
        <v/>
      </c>
      <c r="AX80" s="29">
        <f>IF(TRIM(H80)="","",IF(AND(LEN(UPPER(TRIM(H80)))=10,SUMPRODUCT(--ISERROR(FIND(MID(UPPER(TRIM(H80)),{1,2,3,4,10},1),"ABCDEFGHIJKLMNOPQRSTUVWXYZ")))=0,SUMPRODUCT(--ISERROR(FIND(MID(UPPER(TRIM(H80)),{5,6,7,8,9},1),"0123456789")))=0),"OK","Wrong format"))</f>
        <v/>
      </c>
      <c r="AY80" s="30">
        <f>IF(NOT(COUNTA(A80:AE80)&gt;0),"",IF(BE80&lt;&gt;"","✖ "&amp;LEFT(BE80,LEN(BE80)-2),IF(BD80&gt;0,"✔ Ready — client + "&amp;BD80&amp;" service(s)","✔ Ready — client only")))</f>
        <v/>
      </c>
      <c r="AZ80" s="31">
        <f>UPPER(SUBSTITUTE(TRIM(F80)," ",""))</f>
        <v/>
      </c>
      <c r="BA80" s="31">
        <f>UPPER(SUBSTITUTE(TRIM(E80)," ",""))</f>
        <v/>
      </c>
      <c r="BB80" s="31">
        <f>IF(D80&lt;&gt;"",D80,IFERROR(VLOOKUP(MID(AS80,4,1),Lists!$E$2:$F$8,2,FALSE),""))</f>
        <v/>
      </c>
      <c r="BC80" s="31">
        <f>IFERROR(VLOOKUP(BB80,Lists!$A$2:$C$12,3,FALSE),"")</f>
        <v/>
      </c>
      <c r="BD80" s="31">
        <f>COUNTIF(W80:AC80,"Yes")</f>
        <v/>
      </c>
      <c r="BE80" s="31">
        <f>IF(TRIM(B80)="","Legal name missing; ","")&amp;IF(AND(AV80&lt;&gt;"",AV80&lt;&gt;"OK"),"GSTIN: "&amp;AV80&amp;"; ","")&amp;IF(AND(AW80&lt;&gt;"",AW80&lt;&gt;"OK"),"PAN wrong format; ","")&amp;IF(AND(BA80&lt;&gt;"",LEN(AZ80)=15,MID(AZ80,3,10)&lt;&gt;BA80),"PAN does not match GSTIN; ","")&amp;IF(AND(AX80&lt;&gt;"",AX80&lt;&gt;"OK"),"TAN wrong format; ","")&amp;IF(AS80="","PAN missing; ","")&amp;IF(BB80="","Entity type missing; ","")&amp;IF(AND(AZ80&lt;&gt;"",COUNTIF($AZ$6:$AZ$1005,AZ80)&gt;1),"GSTIN repeated in this sheet; ","")&amp;IF(AND(AS80&lt;&gt;"",COUNTIF($AS$6:$AS$1005,AS80)&gt;1),"PAN repeated in this sheet (same client? put extra GSTINs in Other GSTINs); ","")&amp;IF(AND(BD80&gt;0,V80=""),"Financial year missing; ","")&amp;IF(AND(BD80=0,V80&lt;&gt;""),"Financial year given but no service is Yes; ","")&amp;IF(AND(W80="Yes",AZ80=""),"GST needs a GSTIN; ","")&amp;IF(AND(W80="Yes",X80=""),"GST return frequency missing; ","")&amp;IF(AND(Y80="Yes",TRIM(H80)=""),"TDS needs a TAN; ","")&amp;IF(AND(AA80="Yes",BC80&lt;&gt;"",BC80&lt;&gt;"company",BC80&lt;&gt;"llp"),"ROC is only for a company / LLP; ","")&amp;IF(AND(AA80="Yes",OR(BC80="company",BC80="llp"),TRIM(I80)=""),"ROC needs the CIN / LLPIN; ","")&amp;IF((TRIM(AF80)="")&lt;&gt;(TRIM(AG80)=""),"GST login needs both user ID and password; ","")&amp;IF((TRIM(AH80)="")&lt;&gt;(TRIM(AI80)=""),"Income-tax login needs both user ID and password; ","")&amp;IF((TRIM(AJ80)="")&lt;&gt;(TRIM(AK80)=""),"Income-tax login needs both user ID and password; ","")&amp;IF((TRIM(AL80)="")&lt;&gt;(TRIM(AM80)=""),"TRACES login needs both user ID and password; ","")&amp;IF((TRIM(AN80)="")&lt;&gt;(TRIM(AO80)=""),"MCA login needs both user ID and password; ","")&amp;IF((TRIM(AP80)="")&lt;&gt;(TRIM(AQ80)=""),"E-way bill login needs both user ID and password; ","")</f>
        <v/>
      </c>
    </row>
    <row r="81">
      <c r="A81" s="32" t="n"/>
      <c r="B81" s="33" t="n"/>
      <c r="C81" s="33" t="n"/>
      <c r="D81" s="33" t="n"/>
      <c r="E81" s="32" t="n"/>
      <c r="F81" s="32" t="n"/>
      <c r="G81" s="32" t="n"/>
      <c r="H81" s="32" t="n"/>
      <c r="I81" s="32" t="n"/>
      <c r="J81" s="34" t="n"/>
      <c r="K81" s="33" t="n"/>
      <c r="L81" s="32" t="n"/>
      <c r="M81" s="33" t="n"/>
      <c r="N81" s="33" t="n"/>
      <c r="O81" s="33" t="n"/>
      <c r="P81" s="32" t="n"/>
      <c r="Q81" s="33" t="n"/>
      <c r="R81" s="33" t="n"/>
      <c r="S81" s="33" t="n"/>
      <c r="T81" s="33" t="n"/>
      <c r="U81" s="32" t="n"/>
      <c r="V81" s="33" t="n"/>
      <c r="W81" s="33" t="n"/>
      <c r="X81" s="33" t="n"/>
      <c r="Y81" s="33" t="n"/>
      <c r="Z81" s="33" t="n"/>
      <c r="AA81" s="33" t="n"/>
      <c r="AB81" s="33" t="n"/>
      <c r="AC81" s="33" t="n"/>
      <c r="AD81" s="33" t="n"/>
      <c r="AE81" s="33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2" t="n"/>
      <c r="AO81" s="32" t="n"/>
      <c r="AP81" s="32" t="n"/>
      <c r="AQ81" s="32" t="n"/>
      <c r="AR81" s="29">
        <f>IF(NOT(COUNTA(A81:AE81)&gt;0),"",IF(A81="","New client","Update"))</f>
        <v/>
      </c>
      <c r="AS81" s="29">
        <f>IF(BA81&lt;&gt;"",BA81,IF(LEN(AZ81)=15,MID(AZ81,3,10),""))</f>
        <v/>
      </c>
      <c r="AT81" s="29">
        <f>IF(BB81="","",BB81&amp;IF(D81="","  (guessed from PAN)",""))</f>
        <v/>
      </c>
      <c r="AU81" s="29">
        <f>IF(AZ81="","",IFERROR(INDEX(Lists!$L$2:$L$38,MATCH(LEFT(AZ81,2),Lists!$K$2:$K$38,0)),"Unknown code"))</f>
        <v/>
      </c>
      <c r="AV81" s="29">
        <f>IF(AZ81="","",IFERROR(IF(NOT(AND(LEN(AZ81)=15,ISNUMBER(MATCH(LEFT(AZ81,2),Lists!$K$2:$K$38,0)),SUMPRODUCT(--ISERROR(FIND(MID(MID(AZ81,3,10),{1,2,3,4,5,10},1),"ABCDEFGHIJKLMNOPQRSTUVWXYZ")))=0,SUMPRODUCT(--ISERROR(FIND(MID(MID(AZ81,3,10),{6,7,8,9},1),"0123456789")))=0,ISNUMBER(FIND(MID(AZ81,13,1),"123456789ABCDEFGHIJKLMNOPQRSTUVWXYZ")),MID(AZ81,14,1)="Z")),"Wrong format",IF(MID("0123456789ABCDEFGHIJKLMNOPQRSTUVWXYZ",MOD(36-MOD(SUMPRODUCT(INT((FIND(MID(AZ81,{1,2,3,4,5,6,7,8,9,10,11,12,13,14},1),"0123456789ABCDEFGHIJKLMNOPQRSTUVWXYZ")-1)*{1,2,1,2,1,2,1,2,1,2,1,2,1,2}/36)+MOD((FIND(MID(AZ81,{1,2,3,4,5,6,7,8,9,10,11,12,13,14},1),"0123456789ABCDEFGHIJKLMNOPQRSTUVWXYZ")-1)*{1,2,1,2,1,2,1,2,1,2,1,2,1,2},36)),36),36)+1,1)=MID(AZ81,15,1),"OK","Typo? check digit wrong")),"Wrong format"))</f>
        <v/>
      </c>
      <c r="AW81" s="29">
        <f>IF(BA81="","",IF(AND(LEN(BA81)=10,SUMPRODUCT(--ISERROR(FIND(MID(BA81,{1,2,3,4,5,10},1),"ABCDEFGHIJKLMNOPQRSTUVWXYZ")))=0,SUMPRODUCT(--ISERROR(FIND(MID(BA81,{6,7,8,9},1),"0123456789")))=0),"OK","Wrong format"))</f>
        <v/>
      </c>
      <c r="AX81" s="29">
        <f>IF(TRIM(H81)="","",IF(AND(LEN(UPPER(TRIM(H81)))=10,SUMPRODUCT(--ISERROR(FIND(MID(UPPER(TRIM(H81)),{1,2,3,4,10},1),"ABCDEFGHIJKLMNOPQRSTUVWXYZ")))=0,SUMPRODUCT(--ISERROR(FIND(MID(UPPER(TRIM(H81)),{5,6,7,8,9},1),"0123456789")))=0),"OK","Wrong format"))</f>
        <v/>
      </c>
      <c r="AY81" s="30">
        <f>IF(NOT(COUNTA(A81:AE81)&gt;0),"",IF(BE81&lt;&gt;"","✖ "&amp;LEFT(BE81,LEN(BE81)-2),IF(BD81&gt;0,"✔ Ready — client + "&amp;BD81&amp;" service(s)","✔ Ready — client only")))</f>
        <v/>
      </c>
      <c r="AZ81" s="31">
        <f>UPPER(SUBSTITUTE(TRIM(F81)," ",""))</f>
        <v/>
      </c>
      <c r="BA81" s="31">
        <f>UPPER(SUBSTITUTE(TRIM(E81)," ",""))</f>
        <v/>
      </c>
      <c r="BB81" s="31">
        <f>IF(D81&lt;&gt;"",D81,IFERROR(VLOOKUP(MID(AS81,4,1),Lists!$E$2:$F$8,2,FALSE),""))</f>
        <v/>
      </c>
      <c r="BC81" s="31">
        <f>IFERROR(VLOOKUP(BB81,Lists!$A$2:$C$12,3,FALSE),"")</f>
        <v/>
      </c>
      <c r="BD81" s="31">
        <f>COUNTIF(W81:AC81,"Yes")</f>
        <v/>
      </c>
      <c r="BE81" s="31">
        <f>IF(TRIM(B81)="","Legal name missing; ","")&amp;IF(AND(AV81&lt;&gt;"",AV81&lt;&gt;"OK"),"GSTIN: "&amp;AV81&amp;"; ","")&amp;IF(AND(AW81&lt;&gt;"",AW81&lt;&gt;"OK"),"PAN wrong format; ","")&amp;IF(AND(BA81&lt;&gt;"",LEN(AZ81)=15,MID(AZ81,3,10)&lt;&gt;BA81),"PAN does not match GSTIN; ","")&amp;IF(AND(AX81&lt;&gt;"",AX81&lt;&gt;"OK"),"TAN wrong format; ","")&amp;IF(AS81="","PAN missing; ","")&amp;IF(BB81="","Entity type missing; ","")&amp;IF(AND(AZ81&lt;&gt;"",COUNTIF($AZ$6:$AZ$1005,AZ81)&gt;1),"GSTIN repeated in this sheet; ","")&amp;IF(AND(AS81&lt;&gt;"",COUNTIF($AS$6:$AS$1005,AS81)&gt;1),"PAN repeated in this sheet (same client? put extra GSTINs in Other GSTINs); ","")&amp;IF(AND(BD81&gt;0,V81=""),"Financial year missing; ","")&amp;IF(AND(BD81=0,V81&lt;&gt;""),"Financial year given but no service is Yes; ","")&amp;IF(AND(W81="Yes",AZ81=""),"GST needs a GSTIN; ","")&amp;IF(AND(W81="Yes",X81=""),"GST return frequency missing; ","")&amp;IF(AND(Y81="Yes",TRIM(H81)=""),"TDS needs a TAN; ","")&amp;IF(AND(AA81="Yes",BC81&lt;&gt;"",BC81&lt;&gt;"company",BC81&lt;&gt;"llp"),"ROC is only for a company / LLP; ","")&amp;IF(AND(AA81="Yes",OR(BC81="company",BC81="llp"),TRIM(I81)=""),"ROC needs the CIN / LLPIN; ","")&amp;IF((TRIM(AF81)="")&lt;&gt;(TRIM(AG81)=""),"GST login needs both user ID and password; ","")&amp;IF((TRIM(AH81)="")&lt;&gt;(TRIM(AI81)=""),"Income-tax login needs both user ID and password; ","")&amp;IF((TRIM(AJ81)="")&lt;&gt;(TRIM(AK81)=""),"Income-tax login needs both user ID and password; ","")&amp;IF((TRIM(AL81)="")&lt;&gt;(TRIM(AM81)=""),"TRACES login needs both user ID and password; ","")&amp;IF((TRIM(AN81)="")&lt;&gt;(TRIM(AO81)=""),"MCA login needs both user ID and password; ","")&amp;IF((TRIM(AP81)="")&lt;&gt;(TRIM(AQ81)=""),"E-way bill login needs both user ID and password; ","")</f>
        <v/>
      </c>
    </row>
    <row r="82">
      <c r="A82" s="32" t="n"/>
      <c r="B82" s="33" t="n"/>
      <c r="C82" s="33" t="n"/>
      <c r="D82" s="33" t="n"/>
      <c r="E82" s="32" t="n"/>
      <c r="F82" s="32" t="n"/>
      <c r="G82" s="32" t="n"/>
      <c r="H82" s="32" t="n"/>
      <c r="I82" s="32" t="n"/>
      <c r="J82" s="34" t="n"/>
      <c r="K82" s="33" t="n"/>
      <c r="L82" s="32" t="n"/>
      <c r="M82" s="33" t="n"/>
      <c r="N82" s="33" t="n"/>
      <c r="O82" s="33" t="n"/>
      <c r="P82" s="32" t="n"/>
      <c r="Q82" s="33" t="n"/>
      <c r="R82" s="33" t="n"/>
      <c r="S82" s="33" t="n"/>
      <c r="T82" s="33" t="n"/>
      <c r="U82" s="32" t="n"/>
      <c r="V82" s="33" t="n"/>
      <c r="W82" s="33" t="n"/>
      <c r="X82" s="33" t="n"/>
      <c r="Y82" s="33" t="n"/>
      <c r="Z82" s="33" t="n"/>
      <c r="AA82" s="33" t="n"/>
      <c r="AB82" s="33" t="n"/>
      <c r="AC82" s="33" t="n"/>
      <c r="AD82" s="33" t="n"/>
      <c r="AE82" s="33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2" t="n"/>
      <c r="AO82" s="32" t="n"/>
      <c r="AP82" s="32" t="n"/>
      <c r="AQ82" s="32" t="n"/>
      <c r="AR82" s="29">
        <f>IF(NOT(COUNTA(A82:AE82)&gt;0),"",IF(A82="","New client","Update"))</f>
        <v/>
      </c>
      <c r="AS82" s="29">
        <f>IF(BA82&lt;&gt;"",BA82,IF(LEN(AZ82)=15,MID(AZ82,3,10),""))</f>
        <v/>
      </c>
      <c r="AT82" s="29">
        <f>IF(BB82="","",BB82&amp;IF(D82="","  (guessed from PAN)",""))</f>
        <v/>
      </c>
      <c r="AU82" s="29">
        <f>IF(AZ82="","",IFERROR(INDEX(Lists!$L$2:$L$38,MATCH(LEFT(AZ82,2),Lists!$K$2:$K$38,0)),"Unknown code"))</f>
        <v/>
      </c>
      <c r="AV82" s="29">
        <f>IF(AZ82="","",IFERROR(IF(NOT(AND(LEN(AZ82)=15,ISNUMBER(MATCH(LEFT(AZ82,2),Lists!$K$2:$K$38,0)),SUMPRODUCT(--ISERROR(FIND(MID(MID(AZ82,3,10),{1,2,3,4,5,10},1),"ABCDEFGHIJKLMNOPQRSTUVWXYZ")))=0,SUMPRODUCT(--ISERROR(FIND(MID(MID(AZ82,3,10),{6,7,8,9},1),"0123456789")))=0,ISNUMBER(FIND(MID(AZ82,13,1),"123456789ABCDEFGHIJKLMNOPQRSTUVWXYZ")),MID(AZ82,14,1)="Z")),"Wrong format",IF(MID("0123456789ABCDEFGHIJKLMNOPQRSTUVWXYZ",MOD(36-MOD(SUMPRODUCT(INT((FIND(MID(AZ82,{1,2,3,4,5,6,7,8,9,10,11,12,13,14},1),"0123456789ABCDEFGHIJKLMNOPQRSTUVWXYZ")-1)*{1,2,1,2,1,2,1,2,1,2,1,2,1,2}/36)+MOD((FIND(MID(AZ82,{1,2,3,4,5,6,7,8,9,10,11,12,13,14},1),"0123456789ABCDEFGHIJKLMNOPQRSTUVWXYZ")-1)*{1,2,1,2,1,2,1,2,1,2,1,2,1,2},36)),36),36)+1,1)=MID(AZ82,15,1),"OK","Typo? check digit wrong")),"Wrong format"))</f>
        <v/>
      </c>
      <c r="AW82" s="29">
        <f>IF(BA82="","",IF(AND(LEN(BA82)=10,SUMPRODUCT(--ISERROR(FIND(MID(BA82,{1,2,3,4,5,10},1),"ABCDEFGHIJKLMNOPQRSTUVWXYZ")))=0,SUMPRODUCT(--ISERROR(FIND(MID(BA82,{6,7,8,9},1),"0123456789")))=0),"OK","Wrong format"))</f>
        <v/>
      </c>
      <c r="AX82" s="29">
        <f>IF(TRIM(H82)="","",IF(AND(LEN(UPPER(TRIM(H82)))=10,SUMPRODUCT(--ISERROR(FIND(MID(UPPER(TRIM(H82)),{1,2,3,4,10},1),"ABCDEFGHIJKLMNOPQRSTUVWXYZ")))=0,SUMPRODUCT(--ISERROR(FIND(MID(UPPER(TRIM(H82)),{5,6,7,8,9},1),"0123456789")))=0),"OK","Wrong format"))</f>
        <v/>
      </c>
      <c r="AY82" s="30">
        <f>IF(NOT(COUNTA(A82:AE82)&gt;0),"",IF(BE82&lt;&gt;"","✖ "&amp;LEFT(BE82,LEN(BE82)-2),IF(BD82&gt;0,"✔ Ready — client + "&amp;BD82&amp;" service(s)","✔ Ready — client only")))</f>
        <v/>
      </c>
      <c r="AZ82" s="31">
        <f>UPPER(SUBSTITUTE(TRIM(F82)," ",""))</f>
        <v/>
      </c>
      <c r="BA82" s="31">
        <f>UPPER(SUBSTITUTE(TRIM(E82)," ",""))</f>
        <v/>
      </c>
      <c r="BB82" s="31">
        <f>IF(D82&lt;&gt;"",D82,IFERROR(VLOOKUP(MID(AS82,4,1),Lists!$E$2:$F$8,2,FALSE),""))</f>
        <v/>
      </c>
      <c r="BC82" s="31">
        <f>IFERROR(VLOOKUP(BB82,Lists!$A$2:$C$12,3,FALSE),"")</f>
        <v/>
      </c>
      <c r="BD82" s="31">
        <f>COUNTIF(W82:AC82,"Yes")</f>
        <v/>
      </c>
      <c r="BE82" s="31">
        <f>IF(TRIM(B82)="","Legal name missing; ","")&amp;IF(AND(AV82&lt;&gt;"",AV82&lt;&gt;"OK"),"GSTIN: "&amp;AV82&amp;"; ","")&amp;IF(AND(AW82&lt;&gt;"",AW82&lt;&gt;"OK"),"PAN wrong format; ","")&amp;IF(AND(BA82&lt;&gt;"",LEN(AZ82)=15,MID(AZ82,3,10)&lt;&gt;BA82),"PAN does not match GSTIN; ","")&amp;IF(AND(AX82&lt;&gt;"",AX82&lt;&gt;"OK"),"TAN wrong format; ","")&amp;IF(AS82="","PAN missing; ","")&amp;IF(BB82="","Entity type missing; ","")&amp;IF(AND(AZ82&lt;&gt;"",COUNTIF($AZ$6:$AZ$1005,AZ82)&gt;1),"GSTIN repeated in this sheet; ","")&amp;IF(AND(AS82&lt;&gt;"",COUNTIF($AS$6:$AS$1005,AS82)&gt;1),"PAN repeated in this sheet (same client? put extra GSTINs in Other GSTINs); ","")&amp;IF(AND(BD82&gt;0,V82=""),"Financial year missing; ","")&amp;IF(AND(BD82=0,V82&lt;&gt;""),"Financial year given but no service is Yes; ","")&amp;IF(AND(W82="Yes",AZ82=""),"GST needs a GSTIN; ","")&amp;IF(AND(W82="Yes",X82=""),"GST return frequency missing; ","")&amp;IF(AND(Y82="Yes",TRIM(H82)=""),"TDS needs a TAN; ","")&amp;IF(AND(AA82="Yes",BC82&lt;&gt;"",BC82&lt;&gt;"company",BC82&lt;&gt;"llp"),"ROC is only for a company / LLP; ","")&amp;IF(AND(AA82="Yes",OR(BC82="company",BC82="llp"),TRIM(I82)=""),"ROC needs the CIN / LLPIN; ","")&amp;IF((TRIM(AF82)="")&lt;&gt;(TRIM(AG82)=""),"GST login needs both user ID and password; ","")&amp;IF((TRIM(AH82)="")&lt;&gt;(TRIM(AI82)=""),"Income-tax login needs both user ID and password; ","")&amp;IF((TRIM(AJ82)="")&lt;&gt;(TRIM(AK82)=""),"Income-tax login needs both user ID and password; ","")&amp;IF((TRIM(AL82)="")&lt;&gt;(TRIM(AM82)=""),"TRACES login needs both user ID and password; ","")&amp;IF((TRIM(AN82)="")&lt;&gt;(TRIM(AO82)=""),"MCA login needs both user ID and password; ","")&amp;IF((TRIM(AP82)="")&lt;&gt;(TRIM(AQ82)=""),"E-way bill login needs both user ID and password; ","")</f>
        <v/>
      </c>
    </row>
    <row r="83">
      <c r="A83" s="32" t="n"/>
      <c r="B83" s="33" t="n"/>
      <c r="C83" s="33" t="n"/>
      <c r="D83" s="33" t="n"/>
      <c r="E83" s="32" t="n"/>
      <c r="F83" s="32" t="n"/>
      <c r="G83" s="32" t="n"/>
      <c r="H83" s="32" t="n"/>
      <c r="I83" s="32" t="n"/>
      <c r="J83" s="34" t="n"/>
      <c r="K83" s="33" t="n"/>
      <c r="L83" s="32" t="n"/>
      <c r="M83" s="33" t="n"/>
      <c r="N83" s="33" t="n"/>
      <c r="O83" s="33" t="n"/>
      <c r="P83" s="32" t="n"/>
      <c r="Q83" s="33" t="n"/>
      <c r="R83" s="33" t="n"/>
      <c r="S83" s="33" t="n"/>
      <c r="T83" s="33" t="n"/>
      <c r="U83" s="32" t="n"/>
      <c r="V83" s="33" t="n"/>
      <c r="W83" s="33" t="n"/>
      <c r="X83" s="33" t="n"/>
      <c r="Y83" s="33" t="n"/>
      <c r="Z83" s="33" t="n"/>
      <c r="AA83" s="33" t="n"/>
      <c r="AB83" s="33" t="n"/>
      <c r="AC83" s="33" t="n"/>
      <c r="AD83" s="33" t="n"/>
      <c r="AE83" s="33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2" t="n"/>
      <c r="AO83" s="32" t="n"/>
      <c r="AP83" s="32" t="n"/>
      <c r="AQ83" s="32" t="n"/>
      <c r="AR83" s="29">
        <f>IF(NOT(COUNTA(A83:AE83)&gt;0),"",IF(A83="","New client","Update"))</f>
        <v/>
      </c>
      <c r="AS83" s="29">
        <f>IF(BA83&lt;&gt;"",BA83,IF(LEN(AZ83)=15,MID(AZ83,3,10),""))</f>
        <v/>
      </c>
      <c r="AT83" s="29">
        <f>IF(BB83="","",BB83&amp;IF(D83="","  (guessed from PAN)",""))</f>
        <v/>
      </c>
      <c r="AU83" s="29">
        <f>IF(AZ83="","",IFERROR(INDEX(Lists!$L$2:$L$38,MATCH(LEFT(AZ83,2),Lists!$K$2:$K$38,0)),"Unknown code"))</f>
        <v/>
      </c>
      <c r="AV83" s="29">
        <f>IF(AZ83="","",IFERROR(IF(NOT(AND(LEN(AZ83)=15,ISNUMBER(MATCH(LEFT(AZ83,2),Lists!$K$2:$K$38,0)),SUMPRODUCT(--ISERROR(FIND(MID(MID(AZ83,3,10),{1,2,3,4,5,10},1),"ABCDEFGHIJKLMNOPQRSTUVWXYZ")))=0,SUMPRODUCT(--ISERROR(FIND(MID(MID(AZ83,3,10),{6,7,8,9},1),"0123456789")))=0,ISNUMBER(FIND(MID(AZ83,13,1),"123456789ABCDEFGHIJKLMNOPQRSTUVWXYZ")),MID(AZ83,14,1)="Z")),"Wrong format",IF(MID("0123456789ABCDEFGHIJKLMNOPQRSTUVWXYZ",MOD(36-MOD(SUMPRODUCT(INT((FIND(MID(AZ83,{1,2,3,4,5,6,7,8,9,10,11,12,13,14},1),"0123456789ABCDEFGHIJKLMNOPQRSTUVWXYZ")-1)*{1,2,1,2,1,2,1,2,1,2,1,2,1,2}/36)+MOD((FIND(MID(AZ83,{1,2,3,4,5,6,7,8,9,10,11,12,13,14},1),"0123456789ABCDEFGHIJKLMNOPQRSTUVWXYZ")-1)*{1,2,1,2,1,2,1,2,1,2,1,2,1,2},36)),36),36)+1,1)=MID(AZ83,15,1),"OK","Typo? check digit wrong")),"Wrong format"))</f>
        <v/>
      </c>
      <c r="AW83" s="29">
        <f>IF(BA83="","",IF(AND(LEN(BA83)=10,SUMPRODUCT(--ISERROR(FIND(MID(BA83,{1,2,3,4,5,10},1),"ABCDEFGHIJKLMNOPQRSTUVWXYZ")))=0,SUMPRODUCT(--ISERROR(FIND(MID(BA83,{6,7,8,9},1),"0123456789")))=0),"OK","Wrong format"))</f>
        <v/>
      </c>
      <c r="AX83" s="29">
        <f>IF(TRIM(H83)="","",IF(AND(LEN(UPPER(TRIM(H83)))=10,SUMPRODUCT(--ISERROR(FIND(MID(UPPER(TRIM(H83)),{1,2,3,4,10},1),"ABCDEFGHIJKLMNOPQRSTUVWXYZ")))=0,SUMPRODUCT(--ISERROR(FIND(MID(UPPER(TRIM(H83)),{5,6,7,8,9},1),"0123456789")))=0),"OK","Wrong format"))</f>
        <v/>
      </c>
      <c r="AY83" s="30">
        <f>IF(NOT(COUNTA(A83:AE83)&gt;0),"",IF(BE83&lt;&gt;"","✖ "&amp;LEFT(BE83,LEN(BE83)-2),IF(BD83&gt;0,"✔ Ready — client + "&amp;BD83&amp;" service(s)","✔ Ready — client only")))</f>
        <v/>
      </c>
      <c r="AZ83" s="31">
        <f>UPPER(SUBSTITUTE(TRIM(F83)," ",""))</f>
        <v/>
      </c>
      <c r="BA83" s="31">
        <f>UPPER(SUBSTITUTE(TRIM(E83)," ",""))</f>
        <v/>
      </c>
      <c r="BB83" s="31">
        <f>IF(D83&lt;&gt;"",D83,IFERROR(VLOOKUP(MID(AS83,4,1),Lists!$E$2:$F$8,2,FALSE),""))</f>
        <v/>
      </c>
      <c r="BC83" s="31">
        <f>IFERROR(VLOOKUP(BB83,Lists!$A$2:$C$12,3,FALSE),"")</f>
        <v/>
      </c>
      <c r="BD83" s="31">
        <f>COUNTIF(W83:AC83,"Yes")</f>
        <v/>
      </c>
      <c r="BE83" s="31">
        <f>IF(TRIM(B83)="","Legal name missing; ","")&amp;IF(AND(AV83&lt;&gt;"",AV83&lt;&gt;"OK"),"GSTIN: "&amp;AV83&amp;"; ","")&amp;IF(AND(AW83&lt;&gt;"",AW83&lt;&gt;"OK"),"PAN wrong format; ","")&amp;IF(AND(BA83&lt;&gt;"",LEN(AZ83)=15,MID(AZ83,3,10)&lt;&gt;BA83),"PAN does not match GSTIN; ","")&amp;IF(AND(AX83&lt;&gt;"",AX83&lt;&gt;"OK"),"TAN wrong format; ","")&amp;IF(AS83="","PAN missing; ","")&amp;IF(BB83="","Entity type missing; ","")&amp;IF(AND(AZ83&lt;&gt;"",COUNTIF($AZ$6:$AZ$1005,AZ83)&gt;1),"GSTIN repeated in this sheet; ","")&amp;IF(AND(AS83&lt;&gt;"",COUNTIF($AS$6:$AS$1005,AS83)&gt;1),"PAN repeated in this sheet (same client? put extra GSTINs in Other GSTINs); ","")&amp;IF(AND(BD83&gt;0,V83=""),"Financial year missing; ","")&amp;IF(AND(BD83=0,V83&lt;&gt;""),"Financial year given but no service is Yes; ","")&amp;IF(AND(W83="Yes",AZ83=""),"GST needs a GSTIN; ","")&amp;IF(AND(W83="Yes",X83=""),"GST return frequency missing; ","")&amp;IF(AND(Y83="Yes",TRIM(H83)=""),"TDS needs a TAN; ","")&amp;IF(AND(AA83="Yes",BC83&lt;&gt;"",BC83&lt;&gt;"company",BC83&lt;&gt;"llp"),"ROC is only for a company / LLP; ","")&amp;IF(AND(AA83="Yes",OR(BC83="company",BC83="llp"),TRIM(I83)=""),"ROC needs the CIN / LLPIN; ","")&amp;IF((TRIM(AF83)="")&lt;&gt;(TRIM(AG83)=""),"GST login needs both user ID and password; ","")&amp;IF((TRIM(AH83)="")&lt;&gt;(TRIM(AI83)=""),"Income-tax login needs both user ID and password; ","")&amp;IF((TRIM(AJ83)="")&lt;&gt;(TRIM(AK83)=""),"Income-tax login needs both user ID and password; ","")&amp;IF((TRIM(AL83)="")&lt;&gt;(TRIM(AM83)=""),"TRACES login needs both user ID and password; ","")&amp;IF((TRIM(AN83)="")&lt;&gt;(TRIM(AO83)=""),"MCA login needs both user ID and password; ","")&amp;IF((TRIM(AP83)="")&lt;&gt;(TRIM(AQ83)=""),"E-way bill login needs both user ID and password; ","")</f>
        <v/>
      </c>
    </row>
    <row r="84">
      <c r="A84" s="32" t="n"/>
      <c r="B84" s="33" t="n"/>
      <c r="C84" s="33" t="n"/>
      <c r="D84" s="33" t="n"/>
      <c r="E84" s="32" t="n"/>
      <c r="F84" s="32" t="n"/>
      <c r="G84" s="32" t="n"/>
      <c r="H84" s="32" t="n"/>
      <c r="I84" s="32" t="n"/>
      <c r="J84" s="34" t="n"/>
      <c r="K84" s="33" t="n"/>
      <c r="L84" s="32" t="n"/>
      <c r="M84" s="33" t="n"/>
      <c r="N84" s="33" t="n"/>
      <c r="O84" s="33" t="n"/>
      <c r="P84" s="32" t="n"/>
      <c r="Q84" s="33" t="n"/>
      <c r="R84" s="33" t="n"/>
      <c r="S84" s="33" t="n"/>
      <c r="T84" s="33" t="n"/>
      <c r="U84" s="32" t="n"/>
      <c r="V84" s="33" t="n"/>
      <c r="W84" s="33" t="n"/>
      <c r="X84" s="33" t="n"/>
      <c r="Y84" s="33" t="n"/>
      <c r="Z84" s="33" t="n"/>
      <c r="AA84" s="33" t="n"/>
      <c r="AB84" s="33" t="n"/>
      <c r="AC84" s="33" t="n"/>
      <c r="AD84" s="33" t="n"/>
      <c r="AE84" s="33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2" t="n"/>
      <c r="AO84" s="32" t="n"/>
      <c r="AP84" s="32" t="n"/>
      <c r="AQ84" s="32" t="n"/>
      <c r="AR84" s="29">
        <f>IF(NOT(COUNTA(A84:AE84)&gt;0),"",IF(A84="","New client","Update"))</f>
        <v/>
      </c>
      <c r="AS84" s="29">
        <f>IF(BA84&lt;&gt;"",BA84,IF(LEN(AZ84)=15,MID(AZ84,3,10),""))</f>
        <v/>
      </c>
      <c r="AT84" s="29">
        <f>IF(BB84="","",BB84&amp;IF(D84="","  (guessed from PAN)",""))</f>
        <v/>
      </c>
      <c r="AU84" s="29">
        <f>IF(AZ84="","",IFERROR(INDEX(Lists!$L$2:$L$38,MATCH(LEFT(AZ84,2),Lists!$K$2:$K$38,0)),"Unknown code"))</f>
        <v/>
      </c>
      <c r="AV84" s="29">
        <f>IF(AZ84="","",IFERROR(IF(NOT(AND(LEN(AZ84)=15,ISNUMBER(MATCH(LEFT(AZ84,2),Lists!$K$2:$K$38,0)),SUMPRODUCT(--ISERROR(FIND(MID(MID(AZ84,3,10),{1,2,3,4,5,10},1),"ABCDEFGHIJKLMNOPQRSTUVWXYZ")))=0,SUMPRODUCT(--ISERROR(FIND(MID(MID(AZ84,3,10),{6,7,8,9},1),"0123456789")))=0,ISNUMBER(FIND(MID(AZ84,13,1),"123456789ABCDEFGHIJKLMNOPQRSTUVWXYZ")),MID(AZ84,14,1)="Z")),"Wrong format",IF(MID("0123456789ABCDEFGHIJKLMNOPQRSTUVWXYZ",MOD(36-MOD(SUMPRODUCT(INT((FIND(MID(AZ84,{1,2,3,4,5,6,7,8,9,10,11,12,13,14},1),"0123456789ABCDEFGHIJKLMNOPQRSTUVWXYZ")-1)*{1,2,1,2,1,2,1,2,1,2,1,2,1,2}/36)+MOD((FIND(MID(AZ84,{1,2,3,4,5,6,7,8,9,10,11,12,13,14},1),"0123456789ABCDEFGHIJKLMNOPQRSTUVWXYZ")-1)*{1,2,1,2,1,2,1,2,1,2,1,2,1,2},36)),36),36)+1,1)=MID(AZ84,15,1),"OK","Typo? check digit wrong")),"Wrong format"))</f>
        <v/>
      </c>
      <c r="AW84" s="29">
        <f>IF(BA84="","",IF(AND(LEN(BA84)=10,SUMPRODUCT(--ISERROR(FIND(MID(BA84,{1,2,3,4,5,10},1),"ABCDEFGHIJKLMNOPQRSTUVWXYZ")))=0,SUMPRODUCT(--ISERROR(FIND(MID(BA84,{6,7,8,9},1),"0123456789")))=0),"OK","Wrong format"))</f>
        <v/>
      </c>
      <c r="AX84" s="29">
        <f>IF(TRIM(H84)="","",IF(AND(LEN(UPPER(TRIM(H84)))=10,SUMPRODUCT(--ISERROR(FIND(MID(UPPER(TRIM(H84)),{1,2,3,4,10},1),"ABCDEFGHIJKLMNOPQRSTUVWXYZ")))=0,SUMPRODUCT(--ISERROR(FIND(MID(UPPER(TRIM(H84)),{5,6,7,8,9},1),"0123456789")))=0),"OK","Wrong format"))</f>
        <v/>
      </c>
      <c r="AY84" s="30">
        <f>IF(NOT(COUNTA(A84:AE84)&gt;0),"",IF(BE84&lt;&gt;"","✖ "&amp;LEFT(BE84,LEN(BE84)-2),IF(BD84&gt;0,"✔ Ready — client + "&amp;BD84&amp;" service(s)","✔ Ready — client only")))</f>
        <v/>
      </c>
      <c r="AZ84" s="31">
        <f>UPPER(SUBSTITUTE(TRIM(F84)," ",""))</f>
        <v/>
      </c>
      <c r="BA84" s="31">
        <f>UPPER(SUBSTITUTE(TRIM(E84)," ",""))</f>
        <v/>
      </c>
      <c r="BB84" s="31">
        <f>IF(D84&lt;&gt;"",D84,IFERROR(VLOOKUP(MID(AS84,4,1),Lists!$E$2:$F$8,2,FALSE),""))</f>
        <v/>
      </c>
      <c r="BC84" s="31">
        <f>IFERROR(VLOOKUP(BB84,Lists!$A$2:$C$12,3,FALSE),"")</f>
        <v/>
      </c>
      <c r="BD84" s="31">
        <f>COUNTIF(W84:AC84,"Yes")</f>
        <v/>
      </c>
      <c r="BE84" s="31">
        <f>IF(TRIM(B84)="","Legal name missing; ","")&amp;IF(AND(AV84&lt;&gt;"",AV84&lt;&gt;"OK"),"GSTIN: "&amp;AV84&amp;"; ","")&amp;IF(AND(AW84&lt;&gt;"",AW84&lt;&gt;"OK"),"PAN wrong format; ","")&amp;IF(AND(BA84&lt;&gt;"",LEN(AZ84)=15,MID(AZ84,3,10)&lt;&gt;BA84),"PAN does not match GSTIN; ","")&amp;IF(AND(AX84&lt;&gt;"",AX84&lt;&gt;"OK"),"TAN wrong format; ","")&amp;IF(AS84="","PAN missing; ","")&amp;IF(BB84="","Entity type missing; ","")&amp;IF(AND(AZ84&lt;&gt;"",COUNTIF($AZ$6:$AZ$1005,AZ84)&gt;1),"GSTIN repeated in this sheet; ","")&amp;IF(AND(AS84&lt;&gt;"",COUNTIF($AS$6:$AS$1005,AS84)&gt;1),"PAN repeated in this sheet (same client? put extra GSTINs in Other GSTINs); ","")&amp;IF(AND(BD84&gt;0,V84=""),"Financial year missing; ","")&amp;IF(AND(BD84=0,V84&lt;&gt;""),"Financial year given but no service is Yes; ","")&amp;IF(AND(W84="Yes",AZ84=""),"GST needs a GSTIN; ","")&amp;IF(AND(W84="Yes",X84=""),"GST return frequency missing; ","")&amp;IF(AND(Y84="Yes",TRIM(H84)=""),"TDS needs a TAN; ","")&amp;IF(AND(AA84="Yes",BC84&lt;&gt;"",BC84&lt;&gt;"company",BC84&lt;&gt;"llp"),"ROC is only for a company / LLP; ","")&amp;IF(AND(AA84="Yes",OR(BC84="company",BC84="llp"),TRIM(I84)=""),"ROC needs the CIN / LLPIN; ","")&amp;IF((TRIM(AF84)="")&lt;&gt;(TRIM(AG84)=""),"GST login needs both user ID and password; ","")&amp;IF((TRIM(AH84)="")&lt;&gt;(TRIM(AI84)=""),"Income-tax login needs both user ID and password; ","")&amp;IF((TRIM(AJ84)="")&lt;&gt;(TRIM(AK84)=""),"Income-tax login needs both user ID and password; ","")&amp;IF((TRIM(AL84)="")&lt;&gt;(TRIM(AM84)=""),"TRACES login needs both user ID and password; ","")&amp;IF((TRIM(AN84)="")&lt;&gt;(TRIM(AO84)=""),"MCA login needs both user ID and password; ","")&amp;IF((TRIM(AP84)="")&lt;&gt;(TRIM(AQ84)=""),"E-way bill login needs both user ID and password; ","")</f>
        <v/>
      </c>
    </row>
    <row r="85">
      <c r="A85" s="32" t="n"/>
      <c r="B85" s="33" t="n"/>
      <c r="C85" s="33" t="n"/>
      <c r="D85" s="33" t="n"/>
      <c r="E85" s="32" t="n"/>
      <c r="F85" s="32" t="n"/>
      <c r="G85" s="32" t="n"/>
      <c r="H85" s="32" t="n"/>
      <c r="I85" s="32" t="n"/>
      <c r="J85" s="34" t="n"/>
      <c r="K85" s="33" t="n"/>
      <c r="L85" s="32" t="n"/>
      <c r="M85" s="33" t="n"/>
      <c r="N85" s="33" t="n"/>
      <c r="O85" s="33" t="n"/>
      <c r="P85" s="32" t="n"/>
      <c r="Q85" s="33" t="n"/>
      <c r="R85" s="33" t="n"/>
      <c r="S85" s="33" t="n"/>
      <c r="T85" s="33" t="n"/>
      <c r="U85" s="32" t="n"/>
      <c r="V85" s="33" t="n"/>
      <c r="W85" s="33" t="n"/>
      <c r="X85" s="33" t="n"/>
      <c r="Y85" s="33" t="n"/>
      <c r="Z85" s="33" t="n"/>
      <c r="AA85" s="33" t="n"/>
      <c r="AB85" s="33" t="n"/>
      <c r="AC85" s="33" t="n"/>
      <c r="AD85" s="33" t="n"/>
      <c r="AE85" s="33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2" t="n"/>
      <c r="AO85" s="32" t="n"/>
      <c r="AP85" s="32" t="n"/>
      <c r="AQ85" s="32" t="n"/>
      <c r="AR85" s="29">
        <f>IF(NOT(COUNTA(A85:AE85)&gt;0),"",IF(A85="","New client","Update"))</f>
        <v/>
      </c>
      <c r="AS85" s="29">
        <f>IF(BA85&lt;&gt;"",BA85,IF(LEN(AZ85)=15,MID(AZ85,3,10),""))</f>
        <v/>
      </c>
      <c r="AT85" s="29">
        <f>IF(BB85="","",BB85&amp;IF(D85="","  (guessed from PAN)",""))</f>
        <v/>
      </c>
      <c r="AU85" s="29">
        <f>IF(AZ85="","",IFERROR(INDEX(Lists!$L$2:$L$38,MATCH(LEFT(AZ85,2),Lists!$K$2:$K$38,0)),"Unknown code"))</f>
        <v/>
      </c>
      <c r="AV85" s="29">
        <f>IF(AZ85="","",IFERROR(IF(NOT(AND(LEN(AZ85)=15,ISNUMBER(MATCH(LEFT(AZ85,2),Lists!$K$2:$K$38,0)),SUMPRODUCT(--ISERROR(FIND(MID(MID(AZ85,3,10),{1,2,3,4,5,10},1),"ABCDEFGHIJKLMNOPQRSTUVWXYZ")))=0,SUMPRODUCT(--ISERROR(FIND(MID(MID(AZ85,3,10),{6,7,8,9},1),"0123456789")))=0,ISNUMBER(FIND(MID(AZ85,13,1),"123456789ABCDEFGHIJKLMNOPQRSTUVWXYZ")),MID(AZ85,14,1)="Z")),"Wrong format",IF(MID("0123456789ABCDEFGHIJKLMNOPQRSTUVWXYZ",MOD(36-MOD(SUMPRODUCT(INT((FIND(MID(AZ85,{1,2,3,4,5,6,7,8,9,10,11,12,13,14},1),"0123456789ABCDEFGHIJKLMNOPQRSTUVWXYZ")-1)*{1,2,1,2,1,2,1,2,1,2,1,2,1,2}/36)+MOD((FIND(MID(AZ85,{1,2,3,4,5,6,7,8,9,10,11,12,13,14},1),"0123456789ABCDEFGHIJKLMNOPQRSTUVWXYZ")-1)*{1,2,1,2,1,2,1,2,1,2,1,2,1,2},36)),36),36)+1,1)=MID(AZ85,15,1),"OK","Typo? check digit wrong")),"Wrong format"))</f>
        <v/>
      </c>
      <c r="AW85" s="29">
        <f>IF(BA85="","",IF(AND(LEN(BA85)=10,SUMPRODUCT(--ISERROR(FIND(MID(BA85,{1,2,3,4,5,10},1),"ABCDEFGHIJKLMNOPQRSTUVWXYZ")))=0,SUMPRODUCT(--ISERROR(FIND(MID(BA85,{6,7,8,9},1),"0123456789")))=0),"OK","Wrong format"))</f>
        <v/>
      </c>
      <c r="AX85" s="29">
        <f>IF(TRIM(H85)="","",IF(AND(LEN(UPPER(TRIM(H85)))=10,SUMPRODUCT(--ISERROR(FIND(MID(UPPER(TRIM(H85)),{1,2,3,4,10},1),"ABCDEFGHIJKLMNOPQRSTUVWXYZ")))=0,SUMPRODUCT(--ISERROR(FIND(MID(UPPER(TRIM(H85)),{5,6,7,8,9},1),"0123456789")))=0),"OK","Wrong format"))</f>
        <v/>
      </c>
      <c r="AY85" s="30">
        <f>IF(NOT(COUNTA(A85:AE85)&gt;0),"",IF(BE85&lt;&gt;"","✖ "&amp;LEFT(BE85,LEN(BE85)-2),IF(BD85&gt;0,"✔ Ready — client + "&amp;BD85&amp;" service(s)","✔ Ready — client only")))</f>
        <v/>
      </c>
      <c r="AZ85" s="31">
        <f>UPPER(SUBSTITUTE(TRIM(F85)," ",""))</f>
        <v/>
      </c>
      <c r="BA85" s="31">
        <f>UPPER(SUBSTITUTE(TRIM(E85)," ",""))</f>
        <v/>
      </c>
      <c r="BB85" s="31">
        <f>IF(D85&lt;&gt;"",D85,IFERROR(VLOOKUP(MID(AS85,4,1),Lists!$E$2:$F$8,2,FALSE),""))</f>
        <v/>
      </c>
      <c r="BC85" s="31">
        <f>IFERROR(VLOOKUP(BB85,Lists!$A$2:$C$12,3,FALSE),"")</f>
        <v/>
      </c>
      <c r="BD85" s="31">
        <f>COUNTIF(W85:AC85,"Yes")</f>
        <v/>
      </c>
      <c r="BE85" s="31">
        <f>IF(TRIM(B85)="","Legal name missing; ","")&amp;IF(AND(AV85&lt;&gt;"",AV85&lt;&gt;"OK"),"GSTIN: "&amp;AV85&amp;"; ","")&amp;IF(AND(AW85&lt;&gt;"",AW85&lt;&gt;"OK"),"PAN wrong format; ","")&amp;IF(AND(BA85&lt;&gt;"",LEN(AZ85)=15,MID(AZ85,3,10)&lt;&gt;BA85),"PAN does not match GSTIN; ","")&amp;IF(AND(AX85&lt;&gt;"",AX85&lt;&gt;"OK"),"TAN wrong format; ","")&amp;IF(AS85="","PAN missing; ","")&amp;IF(BB85="","Entity type missing; ","")&amp;IF(AND(AZ85&lt;&gt;"",COUNTIF($AZ$6:$AZ$1005,AZ85)&gt;1),"GSTIN repeated in this sheet; ","")&amp;IF(AND(AS85&lt;&gt;"",COUNTIF($AS$6:$AS$1005,AS85)&gt;1),"PAN repeated in this sheet (same client? put extra GSTINs in Other GSTINs); ","")&amp;IF(AND(BD85&gt;0,V85=""),"Financial year missing; ","")&amp;IF(AND(BD85=0,V85&lt;&gt;""),"Financial year given but no service is Yes; ","")&amp;IF(AND(W85="Yes",AZ85=""),"GST needs a GSTIN; ","")&amp;IF(AND(W85="Yes",X85=""),"GST return frequency missing; ","")&amp;IF(AND(Y85="Yes",TRIM(H85)=""),"TDS needs a TAN; ","")&amp;IF(AND(AA85="Yes",BC85&lt;&gt;"",BC85&lt;&gt;"company",BC85&lt;&gt;"llp"),"ROC is only for a company / LLP; ","")&amp;IF(AND(AA85="Yes",OR(BC85="company",BC85="llp"),TRIM(I85)=""),"ROC needs the CIN / LLPIN; ","")&amp;IF((TRIM(AF85)="")&lt;&gt;(TRIM(AG85)=""),"GST login needs both user ID and password; ","")&amp;IF((TRIM(AH85)="")&lt;&gt;(TRIM(AI85)=""),"Income-tax login needs both user ID and password; ","")&amp;IF((TRIM(AJ85)="")&lt;&gt;(TRIM(AK85)=""),"Income-tax login needs both user ID and password; ","")&amp;IF((TRIM(AL85)="")&lt;&gt;(TRIM(AM85)=""),"TRACES login needs both user ID and password; ","")&amp;IF((TRIM(AN85)="")&lt;&gt;(TRIM(AO85)=""),"MCA login needs both user ID and password; ","")&amp;IF((TRIM(AP85)="")&lt;&gt;(TRIM(AQ85)=""),"E-way bill login needs both user ID and password; ","")</f>
        <v/>
      </c>
    </row>
    <row r="86">
      <c r="A86" s="32" t="n"/>
      <c r="B86" s="33" t="n"/>
      <c r="C86" s="33" t="n"/>
      <c r="D86" s="33" t="n"/>
      <c r="E86" s="32" t="n"/>
      <c r="F86" s="32" t="n"/>
      <c r="G86" s="32" t="n"/>
      <c r="H86" s="32" t="n"/>
      <c r="I86" s="32" t="n"/>
      <c r="J86" s="34" t="n"/>
      <c r="K86" s="33" t="n"/>
      <c r="L86" s="32" t="n"/>
      <c r="M86" s="33" t="n"/>
      <c r="N86" s="33" t="n"/>
      <c r="O86" s="33" t="n"/>
      <c r="P86" s="32" t="n"/>
      <c r="Q86" s="33" t="n"/>
      <c r="R86" s="33" t="n"/>
      <c r="S86" s="33" t="n"/>
      <c r="T86" s="33" t="n"/>
      <c r="U86" s="32" t="n"/>
      <c r="V86" s="33" t="n"/>
      <c r="W86" s="33" t="n"/>
      <c r="X86" s="33" t="n"/>
      <c r="Y86" s="33" t="n"/>
      <c r="Z86" s="33" t="n"/>
      <c r="AA86" s="33" t="n"/>
      <c r="AB86" s="33" t="n"/>
      <c r="AC86" s="33" t="n"/>
      <c r="AD86" s="33" t="n"/>
      <c r="AE86" s="33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2" t="n"/>
      <c r="AO86" s="32" t="n"/>
      <c r="AP86" s="32" t="n"/>
      <c r="AQ86" s="32" t="n"/>
      <c r="AR86" s="29">
        <f>IF(NOT(COUNTA(A86:AE86)&gt;0),"",IF(A86="","New client","Update"))</f>
        <v/>
      </c>
      <c r="AS86" s="29">
        <f>IF(BA86&lt;&gt;"",BA86,IF(LEN(AZ86)=15,MID(AZ86,3,10),""))</f>
        <v/>
      </c>
      <c r="AT86" s="29">
        <f>IF(BB86="","",BB86&amp;IF(D86="","  (guessed from PAN)",""))</f>
        <v/>
      </c>
      <c r="AU86" s="29">
        <f>IF(AZ86="","",IFERROR(INDEX(Lists!$L$2:$L$38,MATCH(LEFT(AZ86,2),Lists!$K$2:$K$38,0)),"Unknown code"))</f>
        <v/>
      </c>
      <c r="AV86" s="29">
        <f>IF(AZ86="","",IFERROR(IF(NOT(AND(LEN(AZ86)=15,ISNUMBER(MATCH(LEFT(AZ86,2),Lists!$K$2:$K$38,0)),SUMPRODUCT(--ISERROR(FIND(MID(MID(AZ86,3,10),{1,2,3,4,5,10},1),"ABCDEFGHIJKLMNOPQRSTUVWXYZ")))=0,SUMPRODUCT(--ISERROR(FIND(MID(MID(AZ86,3,10),{6,7,8,9},1),"0123456789")))=0,ISNUMBER(FIND(MID(AZ86,13,1),"123456789ABCDEFGHIJKLMNOPQRSTUVWXYZ")),MID(AZ86,14,1)="Z")),"Wrong format",IF(MID("0123456789ABCDEFGHIJKLMNOPQRSTUVWXYZ",MOD(36-MOD(SUMPRODUCT(INT((FIND(MID(AZ86,{1,2,3,4,5,6,7,8,9,10,11,12,13,14},1),"0123456789ABCDEFGHIJKLMNOPQRSTUVWXYZ")-1)*{1,2,1,2,1,2,1,2,1,2,1,2,1,2}/36)+MOD((FIND(MID(AZ86,{1,2,3,4,5,6,7,8,9,10,11,12,13,14},1),"0123456789ABCDEFGHIJKLMNOPQRSTUVWXYZ")-1)*{1,2,1,2,1,2,1,2,1,2,1,2,1,2},36)),36),36)+1,1)=MID(AZ86,15,1),"OK","Typo? check digit wrong")),"Wrong format"))</f>
        <v/>
      </c>
      <c r="AW86" s="29">
        <f>IF(BA86="","",IF(AND(LEN(BA86)=10,SUMPRODUCT(--ISERROR(FIND(MID(BA86,{1,2,3,4,5,10},1),"ABCDEFGHIJKLMNOPQRSTUVWXYZ")))=0,SUMPRODUCT(--ISERROR(FIND(MID(BA86,{6,7,8,9},1),"0123456789")))=0),"OK","Wrong format"))</f>
        <v/>
      </c>
      <c r="AX86" s="29">
        <f>IF(TRIM(H86)="","",IF(AND(LEN(UPPER(TRIM(H86)))=10,SUMPRODUCT(--ISERROR(FIND(MID(UPPER(TRIM(H86)),{1,2,3,4,10},1),"ABCDEFGHIJKLMNOPQRSTUVWXYZ")))=0,SUMPRODUCT(--ISERROR(FIND(MID(UPPER(TRIM(H86)),{5,6,7,8,9},1),"0123456789")))=0),"OK","Wrong format"))</f>
        <v/>
      </c>
      <c r="AY86" s="30">
        <f>IF(NOT(COUNTA(A86:AE86)&gt;0),"",IF(BE86&lt;&gt;"","✖ "&amp;LEFT(BE86,LEN(BE86)-2),IF(BD86&gt;0,"✔ Ready — client + "&amp;BD86&amp;" service(s)","✔ Ready — client only")))</f>
        <v/>
      </c>
      <c r="AZ86" s="31">
        <f>UPPER(SUBSTITUTE(TRIM(F86)," ",""))</f>
        <v/>
      </c>
      <c r="BA86" s="31">
        <f>UPPER(SUBSTITUTE(TRIM(E86)," ",""))</f>
        <v/>
      </c>
      <c r="BB86" s="31">
        <f>IF(D86&lt;&gt;"",D86,IFERROR(VLOOKUP(MID(AS86,4,1),Lists!$E$2:$F$8,2,FALSE),""))</f>
        <v/>
      </c>
      <c r="BC86" s="31">
        <f>IFERROR(VLOOKUP(BB86,Lists!$A$2:$C$12,3,FALSE),"")</f>
        <v/>
      </c>
      <c r="BD86" s="31">
        <f>COUNTIF(W86:AC86,"Yes")</f>
        <v/>
      </c>
      <c r="BE86" s="31">
        <f>IF(TRIM(B86)="","Legal name missing; ","")&amp;IF(AND(AV86&lt;&gt;"",AV86&lt;&gt;"OK"),"GSTIN: "&amp;AV86&amp;"; ","")&amp;IF(AND(AW86&lt;&gt;"",AW86&lt;&gt;"OK"),"PAN wrong format; ","")&amp;IF(AND(BA86&lt;&gt;"",LEN(AZ86)=15,MID(AZ86,3,10)&lt;&gt;BA86),"PAN does not match GSTIN; ","")&amp;IF(AND(AX86&lt;&gt;"",AX86&lt;&gt;"OK"),"TAN wrong format; ","")&amp;IF(AS86="","PAN missing; ","")&amp;IF(BB86="","Entity type missing; ","")&amp;IF(AND(AZ86&lt;&gt;"",COUNTIF($AZ$6:$AZ$1005,AZ86)&gt;1),"GSTIN repeated in this sheet; ","")&amp;IF(AND(AS86&lt;&gt;"",COUNTIF($AS$6:$AS$1005,AS86)&gt;1),"PAN repeated in this sheet (same client? put extra GSTINs in Other GSTINs); ","")&amp;IF(AND(BD86&gt;0,V86=""),"Financial year missing; ","")&amp;IF(AND(BD86=0,V86&lt;&gt;""),"Financial year given but no service is Yes; ","")&amp;IF(AND(W86="Yes",AZ86=""),"GST needs a GSTIN; ","")&amp;IF(AND(W86="Yes",X86=""),"GST return frequency missing; ","")&amp;IF(AND(Y86="Yes",TRIM(H86)=""),"TDS needs a TAN; ","")&amp;IF(AND(AA86="Yes",BC86&lt;&gt;"",BC86&lt;&gt;"company",BC86&lt;&gt;"llp"),"ROC is only for a company / LLP; ","")&amp;IF(AND(AA86="Yes",OR(BC86="company",BC86="llp"),TRIM(I86)=""),"ROC needs the CIN / LLPIN; ","")&amp;IF((TRIM(AF86)="")&lt;&gt;(TRIM(AG86)=""),"GST login needs both user ID and password; ","")&amp;IF((TRIM(AH86)="")&lt;&gt;(TRIM(AI86)=""),"Income-tax login needs both user ID and password; ","")&amp;IF((TRIM(AJ86)="")&lt;&gt;(TRIM(AK86)=""),"Income-tax login needs both user ID and password; ","")&amp;IF((TRIM(AL86)="")&lt;&gt;(TRIM(AM86)=""),"TRACES login needs both user ID and password; ","")&amp;IF((TRIM(AN86)="")&lt;&gt;(TRIM(AO86)=""),"MCA login needs both user ID and password; ","")&amp;IF((TRIM(AP86)="")&lt;&gt;(TRIM(AQ86)=""),"E-way bill login needs both user ID and password; ","")</f>
        <v/>
      </c>
    </row>
    <row r="87">
      <c r="A87" s="32" t="n"/>
      <c r="B87" s="33" t="n"/>
      <c r="C87" s="33" t="n"/>
      <c r="D87" s="33" t="n"/>
      <c r="E87" s="32" t="n"/>
      <c r="F87" s="32" t="n"/>
      <c r="G87" s="32" t="n"/>
      <c r="H87" s="32" t="n"/>
      <c r="I87" s="32" t="n"/>
      <c r="J87" s="34" t="n"/>
      <c r="K87" s="33" t="n"/>
      <c r="L87" s="32" t="n"/>
      <c r="M87" s="33" t="n"/>
      <c r="N87" s="33" t="n"/>
      <c r="O87" s="33" t="n"/>
      <c r="P87" s="32" t="n"/>
      <c r="Q87" s="33" t="n"/>
      <c r="R87" s="33" t="n"/>
      <c r="S87" s="33" t="n"/>
      <c r="T87" s="33" t="n"/>
      <c r="U87" s="32" t="n"/>
      <c r="V87" s="33" t="n"/>
      <c r="W87" s="33" t="n"/>
      <c r="X87" s="33" t="n"/>
      <c r="Y87" s="33" t="n"/>
      <c r="Z87" s="33" t="n"/>
      <c r="AA87" s="33" t="n"/>
      <c r="AB87" s="33" t="n"/>
      <c r="AC87" s="33" t="n"/>
      <c r="AD87" s="33" t="n"/>
      <c r="AE87" s="33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2" t="n"/>
      <c r="AO87" s="32" t="n"/>
      <c r="AP87" s="32" t="n"/>
      <c r="AQ87" s="32" t="n"/>
      <c r="AR87" s="29">
        <f>IF(NOT(COUNTA(A87:AE87)&gt;0),"",IF(A87="","New client","Update"))</f>
        <v/>
      </c>
      <c r="AS87" s="29">
        <f>IF(BA87&lt;&gt;"",BA87,IF(LEN(AZ87)=15,MID(AZ87,3,10),""))</f>
        <v/>
      </c>
      <c r="AT87" s="29">
        <f>IF(BB87="","",BB87&amp;IF(D87="","  (guessed from PAN)",""))</f>
        <v/>
      </c>
      <c r="AU87" s="29">
        <f>IF(AZ87="","",IFERROR(INDEX(Lists!$L$2:$L$38,MATCH(LEFT(AZ87,2),Lists!$K$2:$K$38,0)),"Unknown code"))</f>
        <v/>
      </c>
      <c r="AV87" s="29">
        <f>IF(AZ87="","",IFERROR(IF(NOT(AND(LEN(AZ87)=15,ISNUMBER(MATCH(LEFT(AZ87,2),Lists!$K$2:$K$38,0)),SUMPRODUCT(--ISERROR(FIND(MID(MID(AZ87,3,10),{1,2,3,4,5,10},1),"ABCDEFGHIJKLMNOPQRSTUVWXYZ")))=0,SUMPRODUCT(--ISERROR(FIND(MID(MID(AZ87,3,10),{6,7,8,9},1),"0123456789")))=0,ISNUMBER(FIND(MID(AZ87,13,1),"123456789ABCDEFGHIJKLMNOPQRSTUVWXYZ")),MID(AZ87,14,1)="Z")),"Wrong format",IF(MID("0123456789ABCDEFGHIJKLMNOPQRSTUVWXYZ",MOD(36-MOD(SUMPRODUCT(INT((FIND(MID(AZ87,{1,2,3,4,5,6,7,8,9,10,11,12,13,14},1),"0123456789ABCDEFGHIJKLMNOPQRSTUVWXYZ")-1)*{1,2,1,2,1,2,1,2,1,2,1,2,1,2}/36)+MOD((FIND(MID(AZ87,{1,2,3,4,5,6,7,8,9,10,11,12,13,14},1),"0123456789ABCDEFGHIJKLMNOPQRSTUVWXYZ")-1)*{1,2,1,2,1,2,1,2,1,2,1,2,1,2},36)),36),36)+1,1)=MID(AZ87,15,1),"OK","Typo? check digit wrong")),"Wrong format"))</f>
        <v/>
      </c>
      <c r="AW87" s="29">
        <f>IF(BA87="","",IF(AND(LEN(BA87)=10,SUMPRODUCT(--ISERROR(FIND(MID(BA87,{1,2,3,4,5,10},1),"ABCDEFGHIJKLMNOPQRSTUVWXYZ")))=0,SUMPRODUCT(--ISERROR(FIND(MID(BA87,{6,7,8,9},1),"0123456789")))=0),"OK","Wrong format"))</f>
        <v/>
      </c>
      <c r="AX87" s="29">
        <f>IF(TRIM(H87)="","",IF(AND(LEN(UPPER(TRIM(H87)))=10,SUMPRODUCT(--ISERROR(FIND(MID(UPPER(TRIM(H87)),{1,2,3,4,10},1),"ABCDEFGHIJKLMNOPQRSTUVWXYZ")))=0,SUMPRODUCT(--ISERROR(FIND(MID(UPPER(TRIM(H87)),{5,6,7,8,9},1),"0123456789")))=0),"OK","Wrong format"))</f>
        <v/>
      </c>
      <c r="AY87" s="30">
        <f>IF(NOT(COUNTA(A87:AE87)&gt;0),"",IF(BE87&lt;&gt;"","✖ "&amp;LEFT(BE87,LEN(BE87)-2),IF(BD87&gt;0,"✔ Ready — client + "&amp;BD87&amp;" service(s)","✔ Ready — client only")))</f>
        <v/>
      </c>
      <c r="AZ87" s="31">
        <f>UPPER(SUBSTITUTE(TRIM(F87)," ",""))</f>
        <v/>
      </c>
      <c r="BA87" s="31">
        <f>UPPER(SUBSTITUTE(TRIM(E87)," ",""))</f>
        <v/>
      </c>
      <c r="BB87" s="31">
        <f>IF(D87&lt;&gt;"",D87,IFERROR(VLOOKUP(MID(AS87,4,1),Lists!$E$2:$F$8,2,FALSE),""))</f>
        <v/>
      </c>
      <c r="BC87" s="31">
        <f>IFERROR(VLOOKUP(BB87,Lists!$A$2:$C$12,3,FALSE),"")</f>
        <v/>
      </c>
      <c r="BD87" s="31">
        <f>COUNTIF(W87:AC87,"Yes")</f>
        <v/>
      </c>
      <c r="BE87" s="31">
        <f>IF(TRIM(B87)="","Legal name missing; ","")&amp;IF(AND(AV87&lt;&gt;"",AV87&lt;&gt;"OK"),"GSTIN: "&amp;AV87&amp;"; ","")&amp;IF(AND(AW87&lt;&gt;"",AW87&lt;&gt;"OK"),"PAN wrong format; ","")&amp;IF(AND(BA87&lt;&gt;"",LEN(AZ87)=15,MID(AZ87,3,10)&lt;&gt;BA87),"PAN does not match GSTIN; ","")&amp;IF(AND(AX87&lt;&gt;"",AX87&lt;&gt;"OK"),"TAN wrong format; ","")&amp;IF(AS87="","PAN missing; ","")&amp;IF(BB87="","Entity type missing; ","")&amp;IF(AND(AZ87&lt;&gt;"",COUNTIF($AZ$6:$AZ$1005,AZ87)&gt;1),"GSTIN repeated in this sheet; ","")&amp;IF(AND(AS87&lt;&gt;"",COUNTIF($AS$6:$AS$1005,AS87)&gt;1),"PAN repeated in this sheet (same client? put extra GSTINs in Other GSTINs); ","")&amp;IF(AND(BD87&gt;0,V87=""),"Financial year missing; ","")&amp;IF(AND(BD87=0,V87&lt;&gt;""),"Financial year given but no service is Yes; ","")&amp;IF(AND(W87="Yes",AZ87=""),"GST needs a GSTIN; ","")&amp;IF(AND(W87="Yes",X87=""),"GST return frequency missing; ","")&amp;IF(AND(Y87="Yes",TRIM(H87)=""),"TDS needs a TAN; ","")&amp;IF(AND(AA87="Yes",BC87&lt;&gt;"",BC87&lt;&gt;"company",BC87&lt;&gt;"llp"),"ROC is only for a company / LLP; ","")&amp;IF(AND(AA87="Yes",OR(BC87="company",BC87="llp"),TRIM(I87)=""),"ROC needs the CIN / LLPIN; ","")&amp;IF((TRIM(AF87)="")&lt;&gt;(TRIM(AG87)=""),"GST login needs both user ID and password; ","")&amp;IF((TRIM(AH87)="")&lt;&gt;(TRIM(AI87)=""),"Income-tax login needs both user ID and password; ","")&amp;IF((TRIM(AJ87)="")&lt;&gt;(TRIM(AK87)=""),"Income-tax login needs both user ID and password; ","")&amp;IF((TRIM(AL87)="")&lt;&gt;(TRIM(AM87)=""),"TRACES login needs both user ID and password; ","")&amp;IF((TRIM(AN87)="")&lt;&gt;(TRIM(AO87)=""),"MCA login needs both user ID and password; ","")&amp;IF((TRIM(AP87)="")&lt;&gt;(TRIM(AQ87)=""),"E-way bill login needs both user ID and password; ","")</f>
        <v/>
      </c>
    </row>
    <row r="88">
      <c r="A88" s="32" t="n"/>
      <c r="B88" s="33" t="n"/>
      <c r="C88" s="33" t="n"/>
      <c r="D88" s="33" t="n"/>
      <c r="E88" s="32" t="n"/>
      <c r="F88" s="32" t="n"/>
      <c r="G88" s="32" t="n"/>
      <c r="H88" s="32" t="n"/>
      <c r="I88" s="32" t="n"/>
      <c r="J88" s="34" t="n"/>
      <c r="K88" s="33" t="n"/>
      <c r="L88" s="32" t="n"/>
      <c r="M88" s="33" t="n"/>
      <c r="N88" s="33" t="n"/>
      <c r="O88" s="33" t="n"/>
      <c r="P88" s="32" t="n"/>
      <c r="Q88" s="33" t="n"/>
      <c r="R88" s="33" t="n"/>
      <c r="S88" s="33" t="n"/>
      <c r="T88" s="33" t="n"/>
      <c r="U88" s="32" t="n"/>
      <c r="V88" s="33" t="n"/>
      <c r="W88" s="33" t="n"/>
      <c r="X88" s="33" t="n"/>
      <c r="Y88" s="33" t="n"/>
      <c r="Z88" s="33" t="n"/>
      <c r="AA88" s="33" t="n"/>
      <c r="AB88" s="33" t="n"/>
      <c r="AC88" s="33" t="n"/>
      <c r="AD88" s="33" t="n"/>
      <c r="AE88" s="33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2" t="n"/>
      <c r="AO88" s="32" t="n"/>
      <c r="AP88" s="32" t="n"/>
      <c r="AQ88" s="32" t="n"/>
      <c r="AR88" s="29">
        <f>IF(NOT(COUNTA(A88:AE88)&gt;0),"",IF(A88="","New client","Update"))</f>
        <v/>
      </c>
      <c r="AS88" s="29">
        <f>IF(BA88&lt;&gt;"",BA88,IF(LEN(AZ88)=15,MID(AZ88,3,10),""))</f>
        <v/>
      </c>
      <c r="AT88" s="29">
        <f>IF(BB88="","",BB88&amp;IF(D88="","  (guessed from PAN)",""))</f>
        <v/>
      </c>
      <c r="AU88" s="29">
        <f>IF(AZ88="","",IFERROR(INDEX(Lists!$L$2:$L$38,MATCH(LEFT(AZ88,2),Lists!$K$2:$K$38,0)),"Unknown code"))</f>
        <v/>
      </c>
      <c r="AV88" s="29">
        <f>IF(AZ88="","",IFERROR(IF(NOT(AND(LEN(AZ88)=15,ISNUMBER(MATCH(LEFT(AZ88,2),Lists!$K$2:$K$38,0)),SUMPRODUCT(--ISERROR(FIND(MID(MID(AZ88,3,10),{1,2,3,4,5,10},1),"ABCDEFGHIJKLMNOPQRSTUVWXYZ")))=0,SUMPRODUCT(--ISERROR(FIND(MID(MID(AZ88,3,10),{6,7,8,9},1),"0123456789")))=0,ISNUMBER(FIND(MID(AZ88,13,1),"123456789ABCDEFGHIJKLMNOPQRSTUVWXYZ")),MID(AZ88,14,1)="Z")),"Wrong format",IF(MID("0123456789ABCDEFGHIJKLMNOPQRSTUVWXYZ",MOD(36-MOD(SUMPRODUCT(INT((FIND(MID(AZ88,{1,2,3,4,5,6,7,8,9,10,11,12,13,14},1),"0123456789ABCDEFGHIJKLMNOPQRSTUVWXYZ")-1)*{1,2,1,2,1,2,1,2,1,2,1,2,1,2}/36)+MOD((FIND(MID(AZ88,{1,2,3,4,5,6,7,8,9,10,11,12,13,14},1),"0123456789ABCDEFGHIJKLMNOPQRSTUVWXYZ")-1)*{1,2,1,2,1,2,1,2,1,2,1,2,1,2},36)),36),36)+1,1)=MID(AZ88,15,1),"OK","Typo? check digit wrong")),"Wrong format"))</f>
        <v/>
      </c>
      <c r="AW88" s="29">
        <f>IF(BA88="","",IF(AND(LEN(BA88)=10,SUMPRODUCT(--ISERROR(FIND(MID(BA88,{1,2,3,4,5,10},1),"ABCDEFGHIJKLMNOPQRSTUVWXYZ")))=0,SUMPRODUCT(--ISERROR(FIND(MID(BA88,{6,7,8,9},1),"0123456789")))=0),"OK","Wrong format"))</f>
        <v/>
      </c>
      <c r="AX88" s="29">
        <f>IF(TRIM(H88)="","",IF(AND(LEN(UPPER(TRIM(H88)))=10,SUMPRODUCT(--ISERROR(FIND(MID(UPPER(TRIM(H88)),{1,2,3,4,10},1),"ABCDEFGHIJKLMNOPQRSTUVWXYZ")))=0,SUMPRODUCT(--ISERROR(FIND(MID(UPPER(TRIM(H88)),{5,6,7,8,9},1),"0123456789")))=0),"OK","Wrong format"))</f>
        <v/>
      </c>
      <c r="AY88" s="30">
        <f>IF(NOT(COUNTA(A88:AE88)&gt;0),"",IF(BE88&lt;&gt;"","✖ "&amp;LEFT(BE88,LEN(BE88)-2),IF(BD88&gt;0,"✔ Ready — client + "&amp;BD88&amp;" service(s)","✔ Ready — client only")))</f>
        <v/>
      </c>
      <c r="AZ88" s="31">
        <f>UPPER(SUBSTITUTE(TRIM(F88)," ",""))</f>
        <v/>
      </c>
      <c r="BA88" s="31">
        <f>UPPER(SUBSTITUTE(TRIM(E88)," ",""))</f>
        <v/>
      </c>
      <c r="BB88" s="31">
        <f>IF(D88&lt;&gt;"",D88,IFERROR(VLOOKUP(MID(AS88,4,1),Lists!$E$2:$F$8,2,FALSE),""))</f>
        <v/>
      </c>
      <c r="BC88" s="31">
        <f>IFERROR(VLOOKUP(BB88,Lists!$A$2:$C$12,3,FALSE),"")</f>
        <v/>
      </c>
      <c r="BD88" s="31">
        <f>COUNTIF(W88:AC88,"Yes")</f>
        <v/>
      </c>
      <c r="BE88" s="31">
        <f>IF(TRIM(B88)="","Legal name missing; ","")&amp;IF(AND(AV88&lt;&gt;"",AV88&lt;&gt;"OK"),"GSTIN: "&amp;AV88&amp;"; ","")&amp;IF(AND(AW88&lt;&gt;"",AW88&lt;&gt;"OK"),"PAN wrong format; ","")&amp;IF(AND(BA88&lt;&gt;"",LEN(AZ88)=15,MID(AZ88,3,10)&lt;&gt;BA88),"PAN does not match GSTIN; ","")&amp;IF(AND(AX88&lt;&gt;"",AX88&lt;&gt;"OK"),"TAN wrong format; ","")&amp;IF(AS88="","PAN missing; ","")&amp;IF(BB88="","Entity type missing; ","")&amp;IF(AND(AZ88&lt;&gt;"",COUNTIF($AZ$6:$AZ$1005,AZ88)&gt;1),"GSTIN repeated in this sheet; ","")&amp;IF(AND(AS88&lt;&gt;"",COUNTIF($AS$6:$AS$1005,AS88)&gt;1),"PAN repeated in this sheet (same client? put extra GSTINs in Other GSTINs); ","")&amp;IF(AND(BD88&gt;0,V88=""),"Financial year missing; ","")&amp;IF(AND(BD88=0,V88&lt;&gt;""),"Financial year given but no service is Yes; ","")&amp;IF(AND(W88="Yes",AZ88=""),"GST needs a GSTIN; ","")&amp;IF(AND(W88="Yes",X88=""),"GST return frequency missing; ","")&amp;IF(AND(Y88="Yes",TRIM(H88)=""),"TDS needs a TAN; ","")&amp;IF(AND(AA88="Yes",BC88&lt;&gt;"",BC88&lt;&gt;"company",BC88&lt;&gt;"llp"),"ROC is only for a company / LLP; ","")&amp;IF(AND(AA88="Yes",OR(BC88="company",BC88="llp"),TRIM(I88)=""),"ROC needs the CIN / LLPIN; ","")&amp;IF((TRIM(AF88)="")&lt;&gt;(TRIM(AG88)=""),"GST login needs both user ID and password; ","")&amp;IF((TRIM(AH88)="")&lt;&gt;(TRIM(AI88)=""),"Income-tax login needs both user ID and password; ","")&amp;IF((TRIM(AJ88)="")&lt;&gt;(TRIM(AK88)=""),"Income-tax login needs both user ID and password; ","")&amp;IF((TRIM(AL88)="")&lt;&gt;(TRIM(AM88)=""),"TRACES login needs both user ID and password; ","")&amp;IF((TRIM(AN88)="")&lt;&gt;(TRIM(AO88)=""),"MCA login needs both user ID and password; ","")&amp;IF((TRIM(AP88)="")&lt;&gt;(TRIM(AQ88)=""),"E-way bill login needs both user ID and password; ","")</f>
        <v/>
      </c>
    </row>
    <row r="89">
      <c r="A89" s="32" t="n"/>
      <c r="B89" s="33" t="n"/>
      <c r="C89" s="33" t="n"/>
      <c r="D89" s="33" t="n"/>
      <c r="E89" s="32" t="n"/>
      <c r="F89" s="32" t="n"/>
      <c r="G89" s="32" t="n"/>
      <c r="H89" s="32" t="n"/>
      <c r="I89" s="32" t="n"/>
      <c r="J89" s="34" t="n"/>
      <c r="K89" s="33" t="n"/>
      <c r="L89" s="32" t="n"/>
      <c r="M89" s="33" t="n"/>
      <c r="N89" s="33" t="n"/>
      <c r="O89" s="33" t="n"/>
      <c r="P89" s="32" t="n"/>
      <c r="Q89" s="33" t="n"/>
      <c r="R89" s="33" t="n"/>
      <c r="S89" s="33" t="n"/>
      <c r="T89" s="33" t="n"/>
      <c r="U89" s="32" t="n"/>
      <c r="V89" s="33" t="n"/>
      <c r="W89" s="33" t="n"/>
      <c r="X89" s="33" t="n"/>
      <c r="Y89" s="33" t="n"/>
      <c r="Z89" s="33" t="n"/>
      <c r="AA89" s="33" t="n"/>
      <c r="AB89" s="33" t="n"/>
      <c r="AC89" s="33" t="n"/>
      <c r="AD89" s="33" t="n"/>
      <c r="AE89" s="33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2" t="n"/>
      <c r="AO89" s="32" t="n"/>
      <c r="AP89" s="32" t="n"/>
      <c r="AQ89" s="32" t="n"/>
      <c r="AR89" s="29">
        <f>IF(NOT(COUNTA(A89:AE89)&gt;0),"",IF(A89="","New client","Update"))</f>
        <v/>
      </c>
      <c r="AS89" s="29">
        <f>IF(BA89&lt;&gt;"",BA89,IF(LEN(AZ89)=15,MID(AZ89,3,10),""))</f>
        <v/>
      </c>
      <c r="AT89" s="29">
        <f>IF(BB89="","",BB89&amp;IF(D89="","  (guessed from PAN)",""))</f>
        <v/>
      </c>
      <c r="AU89" s="29">
        <f>IF(AZ89="","",IFERROR(INDEX(Lists!$L$2:$L$38,MATCH(LEFT(AZ89,2),Lists!$K$2:$K$38,0)),"Unknown code"))</f>
        <v/>
      </c>
      <c r="AV89" s="29">
        <f>IF(AZ89="","",IFERROR(IF(NOT(AND(LEN(AZ89)=15,ISNUMBER(MATCH(LEFT(AZ89,2),Lists!$K$2:$K$38,0)),SUMPRODUCT(--ISERROR(FIND(MID(MID(AZ89,3,10),{1,2,3,4,5,10},1),"ABCDEFGHIJKLMNOPQRSTUVWXYZ")))=0,SUMPRODUCT(--ISERROR(FIND(MID(MID(AZ89,3,10),{6,7,8,9},1),"0123456789")))=0,ISNUMBER(FIND(MID(AZ89,13,1),"123456789ABCDEFGHIJKLMNOPQRSTUVWXYZ")),MID(AZ89,14,1)="Z")),"Wrong format",IF(MID("0123456789ABCDEFGHIJKLMNOPQRSTUVWXYZ",MOD(36-MOD(SUMPRODUCT(INT((FIND(MID(AZ89,{1,2,3,4,5,6,7,8,9,10,11,12,13,14},1),"0123456789ABCDEFGHIJKLMNOPQRSTUVWXYZ")-1)*{1,2,1,2,1,2,1,2,1,2,1,2,1,2}/36)+MOD((FIND(MID(AZ89,{1,2,3,4,5,6,7,8,9,10,11,12,13,14},1),"0123456789ABCDEFGHIJKLMNOPQRSTUVWXYZ")-1)*{1,2,1,2,1,2,1,2,1,2,1,2,1,2},36)),36),36)+1,1)=MID(AZ89,15,1),"OK","Typo? check digit wrong")),"Wrong format"))</f>
        <v/>
      </c>
      <c r="AW89" s="29">
        <f>IF(BA89="","",IF(AND(LEN(BA89)=10,SUMPRODUCT(--ISERROR(FIND(MID(BA89,{1,2,3,4,5,10},1),"ABCDEFGHIJKLMNOPQRSTUVWXYZ")))=0,SUMPRODUCT(--ISERROR(FIND(MID(BA89,{6,7,8,9},1),"0123456789")))=0),"OK","Wrong format"))</f>
        <v/>
      </c>
      <c r="AX89" s="29">
        <f>IF(TRIM(H89)="","",IF(AND(LEN(UPPER(TRIM(H89)))=10,SUMPRODUCT(--ISERROR(FIND(MID(UPPER(TRIM(H89)),{1,2,3,4,10},1),"ABCDEFGHIJKLMNOPQRSTUVWXYZ")))=0,SUMPRODUCT(--ISERROR(FIND(MID(UPPER(TRIM(H89)),{5,6,7,8,9},1),"0123456789")))=0),"OK","Wrong format"))</f>
        <v/>
      </c>
      <c r="AY89" s="30">
        <f>IF(NOT(COUNTA(A89:AE89)&gt;0),"",IF(BE89&lt;&gt;"","✖ "&amp;LEFT(BE89,LEN(BE89)-2),IF(BD89&gt;0,"✔ Ready — client + "&amp;BD89&amp;" service(s)","✔ Ready — client only")))</f>
        <v/>
      </c>
      <c r="AZ89" s="31">
        <f>UPPER(SUBSTITUTE(TRIM(F89)," ",""))</f>
        <v/>
      </c>
      <c r="BA89" s="31">
        <f>UPPER(SUBSTITUTE(TRIM(E89)," ",""))</f>
        <v/>
      </c>
      <c r="BB89" s="31">
        <f>IF(D89&lt;&gt;"",D89,IFERROR(VLOOKUP(MID(AS89,4,1),Lists!$E$2:$F$8,2,FALSE),""))</f>
        <v/>
      </c>
      <c r="BC89" s="31">
        <f>IFERROR(VLOOKUP(BB89,Lists!$A$2:$C$12,3,FALSE),"")</f>
        <v/>
      </c>
      <c r="BD89" s="31">
        <f>COUNTIF(W89:AC89,"Yes")</f>
        <v/>
      </c>
      <c r="BE89" s="31">
        <f>IF(TRIM(B89)="","Legal name missing; ","")&amp;IF(AND(AV89&lt;&gt;"",AV89&lt;&gt;"OK"),"GSTIN: "&amp;AV89&amp;"; ","")&amp;IF(AND(AW89&lt;&gt;"",AW89&lt;&gt;"OK"),"PAN wrong format; ","")&amp;IF(AND(BA89&lt;&gt;"",LEN(AZ89)=15,MID(AZ89,3,10)&lt;&gt;BA89),"PAN does not match GSTIN; ","")&amp;IF(AND(AX89&lt;&gt;"",AX89&lt;&gt;"OK"),"TAN wrong format; ","")&amp;IF(AS89="","PAN missing; ","")&amp;IF(BB89="","Entity type missing; ","")&amp;IF(AND(AZ89&lt;&gt;"",COUNTIF($AZ$6:$AZ$1005,AZ89)&gt;1),"GSTIN repeated in this sheet; ","")&amp;IF(AND(AS89&lt;&gt;"",COUNTIF($AS$6:$AS$1005,AS89)&gt;1),"PAN repeated in this sheet (same client? put extra GSTINs in Other GSTINs); ","")&amp;IF(AND(BD89&gt;0,V89=""),"Financial year missing; ","")&amp;IF(AND(BD89=0,V89&lt;&gt;""),"Financial year given but no service is Yes; ","")&amp;IF(AND(W89="Yes",AZ89=""),"GST needs a GSTIN; ","")&amp;IF(AND(W89="Yes",X89=""),"GST return frequency missing; ","")&amp;IF(AND(Y89="Yes",TRIM(H89)=""),"TDS needs a TAN; ","")&amp;IF(AND(AA89="Yes",BC89&lt;&gt;"",BC89&lt;&gt;"company",BC89&lt;&gt;"llp"),"ROC is only for a company / LLP; ","")&amp;IF(AND(AA89="Yes",OR(BC89="company",BC89="llp"),TRIM(I89)=""),"ROC needs the CIN / LLPIN; ","")&amp;IF((TRIM(AF89)="")&lt;&gt;(TRIM(AG89)=""),"GST login needs both user ID and password; ","")&amp;IF((TRIM(AH89)="")&lt;&gt;(TRIM(AI89)=""),"Income-tax login needs both user ID and password; ","")&amp;IF((TRIM(AJ89)="")&lt;&gt;(TRIM(AK89)=""),"Income-tax login needs both user ID and password; ","")&amp;IF((TRIM(AL89)="")&lt;&gt;(TRIM(AM89)=""),"TRACES login needs both user ID and password; ","")&amp;IF((TRIM(AN89)="")&lt;&gt;(TRIM(AO89)=""),"MCA login needs both user ID and password; ","")&amp;IF((TRIM(AP89)="")&lt;&gt;(TRIM(AQ89)=""),"E-way bill login needs both user ID and password; ","")</f>
        <v/>
      </c>
    </row>
    <row r="90">
      <c r="A90" s="32" t="n"/>
      <c r="B90" s="33" t="n"/>
      <c r="C90" s="33" t="n"/>
      <c r="D90" s="33" t="n"/>
      <c r="E90" s="32" t="n"/>
      <c r="F90" s="32" t="n"/>
      <c r="G90" s="32" t="n"/>
      <c r="H90" s="32" t="n"/>
      <c r="I90" s="32" t="n"/>
      <c r="J90" s="34" t="n"/>
      <c r="K90" s="33" t="n"/>
      <c r="L90" s="32" t="n"/>
      <c r="M90" s="33" t="n"/>
      <c r="N90" s="33" t="n"/>
      <c r="O90" s="33" t="n"/>
      <c r="P90" s="32" t="n"/>
      <c r="Q90" s="33" t="n"/>
      <c r="R90" s="33" t="n"/>
      <c r="S90" s="33" t="n"/>
      <c r="T90" s="33" t="n"/>
      <c r="U90" s="32" t="n"/>
      <c r="V90" s="33" t="n"/>
      <c r="W90" s="33" t="n"/>
      <c r="X90" s="33" t="n"/>
      <c r="Y90" s="33" t="n"/>
      <c r="Z90" s="33" t="n"/>
      <c r="AA90" s="33" t="n"/>
      <c r="AB90" s="33" t="n"/>
      <c r="AC90" s="33" t="n"/>
      <c r="AD90" s="33" t="n"/>
      <c r="AE90" s="33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2" t="n"/>
      <c r="AO90" s="32" t="n"/>
      <c r="AP90" s="32" t="n"/>
      <c r="AQ90" s="32" t="n"/>
      <c r="AR90" s="29">
        <f>IF(NOT(COUNTA(A90:AE90)&gt;0),"",IF(A90="","New client","Update"))</f>
        <v/>
      </c>
      <c r="AS90" s="29">
        <f>IF(BA90&lt;&gt;"",BA90,IF(LEN(AZ90)=15,MID(AZ90,3,10),""))</f>
        <v/>
      </c>
      <c r="AT90" s="29">
        <f>IF(BB90="","",BB90&amp;IF(D90="","  (guessed from PAN)",""))</f>
        <v/>
      </c>
      <c r="AU90" s="29">
        <f>IF(AZ90="","",IFERROR(INDEX(Lists!$L$2:$L$38,MATCH(LEFT(AZ90,2),Lists!$K$2:$K$38,0)),"Unknown code"))</f>
        <v/>
      </c>
      <c r="AV90" s="29">
        <f>IF(AZ90="","",IFERROR(IF(NOT(AND(LEN(AZ90)=15,ISNUMBER(MATCH(LEFT(AZ90,2),Lists!$K$2:$K$38,0)),SUMPRODUCT(--ISERROR(FIND(MID(MID(AZ90,3,10),{1,2,3,4,5,10},1),"ABCDEFGHIJKLMNOPQRSTUVWXYZ")))=0,SUMPRODUCT(--ISERROR(FIND(MID(MID(AZ90,3,10),{6,7,8,9},1),"0123456789")))=0,ISNUMBER(FIND(MID(AZ90,13,1),"123456789ABCDEFGHIJKLMNOPQRSTUVWXYZ")),MID(AZ90,14,1)="Z")),"Wrong format",IF(MID("0123456789ABCDEFGHIJKLMNOPQRSTUVWXYZ",MOD(36-MOD(SUMPRODUCT(INT((FIND(MID(AZ90,{1,2,3,4,5,6,7,8,9,10,11,12,13,14},1),"0123456789ABCDEFGHIJKLMNOPQRSTUVWXYZ")-1)*{1,2,1,2,1,2,1,2,1,2,1,2,1,2}/36)+MOD((FIND(MID(AZ90,{1,2,3,4,5,6,7,8,9,10,11,12,13,14},1),"0123456789ABCDEFGHIJKLMNOPQRSTUVWXYZ")-1)*{1,2,1,2,1,2,1,2,1,2,1,2,1,2},36)),36),36)+1,1)=MID(AZ90,15,1),"OK","Typo? check digit wrong")),"Wrong format"))</f>
        <v/>
      </c>
      <c r="AW90" s="29">
        <f>IF(BA90="","",IF(AND(LEN(BA90)=10,SUMPRODUCT(--ISERROR(FIND(MID(BA90,{1,2,3,4,5,10},1),"ABCDEFGHIJKLMNOPQRSTUVWXYZ")))=0,SUMPRODUCT(--ISERROR(FIND(MID(BA90,{6,7,8,9},1),"0123456789")))=0),"OK","Wrong format"))</f>
        <v/>
      </c>
      <c r="AX90" s="29">
        <f>IF(TRIM(H90)="","",IF(AND(LEN(UPPER(TRIM(H90)))=10,SUMPRODUCT(--ISERROR(FIND(MID(UPPER(TRIM(H90)),{1,2,3,4,10},1),"ABCDEFGHIJKLMNOPQRSTUVWXYZ")))=0,SUMPRODUCT(--ISERROR(FIND(MID(UPPER(TRIM(H90)),{5,6,7,8,9},1),"0123456789")))=0),"OK","Wrong format"))</f>
        <v/>
      </c>
      <c r="AY90" s="30">
        <f>IF(NOT(COUNTA(A90:AE90)&gt;0),"",IF(BE90&lt;&gt;"","✖ "&amp;LEFT(BE90,LEN(BE90)-2),IF(BD90&gt;0,"✔ Ready — client + "&amp;BD90&amp;" service(s)","✔ Ready — client only")))</f>
        <v/>
      </c>
      <c r="AZ90" s="31">
        <f>UPPER(SUBSTITUTE(TRIM(F90)," ",""))</f>
        <v/>
      </c>
      <c r="BA90" s="31">
        <f>UPPER(SUBSTITUTE(TRIM(E90)," ",""))</f>
        <v/>
      </c>
      <c r="BB90" s="31">
        <f>IF(D90&lt;&gt;"",D90,IFERROR(VLOOKUP(MID(AS90,4,1),Lists!$E$2:$F$8,2,FALSE),""))</f>
        <v/>
      </c>
      <c r="BC90" s="31">
        <f>IFERROR(VLOOKUP(BB90,Lists!$A$2:$C$12,3,FALSE),"")</f>
        <v/>
      </c>
      <c r="BD90" s="31">
        <f>COUNTIF(W90:AC90,"Yes")</f>
        <v/>
      </c>
      <c r="BE90" s="31">
        <f>IF(TRIM(B90)="","Legal name missing; ","")&amp;IF(AND(AV90&lt;&gt;"",AV90&lt;&gt;"OK"),"GSTIN: "&amp;AV90&amp;"; ","")&amp;IF(AND(AW90&lt;&gt;"",AW90&lt;&gt;"OK"),"PAN wrong format; ","")&amp;IF(AND(BA90&lt;&gt;"",LEN(AZ90)=15,MID(AZ90,3,10)&lt;&gt;BA90),"PAN does not match GSTIN; ","")&amp;IF(AND(AX90&lt;&gt;"",AX90&lt;&gt;"OK"),"TAN wrong format; ","")&amp;IF(AS90="","PAN missing; ","")&amp;IF(BB90="","Entity type missing; ","")&amp;IF(AND(AZ90&lt;&gt;"",COUNTIF($AZ$6:$AZ$1005,AZ90)&gt;1),"GSTIN repeated in this sheet; ","")&amp;IF(AND(AS90&lt;&gt;"",COUNTIF($AS$6:$AS$1005,AS90)&gt;1),"PAN repeated in this sheet (same client? put extra GSTINs in Other GSTINs); ","")&amp;IF(AND(BD90&gt;0,V90=""),"Financial year missing; ","")&amp;IF(AND(BD90=0,V90&lt;&gt;""),"Financial year given but no service is Yes; ","")&amp;IF(AND(W90="Yes",AZ90=""),"GST needs a GSTIN; ","")&amp;IF(AND(W90="Yes",X90=""),"GST return frequency missing; ","")&amp;IF(AND(Y90="Yes",TRIM(H90)=""),"TDS needs a TAN; ","")&amp;IF(AND(AA90="Yes",BC90&lt;&gt;"",BC90&lt;&gt;"company",BC90&lt;&gt;"llp"),"ROC is only for a company / LLP; ","")&amp;IF(AND(AA90="Yes",OR(BC90="company",BC90="llp"),TRIM(I90)=""),"ROC needs the CIN / LLPIN; ","")&amp;IF((TRIM(AF90)="")&lt;&gt;(TRIM(AG90)=""),"GST login needs both user ID and password; ","")&amp;IF((TRIM(AH90)="")&lt;&gt;(TRIM(AI90)=""),"Income-tax login needs both user ID and password; ","")&amp;IF((TRIM(AJ90)="")&lt;&gt;(TRIM(AK90)=""),"Income-tax login needs both user ID and password; ","")&amp;IF((TRIM(AL90)="")&lt;&gt;(TRIM(AM90)=""),"TRACES login needs both user ID and password; ","")&amp;IF((TRIM(AN90)="")&lt;&gt;(TRIM(AO90)=""),"MCA login needs both user ID and password; ","")&amp;IF((TRIM(AP90)="")&lt;&gt;(TRIM(AQ90)=""),"E-way bill login needs both user ID and password; ","")</f>
        <v/>
      </c>
    </row>
    <row r="91">
      <c r="A91" s="32" t="n"/>
      <c r="B91" s="33" t="n"/>
      <c r="C91" s="33" t="n"/>
      <c r="D91" s="33" t="n"/>
      <c r="E91" s="32" t="n"/>
      <c r="F91" s="32" t="n"/>
      <c r="G91" s="32" t="n"/>
      <c r="H91" s="32" t="n"/>
      <c r="I91" s="32" t="n"/>
      <c r="J91" s="34" t="n"/>
      <c r="K91" s="33" t="n"/>
      <c r="L91" s="32" t="n"/>
      <c r="M91" s="33" t="n"/>
      <c r="N91" s="33" t="n"/>
      <c r="O91" s="33" t="n"/>
      <c r="P91" s="32" t="n"/>
      <c r="Q91" s="33" t="n"/>
      <c r="R91" s="33" t="n"/>
      <c r="S91" s="33" t="n"/>
      <c r="T91" s="33" t="n"/>
      <c r="U91" s="32" t="n"/>
      <c r="V91" s="33" t="n"/>
      <c r="W91" s="33" t="n"/>
      <c r="X91" s="33" t="n"/>
      <c r="Y91" s="33" t="n"/>
      <c r="Z91" s="33" t="n"/>
      <c r="AA91" s="33" t="n"/>
      <c r="AB91" s="33" t="n"/>
      <c r="AC91" s="33" t="n"/>
      <c r="AD91" s="33" t="n"/>
      <c r="AE91" s="33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2" t="n"/>
      <c r="AO91" s="32" t="n"/>
      <c r="AP91" s="32" t="n"/>
      <c r="AQ91" s="32" t="n"/>
      <c r="AR91" s="29">
        <f>IF(NOT(COUNTA(A91:AE91)&gt;0),"",IF(A91="","New client","Update"))</f>
        <v/>
      </c>
      <c r="AS91" s="29">
        <f>IF(BA91&lt;&gt;"",BA91,IF(LEN(AZ91)=15,MID(AZ91,3,10),""))</f>
        <v/>
      </c>
      <c r="AT91" s="29">
        <f>IF(BB91="","",BB91&amp;IF(D91="","  (guessed from PAN)",""))</f>
        <v/>
      </c>
      <c r="AU91" s="29">
        <f>IF(AZ91="","",IFERROR(INDEX(Lists!$L$2:$L$38,MATCH(LEFT(AZ91,2),Lists!$K$2:$K$38,0)),"Unknown code"))</f>
        <v/>
      </c>
      <c r="AV91" s="29">
        <f>IF(AZ91="","",IFERROR(IF(NOT(AND(LEN(AZ91)=15,ISNUMBER(MATCH(LEFT(AZ91,2),Lists!$K$2:$K$38,0)),SUMPRODUCT(--ISERROR(FIND(MID(MID(AZ91,3,10),{1,2,3,4,5,10},1),"ABCDEFGHIJKLMNOPQRSTUVWXYZ")))=0,SUMPRODUCT(--ISERROR(FIND(MID(MID(AZ91,3,10),{6,7,8,9},1),"0123456789")))=0,ISNUMBER(FIND(MID(AZ91,13,1),"123456789ABCDEFGHIJKLMNOPQRSTUVWXYZ")),MID(AZ91,14,1)="Z")),"Wrong format",IF(MID("0123456789ABCDEFGHIJKLMNOPQRSTUVWXYZ",MOD(36-MOD(SUMPRODUCT(INT((FIND(MID(AZ91,{1,2,3,4,5,6,7,8,9,10,11,12,13,14},1),"0123456789ABCDEFGHIJKLMNOPQRSTUVWXYZ")-1)*{1,2,1,2,1,2,1,2,1,2,1,2,1,2}/36)+MOD((FIND(MID(AZ91,{1,2,3,4,5,6,7,8,9,10,11,12,13,14},1),"0123456789ABCDEFGHIJKLMNOPQRSTUVWXYZ")-1)*{1,2,1,2,1,2,1,2,1,2,1,2,1,2},36)),36),36)+1,1)=MID(AZ91,15,1),"OK","Typo? check digit wrong")),"Wrong format"))</f>
        <v/>
      </c>
      <c r="AW91" s="29">
        <f>IF(BA91="","",IF(AND(LEN(BA91)=10,SUMPRODUCT(--ISERROR(FIND(MID(BA91,{1,2,3,4,5,10},1),"ABCDEFGHIJKLMNOPQRSTUVWXYZ")))=0,SUMPRODUCT(--ISERROR(FIND(MID(BA91,{6,7,8,9},1),"0123456789")))=0),"OK","Wrong format"))</f>
        <v/>
      </c>
      <c r="AX91" s="29">
        <f>IF(TRIM(H91)="","",IF(AND(LEN(UPPER(TRIM(H91)))=10,SUMPRODUCT(--ISERROR(FIND(MID(UPPER(TRIM(H91)),{1,2,3,4,10},1),"ABCDEFGHIJKLMNOPQRSTUVWXYZ")))=0,SUMPRODUCT(--ISERROR(FIND(MID(UPPER(TRIM(H91)),{5,6,7,8,9},1),"0123456789")))=0),"OK","Wrong format"))</f>
        <v/>
      </c>
      <c r="AY91" s="30">
        <f>IF(NOT(COUNTA(A91:AE91)&gt;0),"",IF(BE91&lt;&gt;"","✖ "&amp;LEFT(BE91,LEN(BE91)-2),IF(BD91&gt;0,"✔ Ready — client + "&amp;BD91&amp;" service(s)","✔ Ready — client only")))</f>
        <v/>
      </c>
      <c r="AZ91" s="31">
        <f>UPPER(SUBSTITUTE(TRIM(F91)," ",""))</f>
        <v/>
      </c>
      <c r="BA91" s="31">
        <f>UPPER(SUBSTITUTE(TRIM(E91)," ",""))</f>
        <v/>
      </c>
      <c r="BB91" s="31">
        <f>IF(D91&lt;&gt;"",D91,IFERROR(VLOOKUP(MID(AS91,4,1),Lists!$E$2:$F$8,2,FALSE),""))</f>
        <v/>
      </c>
      <c r="BC91" s="31">
        <f>IFERROR(VLOOKUP(BB91,Lists!$A$2:$C$12,3,FALSE),"")</f>
        <v/>
      </c>
      <c r="BD91" s="31">
        <f>COUNTIF(W91:AC91,"Yes")</f>
        <v/>
      </c>
      <c r="BE91" s="31">
        <f>IF(TRIM(B91)="","Legal name missing; ","")&amp;IF(AND(AV91&lt;&gt;"",AV91&lt;&gt;"OK"),"GSTIN: "&amp;AV91&amp;"; ","")&amp;IF(AND(AW91&lt;&gt;"",AW91&lt;&gt;"OK"),"PAN wrong format; ","")&amp;IF(AND(BA91&lt;&gt;"",LEN(AZ91)=15,MID(AZ91,3,10)&lt;&gt;BA91),"PAN does not match GSTIN; ","")&amp;IF(AND(AX91&lt;&gt;"",AX91&lt;&gt;"OK"),"TAN wrong format; ","")&amp;IF(AS91="","PAN missing; ","")&amp;IF(BB91="","Entity type missing; ","")&amp;IF(AND(AZ91&lt;&gt;"",COUNTIF($AZ$6:$AZ$1005,AZ91)&gt;1),"GSTIN repeated in this sheet; ","")&amp;IF(AND(AS91&lt;&gt;"",COUNTIF($AS$6:$AS$1005,AS91)&gt;1),"PAN repeated in this sheet (same client? put extra GSTINs in Other GSTINs); ","")&amp;IF(AND(BD91&gt;0,V91=""),"Financial year missing; ","")&amp;IF(AND(BD91=0,V91&lt;&gt;""),"Financial year given but no service is Yes; ","")&amp;IF(AND(W91="Yes",AZ91=""),"GST needs a GSTIN; ","")&amp;IF(AND(W91="Yes",X91=""),"GST return frequency missing; ","")&amp;IF(AND(Y91="Yes",TRIM(H91)=""),"TDS needs a TAN; ","")&amp;IF(AND(AA91="Yes",BC91&lt;&gt;"",BC91&lt;&gt;"company",BC91&lt;&gt;"llp"),"ROC is only for a company / LLP; ","")&amp;IF(AND(AA91="Yes",OR(BC91="company",BC91="llp"),TRIM(I91)=""),"ROC needs the CIN / LLPIN; ","")&amp;IF((TRIM(AF91)="")&lt;&gt;(TRIM(AG91)=""),"GST login needs both user ID and password; ","")&amp;IF((TRIM(AH91)="")&lt;&gt;(TRIM(AI91)=""),"Income-tax login needs both user ID and password; ","")&amp;IF((TRIM(AJ91)="")&lt;&gt;(TRIM(AK91)=""),"Income-tax login needs both user ID and password; ","")&amp;IF((TRIM(AL91)="")&lt;&gt;(TRIM(AM91)=""),"TRACES login needs both user ID and password; ","")&amp;IF((TRIM(AN91)="")&lt;&gt;(TRIM(AO91)=""),"MCA login needs both user ID and password; ","")&amp;IF((TRIM(AP91)="")&lt;&gt;(TRIM(AQ91)=""),"E-way bill login needs both user ID and password; ","")</f>
        <v/>
      </c>
    </row>
    <row r="92">
      <c r="A92" s="32" t="n"/>
      <c r="B92" s="33" t="n"/>
      <c r="C92" s="33" t="n"/>
      <c r="D92" s="33" t="n"/>
      <c r="E92" s="32" t="n"/>
      <c r="F92" s="32" t="n"/>
      <c r="G92" s="32" t="n"/>
      <c r="H92" s="32" t="n"/>
      <c r="I92" s="32" t="n"/>
      <c r="J92" s="34" t="n"/>
      <c r="K92" s="33" t="n"/>
      <c r="L92" s="32" t="n"/>
      <c r="M92" s="33" t="n"/>
      <c r="N92" s="33" t="n"/>
      <c r="O92" s="33" t="n"/>
      <c r="P92" s="32" t="n"/>
      <c r="Q92" s="33" t="n"/>
      <c r="R92" s="33" t="n"/>
      <c r="S92" s="33" t="n"/>
      <c r="T92" s="33" t="n"/>
      <c r="U92" s="32" t="n"/>
      <c r="V92" s="33" t="n"/>
      <c r="W92" s="33" t="n"/>
      <c r="X92" s="33" t="n"/>
      <c r="Y92" s="33" t="n"/>
      <c r="Z92" s="33" t="n"/>
      <c r="AA92" s="33" t="n"/>
      <c r="AB92" s="33" t="n"/>
      <c r="AC92" s="33" t="n"/>
      <c r="AD92" s="33" t="n"/>
      <c r="AE92" s="33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2" t="n"/>
      <c r="AO92" s="32" t="n"/>
      <c r="AP92" s="32" t="n"/>
      <c r="AQ92" s="32" t="n"/>
      <c r="AR92" s="29">
        <f>IF(NOT(COUNTA(A92:AE92)&gt;0),"",IF(A92="","New client","Update"))</f>
        <v/>
      </c>
      <c r="AS92" s="29">
        <f>IF(BA92&lt;&gt;"",BA92,IF(LEN(AZ92)=15,MID(AZ92,3,10),""))</f>
        <v/>
      </c>
      <c r="AT92" s="29">
        <f>IF(BB92="","",BB92&amp;IF(D92="","  (guessed from PAN)",""))</f>
        <v/>
      </c>
      <c r="AU92" s="29">
        <f>IF(AZ92="","",IFERROR(INDEX(Lists!$L$2:$L$38,MATCH(LEFT(AZ92,2),Lists!$K$2:$K$38,0)),"Unknown code"))</f>
        <v/>
      </c>
      <c r="AV92" s="29">
        <f>IF(AZ92="","",IFERROR(IF(NOT(AND(LEN(AZ92)=15,ISNUMBER(MATCH(LEFT(AZ92,2),Lists!$K$2:$K$38,0)),SUMPRODUCT(--ISERROR(FIND(MID(MID(AZ92,3,10),{1,2,3,4,5,10},1),"ABCDEFGHIJKLMNOPQRSTUVWXYZ")))=0,SUMPRODUCT(--ISERROR(FIND(MID(MID(AZ92,3,10),{6,7,8,9},1),"0123456789")))=0,ISNUMBER(FIND(MID(AZ92,13,1),"123456789ABCDEFGHIJKLMNOPQRSTUVWXYZ")),MID(AZ92,14,1)="Z")),"Wrong format",IF(MID("0123456789ABCDEFGHIJKLMNOPQRSTUVWXYZ",MOD(36-MOD(SUMPRODUCT(INT((FIND(MID(AZ92,{1,2,3,4,5,6,7,8,9,10,11,12,13,14},1),"0123456789ABCDEFGHIJKLMNOPQRSTUVWXYZ")-1)*{1,2,1,2,1,2,1,2,1,2,1,2,1,2}/36)+MOD((FIND(MID(AZ92,{1,2,3,4,5,6,7,8,9,10,11,12,13,14},1),"0123456789ABCDEFGHIJKLMNOPQRSTUVWXYZ")-1)*{1,2,1,2,1,2,1,2,1,2,1,2,1,2},36)),36),36)+1,1)=MID(AZ92,15,1),"OK","Typo? check digit wrong")),"Wrong format"))</f>
        <v/>
      </c>
      <c r="AW92" s="29">
        <f>IF(BA92="","",IF(AND(LEN(BA92)=10,SUMPRODUCT(--ISERROR(FIND(MID(BA92,{1,2,3,4,5,10},1),"ABCDEFGHIJKLMNOPQRSTUVWXYZ")))=0,SUMPRODUCT(--ISERROR(FIND(MID(BA92,{6,7,8,9},1),"0123456789")))=0),"OK","Wrong format"))</f>
        <v/>
      </c>
      <c r="AX92" s="29">
        <f>IF(TRIM(H92)="","",IF(AND(LEN(UPPER(TRIM(H92)))=10,SUMPRODUCT(--ISERROR(FIND(MID(UPPER(TRIM(H92)),{1,2,3,4,10},1),"ABCDEFGHIJKLMNOPQRSTUVWXYZ")))=0,SUMPRODUCT(--ISERROR(FIND(MID(UPPER(TRIM(H92)),{5,6,7,8,9},1),"0123456789")))=0),"OK","Wrong format"))</f>
        <v/>
      </c>
      <c r="AY92" s="30">
        <f>IF(NOT(COUNTA(A92:AE92)&gt;0),"",IF(BE92&lt;&gt;"","✖ "&amp;LEFT(BE92,LEN(BE92)-2),IF(BD92&gt;0,"✔ Ready — client + "&amp;BD92&amp;" service(s)","✔ Ready — client only")))</f>
        <v/>
      </c>
      <c r="AZ92" s="31">
        <f>UPPER(SUBSTITUTE(TRIM(F92)," ",""))</f>
        <v/>
      </c>
      <c r="BA92" s="31">
        <f>UPPER(SUBSTITUTE(TRIM(E92)," ",""))</f>
        <v/>
      </c>
      <c r="BB92" s="31">
        <f>IF(D92&lt;&gt;"",D92,IFERROR(VLOOKUP(MID(AS92,4,1),Lists!$E$2:$F$8,2,FALSE),""))</f>
        <v/>
      </c>
      <c r="BC92" s="31">
        <f>IFERROR(VLOOKUP(BB92,Lists!$A$2:$C$12,3,FALSE),"")</f>
        <v/>
      </c>
      <c r="BD92" s="31">
        <f>COUNTIF(W92:AC92,"Yes")</f>
        <v/>
      </c>
      <c r="BE92" s="31">
        <f>IF(TRIM(B92)="","Legal name missing; ","")&amp;IF(AND(AV92&lt;&gt;"",AV92&lt;&gt;"OK"),"GSTIN: "&amp;AV92&amp;"; ","")&amp;IF(AND(AW92&lt;&gt;"",AW92&lt;&gt;"OK"),"PAN wrong format; ","")&amp;IF(AND(BA92&lt;&gt;"",LEN(AZ92)=15,MID(AZ92,3,10)&lt;&gt;BA92),"PAN does not match GSTIN; ","")&amp;IF(AND(AX92&lt;&gt;"",AX92&lt;&gt;"OK"),"TAN wrong format; ","")&amp;IF(AS92="","PAN missing; ","")&amp;IF(BB92="","Entity type missing; ","")&amp;IF(AND(AZ92&lt;&gt;"",COUNTIF($AZ$6:$AZ$1005,AZ92)&gt;1),"GSTIN repeated in this sheet; ","")&amp;IF(AND(AS92&lt;&gt;"",COUNTIF($AS$6:$AS$1005,AS92)&gt;1),"PAN repeated in this sheet (same client? put extra GSTINs in Other GSTINs); ","")&amp;IF(AND(BD92&gt;0,V92=""),"Financial year missing; ","")&amp;IF(AND(BD92=0,V92&lt;&gt;""),"Financial year given but no service is Yes; ","")&amp;IF(AND(W92="Yes",AZ92=""),"GST needs a GSTIN; ","")&amp;IF(AND(W92="Yes",X92=""),"GST return frequency missing; ","")&amp;IF(AND(Y92="Yes",TRIM(H92)=""),"TDS needs a TAN; ","")&amp;IF(AND(AA92="Yes",BC92&lt;&gt;"",BC92&lt;&gt;"company",BC92&lt;&gt;"llp"),"ROC is only for a company / LLP; ","")&amp;IF(AND(AA92="Yes",OR(BC92="company",BC92="llp"),TRIM(I92)=""),"ROC needs the CIN / LLPIN; ","")&amp;IF((TRIM(AF92)="")&lt;&gt;(TRIM(AG92)=""),"GST login needs both user ID and password; ","")&amp;IF((TRIM(AH92)="")&lt;&gt;(TRIM(AI92)=""),"Income-tax login needs both user ID and password; ","")&amp;IF((TRIM(AJ92)="")&lt;&gt;(TRIM(AK92)=""),"Income-tax login needs both user ID and password; ","")&amp;IF((TRIM(AL92)="")&lt;&gt;(TRIM(AM92)=""),"TRACES login needs both user ID and password; ","")&amp;IF((TRIM(AN92)="")&lt;&gt;(TRIM(AO92)=""),"MCA login needs both user ID and password; ","")&amp;IF((TRIM(AP92)="")&lt;&gt;(TRIM(AQ92)=""),"E-way bill login needs both user ID and password; ","")</f>
        <v/>
      </c>
    </row>
    <row r="93">
      <c r="A93" s="32" t="n"/>
      <c r="B93" s="33" t="n"/>
      <c r="C93" s="33" t="n"/>
      <c r="D93" s="33" t="n"/>
      <c r="E93" s="32" t="n"/>
      <c r="F93" s="32" t="n"/>
      <c r="G93" s="32" t="n"/>
      <c r="H93" s="32" t="n"/>
      <c r="I93" s="32" t="n"/>
      <c r="J93" s="34" t="n"/>
      <c r="K93" s="33" t="n"/>
      <c r="L93" s="32" t="n"/>
      <c r="M93" s="33" t="n"/>
      <c r="N93" s="33" t="n"/>
      <c r="O93" s="33" t="n"/>
      <c r="P93" s="32" t="n"/>
      <c r="Q93" s="33" t="n"/>
      <c r="R93" s="33" t="n"/>
      <c r="S93" s="33" t="n"/>
      <c r="T93" s="33" t="n"/>
      <c r="U93" s="32" t="n"/>
      <c r="V93" s="33" t="n"/>
      <c r="W93" s="33" t="n"/>
      <c r="X93" s="33" t="n"/>
      <c r="Y93" s="33" t="n"/>
      <c r="Z93" s="33" t="n"/>
      <c r="AA93" s="33" t="n"/>
      <c r="AB93" s="33" t="n"/>
      <c r="AC93" s="33" t="n"/>
      <c r="AD93" s="33" t="n"/>
      <c r="AE93" s="33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2" t="n"/>
      <c r="AO93" s="32" t="n"/>
      <c r="AP93" s="32" t="n"/>
      <c r="AQ93" s="32" t="n"/>
      <c r="AR93" s="29">
        <f>IF(NOT(COUNTA(A93:AE93)&gt;0),"",IF(A93="","New client","Update"))</f>
        <v/>
      </c>
      <c r="AS93" s="29">
        <f>IF(BA93&lt;&gt;"",BA93,IF(LEN(AZ93)=15,MID(AZ93,3,10),""))</f>
        <v/>
      </c>
      <c r="AT93" s="29">
        <f>IF(BB93="","",BB93&amp;IF(D93="","  (guessed from PAN)",""))</f>
        <v/>
      </c>
      <c r="AU93" s="29">
        <f>IF(AZ93="","",IFERROR(INDEX(Lists!$L$2:$L$38,MATCH(LEFT(AZ93,2),Lists!$K$2:$K$38,0)),"Unknown code"))</f>
        <v/>
      </c>
      <c r="AV93" s="29">
        <f>IF(AZ93="","",IFERROR(IF(NOT(AND(LEN(AZ93)=15,ISNUMBER(MATCH(LEFT(AZ93,2),Lists!$K$2:$K$38,0)),SUMPRODUCT(--ISERROR(FIND(MID(MID(AZ93,3,10),{1,2,3,4,5,10},1),"ABCDEFGHIJKLMNOPQRSTUVWXYZ")))=0,SUMPRODUCT(--ISERROR(FIND(MID(MID(AZ93,3,10),{6,7,8,9},1),"0123456789")))=0,ISNUMBER(FIND(MID(AZ93,13,1),"123456789ABCDEFGHIJKLMNOPQRSTUVWXYZ")),MID(AZ93,14,1)="Z")),"Wrong format",IF(MID("0123456789ABCDEFGHIJKLMNOPQRSTUVWXYZ",MOD(36-MOD(SUMPRODUCT(INT((FIND(MID(AZ93,{1,2,3,4,5,6,7,8,9,10,11,12,13,14},1),"0123456789ABCDEFGHIJKLMNOPQRSTUVWXYZ")-1)*{1,2,1,2,1,2,1,2,1,2,1,2,1,2}/36)+MOD((FIND(MID(AZ93,{1,2,3,4,5,6,7,8,9,10,11,12,13,14},1),"0123456789ABCDEFGHIJKLMNOPQRSTUVWXYZ")-1)*{1,2,1,2,1,2,1,2,1,2,1,2,1,2},36)),36),36)+1,1)=MID(AZ93,15,1),"OK","Typo? check digit wrong")),"Wrong format"))</f>
        <v/>
      </c>
      <c r="AW93" s="29">
        <f>IF(BA93="","",IF(AND(LEN(BA93)=10,SUMPRODUCT(--ISERROR(FIND(MID(BA93,{1,2,3,4,5,10},1),"ABCDEFGHIJKLMNOPQRSTUVWXYZ")))=0,SUMPRODUCT(--ISERROR(FIND(MID(BA93,{6,7,8,9},1),"0123456789")))=0),"OK","Wrong format"))</f>
        <v/>
      </c>
      <c r="AX93" s="29">
        <f>IF(TRIM(H93)="","",IF(AND(LEN(UPPER(TRIM(H93)))=10,SUMPRODUCT(--ISERROR(FIND(MID(UPPER(TRIM(H93)),{1,2,3,4,10},1),"ABCDEFGHIJKLMNOPQRSTUVWXYZ")))=0,SUMPRODUCT(--ISERROR(FIND(MID(UPPER(TRIM(H93)),{5,6,7,8,9},1),"0123456789")))=0),"OK","Wrong format"))</f>
        <v/>
      </c>
      <c r="AY93" s="30">
        <f>IF(NOT(COUNTA(A93:AE93)&gt;0),"",IF(BE93&lt;&gt;"","✖ "&amp;LEFT(BE93,LEN(BE93)-2),IF(BD93&gt;0,"✔ Ready — client + "&amp;BD93&amp;" service(s)","✔ Ready — client only")))</f>
        <v/>
      </c>
      <c r="AZ93" s="31">
        <f>UPPER(SUBSTITUTE(TRIM(F93)," ",""))</f>
        <v/>
      </c>
      <c r="BA93" s="31">
        <f>UPPER(SUBSTITUTE(TRIM(E93)," ",""))</f>
        <v/>
      </c>
      <c r="BB93" s="31">
        <f>IF(D93&lt;&gt;"",D93,IFERROR(VLOOKUP(MID(AS93,4,1),Lists!$E$2:$F$8,2,FALSE),""))</f>
        <v/>
      </c>
      <c r="BC93" s="31">
        <f>IFERROR(VLOOKUP(BB93,Lists!$A$2:$C$12,3,FALSE),"")</f>
        <v/>
      </c>
      <c r="BD93" s="31">
        <f>COUNTIF(W93:AC93,"Yes")</f>
        <v/>
      </c>
      <c r="BE93" s="31">
        <f>IF(TRIM(B93)="","Legal name missing; ","")&amp;IF(AND(AV93&lt;&gt;"",AV93&lt;&gt;"OK"),"GSTIN: "&amp;AV93&amp;"; ","")&amp;IF(AND(AW93&lt;&gt;"",AW93&lt;&gt;"OK"),"PAN wrong format; ","")&amp;IF(AND(BA93&lt;&gt;"",LEN(AZ93)=15,MID(AZ93,3,10)&lt;&gt;BA93),"PAN does not match GSTIN; ","")&amp;IF(AND(AX93&lt;&gt;"",AX93&lt;&gt;"OK"),"TAN wrong format; ","")&amp;IF(AS93="","PAN missing; ","")&amp;IF(BB93="","Entity type missing; ","")&amp;IF(AND(AZ93&lt;&gt;"",COUNTIF($AZ$6:$AZ$1005,AZ93)&gt;1),"GSTIN repeated in this sheet; ","")&amp;IF(AND(AS93&lt;&gt;"",COUNTIF($AS$6:$AS$1005,AS93)&gt;1),"PAN repeated in this sheet (same client? put extra GSTINs in Other GSTINs); ","")&amp;IF(AND(BD93&gt;0,V93=""),"Financial year missing; ","")&amp;IF(AND(BD93=0,V93&lt;&gt;""),"Financial year given but no service is Yes; ","")&amp;IF(AND(W93="Yes",AZ93=""),"GST needs a GSTIN; ","")&amp;IF(AND(W93="Yes",X93=""),"GST return frequency missing; ","")&amp;IF(AND(Y93="Yes",TRIM(H93)=""),"TDS needs a TAN; ","")&amp;IF(AND(AA93="Yes",BC93&lt;&gt;"",BC93&lt;&gt;"company",BC93&lt;&gt;"llp"),"ROC is only for a company / LLP; ","")&amp;IF(AND(AA93="Yes",OR(BC93="company",BC93="llp"),TRIM(I93)=""),"ROC needs the CIN / LLPIN; ","")&amp;IF((TRIM(AF93)="")&lt;&gt;(TRIM(AG93)=""),"GST login needs both user ID and password; ","")&amp;IF((TRIM(AH93)="")&lt;&gt;(TRIM(AI93)=""),"Income-tax login needs both user ID and password; ","")&amp;IF((TRIM(AJ93)="")&lt;&gt;(TRIM(AK93)=""),"Income-tax login needs both user ID and password; ","")&amp;IF((TRIM(AL93)="")&lt;&gt;(TRIM(AM93)=""),"TRACES login needs both user ID and password; ","")&amp;IF((TRIM(AN93)="")&lt;&gt;(TRIM(AO93)=""),"MCA login needs both user ID and password; ","")&amp;IF((TRIM(AP93)="")&lt;&gt;(TRIM(AQ93)=""),"E-way bill login needs both user ID and password; ","")</f>
        <v/>
      </c>
    </row>
    <row r="94">
      <c r="A94" s="32" t="n"/>
      <c r="B94" s="33" t="n"/>
      <c r="C94" s="33" t="n"/>
      <c r="D94" s="33" t="n"/>
      <c r="E94" s="32" t="n"/>
      <c r="F94" s="32" t="n"/>
      <c r="G94" s="32" t="n"/>
      <c r="H94" s="32" t="n"/>
      <c r="I94" s="32" t="n"/>
      <c r="J94" s="34" t="n"/>
      <c r="K94" s="33" t="n"/>
      <c r="L94" s="32" t="n"/>
      <c r="M94" s="33" t="n"/>
      <c r="N94" s="33" t="n"/>
      <c r="O94" s="33" t="n"/>
      <c r="P94" s="32" t="n"/>
      <c r="Q94" s="33" t="n"/>
      <c r="R94" s="33" t="n"/>
      <c r="S94" s="33" t="n"/>
      <c r="T94" s="33" t="n"/>
      <c r="U94" s="32" t="n"/>
      <c r="V94" s="33" t="n"/>
      <c r="W94" s="33" t="n"/>
      <c r="X94" s="33" t="n"/>
      <c r="Y94" s="33" t="n"/>
      <c r="Z94" s="33" t="n"/>
      <c r="AA94" s="33" t="n"/>
      <c r="AB94" s="33" t="n"/>
      <c r="AC94" s="33" t="n"/>
      <c r="AD94" s="33" t="n"/>
      <c r="AE94" s="33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2" t="n"/>
      <c r="AO94" s="32" t="n"/>
      <c r="AP94" s="32" t="n"/>
      <c r="AQ94" s="32" t="n"/>
      <c r="AR94" s="29">
        <f>IF(NOT(COUNTA(A94:AE94)&gt;0),"",IF(A94="","New client","Update"))</f>
        <v/>
      </c>
      <c r="AS94" s="29">
        <f>IF(BA94&lt;&gt;"",BA94,IF(LEN(AZ94)=15,MID(AZ94,3,10),""))</f>
        <v/>
      </c>
      <c r="AT94" s="29">
        <f>IF(BB94="","",BB94&amp;IF(D94="","  (guessed from PAN)",""))</f>
        <v/>
      </c>
      <c r="AU94" s="29">
        <f>IF(AZ94="","",IFERROR(INDEX(Lists!$L$2:$L$38,MATCH(LEFT(AZ94,2),Lists!$K$2:$K$38,0)),"Unknown code"))</f>
        <v/>
      </c>
      <c r="AV94" s="29">
        <f>IF(AZ94="","",IFERROR(IF(NOT(AND(LEN(AZ94)=15,ISNUMBER(MATCH(LEFT(AZ94,2),Lists!$K$2:$K$38,0)),SUMPRODUCT(--ISERROR(FIND(MID(MID(AZ94,3,10),{1,2,3,4,5,10},1),"ABCDEFGHIJKLMNOPQRSTUVWXYZ")))=0,SUMPRODUCT(--ISERROR(FIND(MID(MID(AZ94,3,10),{6,7,8,9},1),"0123456789")))=0,ISNUMBER(FIND(MID(AZ94,13,1),"123456789ABCDEFGHIJKLMNOPQRSTUVWXYZ")),MID(AZ94,14,1)="Z")),"Wrong format",IF(MID("0123456789ABCDEFGHIJKLMNOPQRSTUVWXYZ",MOD(36-MOD(SUMPRODUCT(INT((FIND(MID(AZ94,{1,2,3,4,5,6,7,8,9,10,11,12,13,14},1),"0123456789ABCDEFGHIJKLMNOPQRSTUVWXYZ")-1)*{1,2,1,2,1,2,1,2,1,2,1,2,1,2}/36)+MOD((FIND(MID(AZ94,{1,2,3,4,5,6,7,8,9,10,11,12,13,14},1),"0123456789ABCDEFGHIJKLMNOPQRSTUVWXYZ")-1)*{1,2,1,2,1,2,1,2,1,2,1,2,1,2},36)),36),36)+1,1)=MID(AZ94,15,1),"OK","Typo? check digit wrong")),"Wrong format"))</f>
        <v/>
      </c>
      <c r="AW94" s="29">
        <f>IF(BA94="","",IF(AND(LEN(BA94)=10,SUMPRODUCT(--ISERROR(FIND(MID(BA94,{1,2,3,4,5,10},1),"ABCDEFGHIJKLMNOPQRSTUVWXYZ")))=0,SUMPRODUCT(--ISERROR(FIND(MID(BA94,{6,7,8,9},1),"0123456789")))=0),"OK","Wrong format"))</f>
        <v/>
      </c>
      <c r="AX94" s="29">
        <f>IF(TRIM(H94)="","",IF(AND(LEN(UPPER(TRIM(H94)))=10,SUMPRODUCT(--ISERROR(FIND(MID(UPPER(TRIM(H94)),{1,2,3,4,10},1),"ABCDEFGHIJKLMNOPQRSTUVWXYZ")))=0,SUMPRODUCT(--ISERROR(FIND(MID(UPPER(TRIM(H94)),{5,6,7,8,9},1),"0123456789")))=0),"OK","Wrong format"))</f>
        <v/>
      </c>
      <c r="AY94" s="30">
        <f>IF(NOT(COUNTA(A94:AE94)&gt;0),"",IF(BE94&lt;&gt;"","✖ "&amp;LEFT(BE94,LEN(BE94)-2),IF(BD94&gt;0,"✔ Ready — client + "&amp;BD94&amp;" service(s)","✔ Ready — client only")))</f>
        <v/>
      </c>
      <c r="AZ94" s="31">
        <f>UPPER(SUBSTITUTE(TRIM(F94)," ",""))</f>
        <v/>
      </c>
      <c r="BA94" s="31">
        <f>UPPER(SUBSTITUTE(TRIM(E94)," ",""))</f>
        <v/>
      </c>
      <c r="BB94" s="31">
        <f>IF(D94&lt;&gt;"",D94,IFERROR(VLOOKUP(MID(AS94,4,1),Lists!$E$2:$F$8,2,FALSE),""))</f>
        <v/>
      </c>
      <c r="BC94" s="31">
        <f>IFERROR(VLOOKUP(BB94,Lists!$A$2:$C$12,3,FALSE),"")</f>
        <v/>
      </c>
      <c r="BD94" s="31">
        <f>COUNTIF(W94:AC94,"Yes")</f>
        <v/>
      </c>
      <c r="BE94" s="31">
        <f>IF(TRIM(B94)="","Legal name missing; ","")&amp;IF(AND(AV94&lt;&gt;"",AV94&lt;&gt;"OK"),"GSTIN: "&amp;AV94&amp;"; ","")&amp;IF(AND(AW94&lt;&gt;"",AW94&lt;&gt;"OK"),"PAN wrong format; ","")&amp;IF(AND(BA94&lt;&gt;"",LEN(AZ94)=15,MID(AZ94,3,10)&lt;&gt;BA94),"PAN does not match GSTIN; ","")&amp;IF(AND(AX94&lt;&gt;"",AX94&lt;&gt;"OK"),"TAN wrong format; ","")&amp;IF(AS94="","PAN missing; ","")&amp;IF(BB94="","Entity type missing; ","")&amp;IF(AND(AZ94&lt;&gt;"",COUNTIF($AZ$6:$AZ$1005,AZ94)&gt;1),"GSTIN repeated in this sheet; ","")&amp;IF(AND(AS94&lt;&gt;"",COUNTIF($AS$6:$AS$1005,AS94)&gt;1),"PAN repeated in this sheet (same client? put extra GSTINs in Other GSTINs); ","")&amp;IF(AND(BD94&gt;0,V94=""),"Financial year missing; ","")&amp;IF(AND(BD94=0,V94&lt;&gt;""),"Financial year given but no service is Yes; ","")&amp;IF(AND(W94="Yes",AZ94=""),"GST needs a GSTIN; ","")&amp;IF(AND(W94="Yes",X94=""),"GST return frequency missing; ","")&amp;IF(AND(Y94="Yes",TRIM(H94)=""),"TDS needs a TAN; ","")&amp;IF(AND(AA94="Yes",BC94&lt;&gt;"",BC94&lt;&gt;"company",BC94&lt;&gt;"llp"),"ROC is only for a company / LLP; ","")&amp;IF(AND(AA94="Yes",OR(BC94="company",BC94="llp"),TRIM(I94)=""),"ROC needs the CIN / LLPIN; ","")&amp;IF((TRIM(AF94)="")&lt;&gt;(TRIM(AG94)=""),"GST login needs both user ID and password; ","")&amp;IF((TRIM(AH94)="")&lt;&gt;(TRIM(AI94)=""),"Income-tax login needs both user ID and password; ","")&amp;IF((TRIM(AJ94)="")&lt;&gt;(TRIM(AK94)=""),"Income-tax login needs both user ID and password; ","")&amp;IF((TRIM(AL94)="")&lt;&gt;(TRIM(AM94)=""),"TRACES login needs both user ID and password; ","")&amp;IF((TRIM(AN94)="")&lt;&gt;(TRIM(AO94)=""),"MCA login needs both user ID and password; ","")&amp;IF((TRIM(AP94)="")&lt;&gt;(TRIM(AQ94)=""),"E-way bill login needs both user ID and password; ","")</f>
        <v/>
      </c>
    </row>
    <row r="95">
      <c r="A95" s="32" t="n"/>
      <c r="B95" s="33" t="n"/>
      <c r="C95" s="33" t="n"/>
      <c r="D95" s="33" t="n"/>
      <c r="E95" s="32" t="n"/>
      <c r="F95" s="32" t="n"/>
      <c r="G95" s="32" t="n"/>
      <c r="H95" s="32" t="n"/>
      <c r="I95" s="32" t="n"/>
      <c r="J95" s="34" t="n"/>
      <c r="K95" s="33" t="n"/>
      <c r="L95" s="32" t="n"/>
      <c r="M95" s="33" t="n"/>
      <c r="N95" s="33" t="n"/>
      <c r="O95" s="33" t="n"/>
      <c r="P95" s="32" t="n"/>
      <c r="Q95" s="33" t="n"/>
      <c r="R95" s="33" t="n"/>
      <c r="S95" s="33" t="n"/>
      <c r="T95" s="33" t="n"/>
      <c r="U95" s="32" t="n"/>
      <c r="V95" s="33" t="n"/>
      <c r="W95" s="33" t="n"/>
      <c r="X95" s="33" t="n"/>
      <c r="Y95" s="33" t="n"/>
      <c r="Z95" s="33" t="n"/>
      <c r="AA95" s="33" t="n"/>
      <c r="AB95" s="33" t="n"/>
      <c r="AC95" s="33" t="n"/>
      <c r="AD95" s="33" t="n"/>
      <c r="AE95" s="33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2" t="n"/>
      <c r="AO95" s="32" t="n"/>
      <c r="AP95" s="32" t="n"/>
      <c r="AQ95" s="32" t="n"/>
      <c r="AR95" s="29">
        <f>IF(NOT(COUNTA(A95:AE95)&gt;0),"",IF(A95="","New client","Update"))</f>
        <v/>
      </c>
      <c r="AS95" s="29">
        <f>IF(BA95&lt;&gt;"",BA95,IF(LEN(AZ95)=15,MID(AZ95,3,10),""))</f>
        <v/>
      </c>
      <c r="AT95" s="29">
        <f>IF(BB95="","",BB95&amp;IF(D95="","  (guessed from PAN)",""))</f>
        <v/>
      </c>
      <c r="AU95" s="29">
        <f>IF(AZ95="","",IFERROR(INDEX(Lists!$L$2:$L$38,MATCH(LEFT(AZ95,2),Lists!$K$2:$K$38,0)),"Unknown code"))</f>
        <v/>
      </c>
      <c r="AV95" s="29">
        <f>IF(AZ95="","",IFERROR(IF(NOT(AND(LEN(AZ95)=15,ISNUMBER(MATCH(LEFT(AZ95,2),Lists!$K$2:$K$38,0)),SUMPRODUCT(--ISERROR(FIND(MID(MID(AZ95,3,10),{1,2,3,4,5,10},1),"ABCDEFGHIJKLMNOPQRSTUVWXYZ")))=0,SUMPRODUCT(--ISERROR(FIND(MID(MID(AZ95,3,10),{6,7,8,9},1),"0123456789")))=0,ISNUMBER(FIND(MID(AZ95,13,1),"123456789ABCDEFGHIJKLMNOPQRSTUVWXYZ")),MID(AZ95,14,1)="Z")),"Wrong format",IF(MID("0123456789ABCDEFGHIJKLMNOPQRSTUVWXYZ",MOD(36-MOD(SUMPRODUCT(INT((FIND(MID(AZ95,{1,2,3,4,5,6,7,8,9,10,11,12,13,14},1),"0123456789ABCDEFGHIJKLMNOPQRSTUVWXYZ")-1)*{1,2,1,2,1,2,1,2,1,2,1,2,1,2}/36)+MOD((FIND(MID(AZ95,{1,2,3,4,5,6,7,8,9,10,11,12,13,14},1),"0123456789ABCDEFGHIJKLMNOPQRSTUVWXYZ")-1)*{1,2,1,2,1,2,1,2,1,2,1,2,1,2},36)),36),36)+1,1)=MID(AZ95,15,1),"OK","Typo? check digit wrong")),"Wrong format"))</f>
        <v/>
      </c>
      <c r="AW95" s="29">
        <f>IF(BA95="","",IF(AND(LEN(BA95)=10,SUMPRODUCT(--ISERROR(FIND(MID(BA95,{1,2,3,4,5,10},1),"ABCDEFGHIJKLMNOPQRSTUVWXYZ")))=0,SUMPRODUCT(--ISERROR(FIND(MID(BA95,{6,7,8,9},1),"0123456789")))=0),"OK","Wrong format"))</f>
        <v/>
      </c>
      <c r="AX95" s="29">
        <f>IF(TRIM(H95)="","",IF(AND(LEN(UPPER(TRIM(H95)))=10,SUMPRODUCT(--ISERROR(FIND(MID(UPPER(TRIM(H95)),{1,2,3,4,10},1),"ABCDEFGHIJKLMNOPQRSTUVWXYZ")))=0,SUMPRODUCT(--ISERROR(FIND(MID(UPPER(TRIM(H95)),{5,6,7,8,9},1),"0123456789")))=0),"OK","Wrong format"))</f>
        <v/>
      </c>
      <c r="AY95" s="30">
        <f>IF(NOT(COUNTA(A95:AE95)&gt;0),"",IF(BE95&lt;&gt;"","✖ "&amp;LEFT(BE95,LEN(BE95)-2),IF(BD95&gt;0,"✔ Ready — client + "&amp;BD95&amp;" service(s)","✔ Ready — client only")))</f>
        <v/>
      </c>
      <c r="AZ95" s="31">
        <f>UPPER(SUBSTITUTE(TRIM(F95)," ",""))</f>
        <v/>
      </c>
      <c r="BA95" s="31">
        <f>UPPER(SUBSTITUTE(TRIM(E95)," ",""))</f>
        <v/>
      </c>
      <c r="BB95" s="31">
        <f>IF(D95&lt;&gt;"",D95,IFERROR(VLOOKUP(MID(AS95,4,1),Lists!$E$2:$F$8,2,FALSE),""))</f>
        <v/>
      </c>
      <c r="BC95" s="31">
        <f>IFERROR(VLOOKUP(BB95,Lists!$A$2:$C$12,3,FALSE),"")</f>
        <v/>
      </c>
      <c r="BD95" s="31">
        <f>COUNTIF(W95:AC95,"Yes")</f>
        <v/>
      </c>
      <c r="BE95" s="31">
        <f>IF(TRIM(B95)="","Legal name missing; ","")&amp;IF(AND(AV95&lt;&gt;"",AV95&lt;&gt;"OK"),"GSTIN: "&amp;AV95&amp;"; ","")&amp;IF(AND(AW95&lt;&gt;"",AW95&lt;&gt;"OK"),"PAN wrong format; ","")&amp;IF(AND(BA95&lt;&gt;"",LEN(AZ95)=15,MID(AZ95,3,10)&lt;&gt;BA95),"PAN does not match GSTIN; ","")&amp;IF(AND(AX95&lt;&gt;"",AX95&lt;&gt;"OK"),"TAN wrong format; ","")&amp;IF(AS95="","PAN missing; ","")&amp;IF(BB95="","Entity type missing; ","")&amp;IF(AND(AZ95&lt;&gt;"",COUNTIF($AZ$6:$AZ$1005,AZ95)&gt;1),"GSTIN repeated in this sheet; ","")&amp;IF(AND(AS95&lt;&gt;"",COUNTIF($AS$6:$AS$1005,AS95)&gt;1),"PAN repeated in this sheet (same client? put extra GSTINs in Other GSTINs); ","")&amp;IF(AND(BD95&gt;0,V95=""),"Financial year missing; ","")&amp;IF(AND(BD95=0,V95&lt;&gt;""),"Financial year given but no service is Yes; ","")&amp;IF(AND(W95="Yes",AZ95=""),"GST needs a GSTIN; ","")&amp;IF(AND(W95="Yes",X95=""),"GST return frequency missing; ","")&amp;IF(AND(Y95="Yes",TRIM(H95)=""),"TDS needs a TAN; ","")&amp;IF(AND(AA95="Yes",BC95&lt;&gt;"",BC95&lt;&gt;"company",BC95&lt;&gt;"llp"),"ROC is only for a company / LLP; ","")&amp;IF(AND(AA95="Yes",OR(BC95="company",BC95="llp"),TRIM(I95)=""),"ROC needs the CIN / LLPIN; ","")&amp;IF((TRIM(AF95)="")&lt;&gt;(TRIM(AG95)=""),"GST login needs both user ID and password; ","")&amp;IF((TRIM(AH95)="")&lt;&gt;(TRIM(AI95)=""),"Income-tax login needs both user ID and password; ","")&amp;IF((TRIM(AJ95)="")&lt;&gt;(TRIM(AK95)=""),"Income-tax login needs both user ID and password; ","")&amp;IF((TRIM(AL95)="")&lt;&gt;(TRIM(AM95)=""),"TRACES login needs both user ID and password; ","")&amp;IF((TRIM(AN95)="")&lt;&gt;(TRIM(AO95)=""),"MCA login needs both user ID and password; ","")&amp;IF((TRIM(AP95)="")&lt;&gt;(TRIM(AQ95)=""),"E-way bill login needs both user ID and password; ","")</f>
        <v/>
      </c>
    </row>
    <row r="96">
      <c r="A96" s="32" t="n"/>
      <c r="B96" s="33" t="n"/>
      <c r="C96" s="33" t="n"/>
      <c r="D96" s="33" t="n"/>
      <c r="E96" s="32" t="n"/>
      <c r="F96" s="32" t="n"/>
      <c r="G96" s="32" t="n"/>
      <c r="H96" s="32" t="n"/>
      <c r="I96" s="32" t="n"/>
      <c r="J96" s="34" t="n"/>
      <c r="K96" s="33" t="n"/>
      <c r="L96" s="32" t="n"/>
      <c r="M96" s="33" t="n"/>
      <c r="N96" s="33" t="n"/>
      <c r="O96" s="33" t="n"/>
      <c r="P96" s="32" t="n"/>
      <c r="Q96" s="33" t="n"/>
      <c r="R96" s="33" t="n"/>
      <c r="S96" s="33" t="n"/>
      <c r="T96" s="33" t="n"/>
      <c r="U96" s="32" t="n"/>
      <c r="V96" s="33" t="n"/>
      <c r="W96" s="33" t="n"/>
      <c r="X96" s="33" t="n"/>
      <c r="Y96" s="33" t="n"/>
      <c r="Z96" s="33" t="n"/>
      <c r="AA96" s="33" t="n"/>
      <c r="AB96" s="33" t="n"/>
      <c r="AC96" s="33" t="n"/>
      <c r="AD96" s="33" t="n"/>
      <c r="AE96" s="33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2" t="n"/>
      <c r="AO96" s="32" t="n"/>
      <c r="AP96" s="32" t="n"/>
      <c r="AQ96" s="32" t="n"/>
      <c r="AR96" s="29">
        <f>IF(NOT(COUNTA(A96:AE96)&gt;0),"",IF(A96="","New client","Update"))</f>
        <v/>
      </c>
      <c r="AS96" s="29">
        <f>IF(BA96&lt;&gt;"",BA96,IF(LEN(AZ96)=15,MID(AZ96,3,10),""))</f>
        <v/>
      </c>
      <c r="AT96" s="29">
        <f>IF(BB96="","",BB96&amp;IF(D96="","  (guessed from PAN)",""))</f>
        <v/>
      </c>
      <c r="AU96" s="29">
        <f>IF(AZ96="","",IFERROR(INDEX(Lists!$L$2:$L$38,MATCH(LEFT(AZ96,2),Lists!$K$2:$K$38,0)),"Unknown code"))</f>
        <v/>
      </c>
      <c r="AV96" s="29">
        <f>IF(AZ96="","",IFERROR(IF(NOT(AND(LEN(AZ96)=15,ISNUMBER(MATCH(LEFT(AZ96,2),Lists!$K$2:$K$38,0)),SUMPRODUCT(--ISERROR(FIND(MID(MID(AZ96,3,10),{1,2,3,4,5,10},1),"ABCDEFGHIJKLMNOPQRSTUVWXYZ")))=0,SUMPRODUCT(--ISERROR(FIND(MID(MID(AZ96,3,10),{6,7,8,9},1),"0123456789")))=0,ISNUMBER(FIND(MID(AZ96,13,1),"123456789ABCDEFGHIJKLMNOPQRSTUVWXYZ")),MID(AZ96,14,1)="Z")),"Wrong format",IF(MID("0123456789ABCDEFGHIJKLMNOPQRSTUVWXYZ",MOD(36-MOD(SUMPRODUCT(INT((FIND(MID(AZ96,{1,2,3,4,5,6,7,8,9,10,11,12,13,14},1),"0123456789ABCDEFGHIJKLMNOPQRSTUVWXYZ")-1)*{1,2,1,2,1,2,1,2,1,2,1,2,1,2}/36)+MOD((FIND(MID(AZ96,{1,2,3,4,5,6,7,8,9,10,11,12,13,14},1),"0123456789ABCDEFGHIJKLMNOPQRSTUVWXYZ")-1)*{1,2,1,2,1,2,1,2,1,2,1,2,1,2},36)),36),36)+1,1)=MID(AZ96,15,1),"OK","Typo? check digit wrong")),"Wrong format"))</f>
        <v/>
      </c>
      <c r="AW96" s="29">
        <f>IF(BA96="","",IF(AND(LEN(BA96)=10,SUMPRODUCT(--ISERROR(FIND(MID(BA96,{1,2,3,4,5,10},1),"ABCDEFGHIJKLMNOPQRSTUVWXYZ")))=0,SUMPRODUCT(--ISERROR(FIND(MID(BA96,{6,7,8,9},1),"0123456789")))=0),"OK","Wrong format"))</f>
        <v/>
      </c>
      <c r="AX96" s="29">
        <f>IF(TRIM(H96)="","",IF(AND(LEN(UPPER(TRIM(H96)))=10,SUMPRODUCT(--ISERROR(FIND(MID(UPPER(TRIM(H96)),{1,2,3,4,10},1),"ABCDEFGHIJKLMNOPQRSTUVWXYZ")))=0,SUMPRODUCT(--ISERROR(FIND(MID(UPPER(TRIM(H96)),{5,6,7,8,9},1),"0123456789")))=0),"OK","Wrong format"))</f>
        <v/>
      </c>
      <c r="AY96" s="30">
        <f>IF(NOT(COUNTA(A96:AE96)&gt;0),"",IF(BE96&lt;&gt;"","✖ "&amp;LEFT(BE96,LEN(BE96)-2),IF(BD96&gt;0,"✔ Ready — client + "&amp;BD96&amp;" service(s)","✔ Ready — client only")))</f>
        <v/>
      </c>
      <c r="AZ96" s="31">
        <f>UPPER(SUBSTITUTE(TRIM(F96)," ",""))</f>
        <v/>
      </c>
      <c r="BA96" s="31">
        <f>UPPER(SUBSTITUTE(TRIM(E96)," ",""))</f>
        <v/>
      </c>
      <c r="BB96" s="31">
        <f>IF(D96&lt;&gt;"",D96,IFERROR(VLOOKUP(MID(AS96,4,1),Lists!$E$2:$F$8,2,FALSE),""))</f>
        <v/>
      </c>
      <c r="BC96" s="31">
        <f>IFERROR(VLOOKUP(BB96,Lists!$A$2:$C$12,3,FALSE),"")</f>
        <v/>
      </c>
      <c r="BD96" s="31">
        <f>COUNTIF(W96:AC96,"Yes")</f>
        <v/>
      </c>
      <c r="BE96" s="31">
        <f>IF(TRIM(B96)="","Legal name missing; ","")&amp;IF(AND(AV96&lt;&gt;"",AV96&lt;&gt;"OK"),"GSTIN: "&amp;AV96&amp;"; ","")&amp;IF(AND(AW96&lt;&gt;"",AW96&lt;&gt;"OK"),"PAN wrong format; ","")&amp;IF(AND(BA96&lt;&gt;"",LEN(AZ96)=15,MID(AZ96,3,10)&lt;&gt;BA96),"PAN does not match GSTIN; ","")&amp;IF(AND(AX96&lt;&gt;"",AX96&lt;&gt;"OK"),"TAN wrong format; ","")&amp;IF(AS96="","PAN missing; ","")&amp;IF(BB96="","Entity type missing; ","")&amp;IF(AND(AZ96&lt;&gt;"",COUNTIF($AZ$6:$AZ$1005,AZ96)&gt;1),"GSTIN repeated in this sheet; ","")&amp;IF(AND(AS96&lt;&gt;"",COUNTIF($AS$6:$AS$1005,AS96)&gt;1),"PAN repeated in this sheet (same client? put extra GSTINs in Other GSTINs); ","")&amp;IF(AND(BD96&gt;0,V96=""),"Financial year missing; ","")&amp;IF(AND(BD96=0,V96&lt;&gt;""),"Financial year given but no service is Yes; ","")&amp;IF(AND(W96="Yes",AZ96=""),"GST needs a GSTIN; ","")&amp;IF(AND(W96="Yes",X96=""),"GST return frequency missing; ","")&amp;IF(AND(Y96="Yes",TRIM(H96)=""),"TDS needs a TAN; ","")&amp;IF(AND(AA96="Yes",BC96&lt;&gt;"",BC96&lt;&gt;"company",BC96&lt;&gt;"llp"),"ROC is only for a company / LLP; ","")&amp;IF(AND(AA96="Yes",OR(BC96="company",BC96="llp"),TRIM(I96)=""),"ROC needs the CIN / LLPIN; ","")&amp;IF((TRIM(AF96)="")&lt;&gt;(TRIM(AG96)=""),"GST login needs both user ID and password; ","")&amp;IF((TRIM(AH96)="")&lt;&gt;(TRIM(AI96)=""),"Income-tax login needs both user ID and password; ","")&amp;IF((TRIM(AJ96)="")&lt;&gt;(TRIM(AK96)=""),"Income-tax login needs both user ID and password; ","")&amp;IF((TRIM(AL96)="")&lt;&gt;(TRIM(AM96)=""),"TRACES login needs both user ID and password; ","")&amp;IF((TRIM(AN96)="")&lt;&gt;(TRIM(AO96)=""),"MCA login needs both user ID and password; ","")&amp;IF((TRIM(AP96)="")&lt;&gt;(TRIM(AQ96)=""),"E-way bill login needs both user ID and password; ","")</f>
        <v/>
      </c>
    </row>
    <row r="97">
      <c r="A97" s="32" t="n"/>
      <c r="B97" s="33" t="n"/>
      <c r="C97" s="33" t="n"/>
      <c r="D97" s="33" t="n"/>
      <c r="E97" s="32" t="n"/>
      <c r="F97" s="32" t="n"/>
      <c r="G97" s="32" t="n"/>
      <c r="H97" s="32" t="n"/>
      <c r="I97" s="32" t="n"/>
      <c r="J97" s="34" t="n"/>
      <c r="K97" s="33" t="n"/>
      <c r="L97" s="32" t="n"/>
      <c r="M97" s="33" t="n"/>
      <c r="N97" s="33" t="n"/>
      <c r="O97" s="33" t="n"/>
      <c r="P97" s="32" t="n"/>
      <c r="Q97" s="33" t="n"/>
      <c r="R97" s="33" t="n"/>
      <c r="S97" s="33" t="n"/>
      <c r="T97" s="33" t="n"/>
      <c r="U97" s="32" t="n"/>
      <c r="V97" s="33" t="n"/>
      <c r="W97" s="33" t="n"/>
      <c r="X97" s="33" t="n"/>
      <c r="Y97" s="33" t="n"/>
      <c r="Z97" s="33" t="n"/>
      <c r="AA97" s="33" t="n"/>
      <c r="AB97" s="33" t="n"/>
      <c r="AC97" s="33" t="n"/>
      <c r="AD97" s="33" t="n"/>
      <c r="AE97" s="33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2" t="n"/>
      <c r="AO97" s="32" t="n"/>
      <c r="AP97" s="32" t="n"/>
      <c r="AQ97" s="32" t="n"/>
      <c r="AR97" s="29">
        <f>IF(NOT(COUNTA(A97:AE97)&gt;0),"",IF(A97="","New client","Update"))</f>
        <v/>
      </c>
      <c r="AS97" s="29">
        <f>IF(BA97&lt;&gt;"",BA97,IF(LEN(AZ97)=15,MID(AZ97,3,10),""))</f>
        <v/>
      </c>
      <c r="AT97" s="29">
        <f>IF(BB97="","",BB97&amp;IF(D97="","  (guessed from PAN)",""))</f>
        <v/>
      </c>
      <c r="AU97" s="29">
        <f>IF(AZ97="","",IFERROR(INDEX(Lists!$L$2:$L$38,MATCH(LEFT(AZ97,2),Lists!$K$2:$K$38,0)),"Unknown code"))</f>
        <v/>
      </c>
      <c r="AV97" s="29">
        <f>IF(AZ97="","",IFERROR(IF(NOT(AND(LEN(AZ97)=15,ISNUMBER(MATCH(LEFT(AZ97,2),Lists!$K$2:$K$38,0)),SUMPRODUCT(--ISERROR(FIND(MID(MID(AZ97,3,10),{1,2,3,4,5,10},1),"ABCDEFGHIJKLMNOPQRSTUVWXYZ")))=0,SUMPRODUCT(--ISERROR(FIND(MID(MID(AZ97,3,10),{6,7,8,9},1),"0123456789")))=0,ISNUMBER(FIND(MID(AZ97,13,1),"123456789ABCDEFGHIJKLMNOPQRSTUVWXYZ")),MID(AZ97,14,1)="Z")),"Wrong format",IF(MID("0123456789ABCDEFGHIJKLMNOPQRSTUVWXYZ",MOD(36-MOD(SUMPRODUCT(INT((FIND(MID(AZ97,{1,2,3,4,5,6,7,8,9,10,11,12,13,14},1),"0123456789ABCDEFGHIJKLMNOPQRSTUVWXYZ")-1)*{1,2,1,2,1,2,1,2,1,2,1,2,1,2}/36)+MOD((FIND(MID(AZ97,{1,2,3,4,5,6,7,8,9,10,11,12,13,14},1),"0123456789ABCDEFGHIJKLMNOPQRSTUVWXYZ")-1)*{1,2,1,2,1,2,1,2,1,2,1,2,1,2},36)),36),36)+1,1)=MID(AZ97,15,1),"OK","Typo? check digit wrong")),"Wrong format"))</f>
        <v/>
      </c>
      <c r="AW97" s="29">
        <f>IF(BA97="","",IF(AND(LEN(BA97)=10,SUMPRODUCT(--ISERROR(FIND(MID(BA97,{1,2,3,4,5,10},1),"ABCDEFGHIJKLMNOPQRSTUVWXYZ")))=0,SUMPRODUCT(--ISERROR(FIND(MID(BA97,{6,7,8,9},1),"0123456789")))=0),"OK","Wrong format"))</f>
        <v/>
      </c>
      <c r="AX97" s="29">
        <f>IF(TRIM(H97)="","",IF(AND(LEN(UPPER(TRIM(H97)))=10,SUMPRODUCT(--ISERROR(FIND(MID(UPPER(TRIM(H97)),{1,2,3,4,10},1),"ABCDEFGHIJKLMNOPQRSTUVWXYZ")))=0,SUMPRODUCT(--ISERROR(FIND(MID(UPPER(TRIM(H97)),{5,6,7,8,9},1),"0123456789")))=0),"OK","Wrong format"))</f>
        <v/>
      </c>
      <c r="AY97" s="30">
        <f>IF(NOT(COUNTA(A97:AE97)&gt;0),"",IF(BE97&lt;&gt;"","✖ "&amp;LEFT(BE97,LEN(BE97)-2),IF(BD97&gt;0,"✔ Ready — client + "&amp;BD97&amp;" service(s)","✔ Ready — client only")))</f>
        <v/>
      </c>
      <c r="AZ97" s="31">
        <f>UPPER(SUBSTITUTE(TRIM(F97)," ",""))</f>
        <v/>
      </c>
      <c r="BA97" s="31">
        <f>UPPER(SUBSTITUTE(TRIM(E97)," ",""))</f>
        <v/>
      </c>
      <c r="BB97" s="31">
        <f>IF(D97&lt;&gt;"",D97,IFERROR(VLOOKUP(MID(AS97,4,1),Lists!$E$2:$F$8,2,FALSE),""))</f>
        <v/>
      </c>
      <c r="BC97" s="31">
        <f>IFERROR(VLOOKUP(BB97,Lists!$A$2:$C$12,3,FALSE),"")</f>
        <v/>
      </c>
      <c r="BD97" s="31">
        <f>COUNTIF(W97:AC97,"Yes")</f>
        <v/>
      </c>
      <c r="BE97" s="31">
        <f>IF(TRIM(B97)="","Legal name missing; ","")&amp;IF(AND(AV97&lt;&gt;"",AV97&lt;&gt;"OK"),"GSTIN: "&amp;AV97&amp;"; ","")&amp;IF(AND(AW97&lt;&gt;"",AW97&lt;&gt;"OK"),"PAN wrong format; ","")&amp;IF(AND(BA97&lt;&gt;"",LEN(AZ97)=15,MID(AZ97,3,10)&lt;&gt;BA97),"PAN does not match GSTIN; ","")&amp;IF(AND(AX97&lt;&gt;"",AX97&lt;&gt;"OK"),"TAN wrong format; ","")&amp;IF(AS97="","PAN missing; ","")&amp;IF(BB97="","Entity type missing; ","")&amp;IF(AND(AZ97&lt;&gt;"",COUNTIF($AZ$6:$AZ$1005,AZ97)&gt;1),"GSTIN repeated in this sheet; ","")&amp;IF(AND(AS97&lt;&gt;"",COUNTIF($AS$6:$AS$1005,AS97)&gt;1),"PAN repeated in this sheet (same client? put extra GSTINs in Other GSTINs); ","")&amp;IF(AND(BD97&gt;0,V97=""),"Financial year missing; ","")&amp;IF(AND(BD97=0,V97&lt;&gt;""),"Financial year given but no service is Yes; ","")&amp;IF(AND(W97="Yes",AZ97=""),"GST needs a GSTIN; ","")&amp;IF(AND(W97="Yes",X97=""),"GST return frequency missing; ","")&amp;IF(AND(Y97="Yes",TRIM(H97)=""),"TDS needs a TAN; ","")&amp;IF(AND(AA97="Yes",BC97&lt;&gt;"",BC97&lt;&gt;"company",BC97&lt;&gt;"llp"),"ROC is only for a company / LLP; ","")&amp;IF(AND(AA97="Yes",OR(BC97="company",BC97="llp"),TRIM(I97)=""),"ROC needs the CIN / LLPIN; ","")&amp;IF((TRIM(AF97)="")&lt;&gt;(TRIM(AG97)=""),"GST login needs both user ID and password; ","")&amp;IF((TRIM(AH97)="")&lt;&gt;(TRIM(AI97)=""),"Income-tax login needs both user ID and password; ","")&amp;IF((TRIM(AJ97)="")&lt;&gt;(TRIM(AK97)=""),"Income-tax login needs both user ID and password; ","")&amp;IF((TRIM(AL97)="")&lt;&gt;(TRIM(AM97)=""),"TRACES login needs both user ID and password; ","")&amp;IF((TRIM(AN97)="")&lt;&gt;(TRIM(AO97)=""),"MCA login needs both user ID and password; ","")&amp;IF((TRIM(AP97)="")&lt;&gt;(TRIM(AQ97)=""),"E-way bill login needs both user ID and password; ","")</f>
        <v/>
      </c>
    </row>
    <row r="98">
      <c r="A98" s="32" t="n"/>
      <c r="B98" s="33" t="n"/>
      <c r="C98" s="33" t="n"/>
      <c r="D98" s="33" t="n"/>
      <c r="E98" s="32" t="n"/>
      <c r="F98" s="32" t="n"/>
      <c r="G98" s="32" t="n"/>
      <c r="H98" s="32" t="n"/>
      <c r="I98" s="32" t="n"/>
      <c r="J98" s="34" t="n"/>
      <c r="K98" s="33" t="n"/>
      <c r="L98" s="32" t="n"/>
      <c r="M98" s="33" t="n"/>
      <c r="N98" s="33" t="n"/>
      <c r="O98" s="33" t="n"/>
      <c r="P98" s="32" t="n"/>
      <c r="Q98" s="33" t="n"/>
      <c r="R98" s="33" t="n"/>
      <c r="S98" s="33" t="n"/>
      <c r="T98" s="33" t="n"/>
      <c r="U98" s="32" t="n"/>
      <c r="V98" s="33" t="n"/>
      <c r="W98" s="33" t="n"/>
      <c r="X98" s="33" t="n"/>
      <c r="Y98" s="33" t="n"/>
      <c r="Z98" s="33" t="n"/>
      <c r="AA98" s="33" t="n"/>
      <c r="AB98" s="33" t="n"/>
      <c r="AC98" s="33" t="n"/>
      <c r="AD98" s="33" t="n"/>
      <c r="AE98" s="33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2" t="n"/>
      <c r="AO98" s="32" t="n"/>
      <c r="AP98" s="32" t="n"/>
      <c r="AQ98" s="32" t="n"/>
      <c r="AR98" s="29">
        <f>IF(NOT(COUNTA(A98:AE98)&gt;0),"",IF(A98="","New client","Update"))</f>
        <v/>
      </c>
      <c r="AS98" s="29">
        <f>IF(BA98&lt;&gt;"",BA98,IF(LEN(AZ98)=15,MID(AZ98,3,10),""))</f>
        <v/>
      </c>
      <c r="AT98" s="29">
        <f>IF(BB98="","",BB98&amp;IF(D98="","  (guessed from PAN)",""))</f>
        <v/>
      </c>
      <c r="AU98" s="29">
        <f>IF(AZ98="","",IFERROR(INDEX(Lists!$L$2:$L$38,MATCH(LEFT(AZ98,2),Lists!$K$2:$K$38,0)),"Unknown code"))</f>
        <v/>
      </c>
      <c r="AV98" s="29">
        <f>IF(AZ98="","",IFERROR(IF(NOT(AND(LEN(AZ98)=15,ISNUMBER(MATCH(LEFT(AZ98,2),Lists!$K$2:$K$38,0)),SUMPRODUCT(--ISERROR(FIND(MID(MID(AZ98,3,10),{1,2,3,4,5,10},1),"ABCDEFGHIJKLMNOPQRSTUVWXYZ")))=0,SUMPRODUCT(--ISERROR(FIND(MID(MID(AZ98,3,10),{6,7,8,9},1),"0123456789")))=0,ISNUMBER(FIND(MID(AZ98,13,1),"123456789ABCDEFGHIJKLMNOPQRSTUVWXYZ")),MID(AZ98,14,1)="Z")),"Wrong format",IF(MID("0123456789ABCDEFGHIJKLMNOPQRSTUVWXYZ",MOD(36-MOD(SUMPRODUCT(INT((FIND(MID(AZ98,{1,2,3,4,5,6,7,8,9,10,11,12,13,14},1),"0123456789ABCDEFGHIJKLMNOPQRSTUVWXYZ")-1)*{1,2,1,2,1,2,1,2,1,2,1,2,1,2}/36)+MOD((FIND(MID(AZ98,{1,2,3,4,5,6,7,8,9,10,11,12,13,14},1),"0123456789ABCDEFGHIJKLMNOPQRSTUVWXYZ")-1)*{1,2,1,2,1,2,1,2,1,2,1,2,1,2},36)),36),36)+1,1)=MID(AZ98,15,1),"OK","Typo? check digit wrong")),"Wrong format"))</f>
        <v/>
      </c>
      <c r="AW98" s="29">
        <f>IF(BA98="","",IF(AND(LEN(BA98)=10,SUMPRODUCT(--ISERROR(FIND(MID(BA98,{1,2,3,4,5,10},1),"ABCDEFGHIJKLMNOPQRSTUVWXYZ")))=0,SUMPRODUCT(--ISERROR(FIND(MID(BA98,{6,7,8,9},1),"0123456789")))=0),"OK","Wrong format"))</f>
        <v/>
      </c>
      <c r="AX98" s="29">
        <f>IF(TRIM(H98)="","",IF(AND(LEN(UPPER(TRIM(H98)))=10,SUMPRODUCT(--ISERROR(FIND(MID(UPPER(TRIM(H98)),{1,2,3,4,10},1),"ABCDEFGHIJKLMNOPQRSTUVWXYZ")))=0,SUMPRODUCT(--ISERROR(FIND(MID(UPPER(TRIM(H98)),{5,6,7,8,9},1),"0123456789")))=0),"OK","Wrong format"))</f>
        <v/>
      </c>
      <c r="AY98" s="30">
        <f>IF(NOT(COUNTA(A98:AE98)&gt;0),"",IF(BE98&lt;&gt;"","✖ "&amp;LEFT(BE98,LEN(BE98)-2),IF(BD98&gt;0,"✔ Ready — client + "&amp;BD98&amp;" service(s)","✔ Ready — client only")))</f>
        <v/>
      </c>
      <c r="AZ98" s="31">
        <f>UPPER(SUBSTITUTE(TRIM(F98)," ",""))</f>
        <v/>
      </c>
      <c r="BA98" s="31">
        <f>UPPER(SUBSTITUTE(TRIM(E98)," ",""))</f>
        <v/>
      </c>
      <c r="BB98" s="31">
        <f>IF(D98&lt;&gt;"",D98,IFERROR(VLOOKUP(MID(AS98,4,1),Lists!$E$2:$F$8,2,FALSE),""))</f>
        <v/>
      </c>
      <c r="BC98" s="31">
        <f>IFERROR(VLOOKUP(BB98,Lists!$A$2:$C$12,3,FALSE),"")</f>
        <v/>
      </c>
      <c r="BD98" s="31">
        <f>COUNTIF(W98:AC98,"Yes")</f>
        <v/>
      </c>
      <c r="BE98" s="31">
        <f>IF(TRIM(B98)="","Legal name missing; ","")&amp;IF(AND(AV98&lt;&gt;"",AV98&lt;&gt;"OK"),"GSTIN: "&amp;AV98&amp;"; ","")&amp;IF(AND(AW98&lt;&gt;"",AW98&lt;&gt;"OK"),"PAN wrong format; ","")&amp;IF(AND(BA98&lt;&gt;"",LEN(AZ98)=15,MID(AZ98,3,10)&lt;&gt;BA98),"PAN does not match GSTIN; ","")&amp;IF(AND(AX98&lt;&gt;"",AX98&lt;&gt;"OK"),"TAN wrong format; ","")&amp;IF(AS98="","PAN missing; ","")&amp;IF(BB98="","Entity type missing; ","")&amp;IF(AND(AZ98&lt;&gt;"",COUNTIF($AZ$6:$AZ$1005,AZ98)&gt;1),"GSTIN repeated in this sheet; ","")&amp;IF(AND(AS98&lt;&gt;"",COUNTIF($AS$6:$AS$1005,AS98)&gt;1),"PAN repeated in this sheet (same client? put extra GSTINs in Other GSTINs); ","")&amp;IF(AND(BD98&gt;0,V98=""),"Financial year missing; ","")&amp;IF(AND(BD98=0,V98&lt;&gt;""),"Financial year given but no service is Yes; ","")&amp;IF(AND(W98="Yes",AZ98=""),"GST needs a GSTIN; ","")&amp;IF(AND(W98="Yes",X98=""),"GST return frequency missing; ","")&amp;IF(AND(Y98="Yes",TRIM(H98)=""),"TDS needs a TAN; ","")&amp;IF(AND(AA98="Yes",BC98&lt;&gt;"",BC98&lt;&gt;"company",BC98&lt;&gt;"llp"),"ROC is only for a company / LLP; ","")&amp;IF(AND(AA98="Yes",OR(BC98="company",BC98="llp"),TRIM(I98)=""),"ROC needs the CIN / LLPIN; ","")&amp;IF((TRIM(AF98)="")&lt;&gt;(TRIM(AG98)=""),"GST login needs both user ID and password; ","")&amp;IF((TRIM(AH98)="")&lt;&gt;(TRIM(AI98)=""),"Income-tax login needs both user ID and password; ","")&amp;IF((TRIM(AJ98)="")&lt;&gt;(TRIM(AK98)=""),"Income-tax login needs both user ID and password; ","")&amp;IF((TRIM(AL98)="")&lt;&gt;(TRIM(AM98)=""),"TRACES login needs both user ID and password; ","")&amp;IF((TRIM(AN98)="")&lt;&gt;(TRIM(AO98)=""),"MCA login needs both user ID and password; ","")&amp;IF((TRIM(AP98)="")&lt;&gt;(TRIM(AQ98)=""),"E-way bill login needs both user ID and password; ","")</f>
        <v/>
      </c>
    </row>
    <row r="99">
      <c r="A99" s="32" t="n"/>
      <c r="B99" s="33" t="n"/>
      <c r="C99" s="33" t="n"/>
      <c r="D99" s="33" t="n"/>
      <c r="E99" s="32" t="n"/>
      <c r="F99" s="32" t="n"/>
      <c r="G99" s="32" t="n"/>
      <c r="H99" s="32" t="n"/>
      <c r="I99" s="32" t="n"/>
      <c r="J99" s="34" t="n"/>
      <c r="K99" s="33" t="n"/>
      <c r="L99" s="32" t="n"/>
      <c r="M99" s="33" t="n"/>
      <c r="N99" s="33" t="n"/>
      <c r="O99" s="33" t="n"/>
      <c r="P99" s="32" t="n"/>
      <c r="Q99" s="33" t="n"/>
      <c r="R99" s="33" t="n"/>
      <c r="S99" s="33" t="n"/>
      <c r="T99" s="33" t="n"/>
      <c r="U99" s="32" t="n"/>
      <c r="V99" s="33" t="n"/>
      <c r="W99" s="33" t="n"/>
      <c r="X99" s="33" t="n"/>
      <c r="Y99" s="33" t="n"/>
      <c r="Z99" s="33" t="n"/>
      <c r="AA99" s="33" t="n"/>
      <c r="AB99" s="33" t="n"/>
      <c r="AC99" s="33" t="n"/>
      <c r="AD99" s="33" t="n"/>
      <c r="AE99" s="33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2" t="n"/>
      <c r="AO99" s="32" t="n"/>
      <c r="AP99" s="32" t="n"/>
      <c r="AQ99" s="32" t="n"/>
      <c r="AR99" s="29">
        <f>IF(NOT(COUNTA(A99:AE99)&gt;0),"",IF(A99="","New client","Update"))</f>
        <v/>
      </c>
      <c r="AS99" s="29">
        <f>IF(BA99&lt;&gt;"",BA99,IF(LEN(AZ99)=15,MID(AZ99,3,10),""))</f>
        <v/>
      </c>
      <c r="AT99" s="29">
        <f>IF(BB99="","",BB99&amp;IF(D99="","  (guessed from PAN)",""))</f>
        <v/>
      </c>
      <c r="AU99" s="29">
        <f>IF(AZ99="","",IFERROR(INDEX(Lists!$L$2:$L$38,MATCH(LEFT(AZ99,2),Lists!$K$2:$K$38,0)),"Unknown code"))</f>
        <v/>
      </c>
      <c r="AV99" s="29">
        <f>IF(AZ99="","",IFERROR(IF(NOT(AND(LEN(AZ99)=15,ISNUMBER(MATCH(LEFT(AZ99,2),Lists!$K$2:$K$38,0)),SUMPRODUCT(--ISERROR(FIND(MID(MID(AZ99,3,10),{1,2,3,4,5,10},1),"ABCDEFGHIJKLMNOPQRSTUVWXYZ")))=0,SUMPRODUCT(--ISERROR(FIND(MID(MID(AZ99,3,10),{6,7,8,9},1),"0123456789")))=0,ISNUMBER(FIND(MID(AZ99,13,1),"123456789ABCDEFGHIJKLMNOPQRSTUVWXYZ")),MID(AZ99,14,1)="Z")),"Wrong format",IF(MID("0123456789ABCDEFGHIJKLMNOPQRSTUVWXYZ",MOD(36-MOD(SUMPRODUCT(INT((FIND(MID(AZ99,{1,2,3,4,5,6,7,8,9,10,11,12,13,14},1),"0123456789ABCDEFGHIJKLMNOPQRSTUVWXYZ")-1)*{1,2,1,2,1,2,1,2,1,2,1,2,1,2}/36)+MOD((FIND(MID(AZ99,{1,2,3,4,5,6,7,8,9,10,11,12,13,14},1),"0123456789ABCDEFGHIJKLMNOPQRSTUVWXYZ")-1)*{1,2,1,2,1,2,1,2,1,2,1,2,1,2},36)),36),36)+1,1)=MID(AZ99,15,1),"OK","Typo? check digit wrong")),"Wrong format"))</f>
        <v/>
      </c>
      <c r="AW99" s="29">
        <f>IF(BA99="","",IF(AND(LEN(BA99)=10,SUMPRODUCT(--ISERROR(FIND(MID(BA99,{1,2,3,4,5,10},1),"ABCDEFGHIJKLMNOPQRSTUVWXYZ")))=0,SUMPRODUCT(--ISERROR(FIND(MID(BA99,{6,7,8,9},1),"0123456789")))=0),"OK","Wrong format"))</f>
        <v/>
      </c>
      <c r="AX99" s="29">
        <f>IF(TRIM(H99)="","",IF(AND(LEN(UPPER(TRIM(H99)))=10,SUMPRODUCT(--ISERROR(FIND(MID(UPPER(TRIM(H99)),{1,2,3,4,10},1),"ABCDEFGHIJKLMNOPQRSTUVWXYZ")))=0,SUMPRODUCT(--ISERROR(FIND(MID(UPPER(TRIM(H99)),{5,6,7,8,9},1),"0123456789")))=0),"OK","Wrong format"))</f>
        <v/>
      </c>
      <c r="AY99" s="30">
        <f>IF(NOT(COUNTA(A99:AE99)&gt;0),"",IF(BE99&lt;&gt;"","✖ "&amp;LEFT(BE99,LEN(BE99)-2),IF(BD99&gt;0,"✔ Ready — client + "&amp;BD99&amp;" service(s)","✔ Ready — client only")))</f>
        <v/>
      </c>
      <c r="AZ99" s="31">
        <f>UPPER(SUBSTITUTE(TRIM(F99)," ",""))</f>
        <v/>
      </c>
      <c r="BA99" s="31">
        <f>UPPER(SUBSTITUTE(TRIM(E99)," ",""))</f>
        <v/>
      </c>
      <c r="BB99" s="31">
        <f>IF(D99&lt;&gt;"",D99,IFERROR(VLOOKUP(MID(AS99,4,1),Lists!$E$2:$F$8,2,FALSE),""))</f>
        <v/>
      </c>
      <c r="BC99" s="31">
        <f>IFERROR(VLOOKUP(BB99,Lists!$A$2:$C$12,3,FALSE),"")</f>
        <v/>
      </c>
      <c r="BD99" s="31">
        <f>COUNTIF(W99:AC99,"Yes")</f>
        <v/>
      </c>
      <c r="BE99" s="31">
        <f>IF(TRIM(B99)="","Legal name missing; ","")&amp;IF(AND(AV99&lt;&gt;"",AV99&lt;&gt;"OK"),"GSTIN: "&amp;AV99&amp;"; ","")&amp;IF(AND(AW99&lt;&gt;"",AW99&lt;&gt;"OK"),"PAN wrong format; ","")&amp;IF(AND(BA99&lt;&gt;"",LEN(AZ99)=15,MID(AZ99,3,10)&lt;&gt;BA99),"PAN does not match GSTIN; ","")&amp;IF(AND(AX99&lt;&gt;"",AX99&lt;&gt;"OK"),"TAN wrong format; ","")&amp;IF(AS99="","PAN missing; ","")&amp;IF(BB99="","Entity type missing; ","")&amp;IF(AND(AZ99&lt;&gt;"",COUNTIF($AZ$6:$AZ$1005,AZ99)&gt;1),"GSTIN repeated in this sheet; ","")&amp;IF(AND(AS99&lt;&gt;"",COUNTIF($AS$6:$AS$1005,AS99)&gt;1),"PAN repeated in this sheet (same client? put extra GSTINs in Other GSTINs); ","")&amp;IF(AND(BD99&gt;0,V99=""),"Financial year missing; ","")&amp;IF(AND(BD99=0,V99&lt;&gt;""),"Financial year given but no service is Yes; ","")&amp;IF(AND(W99="Yes",AZ99=""),"GST needs a GSTIN; ","")&amp;IF(AND(W99="Yes",X99=""),"GST return frequency missing; ","")&amp;IF(AND(Y99="Yes",TRIM(H99)=""),"TDS needs a TAN; ","")&amp;IF(AND(AA99="Yes",BC99&lt;&gt;"",BC99&lt;&gt;"company",BC99&lt;&gt;"llp"),"ROC is only for a company / LLP; ","")&amp;IF(AND(AA99="Yes",OR(BC99="company",BC99="llp"),TRIM(I99)=""),"ROC needs the CIN / LLPIN; ","")&amp;IF((TRIM(AF99)="")&lt;&gt;(TRIM(AG99)=""),"GST login needs both user ID and password; ","")&amp;IF((TRIM(AH99)="")&lt;&gt;(TRIM(AI99)=""),"Income-tax login needs both user ID and password; ","")&amp;IF((TRIM(AJ99)="")&lt;&gt;(TRIM(AK99)=""),"Income-tax login needs both user ID and password; ","")&amp;IF((TRIM(AL99)="")&lt;&gt;(TRIM(AM99)=""),"TRACES login needs both user ID and password; ","")&amp;IF((TRIM(AN99)="")&lt;&gt;(TRIM(AO99)=""),"MCA login needs both user ID and password; ","")&amp;IF((TRIM(AP99)="")&lt;&gt;(TRIM(AQ99)=""),"E-way bill login needs both user ID and password; ","")</f>
        <v/>
      </c>
    </row>
    <row r="100">
      <c r="A100" s="32" t="n"/>
      <c r="B100" s="33" t="n"/>
      <c r="C100" s="33" t="n"/>
      <c r="D100" s="33" t="n"/>
      <c r="E100" s="32" t="n"/>
      <c r="F100" s="32" t="n"/>
      <c r="G100" s="32" t="n"/>
      <c r="H100" s="32" t="n"/>
      <c r="I100" s="32" t="n"/>
      <c r="J100" s="34" t="n"/>
      <c r="K100" s="33" t="n"/>
      <c r="L100" s="32" t="n"/>
      <c r="M100" s="33" t="n"/>
      <c r="N100" s="33" t="n"/>
      <c r="O100" s="33" t="n"/>
      <c r="P100" s="32" t="n"/>
      <c r="Q100" s="33" t="n"/>
      <c r="R100" s="33" t="n"/>
      <c r="S100" s="33" t="n"/>
      <c r="T100" s="33" t="n"/>
      <c r="U100" s="32" t="n"/>
      <c r="V100" s="33" t="n"/>
      <c r="W100" s="33" t="n"/>
      <c r="X100" s="33" t="n"/>
      <c r="Y100" s="33" t="n"/>
      <c r="Z100" s="33" t="n"/>
      <c r="AA100" s="33" t="n"/>
      <c r="AB100" s="33" t="n"/>
      <c r="AC100" s="33" t="n"/>
      <c r="AD100" s="33" t="n"/>
      <c r="AE100" s="33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2" t="n"/>
      <c r="AO100" s="32" t="n"/>
      <c r="AP100" s="32" t="n"/>
      <c r="AQ100" s="32" t="n"/>
      <c r="AR100" s="29">
        <f>IF(NOT(COUNTA(A100:AE100)&gt;0),"",IF(A100="","New client","Update"))</f>
        <v/>
      </c>
      <c r="AS100" s="29">
        <f>IF(BA100&lt;&gt;"",BA100,IF(LEN(AZ100)=15,MID(AZ100,3,10),""))</f>
        <v/>
      </c>
      <c r="AT100" s="29">
        <f>IF(BB100="","",BB100&amp;IF(D100="","  (guessed from PAN)",""))</f>
        <v/>
      </c>
      <c r="AU100" s="29">
        <f>IF(AZ100="","",IFERROR(INDEX(Lists!$L$2:$L$38,MATCH(LEFT(AZ100,2),Lists!$K$2:$K$38,0)),"Unknown code"))</f>
        <v/>
      </c>
      <c r="AV100" s="29">
        <f>IF(AZ100="","",IFERROR(IF(NOT(AND(LEN(AZ100)=15,ISNUMBER(MATCH(LEFT(AZ100,2),Lists!$K$2:$K$38,0)),SUMPRODUCT(--ISERROR(FIND(MID(MID(AZ100,3,10),{1,2,3,4,5,10},1),"ABCDEFGHIJKLMNOPQRSTUVWXYZ")))=0,SUMPRODUCT(--ISERROR(FIND(MID(MID(AZ100,3,10),{6,7,8,9},1),"0123456789")))=0,ISNUMBER(FIND(MID(AZ100,13,1),"123456789ABCDEFGHIJKLMNOPQRSTUVWXYZ")),MID(AZ100,14,1)="Z")),"Wrong format",IF(MID("0123456789ABCDEFGHIJKLMNOPQRSTUVWXYZ",MOD(36-MOD(SUMPRODUCT(INT((FIND(MID(AZ100,{1,2,3,4,5,6,7,8,9,10,11,12,13,14},1),"0123456789ABCDEFGHIJKLMNOPQRSTUVWXYZ")-1)*{1,2,1,2,1,2,1,2,1,2,1,2,1,2}/36)+MOD((FIND(MID(AZ100,{1,2,3,4,5,6,7,8,9,10,11,12,13,14},1),"0123456789ABCDEFGHIJKLMNOPQRSTUVWXYZ")-1)*{1,2,1,2,1,2,1,2,1,2,1,2,1,2},36)),36),36)+1,1)=MID(AZ100,15,1),"OK","Typo? check digit wrong")),"Wrong format"))</f>
        <v/>
      </c>
      <c r="AW100" s="29">
        <f>IF(BA100="","",IF(AND(LEN(BA100)=10,SUMPRODUCT(--ISERROR(FIND(MID(BA100,{1,2,3,4,5,10},1),"ABCDEFGHIJKLMNOPQRSTUVWXYZ")))=0,SUMPRODUCT(--ISERROR(FIND(MID(BA100,{6,7,8,9},1),"0123456789")))=0),"OK","Wrong format"))</f>
        <v/>
      </c>
      <c r="AX100" s="29">
        <f>IF(TRIM(H100)="","",IF(AND(LEN(UPPER(TRIM(H100)))=10,SUMPRODUCT(--ISERROR(FIND(MID(UPPER(TRIM(H100)),{1,2,3,4,10},1),"ABCDEFGHIJKLMNOPQRSTUVWXYZ")))=0,SUMPRODUCT(--ISERROR(FIND(MID(UPPER(TRIM(H100)),{5,6,7,8,9},1),"0123456789")))=0),"OK","Wrong format"))</f>
        <v/>
      </c>
      <c r="AY100" s="30">
        <f>IF(NOT(COUNTA(A100:AE100)&gt;0),"",IF(BE100&lt;&gt;"","✖ "&amp;LEFT(BE100,LEN(BE100)-2),IF(BD100&gt;0,"✔ Ready — client + "&amp;BD100&amp;" service(s)","✔ Ready — client only")))</f>
        <v/>
      </c>
      <c r="AZ100" s="31">
        <f>UPPER(SUBSTITUTE(TRIM(F100)," ",""))</f>
        <v/>
      </c>
      <c r="BA100" s="31">
        <f>UPPER(SUBSTITUTE(TRIM(E100)," ",""))</f>
        <v/>
      </c>
      <c r="BB100" s="31">
        <f>IF(D100&lt;&gt;"",D100,IFERROR(VLOOKUP(MID(AS100,4,1),Lists!$E$2:$F$8,2,FALSE),""))</f>
        <v/>
      </c>
      <c r="BC100" s="31">
        <f>IFERROR(VLOOKUP(BB100,Lists!$A$2:$C$12,3,FALSE),"")</f>
        <v/>
      </c>
      <c r="BD100" s="31">
        <f>COUNTIF(W100:AC100,"Yes")</f>
        <v/>
      </c>
      <c r="BE100" s="31">
        <f>IF(TRIM(B100)="","Legal name missing; ","")&amp;IF(AND(AV100&lt;&gt;"",AV100&lt;&gt;"OK"),"GSTIN: "&amp;AV100&amp;"; ","")&amp;IF(AND(AW100&lt;&gt;"",AW100&lt;&gt;"OK"),"PAN wrong format; ","")&amp;IF(AND(BA100&lt;&gt;"",LEN(AZ100)=15,MID(AZ100,3,10)&lt;&gt;BA100),"PAN does not match GSTIN; ","")&amp;IF(AND(AX100&lt;&gt;"",AX100&lt;&gt;"OK"),"TAN wrong format; ","")&amp;IF(AS100="","PAN missing; ","")&amp;IF(BB100="","Entity type missing; ","")&amp;IF(AND(AZ100&lt;&gt;"",COUNTIF($AZ$6:$AZ$1005,AZ100)&gt;1),"GSTIN repeated in this sheet; ","")&amp;IF(AND(AS100&lt;&gt;"",COUNTIF($AS$6:$AS$1005,AS100)&gt;1),"PAN repeated in this sheet (same client? put extra GSTINs in Other GSTINs); ","")&amp;IF(AND(BD100&gt;0,V100=""),"Financial year missing; ","")&amp;IF(AND(BD100=0,V100&lt;&gt;""),"Financial year given but no service is Yes; ","")&amp;IF(AND(W100="Yes",AZ100=""),"GST needs a GSTIN; ","")&amp;IF(AND(W100="Yes",X100=""),"GST return frequency missing; ","")&amp;IF(AND(Y100="Yes",TRIM(H100)=""),"TDS needs a TAN; ","")&amp;IF(AND(AA100="Yes",BC100&lt;&gt;"",BC100&lt;&gt;"company",BC100&lt;&gt;"llp"),"ROC is only for a company / LLP; ","")&amp;IF(AND(AA100="Yes",OR(BC100="company",BC100="llp"),TRIM(I100)=""),"ROC needs the CIN / LLPIN; ","")&amp;IF((TRIM(AF100)="")&lt;&gt;(TRIM(AG100)=""),"GST login needs both user ID and password; ","")&amp;IF((TRIM(AH100)="")&lt;&gt;(TRIM(AI100)=""),"Income-tax login needs both user ID and password; ","")&amp;IF((TRIM(AJ100)="")&lt;&gt;(TRIM(AK100)=""),"Income-tax login needs both user ID and password; ","")&amp;IF((TRIM(AL100)="")&lt;&gt;(TRIM(AM100)=""),"TRACES login needs both user ID and password; ","")&amp;IF((TRIM(AN100)="")&lt;&gt;(TRIM(AO100)=""),"MCA login needs both user ID and password; ","")&amp;IF((TRIM(AP100)="")&lt;&gt;(TRIM(AQ100)=""),"E-way bill login needs both user ID and password; ","")</f>
        <v/>
      </c>
    </row>
    <row r="101">
      <c r="A101" s="32" t="n"/>
      <c r="B101" s="33" t="n"/>
      <c r="C101" s="33" t="n"/>
      <c r="D101" s="33" t="n"/>
      <c r="E101" s="32" t="n"/>
      <c r="F101" s="32" t="n"/>
      <c r="G101" s="32" t="n"/>
      <c r="H101" s="32" t="n"/>
      <c r="I101" s="32" t="n"/>
      <c r="J101" s="34" t="n"/>
      <c r="K101" s="33" t="n"/>
      <c r="L101" s="32" t="n"/>
      <c r="M101" s="33" t="n"/>
      <c r="N101" s="33" t="n"/>
      <c r="O101" s="33" t="n"/>
      <c r="P101" s="32" t="n"/>
      <c r="Q101" s="33" t="n"/>
      <c r="R101" s="33" t="n"/>
      <c r="S101" s="33" t="n"/>
      <c r="T101" s="33" t="n"/>
      <c r="U101" s="32" t="n"/>
      <c r="V101" s="33" t="n"/>
      <c r="W101" s="33" t="n"/>
      <c r="X101" s="33" t="n"/>
      <c r="Y101" s="33" t="n"/>
      <c r="Z101" s="33" t="n"/>
      <c r="AA101" s="33" t="n"/>
      <c r="AB101" s="33" t="n"/>
      <c r="AC101" s="33" t="n"/>
      <c r="AD101" s="33" t="n"/>
      <c r="AE101" s="33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2" t="n"/>
      <c r="AO101" s="32" t="n"/>
      <c r="AP101" s="32" t="n"/>
      <c r="AQ101" s="32" t="n"/>
      <c r="AR101" s="29">
        <f>IF(NOT(COUNTA(A101:AE101)&gt;0),"",IF(A101="","New client","Update"))</f>
        <v/>
      </c>
      <c r="AS101" s="29">
        <f>IF(BA101&lt;&gt;"",BA101,IF(LEN(AZ101)=15,MID(AZ101,3,10),""))</f>
        <v/>
      </c>
      <c r="AT101" s="29">
        <f>IF(BB101="","",BB101&amp;IF(D101="","  (guessed from PAN)",""))</f>
        <v/>
      </c>
      <c r="AU101" s="29">
        <f>IF(AZ101="","",IFERROR(INDEX(Lists!$L$2:$L$38,MATCH(LEFT(AZ101,2),Lists!$K$2:$K$38,0)),"Unknown code"))</f>
        <v/>
      </c>
      <c r="AV101" s="29">
        <f>IF(AZ101="","",IFERROR(IF(NOT(AND(LEN(AZ101)=15,ISNUMBER(MATCH(LEFT(AZ101,2),Lists!$K$2:$K$38,0)),SUMPRODUCT(--ISERROR(FIND(MID(MID(AZ101,3,10),{1,2,3,4,5,10},1),"ABCDEFGHIJKLMNOPQRSTUVWXYZ")))=0,SUMPRODUCT(--ISERROR(FIND(MID(MID(AZ101,3,10),{6,7,8,9},1),"0123456789")))=0,ISNUMBER(FIND(MID(AZ101,13,1),"123456789ABCDEFGHIJKLMNOPQRSTUVWXYZ")),MID(AZ101,14,1)="Z")),"Wrong format",IF(MID("0123456789ABCDEFGHIJKLMNOPQRSTUVWXYZ",MOD(36-MOD(SUMPRODUCT(INT((FIND(MID(AZ101,{1,2,3,4,5,6,7,8,9,10,11,12,13,14},1),"0123456789ABCDEFGHIJKLMNOPQRSTUVWXYZ")-1)*{1,2,1,2,1,2,1,2,1,2,1,2,1,2}/36)+MOD((FIND(MID(AZ101,{1,2,3,4,5,6,7,8,9,10,11,12,13,14},1),"0123456789ABCDEFGHIJKLMNOPQRSTUVWXYZ")-1)*{1,2,1,2,1,2,1,2,1,2,1,2,1,2},36)),36),36)+1,1)=MID(AZ101,15,1),"OK","Typo? check digit wrong")),"Wrong format"))</f>
        <v/>
      </c>
      <c r="AW101" s="29">
        <f>IF(BA101="","",IF(AND(LEN(BA101)=10,SUMPRODUCT(--ISERROR(FIND(MID(BA101,{1,2,3,4,5,10},1),"ABCDEFGHIJKLMNOPQRSTUVWXYZ")))=0,SUMPRODUCT(--ISERROR(FIND(MID(BA101,{6,7,8,9},1),"0123456789")))=0),"OK","Wrong format"))</f>
        <v/>
      </c>
      <c r="AX101" s="29">
        <f>IF(TRIM(H101)="","",IF(AND(LEN(UPPER(TRIM(H101)))=10,SUMPRODUCT(--ISERROR(FIND(MID(UPPER(TRIM(H101)),{1,2,3,4,10},1),"ABCDEFGHIJKLMNOPQRSTUVWXYZ")))=0,SUMPRODUCT(--ISERROR(FIND(MID(UPPER(TRIM(H101)),{5,6,7,8,9},1),"0123456789")))=0),"OK","Wrong format"))</f>
        <v/>
      </c>
      <c r="AY101" s="30">
        <f>IF(NOT(COUNTA(A101:AE101)&gt;0),"",IF(BE101&lt;&gt;"","✖ "&amp;LEFT(BE101,LEN(BE101)-2),IF(BD101&gt;0,"✔ Ready — client + "&amp;BD101&amp;" service(s)","✔ Ready — client only")))</f>
        <v/>
      </c>
      <c r="AZ101" s="31">
        <f>UPPER(SUBSTITUTE(TRIM(F101)," ",""))</f>
        <v/>
      </c>
      <c r="BA101" s="31">
        <f>UPPER(SUBSTITUTE(TRIM(E101)," ",""))</f>
        <v/>
      </c>
      <c r="BB101" s="31">
        <f>IF(D101&lt;&gt;"",D101,IFERROR(VLOOKUP(MID(AS101,4,1),Lists!$E$2:$F$8,2,FALSE),""))</f>
        <v/>
      </c>
      <c r="BC101" s="31">
        <f>IFERROR(VLOOKUP(BB101,Lists!$A$2:$C$12,3,FALSE),"")</f>
        <v/>
      </c>
      <c r="BD101" s="31">
        <f>COUNTIF(W101:AC101,"Yes")</f>
        <v/>
      </c>
      <c r="BE101" s="31">
        <f>IF(TRIM(B101)="","Legal name missing; ","")&amp;IF(AND(AV101&lt;&gt;"",AV101&lt;&gt;"OK"),"GSTIN: "&amp;AV101&amp;"; ","")&amp;IF(AND(AW101&lt;&gt;"",AW101&lt;&gt;"OK"),"PAN wrong format; ","")&amp;IF(AND(BA101&lt;&gt;"",LEN(AZ101)=15,MID(AZ101,3,10)&lt;&gt;BA101),"PAN does not match GSTIN; ","")&amp;IF(AND(AX101&lt;&gt;"",AX101&lt;&gt;"OK"),"TAN wrong format; ","")&amp;IF(AS101="","PAN missing; ","")&amp;IF(BB101="","Entity type missing; ","")&amp;IF(AND(AZ101&lt;&gt;"",COUNTIF($AZ$6:$AZ$1005,AZ101)&gt;1),"GSTIN repeated in this sheet; ","")&amp;IF(AND(AS101&lt;&gt;"",COUNTIF($AS$6:$AS$1005,AS101)&gt;1),"PAN repeated in this sheet (same client? put extra GSTINs in Other GSTINs); ","")&amp;IF(AND(BD101&gt;0,V101=""),"Financial year missing; ","")&amp;IF(AND(BD101=0,V101&lt;&gt;""),"Financial year given but no service is Yes; ","")&amp;IF(AND(W101="Yes",AZ101=""),"GST needs a GSTIN; ","")&amp;IF(AND(W101="Yes",X101=""),"GST return frequency missing; ","")&amp;IF(AND(Y101="Yes",TRIM(H101)=""),"TDS needs a TAN; ","")&amp;IF(AND(AA101="Yes",BC101&lt;&gt;"",BC101&lt;&gt;"company",BC101&lt;&gt;"llp"),"ROC is only for a company / LLP; ","")&amp;IF(AND(AA101="Yes",OR(BC101="company",BC101="llp"),TRIM(I101)=""),"ROC needs the CIN / LLPIN; ","")&amp;IF((TRIM(AF101)="")&lt;&gt;(TRIM(AG101)=""),"GST login needs both user ID and password; ","")&amp;IF((TRIM(AH101)="")&lt;&gt;(TRIM(AI101)=""),"Income-tax login needs both user ID and password; ","")&amp;IF((TRIM(AJ101)="")&lt;&gt;(TRIM(AK101)=""),"Income-tax login needs both user ID and password; ","")&amp;IF((TRIM(AL101)="")&lt;&gt;(TRIM(AM101)=""),"TRACES login needs both user ID and password; ","")&amp;IF((TRIM(AN101)="")&lt;&gt;(TRIM(AO101)=""),"MCA login needs both user ID and password; ","")&amp;IF((TRIM(AP101)="")&lt;&gt;(TRIM(AQ101)=""),"E-way bill login needs both user ID and password; ","")</f>
        <v/>
      </c>
    </row>
    <row r="102">
      <c r="A102" s="32" t="n"/>
      <c r="B102" s="33" t="n"/>
      <c r="C102" s="33" t="n"/>
      <c r="D102" s="33" t="n"/>
      <c r="E102" s="32" t="n"/>
      <c r="F102" s="32" t="n"/>
      <c r="G102" s="32" t="n"/>
      <c r="H102" s="32" t="n"/>
      <c r="I102" s="32" t="n"/>
      <c r="J102" s="34" t="n"/>
      <c r="K102" s="33" t="n"/>
      <c r="L102" s="32" t="n"/>
      <c r="M102" s="33" t="n"/>
      <c r="N102" s="33" t="n"/>
      <c r="O102" s="33" t="n"/>
      <c r="P102" s="32" t="n"/>
      <c r="Q102" s="33" t="n"/>
      <c r="R102" s="33" t="n"/>
      <c r="S102" s="33" t="n"/>
      <c r="T102" s="33" t="n"/>
      <c r="U102" s="32" t="n"/>
      <c r="V102" s="33" t="n"/>
      <c r="W102" s="33" t="n"/>
      <c r="X102" s="33" t="n"/>
      <c r="Y102" s="33" t="n"/>
      <c r="Z102" s="33" t="n"/>
      <c r="AA102" s="33" t="n"/>
      <c r="AB102" s="33" t="n"/>
      <c r="AC102" s="33" t="n"/>
      <c r="AD102" s="33" t="n"/>
      <c r="AE102" s="33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2" t="n"/>
      <c r="AO102" s="32" t="n"/>
      <c r="AP102" s="32" t="n"/>
      <c r="AQ102" s="32" t="n"/>
      <c r="AR102" s="29">
        <f>IF(NOT(COUNTA(A102:AE102)&gt;0),"",IF(A102="","New client","Update"))</f>
        <v/>
      </c>
      <c r="AS102" s="29">
        <f>IF(BA102&lt;&gt;"",BA102,IF(LEN(AZ102)=15,MID(AZ102,3,10),""))</f>
        <v/>
      </c>
      <c r="AT102" s="29">
        <f>IF(BB102="","",BB102&amp;IF(D102="","  (guessed from PAN)",""))</f>
        <v/>
      </c>
      <c r="AU102" s="29">
        <f>IF(AZ102="","",IFERROR(INDEX(Lists!$L$2:$L$38,MATCH(LEFT(AZ102,2),Lists!$K$2:$K$38,0)),"Unknown code"))</f>
        <v/>
      </c>
      <c r="AV102" s="29">
        <f>IF(AZ102="","",IFERROR(IF(NOT(AND(LEN(AZ102)=15,ISNUMBER(MATCH(LEFT(AZ102,2),Lists!$K$2:$K$38,0)),SUMPRODUCT(--ISERROR(FIND(MID(MID(AZ102,3,10),{1,2,3,4,5,10},1),"ABCDEFGHIJKLMNOPQRSTUVWXYZ")))=0,SUMPRODUCT(--ISERROR(FIND(MID(MID(AZ102,3,10),{6,7,8,9},1),"0123456789")))=0,ISNUMBER(FIND(MID(AZ102,13,1),"123456789ABCDEFGHIJKLMNOPQRSTUVWXYZ")),MID(AZ102,14,1)="Z")),"Wrong format",IF(MID("0123456789ABCDEFGHIJKLMNOPQRSTUVWXYZ",MOD(36-MOD(SUMPRODUCT(INT((FIND(MID(AZ102,{1,2,3,4,5,6,7,8,9,10,11,12,13,14},1),"0123456789ABCDEFGHIJKLMNOPQRSTUVWXYZ")-1)*{1,2,1,2,1,2,1,2,1,2,1,2,1,2}/36)+MOD((FIND(MID(AZ102,{1,2,3,4,5,6,7,8,9,10,11,12,13,14},1),"0123456789ABCDEFGHIJKLMNOPQRSTUVWXYZ")-1)*{1,2,1,2,1,2,1,2,1,2,1,2,1,2},36)),36),36)+1,1)=MID(AZ102,15,1),"OK","Typo? check digit wrong")),"Wrong format"))</f>
        <v/>
      </c>
      <c r="AW102" s="29">
        <f>IF(BA102="","",IF(AND(LEN(BA102)=10,SUMPRODUCT(--ISERROR(FIND(MID(BA102,{1,2,3,4,5,10},1),"ABCDEFGHIJKLMNOPQRSTUVWXYZ")))=0,SUMPRODUCT(--ISERROR(FIND(MID(BA102,{6,7,8,9},1),"0123456789")))=0),"OK","Wrong format"))</f>
        <v/>
      </c>
      <c r="AX102" s="29">
        <f>IF(TRIM(H102)="","",IF(AND(LEN(UPPER(TRIM(H102)))=10,SUMPRODUCT(--ISERROR(FIND(MID(UPPER(TRIM(H102)),{1,2,3,4,10},1),"ABCDEFGHIJKLMNOPQRSTUVWXYZ")))=0,SUMPRODUCT(--ISERROR(FIND(MID(UPPER(TRIM(H102)),{5,6,7,8,9},1),"0123456789")))=0),"OK","Wrong format"))</f>
        <v/>
      </c>
      <c r="AY102" s="30">
        <f>IF(NOT(COUNTA(A102:AE102)&gt;0),"",IF(BE102&lt;&gt;"","✖ "&amp;LEFT(BE102,LEN(BE102)-2),IF(BD102&gt;0,"✔ Ready — client + "&amp;BD102&amp;" service(s)","✔ Ready — client only")))</f>
        <v/>
      </c>
      <c r="AZ102" s="31">
        <f>UPPER(SUBSTITUTE(TRIM(F102)," ",""))</f>
        <v/>
      </c>
      <c r="BA102" s="31">
        <f>UPPER(SUBSTITUTE(TRIM(E102)," ",""))</f>
        <v/>
      </c>
      <c r="BB102" s="31">
        <f>IF(D102&lt;&gt;"",D102,IFERROR(VLOOKUP(MID(AS102,4,1),Lists!$E$2:$F$8,2,FALSE),""))</f>
        <v/>
      </c>
      <c r="BC102" s="31">
        <f>IFERROR(VLOOKUP(BB102,Lists!$A$2:$C$12,3,FALSE),"")</f>
        <v/>
      </c>
      <c r="BD102" s="31">
        <f>COUNTIF(W102:AC102,"Yes")</f>
        <v/>
      </c>
      <c r="BE102" s="31">
        <f>IF(TRIM(B102)="","Legal name missing; ","")&amp;IF(AND(AV102&lt;&gt;"",AV102&lt;&gt;"OK"),"GSTIN: "&amp;AV102&amp;"; ","")&amp;IF(AND(AW102&lt;&gt;"",AW102&lt;&gt;"OK"),"PAN wrong format; ","")&amp;IF(AND(BA102&lt;&gt;"",LEN(AZ102)=15,MID(AZ102,3,10)&lt;&gt;BA102),"PAN does not match GSTIN; ","")&amp;IF(AND(AX102&lt;&gt;"",AX102&lt;&gt;"OK"),"TAN wrong format; ","")&amp;IF(AS102="","PAN missing; ","")&amp;IF(BB102="","Entity type missing; ","")&amp;IF(AND(AZ102&lt;&gt;"",COUNTIF($AZ$6:$AZ$1005,AZ102)&gt;1),"GSTIN repeated in this sheet; ","")&amp;IF(AND(AS102&lt;&gt;"",COUNTIF($AS$6:$AS$1005,AS102)&gt;1),"PAN repeated in this sheet (same client? put extra GSTINs in Other GSTINs); ","")&amp;IF(AND(BD102&gt;0,V102=""),"Financial year missing; ","")&amp;IF(AND(BD102=0,V102&lt;&gt;""),"Financial year given but no service is Yes; ","")&amp;IF(AND(W102="Yes",AZ102=""),"GST needs a GSTIN; ","")&amp;IF(AND(W102="Yes",X102=""),"GST return frequency missing; ","")&amp;IF(AND(Y102="Yes",TRIM(H102)=""),"TDS needs a TAN; ","")&amp;IF(AND(AA102="Yes",BC102&lt;&gt;"",BC102&lt;&gt;"company",BC102&lt;&gt;"llp"),"ROC is only for a company / LLP; ","")&amp;IF(AND(AA102="Yes",OR(BC102="company",BC102="llp"),TRIM(I102)=""),"ROC needs the CIN / LLPIN; ","")&amp;IF((TRIM(AF102)="")&lt;&gt;(TRIM(AG102)=""),"GST login needs both user ID and password; ","")&amp;IF((TRIM(AH102)="")&lt;&gt;(TRIM(AI102)=""),"Income-tax login needs both user ID and password; ","")&amp;IF((TRIM(AJ102)="")&lt;&gt;(TRIM(AK102)=""),"Income-tax login needs both user ID and password; ","")&amp;IF((TRIM(AL102)="")&lt;&gt;(TRIM(AM102)=""),"TRACES login needs both user ID and password; ","")&amp;IF((TRIM(AN102)="")&lt;&gt;(TRIM(AO102)=""),"MCA login needs both user ID and password; ","")&amp;IF((TRIM(AP102)="")&lt;&gt;(TRIM(AQ102)=""),"E-way bill login needs both user ID and password; ","")</f>
        <v/>
      </c>
    </row>
    <row r="103">
      <c r="A103" s="32" t="n"/>
      <c r="B103" s="33" t="n"/>
      <c r="C103" s="33" t="n"/>
      <c r="D103" s="33" t="n"/>
      <c r="E103" s="32" t="n"/>
      <c r="F103" s="32" t="n"/>
      <c r="G103" s="32" t="n"/>
      <c r="H103" s="32" t="n"/>
      <c r="I103" s="32" t="n"/>
      <c r="J103" s="34" t="n"/>
      <c r="K103" s="33" t="n"/>
      <c r="L103" s="32" t="n"/>
      <c r="M103" s="33" t="n"/>
      <c r="N103" s="33" t="n"/>
      <c r="O103" s="33" t="n"/>
      <c r="P103" s="32" t="n"/>
      <c r="Q103" s="33" t="n"/>
      <c r="R103" s="33" t="n"/>
      <c r="S103" s="33" t="n"/>
      <c r="T103" s="33" t="n"/>
      <c r="U103" s="32" t="n"/>
      <c r="V103" s="33" t="n"/>
      <c r="W103" s="33" t="n"/>
      <c r="X103" s="33" t="n"/>
      <c r="Y103" s="33" t="n"/>
      <c r="Z103" s="33" t="n"/>
      <c r="AA103" s="33" t="n"/>
      <c r="AB103" s="33" t="n"/>
      <c r="AC103" s="33" t="n"/>
      <c r="AD103" s="33" t="n"/>
      <c r="AE103" s="33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2" t="n"/>
      <c r="AO103" s="32" t="n"/>
      <c r="AP103" s="32" t="n"/>
      <c r="AQ103" s="32" t="n"/>
      <c r="AR103" s="29">
        <f>IF(NOT(COUNTA(A103:AE103)&gt;0),"",IF(A103="","New client","Update"))</f>
        <v/>
      </c>
      <c r="AS103" s="29">
        <f>IF(BA103&lt;&gt;"",BA103,IF(LEN(AZ103)=15,MID(AZ103,3,10),""))</f>
        <v/>
      </c>
      <c r="AT103" s="29">
        <f>IF(BB103="","",BB103&amp;IF(D103="","  (guessed from PAN)",""))</f>
        <v/>
      </c>
      <c r="AU103" s="29">
        <f>IF(AZ103="","",IFERROR(INDEX(Lists!$L$2:$L$38,MATCH(LEFT(AZ103,2),Lists!$K$2:$K$38,0)),"Unknown code"))</f>
        <v/>
      </c>
      <c r="AV103" s="29">
        <f>IF(AZ103="","",IFERROR(IF(NOT(AND(LEN(AZ103)=15,ISNUMBER(MATCH(LEFT(AZ103,2),Lists!$K$2:$K$38,0)),SUMPRODUCT(--ISERROR(FIND(MID(MID(AZ103,3,10),{1,2,3,4,5,10},1),"ABCDEFGHIJKLMNOPQRSTUVWXYZ")))=0,SUMPRODUCT(--ISERROR(FIND(MID(MID(AZ103,3,10),{6,7,8,9},1),"0123456789")))=0,ISNUMBER(FIND(MID(AZ103,13,1),"123456789ABCDEFGHIJKLMNOPQRSTUVWXYZ")),MID(AZ103,14,1)="Z")),"Wrong format",IF(MID("0123456789ABCDEFGHIJKLMNOPQRSTUVWXYZ",MOD(36-MOD(SUMPRODUCT(INT((FIND(MID(AZ103,{1,2,3,4,5,6,7,8,9,10,11,12,13,14},1),"0123456789ABCDEFGHIJKLMNOPQRSTUVWXYZ")-1)*{1,2,1,2,1,2,1,2,1,2,1,2,1,2}/36)+MOD((FIND(MID(AZ103,{1,2,3,4,5,6,7,8,9,10,11,12,13,14},1),"0123456789ABCDEFGHIJKLMNOPQRSTUVWXYZ")-1)*{1,2,1,2,1,2,1,2,1,2,1,2,1,2},36)),36),36)+1,1)=MID(AZ103,15,1),"OK","Typo? check digit wrong")),"Wrong format"))</f>
        <v/>
      </c>
      <c r="AW103" s="29">
        <f>IF(BA103="","",IF(AND(LEN(BA103)=10,SUMPRODUCT(--ISERROR(FIND(MID(BA103,{1,2,3,4,5,10},1),"ABCDEFGHIJKLMNOPQRSTUVWXYZ")))=0,SUMPRODUCT(--ISERROR(FIND(MID(BA103,{6,7,8,9},1),"0123456789")))=0),"OK","Wrong format"))</f>
        <v/>
      </c>
      <c r="AX103" s="29">
        <f>IF(TRIM(H103)="","",IF(AND(LEN(UPPER(TRIM(H103)))=10,SUMPRODUCT(--ISERROR(FIND(MID(UPPER(TRIM(H103)),{1,2,3,4,10},1),"ABCDEFGHIJKLMNOPQRSTUVWXYZ")))=0,SUMPRODUCT(--ISERROR(FIND(MID(UPPER(TRIM(H103)),{5,6,7,8,9},1),"0123456789")))=0),"OK","Wrong format"))</f>
        <v/>
      </c>
      <c r="AY103" s="30">
        <f>IF(NOT(COUNTA(A103:AE103)&gt;0),"",IF(BE103&lt;&gt;"","✖ "&amp;LEFT(BE103,LEN(BE103)-2),IF(BD103&gt;0,"✔ Ready — client + "&amp;BD103&amp;" service(s)","✔ Ready — client only")))</f>
        <v/>
      </c>
      <c r="AZ103" s="31">
        <f>UPPER(SUBSTITUTE(TRIM(F103)," ",""))</f>
        <v/>
      </c>
      <c r="BA103" s="31">
        <f>UPPER(SUBSTITUTE(TRIM(E103)," ",""))</f>
        <v/>
      </c>
      <c r="BB103" s="31">
        <f>IF(D103&lt;&gt;"",D103,IFERROR(VLOOKUP(MID(AS103,4,1),Lists!$E$2:$F$8,2,FALSE),""))</f>
        <v/>
      </c>
      <c r="BC103" s="31">
        <f>IFERROR(VLOOKUP(BB103,Lists!$A$2:$C$12,3,FALSE),"")</f>
        <v/>
      </c>
      <c r="BD103" s="31">
        <f>COUNTIF(W103:AC103,"Yes")</f>
        <v/>
      </c>
      <c r="BE103" s="31">
        <f>IF(TRIM(B103)="","Legal name missing; ","")&amp;IF(AND(AV103&lt;&gt;"",AV103&lt;&gt;"OK"),"GSTIN: "&amp;AV103&amp;"; ","")&amp;IF(AND(AW103&lt;&gt;"",AW103&lt;&gt;"OK"),"PAN wrong format; ","")&amp;IF(AND(BA103&lt;&gt;"",LEN(AZ103)=15,MID(AZ103,3,10)&lt;&gt;BA103),"PAN does not match GSTIN; ","")&amp;IF(AND(AX103&lt;&gt;"",AX103&lt;&gt;"OK"),"TAN wrong format; ","")&amp;IF(AS103="","PAN missing; ","")&amp;IF(BB103="","Entity type missing; ","")&amp;IF(AND(AZ103&lt;&gt;"",COUNTIF($AZ$6:$AZ$1005,AZ103)&gt;1),"GSTIN repeated in this sheet; ","")&amp;IF(AND(AS103&lt;&gt;"",COUNTIF($AS$6:$AS$1005,AS103)&gt;1),"PAN repeated in this sheet (same client? put extra GSTINs in Other GSTINs); ","")&amp;IF(AND(BD103&gt;0,V103=""),"Financial year missing; ","")&amp;IF(AND(BD103=0,V103&lt;&gt;""),"Financial year given but no service is Yes; ","")&amp;IF(AND(W103="Yes",AZ103=""),"GST needs a GSTIN; ","")&amp;IF(AND(W103="Yes",X103=""),"GST return frequency missing; ","")&amp;IF(AND(Y103="Yes",TRIM(H103)=""),"TDS needs a TAN; ","")&amp;IF(AND(AA103="Yes",BC103&lt;&gt;"",BC103&lt;&gt;"company",BC103&lt;&gt;"llp"),"ROC is only for a company / LLP; ","")&amp;IF(AND(AA103="Yes",OR(BC103="company",BC103="llp"),TRIM(I103)=""),"ROC needs the CIN / LLPIN; ","")&amp;IF((TRIM(AF103)="")&lt;&gt;(TRIM(AG103)=""),"GST login needs both user ID and password; ","")&amp;IF((TRIM(AH103)="")&lt;&gt;(TRIM(AI103)=""),"Income-tax login needs both user ID and password; ","")&amp;IF((TRIM(AJ103)="")&lt;&gt;(TRIM(AK103)=""),"Income-tax login needs both user ID and password; ","")&amp;IF((TRIM(AL103)="")&lt;&gt;(TRIM(AM103)=""),"TRACES login needs both user ID and password; ","")&amp;IF((TRIM(AN103)="")&lt;&gt;(TRIM(AO103)=""),"MCA login needs both user ID and password; ","")&amp;IF((TRIM(AP103)="")&lt;&gt;(TRIM(AQ103)=""),"E-way bill login needs both user ID and password; ","")</f>
        <v/>
      </c>
    </row>
    <row r="104">
      <c r="A104" s="32" t="n"/>
      <c r="B104" s="33" t="n"/>
      <c r="C104" s="33" t="n"/>
      <c r="D104" s="33" t="n"/>
      <c r="E104" s="32" t="n"/>
      <c r="F104" s="32" t="n"/>
      <c r="G104" s="32" t="n"/>
      <c r="H104" s="32" t="n"/>
      <c r="I104" s="32" t="n"/>
      <c r="J104" s="34" t="n"/>
      <c r="K104" s="33" t="n"/>
      <c r="L104" s="32" t="n"/>
      <c r="M104" s="33" t="n"/>
      <c r="N104" s="33" t="n"/>
      <c r="O104" s="33" t="n"/>
      <c r="P104" s="32" t="n"/>
      <c r="Q104" s="33" t="n"/>
      <c r="R104" s="33" t="n"/>
      <c r="S104" s="33" t="n"/>
      <c r="T104" s="33" t="n"/>
      <c r="U104" s="32" t="n"/>
      <c r="V104" s="33" t="n"/>
      <c r="W104" s="33" t="n"/>
      <c r="X104" s="33" t="n"/>
      <c r="Y104" s="33" t="n"/>
      <c r="Z104" s="33" t="n"/>
      <c r="AA104" s="33" t="n"/>
      <c r="AB104" s="33" t="n"/>
      <c r="AC104" s="33" t="n"/>
      <c r="AD104" s="33" t="n"/>
      <c r="AE104" s="33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2" t="n"/>
      <c r="AO104" s="32" t="n"/>
      <c r="AP104" s="32" t="n"/>
      <c r="AQ104" s="32" t="n"/>
      <c r="AR104" s="29">
        <f>IF(NOT(COUNTA(A104:AE104)&gt;0),"",IF(A104="","New client","Update"))</f>
        <v/>
      </c>
      <c r="AS104" s="29">
        <f>IF(BA104&lt;&gt;"",BA104,IF(LEN(AZ104)=15,MID(AZ104,3,10),""))</f>
        <v/>
      </c>
      <c r="AT104" s="29">
        <f>IF(BB104="","",BB104&amp;IF(D104="","  (guessed from PAN)",""))</f>
        <v/>
      </c>
      <c r="AU104" s="29">
        <f>IF(AZ104="","",IFERROR(INDEX(Lists!$L$2:$L$38,MATCH(LEFT(AZ104,2),Lists!$K$2:$K$38,0)),"Unknown code"))</f>
        <v/>
      </c>
      <c r="AV104" s="29">
        <f>IF(AZ104="","",IFERROR(IF(NOT(AND(LEN(AZ104)=15,ISNUMBER(MATCH(LEFT(AZ104,2),Lists!$K$2:$K$38,0)),SUMPRODUCT(--ISERROR(FIND(MID(MID(AZ104,3,10),{1,2,3,4,5,10},1),"ABCDEFGHIJKLMNOPQRSTUVWXYZ")))=0,SUMPRODUCT(--ISERROR(FIND(MID(MID(AZ104,3,10),{6,7,8,9},1),"0123456789")))=0,ISNUMBER(FIND(MID(AZ104,13,1),"123456789ABCDEFGHIJKLMNOPQRSTUVWXYZ")),MID(AZ104,14,1)="Z")),"Wrong format",IF(MID("0123456789ABCDEFGHIJKLMNOPQRSTUVWXYZ",MOD(36-MOD(SUMPRODUCT(INT((FIND(MID(AZ104,{1,2,3,4,5,6,7,8,9,10,11,12,13,14},1),"0123456789ABCDEFGHIJKLMNOPQRSTUVWXYZ")-1)*{1,2,1,2,1,2,1,2,1,2,1,2,1,2}/36)+MOD((FIND(MID(AZ104,{1,2,3,4,5,6,7,8,9,10,11,12,13,14},1),"0123456789ABCDEFGHIJKLMNOPQRSTUVWXYZ")-1)*{1,2,1,2,1,2,1,2,1,2,1,2,1,2},36)),36),36)+1,1)=MID(AZ104,15,1),"OK","Typo? check digit wrong")),"Wrong format"))</f>
        <v/>
      </c>
      <c r="AW104" s="29">
        <f>IF(BA104="","",IF(AND(LEN(BA104)=10,SUMPRODUCT(--ISERROR(FIND(MID(BA104,{1,2,3,4,5,10},1),"ABCDEFGHIJKLMNOPQRSTUVWXYZ")))=0,SUMPRODUCT(--ISERROR(FIND(MID(BA104,{6,7,8,9},1),"0123456789")))=0),"OK","Wrong format"))</f>
        <v/>
      </c>
      <c r="AX104" s="29">
        <f>IF(TRIM(H104)="","",IF(AND(LEN(UPPER(TRIM(H104)))=10,SUMPRODUCT(--ISERROR(FIND(MID(UPPER(TRIM(H104)),{1,2,3,4,10},1),"ABCDEFGHIJKLMNOPQRSTUVWXYZ")))=0,SUMPRODUCT(--ISERROR(FIND(MID(UPPER(TRIM(H104)),{5,6,7,8,9},1),"0123456789")))=0),"OK","Wrong format"))</f>
        <v/>
      </c>
      <c r="AY104" s="30">
        <f>IF(NOT(COUNTA(A104:AE104)&gt;0),"",IF(BE104&lt;&gt;"","✖ "&amp;LEFT(BE104,LEN(BE104)-2),IF(BD104&gt;0,"✔ Ready — client + "&amp;BD104&amp;" service(s)","✔ Ready — client only")))</f>
        <v/>
      </c>
      <c r="AZ104" s="31">
        <f>UPPER(SUBSTITUTE(TRIM(F104)," ",""))</f>
        <v/>
      </c>
      <c r="BA104" s="31">
        <f>UPPER(SUBSTITUTE(TRIM(E104)," ",""))</f>
        <v/>
      </c>
      <c r="BB104" s="31">
        <f>IF(D104&lt;&gt;"",D104,IFERROR(VLOOKUP(MID(AS104,4,1),Lists!$E$2:$F$8,2,FALSE),""))</f>
        <v/>
      </c>
      <c r="BC104" s="31">
        <f>IFERROR(VLOOKUP(BB104,Lists!$A$2:$C$12,3,FALSE),"")</f>
        <v/>
      </c>
      <c r="BD104" s="31">
        <f>COUNTIF(W104:AC104,"Yes")</f>
        <v/>
      </c>
      <c r="BE104" s="31">
        <f>IF(TRIM(B104)="","Legal name missing; ","")&amp;IF(AND(AV104&lt;&gt;"",AV104&lt;&gt;"OK"),"GSTIN: "&amp;AV104&amp;"; ","")&amp;IF(AND(AW104&lt;&gt;"",AW104&lt;&gt;"OK"),"PAN wrong format; ","")&amp;IF(AND(BA104&lt;&gt;"",LEN(AZ104)=15,MID(AZ104,3,10)&lt;&gt;BA104),"PAN does not match GSTIN; ","")&amp;IF(AND(AX104&lt;&gt;"",AX104&lt;&gt;"OK"),"TAN wrong format; ","")&amp;IF(AS104="","PAN missing; ","")&amp;IF(BB104="","Entity type missing; ","")&amp;IF(AND(AZ104&lt;&gt;"",COUNTIF($AZ$6:$AZ$1005,AZ104)&gt;1),"GSTIN repeated in this sheet; ","")&amp;IF(AND(AS104&lt;&gt;"",COUNTIF($AS$6:$AS$1005,AS104)&gt;1),"PAN repeated in this sheet (same client? put extra GSTINs in Other GSTINs); ","")&amp;IF(AND(BD104&gt;0,V104=""),"Financial year missing; ","")&amp;IF(AND(BD104=0,V104&lt;&gt;""),"Financial year given but no service is Yes; ","")&amp;IF(AND(W104="Yes",AZ104=""),"GST needs a GSTIN; ","")&amp;IF(AND(W104="Yes",X104=""),"GST return frequency missing; ","")&amp;IF(AND(Y104="Yes",TRIM(H104)=""),"TDS needs a TAN; ","")&amp;IF(AND(AA104="Yes",BC104&lt;&gt;"",BC104&lt;&gt;"company",BC104&lt;&gt;"llp"),"ROC is only for a company / LLP; ","")&amp;IF(AND(AA104="Yes",OR(BC104="company",BC104="llp"),TRIM(I104)=""),"ROC needs the CIN / LLPIN; ","")&amp;IF((TRIM(AF104)="")&lt;&gt;(TRIM(AG104)=""),"GST login needs both user ID and password; ","")&amp;IF((TRIM(AH104)="")&lt;&gt;(TRIM(AI104)=""),"Income-tax login needs both user ID and password; ","")&amp;IF((TRIM(AJ104)="")&lt;&gt;(TRIM(AK104)=""),"Income-tax login needs both user ID and password; ","")&amp;IF((TRIM(AL104)="")&lt;&gt;(TRIM(AM104)=""),"TRACES login needs both user ID and password; ","")&amp;IF((TRIM(AN104)="")&lt;&gt;(TRIM(AO104)=""),"MCA login needs both user ID and password; ","")&amp;IF((TRIM(AP104)="")&lt;&gt;(TRIM(AQ104)=""),"E-way bill login needs both user ID and password; ","")</f>
        <v/>
      </c>
    </row>
    <row r="105">
      <c r="A105" s="32" t="n"/>
      <c r="B105" s="33" t="n"/>
      <c r="C105" s="33" t="n"/>
      <c r="D105" s="33" t="n"/>
      <c r="E105" s="32" t="n"/>
      <c r="F105" s="32" t="n"/>
      <c r="G105" s="32" t="n"/>
      <c r="H105" s="32" t="n"/>
      <c r="I105" s="32" t="n"/>
      <c r="J105" s="34" t="n"/>
      <c r="K105" s="33" t="n"/>
      <c r="L105" s="32" t="n"/>
      <c r="M105" s="33" t="n"/>
      <c r="N105" s="33" t="n"/>
      <c r="O105" s="33" t="n"/>
      <c r="P105" s="32" t="n"/>
      <c r="Q105" s="33" t="n"/>
      <c r="R105" s="33" t="n"/>
      <c r="S105" s="33" t="n"/>
      <c r="T105" s="33" t="n"/>
      <c r="U105" s="32" t="n"/>
      <c r="V105" s="33" t="n"/>
      <c r="W105" s="33" t="n"/>
      <c r="X105" s="33" t="n"/>
      <c r="Y105" s="33" t="n"/>
      <c r="Z105" s="33" t="n"/>
      <c r="AA105" s="33" t="n"/>
      <c r="AB105" s="33" t="n"/>
      <c r="AC105" s="33" t="n"/>
      <c r="AD105" s="33" t="n"/>
      <c r="AE105" s="33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2" t="n"/>
      <c r="AO105" s="32" t="n"/>
      <c r="AP105" s="32" t="n"/>
      <c r="AQ105" s="32" t="n"/>
      <c r="AR105" s="29">
        <f>IF(NOT(COUNTA(A105:AE105)&gt;0),"",IF(A105="","New client","Update"))</f>
        <v/>
      </c>
      <c r="AS105" s="29">
        <f>IF(BA105&lt;&gt;"",BA105,IF(LEN(AZ105)=15,MID(AZ105,3,10),""))</f>
        <v/>
      </c>
      <c r="AT105" s="29">
        <f>IF(BB105="","",BB105&amp;IF(D105="","  (guessed from PAN)",""))</f>
        <v/>
      </c>
      <c r="AU105" s="29">
        <f>IF(AZ105="","",IFERROR(INDEX(Lists!$L$2:$L$38,MATCH(LEFT(AZ105,2),Lists!$K$2:$K$38,0)),"Unknown code"))</f>
        <v/>
      </c>
      <c r="AV105" s="29">
        <f>IF(AZ105="","",IFERROR(IF(NOT(AND(LEN(AZ105)=15,ISNUMBER(MATCH(LEFT(AZ105,2),Lists!$K$2:$K$38,0)),SUMPRODUCT(--ISERROR(FIND(MID(MID(AZ105,3,10),{1,2,3,4,5,10},1),"ABCDEFGHIJKLMNOPQRSTUVWXYZ")))=0,SUMPRODUCT(--ISERROR(FIND(MID(MID(AZ105,3,10),{6,7,8,9},1),"0123456789")))=0,ISNUMBER(FIND(MID(AZ105,13,1),"123456789ABCDEFGHIJKLMNOPQRSTUVWXYZ")),MID(AZ105,14,1)="Z")),"Wrong format",IF(MID("0123456789ABCDEFGHIJKLMNOPQRSTUVWXYZ",MOD(36-MOD(SUMPRODUCT(INT((FIND(MID(AZ105,{1,2,3,4,5,6,7,8,9,10,11,12,13,14},1),"0123456789ABCDEFGHIJKLMNOPQRSTUVWXYZ")-1)*{1,2,1,2,1,2,1,2,1,2,1,2,1,2}/36)+MOD((FIND(MID(AZ105,{1,2,3,4,5,6,7,8,9,10,11,12,13,14},1),"0123456789ABCDEFGHIJKLMNOPQRSTUVWXYZ")-1)*{1,2,1,2,1,2,1,2,1,2,1,2,1,2},36)),36),36)+1,1)=MID(AZ105,15,1),"OK","Typo? check digit wrong")),"Wrong format"))</f>
        <v/>
      </c>
      <c r="AW105" s="29">
        <f>IF(BA105="","",IF(AND(LEN(BA105)=10,SUMPRODUCT(--ISERROR(FIND(MID(BA105,{1,2,3,4,5,10},1),"ABCDEFGHIJKLMNOPQRSTUVWXYZ")))=0,SUMPRODUCT(--ISERROR(FIND(MID(BA105,{6,7,8,9},1),"0123456789")))=0),"OK","Wrong format"))</f>
        <v/>
      </c>
      <c r="AX105" s="29">
        <f>IF(TRIM(H105)="","",IF(AND(LEN(UPPER(TRIM(H105)))=10,SUMPRODUCT(--ISERROR(FIND(MID(UPPER(TRIM(H105)),{1,2,3,4,10},1),"ABCDEFGHIJKLMNOPQRSTUVWXYZ")))=0,SUMPRODUCT(--ISERROR(FIND(MID(UPPER(TRIM(H105)),{5,6,7,8,9},1),"0123456789")))=0),"OK","Wrong format"))</f>
        <v/>
      </c>
      <c r="AY105" s="30">
        <f>IF(NOT(COUNTA(A105:AE105)&gt;0),"",IF(BE105&lt;&gt;"","✖ "&amp;LEFT(BE105,LEN(BE105)-2),IF(BD105&gt;0,"✔ Ready — client + "&amp;BD105&amp;" service(s)","✔ Ready — client only")))</f>
        <v/>
      </c>
      <c r="AZ105" s="31">
        <f>UPPER(SUBSTITUTE(TRIM(F105)," ",""))</f>
        <v/>
      </c>
      <c r="BA105" s="31">
        <f>UPPER(SUBSTITUTE(TRIM(E105)," ",""))</f>
        <v/>
      </c>
      <c r="BB105" s="31">
        <f>IF(D105&lt;&gt;"",D105,IFERROR(VLOOKUP(MID(AS105,4,1),Lists!$E$2:$F$8,2,FALSE),""))</f>
        <v/>
      </c>
      <c r="BC105" s="31">
        <f>IFERROR(VLOOKUP(BB105,Lists!$A$2:$C$12,3,FALSE),"")</f>
        <v/>
      </c>
      <c r="BD105" s="31">
        <f>COUNTIF(W105:AC105,"Yes")</f>
        <v/>
      </c>
      <c r="BE105" s="31">
        <f>IF(TRIM(B105)="","Legal name missing; ","")&amp;IF(AND(AV105&lt;&gt;"",AV105&lt;&gt;"OK"),"GSTIN: "&amp;AV105&amp;"; ","")&amp;IF(AND(AW105&lt;&gt;"",AW105&lt;&gt;"OK"),"PAN wrong format; ","")&amp;IF(AND(BA105&lt;&gt;"",LEN(AZ105)=15,MID(AZ105,3,10)&lt;&gt;BA105),"PAN does not match GSTIN; ","")&amp;IF(AND(AX105&lt;&gt;"",AX105&lt;&gt;"OK"),"TAN wrong format; ","")&amp;IF(AS105="","PAN missing; ","")&amp;IF(BB105="","Entity type missing; ","")&amp;IF(AND(AZ105&lt;&gt;"",COUNTIF($AZ$6:$AZ$1005,AZ105)&gt;1),"GSTIN repeated in this sheet; ","")&amp;IF(AND(AS105&lt;&gt;"",COUNTIF($AS$6:$AS$1005,AS105)&gt;1),"PAN repeated in this sheet (same client? put extra GSTINs in Other GSTINs); ","")&amp;IF(AND(BD105&gt;0,V105=""),"Financial year missing; ","")&amp;IF(AND(BD105=0,V105&lt;&gt;""),"Financial year given but no service is Yes; ","")&amp;IF(AND(W105="Yes",AZ105=""),"GST needs a GSTIN; ","")&amp;IF(AND(W105="Yes",X105=""),"GST return frequency missing; ","")&amp;IF(AND(Y105="Yes",TRIM(H105)=""),"TDS needs a TAN; ","")&amp;IF(AND(AA105="Yes",BC105&lt;&gt;"",BC105&lt;&gt;"company",BC105&lt;&gt;"llp"),"ROC is only for a company / LLP; ","")&amp;IF(AND(AA105="Yes",OR(BC105="company",BC105="llp"),TRIM(I105)=""),"ROC needs the CIN / LLPIN; ","")&amp;IF((TRIM(AF105)="")&lt;&gt;(TRIM(AG105)=""),"GST login needs both user ID and password; ","")&amp;IF((TRIM(AH105)="")&lt;&gt;(TRIM(AI105)=""),"Income-tax login needs both user ID and password; ","")&amp;IF((TRIM(AJ105)="")&lt;&gt;(TRIM(AK105)=""),"Income-tax login needs both user ID and password; ","")&amp;IF((TRIM(AL105)="")&lt;&gt;(TRIM(AM105)=""),"TRACES login needs both user ID and password; ","")&amp;IF((TRIM(AN105)="")&lt;&gt;(TRIM(AO105)=""),"MCA login needs both user ID and password; ","")&amp;IF((TRIM(AP105)="")&lt;&gt;(TRIM(AQ105)=""),"E-way bill login needs both user ID and password; ","")</f>
        <v/>
      </c>
    </row>
    <row r="106">
      <c r="A106" s="32" t="n"/>
      <c r="B106" s="33" t="n"/>
      <c r="C106" s="33" t="n"/>
      <c r="D106" s="33" t="n"/>
      <c r="E106" s="32" t="n"/>
      <c r="F106" s="32" t="n"/>
      <c r="G106" s="32" t="n"/>
      <c r="H106" s="32" t="n"/>
      <c r="I106" s="32" t="n"/>
      <c r="J106" s="34" t="n"/>
      <c r="K106" s="33" t="n"/>
      <c r="L106" s="32" t="n"/>
      <c r="M106" s="33" t="n"/>
      <c r="N106" s="33" t="n"/>
      <c r="O106" s="33" t="n"/>
      <c r="P106" s="32" t="n"/>
      <c r="Q106" s="33" t="n"/>
      <c r="R106" s="33" t="n"/>
      <c r="S106" s="33" t="n"/>
      <c r="T106" s="33" t="n"/>
      <c r="U106" s="32" t="n"/>
      <c r="V106" s="33" t="n"/>
      <c r="W106" s="33" t="n"/>
      <c r="X106" s="33" t="n"/>
      <c r="Y106" s="33" t="n"/>
      <c r="Z106" s="33" t="n"/>
      <c r="AA106" s="33" t="n"/>
      <c r="AB106" s="33" t="n"/>
      <c r="AC106" s="33" t="n"/>
      <c r="AD106" s="33" t="n"/>
      <c r="AE106" s="33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2" t="n"/>
      <c r="AO106" s="32" t="n"/>
      <c r="AP106" s="32" t="n"/>
      <c r="AQ106" s="32" t="n"/>
      <c r="AR106" s="29">
        <f>IF(NOT(COUNTA(A106:AE106)&gt;0),"",IF(A106="","New client","Update"))</f>
        <v/>
      </c>
      <c r="AS106" s="29">
        <f>IF(BA106&lt;&gt;"",BA106,IF(LEN(AZ106)=15,MID(AZ106,3,10),""))</f>
        <v/>
      </c>
      <c r="AT106" s="29">
        <f>IF(BB106="","",BB106&amp;IF(D106="","  (guessed from PAN)",""))</f>
        <v/>
      </c>
      <c r="AU106" s="29">
        <f>IF(AZ106="","",IFERROR(INDEX(Lists!$L$2:$L$38,MATCH(LEFT(AZ106,2),Lists!$K$2:$K$38,0)),"Unknown code"))</f>
        <v/>
      </c>
      <c r="AV106" s="29">
        <f>IF(AZ106="","",IFERROR(IF(NOT(AND(LEN(AZ106)=15,ISNUMBER(MATCH(LEFT(AZ106,2),Lists!$K$2:$K$38,0)),SUMPRODUCT(--ISERROR(FIND(MID(MID(AZ106,3,10),{1,2,3,4,5,10},1),"ABCDEFGHIJKLMNOPQRSTUVWXYZ")))=0,SUMPRODUCT(--ISERROR(FIND(MID(MID(AZ106,3,10),{6,7,8,9},1),"0123456789")))=0,ISNUMBER(FIND(MID(AZ106,13,1),"123456789ABCDEFGHIJKLMNOPQRSTUVWXYZ")),MID(AZ106,14,1)="Z")),"Wrong format",IF(MID("0123456789ABCDEFGHIJKLMNOPQRSTUVWXYZ",MOD(36-MOD(SUMPRODUCT(INT((FIND(MID(AZ106,{1,2,3,4,5,6,7,8,9,10,11,12,13,14},1),"0123456789ABCDEFGHIJKLMNOPQRSTUVWXYZ")-1)*{1,2,1,2,1,2,1,2,1,2,1,2,1,2}/36)+MOD((FIND(MID(AZ106,{1,2,3,4,5,6,7,8,9,10,11,12,13,14},1),"0123456789ABCDEFGHIJKLMNOPQRSTUVWXYZ")-1)*{1,2,1,2,1,2,1,2,1,2,1,2,1,2},36)),36),36)+1,1)=MID(AZ106,15,1),"OK","Typo? check digit wrong")),"Wrong format"))</f>
        <v/>
      </c>
      <c r="AW106" s="29">
        <f>IF(BA106="","",IF(AND(LEN(BA106)=10,SUMPRODUCT(--ISERROR(FIND(MID(BA106,{1,2,3,4,5,10},1),"ABCDEFGHIJKLMNOPQRSTUVWXYZ")))=0,SUMPRODUCT(--ISERROR(FIND(MID(BA106,{6,7,8,9},1),"0123456789")))=0),"OK","Wrong format"))</f>
        <v/>
      </c>
      <c r="AX106" s="29">
        <f>IF(TRIM(H106)="","",IF(AND(LEN(UPPER(TRIM(H106)))=10,SUMPRODUCT(--ISERROR(FIND(MID(UPPER(TRIM(H106)),{1,2,3,4,10},1),"ABCDEFGHIJKLMNOPQRSTUVWXYZ")))=0,SUMPRODUCT(--ISERROR(FIND(MID(UPPER(TRIM(H106)),{5,6,7,8,9},1),"0123456789")))=0),"OK","Wrong format"))</f>
        <v/>
      </c>
      <c r="AY106" s="30">
        <f>IF(NOT(COUNTA(A106:AE106)&gt;0),"",IF(BE106&lt;&gt;"","✖ "&amp;LEFT(BE106,LEN(BE106)-2),IF(BD106&gt;0,"✔ Ready — client + "&amp;BD106&amp;" service(s)","✔ Ready — client only")))</f>
        <v/>
      </c>
      <c r="AZ106" s="31">
        <f>UPPER(SUBSTITUTE(TRIM(F106)," ",""))</f>
        <v/>
      </c>
      <c r="BA106" s="31">
        <f>UPPER(SUBSTITUTE(TRIM(E106)," ",""))</f>
        <v/>
      </c>
      <c r="BB106" s="31">
        <f>IF(D106&lt;&gt;"",D106,IFERROR(VLOOKUP(MID(AS106,4,1),Lists!$E$2:$F$8,2,FALSE),""))</f>
        <v/>
      </c>
      <c r="BC106" s="31">
        <f>IFERROR(VLOOKUP(BB106,Lists!$A$2:$C$12,3,FALSE),"")</f>
        <v/>
      </c>
      <c r="BD106" s="31">
        <f>COUNTIF(W106:AC106,"Yes")</f>
        <v/>
      </c>
      <c r="BE106" s="31">
        <f>IF(TRIM(B106)="","Legal name missing; ","")&amp;IF(AND(AV106&lt;&gt;"",AV106&lt;&gt;"OK"),"GSTIN: "&amp;AV106&amp;"; ","")&amp;IF(AND(AW106&lt;&gt;"",AW106&lt;&gt;"OK"),"PAN wrong format; ","")&amp;IF(AND(BA106&lt;&gt;"",LEN(AZ106)=15,MID(AZ106,3,10)&lt;&gt;BA106),"PAN does not match GSTIN; ","")&amp;IF(AND(AX106&lt;&gt;"",AX106&lt;&gt;"OK"),"TAN wrong format; ","")&amp;IF(AS106="","PAN missing; ","")&amp;IF(BB106="","Entity type missing; ","")&amp;IF(AND(AZ106&lt;&gt;"",COUNTIF($AZ$6:$AZ$1005,AZ106)&gt;1),"GSTIN repeated in this sheet; ","")&amp;IF(AND(AS106&lt;&gt;"",COUNTIF($AS$6:$AS$1005,AS106)&gt;1),"PAN repeated in this sheet (same client? put extra GSTINs in Other GSTINs); ","")&amp;IF(AND(BD106&gt;0,V106=""),"Financial year missing; ","")&amp;IF(AND(BD106=0,V106&lt;&gt;""),"Financial year given but no service is Yes; ","")&amp;IF(AND(W106="Yes",AZ106=""),"GST needs a GSTIN; ","")&amp;IF(AND(W106="Yes",X106=""),"GST return frequency missing; ","")&amp;IF(AND(Y106="Yes",TRIM(H106)=""),"TDS needs a TAN; ","")&amp;IF(AND(AA106="Yes",BC106&lt;&gt;"",BC106&lt;&gt;"company",BC106&lt;&gt;"llp"),"ROC is only for a company / LLP; ","")&amp;IF(AND(AA106="Yes",OR(BC106="company",BC106="llp"),TRIM(I106)=""),"ROC needs the CIN / LLPIN; ","")&amp;IF((TRIM(AF106)="")&lt;&gt;(TRIM(AG106)=""),"GST login needs both user ID and password; ","")&amp;IF((TRIM(AH106)="")&lt;&gt;(TRIM(AI106)=""),"Income-tax login needs both user ID and password; ","")&amp;IF((TRIM(AJ106)="")&lt;&gt;(TRIM(AK106)=""),"Income-tax login needs both user ID and password; ","")&amp;IF((TRIM(AL106)="")&lt;&gt;(TRIM(AM106)=""),"TRACES login needs both user ID and password; ","")&amp;IF((TRIM(AN106)="")&lt;&gt;(TRIM(AO106)=""),"MCA login needs both user ID and password; ","")&amp;IF((TRIM(AP106)="")&lt;&gt;(TRIM(AQ106)=""),"E-way bill login needs both user ID and password; ","")</f>
        <v/>
      </c>
    </row>
    <row r="107">
      <c r="A107" s="32" t="n"/>
      <c r="B107" s="33" t="n"/>
      <c r="C107" s="33" t="n"/>
      <c r="D107" s="33" t="n"/>
      <c r="E107" s="32" t="n"/>
      <c r="F107" s="32" t="n"/>
      <c r="G107" s="32" t="n"/>
      <c r="H107" s="32" t="n"/>
      <c r="I107" s="32" t="n"/>
      <c r="J107" s="34" t="n"/>
      <c r="K107" s="33" t="n"/>
      <c r="L107" s="32" t="n"/>
      <c r="M107" s="33" t="n"/>
      <c r="N107" s="33" t="n"/>
      <c r="O107" s="33" t="n"/>
      <c r="P107" s="32" t="n"/>
      <c r="Q107" s="33" t="n"/>
      <c r="R107" s="33" t="n"/>
      <c r="S107" s="33" t="n"/>
      <c r="T107" s="33" t="n"/>
      <c r="U107" s="32" t="n"/>
      <c r="V107" s="33" t="n"/>
      <c r="W107" s="33" t="n"/>
      <c r="X107" s="33" t="n"/>
      <c r="Y107" s="33" t="n"/>
      <c r="Z107" s="33" t="n"/>
      <c r="AA107" s="33" t="n"/>
      <c r="AB107" s="33" t="n"/>
      <c r="AC107" s="33" t="n"/>
      <c r="AD107" s="33" t="n"/>
      <c r="AE107" s="33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2" t="n"/>
      <c r="AO107" s="32" t="n"/>
      <c r="AP107" s="32" t="n"/>
      <c r="AQ107" s="32" t="n"/>
      <c r="AR107" s="29">
        <f>IF(NOT(COUNTA(A107:AE107)&gt;0),"",IF(A107="","New client","Update"))</f>
        <v/>
      </c>
      <c r="AS107" s="29">
        <f>IF(BA107&lt;&gt;"",BA107,IF(LEN(AZ107)=15,MID(AZ107,3,10),""))</f>
        <v/>
      </c>
      <c r="AT107" s="29">
        <f>IF(BB107="","",BB107&amp;IF(D107="","  (guessed from PAN)",""))</f>
        <v/>
      </c>
      <c r="AU107" s="29">
        <f>IF(AZ107="","",IFERROR(INDEX(Lists!$L$2:$L$38,MATCH(LEFT(AZ107,2),Lists!$K$2:$K$38,0)),"Unknown code"))</f>
        <v/>
      </c>
      <c r="AV107" s="29">
        <f>IF(AZ107="","",IFERROR(IF(NOT(AND(LEN(AZ107)=15,ISNUMBER(MATCH(LEFT(AZ107,2),Lists!$K$2:$K$38,0)),SUMPRODUCT(--ISERROR(FIND(MID(MID(AZ107,3,10),{1,2,3,4,5,10},1),"ABCDEFGHIJKLMNOPQRSTUVWXYZ")))=0,SUMPRODUCT(--ISERROR(FIND(MID(MID(AZ107,3,10),{6,7,8,9},1),"0123456789")))=0,ISNUMBER(FIND(MID(AZ107,13,1),"123456789ABCDEFGHIJKLMNOPQRSTUVWXYZ")),MID(AZ107,14,1)="Z")),"Wrong format",IF(MID("0123456789ABCDEFGHIJKLMNOPQRSTUVWXYZ",MOD(36-MOD(SUMPRODUCT(INT((FIND(MID(AZ107,{1,2,3,4,5,6,7,8,9,10,11,12,13,14},1),"0123456789ABCDEFGHIJKLMNOPQRSTUVWXYZ")-1)*{1,2,1,2,1,2,1,2,1,2,1,2,1,2}/36)+MOD((FIND(MID(AZ107,{1,2,3,4,5,6,7,8,9,10,11,12,13,14},1),"0123456789ABCDEFGHIJKLMNOPQRSTUVWXYZ")-1)*{1,2,1,2,1,2,1,2,1,2,1,2,1,2},36)),36),36)+1,1)=MID(AZ107,15,1),"OK","Typo? check digit wrong")),"Wrong format"))</f>
        <v/>
      </c>
      <c r="AW107" s="29">
        <f>IF(BA107="","",IF(AND(LEN(BA107)=10,SUMPRODUCT(--ISERROR(FIND(MID(BA107,{1,2,3,4,5,10},1),"ABCDEFGHIJKLMNOPQRSTUVWXYZ")))=0,SUMPRODUCT(--ISERROR(FIND(MID(BA107,{6,7,8,9},1),"0123456789")))=0),"OK","Wrong format"))</f>
        <v/>
      </c>
      <c r="AX107" s="29">
        <f>IF(TRIM(H107)="","",IF(AND(LEN(UPPER(TRIM(H107)))=10,SUMPRODUCT(--ISERROR(FIND(MID(UPPER(TRIM(H107)),{1,2,3,4,10},1),"ABCDEFGHIJKLMNOPQRSTUVWXYZ")))=0,SUMPRODUCT(--ISERROR(FIND(MID(UPPER(TRIM(H107)),{5,6,7,8,9},1),"0123456789")))=0),"OK","Wrong format"))</f>
        <v/>
      </c>
      <c r="AY107" s="30">
        <f>IF(NOT(COUNTA(A107:AE107)&gt;0),"",IF(BE107&lt;&gt;"","✖ "&amp;LEFT(BE107,LEN(BE107)-2),IF(BD107&gt;0,"✔ Ready — client + "&amp;BD107&amp;" service(s)","✔ Ready — client only")))</f>
        <v/>
      </c>
      <c r="AZ107" s="31">
        <f>UPPER(SUBSTITUTE(TRIM(F107)," ",""))</f>
        <v/>
      </c>
      <c r="BA107" s="31">
        <f>UPPER(SUBSTITUTE(TRIM(E107)," ",""))</f>
        <v/>
      </c>
      <c r="BB107" s="31">
        <f>IF(D107&lt;&gt;"",D107,IFERROR(VLOOKUP(MID(AS107,4,1),Lists!$E$2:$F$8,2,FALSE),""))</f>
        <v/>
      </c>
      <c r="BC107" s="31">
        <f>IFERROR(VLOOKUP(BB107,Lists!$A$2:$C$12,3,FALSE),"")</f>
        <v/>
      </c>
      <c r="BD107" s="31">
        <f>COUNTIF(W107:AC107,"Yes")</f>
        <v/>
      </c>
      <c r="BE107" s="31">
        <f>IF(TRIM(B107)="","Legal name missing; ","")&amp;IF(AND(AV107&lt;&gt;"",AV107&lt;&gt;"OK"),"GSTIN: "&amp;AV107&amp;"; ","")&amp;IF(AND(AW107&lt;&gt;"",AW107&lt;&gt;"OK"),"PAN wrong format; ","")&amp;IF(AND(BA107&lt;&gt;"",LEN(AZ107)=15,MID(AZ107,3,10)&lt;&gt;BA107),"PAN does not match GSTIN; ","")&amp;IF(AND(AX107&lt;&gt;"",AX107&lt;&gt;"OK"),"TAN wrong format; ","")&amp;IF(AS107="","PAN missing; ","")&amp;IF(BB107="","Entity type missing; ","")&amp;IF(AND(AZ107&lt;&gt;"",COUNTIF($AZ$6:$AZ$1005,AZ107)&gt;1),"GSTIN repeated in this sheet; ","")&amp;IF(AND(AS107&lt;&gt;"",COUNTIF($AS$6:$AS$1005,AS107)&gt;1),"PAN repeated in this sheet (same client? put extra GSTINs in Other GSTINs); ","")&amp;IF(AND(BD107&gt;0,V107=""),"Financial year missing; ","")&amp;IF(AND(BD107=0,V107&lt;&gt;""),"Financial year given but no service is Yes; ","")&amp;IF(AND(W107="Yes",AZ107=""),"GST needs a GSTIN; ","")&amp;IF(AND(W107="Yes",X107=""),"GST return frequency missing; ","")&amp;IF(AND(Y107="Yes",TRIM(H107)=""),"TDS needs a TAN; ","")&amp;IF(AND(AA107="Yes",BC107&lt;&gt;"",BC107&lt;&gt;"company",BC107&lt;&gt;"llp"),"ROC is only for a company / LLP; ","")&amp;IF(AND(AA107="Yes",OR(BC107="company",BC107="llp"),TRIM(I107)=""),"ROC needs the CIN / LLPIN; ","")&amp;IF((TRIM(AF107)="")&lt;&gt;(TRIM(AG107)=""),"GST login needs both user ID and password; ","")&amp;IF((TRIM(AH107)="")&lt;&gt;(TRIM(AI107)=""),"Income-tax login needs both user ID and password; ","")&amp;IF((TRIM(AJ107)="")&lt;&gt;(TRIM(AK107)=""),"Income-tax login needs both user ID and password; ","")&amp;IF((TRIM(AL107)="")&lt;&gt;(TRIM(AM107)=""),"TRACES login needs both user ID and password; ","")&amp;IF((TRIM(AN107)="")&lt;&gt;(TRIM(AO107)=""),"MCA login needs both user ID and password; ","")&amp;IF((TRIM(AP107)="")&lt;&gt;(TRIM(AQ107)=""),"E-way bill login needs both user ID and password; ","")</f>
        <v/>
      </c>
    </row>
    <row r="108">
      <c r="A108" s="32" t="n"/>
      <c r="B108" s="33" t="n"/>
      <c r="C108" s="33" t="n"/>
      <c r="D108" s="33" t="n"/>
      <c r="E108" s="32" t="n"/>
      <c r="F108" s="32" t="n"/>
      <c r="G108" s="32" t="n"/>
      <c r="H108" s="32" t="n"/>
      <c r="I108" s="32" t="n"/>
      <c r="J108" s="34" t="n"/>
      <c r="K108" s="33" t="n"/>
      <c r="L108" s="32" t="n"/>
      <c r="M108" s="33" t="n"/>
      <c r="N108" s="33" t="n"/>
      <c r="O108" s="33" t="n"/>
      <c r="P108" s="32" t="n"/>
      <c r="Q108" s="33" t="n"/>
      <c r="R108" s="33" t="n"/>
      <c r="S108" s="33" t="n"/>
      <c r="T108" s="33" t="n"/>
      <c r="U108" s="32" t="n"/>
      <c r="V108" s="33" t="n"/>
      <c r="W108" s="33" t="n"/>
      <c r="X108" s="33" t="n"/>
      <c r="Y108" s="33" t="n"/>
      <c r="Z108" s="33" t="n"/>
      <c r="AA108" s="33" t="n"/>
      <c r="AB108" s="33" t="n"/>
      <c r="AC108" s="33" t="n"/>
      <c r="AD108" s="33" t="n"/>
      <c r="AE108" s="33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2" t="n"/>
      <c r="AO108" s="32" t="n"/>
      <c r="AP108" s="32" t="n"/>
      <c r="AQ108" s="32" t="n"/>
      <c r="AR108" s="29">
        <f>IF(NOT(COUNTA(A108:AE108)&gt;0),"",IF(A108="","New client","Update"))</f>
        <v/>
      </c>
      <c r="AS108" s="29">
        <f>IF(BA108&lt;&gt;"",BA108,IF(LEN(AZ108)=15,MID(AZ108,3,10),""))</f>
        <v/>
      </c>
      <c r="AT108" s="29">
        <f>IF(BB108="","",BB108&amp;IF(D108="","  (guessed from PAN)",""))</f>
        <v/>
      </c>
      <c r="AU108" s="29">
        <f>IF(AZ108="","",IFERROR(INDEX(Lists!$L$2:$L$38,MATCH(LEFT(AZ108,2),Lists!$K$2:$K$38,0)),"Unknown code"))</f>
        <v/>
      </c>
      <c r="AV108" s="29">
        <f>IF(AZ108="","",IFERROR(IF(NOT(AND(LEN(AZ108)=15,ISNUMBER(MATCH(LEFT(AZ108,2),Lists!$K$2:$K$38,0)),SUMPRODUCT(--ISERROR(FIND(MID(MID(AZ108,3,10),{1,2,3,4,5,10},1),"ABCDEFGHIJKLMNOPQRSTUVWXYZ")))=0,SUMPRODUCT(--ISERROR(FIND(MID(MID(AZ108,3,10),{6,7,8,9},1),"0123456789")))=0,ISNUMBER(FIND(MID(AZ108,13,1),"123456789ABCDEFGHIJKLMNOPQRSTUVWXYZ")),MID(AZ108,14,1)="Z")),"Wrong format",IF(MID("0123456789ABCDEFGHIJKLMNOPQRSTUVWXYZ",MOD(36-MOD(SUMPRODUCT(INT((FIND(MID(AZ108,{1,2,3,4,5,6,7,8,9,10,11,12,13,14},1),"0123456789ABCDEFGHIJKLMNOPQRSTUVWXYZ")-1)*{1,2,1,2,1,2,1,2,1,2,1,2,1,2}/36)+MOD((FIND(MID(AZ108,{1,2,3,4,5,6,7,8,9,10,11,12,13,14},1),"0123456789ABCDEFGHIJKLMNOPQRSTUVWXYZ")-1)*{1,2,1,2,1,2,1,2,1,2,1,2,1,2},36)),36),36)+1,1)=MID(AZ108,15,1),"OK","Typo? check digit wrong")),"Wrong format"))</f>
        <v/>
      </c>
      <c r="AW108" s="29">
        <f>IF(BA108="","",IF(AND(LEN(BA108)=10,SUMPRODUCT(--ISERROR(FIND(MID(BA108,{1,2,3,4,5,10},1),"ABCDEFGHIJKLMNOPQRSTUVWXYZ")))=0,SUMPRODUCT(--ISERROR(FIND(MID(BA108,{6,7,8,9},1),"0123456789")))=0),"OK","Wrong format"))</f>
        <v/>
      </c>
      <c r="AX108" s="29">
        <f>IF(TRIM(H108)="","",IF(AND(LEN(UPPER(TRIM(H108)))=10,SUMPRODUCT(--ISERROR(FIND(MID(UPPER(TRIM(H108)),{1,2,3,4,10},1),"ABCDEFGHIJKLMNOPQRSTUVWXYZ")))=0,SUMPRODUCT(--ISERROR(FIND(MID(UPPER(TRIM(H108)),{5,6,7,8,9},1),"0123456789")))=0),"OK","Wrong format"))</f>
        <v/>
      </c>
      <c r="AY108" s="30">
        <f>IF(NOT(COUNTA(A108:AE108)&gt;0),"",IF(BE108&lt;&gt;"","✖ "&amp;LEFT(BE108,LEN(BE108)-2),IF(BD108&gt;0,"✔ Ready — client + "&amp;BD108&amp;" service(s)","✔ Ready — client only")))</f>
        <v/>
      </c>
      <c r="AZ108" s="31">
        <f>UPPER(SUBSTITUTE(TRIM(F108)," ",""))</f>
        <v/>
      </c>
      <c r="BA108" s="31">
        <f>UPPER(SUBSTITUTE(TRIM(E108)," ",""))</f>
        <v/>
      </c>
      <c r="BB108" s="31">
        <f>IF(D108&lt;&gt;"",D108,IFERROR(VLOOKUP(MID(AS108,4,1),Lists!$E$2:$F$8,2,FALSE),""))</f>
        <v/>
      </c>
      <c r="BC108" s="31">
        <f>IFERROR(VLOOKUP(BB108,Lists!$A$2:$C$12,3,FALSE),"")</f>
        <v/>
      </c>
      <c r="BD108" s="31">
        <f>COUNTIF(W108:AC108,"Yes")</f>
        <v/>
      </c>
      <c r="BE108" s="31">
        <f>IF(TRIM(B108)="","Legal name missing; ","")&amp;IF(AND(AV108&lt;&gt;"",AV108&lt;&gt;"OK"),"GSTIN: "&amp;AV108&amp;"; ","")&amp;IF(AND(AW108&lt;&gt;"",AW108&lt;&gt;"OK"),"PAN wrong format; ","")&amp;IF(AND(BA108&lt;&gt;"",LEN(AZ108)=15,MID(AZ108,3,10)&lt;&gt;BA108),"PAN does not match GSTIN; ","")&amp;IF(AND(AX108&lt;&gt;"",AX108&lt;&gt;"OK"),"TAN wrong format; ","")&amp;IF(AS108="","PAN missing; ","")&amp;IF(BB108="","Entity type missing; ","")&amp;IF(AND(AZ108&lt;&gt;"",COUNTIF($AZ$6:$AZ$1005,AZ108)&gt;1),"GSTIN repeated in this sheet; ","")&amp;IF(AND(AS108&lt;&gt;"",COUNTIF($AS$6:$AS$1005,AS108)&gt;1),"PAN repeated in this sheet (same client? put extra GSTINs in Other GSTINs); ","")&amp;IF(AND(BD108&gt;0,V108=""),"Financial year missing; ","")&amp;IF(AND(BD108=0,V108&lt;&gt;""),"Financial year given but no service is Yes; ","")&amp;IF(AND(W108="Yes",AZ108=""),"GST needs a GSTIN; ","")&amp;IF(AND(W108="Yes",X108=""),"GST return frequency missing; ","")&amp;IF(AND(Y108="Yes",TRIM(H108)=""),"TDS needs a TAN; ","")&amp;IF(AND(AA108="Yes",BC108&lt;&gt;"",BC108&lt;&gt;"company",BC108&lt;&gt;"llp"),"ROC is only for a company / LLP; ","")&amp;IF(AND(AA108="Yes",OR(BC108="company",BC108="llp"),TRIM(I108)=""),"ROC needs the CIN / LLPIN; ","")&amp;IF((TRIM(AF108)="")&lt;&gt;(TRIM(AG108)=""),"GST login needs both user ID and password; ","")&amp;IF((TRIM(AH108)="")&lt;&gt;(TRIM(AI108)=""),"Income-tax login needs both user ID and password; ","")&amp;IF((TRIM(AJ108)="")&lt;&gt;(TRIM(AK108)=""),"Income-tax login needs both user ID and password; ","")&amp;IF((TRIM(AL108)="")&lt;&gt;(TRIM(AM108)=""),"TRACES login needs both user ID and password; ","")&amp;IF((TRIM(AN108)="")&lt;&gt;(TRIM(AO108)=""),"MCA login needs both user ID and password; ","")&amp;IF((TRIM(AP108)="")&lt;&gt;(TRIM(AQ108)=""),"E-way bill login needs both user ID and password; ","")</f>
        <v/>
      </c>
    </row>
    <row r="109">
      <c r="A109" s="32" t="n"/>
      <c r="B109" s="33" t="n"/>
      <c r="C109" s="33" t="n"/>
      <c r="D109" s="33" t="n"/>
      <c r="E109" s="32" t="n"/>
      <c r="F109" s="32" t="n"/>
      <c r="G109" s="32" t="n"/>
      <c r="H109" s="32" t="n"/>
      <c r="I109" s="32" t="n"/>
      <c r="J109" s="34" t="n"/>
      <c r="K109" s="33" t="n"/>
      <c r="L109" s="32" t="n"/>
      <c r="M109" s="33" t="n"/>
      <c r="N109" s="33" t="n"/>
      <c r="O109" s="33" t="n"/>
      <c r="P109" s="32" t="n"/>
      <c r="Q109" s="33" t="n"/>
      <c r="R109" s="33" t="n"/>
      <c r="S109" s="33" t="n"/>
      <c r="T109" s="33" t="n"/>
      <c r="U109" s="32" t="n"/>
      <c r="V109" s="33" t="n"/>
      <c r="W109" s="33" t="n"/>
      <c r="X109" s="33" t="n"/>
      <c r="Y109" s="33" t="n"/>
      <c r="Z109" s="33" t="n"/>
      <c r="AA109" s="33" t="n"/>
      <c r="AB109" s="33" t="n"/>
      <c r="AC109" s="33" t="n"/>
      <c r="AD109" s="33" t="n"/>
      <c r="AE109" s="33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2" t="n"/>
      <c r="AO109" s="32" t="n"/>
      <c r="AP109" s="32" t="n"/>
      <c r="AQ109" s="32" t="n"/>
      <c r="AR109" s="29">
        <f>IF(NOT(COUNTA(A109:AE109)&gt;0),"",IF(A109="","New client","Update"))</f>
        <v/>
      </c>
      <c r="AS109" s="29">
        <f>IF(BA109&lt;&gt;"",BA109,IF(LEN(AZ109)=15,MID(AZ109,3,10),""))</f>
        <v/>
      </c>
      <c r="AT109" s="29">
        <f>IF(BB109="","",BB109&amp;IF(D109="","  (guessed from PAN)",""))</f>
        <v/>
      </c>
      <c r="AU109" s="29">
        <f>IF(AZ109="","",IFERROR(INDEX(Lists!$L$2:$L$38,MATCH(LEFT(AZ109,2),Lists!$K$2:$K$38,0)),"Unknown code"))</f>
        <v/>
      </c>
      <c r="AV109" s="29">
        <f>IF(AZ109="","",IFERROR(IF(NOT(AND(LEN(AZ109)=15,ISNUMBER(MATCH(LEFT(AZ109,2),Lists!$K$2:$K$38,0)),SUMPRODUCT(--ISERROR(FIND(MID(MID(AZ109,3,10),{1,2,3,4,5,10},1),"ABCDEFGHIJKLMNOPQRSTUVWXYZ")))=0,SUMPRODUCT(--ISERROR(FIND(MID(MID(AZ109,3,10),{6,7,8,9},1),"0123456789")))=0,ISNUMBER(FIND(MID(AZ109,13,1),"123456789ABCDEFGHIJKLMNOPQRSTUVWXYZ")),MID(AZ109,14,1)="Z")),"Wrong format",IF(MID("0123456789ABCDEFGHIJKLMNOPQRSTUVWXYZ",MOD(36-MOD(SUMPRODUCT(INT((FIND(MID(AZ109,{1,2,3,4,5,6,7,8,9,10,11,12,13,14},1),"0123456789ABCDEFGHIJKLMNOPQRSTUVWXYZ")-1)*{1,2,1,2,1,2,1,2,1,2,1,2,1,2}/36)+MOD((FIND(MID(AZ109,{1,2,3,4,5,6,7,8,9,10,11,12,13,14},1),"0123456789ABCDEFGHIJKLMNOPQRSTUVWXYZ")-1)*{1,2,1,2,1,2,1,2,1,2,1,2,1,2},36)),36),36)+1,1)=MID(AZ109,15,1),"OK","Typo? check digit wrong")),"Wrong format"))</f>
        <v/>
      </c>
      <c r="AW109" s="29">
        <f>IF(BA109="","",IF(AND(LEN(BA109)=10,SUMPRODUCT(--ISERROR(FIND(MID(BA109,{1,2,3,4,5,10},1),"ABCDEFGHIJKLMNOPQRSTUVWXYZ")))=0,SUMPRODUCT(--ISERROR(FIND(MID(BA109,{6,7,8,9},1),"0123456789")))=0),"OK","Wrong format"))</f>
        <v/>
      </c>
      <c r="AX109" s="29">
        <f>IF(TRIM(H109)="","",IF(AND(LEN(UPPER(TRIM(H109)))=10,SUMPRODUCT(--ISERROR(FIND(MID(UPPER(TRIM(H109)),{1,2,3,4,10},1),"ABCDEFGHIJKLMNOPQRSTUVWXYZ")))=0,SUMPRODUCT(--ISERROR(FIND(MID(UPPER(TRIM(H109)),{5,6,7,8,9},1),"0123456789")))=0),"OK","Wrong format"))</f>
        <v/>
      </c>
      <c r="AY109" s="30">
        <f>IF(NOT(COUNTA(A109:AE109)&gt;0),"",IF(BE109&lt;&gt;"","✖ "&amp;LEFT(BE109,LEN(BE109)-2),IF(BD109&gt;0,"✔ Ready — client + "&amp;BD109&amp;" service(s)","✔ Ready — client only")))</f>
        <v/>
      </c>
      <c r="AZ109" s="31">
        <f>UPPER(SUBSTITUTE(TRIM(F109)," ",""))</f>
        <v/>
      </c>
      <c r="BA109" s="31">
        <f>UPPER(SUBSTITUTE(TRIM(E109)," ",""))</f>
        <v/>
      </c>
      <c r="BB109" s="31">
        <f>IF(D109&lt;&gt;"",D109,IFERROR(VLOOKUP(MID(AS109,4,1),Lists!$E$2:$F$8,2,FALSE),""))</f>
        <v/>
      </c>
      <c r="BC109" s="31">
        <f>IFERROR(VLOOKUP(BB109,Lists!$A$2:$C$12,3,FALSE),"")</f>
        <v/>
      </c>
      <c r="BD109" s="31">
        <f>COUNTIF(W109:AC109,"Yes")</f>
        <v/>
      </c>
      <c r="BE109" s="31">
        <f>IF(TRIM(B109)="","Legal name missing; ","")&amp;IF(AND(AV109&lt;&gt;"",AV109&lt;&gt;"OK"),"GSTIN: "&amp;AV109&amp;"; ","")&amp;IF(AND(AW109&lt;&gt;"",AW109&lt;&gt;"OK"),"PAN wrong format; ","")&amp;IF(AND(BA109&lt;&gt;"",LEN(AZ109)=15,MID(AZ109,3,10)&lt;&gt;BA109),"PAN does not match GSTIN; ","")&amp;IF(AND(AX109&lt;&gt;"",AX109&lt;&gt;"OK"),"TAN wrong format; ","")&amp;IF(AS109="","PAN missing; ","")&amp;IF(BB109="","Entity type missing; ","")&amp;IF(AND(AZ109&lt;&gt;"",COUNTIF($AZ$6:$AZ$1005,AZ109)&gt;1),"GSTIN repeated in this sheet; ","")&amp;IF(AND(AS109&lt;&gt;"",COUNTIF($AS$6:$AS$1005,AS109)&gt;1),"PAN repeated in this sheet (same client? put extra GSTINs in Other GSTINs); ","")&amp;IF(AND(BD109&gt;0,V109=""),"Financial year missing; ","")&amp;IF(AND(BD109=0,V109&lt;&gt;""),"Financial year given but no service is Yes; ","")&amp;IF(AND(W109="Yes",AZ109=""),"GST needs a GSTIN; ","")&amp;IF(AND(W109="Yes",X109=""),"GST return frequency missing; ","")&amp;IF(AND(Y109="Yes",TRIM(H109)=""),"TDS needs a TAN; ","")&amp;IF(AND(AA109="Yes",BC109&lt;&gt;"",BC109&lt;&gt;"company",BC109&lt;&gt;"llp"),"ROC is only for a company / LLP; ","")&amp;IF(AND(AA109="Yes",OR(BC109="company",BC109="llp"),TRIM(I109)=""),"ROC needs the CIN / LLPIN; ","")&amp;IF((TRIM(AF109)="")&lt;&gt;(TRIM(AG109)=""),"GST login needs both user ID and password; ","")&amp;IF((TRIM(AH109)="")&lt;&gt;(TRIM(AI109)=""),"Income-tax login needs both user ID and password; ","")&amp;IF((TRIM(AJ109)="")&lt;&gt;(TRIM(AK109)=""),"Income-tax login needs both user ID and password; ","")&amp;IF((TRIM(AL109)="")&lt;&gt;(TRIM(AM109)=""),"TRACES login needs both user ID and password; ","")&amp;IF((TRIM(AN109)="")&lt;&gt;(TRIM(AO109)=""),"MCA login needs both user ID and password; ","")&amp;IF((TRIM(AP109)="")&lt;&gt;(TRIM(AQ109)=""),"E-way bill login needs both user ID and password; ","")</f>
        <v/>
      </c>
    </row>
    <row r="110">
      <c r="A110" s="32" t="n"/>
      <c r="B110" s="33" t="n"/>
      <c r="C110" s="33" t="n"/>
      <c r="D110" s="33" t="n"/>
      <c r="E110" s="32" t="n"/>
      <c r="F110" s="32" t="n"/>
      <c r="G110" s="32" t="n"/>
      <c r="H110" s="32" t="n"/>
      <c r="I110" s="32" t="n"/>
      <c r="J110" s="34" t="n"/>
      <c r="K110" s="33" t="n"/>
      <c r="L110" s="32" t="n"/>
      <c r="M110" s="33" t="n"/>
      <c r="N110" s="33" t="n"/>
      <c r="O110" s="33" t="n"/>
      <c r="P110" s="32" t="n"/>
      <c r="Q110" s="33" t="n"/>
      <c r="R110" s="33" t="n"/>
      <c r="S110" s="33" t="n"/>
      <c r="T110" s="33" t="n"/>
      <c r="U110" s="32" t="n"/>
      <c r="V110" s="33" t="n"/>
      <c r="W110" s="33" t="n"/>
      <c r="X110" s="33" t="n"/>
      <c r="Y110" s="33" t="n"/>
      <c r="Z110" s="33" t="n"/>
      <c r="AA110" s="33" t="n"/>
      <c r="AB110" s="33" t="n"/>
      <c r="AC110" s="33" t="n"/>
      <c r="AD110" s="33" t="n"/>
      <c r="AE110" s="33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2" t="n"/>
      <c r="AO110" s="32" t="n"/>
      <c r="AP110" s="32" t="n"/>
      <c r="AQ110" s="32" t="n"/>
      <c r="AR110" s="29">
        <f>IF(NOT(COUNTA(A110:AE110)&gt;0),"",IF(A110="","New client","Update"))</f>
        <v/>
      </c>
      <c r="AS110" s="29">
        <f>IF(BA110&lt;&gt;"",BA110,IF(LEN(AZ110)=15,MID(AZ110,3,10),""))</f>
        <v/>
      </c>
      <c r="AT110" s="29">
        <f>IF(BB110="","",BB110&amp;IF(D110="","  (guessed from PAN)",""))</f>
        <v/>
      </c>
      <c r="AU110" s="29">
        <f>IF(AZ110="","",IFERROR(INDEX(Lists!$L$2:$L$38,MATCH(LEFT(AZ110,2),Lists!$K$2:$K$38,0)),"Unknown code"))</f>
        <v/>
      </c>
      <c r="AV110" s="29">
        <f>IF(AZ110="","",IFERROR(IF(NOT(AND(LEN(AZ110)=15,ISNUMBER(MATCH(LEFT(AZ110,2),Lists!$K$2:$K$38,0)),SUMPRODUCT(--ISERROR(FIND(MID(MID(AZ110,3,10),{1,2,3,4,5,10},1),"ABCDEFGHIJKLMNOPQRSTUVWXYZ")))=0,SUMPRODUCT(--ISERROR(FIND(MID(MID(AZ110,3,10),{6,7,8,9},1),"0123456789")))=0,ISNUMBER(FIND(MID(AZ110,13,1),"123456789ABCDEFGHIJKLMNOPQRSTUVWXYZ")),MID(AZ110,14,1)="Z")),"Wrong format",IF(MID("0123456789ABCDEFGHIJKLMNOPQRSTUVWXYZ",MOD(36-MOD(SUMPRODUCT(INT((FIND(MID(AZ110,{1,2,3,4,5,6,7,8,9,10,11,12,13,14},1),"0123456789ABCDEFGHIJKLMNOPQRSTUVWXYZ")-1)*{1,2,1,2,1,2,1,2,1,2,1,2,1,2}/36)+MOD((FIND(MID(AZ110,{1,2,3,4,5,6,7,8,9,10,11,12,13,14},1),"0123456789ABCDEFGHIJKLMNOPQRSTUVWXYZ")-1)*{1,2,1,2,1,2,1,2,1,2,1,2,1,2},36)),36),36)+1,1)=MID(AZ110,15,1),"OK","Typo? check digit wrong")),"Wrong format"))</f>
        <v/>
      </c>
      <c r="AW110" s="29">
        <f>IF(BA110="","",IF(AND(LEN(BA110)=10,SUMPRODUCT(--ISERROR(FIND(MID(BA110,{1,2,3,4,5,10},1),"ABCDEFGHIJKLMNOPQRSTUVWXYZ")))=0,SUMPRODUCT(--ISERROR(FIND(MID(BA110,{6,7,8,9},1),"0123456789")))=0),"OK","Wrong format"))</f>
        <v/>
      </c>
      <c r="AX110" s="29">
        <f>IF(TRIM(H110)="","",IF(AND(LEN(UPPER(TRIM(H110)))=10,SUMPRODUCT(--ISERROR(FIND(MID(UPPER(TRIM(H110)),{1,2,3,4,10},1),"ABCDEFGHIJKLMNOPQRSTUVWXYZ")))=0,SUMPRODUCT(--ISERROR(FIND(MID(UPPER(TRIM(H110)),{5,6,7,8,9},1),"0123456789")))=0),"OK","Wrong format"))</f>
        <v/>
      </c>
      <c r="AY110" s="30">
        <f>IF(NOT(COUNTA(A110:AE110)&gt;0),"",IF(BE110&lt;&gt;"","✖ "&amp;LEFT(BE110,LEN(BE110)-2),IF(BD110&gt;0,"✔ Ready — client + "&amp;BD110&amp;" service(s)","✔ Ready — client only")))</f>
        <v/>
      </c>
      <c r="AZ110" s="31">
        <f>UPPER(SUBSTITUTE(TRIM(F110)," ",""))</f>
        <v/>
      </c>
      <c r="BA110" s="31">
        <f>UPPER(SUBSTITUTE(TRIM(E110)," ",""))</f>
        <v/>
      </c>
      <c r="BB110" s="31">
        <f>IF(D110&lt;&gt;"",D110,IFERROR(VLOOKUP(MID(AS110,4,1),Lists!$E$2:$F$8,2,FALSE),""))</f>
        <v/>
      </c>
      <c r="BC110" s="31">
        <f>IFERROR(VLOOKUP(BB110,Lists!$A$2:$C$12,3,FALSE),"")</f>
        <v/>
      </c>
      <c r="BD110" s="31">
        <f>COUNTIF(W110:AC110,"Yes")</f>
        <v/>
      </c>
      <c r="BE110" s="31">
        <f>IF(TRIM(B110)="","Legal name missing; ","")&amp;IF(AND(AV110&lt;&gt;"",AV110&lt;&gt;"OK"),"GSTIN: "&amp;AV110&amp;"; ","")&amp;IF(AND(AW110&lt;&gt;"",AW110&lt;&gt;"OK"),"PAN wrong format; ","")&amp;IF(AND(BA110&lt;&gt;"",LEN(AZ110)=15,MID(AZ110,3,10)&lt;&gt;BA110),"PAN does not match GSTIN; ","")&amp;IF(AND(AX110&lt;&gt;"",AX110&lt;&gt;"OK"),"TAN wrong format; ","")&amp;IF(AS110="","PAN missing; ","")&amp;IF(BB110="","Entity type missing; ","")&amp;IF(AND(AZ110&lt;&gt;"",COUNTIF($AZ$6:$AZ$1005,AZ110)&gt;1),"GSTIN repeated in this sheet; ","")&amp;IF(AND(AS110&lt;&gt;"",COUNTIF($AS$6:$AS$1005,AS110)&gt;1),"PAN repeated in this sheet (same client? put extra GSTINs in Other GSTINs); ","")&amp;IF(AND(BD110&gt;0,V110=""),"Financial year missing; ","")&amp;IF(AND(BD110=0,V110&lt;&gt;""),"Financial year given but no service is Yes; ","")&amp;IF(AND(W110="Yes",AZ110=""),"GST needs a GSTIN; ","")&amp;IF(AND(W110="Yes",X110=""),"GST return frequency missing; ","")&amp;IF(AND(Y110="Yes",TRIM(H110)=""),"TDS needs a TAN; ","")&amp;IF(AND(AA110="Yes",BC110&lt;&gt;"",BC110&lt;&gt;"company",BC110&lt;&gt;"llp"),"ROC is only for a company / LLP; ","")&amp;IF(AND(AA110="Yes",OR(BC110="company",BC110="llp"),TRIM(I110)=""),"ROC needs the CIN / LLPIN; ","")&amp;IF((TRIM(AF110)="")&lt;&gt;(TRIM(AG110)=""),"GST login needs both user ID and password; ","")&amp;IF((TRIM(AH110)="")&lt;&gt;(TRIM(AI110)=""),"Income-tax login needs both user ID and password; ","")&amp;IF((TRIM(AJ110)="")&lt;&gt;(TRIM(AK110)=""),"Income-tax login needs both user ID and password; ","")&amp;IF((TRIM(AL110)="")&lt;&gt;(TRIM(AM110)=""),"TRACES login needs both user ID and password; ","")&amp;IF((TRIM(AN110)="")&lt;&gt;(TRIM(AO110)=""),"MCA login needs both user ID and password; ","")&amp;IF((TRIM(AP110)="")&lt;&gt;(TRIM(AQ110)=""),"E-way bill login needs both user ID and password; ","")</f>
        <v/>
      </c>
    </row>
    <row r="111">
      <c r="A111" s="32" t="n"/>
      <c r="B111" s="33" t="n"/>
      <c r="C111" s="33" t="n"/>
      <c r="D111" s="33" t="n"/>
      <c r="E111" s="32" t="n"/>
      <c r="F111" s="32" t="n"/>
      <c r="G111" s="32" t="n"/>
      <c r="H111" s="32" t="n"/>
      <c r="I111" s="32" t="n"/>
      <c r="J111" s="34" t="n"/>
      <c r="K111" s="33" t="n"/>
      <c r="L111" s="32" t="n"/>
      <c r="M111" s="33" t="n"/>
      <c r="N111" s="33" t="n"/>
      <c r="O111" s="33" t="n"/>
      <c r="P111" s="32" t="n"/>
      <c r="Q111" s="33" t="n"/>
      <c r="R111" s="33" t="n"/>
      <c r="S111" s="33" t="n"/>
      <c r="T111" s="33" t="n"/>
      <c r="U111" s="32" t="n"/>
      <c r="V111" s="33" t="n"/>
      <c r="W111" s="33" t="n"/>
      <c r="X111" s="33" t="n"/>
      <c r="Y111" s="33" t="n"/>
      <c r="Z111" s="33" t="n"/>
      <c r="AA111" s="33" t="n"/>
      <c r="AB111" s="33" t="n"/>
      <c r="AC111" s="33" t="n"/>
      <c r="AD111" s="33" t="n"/>
      <c r="AE111" s="33" t="n"/>
      <c r="AF111" s="32" t="n"/>
      <c r="AG111" s="32" t="n"/>
      <c r="AH111" s="32" t="n"/>
      <c r="AI111" s="32" t="n"/>
      <c r="AJ111" s="32" t="n"/>
      <c r="AK111" s="32" t="n"/>
      <c r="AL111" s="32" t="n"/>
      <c r="AM111" s="32" t="n"/>
      <c r="AN111" s="32" t="n"/>
      <c r="AO111" s="32" t="n"/>
      <c r="AP111" s="32" t="n"/>
      <c r="AQ111" s="32" t="n"/>
      <c r="AR111" s="29">
        <f>IF(NOT(COUNTA(A111:AE111)&gt;0),"",IF(A111="","New client","Update"))</f>
        <v/>
      </c>
      <c r="AS111" s="29">
        <f>IF(BA111&lt;&gt;"",BA111,IF(LEN(AZ111)=15,MID(AZ111,3,10),""))</f>
        <v/>
      </c>
      <c r="AT111" s="29">
        <f>IF(BB111="","",BB111&amp;IF(D111="","  (guessed from PAN)",""))</f>
        <v/>
      </c>
      <c r="AU111" s="29">
        <f>IF(AZ111="","",IFERROR(INDEX(Lists!$L$2:$L$38,MATCH(LEFT(AZ111,2),Lists!$K$2:$K$38,0)),"Unknown code"))</f>
        <v/>
      </c>
      <c r="AV111" s="29">
        <f>IF(AZ111="","",IFERROR(IF(NOT(AND(LEN(AZ111)=15,ISNUMBER(MATCH(LEFT(AZ111,2),Lists!$K$2:$K$38,0)),SUMPRODUCT(--ISERROR(FIND(MID(MID(AZ111,3,10),{1,2,3,4,5,10},1),"ABCDEFGHIJKLMNOPQRSTUVWXYZ")))=0,SUMPRODUCT(--ISERROR(FIND(MID(MID(AZ111,3,10),{6,7,8,9},1),"0123456789")))=0,ISNUMBER(FIND(MID(AZ111,13,1),"123456789ABCDEFGHIJKLMNOPQRSTUVWXYZ")),MID(AZ111,14,1)="Z")),"Wrong format",IF(MID("0123456789ABCDEFGHIJKLMNOPQRSTUVWXYZ",MOD(36-MOD(SUMPRODUCT(INT((FIND(MID(AZ111,{1,2,3,4,5,6,7,8,9,10,11,12,13,14},1),"0123456789ABCDEFGHIJKLMNOPQRSTUVWXYZ")-1)*{1,2,1,2,1,2,1,2,1,2,1,2,1,2}/36)+MOD((FIND(MID(AZ111,{1,2,3,4,5,6,7,8,9,10,11,12,13,14},1),"0123456789ABCDEFGHIJKLMNOPQRSTUVWXYZ")-1)*{1,2,1,2,1,2,1,2,1,2,1,2,1,2},36)),36),36)+1,1)=MID(AZ111,15,1),"OK","Typo? check digit wrong")),"Wrong format"))</f>
        <v/>
      </c>
      <c r="AW111" s="29">
        <f>IF(BA111="","",IF(AND(LEN(BA111)=10,SUMPRODUCT(--ISERROR(FIND(MID(BA111,{1,2,3,4,5,10},1),"ABCDEFGHIJKLMNOPQRSTUVWXYZ")))=0,SUMPRODUCT(--ISERROR(FIND(MID(BA111,{6,7,8,9},1),"0123456789")))=0),"OK","Wrong format"))</f>
        <v/>
      </c>
      <c r="AX111" s="29">
        <f>IF(TRIM(H111)="","",IF(AND(LEN(UPPER(TRIM(H111)))=10,SUMPRODUCT(--ISERROR(FIND(MID(UPPER(TRIM(H111)),{1,2,3,4,10},1),"ABCDEFGHIJKLMNOPQRSTUVWXYZ")))=0,SUMPRODUCT(--ISERROR(FIND(MID(UPPER(TRIM(H111)),{5,6,7,8,9},1),"0123456789")))=0),"OK","Wrong format"))</f>
        <v/>
      </c>
      <c r="AY111" s="30">
        <f>IF(NOT(COUNTA(A111:AE111)&gt;0),"",IF(BE111&lt;&gt;"","✖ "&amp;LEFT(BE111,LEN(BE111)-2),IF(BD111&gt;0,"✔ Ready — client + "&amp;BD111&amp;" service(s)","✔ Ready — client only")))</f>
        <v/>
      </c>
      <c r="AZ111" s="31">
        <f>UPPER(SUBSTITUTE(TRIM(F111)," ",""))</f>
        <v/>
      </c>
      <c r="BA111" s="31">
        <f>UPPER(SUBSTITUTE(TRIM(E111)," ",""))</f>
        <v/>
      </c>
      <c r="BB111" s="31">
        <f>IF(D111&lt;&gt;"",D111,IFERROR(VLOOKUP(MID(AS111,4,1),Lists!$E$2:$F$8,2,FALSE),""))</f>
        <v/>
      </c>
      <c r="BC111" s="31">
        <f>IFERROR(VLOOKUP(BB111,Lists!$A$2:$C$12,3,FALSE),"")</f>
        <v/>
      </c>
      <c r="BD111" s="31">
        <f>COUNTIF(W111:AC111,"Yes")</f>
        <v/>
      </c>
      <c r="BE111" s="31">
        <f>IF(TRIM(B111)="","Legal name missing; ","")&amp;IF(AND(AV111&lt;&gt;"",AV111&lt;&gt;"OK"),"GSTIN: "&amp;AV111&amp;"; ","")&amp;IF(AND(AW111&lt;&gt;"",AW111&lt;&gt;"OK"),"PAN wrong format; ","")&amp;IF(AND(BA111&lt;&gt;"",LEN(AZ111)=15,MID(AZ111,3,10)&lt;&gt;BA111),"PAN does not match GSTIN; ","")&amp;IF(AND(AX111&lt;&gt;"",AX111&lt;&gt;"OK"),"TAN wrong format; ","")&amp;IF(AS111="","PAN missing; ","")&amp;IF(BB111="","Entity type missing; ","")&amp;IF(AND(AZ111&lt;&gt;"",COUNTIF($AZ$6:$AZ$1005,AZ111)&gt;1),"GSTIN repeated in this sheet; ","")&amp;IF(AND(AS111&lt;&gt;"",COUNTIF($AS$6:$AS$1005,AS111)&gt;1),"PAN repeated in this sheet (same client? put extra GSTINs in Other GSTINs); ","")&amp;IF(AND(BD111&gt;0,V111=""),"Financial year missing; ","")&amp;IF(AND(BD111=0,V111&lt;&gt;""),"Financial year given but no service is Yes; ","")&amp;IF(AND(W111="Yes",AZ111=""),"GST needs a GSTIN; ","")&amp;IF(AND(W111="Yes",X111=""),"GST return frequency missing; ","")&amp;IF(AND(Y111="Yes",TRIM(H111)=""),"TDS needs a TAN; ","")&amp;IF(AND(AA111="Yes",BC111&lt;&gt;"",BC111&lt;&gt;"company",BC111&lt;&gt;"llp"),"ROC is only for a company / LLP; ","")&amp;IF(AND(AA111="Yes",OR(BC111="company",BC111="llp"),TRIM(I111)=""),"ROC needs the CIN / LLPIN; ","")&amp;IF((TRIM(AF111)="")&lt;&gt;(TRIM(AG111)=""),"GST login needs both user ID and password; ","")&amp;IF((TRIM(AH111)="")&lt;&gt;(TRIM(AI111)=""),"Income-tax login needs both user ID and password; ","")&amp;IF((TRIM(AJ111)="")&lt;&gt;(TRIM(AK111)=""),"Income-tax login needs both user ID and password; ","")&amp;IF((TRIM(AL111)="")&lt;&gt;(TRIM(AM111)=""),"TRACES login needs both user ID and password; ","")&amp;IF((TRIM(AN111)="")&lt;&gt;(TRIM(AO111)=""),"MCA login needs both user ID and password; ","")&amp;IF((TRIM(AP111)="")&lt;&gt;(TRIM(AQ111)=""),"E-way bill login needs both user ID and password; ","")</f>
        <v/>
      </c>
    </row>
    <row r="112">
      <c r="A112" s="32" t="n"/>
      <c r="B112" s="33" t="n"/>
      <c r="C112" s="33" t="n"/>
      <c r="D112" s="33" t="n"/>
      <c r="E112" s="32" t="n"/>
      <c r="F112" s="32" t="n"/>
      <c r="G112" s="32" t="n"/>
      <c r="H112" s="32" t="n"/>
      <c r="I112" s="32" t="n"/>
      <c r="J112" s="34" t="n"/>
      <c r="K112" s="33" t="n"/>
      <c r="L112" s="32" t="n"/>
      <c r="M112" s="33" t="n"/>
      <c r="N112" s="33" t="n"/>
      <c r="O112" s="33" t="n"/>
      <c r="P112" s="32" t="n"/>
      <c r="Q112" s="33" t="n"/>
      <c r="R112" s="33" t="n"/>
      <c r="S112" s="33" t="n"/>
      <c r="T112" s="33" t="n"/>
      <c r="U112" s="32" t="n"/>
      <c r="V112" s="33" t="n"/>
      <c r="W112" s="33" t="n"/>
      <c r="X112" s="33" t="n"/>
      <c r="Y112" s="33" t="n"/>
      <c r="Z112" s="33" t="n"/>
      <c r="AA112" s="33" t="n"/>
      <c r="AB112" s="33" t="n"/>
      <c r="AC112" s="33" t="n"/>
      <c r="AD112" s="33" t="n"/>
      <c r="AE112" s="33" t="n"/>
      <c r="AF112" s="32" t="n"/>
      <c r="AG112" s="32" t="n"/>
      <c r="AH112" s="32" t="n"/>
      <c r="AI112" s="32" t="n"/>
      <c r="AJ112" s="32" t="n"/>
      <c r="AK112" s="32" t="n"/>
      <c r="AL112" s="32" t="n"/>
      <c r="AM112" s="32" t="n"/>
      <c r="AN112" s="32" t="n"/>
      <c r="AO112" s="32" t="n"/>
      <c r="AP112" s="32" t="n"/>
      <c r="AQ112" s="32" t="n"/>
      <c r="AR112" s="29">
        <f>IF(NOT(COUNTA(A112:AE112)&gt;0),"",IF(A112="","New client","Update"))</f>
        <v/>
      </c>
      <c r="AS112" s="29">
        <f>IF(BA112&lt;&gt;"",BA112,IF(LEN(AZ112)=15,MID(AZ112,3,10),""))</f>
        <v/>
      </c>
      <c r="AT112" s="29">
        <f>IF(BB112="","",BB112&amp;IF(D112="","  (guessed from PAN)",""))</f>
        <v/>
      </c>
      <c r="AU112" s="29">
        <f>IF(AZ112="","",IFERROR(INDEX(Lists!$L$2:$L$38,MATCH(LEFT(AZ112,2),Lists!$K$2:$K$38,0)),"Unknown code"))</f>
        <v/>
      </c>
      <c r="AV112" s="29">
        <f>IF(AZ112="","",IFERROR(IF(NOT(AND(LEN(AZ112)=15,ISNUMBER(MATCH(LEFT(AZ112,2),Lists!$K$2:$K$38,0)),SUMPRODUCT(--ISERROR(FIND(MID(MID(AZ112,3,10),{1,2,3,4,5,10},1),"ABCDEFGHIJKLMNOPQRSTUVWXYZ")))=0,SUMPRODUCT(--ISERROR(FIND(MID(MID(AZ112,3,10),{6,7,8,9},1),"0123456789")))=0,ISNUMBER(FIND(MID(AZ112,13,1),"123456789ABCDEFGHIJKLMNOPQRSTUVWXYZ")),MID(AZ112,14,1)="Z")),"Wrong format",IF(MID("0123456789ABCDEFGHIJKLMNOPQRSTUVWXYZ",MOD(36-MOD(SUMPRODUCT(INT((FIND(MID(AZ112,{1,2,3,4,5,6,7,8,9,10,11,12,13,14},1),"0123456789ABCDEFGHIJKLMNOPQRSTUVWXYZ")-1)*{1,2,1,2,1,2,1,2,1,2,1,2,1,2}/36)+MOD((FIND(MID(AZ112,{1,2,3,4,5,6,7,8,9,10,11,12,13,14},1),"0123456789ABCDEFGHIJKLMNOPQRSTUVWXYZ")-1)*{1,2,1,2,1,2,1,2,1,2,1,2,1,2},36)),36),36)+1,1)=MID(AZ112,15,1),"OK","Typo? check digit wrong")),"Wrong format"))</f>
        <v/>
      </c>
      <c r="AW112" s="29">
        <f>IF(BA112="","",IF(AND(LEN(BA112)=10,SUMPRODUCT(--ISERROR(FIND(MID(BA112,{1,2,3,4,5,10},1),"ABCDEFGHIJKLMNOPQRSTUVWXYZ")))=0,SUMPRODUCT(--ISERROR(FIND(MID(BA112,{6,7,8,9},1),"0123456789")))=0),"OK","Wrong format"))</f>
        <v/>
      </c>
      <c r="AX112" s="29">
        <f>IF(TRIM(H112)="","",IF(AND(LEN(UPPER(TRIM(H112)))=10,SUMPRODUCT(--ISERROR(FIND(MID(UPPER(TRIM(H112)),{1,2,3,4,10},1),"ABCDEFGHIJKLMNOPQRSTUVWXYZ")))=0,SUMPRODUCT(--ISERROR(FIND(MID(UPPER(TRIM(H112)),{5,6,7,8,9},1),"0123456789")))=0),"OK","Wrong format"))</f>
        <v/>
      </c>
      <c r="AY112" s="30">
        <f>IF(NOT(COUNTA(A112:AE112)&gt;0),"",IF(BE112&lt;&gt;"","✖ "&amp;LEFT(BE112,LEN(BE112)-2),IF(BD112&gt;0,"✔ Ready — client + "&amp;BD112&amp;" service(s)","✔ Ready — client only")))</f>
        <v/>
      </c>
      <c r="AZ112" s="31">
        <f>UPPER(SUBSTITUTE(TRIM(F112)," ",""))</f>
        <v/>
      </c>
      <c r="BA112" s="31">
        <f>UPPER(SUBSTITUTE(TRIM(E112)," ",""))</f>
        <v/>
      </c>
      <c r="BB112" s="31">
        <f>IF(D112&lt;&gt;"",D112,IFERROR(VLOOKUP(MID(AS112,4,1),Lists!$E$2:$F$8,2,FALSE),""))</f>
        <v/>
      </c>
      <c r="BC112" s="31">
        <f>IFERROR(VLOOKUP(BB112,Lists!$A$2:$C$12,3,FALSE),"")</f>
        <v/>
      </c>
      <c r="BD112" s="31">
        <f>COUNTIF(W112:AC112,"Yes")</f>
        <v/>
      </c>
      <c r="BE112" s="31">
        <f>IF(TRIM(B112)="","Legal name missing; ","")&amp;IF(AND(AV112&lt;&gt;"",AV112&lt;&gt;"OK"),"GSTIN: "&amp;AV112&amp;"; ","")&amp;IF(AND(AW112&lt;&gt;"",AW112&lt;&gt;"OK"),"PAN wrong format; ","")&amp;IF(AND(BA112&lt;&gt;"",LEN(AZ112)=15,MID(AZ112,3,10)&lt;&gt;BA112),"PAN does not match GSTIN; ","")&amp;IF(AND(AX112&lt;&gt;"",AX112&lt;&gt;"OK"),"TAN wrong format; ","")&amp;IF(AS112="","PAN missing; ","")&amp;IF(BB112="","Entity type missing; ","")&amp;IF(AND(AZ112&lt;&gt;"",COUNTIF($AZ$6:$AZ$1005,AZ112)&gt;1),"GSTIN repeated in this sheet; ","")&amp;IF(AND(AS112&lt;&gt;"",COUNTIF($AS$6:$AS$1005,AS112)&gt;1),"PAN repeated in this sheet (same client? put extra GSTINs in Other GSTINs); ","")&amp;IF(AND(BD112&gt;0,V112=""),"Financial year missing; ","")&amp;IF(AND(BD112=0,V112&lt;&gt;""),"Financial year given but no service is Yes; ","")&amp;IF(AND(W112="Yes",AZ112=""),"GST needs a GSTIN; ","")&amp;IF(AND(W112="Yes",X112=""),"GST return frequency missing; ","")&amp;IF(AND(Y112="Yes",TRIM(H112)=""),"TDS needs a TAN; ","")&amp;IF(AND(AA112="Yes",BC112&lt;&gt;"",BC112&lt;&gt;"company",BC112&lt;&gt;"llp"),"ROC is only for a company / LLP; ","")&amp;IF(AND(AA112="Yes",OR(BC112="company",BC112="llp"),TRIM(I112)=""),"ROC needs the CIN / LLPIN; ","")&amp;IF((TRIM(AF112)="")&lt;&gt;(TRIM(AG112)=""),"GST login needs both user ID and password; ","")&amp;IF((TRIM(AH112)="")&lt;&gt;(TRIM(AI112)=""),"Income-tax login needs both user ID and password; ","")&amp;IF((TRIM(AJ112)="")&lt;&gt;(TRIM(AK112)=""),"Income-tax login needs both user ID and password; ","")&amp;IF((TRIM(AL112)="")&lt;&gt;(TRIM(AM112)=""),"TRACES login needs both user ID and password; ","")&amp;IF((TRIM(AN112)="")&lt;&gt;(TRIM(AO112)=""),"MCA login needs both user ID and password; ","")&amp;IF((TRIM(AP112)="")&lt;&gt;(TRIM(AQ112)=""),"E-way bill login needs both user ID and password; ","")</f>
        <v/>
      </c>
    </row>
    <row r="113">
      <c r="A113" s="32" t="n"/>
      <c r="B113" s="33" t="n"/>
      <c r="C113" s="33" t="n"/>
      <c r="D113" s="33" t="n"/>
      <c r="E113" s="32" t="n"/>
      <c r="F113" s="32" t="n"/>
      <c r="G113" s="32" t="n"/>
      <c r="H113" s="32" t="n"/>
      <c r="I113" s="32" t="n"/>
      <c r="J113" s="34" t="n"/>
      <c r="K113" s="33" t="n"/>
      <c r="L113" s="32" t="n"/>
      <c r="M113" s="33" t="n"/>
      <c r="N113" s="33" t="n"/>
      <c r="O113" s="33" t="n"/>
      <c r="P113" s="32" t="n"/>
      <c r="Q113" s="33" t="n"/>
      <c r="R113" s="33" t="n"/>
      <c r="S113" s="33" t="n"/>
      <c r="T113" s="33" t="n"/>
      <c r="U113" s="32" t="n"/>
      <c r="V113" s="33" t="n"/>
      <c r="W113" s="33" t="n"/>
      <c r="X113" s="33" t="n"/>
      <c r="Y113" s="33" t="n"/>
      <c r="Z113" s="33" t="n"/>
      <c r="AA113" s="33" t="n"/>
      <c r="AB113" s="33" t="n"/>
      <c r="AC113" s="33" t="n"/>
      <c r="AD113" s="33" t="n"/>
      <c r="AE113" s="33" t="n"/>
      <c r="AF113" s="32" t="n"/>
      <c r="AG113" s="32" t="n"/>
      <c r="AH113" s="32" t="n"/>
      <c r="AI113" s="32" t="n"/>
      <c r="AJ113" s="32" t="n"/>
      <c r="AK113" s="32" t="n"/>
      <c r="AL113" s="32" t="n"/>
      <c r="AM113" s="32" t="n"/>
      <c r="AN113" s="32" t="n"/>
      <c r="AO113" s="32" t="n"/>
      <c r="AP113" s="32" t="n"/>
      <c r="AQ113" s="32" t="n"/>
      <c r="AR113" s="29">
        <f>IF(NOT(COUNTA(A113:AE113)&gt;0),"",IF(A113="","New client","Update"))</f>
        <v/>
      </c>
      <c r="AS113" s="29">
        <f>IF(BA113&lt;&gt;"",BA113,IF(LEN(AZ113)=15,MID(AZ113,3,10),""))</f>
        <v/>
      </c>
      <c r="AT113" s="29">
        <f>IF(BB113="","",BB113&amp;IF(D113="","  (guessed from PAN)",""))</f>
        <v/>
      </c>
      <c r="AU113" s="29">
        <f>IF(AZ113="","",IFERROR(INDEX(Lists!$L$2:$L$38,MATCH(LEFT(AZ113,2),Lists!$K$2:$K$38,0)),"Unknown code"))</f>
        <v/>
      </c>
      <c r="AV113" s="29">
        <f>IF(AZ113="","",IFERROR(IF(NOT(AND(LEN(AZ113)=15,ISNUMBER(MATCH(LEFT(AZ113,2),Lists!$K$2:$K$38,0)),SUMPRODUCT(--ISERROR(FIND(MID(MID(AZ113,3,10),{1,2,3,4,5,10},1),"ABCDEFGHIJKLMNOPQRSTUVWXYZ")))=0,SUMPRODUCT(--ISERROR(FIND(MID(MID(AZ113,3,10),{6,7,8,9},1),"0123456789")))=0,ISNUMBER(FIND(MID(AZ113,13,1),"123456789ABCDEFGHIJKLMNOPQRSTUVWXYZ")),MID(AZ113,14,1)="Z")),"Wrong format",IF(MID("0123456789ABCDEFGHIJKLMNOPQRSTUVWXYZ",MOD(36-MOD(SUMPRODUCT(INT((FIND(MID(AZ113,{1,2,3,4,5,6,7,8,9,10,11,12,13,14},1),"0123456789ABCDEFGHIJKLMNOPQRSTUVWXYZ")-1)*{1,2,1,2,1,2,1,2,1,2,1,2,1,2}/36)+MOD((FIND(MID(AZ113,{1,2,3,4,5,6,7,8,9,10,11,12,13,14},1),"0123456789ABCDEFGHIJKLMNOPQRSTUVWXYZ")-1)*{1,2,1,2,1,2,1,2,1,2,1,2,1,2},36)),36),36)+1,1)=MID(AZ113,15,1),"OK","Typo? check digit wrong")),"Wrong format"))</f>
        <v/>
      </c>
      <c r="AW113" s="29">
        <f>IF(BA113="","",IF(AND(LEN(BA113)=10,SUMPRODUCT(--ISERROR(FIND(MID(BA113,{1,2,3,4,5,10},1),"ABCDEFGHIJKLMNOPQRSTUVWXYZ")))=0,SUMPRODUCT(--ISERROR(FIND(MID(BA113,{6,7,8,9},1),"0123456789")))=0),"OK","Wrong format"))</f>
        <v/>
      </c>
      <c r="AX113" s="29">
        <f>IF(TRIM(H113)="","",IF(AND(LEN(UPPER(TRIM(H113)))=10,SUMPRODUCT(--ISERROR(FIND(MID(UPPER(TRIM(H113)),{1,2,3,4,10},1),"ABCDEFGHIJKLMNOPQRSTUVWXYZ")))=0,SUMPRODUCT(--ISERROR(FIND(MID(UPPER(TRIM(H113)),{5,6,7,8,9},1),"0123456789")))=0),"OK","Wrong format"))</f>
        <v/>
      </c>
      <c r="AY113" s="30">
        <f>IF(NOT(COUNTA(A113:AE113)&gt;0),"",IF(BE113&lt;&gt;"","✖ "&amp;LEFT(BE113,LEN(BE113)-2),IF(BD113&gt;0,"✔ Ready — client + "&amp;BD113&amp;" service(s)","✔ Ready — client only")))</f>
        <v/>
      </c>
      <c r="AZ113" s="31">
        <f>UPPER(SUBSTITUTE(TRIM(F113)," ",""))</f>
        <v/>
      </c>
      <c r="BA113" s="31">
        <f>UPPER(SUBSTITUTE(TRIM(E113)," ",""))</f>
        <v/>
      </c>
      <c r="BB113" s="31">
        <f>IF(D113&lt;&gt;"",D113,IFERROR(VLOOKUP(MID(AS113,4,1),Lists!$E$2:$F$8,2,FALSE),""))</f>
        <v/>
      </c>
      <c r="BC113" s="31">
        <f>IFERROR(VLOOKUP(BB113,Lists!$A$2:$C$12,3,FALSE),"")</f>
        <v/>
      </c>
      <c r="BD113" s="31">
        <f>COUNTIF(W113:AC113,"Yes")</f>
        <v/>
      </c>
      <c r="BE113" s="31">
        <f>IF(TRIM(B113)="","Legal name missing; ","")&amp;IF(AND(AV113&lt;&gt;"",AV113&lt;&gt;"OK"),"GSTIN: "&amp;AV113&amp;"; ","")&amp;IF(AND(AW113&lt;&gt;"",AW113&lt;&gt;"OK"),"PAN wrong format; ","")&amp;IF(AND(BA113&lt;&gt;"",LEN(AZ113)=15,MID(AZ113,3,10)&lt;&gt;BA113),"PAN does not match GSTIN; ","")&amp;IF(AND(AX113&lt;&gt;"",AX113&lt;&gt;"OK"),"TAN wrong format; ","")&amp;IF(AS113="","PAN missing; ","")&amp;IF(BB113="","Entity type missing; ","")&amp;IF(AND(AZ113&lt;&gt;"",COUNTIF($AZ$6:$AZ$1005,AZ113)&gt;1),"GSTIN repeated in this sheet; ","")&amp;IF(AND(AS113&lt;&gt;"",COUNTIF($AS$6:$AS$1005,AS113)&gt;1),"PAN repeated in this sheet (same client? put extra GSTINs in Other GSTINs); ","")&amp;IF(AND(BD113&gt;0,V113=""),"Financial year missing; ","")&amp;IF(AND(BD113=0,V113&lt;&gt;""),"Financial year given but no service is Yes; ","")&amp;IF(AND(W113="Yes",AZ113=""),"GST needs a GSTIN; ","")&amp;IF(AND(W113="Yes",X113=""),"GST return frequency missing; ","")&amp;IF(AND(Y113="Yes",TRIM(H113)=""),"TDS needs a TAN; ","")&amp;IF(AND(AA113="Yes",BC113&lt;&gt;"",BC113&lt;&gt;"company",BC113&lt;&gt;"llp"),"ROC is only for a company / LLP; ","")&amp;IF(AND(AA113="Yes",OR(BC113="company",BC113="llp"),TRIM(I113)=""),"ROC needs the CIN / LLPIN; ","")&amp;IF((TRIM(AF113)="")&lt;&gt;(TRIM(AG113)=""),"GST login needs both user ID and password; ","")&amp;IF((TRIM(AH113)="")&lt;&gt;(TRIM(AI113)=""),"Income-tax login needs both user ID and password; ","")&amp;IF((TRIM(AJ113)="")&lt;&gt;(TRIM(AK113)=""),"Income-tax login needs both user ID and password; ","")&amp;IF((TRIM(AL113)="")&lt;&gt;(TRIM(AM113)=""),"TRACES login needs both user ID and password; ","")&amp;IF((TRIM(AN113)="")&lt;&gt;(TRIM(AO113)=""),"MCA login needs both user ID and password; ","")&amp;IF((TRIM(AP113)="")&lt;&gt;(TRIM(AQ113)=""),"E-way bill login needs both user ID and password; ","")</f>
        <v/>
      </c>
    </row>
    <row r="114">
      <c r="A114" s="32" t="n"/>
      <c r="B114" s="33" t="n"/>
      <c r="C114" s="33" t="n"/>
      <c r="D114" s="33" t="n"/>
      <c r="E114" s="32" t="n"/>
      <c r="F114" s="32" t="n"/>
      <c r="G114" s="32" t="n"/>
      <c r="H114" s="32" t="n"/>
      <c r="I114" s="32" t="n"/>
      <c r="J114" s="34" t="n"/>
      <c r="K114" s="33" t="n"/>
      <c r="L114" s="32" t="n"/>
      <c r="M114" s="33" t="n"/>
      <c r="N114" s="33" t="n"/>
      <c r="O114" s="33" t="n"/>
      <c r="P114" s="32" t="n"/>
      <c r="Q114" s="33" t="n"/>
      <c r="R114" s="33" t="n"/>
      <c r="S114" s="33" t="n"/>
      <c r="T114" s="33" t="n"/>
      <c r="U114" s="32" t="n"/>
      <c r="V114" s="33" t="n"/>
      <c r="W114" s="33" t="n"/>
      <c r="X114" s="33" t="n"/>
      <c r="Y114" s="33" t="n"/>
      <c r="Z114" s="33" t="n"/>
      <c r="AA114" s="33" t="n"/>
      <c r="AB114" s="33" t="n"/>
      <c r="AC114" s="33" t="n"/>
      <c r="AD114" s="33" t="n"/>
      <c r="AE114" s="33" t="n"/>
      <c r="AF114" s="32" t="n"/>
      <c r="AG114" s="32" t="n"/>
      <c r="AH114" s="32" t="n"/>
      <c r="AI114" s="32" t="n"/>
      <c r="AJ114" s="32" t="n"/>
      <c r="AK114" s="32" t="n"/>
      <c r="AL114" s="32" t="n"/>
      <c r="AM114" s="32" t="n"/>
      <c r="AN114" s="32" t="n"/>
      <c r="AO114" s="32" t="n"/>
      <c r="AP114" s="32" t="n"/>
      <c r="AQ114" s="32" t="n"/>
      <c r="AR114" s="29">
        <f>IF(NOT(COUNTA(A114:AE114)&gt;0),"",IF(A114="","New client","Update"))</f>
        <v/>
      </c>
      <c r="AS114" s="29">
        <f>IF(BA114&lt;&gt;"",BA114,IF(LEN(AZ114)=15,MID(AZ114,3,10),""))</f>
        <v/>
      </c>
      <c r="AT114" s="29">
        <f>IF(BB114="","",BB114&amp;IF(D114="","  (guessed from PAN)",""))</f>
        <v/>
      </c>
      <c r="AU114" s="29">
        <f>IF(AZ114="","",IFERROR(INDEX(Lists!$L$2:$L$38,MATCH(LEFT(AZ114,2),Lists!$K$2:$K$38,0)),"Unknown code"))</f>
        <v/>
      </c>
      <c r="AV114" s="29">
        <f>IF(AZ114="","",IFERROR(IF(NOT(AND(LEN(AZ114)=15,ISNUMBER(MATCH(LEFT(AZ114,2),Lists!$K$2:$K$38,0)),SUMPRODUCT(--ISERROR(FIND(MID(MID(AZ114,3,10),{1,2,3,4,5,10},1),"ABCDEFGHIJKLMNOPQRSTUVWXYZ")))=0,SUMPRODUCT(--ISERROR(FIND(MID(MID(AZ114,3,10),{6,7,8,9},1),"0123456789")))=0,ISNUMBER(FIND(MID(AZ114,13,1),"123456789ABCDEFGHIJKLMNOPQRSTUVWXYZ")),MID(AZ114,14,1)="Z")),"Wrong format",IF(MID("0123456789ABCDEFGHIJKLMNOPQRSTUVWXYZ",MOD(36-MOD(SUMPRODUCT(INT((FIND(MID(AZ114,{1,2,3,4,5,6,7,8,9,10,11,12,13,14},1),"0123456789ABCDEFGHIJKLMNOPQRSTUVWXYZ")-1)*{1,2,1,2,1,2,1,2,1,2,1,2,1,2}/36)+MOD((FIND(MID(AZ114,{1,2,3,4,5,6,7,8,9,10,11,12,13,14},1),"0123456789ABCDEFGHIJKLMNOPQRSTUVWXYZ")-1)*{1,2,1,2,1,2,1,2,1,2,1,2,1,2},36)),36),36)+1,1)=MID(AZ114,15,1),"OK","Typo? check digit wrong")),"Wrong format"))</f>
        <v/>
      </c>
      <c r="AW114" s="29">
        <f>IF(BA114="","",IF(AND(LEN(BA114)=10,SUMPRODUCT(--ISERROR(FIND(MID(BA114,{1,2,3,4,5,10},1),"ABCDEFGHIJKLMNOPQRSTUVWXYZ")))=0,SUMPRODUCT(--ISERROR(FIND(MID(BA114,{6,7,8,9},1),"0123456789")))=0),"OK","Wrong format"))</f>
        <v/>
      </c>
      <c r="AX114" s="29">
        <f>IF(TRIM(H114)="","",IF(AND(LEN(UPPER(TRIM(H114)))=10,SUMPRODUCT(--ISERROR(FIND(MID(UPPER(TRIM(H114)),{1,2,3,4,10},1),"ABCDEFGHIJKLMNOPQRSTUVWXYZ")))=0,SUMPRODUCT(--ISERROR(FIND(MID(UPPER(TRIM(H114)),{5,6,7,8,9},1),"0123456789")))=0),"OK","Wrong format"))</f>
        <v/>
      </c>
      <c r="AY114" s="30">
        <f>IF(NOT(COUNTA(A114:AE114)&gt;0),"",IF(BE114&lt;&gt;"","✖ "&amp;LEFT(BE114,LEN(BE114)-2),IF(BD114&gt;0,"✔ Ready — client + "&amp;BD114&amp;" service(s)","✔ Ready — client only")))</f>
        <v/>
      </c>
      <c r="AZ114" s="31">
        <f>UPPER(SUBSTITUTE(TRIM(F114)," ",""))</f>
        <v/>
      </c>
      <c r="BA114" s="31">
        <f>UPPER(SUBSTITUTE(TRIM(E114)," ",""))</f>
        <v/>
      </c>
      <c r="BB114" s="31">
        <f>IF(D114&lt;&gt;"",D114,IFERROR(VLOOKUP(MID(AS114,4,1),Lists!$E$2:$F$8,2,FALSE),""))</f>
        <v/>
      </c>
      <c r="BC114" s="31">
        <f>IFERROR(VLOOKUP(BB114,Lists!$A$2:$C$12,3,FALSE),"")</f>
        <v/>
      </c>
      <c r="BD114" s="31">
        <f>COUNTIF(W114:AC114,"Yes")</f>
        <v/>
      </c>
      <c r="BE114" s="31">
        <f>IF(TRIM(B114)="","Legal name missing; ","")&amp;IF(AND(AV114&lt;&gt;"",AV114&lt;&gt;"OK"),"GSTIN: "&amp;AV114&amp;"; ","")&amp;IF(AND(AW114&lt;&gt;"",AW114&lt;&gt;"OK"),"PAN wrong format; ","")&amp;IF(AND(BA114&lt;&gt;"",LEN(AZ114)=15,MID(AZ114,3,10)&lt;&gt;BA114),"PAN does not match GSTIN; ","")&amp;IF(AND(AX114&lt;&gt;"",AX114&lt;&gt;"OK"),"TAN wrong format; ","")&amp;IF(AS114="","PAN missing; ","")&amp;IF(BB114="","Entity type missing; ","")&amp;IF(AND(AZ114&lt;&gt;"",COUNTIF($AZ$6:$AZ$1005,AZ114)&gt;1),"GSTIN repeated in this sheet; ","")&amp;IF(AND(AS114&lt;&gt;"",COUNTIF($AS$6:$AS$1005,AS114)&gt;1),"PAN repeated in this sheet (same client? put extra GSTINs in Other GSTINs); ","")&amp;IF(AND(BD114&gt;0,V114=""),"Financial year missing; ","")&amp;IF(AND(BD114=0,V114&lt;&gt;""),"Financial year given but no service is Yes; ","")&amp;IF(AND(W114="Yes",AZ114=""),"GST needs a GSTIN; ","")&amp;IF(AND(W114="Yes",X114=""),"GST return frequency missing; ","")&amp;IF(AND(Y114="Yes",TRIM(H114)=""),"TDS needs a TAN; ","")&amp;IF(AND(AA114="Yes",BC114&lt;&gt;"",BC114&lt;&gt;"company",BC114&lt;&gt;"llp"),"ROC is only for a company / LLP; ","")&amp;IF(AND(AA114="Yes",OR(BC114="company",BC114="llp"),TRIM(I114)=""),"ROC needs the CIN / LLPIN; ","")&amp;IF((TRIM(AF114)="")&lt;&gt;(TRIM(AG114)=""),"GST login needs both user ID and password; ","")&amp;IF((TRIM(AH114)="")&lt;&gt;(TRIM(AI114)=""),"Income-tax login needs both user ID and password; ","")&amp;IF((TRIM(AJ114)="")&lt;&gt;(TRIM(AK114)=""),"Income-tax login needs both user ID and password; ","")&amp;IF((TRIM(AL114)="")&lt;&gt;(TRIM(AM114)=""),"TRACES login needs both user ID and password; ","")&amp;IF((TRIM(AN114)="")&lt;&gt;(TRIM(AO114)=""),"MCA login needs both user ID and password; ","")&amp;IF((TRIM(AP114)="")&lt;&gt;(TRIM(AQ114)=""),"E-way bill login needs both user ID and password; ","")</f>
        <v/>
      </c>
    </row>
    <row r="115">
      <c r="A115" s="32" t="n"/>
      <c r="B115" s="33" t="n"/>
      <c r="C115" s="33" t="n"/>
      <c r="D115" s="33" t="n"/>
      <c r="E115" s="32" t="n"/>
      <c r="F115" s="32" t="n"/>
      <c r="G115" s="32" t="n"/>
      <c r="H115" s="32" t="n"/>
      <c r="I115" s="32" t="n"/>
      <c r="J115" s="34" t="n"/>
      <c r="K115" s="33" t="n"/>
      <c r="L115" s="32" t="n"/>
      <c r="M115" s="33" t="n"/>
      <c r="N115" s="33" t="n"/>
      <c r="O115" s="33" t="n"/>
      <c r="P115" s="32" t="n"/>
      <c r="Q115" s="33" t="n"/>
      <c r="R115" s="33" t="n"/>
      <c r="S115" s="33" t="n"/>
      <c r="T115" s="33" t="n"/>
      <c r="U115" s="32" t="n"/>
      <c r="V115" s="33" t="n"/>
      <c r="W115" s="33" t="n"/>
      <c r="X115" s="33" t="n"/>
      <c r="Y115" s="33" t="n"/>
      <c r="Z115" s="33" t="n"/>
      <c r="AA115" s="33" t="n"/>
      <c r="AB115" s="33" t="n"/>
      <c r="AC115" s="33" t="n"/>
      <c r="AD115" s="33" t="n"/>
      <c r="AE115" s="33" t="n"/>
      <c r="AF115" s="32" t="n"/>
      <c r="AG115" s="32" t="n"/>
      <c r="AH115" s="32" t="n"/>
      <c r="AI115" s="32" t="n"/>
      <c r="AJ115" s="32" t="n"/>
      <c r="AK115" s="32" t="n"/>
      <c r="AL115" s="32" t="n"/>
      <c r="AM115" s="32" t="n"/>
      <c r="AN115" s="32" t="n"/>
      <c r="AO115" s="32" t="n"/>
      <c r="AP115" s="32" t="n"/>
      <c r="AQ115" s="32" t="n"/>
      <c r="AR115" s="29">
        <f>IF(NOT(COUNTA(A115:AE115)&gt;0),"",IF(A115="","New client","Update"))</f>
        <v/>
      </c>
      <c r="AS115" s="29">
        <f>IF(BA115&lt;&gt;"",BA115,IF(LEN(AZ115)=15,MID(AZ115,3,10),""))</f>
        <v/>
      </c>
      <c r="AT115" s="29">
        <f>IF(BB115="","",BB115&amp;IF(D115="","  (guessed from PAN)",""))</f>
        <v/>
      </c>
      <c r="AU115" s="29">
        <f>IF(AZ115="","",IFERROR(INDEX(Lists!$L$2:$L$38,MATCH(LEFT(AZ115,2),Lists!$K$2:$K$38,0)),"Unknown code"))</f>
        <v/>
      </c>
      <c r="AV115" s="29">
        <f>IF(AZ115="","",IFERROR(IF(NOT(AND(LEN(AZ115)=15,ISNUMBER(MATCH(LEFT(AZ115,2),Lists!$K$2:$K$38,0)),SUMPRODUCT(--ISERROR(FIND(MID(MID(AZ115,3,10),{1,2,3,4,5,10},1),"ABCDEFGHIJKLMNOPQRSTUVWXYZ")))=0,SUMPRODUCT(--ISERROR(FIND(MID(MID(AZ115,3,10),{6,7,8,9},1),"0123456789")))=0,ISNUMBER(FIND(MID(AZ115,13,1),"123456789ABCDEFGHIJKLMNOPQRSTUVWXYZ")),MID(AZ115,14,1)="Z")),"Wrong format",IF(MID("0123456789ABCDEFGHIJKLMNOPQRSTUVWXYZ",MOD(36-MOD(SUMPRODUCT(INT((FIND(MID(AZ115,{1,2,3,4,5,6,7,8,9,10,11,12,13,14},1),"0123456789ABCDEFGHIJKLMNOPQRSTUVWXYZ")-1)*{1,2,1,2,1,2,1,2,1,2,1,2,1,2}/36)+MOD((FIND(MID(AZ115,{1,2,3,4,5,6,7,8,9,10,11,12,13,14},1),"0123456789ABCDEFGHIJKLMNOPQRSTUVWXYZ")-1)*{1,2,1,2,1,2,1,2,1,2,1,2,1,2},36)),36),36)+1,1)=MID(AZ115,15,1),"OK","Typo? check digit wrong")),"Wrong format"))</f>
        <v/>
      </c>
      <c r="AW115" s="29">
        <f>IF(BA115="","",IF(AND(LEN(BA115)=10,SUMPRODUCT(--ISERROR(FIND(MID(BA115,{1,2,3,4,5,10},1),"ABCDEFGHIJKLMNOPQRSTUVWXYZ")))=0,SUMPRODUCT(--ISERROR(FIND(MID(BA115,{6,7,8,9},1),"0123456789")))=0),"OK","Wrong format"))</f>
        <v/>
      </c>
      <c r="AX115" s="29">
        <f>IF(TRIM(H115)="","",IF(AND(LEN(UPPER(TRIM(H115)))=10,SUMPRODUCT(--ISERROR(FIND(MID(UPPER(TRIM(H115)),{1,2,3,4,10},1),"ABCDEFGHIJKLMNOPQRSTUVWXYZ")))=0,SUMPRODUCT(--ISERROR(FIND(MID(UPPER(TRIM(H115)),{5,6,7,8,9},1),"0123456789")))=0),"OK","Wrong format"))</f>
        <v/>
      </c>
      <c r="AY115" s="30">
        <f>IF(NOT(COUNTA(A115:AE115)&gt;0),"",IF(BE115&lt;&gt;"","✖ "&amp;LEFT(BE115,LEN(BE115)-2),IF(BD115&gt;0,"✔ Ready — client + "&amp;BD115&amp;" service(s)","✔ Ready — client only")))</f>
        <v/>
      </c>
      <c r="AZ115" s="31">
        <f>UPPER(SUBSTITUTE(TRIM(F115)," ",""))</f>
        <v/>
      </c>
      <c r="BA115" s="31">
        <f>UPPER(SUBSTITUTE(TRIM(E115)," ",""))</f>
        <v/>
      </c>
      <c r="BB115" s="31">
        <f>IF(D115&lt;&gt;"",D115,IFERROR(VLOOKUP(MID(AS115,4,1),Lists!$E$2:$F$8,2,FALSE),""))</f>
        <v/>
      </c>
      <c r="BC115" s="31">
        <f>IFERROR(VLOOKUP(BB115,Lists!$A$2:$C$12,3,FALSE),"")</f>
        <v/>
      </c>
      <c r="BD115" s="31">
        <f>COUNTIF(W115:AC115,"Yes")</f>
        <v/>
      </c>
      <c r="BE115" s="31">
        <f>IF(TRIM(B115)="","Legal name missing; ","")&amp;IF(AND(AV115&lt;&gt;"",AV115&lt;&gt;"OK"),"GSTIN: "&amp;AV115&amp;"; ","")&amp;IF(AND(AW115&lt;&gt;"",AW115&lt;&gt;"OK"),"PAN wrong format; ","")&amp;IF(AND(BA115&lt;&gt;"",LEN(AZ115)=15,MID(AZ115,3,10)&lt;&gt;BA115),"PAN does not match GSTIN; ","")&amp;IF(AND(AX115&lt;&gt;"",AX115&lt;&gt;"OK"),"TAN wrong format; ","")&amp;IF(AS115="","PAN missing; ","")&amp;IF(BB115="","Entity type missing; ","")&amp;IF(AND(AZ115&lt;&gt;"",COUNTIF($AZ$6:$AZ$1005,AZ115)&gt;1),"GSTIN repeated in this sheet; ","")&amp;IF(AND(AS115&lt;&gt;"",COUNTIF($AS$6:$AS$1005,AS115)&gt;1),"PAN repeated in this sheet (same client? put extra GSTINs in Other GSTINs); ","")&amp;IF(AND(BD115&gt;0,V115=""),"Financial year missing; ","")&amp;IF(AND(BD115=0,V115&lt;&gt;""),"Financial year given but no service is Yes; ","")&amp;IF(AND(W115="Yes",AZ115=""),"GST needs a GSTIN; ","")&amp;IF(AND(W115="Yes",X115=""),"GST return frequency missing; ","")&amp;IF(AND(Y115="Yes",TRIM(H115)=""),"TDS needs a TAN; ","")&amp;IF(AND(AA115="Yes",BC115&lt;&gt;"",BC115&lt;&gt;"company",BC115&lt;&gt;"llp"),"ROC is only for a company / LLP; ","")&amp;IF(AND(AA115="Yes",OR(BC115="company",BC115="llp"),TRIM(I115)=""),"ROC needs the CIN / LLPIN; ","")&amp;IF((TRIM(AF115)="")&lt;&gt;(TRIM(AG115)=""),"GST login needs both user ID and password; ","")&amp;IF((TRIM(AH115)="")&lt;&gt;(TRIM(AI115)=""),"Income-tax login needs both user ID and password; ","")&amp;IF((TRIM(AJ115)="")&lt;&gt;(TRIM(AK115)=""),"Income-tax login needs both user ID and password; ","")&amp;IF((TRIM(AL115)="")&lt;&gt;(TRIM(AM115)=""),"TRACES login needs both user ID and password; ","")&amp;IF((TRIM(AN115)="")&lt;&gt;(TRIM(AO115)=""),"MCA login needs both user ID and password; ","")&amp;IF((TRIM(AP115)="")&lt;&gt;(TRIM(AQ115)=""),"E-way bill login needs both user ID and password; ","")</f>
        <v/>
      </c>
    </row>
    <row r="116">
      <c r="A116" s="32" t="n"/>
      <c r="B116" s="33" t="n"/>
      <c r="C116" s="33" t="n"/>
      <c r="D116" s="33" t="n"/>
      <c r="E116" s="32" t="n"/>
      <c r="F116" s="32" t="n"/>
      <c r="G116" s="32" t="n"/>
      <c r="H116" s="32" t="n"/>
      <c r="I116" s="32" t="n"/>
      <c r="J116" s="34" t="n"/>
      <c r="K116" s="33" t="n"/>
      <c r="L116" s="32" t="n"/>
      <c r="M116" s="33" t="n"/>
      <c r="N116" s="33" t="n"/>
      <c r="O116" s="33" t="n"/>
      <c r="P116" s="32" t="n"/>
      <c r="Q116" s="33" t="n"/>
      <c r="R116" s="33" t="n"/>
      <c r="S116" s="33" t="n"/>
      <c r="T116" s="33" t="n"/>
      <c r="U116" s="32" t="n"/>
      <c r="V116" s="33" t="n"/>
      <c r="W116" s="33" t="n"/>
      <c r="X116" s="33" t="n"/>
      <c r="Y116" s="33" t="n"/>
      <c r="Z116" s="33" t="n"/>
      <c r="AA116" s="33" t="n"/>
      <c r="AB116" s="33" t="n"/>
      <c r="AC116" s="33" t="n"/>
      <c r="AD116" s="33" t="n"/>
      <c r="AE116" s="33" t="n"/>
      <c r="AF116" s="32" t="n"/>
      <c r="AG116" s="32" t="n"/>
      <c r="AH116" s="32" t="n"/>
      <c r="AI116" s="32" t="n"/>
      <c r="AJ116" s="32" t="n"/>
      <c r="AK116" s="32" t="n"/>
      <c r="AL116" s="32" t="n"/>
      <c r="AM116" s="32" t="n"/>
      <c r="AN116" s="32" t="n"/>
      <c r="AO116" s="32" t="n"/>
      <c r="AP116" s="32" t="n"/>
      <c r="AQ116" s="32" t="n"/>
      <c r="AR116" s="29">
        <f>IF(NOT(COUNTA(A116:AE116)&gt;0),"",IF(A116="","New client","Update"))</f>
        <v/>
      </c>
      <c r="AS116" s="29">
        <f>IF(BA116&lt;&gt;"",BA116,IF(LEN(AZ116)=15,MID(AZ116,3,10),""))</f>
        <v/>
      </c>
      <c r="AT116" s="29">
        <f>IF(BB116="","",BB116&amp;IF(D116="","  (guessed from PAN)",""))</f>
        <v/>
      </c>
      <c r="AU116" s="29">
        <f>IF(AZ116="","",IFERROR(INDEX(Lists!$L$2:$L$38,MATCH(LEFT(AZ116,2),Lists!$K$2:$K$38,0)),"Unknown code"))</f>
        <v/>
      </c>
      <c r="AV116" s="29">
        <f>IF(AZ116="","",IFERROR(IF(NOT(AND(LEN(AZ116)=15,ISNUMBER(MATCH(LEFT(AZ116,2),Lists!$K$2:$K$38,0)),SUMPRODUCT(--ISERROR(FIND(MID(MID(AZ116,3,10),{1,2,3,4,5,10},1),"ABCDEFGHIJKLMNOPQRSTUVWXYZ")))=0,SUMPRODUCT(--ISERROR(FIND(MID(MID(AZ116,3,10),{6,7,8,9},1),"0123456789")))=0,ISNUMBER(FIND(MID(AZ116,13,1),"123456789ABCDEFGHIJKLMNOPQRSTUVWXYZ")),MID(AZ116,14,1)="Z")),"Wrong format",IF(MID("0123456789ABCDEFGHIJKLMNOPQRSTUVWXYZ",MOD(36-MOD(SUMPRODUCT(INT((FIND(MID(AZ116,{1,2,3,4,5,6,7,8,9,10,11,12,13,14},1),"0123456789ABCDEFGHIJKLMNOPQRSTUVWXYZ")-1)*{1,2,1,2,1,2,1,2,1,2,1,2,1,2}/36)+MOD((FIND(MID(AZ116,{1,2,3,4,5,6,7,8,9,10,11,12,13,14},1),"0123456789ABCDEFGHIJKLMNOPQRSTUVWXYZ")-1)*{1,2,1,2,1,2,1,2,1,2,1,2,1,2},36)),36),36)+1,1)=MID(AZ116,15,1),"OK","Typo? check digit wrong")),"Wrong format"))</f>
        <v/>
      </c>
      <c r="AW116" s="29">
        <f>IF(BA116="","",IF(AND(LEN(BA116)=10,SUMPRODUCT(--ISERROR(FIND(MID(BA116,{1,2,3,4,5,10},1),"ABCDEFGHIJKLMNOPQRSTUVWXYZ")))=0,SUMPRODUCT(--ISERROR(FIND(MID(BA116,{6,7,8,9},1),"0123456789")))=0),"OK","Wrong format"))</f>
        <v/>
      </c>
      <c r="AX116" s="29">
        <f>IF(TRIM(H116)="","",IF(AND(LEN(UPPER(TRIM(H116)))=10,SUMPRODUCT(--ISERROR(FIND(MID(UPPER(TRIM(H116)),{1,2,3,4,10},1),"ABCDEFGHIJKLMNOPQRSTUVWXYZ")))=0,SUMPRODUCT(--ISERROR(FIND(MID(UPPER(TRIM(H116)),{5,6,7,8,9},1),"0123456789")))=0),"OK","Wrong format"))</f>
        <v/>
      </c>
      <c r="AY116" s="30">
        <f>IF(NOT(COUNTA(A116:AE116)&gt;0),"",IF(BE116&lt;&gt;"","✖ "&amp;LEFT(BE116,LEN(BE116)-2),IF(BD116&gt;0,"✔ Ready — client + "&amp;BD116&amp;" service(s)","✔ Ready — client only")))</f>
        <v/>
      </c>
      <c r="AZ116" s="31">
        <f>UPPER(SUBSTITUTE(TRIM(F116)," ",""))</f>
        <v/>
      </c>
      <c r="BA116" s="31">
        <f>UPPER(SUBSTITUTE(TRIM(E116)," ",""))</f>
        <v/>
      </c>
      <c r="BB116" s="31">
        <f>IF(D116&lt;&gt;"",D116,IFERROR(VLOOKUP(MID(AS116,4,1),Lists!$E$2:$F$8,2,FALSE),""))</f>
        <v/>
      </c>
      <c r="BC116" s="31">
        <f>IFERROR(VLOOKUP(BB116,Lists!$A$2:$C$12,3,FALSE),"")</f>
        <v/>
      </c>
      <c r="BD116" s="31">
        <f>COUNTIF(W116:AC116,"Yes")</f>
        <v/>
      </c>
      <c r="BE116" s="31">
        <f>IF(TRIM(B116)="","Legal name missing; ","")&amp;IF(AND(AV116&lt;&gt;"",AV116&lt;&gt;"OK"),"GSTIN: "&amp;AV116&amp;"; ","")&amp;IF(AND(AW116&lt;&gt;"",AW116&lt;&gt;"OK"),"PAN wrong format; ","")&amp;IF(AND(BA116&lt;&gt;"",LEN(AZ116)=15,MID(AZ116,3,10)&lt;&gt;BA116),"PAN does not match GSTIN; ","")&amp;IF(AND(AX116&lt;&gt;"",AX116&lt;&gt;"OK"),"TAN wrong format; ","")&amp;IF(AS116="","PAN missing; ","")&amp;IF(BB116="","Entity type missing; ","")&amp;IF(AND(AZ116&lt;&gt;"",COUNTIF($AZ$6:$AZ$1005,AZ116)&gt;1),"GSTIN repeated in this sheet; ","")&amp;IF(AND(AS116&lt;&gt;"",COUNTIF($AS$6:$AS$1005,AS116)&gt;1),"PAN repeated in this sheet (same client? put extra GSTINs in Other GSTINs); ","")&amp;IF(AND(BD116&gt;0,V116=""),"Financial year missing; ","")&amp;IF(AND(BD116=0,V116&lt;&gt;""),"Financial year given but no service is Yes; ","")&amp;IF(AND(W116="Yes",AZ116=""),"GST needs a GSTIN; ","")&amp;IF(AND(W116="Yes",X116=""),"GST return frequency missing; ","")&amp;IF(AND(Y116="Yes",TRIM(H116)=""),"TDS needs a TAN; ","")&amp;IF(AND(AA116="Yes",BC116&lt;&gt;"",BC116&lt;&gt;"company",BC116&lt;&gt;"llp"),"ROC is only for a company / LLP; ","")&amp;IF(AND(AA116="Yes",OR(BC116="company",BC116="llp"),TRIM(I116)=""),"ROC needs the CIN / LLPIN; ","")&amp;IF((TRIM(AF116)="")&lt;&gt;(TRIM(AG116)=""),"GST login needs both user ID and password; ","")&amp;IF((TRIM(AH116)="")&lt;&gt;(TRIM(AI116)=""),"Income-tax login needs both user ID and password; ","")&amp;IF((TRIM(AJ116)="")&lt;&gt;(TRIM(AK116)=""),"Income-tax login needs both user ID and password; ","")&amp;IF((TRIM(AL116)="")&lt;&gt;(TRIM(AM116)=""),"TRACES login needs both user ID and password; ","")&amp;IF((TRIM(AN116)="")&lt;&gt;(TRIM(AO116)=""),"MCA login needs both user ID and password; ","")&amp;IF((TRIM(AP116)="")&lt;&gt;(TRIM(AQ116)=""),"E-way bill login needs both user ID and password; ","")</f>
        <v/>
      </c>
    </row>
    <row r="117">
      <c r="A117" s="32" t="n"/>
      <c r="B117" s="33" t="n"/>
      <c r="C117" s="33" t="n"/>
      <c r="D117" s="33" t="n"/>
      <c r="E117" s="32" t="n"/>
      <c r="F117" s="32" t="n"/>
      <c r="G117" s="32" t="n"/>
      <c r="H117" s="32" t="n"/>
      <c r="I117" s="32" t="n"/>
      <c r="J117" s="34" t="n"/>
      <c r="K117" s="33" t="n"/>
      <c r="L117" s="32" t="n"/>
      <c r="M117" s="33" t="n"/>
      <c r="N117" s="33" t="n"/>
      <c r="O117" s="33" t="n"/>
      <c r="P117" s="32" t="n"/>
      <c r="Q117" s="33" t="n"/>
      <c r="R117" s="33" t="n"/>
      <c r="S117" s="33" t="n"/>
      <c r="T117" s="33" t="n"/>
      <c r="U117" s="32" t="n"/>
      <c r="V117" s="33" t="n"/>
      <c r="W117" s="33" t="n"/>
      <c r="X117" s="33" t="n"/>
      <c r="Y117" s="33" t="n"/>
      <c r="Z117" s="33" t="n"/>
      <c r="AA117" s="33" t="n"/>
      <c r="AB117" s="33" t="n"/>
      <c r="AC117" s="33" t="n"/>
      <c r="AD117" s="33" t="n"/>
      <c r="AE117" s="33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2" t="n"/>
      <c r="AO117" s="32" t="n"/>
      <c r="AP117" s="32" t="n"/>
      <c r="AQ117" s="32" t="n"/>
      <c r="AR117" s="29">
        <f>IF(NOT(COUNTA(A117:AE117)&gt;0),"",IF(A117="","New client","Update"))</f>
        <v/>
      </c>
      <c r="AS117" s="29">
        <f>IF(BA117&lt;&gt;"",BA117,IF(LEN(AZ117)=15,MID(AZ117,3,10),""))</f>
        <v/>
      </c>
      <c r="AT117" s="29">
        <f>IF(BB117="","",BB117&amp;IF(D117="","  (guessed from PAN)",""))</f>
        <v/>
      </c>
      <c r="AU117" s="29">
        <f>IF(AZ117="","",IFERROR(INDEX(Lists!$L$2:$L$38,MATCH(LEFT(AZ117,2),Lists!$K$2:$K$38,0)),"Unknown code"))</f>
        <v/>
      </c>
      <c r="AV117" s="29">
        <f>IF(AZ117="","",IFERROR(IF(NOT(AND(LEN(AZ117)=15,ISNUMBER(MATCH(LEFT(AZ117,2),Lists!$K$2:$K$38,0)),SUMPRODUCT(--ISERROR(FIND(MID(MID(AZ117,3,10),{1,2,3,4,5,10},1),"ABCDEFGHIJKLMNOPQRSTUVWXYZ")))=0,SUMPRODUCT(--ISERROR(FIND(MID(MID(AZ117,3,10),{6,7,8,9},1),"0123456789")))=0,ISNUMBER(FIND(MID(AZ117,13,1),"123456789ABCDEFGHIJKLMNOPQRSTUVWXYZ")),MID(AZ117,14,1)="Z")),"Wrong format",IF(MID("0123456789ABCDEFGHIJKLMNOPQRSTUVWXYZ",MOD(36-MOD(SUMPRODUCT(INT((FIND(MID(AZ117,{1,2,3,4,5,6,7,8,9,10,11,12,13,14},1),"0123456789ABCDEFGHIJKLMNOPQRSTUVWXYZ")-1)*{1,2,1,2,1,2,1,2,1,2,1,2,1,2}/36)+MOD((FIND(MID(AZ117,{1,2,3,4,5,6,7,8,9,10,11,12,13,14},1),"0123456789ABCDEFGHIJKLMNOPQRSTUVWXYZ")-1)*{1,2,1,2,1,2,1,2,1,2,1,2,1,2},36)),36),36)+1,1)=MID(AZ117,15,1),"OK","Typo? check digit wrong")),"Wrong format"))</f>
        <v/>
      </c>
      <c r="AW117" s="29">
        <f>IF(BA117="","",IF(AND(LEN(BA117)=10,SUMPRODUCT(--ISERROR(FIND(MID(BA117,{1,2,3,4,5,10},1),"ABCDEFGHIJKLMNOPQRSTUVWXYZ")))=0,SUMPRODUCT(--ISERROR(FIND(MID(BA117,{6,7,8,9},1),"0123456789")))=0),"OK","Wrong format"))</f>
        <v/>
      </c>
      <c r="AX117" s="29">
        <f>IF(TRIM(H117)="","",IF(AND(LEN(UPPER(TRIM(H117)))=10,SUMPRODUCT(--ISERROR(FIND(MID(UPPER(TRIM(H117)),{1,2,3,4,10},1),"ABCDEFGHIJKLMNOPQRSTUVWXYZ")))=0,SUMPRODUCT(--ISERROR(FIND(MID(UPPER(TRIM(H117)),{5,6,7,8,9},1),"0123456789")))=0),"OK","Wrong format"))</f>
        <v/>
      </c>
      <c r="AY117" s="30">
        <f>IF(NOT(COUNTA(A117:AE117)&gt;0),"",IF(BE117&lt;&gt;"","✖ "&amp;LEFT(BE117,LEN(BE117)-2),IF(BD117&gt;0,"✔ Ready — client + "&amp;BD117&amp;" service(s)","✔ Ready — client only")))</f>
        <v/>
      </c>
      <c r="AZ117" s="31">
        <f>UPPER(SUBSTITUTE(TRIM(F117)," ",""))</f>
        <v/>
      </c>
      <c r="BA117" s="31">
        <f>UPPER(SUBSTITUTE(TRIM(E117)," ",""))</f>
        <v/>
      </c>
      <c r="BB117" s="31">
        <f>IF(D117&lt;&gt;"",D117,IFERROR(VLOOKUP(MID(AS117,4,1),Lists!$E$2:$F$8,2,FALSE),""))</f>
        <v/>
      </c>
      <c r="BC117" s="31">
        <f>IFERROR(VLOOKUP(BB117,Lists!$A$2:$C$12,3,FALSE),"")</f>
        <v/>
      </c>
      <c r="BD117" s="31">
        <f>COUNTIF(W117:AC117,"Yes")</f>
        <v/>
      </c>
      <c r="BE117" s="31">
        <f>IF(TRIM(B117)="","Legal name missing; ","")&amp;IF(AND(AV117&lt;&gt;"",AV117&lt;&gt;"OK"),"GSTIN: "&amp;AV117&amp;"; ","")&amp;IF(AND(AW117&lt;&gt;"",AW117&lt;&gt;"OK"),"PAN wrong format; ","")&amp;IF(AND(BA117&lt;&gt;"",LEN(AZ117)=15,MID(AZ117,3,10)&lt;&gt;BA117),"PAN does not match GSTIN; ","")&amp;IF(AND(AX117&lt;&gt;"",AX117&lt;&gt;"OK"),"TAN wrong format; ","")&amp;IF(AS117="","PAN missing; ","")&amp;IF(BB117="","Entity type missing; ","")&amp;IF(AND(AZ117&lt;&gt;"",COUNTIF($AZ$6:$AZ$1005,AZ117)&gt;1),"GSTIN repeated in this sheet; ","")&amp;IF(AND(AS117&lt;&gt;"",COUNTIF($AS$6:$AS$1005,AS117)&gt;1),"PAN repeated in this sheet (same client? put extra GSTINs in Other GSTINs); ","")&amp;IF(AND(BD117&gt;0,V117=""),"Financial year missing; ","")&amp;IF(AND(BD117=0,V117&lt;&gt;""),"Financial year given but no service is Yes; ","")&amp;IF(AND(W117="Yes",AZ117=""),"GST needs a GSTIN; ","")&amp;IF(AND(W117="Yes",X117=""),"GST return frequency missing; ","")&amp;IF(AND(Y117="Yes",TRIM(H117)=""),"TDS needs a TAN; ","")&amp;IF(AND(AA117="Yes",BC117&lt;&gt;"",BC117&lt;&gt;"company",BC117&lt;&gt;"llp"),"ROC is only for a company / LLP; ","")&amp;IF(AND(AA117="Yes",OR(BC117="company",BC117="llp"),TRIM(I117)=""),"ROC needs the CIN / LLPIN; ","")&amp;IF((TRIM(AF117)="")&lt;&gt;(TRIM(AG117)=""),"GST login needs both user ID and password; ","")&amp;IF((TRIM(AH117)="")&lt;&gt;(TRIM(AI117)=""),"Income-tax login needs both user ID and password; ","")&amp;IF((TRIM(AJ117)="")&lt;&gt;(TRIM(AK117)=""),"Income-tax login needs both user ID and password; ","")&amp;IF((TRIM(AL117)="")&lt;&gt;(TRIM(AM117)=""),"TRACES login needs both user ID and password; ","")&amp;IF((TRIM(AN117)="")&lt;&gt;(TRIM(AO117)=""),"MCA login needs both user ID and password; ","")&amp;IF((TRIM(AP117)="")&lt;&gt;(TRIM(AQ117)=""),"E-way bill login needs both user ID and password; ","")</f>
        <v/>
      </c>
    </row>
    <row r="118">
      <c r="A118" s="32" t="n"/>
      <c r="B118" s="33" t="n"/>
      <c r="C118" s="33" t="n"/>
      <c r="D118" s="33" t="n"/>
      <c r="E118" s="32" t="n"/>
      <c r="F118" s="32" t="n"/>
      <c r="G118" s="32" t="n"/>
      <c r="H118" s="32" t="n"/>
      <c r="I118" s="32" t="n"/>
      <c r="J118" s="34" t="n"/>
      <c r="K118" s="33" t="n"/>
      <c r="L118" s="32" t="n"/>
      <c r="M118" s="33" t="n"/>
      <c r="N118" s="33" t="n"/>
      <c r="O118" s="33" t="n"/>
      <c r="P118" s="32" t="n"/>
      <c r="Q118" s="33" t="n"/>
      <c r="R118" s="33" t="n"/>
      <c r="S118" s="33" t="n"/>
      <c r="T118" s="33" t="n"/>
      <c r="U118" s="32" t="n"/>
      <c r="V118" s="33" t="n"/>
      <c r="W118" s="33" t="n"/>
      <c r="X118" s="33" t="n"/>
      <c r="Y118" s="33" t="n"/>
      <c r="Z118" s="33" t="n"/>
      <c r="AA118" s="33" t="n"/>
      <c r="AB118" s="33" t="n"/>
      <c r="AC118" s="33" t="n"/>
      <c r="AD118" s="33" t="n"/>
      <c r="AE118" s="33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2" t="n"/>
      <c r="AO118" s="32" t="n"/>
      <c r="AP118" s="32" t="n"/>
      <c r="AQ118" s="32" t="n"/>
      <c r="AR118" s="29">
        <f>IF(NOT(COUNTA(A118:AE118)&gt;0),"",IF(A118="","New client","Update"))</f>
        <v/>
      </c>
      <c r="AS118" s="29">
        <f>IF(BA118&lt;&gt;"",BA118,IF(LEN(AZ118)=15,MID(AZ118,3,10),""))</f>
        <v/>
      </c>
      <c r="AT118" s="29">
        <f>IF(BB118="","",BB118&amp;IF(D118="","  (guessed from PAN)",""))</f>
        <v/>
      </c>
      <c r="AU118" s="29">
        <f>IF(AZ118="","",IFERROR(INDEX(Lists!$L$2:$L$38,MATCH(LEFT(AZ118,2),Lists!$K$2:$K$38,0)),"Unknown code"))</f>
        <v/>
      </c>
      <c r="AV118" s="29">
        <f>IF(AZ118="","",IFERROR(IF(NOT(AND(LEN(AZ118)=15,ISNUMBER(MATCH(LEFT(AZ118,2),Lists!$K$2:$K$38,0)),SUMPRODUCT(--ISERROR(FIND(MID(MID(AZ118,3,10),{1,2,3,4,5,10},1),"ABCDEFGHIJKLMNOPQRSTUVWXYZ")))=0,SUMPRODUCT(--ISERROR(FIND(MID(MID(AZ118,3,10),{6,7,8,9},1),"0123456789")))=0,ISNUMBER(FIND(MID(AZ118,13,1),"123456789ABCDEFGHIJKLMNOPQRSTUVWXYZ")),MID(AZ118,14,1)="Z")),"Wrong format",IF(MID("0123456789ABCDEFGHIJKLMNOPQRSTUVWXYZ",MOD(36-MOD(SUMPRODUCT(INT((FIND(MID(AZ118,{1,2,3,4,5,6,7,8,9,10,11,12,13,14},1),"0123456789ABCDEFGHIJKLMNOPQRSTUVWXYZ")-1)*{1,2,1,2,1,2,1,2,1,2,1,2,1,2}/36)+MOD((FIND(MID(AZ118,{1,2,3,4,5,6,7,8,9,10,11,12,13,14},1),"0123456789ABCDEFGHIJKLMNOPQRSTUVWXYZ")-1)*{1,2,1,2,1,2,1,2,1,2,1,2,1,2},36)),36),36)+1,1)=MID(AZ118,15,1),"OK","Typo? check digit wrong")),"Wrong format"))</f>
        <v/>
      </c>
      <c r="AW118" s="29">
        <f>IF(BA118="","",IF(AND(LEN(BA118)=10,SUMPRODUCT(--ISERROR(FIND(MID(BA118,{1,2,3,4,5,10},1),"ABCDEFGHIJKLMNOPQRSTUVWXYZ")))=0,SUMPRODUCT(--ISERROR(FIND(MID(BA118,{6,7,8,9},1),"0123456789")))=0),"OK","Wrong format"))</f>
        <v/>
      </c>
      <c r="AX118" s="29">
        <f>IF(TRIM(H118)="","",IF(AND(LEN(UPPER(TRIM(H118)))=10,SUMPRODUCT(--ISERROR(FIND(MID(UPPER(TRIM(H118)),{1,2,3,4,10},1),"ABCDEFGHIJKLMNOPQRSTUVWXYZ")))=0,SUMPRODUCT(--ISERROR(FIND(MID(UPPER(TRIM(H118)),{5,6,7,8,9},1),"0123456789")))=0),"OK","Wrong format"))</f>
        <v/>
      </c>
      <c r="AY118" s="30">
        <f>IF(NOT(COUNTA(A118:AE118)&gt;0),"",IF(BE118&lt;&gt;"","✖ "&amp;LEFT(BE118,LEN(BE118)-2),IF(BD118&gt;0,"✔ Ready — client + "&amp;BD118&amp;" service(s)","✔ Ready — client only")))</f>
        <v/>
      </c>
      <c r="AZ118" s="31">
        <f>UPPER(SUBSTITUTE(TRIM(F118)," ",""))</f>
        <v/>
      </c>
      <c r="BA118" s="31">
        <f>UPPER(SUBSTITUTE(TRIM(E118)," ",""))</f>
        <v/>
      </c>
      <c r="BB118" s="31">
        <f>IF(D118&lt;&gt;"",D118,IFERROR(VLOOKUP(MID(AS118,4,1),Lists!$E$2:$F$8,2,FALSE),""))</f>
        <v/>
      </c>
      <c r="BC118" s="31">
        <f>IFERROR(VLOOKUP(BB118,Lists!$A$2:$C$12,3,FALSE),"")</f>
        <v/>
      </c>
      <c r="BD118" s="31">
        <f>COUNTIF(W118:AC118,"Yes")</f>
        <v/>
      </c>
      <c r="BE118" s="31">
        <f>IF(TRIM(B118)="","Legal name missing; ","")&amp;IF(AND(AV118&lt;&gt;"",AV118&lt;&gt;"OK"),"GSTIN: "&amp;AV118&amp;"; ","")&amp;IF(AND(AW118&lt;&gt;"",AW118&lt;&gt;"OK"),"PAN wrong format; ","")&amp;IF(AND(BA118&lt;&gt;"",LEN(AZ118)=15,MID(AZ118,3,10)&lt;&gt;BA118),"PAN does not match GSTIN; ","")&amp;IF(AND(AX118&lt;&gt;"",AX118&lt;&gt;"OK"),"TAN wrong format; ","")&amp;IF(AS118="","PAN missing; ","")&amp;IF(BB118="","Entity type missing; ","")&amp;IF(AND(AZ118&lt;&gt;"",COUNTIF($AZ$6:$AZ$1005,AZ118)&gt;1),"GSTIN repeated in this sheet; ","")&amp;IF(AND(AS118&lt;&gt;"",COUNTIF($AS$6:$AS$1005,AS118)&gt;1),"PAN repeated in this sheet (same client? put extra GSTINs in Other GSTINs); ","")&amp;IF(AND(BD118&gt;0,V118=""),"Financial year missing; ","")&amp;IF(AND(BD118=0,V118&lt;&gt;""),"Financial year given but no service is Yes; ","")&amp;IF(AND(W118="Yes",AZ118=""),"GST needs a GSTIN; ","")&amp;IF(AND(W118="Yes",X118=""),"GST return frequency missing; ","")&amp;IF(AND(Y118="Yes",TRIM(H118)=""),"TDS needs a TAN; ","")&amp;IF(AND(AA118="Yes",BC118&lt;&gt;"",BC118&lt;&gt;"company",BC118&lt;&gt;"llp"),"ROC is only for a company / LLP; ","")&amp;IF(AND(AA118="Yes",OR(BC118="company",BC118="llp"),TRIM(I118)=""),"ROC needs the CIN / LLPIN; ","")&amp;IF((TRIM(AF118)="")&lt;&gt;(TRIM(AG118)=""),"GST login needs both user ID and password; ","")&amp;IF((TRIM(AH118)="")&lt;&gt;(TRIM(AI118)=""),"Income-tax login needs both user ID and password; ","")&amp;IF((TRIM(AJ118)="")&lt;&gt;(TRIM(AK118)=""),"Income-tax login needs both user ID and password; ","")&amp;IF((TRIM(AL118)="")&lt;&gt;(TRIM(AM118)=""),"TRACES login needs both user ID and password; ","")&amp;IF((TRIM(AN118)="")&lt;&gt;(TRIM(AO118)=""),"MCA login needs both user ID and password; ","")&amp;IF((TRIM(AP118)="")&lt;&gt;(TRIM(AQ118)=""),"E-way bill login needs both user ID and password; ","")</f>
        <v/>
      </c>
    </row>
    <row r="119">
      <c r="A119" s="32" t="n"/>
      <c r="B119" s="33" t="n"/>
      <c r="C119" s="33" t="n"/>
      <c r="D119" s="33" t="n"/>
      <c r="E119" s="32" t="n"/>
      <c r="F119" s="32" t="n"/>
      <c r="G119" s="32" t="n"/>
      <c r="H119" s="32" t="n"/>
      <c r="I119" s="32" t="n"/>
      <c r="J119" s="34" t="n"/>
      <c r="K119" s="33" t="n"/>
      <c r="L119" s="32" t="n"/>
      <c r="M119" s="33" t="n"/>
      <c r="N119" s="33" t="n"/>
      <c r="O119" s="33" t="n"/>
      <c r="P119" s="32" t="n"/>
      <c r="Q119" s="33" t="n"/>
      <c r="R119" s="33" t="n"/>
      <c r="S119" s="33" t="n"/>
      <c r="T119" s="33" t="n"/>
      <c r="U119" s="32" t="n"/>
      <c r="V119" s="33" t="n"/>
      <c r="W119" s="33" t="n"/>
      <c r="X119" s="33" t="n"/>
      <c r="Y119" s="33" t="n"/>
      <c r="Z119" s="33" t="n"/>
      <c r="AA119" s="33" t="n"/>
      <c r="AB119" s="33" t="n"/>
      <c r="AC119" s="33" t="n"/>
      <c r="AD119" s="33" t="n"/>
      <c r="AE119" s="33" t="n"/>
      <c r="AF119" s="32" t="n"/>
      <c r="AG119" s="32" t="n"/>
      <c r="AH119" s="32" t="n"/>
      <c r="AI119" s="32" t="n"/>
      <c r="AJ119" s="32" t="n"/>
      <c r="AK119" s="32" t="n"/>
      <c r="AL119" s="32" t="n"/>
      <c r="AM119" s="32" t="n"/>
      <c r="AN119" s="32" t="n"/>
      <c r="AO119" s="32" t="n"/>
      <c r="AP119" s="32" t="n"/>
      <c r="AQ119" s="32" t="n"/>
      <c r="AR119" s="29">
        <f>IF(NOT(COUNTA(A119:AE119)&gt;0),"",IF(A119="","New client","Update"))</f>
        <v/>
      </c>
      <c r="AS119" s="29">
        <f>IF(BA119&lt;&gt;"",BA119,IF(LEN(AZ119)=15,MID(AZ119,3,10),""))</f>
        <v/>
      </c>
      <c r="AT119" s="29">
        <f>IF(BB119="","",BB119&amp;IF(D119="","  (guessed from PAN)",""))</f>
        <v/>
      </c>
      <c r="AU119" s="29">
        <f>IF(AZ119="","",IFERROR(INDEX(Lists!$L$2:$L$38,MATCH(LEFT(AZ119,2),Lists!$K$2:$K$38,0)),"Unknown code"))</f>
        <v/>
      </c>
      <c r="AV119" s="29">
        <f>IF(AZ119="","",IFERROR(IF(NOT(AND(LEN(AZ119)=15,ISNUMBER(MATCH(LEFT(AZ119,2),Lists!$K$2:$K$38,0)),SUMPRODUCT(--ISERROR(FIND(MID(MID(AZ119,3,10),{1,2,3,4,5,10},1),"ABCDEFGHIJKLMNOPQRSTUVWXYZ")))=0,SUMPRODUCT(--ISERROR(FIND(MID(MID(AZ119,3,10),{6,7,8,9},1),"0123456789")))=0,ISNUMBER(FIND(MID(AZ119,13,1),"123456789ABCDEFGHIJKLMNOPQRSTUVWXYZ")),MID(AZ119,14,1)="Z")),"Wrong format",IF(MID("0123456789ABCDEFGHIJKLMNOPQRSTUVWXYZ",MOD(36-MOD(SUMPRODUCT(INT((FIND(MID(AZ119,{1,2,3,4,5,6,7,8,9,10,11,12,13,14},1),"0123456789ABCDEFGHIJKLMNOPQRSTUVWXYZ")-1)*{1,2,1,2,1,2,1,2,1,2,1,2,1,2}/36)+MOD((FIND(MID(AZ119,{1,2,3,4,5,6,7,8,9,10,11,12,13,14},1),"0123456789ABCDEFGHIJKLMNOPQRSTUVWXYZ")-1)*{1,2,1,2,1,2,1,2,1,2,1,2,1,2},36)),36),36)+1,1)=MID(AZ119,15,1),"OK","Typo? check digit wrong")),"Wrong format"))</f>
        <v/>
      </c>
      <c r="AW119" s="29">
        <f>IF(BA119="","",IF(AND(LEN(BA119)=10,SUMPRODUCT(--ISERROR(FIND(MID(BA119,{1,2,3,4,5,10},1),"ABCDEFGHIJKLMNOPQRSTUVWXYZ")))=0,SUMPRODUCT(--ISERROR(FIND(MID(BA119,{6,7,8,9},1),"0123456789")))=0),"OK","Wrong format"))</f>
        <v/>
      </c>
      <c r="AX119" s="29">
        <f>IF(TRIM(H119)="","",IF(AND(LEN(UPPER(TRIM(H119)))=10,SUMPRODUCT(--ISERROR(FIND(MID(UPPER(TRIM(H119)),{1,2,3,4,10},1),"ABCDEFGHIJKLMNOPQRSTUVWXYZ")))=0,SUMPRODUCT(--ISERROR(FIND(MID(UPPER(TRIM(H119)),{5,6,7,8,9},1),"0123456789")))=0),"OK","Wrong format"))</f>
        <v/>
      </c>
      <c r="AY119" s="30">
        <f>IF(NOT(COUNTA(A119:AE119)&gt;0),"",IF(BE119&lt;&gt;"","✖ "&amp;LEFT(BE119,LEN(BE119)-2),IF(BD119&gt;0,"✔ Ready — client + "&amp;BD119&amp;" service(s)","✔ Ready — client only")))</f>
        <v/>
      </c>
      <c r="AZ119" s="31">
        <f>UPPER(SUBSTITUTE(TRIM(F119)," ",""))</f>
        <v/>
      </c>
      <c r="BA119" s="31">
        <f>UPPER(SUBSTITUTE(TRIM(E119)," ",""))</f>
        <v/>
      </c>
      <c r="BB119" s="31">
        <f>IF(D119&lt;&gt;"",D119,IFERROR(VLOOKUP(MID(AS119,4,1),Lists!$E$2:$F$8,2,FALSE),""))</f>
        <v/>
      </c>
      <c r="BC119" s="31">
        <f>IFERROR(VLOOKUP(BB119,Lists!$A$2:$C$12,3,FALSE),"")</f>
        <v/>
      </c>
      <c r="BD119" s="31">
        <f>COUNTIF(W119:AC119,"Yes")</f>
        <v/>
      </c>
      <c r="BE119" s="31">
        <f>IF(TRIM(B119)="","Legal name missing; ","")&amp;IF(AND(AV119&lt;&gt;"",AV119&lt;&gt;"OK"),"GSTIN: "&amp;AV119&amp;"; ","")&amp;IF(AND(AW119&lt;&gt;"",AW119&lt;&gt;"OK"),"PAN wrong format; ","")&amp;IF(AND(BA119&lt;&gt;"",LEN(AZ119)=15,MID(AZ119,3,10)&lt;&gt;BA119),"PAN does not match GSTIN; ","")&amp;IF(AND(AX119&lt;&gt;"",AX119&lt;&gt;"OK"),"TAN wrong format; ","")&amp;IF(AS119="","PAN missing; ","")&amp;IF(BB119="","Entity type missing; ","")&amp;IF(AND(AZ119&lt;&gt;"",COUNTIF($AZ$6:$AZ$1005,AZ119)&gt;1),"GSTIN repeated in this sheet; ","")&amp;IF(AND(AS119&lt;&gt;"",COUNTIF($AS$6:$AS$1005,AS119)&gt;1),"PAN repeated in this sheet (same client? put extra GSTINs in Other GSTINs); ","")&amp;IF(AND(BD119&gt;0,V119=""),"Financial year missing; ","")&amp;IF(AND(BD119=0,V119&lt;&gt;""),"Financial year given but no service is Yes; ","")&amp;IF(AND(W119="Yes",AZ119=""),"GST needs a GSTIN; ","")&amp;IF(AND(W119="Yes",X119=""),"GST return frequency missing; ","")&amp;IF(AND(Y119="Yes",TRIM(H119)=""),"TDS needs a TAN; ","")&amp;IF(AND(AA119="Yes",BC119&lt;&gt;"",BC119&lt;&gt;"company",BC119&lt;&gt;"llp"),"ROC is only for a company / LLP; ","")&amp;IF(AND(AA119="Yes",OR(BC119="company",BC119="llp"),TRIM(I119)=""),"ROC needs the CIN / LLPIN; ","")&amp;IF((TRIM(AF119)="")&lt;&gt;(TRIM(AG119)=""),"GST login needs both user ID and password; ","")&amp;IF((TRIM(AH119)="")&lt;&gt;(TRIM(AI119)=""),"Income-tax login needs both user ID and password; ","")&amp;IF((TRIM(AJ119)="")&lt;&gt;(TRIM(AK119)=""),"Income-tax login needs both user ID and password; ","")&amp;IF((TRIM(AL119)="")&lt;&gt;(TRIM(AM119)=""),"TRACES login needs both user ID and password; ","")&amp;IF((TRIM(AN119)="")&lt;&gt;(TRIM(AO119)=""),"MCA login needs both user ID and password; ","")&amp;IF((TRIM(AP119)="")&lt;&gt;(TRIM(AQ119)=""),"E-way bill login needs both user ID and password; ","")</f>
        <v/>
      </c>
    </row>
    <row r="120">
      <c r="A120" s="32" t="n"/>
      <c r="B120" s="33" t="n"/>
      <c r="C120" s="33" t="n"/>
      <c r="D120" s="33" t="n"/>
      <c r="E120" s="32" t="n"/>
      <c r="F120" s="32" t="n"/>
      <c r="G120" s="32" t="n"/>
      <c r="H120" s="32" t="n"/>
      <c r="I120" s="32" t="n"/>
      <c r="J120" s="34" t="n"/>
      <c r="K120" s="33" t="n"/>
      <c r="L120" s="32" t="n"/>
      <c r="M120" s="33" t="n"/>
      <c r="N120" s="33" t="n"/>
      <c r="O120" s="33" t="n"/>
      <c r="P120" s="32" t="n"/>
      <c r="Q120" s="33" t="n"/>
      <c r="R120" s="33" t="n"/>
      <c r="S120" s="33" t="n"/>
      <c r="T120" s="33" t="n"/>
      <c r="U120" s="32" t="n"/>
      <c r="V120" s="33" t="n"/>
      <c r="W120" s="33" t="n"/>
      <c r="X120" s="33" t="n"/>
      <c r="Y120" s="33" t="n"/>
      <c r="Z120" s="33" t="n"/>
      <c r="AA120" s="33" t="n"/>
      <c r="AB120" s="33" t="n"/>
      <c r="AC120" s="33" t="n"/>
      <c r="AD120" s="33" t="n"/>
      <c r="AE120" s="33" t="n"/>
      <c r="AF120" s="32" t="n"/>
      <c r="AG120" s="32" t="n"/>
      <c r="AH120" s="32" t="n"/>
      <c r="AI120" s="32" t="n"/>
      <c r="AJ120" s="32" t="n"/>
      <c r="AK120" s="32" t="n"/>
      <c r="AL120" s="32" t="n"/>
      <c r="AM120" s="32" t="n"/>
      <c r="AN120" s="32" t="n"/>
      <c r="AO120" s="32" t="n"/>
      <c r="AP120" s="32" t="n"/>
      <c r="AQ120" s="32" t="n"/>
      <c r="AR120" s="29">
        <f>IF(NOT(COUNTA(A120:AE120)&gt;0),"",IF(A120="","New client","Update"))</f>
        <v/>
      </c>
      <c r="AS120" s="29">
        <f>IF(BA120&lt;&gt;"",BA120,IF(LEN(AZ120)=15,MID(AZ120,3,10),""))</f>
        <v/>
      </c>
      <c r="AT120" s="29">
        <f>IF(BB120="","",BB120&amp;IF(D120="","  (guessed from PAN)",""))</f>
        <v/>
      </c>
      <c r="AU120" s="29">
        <f>IF(AZ120="","",IFERROR(INDEX(Lists!$L$2:$L$38,MATCH(LEFT(AZ120,2),Lists!$K$2:$K$38,0)),"Unknown code"))</f>
        <v/>
      </c>
      <c r="AV120" s="29">
        <f>IF(AZ120="","",IFERROR(IF(NOT(AND(LEN(AZ120)=15,ISNUMBER(MATCH(LEFT(AZ120,2),Lists!$K$2:$K$38,0)),SUMPRODUCT(--ISERROR(FIND(MID(MID(AZ120,3,10),{1,2,3,4,5,10},1),"ABCDEFGHIJKLMNOPQRSTUVWXYZ")))=0,SUMPRODUCT(--ISERROR(FIND(MID(MID(AZ120,3,10),{6,7,8,9},1),"0123456789")))=0,ISNUMBER(FIND(MID(AZ120,13,1),"123456789ABCDEFGHIJKLMNOPQRSTUVWXYZ")),MID(AZ120,14,1)="Z")),"Wrong format",IF(MID("0123456789ABCDEFGHIJKLMNOPQRSTUVWXYZ",MOD(36-MOD(SUMPRODUCT(INT((FIND(MID(AZ120,{1,2,3,4,5,6,7,8,9,10,11,12,13,14},1),"0123456789ABCDEFGHIJKLMNOPQRSTUVWXYZ")-1)*{1,2,1,2,1,2,1,2,1,2,1,2,1,2}/36)+MOD((FIND(MID(AZ120,{1,2,3,4,5,6,7,8,9,10,11,12,13,14},1),"0123456789ABCDEFGHIJKLMNOPQRSTUVWXYZ")-1)*{1,2,1,2,1,2,1,2,1,2,1,2,1,2},36)),36),36)+1,1)=MID(AZ120,15,1),"OK","Typo? check digit wrong")),"Wrong format"))</f>
        <v/>
      </c>
      <c r="AW120" s="29">
        <f>IF(BA120="","",IF(AND(LEN(BA120)=10,SUMPRODUCT(--ISERROR(FIND(MID(BA120,{1,2,3,4,5,10},1),"ABCDEFGHIJKLMNOPQRSTUVWXYZ")))=0,SUMPRODUCT(--ISERROR(FIND(MID(BA120,{6,7,8,9},1),"0123456789")))=0),"OK","Wrong format"))</f>
        <v/>
      </c>
      <c r="AX120" s="29">
        <f>IF(TRIM(H120)="","",IF(AND(LEN(UPPER(TRIM(H120)))=10,SUMPRODUCT(--ISERROR(FIND(MID(UPPER(TRIM(H120)),{1,2,3,4,10},1),"ABCDEFGHIJKLMNOPQRSTUVWXYZ")))=0,SUMPRODUCT(--ISERROR(FIND(MID(UPPER(TRIM(H120)),{5,6,7,8,9},1),"0123456789")))=0),"OK","Wrong format"))</f>
        <v/>
      </c>
      <c r="AY120" s="30">
        <f>IF(NOT(COUNTA(A120:AE120)&gt;0),"",IF(BE120&lt;&gt;"","✖ "&amp;LEFT(BE120,LEN(BE120)-2),IF(BD120&gt;0,"✔ Ready — client + "&amp;BD120&amp;" service(s)","✔ Ready — client only")))</f>
        <v/>
      </c>
      <c r="AZ120" s="31">
        <f>UPPER(SUBSTITUTE(TRIM(F120)," ",""))</f>
        <v/>
      </c>
      <c r="BA120" s="31">
        <f>UPPER(SUBSTITUTE(TRIM(E120)," ",""))</f>
        <v/>
      </c>
      <c r="BB120" s="31">
        <f>IF(D120&lt;&gt;"",D120,IFERROR(VLOOKUP(MID(AS120,4,1),Lists!$E$2:$F$8,2,FALSE),""))</f>
        <v/>
      </c>
      <c r="BC120" s="31">
        <f>IFERROR(VLOOKUP(BB120,Lists!$A$2:$C$12,3,FALSE),"")</f>
        <v/>
      </c>
      <c r="BD120" s="31">
        <f>COUNTIF(W120:AC120,"Yes")</f>
        <v/>
      </c>
      <c r="BE120" s="31">
        <f>IF(TRIM(B120)="","Legal name missing; ","")&amp;IF(AND(AV120&lt;&gt;"",AV120&lt;&gt;"OK"),"GSTIN: "&amp;AV120&amp;"; ","")&amp;IF(AND(AW120&lt;&gt;"",AW120&lt;&gt;"OK"),"PAN wrong format; ","")&amp;IF(AND(BA120&lt;&gt;"",LEN(AZ120)=15,MID(AZ120,3,10)&lt;&gt;BA120),"PAN does not match GSTIN; ","")&amp;IF(AND(AX120&lt;&gt;"",AX120&lt;&gt;"OK"),"TAN wrong format; ","")&amp;IF(AS120="","PAN missing; ","")&amp;IF(BB120="","Entity type missing; ","")&amp;IF(AND(AZ120&lt;&gt;"",COUNTIF($AZ$6:$AZ$1005,AZ120)&gt;1),"GSTIN repeated in this sheet; ","")&amp;IF(AND(AS120&lt;&gt;"",COUNTIF($AS$6:$AS$1005,AS120)&gt;1),"PAN repeated in this sheet (same client? put extra GSTINs in Other GSTINs); ","")&amp;IF(AND(BD120&gt;0,V120=""),"Financial year missing; ","")&amp;IF(AND(BD120=0,V120&lt;&gt;""),"Financial year given but no service is Yes; ","")&amp;IF(AND(W120="Yes",AZ120=""),"GST needs a GSTIN; ","")&amp;IF(AND(W120="Yes",X120=""),"GST return frequency missing; ","")&amp;IF(AND(Y120="Yes",TRIM(H120)=""),"TDS needs a TAN; ","")&amp;IF(AND(AA120="Yes",BC120&lt;&gt;"",BC120&lt;&gt;"company",BC120&lt;&gt;"llp"),"ROC is only for a company / LLP; ","")&amp;IF(AND(AA120="Yes",OR(BC120="company",BC120="llp"),TRIM(I120)=""),"ROC needs the CIN / LLPIN; ","")&amp;IF((TRIM(AF120)="")&lt;&gt;(TRIM(AG120)=""),"GST login needs both user ID and password; ","")&amp;IF((TRIM(AH120)="")&lt;&gt;(TRIM(AI120)=""),"Income-tax login needs both user ID and password; ","")&amp;IF((TRIM(AJ120)="")&lt;&gt;(TRIM(AK120)=""),"Income-tax login needs both user ID and password; ","")&amp;IF((TRIM(AL120)="")&lt;&gt;(TRIM(AM120)=""),"TRACES login needs both user ID and password; ","")&amp;IF((TRIM(AN120)="")&lt;&gt;(TRIM(AO120)=""),"MCA login needs both user ID and password; ","")&amp;IF((TRIM(AP120)="")&lt;&gt;(TRIM(AQ120)=""),"E-way bill login needs both user ID and password; ","")</f>
        <v/>
      </c>
    </row>
    <row r="121">
      <c r="A121" s="32" t="n"/>
      <c r="B121" s="33" t="n"/>
      <c r="C121" s="33" t="n"/>
      <c r="D121" s="33" t="n"/>
      <c r="E121" s="32" t="n"/>
      <c r="F121" s="32" t="n"/>
      <c r="G121" s="32" t="n"/>
      <c r="H121" s="32" t="n"/>
      <c r="I121" s="32" t="n"/>
      <c r="J121" s="34" t="n"/>
      <c r="K121" s="33" t="n"/>
      <c r="L121" s="32" t="n"/>
      <c r="M121" s="33" t="n"/>
      <c r="N121" s="33" t="n"/>
      <c r="O121" s="33" t="n"/>
      <c r="P121" s="32" t="n"/>
      <c r="Q121" s="33" t="n"/>
      <c r="R121" s="33" t="n"/>
      <c r="S121" s="33" t="n"/>
      <c r="T121" s="33" t="n"/>
      <c r="U121" s="32" t="n"/>
      <c r="V121" s="33" t="n"/>
      <c r="W121" s="33" t="n"/>
      <c r="X121" s="33" t="n"/>
      <c r="Y121" s="33" t="n"/>
      <c r="Z121" s="33" t="n"/>
      <c r="AA121" s="33" t="n"/>
      <c r="AB121" s="33" t="n"/>
      <c r="AC121" s="33" t="n"/>
      <c r="AD121" s="33" t="n"/>
      <c r="AE121" s="33" t="n"/>
      <c r="AF121" s="32" t="n"/>
      <c r="AG121" s="32" t="n"/>
      <c r="AH121" s="3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29">
        <f>IF(NOT(COUNTA(A121:AE121)&gt;0),"",IF(A121="","New client","Update"))</f>
        <v/>
      </c>
      <c r="AS121" s="29">
        <f>IF(BA121&lt;&gt;"",BA121,IF(LEN(AZ121)=15,MID(AZ121,3,10),""))</f>
        <v/>
      </c>
      <c r="AT121" s="29">
        <f>IF(BB121="","",BB121&amp;IF(D121="","  (guessed from PAN)",""))</f>
        <v/>
      </c>
      <c r="AU121" s="29">
        <f>IF(AZ121="","",IFERROR(INDEX(Lists!$L$2:$L$38,MATCH(LEFT(AZ121,2),Lists!$K$2:$K$38,0)),"Unknown code"))</f>
        <v/>
      </c>
      <c r="AV121" s="29">
        <f>IF(AZ121="","",IFERROR(IF(NOT(AND(LEN(AZ121)=15,ISNUMBER(MATCH(LEFT(AZ121,2),Lists!$K$2:$K$38,0)),SUMPRODUCT(--ISERROR(FIND(MID(MID(AZ121,3,10),{1,2,3,4,5,10},1),"ABCDEFGHIJKLMNOPQRSTUVWXYZ")))=0,SUMPRODUCT(--ISERROR(FIND(MID(MID(AZ121,3,10),{6,7,8,9},1),"0123456789")))=0,ISNUMBER(FIND(MID(AZ121,13,1),"123456789ABCDEFGHIJKLMNOPQRSTUVWXYZ")),MID(AZ121,14,1)="Z")),"Wrong format",IF(MID("0123456789ABCDEFGHIJKLMNOPQRSTUVWXYZ",MOD(36-MOD(SUMPRODUCT(INT((FIND(MID(AZ121,{1,2,3,4,5,6,7,8,9,10,11,12,13,14},1),"0123456789ABCDEFGHIJKLMNOPQRSTUVWXYZ")-1)*{1,2,1,2,1,2,1,2,1,2,1,2,1,2}/36)+MOD((FIND(MID(AZ121,{1,2,3,4,5,6,7,8,9,10,11,12,13,14},1),"0123456789ABCDEFGHIJKLMNOPQRSTUVWXYZ")-1)*{1,2,1,2,1,2,1,2,1,2,1,2,1,2},36)),36),36)+1,1)=MID(AZ121,15,1),"OK","Typo? check digit wrong")),"Wrong format"))</f>
        <v/>
      </c>
      <c r="AW121" s="29">
        <f>IF(BA121="","",IF(AND(LEN(BA121)=10,SUMPRODUCT(--ISERROR(FIND(MID(BA121,{1,2,3,4,5,10},1),"ABCDEFGHIJKLMNOPQRSTUVWXYZ")))=0,SUMPRODUCT(--ISERROR(FIND(MID(BA121,{6,7,8,9},1),"0123456789")))=0),"OK","Wrong format"))</f>
        <v/>
      </c>
      <c r="AX121" s="29">
        <f>IF(TRIM(H121)="","",IF(AND(LEN(UPPER(TRIM(H121)))=10,SUMPRODUCT(--ISERROR(FIND(MID(UPPER(TRIM(H121)),{1,2,3,4,10},1),"ABCDEFGHIJKLMNOPQRSTUVWXYZ")))=0,SUMPRODUCT(--ISERROR(FIND(MID(UPPER(TRIM(H121)),{5,6,7,8,9},1),"0123456789")))=0),"OK","Wrong format"))</f>
        <v/>
      </c>
      <c r="AY121" s="30">
        <f>IF(NOT(COUNTA(A121:AE121)&gt;0),"",IF(BE121&lt;&gt;"","✖ "&amp;LEFT(BE121,LEN(BE121)-2),IF(BD121&gt;0,"✔ Ready — client + "&amp;BD121&amp;" service(s)","✔ Ready — client only")))</f>
        <v/>
      </c>
      <c r="AZ121" s="31">
        <f>UPPER(SUBSTITUTE(TRIM(F121)," ",""))</f>
        <v/>
      </c>
      <c r="BA121" s="31">
        <f>UPPER(SUBSTITUTE(TRIM(E121)," ",""))</f>
        <v/>
      </c>
      <c r="BB121" s="31">
        <f>IF(D121&lt;&gt;"",D121,IFERROR(VLOOKUP(MID(AS121,4,1),Lists!$E$2:$F$8,2,FALSE),""))</f>
        <v/>
      </c>
      <c r="BC121" s="31">
        <f>IFERROR(VLOOKUP(BB121,Lists!$A$2:$C$12,3,FALSE),"")</f>
        <v/>
      </c>
      <c r="BD121" s="31">
        <f>COUNTIF(W121:AC121,"Yes")</f>
        <v/>
      </c>
      <c r="BE121" s="31">
        <f>IF(TRIM(B121)="","Legal name missing; ","")&amp;IF(AND(AV121&lt;&gt;"",AV121&lt;&gt;"OK"),"GSTIN: "&amp;AV121&amp;"; ","")&amp;IF(AND(AW121&lt;&gt;"",AW121&lt;&gt;"OK"),"PAN wrong format; ","")&amp;IF(AND(BA121&lt;&gt;"",LEN(AZ121)=15,MID(AZ121,3,10)&lt;&gt;BA121),"PAN does not match GSTIN; ","")&amp;IF(AND(AX121&lt;&gt;"",AX121&lt;&gt;"OK"),"TAN wrong format; ","")&amp;IF(AS121="","PAN missing; ","")&amp;IF(BB121="","Entity type missing; ","")&amp;IF(AND(AZ121&lt;&gt;"",COUNTIF($AZ$6:$AZ$1005,AZ121)&gt;1),"GSTIN repeated in this sheet; ","")&amp;IF(AND(AS121&lt;&gt;"",COUNTIF($AS$6:$AS$1005,AS121)&gt;1),"PAN repeated in this sheet (same client? put extra GSTINs in Other GSTINs); ","")&amp;IF(AND(BD121&gt;0,V121=""),"Financial year missing; ","")&amp;IF(AND(BD121=0,V121&lt;&gt;""),"Financial year given but no service is Yes; ","")&amp;IF(AND(W121="Yes",AZ121=""),"GST needs a GSTIN; ","")&amp;IF(AND(W121="Yes",X121=""),"GST return frequency missing; ","")&amp;IF(AND(Y121="Yes",TRIM(H121)=""),"TDS needs a TAN; ","")&amp;IF(AND(AA121="Yes",BC121&lt;&gt;"",BC121&lt;&gt;"company",BC121&lt;&gt;"llp"),"ROC is only for a company / LLP; ","")&amp;IF(AND(AA121="Yes",OR(BC121="company",BC121="llp"),TRIM(I121)=""),"ROC needs the CIN / LLPIN; ","")&amp;IF((TRIM(AF121)="")&lt;&gt;(TRIM(AG121)=""),"GST login needs both user ID and password; ","")&amp;IF((TRIM(AH121)="")&lt;&gt;(TRIM(AI121)=""),"Income-tax login needs both user ID and password; ","")&amp;IF((TRIM(AJ121)="")&lt;&gt;(TRIM(AK121)=""),"Income-tax login needs both user ID and password; ","")&amp;IF((TRIM(AL121)="")&lt;&gt;(TRIM(AM121)=""),"TRACES login needs both user ID and password; ","")&amp;IF((TRIM(AN121)="")&lt;&gt;(TRIM(AO121)=""),"MCA login needs both user ID and password; ","")&amp;IF((TRIM(AP121)="")&lt;&gt;(TRIM(AQ121)=""),"E-way bill login needs both user ID and password; ","")</f>
        <v/>
      </c>
    </row>
    <row r="122">
      <c r="A122" s="32" t="n"/>
      <c r="B122" s="33" t="n"/>
      <c r="C122" s="33" t="n"/>
      <c r="D122" s="33" t="n"/>
      <c r="E122" s="32" t="n"/>
      <c r="F122" s="32" t="n"/>
      <c r="G122" s="32" t="n"/>
      <c r="H122" s="32" t="n"/>
      <c r="I122" s="32" t="n"/>
      <c r="J122" s="34" t="n"/>
      <c r="K122" s="33" t="n"/>
      <c r="L122" s="32" t="n"/>
      <c r="M122" s="33" t="n"/>
      <c r="N122" s="33" t="n"/>
      <c r="O122" s="33" t="n"/>
      <c r="P122" s="32" t="n"/>
      <c r="Q122" s="33" t="n"/>
      <c r="R122" s="33" t="n"/>
      <c r="S122" s="33" t="n"/>
      <c r="T122" s="33" t="n"/>
      <c r="U122" s="32" t="n"/>
      <c r="V122" s="33" t="n"/>
      <c r="W122" s="33" t="n"/>
      <c r="X122" s="33" t="n"/>
      <c r="Y122" s="33" t="n"/>
      <c r="Z122" s="33" t="n"/>
      <c r="AA122" s="33" t="n"/>
      <c r="AB122" s="33" t="n"/>
      <c r="AC122" s="33" t="n"/>
      <c r="AD122" s="33" t="n"/>
      <c r="AE122" s="33" t="n"/>
      <c r="AF122" s="32" t="n"/>
      <c r="AG122" s="32" t="n"/>
      <c r="AH122" s="3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29">
        <f>IF(NOT(COUNTA(A122:AE122)&gt;0),"",IF(A122="","New client","Update"))</f>
        <v/>
      </c>
      <c r="AS122" s="29">
        <f>IF(BA122&lt;&gt;"",BA122,IF(LEN(AZ122)=15,MID(AZ122,3,10),""))</f>
        <v/>
      </c>
      <c r="AT122" s="29">
        <f>IF(BB122="","",BB122&amp;IF(D122="","  (guessed from PAN)",""))</f>
        <v/>
      </c>
      <c r="AU122" s="29">
        <f>IF(AZ122="","",IFERROR(INDEX(Lists!$L$2:$L$38,MATCH(LEFT(AZ122,2),Lists!$K$2:$K$38,0)),"Unknown code"))</f>
        <v/>
      </c>
      <c r="AV122" s="29">
        <f>IF(AZ122="","",IFERROR(IF(NOT(AND(LEN(AZ122)=15,ISNUMBER(MATCH(LEFT(AZ122,2),Lists!$K$2:$K$38,0)),SUMPRODUCT(--ISERROR(FIND(MID(MID(AZ122,3,10),{1,2,3,4,5,10},1),"ABCDEFGHIJKLMNOPQRSTUVWXYZ")))=0,SUMPRODUCT(--ISERROR(FIND(MID(MID(AZ122,3,10),{6,7,8,9},1),"0123456789")))=0,ISNUMBER(FIND(MID(AZ122,13,1),"123456789ABCDEFGHIJKLMNOPQRSTUVWXYZ")),MID(AZ122,14,1)="Z")),"Wrong format",IF(MID("0123456789ABCDEFGHIJKLMNOPQRSTUVWXYZ",MOD(36-MOD(SUMPRODUCT(INT((FIND(MID(AZ122,{1,2,3,4,5,6,7,8,9,10,11,12,13,14},1),"0123456789ABCDEFGHIJKLMNOPQRSTUVWXYZ")-1)*{1,2,1,2,1,2,1,2,1,2,1,2,1,2}/36)+MOD((FIND(MID(AZ122,{1,2,3,4,5,6,7,8,9,10,11,12,13,14},1),"0123456789ABCDEFGHIJKLMNOPQRSTUVWXYZ")-1)*{1,2,1,2,1,2,1,2,1,2,1,2,1,2},36)),36),36)+1,1)=MID(AZ122,15,1),"OK","Typo? check digit wrong")),"Wrong format"))</f>
        <v/>
      </c>
      <c r="AW122" s="29">
        <f>IF(BA122="","",IF(AND(LEN(BA122)=10,SUMPRODUCT(--ISERROR(FIND(MID(BA122,{1,2,3,4,5,10},1),"ABCDEFGHIJKLMNOPQRSTUVWXYZ")))=0,SUMPRODUCT(--ISERROR(FIND(MID(BA122,{6,7,8,9},1),"0123456789")))=0),"OK","Wrong format"))</f>
        <v/>
      </c>
      <c r="AX122" s="29">
        <f>IF(TRIM(H122)="","",IF(AND(LEN(UPPER(TRIM(H122)))=10,SUMPRODUCT(--ISERROR(FIND(MID(UPPER(TRIM(H122)),{1,2,3,4,10},1),"ABCDEFGHIJKLMNOPQRSTUVWXYZ")))=0,SUMPRODUCT(--ISERROR(FIND(MID(UPPER(TRIM(H122)),{5,6,7,8,9},1),"0123456789")))=0),"OK","Wrong format"))</f>
        <v/>
      </c>
      <c r="AY122" s="30">
        <f>IF(NOT(COUNTA(A122:AE122)&gt;0),"",IF(BE122&lt;&gt;"","✖ "&amp;LEFT(BE122,LEN(BE122)-2),IF(BD122&gt;0,"✔ Ready — client + "&amp;BD122&amp;" service(s)","✔ Ready — client only")))</f>
        <v/>
      </c>
      <c r="AZ122" s="31">
        <f>UPPER(SUBSTITUTE(TRIM(F122)," ",""))</f>
        <v/>
      </c>
      <c r="BA122" s="31">
        <f>UPPER(SUBSTITUTE(TRIM(E122)," ",""))</f>
        <v/>
      </c>
      <c r="BB122" s="31">
        <f>IF(D122&lt;&gt;"",D122,IFERROR(VLOOKUP(MID(AS122,4,1),Lists!$E$2:$F$8,2,FALSE),""))</f>
        <v/>
      </c>
      <c r="BC122" s="31">
        <f>IFERROR(VLOOKUP(BB122,Lists!$A$2:$C$12,3,FALSE),"")</f>
        <v/>
      </c>
      <c r="BD122" s="31">
        <f>COUNTIF(W122:AC122,"Yes")</f>
        <v/>
      </c>
      <c r="BE122" s="31">
        <f>IF(TRIM(B122)="","Legal name missing; ","")&amp;IF(AND(AV122&lt;&gt;"",AV122&lt;&gt;"OK"),"GSTIN: "&amp;AV122&amp;"; ","")&amp;IF(AND(AW122&lt;&gt;"",AW122&lt;&gt;"OK"),"PAN wrong format; ","")&amp;IF(AND(BA122&lt;&gt;"",LEN(AZ122)=15,MID(AZ122,3,10)&lt;&gt;BA122),"PAN does not match GSTIN; ","")&amp;IF(AND(AX122&lt;&gt;"",AX122&lt;&gt;"OK"),"TAN wrong format; ","")&amp;IF(AS122="","PAN missing; ","")&amp;IF(BB122="","Entity type missing; ","")&amp;IF(AND(AZ122&lt;&gt;"",COUNTIF($AZ$6:$AZ$1005,AZ122)&gt;1),"GSTIN repeated in this sheet; ","")&amp;IF(AND(AS122&lt;&gt;"",COUNTIF($AS$6:$AS$1005,AS122)&gt;1),"PAN repeated in this sheet (same client? put extra GSTINs in Other GSTINs); ","")&amp;IF(AND(BD122&gt;0,V122=""),"Financial year missing; ","")&amp;IF(AND(BD122=0,V122&lt;&gt;""),"Financial year given but no service is Yes; ","")&amp;IF(AND(W122="Yes",AZ122=""),"GST needs a GSTIN; ","")&amp;IF(AND(W122="Yes",X122=""),"GST return frequency missing; ","")&amp;IF(AND(Y122="Yes",TRIM(H122)=""),"TDS needs a TAN; ","")&amp;IF(AND(AA122="Yes",BC122&lt;&gt;"",BC122&lt;&gt;"company",BC122&lt;&gt;"llp"),"ROC is only for a company / LLP; ","")&amp;IF(AND(AA122="Yes",OR(BC122="company",BC122="llp"),TRIM(I122)=""),"ROC needs the CIN / LLPIN; ","")&amp;IF((TRIM(AF122)="")&lt;&gt;(TRIM(AG122)=""),"GST login needs both user ID and password; ","")&amp;IF((TRIM(AH122)="")&lt;&gt;(TRIM(AI122)=""),"Income-tax login needs both user ID and password; ","")&amp;IF((TRIM(AJ122)="")&lt;&gt;(TRIM(AK122)=""),"Income-tax login needs both user ID and password; ","")&amp;IF((TRIM(AL122)="")&lt;&gt;(TRIM(AM122)=""),"TRACES login needs both user ID and password; ","")&amp;IF((TRIM(AN122)="")&lt;&gt;(TRIM(AO122)=""),"MCA login needs both user ID and password; ","")&amp;IF((TRIM(AP122)="")&lt;&gt;(TRIM(AQ122)=""),"E-way bill login needs both user ID and password; ","")</f>
        <v/>
      </c>
    </row>
    <row r="123">
      <c r="A123" s="32" t="n"/>
      <c r="B123" s="33" t="n"/>
      <c r="C123" s="33" t="n"/>
      <c r="D123" s="33" t="n"/>
      <c r="E123" s="32" t="n"/>
      <c r="F123" s="32" t="n"/>
      <c r="G123" s="32" t="n"/>
      <c r="H123" s="32" t="n"/>
      <c r="I123" s="32" t="n"/>
      <c r="J123" s="34" t="n"/>
      <c r="K123" s="33" t="n"/>
      <c r="L123" s="32" t="n"/>
      <c r="M123" s="33" t="n"/>
      <c r="N123" s="33" t="n"/>
      <c r="O123" s="33" t="n"/>
      <c r="P123" s="32" t="n"/>
      <c r="Q123" s="33" t="n"/>
      <c r="R123" s="33" t="n"/>
      <c r="S123" s="33" t="n"/>
      <c r="T123" s="33" t="n"/>
      <c r="U123" s="32" t="n"/>
      <c r="V123" s="33" t="n"/>
      <c r="W123" s="33" t="n"/>
      <c r="X123" s="33" t="n"/>
      <c r="Y123" s="33" t="n"/>
      <c r="Z123" s="33" t="n"/>
      <c r="AA123" s="33" t="n"/>
      <c r="AB123" s="33" t="n"/>
      <c r="AC123" s="33" t="n"/>
      <c r="AD123" s="33" t="n"/>
      <c r="AE123" s="33" t="n"/>
      <c r="AF123" s="32" t="n"/>
      <c r="AG123" s="32" t="n"/>
      <c r="AH123" s="32" t="n"/>
      <c r="AI123" s="32" t="n"/>
      <c r="AJ123" s="32" t="n"/>
      <c r="AK123" s="32" t="n"/>
      <c r="AL123" s="32" t="n"/>
      <c r="AM123" s="32" t="n"/>
      <c r="AN123" s="32" t="n"/>
      <c r="AO123" s="32" t="n"/>
      <c r="AP123" s="32" t="n"/>
      <c r="AQ123" s="32" t="n"/>
      <c r="AR123" s="29">
        <f>IF(NOT(COUNTA(A123:AE123)&gt;0),"",IF(A123="","New client","Update"))</f>
        <v/>
      </c>
      <c r="AS123" s="29">
        <f>IF(BA123&lt;&gt;"",BA123,IF(LEN(AZ123)=15,MID(AZ123,3,10),""))</f>
        <v/>
      </c>
      <c r="AT123" s="29">
        <f>IF(BB123="","",BB123&amp;IF(D123="","  (guessed from PAN)",""))</f>
        <v/>
      </c>
      <c r="AU123" s="29">
        <f>IF(AZ123="","",IFERROR(INDEX(Lists!$L$2:$L$38,MATCH(LEFT(AZ123,2),Lists!$K$2:$K$38,0)),"Unknown code"))</f>
        <v/>
      </c>
      <c r="AV123" s="29">
        <f>IF(AZ123="","",IFERROR(IF(NOT(AND(LEN(AZ123)=15,ISNUMBER(MATCH(LEFT(AZ123,2),Lists!$K$2:$K$38,0)),SUMPRODUCT(--ISERROR(FIND(MID(MID(AZ123,3,10),{1,2,3,4,5,10},1),"ABCDEFGHIJKLMNOPQRSTUVWXYZ")))=0,SUMPRODUCT(--ISERROR(FIND(MID(MID(AZ123,3,10),{6,7,8,9},1),"0123456789")))=0,ISNUMBER(FIND(MID(AZ123,13,1),"123456789ABCDEFGHIJKLMNOPQRSTUVWXYZ")),MID(AZ123,14,1)="Z")),"Wrong format",IF(MID("0123456789ABCDEFGHIJKLMNOPQRSTUVWXYZ",MOD(36-MOD(SUMPRODUCT(INT((FIND(MID(AZ123,{1,2,3,4,5,6,7,8,9,10,11,12,13,14},1),"0123456789ABCDEFGHIJKLMNOPQRSTUVWXYZ")-1)*{1,2,1,2,1,2,1,2,1,2,1,2,1,2}/36)+MOD((FIND(MID(AZ123,{1,2,3,4,5,6,7,8,9,10,11,12,13,14},1),"0123456789ABCDEFGHIJKLMNOPQRSTUVWXYZ")-1)*{1,2,1,2,1,2,1,2,1,2,1,2,1,2},36)),36),36)+1,1)=MID(AZ123,15,1),"OK","Typo? check digit wrong")),"Wrong format"))</f>
        <v/>
      </c>
      <c r="AW123" s="29">
        <f>IF(BA123="","",IF(AND(LEN(BA123)=10,SUMPRODUCT(--ISERROR(FIND(MID(BA123,{1,2,3,4,5,10},1),"ABCDEFGHIJKLMNOPQRSTUVWXYZ")))=0,SUMPRODUCT(--ISERROR(FIND(MID(BA123,{6,7,8,9},1),"0123456789")))=0),"OK","Wrong format"))</f>
        <v/>
      </c>
      <c r="AX123" s="29">
        <f>IF(TRIM(H123)="","",IF(AND(LEN(UPPER(TRIM(H123)))=10,SUMPRODUCT(--ISERROR(FIND(MID(UPPER(TRIM(H123)),{1,2,3,4,10},1),"ABCDEFGHIJKLMNOPQRSTUVWXYZ")))=0,SUMPRODUCT(--ISERROR(FIND(MID(UPPER(TRIM(H123)),{5,6,7,8,9},1),"0123456789")))=0),"OK","Wrong format"))</f>
        <v/>
      </c>
      <c r="AY123" s="30">
        <f>IF(NOT(COUNTA(A123:AE123)&gt;0),"",IF(BE123&lt;&gt;"","✖ "&amp;LEFT(BE123,LEN(BE123)-2),IF(BD123&gt;0,"✔ Ready — client + "&amp;BD123&amp;" service(s)","✔ Ready — client only")))</f>
        <v/>
      </c>
      <c r="AZ123" s="31">
        <f>UPPER(SUBSTITUTE(TRIM(F123)," ",""))</f>
        <v/>
      </c>
      <c r="BA123" s="31">
        <f>UPPER(SUBSTITUTE(TRIM(E123)," ",""))</f>
        <v/>
      </c>
      <c r="BB123" s="31">
        <f>IF(D123&lt;&gt;"",D123,IFERROR(VLOOKUP(MID(AS123,4,1),Lists!$E$2:$F$8,2,FALSE),""))</f>
        <v/>
      </c>
      <c r="BC123" s="31">
        <f>IFERROR(VLOOKUP(BB123,Lists!$A$2:$C$12,3,FALSE),"")</f>
        <v/>
      </c>
      <c r="BD123" s="31">
        <f>COUNTIF(W123:AC123,"Yes")</f>
        <v/>
      </c>
      <c r="BE123" s="31">
        <f>IF(TRIM(B123)="","Legal name missing; ","")&amp;IF(AND(AV123&lt;&gt;"",AV123&lt;&gt;"OK"),"GSTIN: "&amp;AV123&amp;"; ","")&amp;IF(AND(AW123&lt;&gt;"",AW123&lt;&gt;"OK"),"PAN wrong format; ","")&amp;IF(AND(BA123&lt;&gt;"",LEN(AZ123)=15,MID(AZ123,3,10)&lt;&gt;BA123),"PAN does not match GSTIN; ","")&amp;IF(AND(AX123&lt;&gt;"",AX123&lt;&gt;"OK"),"TAN wrong format; ","")&amp;IF(AS123="","PAN missing; ","")&amp;IF(BB123="","Entity type missing; ","")&amp;IF(AND(AZ123&lt;&gt;"",COUNTIF($AZ$6:$AZ$1005,AZ123)&gt;1),"GSTIN repeated in this sheet; ","")&amp;IF(AND(AS123&lt;&gt;"",COUNTIF($AS$6:$AS$1005,AS123)&gt;1),"PAN repeated in this sheet (same client? put extra GSTINs in Other GSTINs); ","")&amp;IF(AND(BD123&gt;0,V123=""),"Financial year missing; ","")&amp;IF(AND(BD123=0,V123&lt;&gt;""),"Financial year given but no service is Yes; ","")&amp;IF(AND(W123="Yes",AZ123=""),"GST needs a GSTIN; ","")&amp;IF(AND(W123="Yes",X123=""),"GST return frequency missing; ","")&amp;IF(AND(Y123="Yes",TRIM(H123)=""),"TDS needs a TAN; ","")&amp;IF(AND(AA123="Yes",BC123&lt;&gt;"",BC123&lt;&gt;"company",BC123&lt;&gt;"llp"),"ROC is only for a company / LLP; ","")&amp;IF(AND(AA123="Yes",OR(BC123="company",BC123="llp"),TRIM(I123)=""),"ROC needs the CIN / LLPIN; ","")&amp;IF((TRIM(AF123)="")&lt;&gt;(TRIM(AG123)=""),"GST login needs both user ID and password; ","")&amp;IF((TRIM(AH123)="")&lt;&gt;(TRIM(AI123)=""),"Income-tax login needs both user ID and password; ","")&amp;IF((TRIM(AJ123)="")&lt;&gt;(TRIM(AK123)=""),"Income-tax login needs both user ID and password; ","")&amp;IF((TRIM(AL123)="")&lt;&gt;(TRIM(AM123)=""),"TRACES login needs both user ID and password; ","")&amp;IF((TRIM(AN123)="")&lt;&gt;(TRIM(AO123)=""),"MCA login needs both user ID and password; ","")&amp;IF((TRIM(AP123)="")&lt;&gt;(TRIM(AQ123)=""),"E-way bill login needs both user ID and password; ","")</f>
        <v/>
      </c>
    </row>
    <row r="124">
      <c r="A124" s="32" t="n"/>
      <c r="B124" s="33" t="n"/>
      <c r="C124" s="33" t="n"/>
      <c r="D124" s="33" t="n"/>
      <c r="E124" s="32" t="n"/>
      <c r="F124" s="32" t="n"/>
      <c r="G124" s="32" t="n"/>
      <c r="H124" s="32" t="n"/>
      <c r="I124" s="32" t="n"/>
      <c r="J124" s="34" t="n"/>
      <c r="K124" s="33" t="n"/>
      <c r="L124" s="32" t="n"/>
      <c r="M124" s="33" t="n"/>
      <c r="N124" s="33" t="n"/>
      <c r="O124" s="33" t="n"/>
      <c r="P124" s="32" t="n"/>
      <c r="Q124" s="33" t="n"/>
      <c r="R124" s="33" t="n"/>
      <c r="S124" s="33" t="n"/>
      <c r="T124" s="33" t="n"/>
      <c r="U124" s="32" t="n"/>
      <c r="V124" s="33" t="n"/>
      <c r="W124" s="33" t="n"/>
      <c r="X124" s="33" t="n"/>
      <c r="Y124" s="33" t="n"/>
      <c r="Z124" s="33" t="n"/>
      <c r="AA124" s="33" t="n"/>
      <c r="AB124" s="33" t="n"/>
      <c r="AC124" s="33" t="n"/>
      <c r="AD124" s="33" t="n"/>
      <c r="AE124" s="33" t="n"/>
      <c r="AF124" s="32" t="n"/>
      <c r="AG124" s="32" t="n"/>
      <c r="AH124" s="32" t="n"/>
      <c r="AI124" s="32" t="n"/>
      <c r="AJ124" s="32" t="n"/>
      <c r="AK124" s="32" t="n"/>
      <c r="AL124" s="32" t="n"/>
      <c r="AM124" s="32" t="n"/>
      <c r="AN124" s="32" t="n"/>
      <c r="AO124" s="32" t="n"/>
      <c r="AP124" s="32" t="n"/>
      <c r="AQ124" s="32" t="n"/>
      <c r="AR124" s="29">
        <f>IF(NOT(COUNTA(A124:AE124)&gt;0),"",IF(A124="","New client","Update"))</f>
        <v/>
      </c>
      <c r="AS124" s="29">
        <f>IF(BA124&lt;&gt;"",BA124,IF(LEN(AZ124)=15,MID(AZ124,3,10),""))</f>
        <v/>
      </c>
      <c r="AT124" s="29">
        <f>IF(BB124="","",BB124&amp;IF(D124="","  (guessed from PAN)",""))</f>
        <v/>
      </c>
      <c r="AU124" s="29">
        <f>IF(AZ124="","",IFERROR(INDEX(Lists!$L$2:$L$38,MATCH(LEFT(AZ124,2),Lists!$K$2:$K$38,0)),"Unknown code"))</f>
        <v/>
      </c>
      <c r="AV124" s="29">
        <f>IF(AZ124="","",IFERROR(IF(NOT(AND(LEN(AZ124)=15,ISNUMBER(MATCH(LEFT(AZ124,2),Lists!$K$2:$K$38,0)),SUMPRODUCT(--ISERROR(FIND(MID(MID(AZ124,3,10),{1,2,3,4,5,10},1),"ABCDEFGHIJKLMNOPQRSTUVWXYZ")))=0,SUMPRODUCT(--ISERROR(FIND(MID(MID(AZ124,3,10),{6,7,8,9},1),"0123456789")))=0,ISNUMBER(FIND(MID(AZ124,13,1),"123456789ABCDEFGHIJKLMNOPQRSTUVWXYZ")),MID(AZ124,14,1)="Z")),"Wrong format",IF(MID("0123456789ABCDEFGHIJKLMNOPQRSTUVWXYZ",MOD(36-MOD(SUMPRODUCT(INT((FIND(MID(AZ124,{1,2,3,4,5,6,7,8,9,10,11,12,13,14},1),"0123456789ABCDEFGHIJKLMNOPQRSTUVWXYZ")-1)*{1,2,1,2,1,2,1,2,1,2,1,2,1,2}/36)+MOD((FIND(MID(AZ124,{1,2,3,4,5,6,7,8,9,10,11,12,13,14},1),"0123456789ABCDEFGHIJKLMNOPQRSTUVWXYZ")-1)*{1,2,1,2,1,2,1,2,1,2,1,2,1,2},36)),36),36)+1,1)=MID(AZ124,15,1),"OK","Typo? check digit wrong")),"Wrong format"))</f>
        <v/>
      </c>
      <c r="AW124" s="29">
        <f>IF(BA124="","",IF(AND(LEN(BA124)=10,SUMPRODUCT(--ISERROR(FIND(MID(BA124,{1,2,3,4,5,10},1),"ABCDEFGHIJKLMNOPQRSTUVWXYZ")))=0,SUMPRODUCT(--ISERROR(FIND(MID(BA124,{6,7,8,9},1),"0123456789")))=0),"OK","Wrong format"))</f>
        <v/>
      </c>
      <c r="AX124" s="29">
        <f>IF(TRIM(H124)="","",IF(AND(LEN(UPPER(TRIM(H124)))=10,SUMPRODUCT(--ISERROR(FIND(MID(UPPER(TRIM(H124)),{1,2,3,4,10},1),"ABCDEFGHIJKLMNOPQRSTUVWXYZ")))=0,SUMPRODUCT(--ISERROR(FIND(MID(UPPER(TRIM(H124)),{5,6,7,8,9},1),"0123456789")))=0),"OK","Wrong format"))</f>
        <v/>
      </c>
      <c r="AY124" s="30">
        <f>IF(NOT(COUNTA(A124:AE124)&gt;0),"",IF(BE124&lt;&gt;"","✖ "&amp;LEFT(BE124,LEN(BE124)-2),IF(BD124&gt;0,"✔ Ready — client + "&amp;BD124&amp;" service(s)","✔ Ready — client only")))</f>
        <v/>
      </c>
      <c r="AZ124" s="31">
        <f>UPPER(SUBSTITUTE(TRIM(F124)," ",""))</f>
        <v/>
      </c>
      <c r="BA124" s="31">
        <f>UPPER(SUBSTITUTE(TRIM(E124)," ",""))</f>
        <v/>
      </c>
      <c r="BB124" s="31">
        <f>IF(D124&lt;&gt;"",D124,IFERROR(VLOOKUP(MID(AS124,4,1),Lists!$E$2:$F$8,2,FALSE),""))</f>
        <v/>
      </c>
      <c r="BC124" s="31">
        <f>IFERROR(VLOOKUP(BB124,Lists!$A$2:$C$12,3,FALSE),"")</f>
        <v/>
      </c>
      <c r="BD124" s="31">
        <f>COUNTIF(W124:AC124,"Yes")</f>
        <v/>
      </c>
      <c r="BE124" s="31">
        <f>IF(TRIM(B124)="","Legal name missing; ","")&amp;IF(AND(AV124&lt;&gt;"",AV124&lt;&gt;"OK"),"GSTIN: "&amp;AV124&amp;"; ","")&amp;IF(AND(AW124&lt;&gt;"",AW124&lt;&gt;"OK"),"PAN wrong format; ","")&amp;IF(AND(BA124&lt;&gt;"",LEN(AZ124)=15,MID(AZ124,3,10)&lt;&gt;BA124),"PAN does not match GSTIN; ","")&amp;IF(AND(AX124&lt;&gt;"",AX124&lt;&gt;"OK"),"TAN wrong format; ","")&amp;IF(AS124="","PAN missing; ","")&amp;IF(BB124="","Entity type missing; ","")&amp;IF(AND(AZ124&lt;&gt;"",COUNTIF($AZ$6:$AZ$1005,AZ124)&gt;1),"GSTIN repeated in this sheet; ","")&amp;IF(AND(AS124&lt;&gt;"",COUNTIF($AS$6:$AS$1005,AS124)&gt;1),"PAN repeated in this sheet (same client? put extra GSTINs in Other GSTINs); ","")&amp;IF(AND(BD124&gt;0,V124=""),"Financial year missing; ","")&amp;IF(AND(BD124=0,V124&lt;&gt;""),"Financial year given but no service is Yes; ","")&amp;IF(AND(W124="Yes",AZ124=""),"GST needs a GSTIN; ","")&amp;IF(AND(W124="Yes",X124=""),"GST return frequency missing; ","")&amp;IF(AND(Y124="Yes",TRIM(H124)=""),"TDS needs a TAN; ","")&amp;IF(AND(AA124="Yes",BC124&lt;&gt;"",BC124&lt;&gt;"company",BC124&lt;&gt;"llp"),"ROC is only for a company / LLP; ","")&amp;IF(AND(AA124="Yes",OR(BC124="company",BC124="llp"),TRIM(I124)=""),"ROC needs the CIN / LLPIN; ","")&amp;IF((TRIM(AF124)="")&lt;&gt;(TRIM(AG124)=""),"GST login needs both user ID and password; ","")&amp;IF((TRIM(AH124)="")&lt;&gt;(TRIM(AI124)=""),"Income-tax login needs both user ID and password; ","")&amp;IF((TRIM(AJ124)="")&lt;&gt;(TRIM(AK124)=""),"Income-tax login needs both user ID and password; ","")&amp;IF((TRIM(AL124)="")&lt;&gt;(TRIM(AM124)=""),"TRACES login needs both user ID and password; ","")&amp;IF((TRIM(AN124)="")&lt;&gt;(TRIM(AO124)=""),"MCA login needs both user ID and password; ","")&amp;IF((TRIM(AP124)="")&lt;&gt;(TRIM(AQ124)=""),"E-way bill login needs both user ID and password; ","")</f>
        <v/>
      </c>
    </row>
    <row r="125">
      <c r="A125" s="32" t="n"/>
      <c r="B125" s="33" t="n"/>
      <c r="C125" s="33" t="n"/>
      <c r="D125" s="33" t="n"/>
      <c r="E125" s="32" t="n"/>
      <c r="F125" s="32" t="n"/>
      <c r="G125" s="32" t="n"/>
      <c r="H125" s="32" t="n"/>
      <c r="I125" s="32" t="n"/>
      <c r="J125" s="34" t="n"/>
      <c r="K125" s="33" t="n"/>
      <c r="L125" s="32" t="n"/>
      <c r="M125" s="33" t="n"/>
      <c r="N125" s="33" t="n"/>
      <c r="O125" s="33" t="n"/>
      <c r="P125" s="32" t="n"/>
      <c r="Q125" s="33" t="n"/>
      <c r="R125" s="33" t="n"/>
      <c r="S125" s="33" t="n"/>
      <c r="T125" s="33" t="n"/>
      <c r="U125" s="32" t="n"/>
      <c r="V125" s="33" t="n"/>
      <c r="W125" s="33" t="n"/>
      <c r="X125" s="33" t="n"/>
      <c r="Y125" s="33" t="n"/>
      <c r="Z125" s="33" t="n"/>
      <c r="AA125" s="33" t="n"/>
      <c r="AB125" s="33" t="n"/>
      <c r="AC125" s="33" t="n"/>
      <c r="AD125" s="33" t="n"/>
      <c r="AE125" s="33" t="n"/>
      <c r="AF125" s="32" t="n"/>
      <c r="AG125" s="32" t="n"/>
      <c r="AH125" s="32" t="n"/>
      <c r="AI125" s="32" t="n"/>
      <c r="AJ125" s="32" t="n"/>
      <c r="AK125" s="32" t="n"/>
      <c r="AL125" s="32" t="n"/>
      <c r="AM125" s="32" t="n"/>
      <c r="AN125" s="32" t="n"/>
      <c r="AO125" s="32" t="n"/>
      <c r="AP125" s="32" t="n"/>
      <c r="AQ125" s="32" t="n"/>
      <c r="AR125" s="29">
        <f>IF(NOT(COUNTA(A125:AE125)&gt;0),"",IF(A125="","New client","Update"))</f>
        <v/>
      </c>
      <c r="AS125" s="29">
        <f>IF(BA125&lt;&gt;"",BA125,IF(LEN(AZ125)=15,MID(AZ125,3,10),""))</f>
        <v/>
      </c>
      <c r="AT125" s="29">
        <f>IF(BB125="","",BB125&amp;IF(D125="","  (guessed from PAN)",""))</f>
        <v/>
      </c>
      <c r="AU125" s="29">
        <f>IF(AZ125="","",IFERROR(INDEX(Lists!$L$2:$L$38,MATCH(LEFT(AZ125,2),Lists!$K$2:$K$38,0)),"Unknown code"))</f>
        <v/>
      </c>
      <c r="AV125" s="29">
        <f>IF(AZ125="","",IFERROR(IF(NOT(AND(LEN(AZ125)=15,ISNUMBER(MATCH(LEFT(AZ125,2),Lists!$K$2:$K$38,0)),SUMPRODUCT(--ISERROR(FIND(MID(MID(AZ125,3,10),{1,2,3,4,5,10},1),"ABCDEFGHIJKLMNOPQRSTUVWXYZ")))=0,SUMPRODUCT(--ISERROR(FIND(MID(MID(AZ125,3,10),{6,7,8,9},1),"0123456789")))=0,ISNUMBER(FIND(MID(AZ125,13,1),"123456789ABCDEFGHIJKLMNOPQRSTUVWXYZ")),MID(AZ125,14,1)="Z")),"Wrong format",IF(MID("0123456789ABCDEFGHIJKLMNOPQRSTUVWXYZ",MOD(36-MOD(SUMPRODUCT(INT((FIND(MID(AZ125,{1,2,3,4,5,6,7,8,9,10,11,12,13,14},1),"0123456789ABCDEFGHIJKLMNOPQRSTUVWXYZ")-1)*{1,2,1,2,1,2,1,2,1,2,1,2,1,2}/36)+MOD((FIND(MID(AZ125,{1,2,3,4,5,6,7,8,9,10,11,12,13,14},1),"0123456789ABCDEFGHIJKLMNOPQRSTUVWXYZ")-1)*{1,2,1,2,1,2,1,2,1,2,1,2,1,2},36)),36),36)+1,1)=MID(AZ125,15,1),"OK","Typo? check digit wrong")),"Wrong format"))</f>
        <v/>
      </c>
      <c r="AW125" s="29">
        <f>IF(BA125="","",IF(AND(LEN(BA125)=10,SUMPRODUCT(--ISERROR(FIND(MID(BA125,{1,2,3,4,5,10},1),"ABCDEFGHIJKLMNOPQRSTUVWXYZ")))=0,SUMPRODUCT(--ISERROR(FIND(MID(BA125,{6,7,8,9},1),"0123456789")))=0),"OK","Wrong format"))</f>
        <v/>
      </c>
      <c r="AX125" s="29">
        <f>IF(TRIM(H125)="","",IF(AND(LEN(UPPER(TRIM(H125)))=10,SUMPRODUCT(--ISERROR(FIND(MID(UPPER(TRIM(H125)),{1,2,3,4,10},1),"ABCDEFGHIJKLMNOPQRSTUVWXYZ")))=0,SUMPRODUCT(--ISERROR(FIND(MID(UPPER(TRIM(H125)),{5,6,7,8,9},1),"0123456789")))=0),"OK","Wrong format"))</f>
        <v/>
      </c>
      <c r="AY125" s="30">
        <f>IF(NOT(COUNTA(A125:AE125)&gt;0),"",IF(BE125&lt;&gt;"","✖ "&amp;LEFT(BE125,LEN(BE125)-2),IF(BD125&gt;0,"✔ Ready — client + "&amp;BD125&amp;" service(s)","✔ Ready — client only")))</f>
        <v/>
      </c>
      <c r="AZ125" s="31">
        <f>UPPER(SUBSTITUTE(TRIM(F125)," ",""))</f>
        <v/>
      </c>
      <c r="BA125" s="31">
        <f>UPPER(SUBSTITUTE(TRIM(E125)," ",""))</f>
        <v/>
      </c>
      <c r="BB125" s="31">
        <f>IF(D125&lt;&gt;"",D125,IFERROR(VLOOKUP(MID(AS125,4,1),Lists!$E$2:$F$8,2,FALSE),""))</f>
        <v/>
      </c>
      <c r="BC125" s="31">
        <f>IFERROR(VLOOKUP(BB125,Lists!$A$2:$C$12,3,FALSE),"")</f>
        <v/>
      </c>
      <c r="BD125" s="31">
        <f>COUNTIF(W125:AC125,"Yes")</f>
        <v/>
      </c>
      <c r="BE125" s="31">
        <f>IF(TRIM(B125)="","Legal name missing; ","")&amp;IF(AND(AV125&lt;&gt;"",AV125&lt;&gt;"OK"),"GSTIN: "&amp;AV125&amp;"; ","")&amp;IF(AND(AW125&lt;&gt;"",AW125&lt;&gt;"OK"),"PAN wrong format; ","")&amp;IF(AND(BA125&lt;&gt;"",LEN(AZ125)=15,MID(AZ125,3,10)&lt;&gt;BA125),"PAN does not match GSTIN; ","")&amp;IF(AND(AX125&lt;&gt;"",AX125&lt;&gt;"OK"),"TAN wrong format; ","")&amp;IF(AS125="","PAN missing; ","")&amp;IF(BB125="","Entity type missing; ","")&amp;IF(AND(AZ125&lt;&gt;"",COUNTIF($AZ$6:$AZ$1005,AZ125)&gt;1),"GSTIN repeated in this sheet; ","")&amp;IF(AND(AS125&lt;&gt;"",COUNTIF($AS$6:$AS$1005,AS125)&gt;1),"PAN repeated in this sheet (same client? put extra GSTINs in Other GSTINs); ","")&amp;IF(AND(BD125&gt;0,V125=""),"Financial year missing; ","")&amp;IF(AND(BD125=0,V125&lt;&gt;""),"Financial year given but no service is Yes; ","")&amp;IF(AND(W125="Yes",AZ125=""),"GST needs a GSTIN; ","")&amp;IF(AND(W125="Yes",X125=""),"GST return frequency missing; ","")&amp;IF(AND(Y125="Yes",TRIM(H125)=""),"TDS needs a TAN; ","")&amp;IF(AND(AA125="Yes",BC125&lt;&gt;"",BC125&lt;&gt;"company",BC125&lt;&gt;"llp"),"ROC is only for a company / LLP; ","")&amp;IF(AND(AA125="Yes",OR(BC125="company",BC125="llp"),TRIM(I125)=""),"ROC needs the CIN / LLPIN; ","")&amp;IF((TRIM(AF125)="")&lt;&gt;(TRIM(AG125)=""),"GST login needs both user ID and password; ","")&amp;IF((TRIM(AH125)="")&lt;&gt;(TRIM(AI125)=""),"Income-tax login needs both user ID and password; ","")&amp;IF((TRIM(AJ125)="")&lt;&gt;(TRIM(AK125)=""),"Income-tax login needs both user ID and password; ","")&amp;IF((TRIM(AL125)="")&lt;&gt;(TRIM(AM125)=""),"TRACES login needs both user ID and password; ","")&amp;IF((TRIM(AN125)="")&lt;&gt;(TRIM(AO125)=""),"MCA login needs both user ID and password; ","")&amp;IF((TRIM(AP125)="")&lt;&gt;(TRIM(AQ125)=""),"E-way bill login needs both user ID and password; ","")</f>
        <v/>
      </c>
    </row>
    <row r="126">
      <c r="A126" s="32" t="n"/>
      <c r="B126" s="33" t="n"/>
      <c r="C126" s="33" t="n"/>
      <c r="D126" s="33" t="n"/>
      <c r="E126" s="32" t="n"/>
      <c r="F126" s="32" t="n"/>
      <c r="G126" s="32" t="n"/>
      <c r="H126" s="32" t="n"/>
      <c r="I126" s="32" t="n"/>
      <c r="J126" s="34" t="n"/>
      <c r="K126" s="33" t="n"/>
      <c r="L126" s="32" t="n"/>
      <c r="M126" s="33" t="n"/>
      <c r="N126" s="33" t="n"/>
      <c r="O126" s="33" t="n"/>
      <c r="P126" s="32" t="n"/>
      <c r="Q126" s="33" t="n"/>
      <c r="R126" s="33" t="n"/>
      <c r="S126" s="33" t="n"/>
      <c r="T126" s="33" t="n"/>
      <c r="U126" s="32" t="n"/>
      <c r="V126" s="33" t="n"/>
      <c r="W126" s="33" t="n"/>
      <c r="X126" s="33" t="n"/>
      <c r="Y126" s="33" t="n"/>
      <c r="Z126" s="33" t="n"/>
      <c r="AA126" s="33" t="n"/>
      <c r="AB126" s="33" t="n"/>
      <c r="AC126" s="33" t="n"/>
      <c r="AD126" s="33" t="n"/>
      <c r="AE126" s="33" t="n"/>
      <c r="AF126" s="32" t="n"/>
      <c r="AG126" s="32" t="n"/>
      <c r="AH126" s="32" t="n"/>
      <c r="AI126" s="32" t="n"/>
      <c r="AJ126" s="32" t="n"/>
      <c r="AK126" s="32" t="n"/>
      <c r="AL126" s="32" t="n"/>
      <c r="AM126" s="32" t="n"/>
      <c r="AN126" s="32" t="n"/>
      <c r="AO126" s="32" t="n"/>
      <c r="AP126" s="32" t="n"/>
      <c r="AQ126" s="32" t="n"/>
      <c r="AR126" s="29">
        <f>IF(NOT(COUNTA(A126:AE126)&gt;0),"",IF(A126="","New client","Update"))</f>
        <v/>
      </c>
      <c r="AS126" s="29">
        <f>IF(BA126&lt;&gt;"",BA126,IF(LEN(AZ126)=15,MID(AZ126,3,10),""))</f>
        <v/>
      </c>
      <c r="AT126" s="29">
        <f>IF(BB126="","",BB126&amp;IF(D126="","  (guessed from PAN)",""))</f>
        <v/>
      </c>
      <c r="AU126" s="29">
        <f>IF(AZ126="","",IFERROR(INDEX(Lists!$L$2:$L$38,MATCH(LEFT(AZ126,2),Lists!$K$2:$K$38,0)),"Unknown code"))</f>
        <v/>
      </c>
      <c r="AV126" s="29">
        <f>IF(AZ126="","",IFERROR(IF(NOT(AND(LEN(AZ126)=15,ISNUMBER(MATCH(LEFT(AZ126,2),Lists!$K$2:$K$38,0)),SUMPRODUCT(--ISERROR(FIND(MID(MID(AZ126,3,10),{1,2,3,4,5,10},1),"ABCDEFGHIJKLMNOPQRSTUVWXYZ")))=0,SUMPRODUCT(--ISERROR(FIND(MID(MID(AZ126,3,10),{6,7,8,9},1),"0123456789")))=0,ISNUMBER(FIND(MID(AZ126,13,1),"123456789ABCDEFGHIJKLMNOPQRSTUVWXYZ")),MID(AZ126,14,1)="Z")),"Wrong format",IF(MID("0123456789ABCDEFGHIJKLMNOPQRSTUVWXYZ",MOD(36-MOD(SUMPRODUCT(INT((FIND(MID(AZ126,{1,2,3,4,5,6,7,8,9,10,11,12,13,14},1),"0123456789ABCDEFGHIJKLMNOPQRSTUVWXYZ")-1)*{1,2,1,2,1,2,1,2,1,2,1,2,1,2}/36)+MOD((FIND(MID(AZ126,{1,2,3,4,5,6,7,8,9,10,11,12,13,14},1),"0123456789ABCDEFGHIJKLMNOPQRSTUVWXYZ")-1)*{1,2,1,2,1,2,1,2,1,2,1,2,1,2},36)),36),36)+1,1)=MID(AZ126,15,1),"OK","Typo? check digit wrong")),"Wrong format"))</f>
        <v/>
      </c>
      <c r="AW126" s="29">
        <f>IF(BA126="","",IF(AND(LEN(BA126)=10,SUMPRODUCT(--ISERROR(FIND(MID(BA126,{1,2,3,4,5,10},1),"ABCDEFGHIJKLMNOPQRSTUVWXYZ")))=0,SUMPRODUCT(--ISERROR(FIND(MID(BA126,{6,7,8,9},1),"0123456789")))=0),"OK","Wrong format"))</f>
        <v/>
      </c>
      <c r="AX126" s="29">
        <f>IF(TRIM(H126)="","",IF(AND(LEN(UPPER(TRIM(H126)))=10,SUMPRODUCT(--ISERROR(FIND(MID(UPPER(TRIM(H126)),{1,2,3,4,10},1),"ABCDEFGHIJKLMNOPQRSTUVWXYZ")))=0,SUMPRODUCT(--ISERROR(FIND(MID(UPPER(TRIM(H126)),{5,6,7,8,9},1),"0123456789")))=0),"OK","Wrong format"))</f>
        <v/>
      </c>
      <c r="AY126" s="30">
        <f>IF(NOT(COUNTA(A126:AE126)&gt;0),"",IF(BE126&lt;&gt;"","✖ "&amp;LEFT(BE126,LEN(BE126)-2),IF(BD126&gt;0,"✔ Ready — client + "&amp;BD126&amp;" service(s)","✔ Ready — client only")))</f>
        <v/>
      </c>
      <c r="AZ126" s="31">
        <f>UPPER(SUBSTITUTE(TRIM(F126)," ",""))</f>
        <v/>
      </c>
      <c r="BA126" s="31">
        <f>UPPER(SUBSTITUTE(TRIM(E126)," ",""))</f>
        <v/>
      </c>
      <c r="BB126" s="31">
        <f>IF(D126&lt;&gt;"",D126,IFERROR(VLOOKUP(MID(AS126,4,1),Lists!$E$2:$F$8,2,FALSE),""))</f>
        <v/>
      </c>
      <c r="BC126" s="31">
        <f>IFERROR(VLOOKUP(BB126,Lists!$A$2:$C$12,3,FALSE),"")</f>
        <v/>
      </c>
      <c r="BD126" s="31">
        <f>COUNTIF(W126:AC126,"Yes")</f>
        <v/>
      </c>
      <c r="BE126" s="31">
        <f>IF(TRIM(B126)="","Legal name missing; ","")&amp;IF(AND(AV126&lt;&gt;"",AV126&lt;&gt;"OK"),"GSTIN: "&amp;AV126&amp;"; ","")&amp;IF(AND(AW126&lt;&gt;"",AW126&lt;&gt;"OK"),"PAN wrong format; ","")&amp;IF(AND(BA126&lt;&gt;"",LEN(AZ126)=15,MID(AZ126,3,10)&lt;&gt;BA126),"PAN does not match GSTIN; ","")&amp;IF(AND(AX126&lt;&gt;"",AX126&lt;&gt;"OK"),"TAN wrong format; ","")&amp;IF(AS126="","PAN missing; ","")&amp;IF(BB126="","Entity type missing; ","")&amp;IF(AND(AZ126&lt;&gt;"",COUNTIF($AZ$6:$AZ$1005,AZ126)&gt;1),"GSTIN repeated in this sheet; ","")&amp;IF(AND(AS126&lt;&gt;"",COUNTIF($AS$6:$AS$1005,AS126)&gt;1),"PAN repeated in this sheet (same client? put extra GSTINs in Other GSTINs); ","")&amp;IF(AND(BD126&gt;0,V126=""),"Financial year missing; ","")&amp;IF(AND(BD126=0,V126&lt;&gt;""),"Financial year given but no service is Yes; ","")&amp;IF(AND(W126="Yes",AZ126=""),"GST needs a GSTIN; ","")&amp;IF(AND(W126="Yes",X126=""),"GST return frequency missing; ","")&amp;IF(AND(Y126="Yes",TRIM(H126)=""),"TDS needs a TAN; ","")&amp;IF(AND(AA126="Yes",BC126&lt;&gt;"",BC126&lt;&gt;"company",BC126&lt;&gt;"llp"),"ROC is only for a company / LLP; ","")&amp;IF(AND(AA126="Yes",OR(BC126="company",BC126="llp"),TRIM(I126)=""),"ROC needs the CIN / LLPIN; ","")&amp;IF((TRIM(AF126)="")&lt;&gt;(TRIM(AG126)=""),"GST login needs both user ID and password; ","")&amp;IF((TRIM(AH126)="")&lt;&gt;(TRIM(AI126)=""),"Income-tax login needs both user ID and password; ","")&amp;IF((TRIM(AJ126)="")&lt;&gt;(TRIM(AK126)=""),"Income-tax login needs both user ID and password; ","")&amp;IF((TRIM(AL126)="")&lt;&gt;(TRIM(AM126)=""),"TRACES login needs both user ID and password; ","")&amp;IF((TRIM(AN126)="")&lt;&gt;(TRIM(AO126)=""),"MCA login needs both user ID and password; ","")&amp;IF((TRIM(AP126)="")&lt;&gt;(TRIM(AQ126)=""),"E-way bill login needs both user ID and password; ","")</f>
        <v/>
      </c>
    </row>
    <row r="127">
      <c r="A127" s="32" t="n"/>
      <c r="B127" s="33" t="n"/>
      <c r="C127" s="33" t="n"/>
      <c r="D127" s="33" t="n"/>
      <c r="E127" s="32" t="n"/>
      <c r="F127" s="32" t="n"/>
      <c r="G127" s="32" t="n"/>
      <c r="H127" s="32" t="n"/>
      <c r="I127" s="32" t="n"/>
      <c r="J127" s="34" t="n"/>
      <c r="K127" s="33" t="n"/>
      <c r="L127" s="32" t="n"/>
      <c r="M127" s="33" t="n"/>
      <c r="N127" s="33" t="n"/>
      <c r="O127" s="33" t="n"/>
      <c r="P127" s="32" t="n"/>
      <c r="Q127" s="33" t="n"/>
      <c r="R127" s="33" t="n"/>
      <c r="S127" s="33" t="n"/>
      <c r="T127" s="33" t="n"/>
      <c r="U127" s="32" t="n"/>
      <c r="V127" s="33" t="n"/>
      <c r="W127" s="33" t="n"/>
      <c r="X127" s="33" t="n"/>
      <c r="Y127" s="33" t="n"/>
      <c r="Z127" s="33" t="n"/>
      <c r="AA127" s="33" t="n"/>
      <c r="AB127" s="33" t="n"/>
      <c r="AC127" s="33" t="n"/>
      <c r="AD127" s="33" t="n"/>
      <c r="AE127" s="33" t="n"/>
      <c r="AF127" s="32" t="n"/>
      <c r="AG127" s="32" t="n"/>
      <c r="AH127" s="32" t="n"/>
      <c r="AI127" s="32" t="n"/>
      <c r="AJ127" s="32" t="n"/>
      <c r="AK127" s="32" t="n"/>
      <c r="AL127" s="32" t="n"/>
      <c r="AM127" s="32" t="n"/>
      <c r="AN127" s="32" t="n"/>
      <c r="AO127" s="32" t="n"/>
      <c r="AP127" s="32" t="n"/>
      <c r="AQ127" s="32" t="n"/>
      <c r="AR127" s="29">
        <f>IF(NOT(COUNTA(A127:AE127)&gt;0),"",IF(A127="","New client","Update"))</f>
        <v/>
      </c>
      <c r="AS127" s="29">
        <f>IF(BA127&lt;&gt;"",BA127,IF(LEN(AZ127)=15,MID(AZ127,3,10),""))</f>
        <v/>
      </c>
      <c r="AT127" s="29">
        <f>IF(BB127="","",BB127&amp;IF(D127="","  (guessed from PAN)",""))</f>
        <v/>
      </c>
      <c r="AU127" s="29">
        <f>IF(AZ127="","",IFERROR(INDEX(Lists!$L$2:$L$38,MATCH(LEFT(AZ127,2),Lists!$K$2:$K$38,0)),"Unknown code"))</f>
        <v/>
      </c>
      <c r="AV127" s="29">
        <f>IF(AZ127="","",IFERROR(IF(NOT(AND(LEN(AZ127)=15,ISNUMBER(MATCH(LEFT(AZ127,2),Lists!$K$2:$K$38,0)),SUMPRODUCT(--ISERROR(FIND(MID(MID(AZ127,3,10),{1,2,3,4,5,10},1),"ABCDEFGHIJKLMNOPQRSTUVWXYZ")))=0,SUMPRODUCT(--ISERROR(FIND(MID(MID(AZ127,3,10),{6,7,8,9},1),"0123456789")))=0,ISNUMBER(FIND(MID(AZ127,13,1),"123456789ABCDEFGHIJKLMNOPQRSTUVWXYZ")),MID(AZ127,14,1)="Z")),"Wrong format",IF(MID("0123456789ABCDEFGHIJKLMNOPQRSTUVWXYZ",MOD(36-MOD(SUMPRODUCT(INT((FIND(MID(AZ127,{1,2,3,4,5,6,7,8,9,10,11,12,13,14},1),"0123456789ABCDEFGHIJKLMNOPQRSTUVWXYZ")-1)*{1,2,1,2,1,2,1,2,1,2,1,2,1,2}/36)+MOD((FIND(MID(AZ127,{1,2,3,4,5,6,7,8,9,10,11,12,13,14},1),"0123456789ABCDEFGHIJKLMNOPQRSTUVWXYZ")-1)*{1,2,1,2,1,2,1,2,1,2,1,2,1,2},36)),36),36)+1,1)=MID(AZ127,15,1),"OK","Typo? check digit wrong")),"Wrong format"))</f>
        <v/>
      </c>
      <c r="AW127" s="29">
        <f>IF(BA127="","",IF(AND(LEN(BA127)=10,SUMPRODUCT(--ISERROR(FIND(MID(BA127,{1,2,3,4,5,10},1),"ABCDEFGHIJKLMNOPQRSTUVWXYZ")))=0,SUMPRODUCT(--ISERROR(FIND(MID(BA127,{6,7,8,9},1),"0123456789")))=0),"OK","Wrong format"))</f>
        <v/>
      </c>
      <c r="AX127" s="29">
        <f>IF(TRIM(H127)="","",IF(AND(LEN(UPPER(TRIM(H127)))=10,SUMPRODUCT(--ISERROR(FIND(MID(UPPER(TRIM(H127)),{1,2,3,4,10},1),"ABCDEFGHIJKLMNOPQRSTUVWXYZ")))=0,SUMPRODUCT(--ISERROR(FIND(MID(UPPER(TRIM(H127)),{5,6,7,8,9},1),"0123456789")))=0),"OK","Wrong format"))</f>
        <v/>
      </c>
      <c r="AY127" s="30">
        <f>IF(NOT(COUNTA(A127:AE127)&gt;0),"",IF(BE127&lt;&gt;"","✖ "&amp;LEFT(BE127,LEN(BE127)-2),IF(BD127&gt;0,"✔ Ready — client + "&amp;BD127&amp;" service(s)","✔ Ready — client only")))</f>
        <v/>
      </c>
      <c r="AZ127" s="31">
        <f>UPPER(SUBSTITUTE(TRIM(F127)," ",""))</f>
        <v/>
      </c>
      <c r="BA127" s="31">
        <f>UPPER(SUBSTITUTE(TRIM(E127)," ",""))</f>
        <v/>
      </c>
      <c r="BB127" s="31">
        <f>IF(D127&lt;&gt;"",D127,IFERROR(VLOOKUP(MID(AS127,4,1),Lists!$E$2:$F$8,2,FALSE),""))</f>
        <v/>
      </c>
      <c r="BC127" s="31">
        <f>IFERROR(VLOOKUP(BB127,Lists!$A$2:$C$12,3,FALSE),"")</f>
        <v/>
      </c>
      <c r="BD127" s="31">
        <f>COUNTIF(W127:AC127,"Yes")</f>
        <v/>
      </c>
      <c r="BE127" s="31">
        <f>IF(TRIM(B127)="","Legal name missing; ","")&amp;IF(AND(AV127&lt;&gt;"",AV127&lt;&gt;"OK"),"GSTIN: "&amp;AV127&amp;"; ","")&amp;IF(AND(AW127&lt;&gt;"",AW127&lt;&gt;"OK"),"PAN wrong format; ","")&amp;IF(AND(BA127&lt;&gt;"",LEN(AZ127)=15,MID(AZ127,3,10)&lt;&gt;BA127),"PAN does not match GSTIN; ","")&amp;IF(AND(AX127&lt;&gt;"",AX127&lt;&gt;"OK"),"TAN wrong format; ","")&amp;IF(AS127="","PAN missing; ","")&amp;IF(BB127="","Entity type missing; ","")&amp;IF(AND(AZ127&lt;&gt;"",COUNTIF($AZ$6:$AZ$1005,AZ127)&gt;1),"GSTIN repeated in this sheet; ","")&amp;IF(AND(AS127&lt;&gt;"",COUNTIF($AS$6:$AS$1005,AS127)&gt;1),"PAN repeated in this sheet (same client? put extra GSTINs in Other GSTINs); ","")&amp;IF(AND(BD127&gt;0,V127=""),"Financial year missing; ","")&amp;IF(AND(BD127=0,V127&lt;&gt;""),"Financial year given but no service is Yes; ","")&amp;IF(AND(W127="Yes",AZ127=""),"GST needs a GSTIN; ","")&amp;IF(AND(W127="Yes",X127=""),"GST return frequency missing; ","")&amp;IF(AND(Y127="Yes",TRIM(H127)=""),"TDS needs a TAN; ","")&amp;IF(AND(AA127="Yes",BC127&lt;&gt;"",BC127&lt;&gt;"company",BC127&lt;&gt;"llp"),"ROC is only for a company / LLP; ","")&amp;IF(AND(AA127="Yes",OR(BC127="company",BC127="llp"),TRIM(I127)=""),"ROC needs the CIN / LLPIN; ","")&amp;IF((TRIM(AF127)="")&lt;&gt;(TRIM(AG127)=""),"GST login needs both user ID and password; ","")&amp;IF((TRIM(AH127)="")&lt;&gt;(TRIM(AI127)=""),"Income-tax login needs both user ID and password; ","")&amp;IF((TRIM(AJ127)="")&lt;&gt;(TRIM(AK127)=""),"Income-tax login needs both user ID and password; ","")&amp;IF((TRIM(AL127)="")&lt;&gt;(TRIM(AM127)=""),"TRACES login needs both user ID and password; ","")&amp;IF((TRIM(AN127)="")&lt;&gt;(TRIM(AO127)=""),"MCA login needs both user ID and password; ","")&amp;IF((TRIM(AP127)="")&lt;&gt;(TRIM(AQ127)=""),"E-way bill login needs both user ID and password; ","")</f>
        <v/>
      </c>
    </row>
    <row r="128">
      <c r="A128" s="32" t="n"/>
      <c r="B128" s="33" t="n"/>
      <c r="C128" s="33" t="n"/>
      <c r="D128" s="33" t="n"/>
      <c r="E128" s="32" t="n"/>
      <c r="F128" s="32" t="n"/>
      <c r="G128" s="32" t="n"/>
      <c r="H128" s="32" t="n"/>
      <c r="I128" s="32" t="n"/>
      <c r="J128" s="34" t="n"/>
      <c r="K128" s="33" t="n"/>
      <c r="L128" s="32" t="n"/>
      <c r="M128" s="33" t="n"/>
      <c r="N128" s="33" t="n"/>
      <c r="O128" s="33" t="n"/>
      <c r="P128" s="32" t="n"/>
      <c r="Q128" s="33" t="n"/>
      <c r="R128" s="33" t="n"/>
      <c r="S128" s="33" t="n"/>
      <c r="T128" s="33" t="n"/>
      <c r="U128" s="32" t="n"/>
      <c r="V128" s="33" t="n"/>
      <c r="W128" s="33" t="n"/>
      <c r="X128" s="33" t="n"/>
      <c r="Y128" s="33" t="n"/>
      <c r="Z128" s="33" t="n"/>
      <c r="AA128" s="33" t="n"/>
      <c r="AB128" s="33" t="n"/>
      <c r="AC128" s="33" t="n"/>
      <c r="AD128" s="33" t="n"/>
      <c r="AE128" s="33" t="n"/>
      <c r="AF128" s="32" t="n"/>
      <c r="AG128" s="32" t="n"/>
      <c r="AH128" s="32" t="n"/>
      <c r="AI128" s="32" t="n"/>
      <c r="AJ128" s="32" t="n"/>
      <c r="AK128" s="32" t="n"/>
      <c r="AL128" s="32" t="n"/>
      <c r="AM128" s="32" t="n"/>
      <c r="AN128" s="32" t="n"/>
      <c r="AO128" s="32" t="n"/>
      <c r="AP128" s="32" t="n"/>
      <c r="AQ128" s="32" t="n"/>
      <c r="AR128" s="29">
        <f>IF(NOT(COUNTA(A128:AE128)&gt;0),"",IF(A128="","New client","Update"))</f>
        <v/>
      </c>
      <c r="AS128" s="29">
        <f>IF(BA128&lt;&gt;"",BA128,IF(LEN(AZ128)=15,MID(AZ128,3,10),""))</f>
        <v/>
      </c>
      <c r="AT128" s="29">
        <f>IF(BB128="","",BB128&amp;IF(D128="","  (guessed from PAN)",""))</f>
        <v/>
      </c>
      <c r="AU128" s="29">
        <f>IF(AZ128="","",IFERROR(INDEX(Lists!$L$2:$L$38,MATCH(LEFT(AZ128,2),Lists!$K$2:$K$38,0)),"Unknown code"))</f>
        <v/>
      </c>
      <c r="AV128" s="29">
        <f>IF(AZ128="","",IFERROR(IF(NOT(AND(LEN(AZ128)=15,ISNUMBER(MATCH(LEFT(AZ128,2),Lists!$K$2:$K$38,0)),SUMPRODUCT(--ISERROR(FIND(MID(MID(AZ128,3,10),{1,2,3,4,5,10},1),"ABCDEFGHIJKLMNOPQRSTUVWXYZ")))=0,SUMPRODUCT(--ISERROR(FIND(MID(MID(AZ128,3,10),{6,7,8,9},1),"0123456789")))=0,ISNUMBER(FIND(MID(AZ128,13,1),"123456789ABCDEFGHIJKLMNOPQRSTUVWXYZ")),MID(AZ128,14,1)="Z")),"Wrong format",IF(MID("0123456789ABCDEFGHIJKLMNOPQRSTUVWXYZ",MOD(36-MOD(SUMPRODUCT(INT((FIND(MID(AZ128,{1,2,3,4,5,6,7,8,9,10,11,12,13,14},1),"0123456789ABCDEFGHIJKLMNOPQRSTUVWXYZ")-1)*{1,2,1,2,1,2,1,2,1,2,1,2,1,2}/36)+MOD((FIND(MID(AZ128,{1,2,3,4,5,6,7,8,9,10,11,12,13,14},1),"0123456789ABCDEFGHIJKLMNOPQRSTUVWXYZ")-1)*{1,2,1,2,1,2,1,2,1,2,1,2,1,2},36)),36),36)+1,1)=MID(AZ128,15,1),"OK","Typo? check digit wrong")),"Wrong format"))</f>
        <v/>
      </c>
      <c r="AW128" s="29">
        <f>IF(BA128="","",IF(AND(LEN(BA128)=10,SUMPRODUCT(--ISERROR(FIND(MID(BA128,{1,2,3,4,5,10},1),"ABCDEFGHIJKLMNOPQRSTUVWXYZ")))=0,SUMPRODUCT(--ISERROR(FIND(MID(BA128,{6,7,8,9},1),"0123456789")))=0),"OK","Wrong format"))</f>
        <v/>
      </c>
      <c r="AX128" s="29">
        <f>IF(TRIM(H128)="","",IF(AND(LEN(UPPER(TRIM(H128)))=10,SUMPRODUCT(--ISERROR(FIND(MID(UPPER(TRIM(H128)),{1,2,3,4,10},1),"ABCDEFGHIJKLMNOPQRSTUVWXYZ")))=0,SUMPRODUCT(--ISERROR(FIND(MID(UPPER(TRIM(H128)),{5,6,7,8,9},1),"0123456789")))=0),"OK","Wrong format"))</f>
        <v/>
      </c>
      <c r="AY128" s="30">
        <f>IF(NOT(COUNTA(A128:AE128)&gt;0),"",IF(BE128&lt;&gt;"","✖ "&amp;LEFT(BE128,LEN(BE128)-2),IF(BD128&gt;0,"✔ Ready — client + "&amp;BD128&amp;" service(s)","✔ Ready — client only")))</f>
        <v/>
      </c>
      <c r="AZ128" s="31">
        <f>UPPER(SUBSTITUTE(TRIM(F128)," ",""))</f>
        <v/>
      </c>
      <c r="BA128" s="31">
        <f>UPPER(SUBSTITUTE(TRIM(E128)," ",""))</f>
        <v/>
      </c>
      <c r="BB128" s="31">
        <f>IF(D128&lt;&gt;"",D128,IFERROR(VLOOKUP(MID(AS128,4,1),Lists!$E$2:$F$8,2,FALSE),""))</f>
        <v/>
      </c>
      <c r="BC128" s="31">
        <f>IFERROR(VLOOKUP(BB128,Lists!$A$2:$C$12,3,FALSE),"")</f>
        <v/>
      </c>
      <c r="BD128" s="31">
        <f>COUNTIF(W128:AC128,"Yes")</f>
        <v/>
      </c>
      <c r="BE128" s="31">
        <f>IF(TRIM(B128)="","Legal name missing; ","")&amp;IF(AND(AV128&lt;&gt;"",AV128&lt;&gt;"OK"),"GSTIN: "&amp;AV128&amp;"; ","")&amp;IF(AND(AW128&lt;&gt;"",AW128&lt;&gt;"OK"),"PAN wrong format; ","")&amp;IF(AND(BA128&lt;&gt;"",LEN(AZ128)=15,MID(AZ128,3,10)&lt;&gt;BA128),"PAN does not match GSTIN; ","")&amp;IF(AND(AX128&lt;&gt;"",AX128&lt;&gt;"OK"),"TAN wrong format; ","")&amp;IF(AS128="","PAN missing; ","")&amp;IF(BB128="","Entity type missing; ","")&amp;IF(AND(AZ128&lt;&gt;"",COUNTIF($AZ$6:$AZ$1005,AZ128)&gt;1),"GSTIN repeated in this sheet; ","")&amp;IF(AND(AS128&lt;&gt;"",COUNTIF($AS$6:$AS$1005,AS128)&gt;1),"PAN repeated in this sheet (same client? put extra GSTINs in Other GSTINs); ","")&amp;IF(AND(BD128&gt;0,V128=""),"Financial year missing; ","")&amp;IF(AND(BD128=0,V128&lt;&gt;""),"Financial year given but no service is Yes; ","")&amp;IF(AND(W128="Yes",AZ128=""),"GST needs a GSTIN; ","")&amp;IF(AND(W128="Yes",X128=""),"GST return frequency missing; ","")&amp;IF(AND(Y128="Yes",TRIM(H128)=""),"TDS needs a TAN; ","")&amp;IF(AND(AA128="Yes",BC128&lt;&gt;"",BC128&lt;&gt;"company",BC128&lt;&gt;"llp"),"ROC is only for a company / LLP; ","")&amp;IF(AND(AA128="Yes",OR(BC128="company",BC128="llp"),TRIM(I128)=""),"ROC needs the CIN / LLPIN; ","")&amp;IF((TRIM(AF128)="")&lt;&gt;(TRIM(AG128)=""),"GST login needs both user ID and password; ","")&amp;IF((TRIM(AH128)="")&lt;&gt;(TRIM(AI128)=""),"Income-tax login needs both user ID and password; ","")&amp;IF((TRIM(AJ128)="")&lt;&gt;(TRIM(AK128)=""),"Income-tax login needs both user ID and password; ","")&amp;IF((TRIM(AL128)="")&lt;&gt;(TRIM(AM128)=""),"TRACES login needs both user ID and password; ","")&amp;IF((TRIM(AN128)="")&lt;&gt;(TRIM(AO128)=""),"MCA login needs both user ID and password; ","")&amp;IF((TRIM(AP128)="")&lt;&gt;(TRIM(AQ128)=""),"E-way bill login needs both user ID and password; ","")</f>
        <v/>
      </c>
    </row>
    <row r="129">
      <c r="A129" s="32" t="n"/>
      <c r="B129" s="33" t="n"/>
      <c r="C129" s="33" t="n"/>
      <c r="D129" s="33" t="n"/>
      <c r="E129" s="32" t="n"/>
      <c r="F129" s="32" t="n"/>
      <c r="G129" s="32" t="n"/>
      <c r="H129" s="32" t="n"/>
      <c r="I129" s="32" t="n"/>
      <c r="J129" s="34" t="n"/>
      <c r="K129" s="33" t="n"/>
      <c r="L129" s="32" t="n"/>
      <c r="M129" s="33" t="n"/>
      <c r="N129" s="33" t="n"/>
      <c r="O129" s="33" t="n"/>
      <c r="P129" s="32" t="n"/>
      <c r="Q129" s="33" t="n"/>
      <c r="R129" s="33" t="n"/>
      <c r="S129" s="33" t="n"/>
      <c r="T129" s="33" t="n"/>
      <c r="U129" s="32" t="n"/>
      <c r="V129" s="33" t="n"/>
      <c r="W129" s="33" t="n"/>
      <c r="X129" s="33" t="n"/>
      <c r="Y129" s="33" t="n"/>
      <c r="Z129" s="33" t="n"/>
      <c r="AA129" s="33" t="n"/>
      <c r="AB129" s="33" t="n"/>
      <c r="AC129" s="33" t="n"/>
      <c r="AD129" s="33" t="n"/>
      <c r="AE129" s="33" t="n"/>
      <c r="AF129" s="32" t="n"/>
      <c r="AG129" s="32" t="n"/>
      <c r="AH129" s="32" t="n"/>
      <c r="AI129" s="32" t="n"/>
      <c r="AJ129" s="32" t="n"/>
      <c r="AK129" s="32" t="n"/>
      <c r="AL129" s="32" t="n"/>
      <c r="AM129" s="32" t="n"/>
      <c r="AN129" s="32" t="n"/>
      <c r="AO129" s="32" t="n"/>
      <c r="AP129" s="32" t="n"/>
      <c r="AQ129" s="32" t="n"/>
      <c r="AR129" s="29">
        <f>IF(NOT(COUNTA(A129:AE129)&gt;0),"",IF(A129="","New client","Update"))</f>
        <v/>
      </c>
      <c r="AS129" s="29">
        <f>IF(BA129&lt;&gt;"",BA129,IF(LEN(AZ129)=15,MID(AZ129,3,10),""))</f>
        <v/>
      </c>
      <c r="AT129" s="29">
        <f>IF(BB129="","",BB129&amp;IF(D129="","  (guessed from PAN)",""))</f>
        <v/>
      </c>
      <c r="AU129" s="29">
        <f>IF(AZ129="","",IFERROR(INDEX(Lists!$L$2:$L$38,MATCH(LEFT(AZ129,2),Lists!$K$2:$K$38,0)),"Unknown code"))</f>
        <v/>
      </c>
      <c r="AV129" s="29">
        <f>IF(AZ129="","",IFERROR(IF(NOT(AND(LEN(AZ129)=15,ISNUMBER(MATCH(LEFT(AZ129,2),Lists!$K$2:$K$38,0)),SUMPRODUCT(--ISERROR(FIND(MID(MID(AZ129,3,10),{1,2,3,4,5,10},1),"ABCDEFGHIJKLMNOPQRSTUVWXYZ")))=0,SUMPRODUCT(--ISERROR(FIND(MID(MID(AZ129,3,10),{6,7,8,9},1),"0123456789")))=0,ISNUMBER(FIND(MID(AZ129,13,1),"123456789ABCDEFGHIJKLMNOPQRSTUVWXYZ")),MID(AZ129,14,1)="Z")),"Wrong format",IF(MID("0123456789ABCDEFGHIJKLMNOPQRSTUVWXYZ",MOD(36-MOD(SUMPRODUCT(INT((FIND(MID(AZ129,{1,2,3,4,5,6,7,8,9,10,11,12,13,14},1),"0123456789ABCDEFGHIJKLMNOPQRSTUVWXYZ")-1)*{1,2,1,2,1,2,1,2,1,2,1,2,1,2}/36)+MOD((FIND(MID(AZ129,{1,2,3,4,5,6,7,8,9,10,11,12,13,14},1),"0123456789ABCDEFGHIJKLMNOPQRSTUVWXYZ")-1)*{1,2,1,2,1,2,1,2,1,2,1,2,1,2},36)),36),36)+1,1)=MID(AZ129,15,1),"OK","Typo? check digit wrong")),"Wrong format"))</f>
        <v/>
      </c>
      <c r="AW129" s="29">
        <f>IF(BA129="","",IF(AND(LEN(BA129)=10,SUMPRODUCT(--ISERROR(FIND(MID(BA129,{1,2,3,4,5,10},1),"ABCDEFGHIJKLMNOPQRSTUVWXYZ")))=0,SUMPRODUCT(--ISERROR(FIND(MID(BA129,{6,7,8,9},1),"0123456789")))=0),"OK","Wrong format"))</f>
        <v/>
      </c>
      <c r="AX129" s="29">
        <f>IF(TRIM(H129)="","",IF(AND(LEN(UPPER(TRIM(H129)))=10,SUMPRODUCT(--ISERROR(FIND(MID(UPPER(TRIM(H129)),{1,2,3,4,10},1),"ABCDEFGHIJKLMNOPQRSTUVWXYZ")))=0,SUMPRODUCT(--ISERROR(FIND(MID(UPPER(TRIM(H129)),{5,6,7,8,9},1),"0123456789")))=0),"OK","Wrong format"))</f>
        <v/>
      </c>
      <c r="AY129" s="30">
        <f>IF(NOT(COUNTA(A129:AE129)&gt;0),"",IF(BE129&lt;&gt;"","✖ "&amp;LEFT(BE129,LEN(BE129)-2),IF(BD129&gt;0,"✔ Ready — client + "&amp;BD129&amp;" service(s)","✔ Ready — client only")))</f>
        <v/>
      </c>
      <c r="AZ129" s="31">
        <f>UPPER(SUBSTITUTE(TRIM(F129)," ",""))</f>
        <v/>
      </c>
      <c r="BA129" s="31">
        <f>UPPER(SUBSTITUTE(TRIM(E129)," ",""))</f>
        <v/>
      </c>
      <c r="BB129" s="31">
        <f>IF(D129&lt;&gt;"",D129,IFERROR(VLOOKUP(MID(AS129,4,1),Lists!$E$2:$F$8,2,FALSE),""))</f>
        <v/>
      </c>
      <c r="BC129" s="31">
        <f>IFERROR(VLOOKUP(BB129,Lists!$A$2:$C$12,3,FALSE),"")</f>
        <v/>
      </c>
      <c r="BD129" s="31">
        <f>COUNTIF(W129:AC129,"Yes")</f>
        <v/>
      </c>
      <c r="BE129" s="31">
        <f>IF(TRIM(B129)="","Legal name missing; ","")&amp;IF(AND(AV129&lt;&gt;"",AV129&lt;&gt;"OK"),"GSTIN: "&amp;AV129&amp;"; ","")&amp;IF(AND(AW129&lt;&gt;"",AW129&lt;&gt;"OK"),"PAN wrong format; ","")&amp;IF(AND(BA129&lt;&gt;"",LEN(AZ129)=15,MID(AZ129,3,10)&lt;&gt;BA129),"PAN does not match GSTIN; ","")&amp;IF(AND(AX129&lt;&gt;"",AX129&lt;&gt;"OK"),"TAN wrong format; ","")&amp;IF(AS129="","PAN missing; ","")&amp;IF(BB129="","Entity type missing; ","")&amp;IF(AND(AZ129&lt;&gt;"",COUNTIF($AZ$6:$AZ$1005,AZ129)&gt;1),"GSTIN repeated in this sheet; ","")&amp;IF(AND(AS129&lt;&gt;"",COUNTIF($AS$6:$AS$1005,AS129)&gt;1),"PAN repeated in this sheet (same client? put extra GSTINs in Other GSTINs); ","")&amp;IF(AND(BD129&gt;0,V129=""),"Financial year missing; ","")&amp;IF(AND(BD129=0,V129&lt;&gt;""),"Financial year given but no service is Yes; ","")&amp;IF(AND(W129="Yes",AZ129=""),"GST needs a GSTIN; ","")&amp;IF(AND(W129="Yes",X129=""),"GST return frequency missing; ","")&amp;IF(AND(Y129="Yes",TRIM(H129)=""),"TDS needs a TAN; ","")&amp;IF(AND(AA129="Yes",BC129&lt;&gt;"",BC129&lt;&gt;"company",BC129&lt;&gt;"llp"),"ROC is only for a company / LLP; ","")&amp;IF(AND(AA129="Yes",OR(BC129="company",BC129="llp"),TRIM(I129)=""),"ROC needs the CIN / LLPIN; ","")&amp;IF((TRIM(AF129)="")&lt;&gt;(TRIM(AG129)=""),"GST login needs both user ID and password; ","")&amp;IF((TRIM(AH129)="")&lt;&gt;(TRIM(AI129)=""),"Income-tax login needs both user ID and password; ","")&amp;IF((TRIM(AJ129)="")&lt;&gt;(TRIM(AK129)=""),"Income-tax login needs both user ID and password; ","")&amp;IF((TRIM(AL129)="")&lt;&gt;(TRIM(AM129)=""),"TRACES login needs both user ID and password; ","")&amp;IF((TRIM(AN129)="")&lt;&gt;(TRIM(AO129)=""),"MCA login needs both user ID and password; ","")&amp;IF((TRIM(AP129)="")&lt;&gt;(TRIM(AQ129)=""),"E-way bill login needs both user ID and password; ","")</f>
        <v/>
      </c>
    </row>
    <row r="130">
      <c r="A130" s="32" t="n"/>
      <c r="B130" s="33" t="n"/>
      <c r="C130" s="33" t="n"/>
      <c r="D130" s="33" t="n"/>
      <c r="E130" s="32" t="n"/>
      <c r="F130" s="32" t="n"/>
      <c r="G130" s="32" t="n"/>
      <c r="H130" s="32" t="n"/>
      <c r="I130" s="32" t="n"/>
      <c r="J130" s="34" t="n"/>
      <c r="K130" s="33" t="n"/>
      <c r="L130" s="32" t="n"/>
      <c r="M130" s="33" t="n"/>
      <c r="N130" s="33" t="n"/>
      <c r="O130" s="33" t="n"/>
      <c r="P130" s="32" t="n"/>
      <c r="Q130" s="33" t="n"/>
      <c r="R130" s="33" t="n"/>
      <c r="S130" s="33" t="n"/>
      <c r="T130" s="33" t="n"/>
      <c r="U130" s="32" t="n"/>
      <c r="V130" s="33" t="n"/>
      <c r="W130" s="33" t="n"/>
      <c r="X130" s="33" t="n"/>
      <c r="Y130" s="33" t="n"/>
      <c r="Z130" s="33" t="n"/>
      <c r="AA130" s="33" t="n"/>
      <c r="AB130" s="33" t="n"/>
      <c r="AC130" s="33" t="n"/>
      <c r="AD130" s="33" t="n"/>
      <c r="AE130" s="33" t="n"/>
      <c r="AF130" s="32" t="n"/>
      <c r="AG130" s="32" t="n"/>
      <c r="AH130" s="32" t="n"/>
      <c r="AI130" s="32" t="n"/>
      <c r="AJ130" s="32" t="n"/>
      <c r="AK130" s="32" t="n"/>
      <c r="AL130" s="32" t="n"/>
      <c r="AM130" s="32" t="n"/>
      <c r="AN130" s="32" t="n"/>
      <c r="AO130" s="32" t="n"/>
      <c r="AP130" s="32" t="n"/>
      <c r="AQ130" s="32" t="n"/>
      <c r="AR130" s="29">
        <f>IF(NOT(COUNTA(A130:AE130)&gt;0),"",IF(A130="","New client","Update"))</f>
        <v/>
      </c>
      <c r="AS130" s="29">
        <f>IF(BA130&lt;&gt;"",BA130,IF(LEN(AZ130)=15,MID(AZ130,3,10),""))</f>
        <v/>
      </c>
      <c r="AT130" s="29">
        <f>IF(BB130="","",BB130&amp;IF(D130="","  (guessed from PAN)",""))</f>
        <v/>
      </c>
      <c r="AU130" s="29">
        <f>IF(AZ130="","",IFERROR(INDEX(Lists!$L$2:$L$38,MATCH(LEFT(AZ130,2),Lists!$K$2:$K$38,0)),"Unknown code"))</f>
        <v/>
      </c>
      <c r="AV130" s="29">
        <f>IF(AZ130="","",IFERROR(IF(NOT(AND(LEN(AZ130)=15,ISNUMBER(MATCH(LEFT(AZ130,2),Lists!$K$2:$K$38,0)),SUMPRODUCT(--ISERROR(FIND(MID(MID(AZ130,3,10),{1,2,3,4,5,10},1),"ABCDEFGHIJKLMNOPQRSTUVWXYZ")))=0,SUMPRODUCT(--ISERROR(FIND(MID(MID(AZ130,3,10),{6,7,8,9},1),"0123456789")))=0,ISNUMBER(FIND(MID(AZ130,13,1),"123456789ABCDEFGHIJKLMNOPQRSTUVWXYZ")),MID(AZ130,14,1)="Z")),"Wrong format",IF(MID("0123456789ABCDEFGHIJKLMNOPQRSTUVWXYZ",MOD(36-MOD(SUMPRODUCT(INT((FIND(MID(AZ130,{1,2,3,4,5,6,7,8,9,10,11,12,13,14},1),"0123456789ABCDEFGHIJKLMNOPQRSTUVWXYZ")-1)*{1,2,1,2,1,2,1,2,1,2,1,2,1,2}/36)+MOD((FIND(MID(AZ130,{1,2,3,4,5,6,7,8,9,10,11,12,13,14},1),"0123456789ABCDEFGHIJKLMNOPQRSTUVWXYZ")-1)*{1,2,1,2,1,2,1,2,1,2,1,2,1,2},36)),36),36)+1,1)=MID(AZ130,15,1),"OK","Typo? check digit wrong")),"Wrong format"))</f>
        <v/>
      </c>
      <c r="AW130" s="29">
        <f>IF(BA130="","",IF(AND(LEN(BA130)=10,SUMPRODUCT(--ISERROR(FIND(MID(BA130,{1,2,3,4,5,10},1),"ABCDEFGHIJKLMNOPQRSTUVWXYZ")))=0,SUMPRODUCT(--ISERROR(FIND(MID(BA130,{6,7,8,9},1),"0123456789")))=0),"OK","Wrong format"))</f>
        <v/>
      </c>
      <c r="AX130" s="29">
        <f>IF(TRIM(H130)="","",IF(AND(LEN(UPPER(TRIM(H130)))=10,SUMPRODUCT(--ISERROR(FIND(MID(UPPER(TRIM(H130)),{1,2,3,4,10},1),"ABCDEFGHIJKLMNOPQRSTUVWXYZ")))=0,SUMPRODUCT(--ISERROR(FIND(MID(UPPER(TRIM(H130)),{5,6,7,8,9},1),"0123456789")))=0),"OK","Wrong format"))</f>
        <v/>
      </c>
      <c r="AY130" s="30">
        <f>IF(NOT(COUNTA(A130:AE130)&gt;0),"",IF(BE130&lt;&gt;"","✖ "&amp;LEFT(BE130,LEN(BE130)-2),IF(BD130&gt;0,"✔ Ready — client + "&amp;BD130&amp;" service(s)","✔ Ready — client only")))</f>
        <v/>
      </c>
      <c r="AZ130" s="31">
        <f>UPPER(SUBSTITUTE(TRIM(F130)," ",""))</f>
        <v/>
      </c>
      <c r="BA130" s="31">
        <f>UPPER(SUBSTITUTE(TRIM(E130)," ",""))</f>
        <v/>
      </c>
      <c r="BB130" s="31">
        <f>IF(D130&lt;&gt;"",D130,IFERROR(VLOOKUP(MID(AS130,4,1),Lists!$E$2:$F$8,2,FALSE),""))</f>
        <v/>
      </c>
      <c r="BC130" s="31">
        <f>IFERROR(VLOOKUP(BB130,Lists!$A$2:$C$12,3,FALSE),"")</f>
        <v/>
      </c>
      <c r="BD130" s="31">
        <f>COUNTIF(W130:AC130,"Yes")</f>
        <v/>
      </c>
      <c r="BE130" s="31">
        <f>IF(TRIM(B130)="","Legal name missing; ","")&amp;IF(AND(AV130&lt;&gt;"",AV130&lt;&gt;"OK"),"GSTIN: "&amp;AV130&amp;"; ","")&amp;IF(AND(AW130&lt;&gt;"",AW130&lt;&gt;"OK"),"PAN wrong format; ","")&amp;IF(AND(BA130&lt;&gt;"",LEN(AZ130)=15,MID(AZ130,3,10)&lt;&gt;BA130),"PAN does not match GSTIN; ","")&amp;IF(AND(AX130&lt;&gt;"",AX130&lt;&gt;"OK"),"TAN wrong format; ","")&amp;IF(AS130="","PAN missing; ","")&amp;IF(BB130="","Entity type missing; ","")&amp;IF(AND(AZ130&lt;&gt;"",COUNTIF($AZ$6:$AZ$1005,AZ130)&gt;1),"GSTIN repeated in this sheet; ","")&amp;IF(AND(AS130&lt;&gt;"",COUNTIF($AS$6:$AS$1005,AS130)&gt;1),"PAN repeated in this sheet (same client? put extra GSTINs in Other GSTINs); ","")&amp;IF(AND(BD130&gt;0,V130=""),"Financial year missing; ","")&amp;IF(AND(BD130=0,V130&lt;&gt;""),"Financial year given but no service is Yes; ","")&amp;IF(AND(W130="Yes",AZ130=""),"GST needs a GSTIN; ","")&amp;IF(AND(W130="Yes",X130=""),"GST return frequency missing; ","")&amp;IF(AND(Y130="Yes",TRIM(H130)=""),"TDS needs a TAN; ","")&amp;IF(AND(AA130="Yes",BC130&lt;&gt;"",BC130&lt;&gt;"company",BC130&lt;&gt;"llp"),"ROC is only for a company / LLP; ","")&amp;IF(AND(AA130="Yes",OR(BC130="company",BC130="llp"),TRIM(I130)=""),"ROC needs the CIN / LLPIN; ","")&amp;IF((TRIM(AF130)="")&lt;&gt;(TRIM(AG130)=""),"GST login needs both user ID and password; ","")&amp;IF((TRIM(AH130)="")&lt;&gt;(TRIM(AI130)=""),"Income-tax login needs both user ID and password; ","")&amp;IF((TRIM(AJ130)="")&lt;&gt;(TRIM(AK130)=""),"Income-tax login needs both user ID and password; ","")&amp;IF((TRIM(AL130)="")&lt;&gt;(TRIM(AM130)=""),"TRACES login needs both user ID and password; ","")&amp;IF((TRIM(AN130)="")&lt;&gt;(TRIM(AO130)=""),"MCA login needs both user ID and password; ","")&amp;IF((TRIM(AP130)="")&lt;&gt;(TRIM(AQ130)=""),"E-way bill login needs both user ID and password; ","")</f>
        <v/>
      </c>
    </row>
    <row r="131">
      <c r="A131" s="32" t="n"/>
      <c r="B131" s="33" t="n"/>
      <c r="C131" s="33" t="n"/>
      <c r="D131" s="33" t="n"/>
      <c r="E131" s="32" t="n"/>
      <c r="F131" s="32" t="n"/>
      <c r="G131" s="32" t="n"/>
      <c r="H131" s="32" t="n"/>
      <c r="I131" s="32" t="n"/>
      <c r="J131" s="34" t="n"/>
      <c r="K131" s="33" t="n"/>
      <c r="L131" s="32" t="n"/>
      <c r="M131" s="33" t="n"/>
      <c r="N131" s="33" t="n"/>
      <c r="O131" s="33" t="n"/>
      <c r="P131" s="32" t="n"/>
      <c r="Q131" s="33" t="n"/>
      <c r="R131" s="33" t="n"/>
      <c r="S131" s="33" t="n"/>
      <c r="T131" s="33" t="n"/>
      <c r="U131" s="32" t="n"/>
      <c r="V131" s="33" t="n"/>
      <c r="W131" s="33" t="n"/>
      <c r="X131" s="33" t="n"/>
      <c r="Y131" s="33" t="n"/>
      <c r="Z131" s="33" t="n"/>
      <c r="AA131" s="33" t="n"/>
      <c r="AB131" s="33" t="n"/>
      <c r="AC131" s="33" t="n"/>
      <c r="AD131" s="33" t="n"/>
      <c r="AE131" s="33" t="n"/>
      <c r="AF131" s="32" t="n"/>
      <c r="AG131" s="32" t="n"/>
      <c r="AH131" s="32" t="n"/>
      <c r="AI131" s="32" t="n"/>
      <c r="AJ131" s="32" t="n"/>
      <c r="AK131" s="32" t="n"/>
      <c r="AL131" s="32" t="n"/>
      <c r="AM131" s="32" t="n"/>
      <c r="AN131" s="32" t="n"/>
      <c r="AO131" s="32" t="n"/>
      <c r="AP131" s="32" t="n"/>
      <c r="AQ131" s="32" t="n"/>
      <c r="AR131" s="29">
        <f>IF(NOT(COUNTA(A131:AE131)&gt;0),"",IF(A131="","New client","Update"))</f>
        <v/>
      </c>
      <c r="AS131" s="29">
        <f>IF(BA131&lt;&gt;"",BA131,IF(LEN(AZ131)=15,MID(AZ131,3,10),""))</f>
        <v/>
      </c>
      <c r="AT131" s="29">
        <f>IF(BB131="","",BB131&amp;IF(D131="","  (guessed from PAN)",""))</f>
        <v/>
      </c>
      <c r="AU131" s="29">
        <f>IF(AZ131="","",IFERROR(INDEX(Lists!$L$2:$L$38,MATCH(LEFT(AZ131,2),Lists!$K$2:$K$38,0)),"Unknown code"))</f>
        <v/>
      </c>
      <c r="AV131" s="29">
        <f>IF(AZ131="","",IFERROR(IF(NOT(AND(LEN(AZ131)=15,ISNUMBER(MATCH(LEFT(AZ131,2),Lists!$K$2:$K$38,0)),SUMPRODUCT(--ISERROR(FIND(MID(MID(AZ131,3,10),{1,2,3,4,5,10},1),"ABCDEFGHIJKLMNOPQRSTUVWXYZ")))=0,SUMPRODUCT(--ISERROR(FIND(MID(MID(AZ131,3,10),{6,7,8,9},1),"0123456789")))=0,ISNUMBER(FIND(MID(AZ131,13,1),"123456789ABCDEFGHIJKLMNOPQRSTUVWXYZ")),MID(AZ131,14,1)="Z")),"Wrong format",IF(MID("0123456789ABCDEFGHIJKLMNOPQRSTUVWXYZ",MOD(36-MOD(SUMPRODUCT(INT((FIND(MID(AZ131,{1,2,3,4,5,6,7,8,9,10,11,12,13,14},1),"0123456789ABCDEFGHIJKLMNOPQRSTUVWXYZ")-1)*{1,2,1,2,1,2,1,2,1,2,1,2,1,2}/36)+MOD((FIND(MID(AZ131,{1,2,3,4,5,6,7,8,9,10,11,12,13,14},1),"0123456789ABCDEFGHIJKLMNOPQRSTUVWXYZ")-1)*{1,2,1,2,1,2,1,2,1,2,1,2,1,2},36)),36),36)+1,1)=MID(AZ131,15,1),"OK","Typo? check digit wrong")),"Wrong format"))</f>
        <v/>
      </c>
      <c r="AW131" s="29">
        <f>IF(BA131="","",IF(AND(LEN(BA131)=10,SUMPRODUCT(--ISERROR(FIND(MID(BA131,{1,2,3,4,5,10},1),"ABCDEFGHIJKLMNOPQRSTUVWXYZ")))=0,SUMPRODUCT(--ISERROR(FIND(MID(BA131,{6,7,8,9},1),"0123456789")))=0),"OK","Wrong format"))</f>
        <v/>
      </c>
      <c r="AX131" s="29">
        <f>IF(TRIM(H131)="","",IF(AND(LEN(UPPER(TRIM(H131)))=10,SUMPRODUCT(--ISERROR(FIND(MID(UPPER(TRIM(H131)),{1,2,3,4,10},1),"ABCDEFGHIJKLMNOPQRSTUVWXYZ")))=0,SUMPRODUCT(--ISERROR(FIND(MID(UPPER(TRIM(H131)),{5,6,7,8,9},1),"0123456789")))=0),"OK","Wrong format"))</f>
        <v/>
      </c>
      <c r="AY131" s="30">
        <f>IF(NOT(COUNTA(A131:AE131)&gt;0),"",IF(BE131&lt;&gt;"","✖ "&amp;LEFT(BE131,LEN(BE131)-2),IF(BD131&gt;0,"✔ Ready — client + "&amp;BD131&amp;" service(s)","✔ Ready — client only")))</f>
        <v/>
      </c>
      <c r="AZ131" s="31">
        <f>UPPER(SUBSTITUTE(TRIM(F131)," ",""))</f>
        <v/>
      </c>
      <c r="BA131" s="31">
        <f>UPPER(SUBSTITUTE(TRIM(E131)," ",""))</f>
        <v/>
      </c>
      <c r="BB131" s="31">
        <f>IF(D131&lt;&gt;"",D131,IFERROR(VLOOKUP(MID(AS131,4,1),Lists!$E$2:$F$8,2,FALSE),""))</f>
        <v/>
      </c>
      <c r="BC131" s="31">
        <f>IFERROR(VLOOKUP(BB131,Lists!$A$2:$C$12,3,FALSE),"")</f>
        <v/>
      </c>
      <c r="BD131" s="31">
        <f>COUNTIF(W131:AC131,"Yes")</f>
        <v/>
      </c>
      <c r="BE131" s="31">
        <f>IF(TRIM(B131)="","Legal name missing; ","")&amp;IF(AND(AV131&lt;&gt;"",AV131&lt;&gt;"OK"),"GSTIN: "&amp;AV131&amp;"; ","")&amp;IF(AND(AW131&lt;&gt;"",AW131&lt;&gt;"OK"),"PAN wrong format; ","")&amp;IF(AND(BA131&lt;&gt;"",LEN(AZ131)=15,MID(AZ131,3,10)&lt;&gt;BA131),"PAN does not match GSTIN; ","")&amp;IF(AND(AX131&lt;&gt;"",AX131&lt;&gt;"OK"),"TAN wrong format; ","")&amp;IF(AS131="","PAN missing; ","")&amp;IF(BB131="","Entity type missing; ","")&amp;IF(AND(AZ131&lt;&gt;"",COUNTIF($AZ$6:$AZ$1005,AZ131)&gt;1),"GSTIN repeated in this sheet; ","")&amp;IF(AND(AS131&lt;&gt;"",COUNTIF($AS$6:$AS$1005,AS131)&gt;1),"PAN repeated in this sheet (same client? put extra GSTINs in Other GSTINs); ","")&amp;IF(AND(BD131&gt;0,V131=""),"Financial year missing; ","")&amp;IF(AND(BD131=0,V131&lt;&gt;""),"Financial year given but no service is Yes; ","")&amp;IF(AND(W131="Yes",AZ131=""),"GST needs a GSTIN; ","")&amp;IF(AND(W131="Yes",X131=""),"GST return frequency missing; ","")&amp;IF(AND(Y131="Yes",TRIM(H131)=""),"TDS needs a TAN; ","")&amp;IF(AND(AA131="Yes",BC131&lt;&gt;"",BC131&lt;&gt;"company",BC131&lt;&gt;"llp"),"ROC is only for a company / LLP; ","")&amp;IF(AND(AA131="Yes",OR(BC131="company",BC131="llp"),TRIM(I131)=""),"ROC needs the CIN / LLPIN; ","")&amp;IF((TRIM(AF131)="")&lt;&gt;(TRIM(AG131)=""),"GST login needs both user ID and password; ","")&amp;IF((TRIM(AH131)="")&lt;&gt;(TRIM(AI131)=""),"Income-tax login needs both user ID and password; ","")&amp;IF((TRIM(AJ131)="")&lt;&gt;(TRIM(AK131)=""),"Income-tax login needs both user ID and password; ","")&amp;IF((TRIM(AL131)="")&lt;&gt;(TRIM(AM131)=""),"TRACES login needs both user ID and password; ","")&amp;IF((TRIM(AN131)="")&lt;&gt;(TRIM(AO131)=""),"MCA login needs both user ID and password; ","")&amp;IF((TRIM(AP131)="")&lt;&gt;(TRIM(AQ131)=""),"E-way bill login needs both user ID and password; ","")</f>
        <v/>
      </c>
    </row>
    <row r="132">
      <c r="A132" s="32" t="n"/>
      <c r="B132" s="33" t="n"/>
      <c r="C132" s="33" t="n"/>
      <c r="D132" s="33" t="n"/>
      <c r="E132" s="32" t="n"/>
      <c r="F132" s="32" t="n"/>
      <c r="G132" s="32" t="n"/>
      <c r="H132" s="32" t="n"/>
      <c r="I132" s="32" t="n"/>
      <c r="J132" s="34" t="n"/>
      <c r="K132" s="33" t="n"/>
      <c r="L132" s="32" t="n"/>
      <c r="M132" s="33" t="n"/>
      <c r="N132" s="33" t="n"/>
      <c r="O132" s="33" t="n"/>
      <c r="P132" s="32" t="n"/>
      <c r="Q132" s="33" t="n"/>
      <c r="R132" s="33" t="n"/>
      <c r="S132" s="33" t="n"/>
      <c r="T132" s="33" t="n"/>
      <c r="U132" s="32" t="n"/>
      <c r="V132" s="33" t="n"/>
      <c r="W132" s="33" t="n"/>
      <c r="X132" s="33" t="n"/>
      <c r="Y132" s="33" t="n"/>
      <c r="Z132" s="33" t="n"/>
      <c r="AA132" s="33" t="n"/>
      <c r="AB132" s="33" t="n"/>
      <c r="AC132" s="33" t="n"/>
      <c r="AD132" s="33" t="n"/>
      <c r="AE132" s="33" t="n"/>
      <c r="AF132" s="32" t="n"/>
      <c r="AG132" s="32" t="n"/>
      <c r="AH132" s="32" t="n"/>
      <c r="AI132" s="32" t="n"/>
      <c r="AJ132" s="32" t="n"/>
      <c r="AK132" s="32" t="n"/>
      <c r="AL132" s="32" t="n"/>
      <c r="AM132" s="32" t="n"/>
      <c r="AN132" s="32" t="n"/>
      <c r="AO132" s="32" t="n"/>
      <c r="AP132" s="32" t="n"/>
      <c r="AQ132" s="32" t="n"/>
      <c r="AR132" s="29">
        <f>IF(NOT(COUNTA(A132:AE132)&gt;0),"",IF(A132="","New client","Update"))</f>
        <v/>
      </c>
      <c r="AS132" s="29">
        <f>IF(BA132&lt;&gt;"",BA132,IF(LEN(AZ132)=15,MID(AZ132,3,10),""))</f>
        <v/>
      </c>
      <c r="AT132" s="29">
        <f>IF(BB132="","",BB132&amp;IF(D132="","  (guessed from PAN)",""))</f>
        <v/>
      </c>
      <c r="AU132" s="29">
        <f>IF(AZ132="","",IFERROR(INDEX(Lists!$L$2:$L$38,MATCH(LEFT(AZ132,2),Lists!$K$2:$K$38,0)),"Unknown code"))</f>
        <v/>
      </c>
      <c r="AV132" s="29">
        <f>IF(AZ132="","",IFERROR(IF(NOT(AND(LEN(AZ132)=15,ISNUMBER(MATCH(LEFT(AZ132,2),Lists!$K$2:$K$38,0)),SUMPRODUCT(--ISERROR(FIND(MID(MID(AZ132,3,10),{1,2,3,4,5,10},1),"ABCDEFGHIJKLMNOPQRSTUVWXYZ")))=0,SUMPRODUCT(--ISERROR(FIND(MID(MID(AZ132,3,10),{6,7,8,9},1),"0123456789")))=0,ISNUMBER(FIND(MID(AZ132,13,1),"123456789ABCDEFGHIJKLMNOPQRSTUVWXYZ")),MID(AZ132,14,1)="Z")),"Wrong format",IF(MID("0123456789ABCDEFGHIJKLMNOPQRSTUVWXYZ",MOD(36-MOD(SUMPRODUCT(INT((FIND(MID(AZ132,{1,2,3,4,5,6,7,8,9,10,11,12,13,14},1),"0123456789ABCDEFGHIJKLMNOPQRSTUVWXYZ")-1)*{1,2,1,2,1,2,1,2,1,2,1,2,1,2}/36)+MOD((FIND(MID(AZ132,{1,2,3,4,5,6,7,8,9,10,11,12,13,14},1),"0123456789ABCDEFGHIJKLMNOPQRSTUVWXYZ")-1)*{1,2,1,2,1,2,1,2,1,2,1,2,1,2},36)),36),36)+1,1)=MID(AZ132,15,1),"OK","Typo? check digit wrong")),"Wrong format"))</f>
        <v/>
      </c>
      <c r="AW132" s="29">
        <f>IF(BA132="","",IF(AND(LEN(BA132)=10,SUMPRODUCT(--ISERROR(FIND(MID(BA132,{1,2,3,4,5,10},1),"ABCDEFGHIJKLMNOPQRSTUVWXYZ")))=0,SUMPRODUCT(--ISERROR(FIND(MID(BA132,{6,7,8,9},1),"0123456789")))=0),"OK","Wrong format"))</f>
        <v/>
      </c>
      <c r="AX132" s="29">
        <f>IF(TRIM(H132)="","",IF(AND(LEN(UPPER(TRIM(H132)))=10,SUMPRODUCT(--ISERROR(FIND(MID(UPPER(TRIM(H132)),{1,2,3,4,10},1),"ABCDEFGHIJKLMNOPQRSTUVWXYZ")))=0,SUMPRODUCT(--ISERROR(FIND(MID(UPPER(TRIM(H132)),{5,6,7,8,9},1),"0123456789")))=0),"OK","Wrong format"))</f>
        <v/>
      </c>
      <c r="AY132" s="30">
        <f>IF(NOT(COUNTA(A132:AE132)&gt;0),"",IF(BE132&lt;&gt;"","✖ "&amp;LEFT(BE132,LEN(BE132)-2),IF(BD132&gt;0,"✔ Ready — client + "&amp;BD132&amp;" service(s)","✔ Ready — client only")))</f>
        <v/>
      </c>
      <c r="AZ132" s="31">
        <f>UPPER(SUBSTITUTE(TRIM(F132)," ",""))</f>
        <v/>
      </c>
      <c r="BA132" s="31">
        <f>UPPER(SUBSTITUTE(TRIM(E132)," ",""))</f>
        <v/>
      </c>
      <c r="BB132" s="31">
        <f>IF(D132&lt;&gt;"",D132,IFERROR(VLOOKUP(MID(AS132,4,1),Lists!$E$2:$F$8,2,FALSE),""))</f>
        <v/>
      </c>
      <c r="BC132" s="31">
        <f>IFERROR(VLOOKUP(BB132,Lists!$A$2:$C$12,3,FALSE),"")</f>
        <v/>
      </c>
      <c r="BD132" s="31">
        <f>COUNTIF(W132:AC132,"Yes")</f>
        <v/>
      </c>
      <c r="BE132" s="31">
        <f>IF(TRIM(B132)="","Legal name missing; ","")&amp;IF(AND(AV132&lt;&gt;"",AV132&lt;&gt;"OK"),"GSTIN: "&amp;AV132&amp;"; ","")&amp;IF(AND(AW132&lt;&gt;"",AW132&lt;&gt;"OK"),"PAN wrong format; ","")&amp;IF(AND(BA132&lt;&gt;"",LEN(AZ132)=15,MID(AZ132,3,10)&lt;&gt;BA132),"PAN does not match GSTIN; ","")&amp;IF(AND(AX132&lt;&gt;"",AX132&lt;&gt;"OK"),"TAN wrong format; ","")&amp;IF(AS132="","PAN missing; ","")&amp;IF(BB132="","Entity type missing; ","")&amp;IF(AND(AZ132&lt;&gt;"",COUNTIF($AZ$6:$AZ$1005,AZ132)&gt;1),"GSTIN repeated in this sheet; ","")&amp;IF(AND(AS132&lt;&gt;"",COUNTIF($AS$6:$AS$1005,AS132)&gt;1),"PAN repeated in this sheet (same client? put extra GSTINs in Other GSTINs); ","")&amp;IF(AND(BD132&gt;0,V132=""),"Financial year missing; ","")&amp;IF(AND(BD132=0,V132&lt;&gt;""),"Financial year given but no service is Yes; ","")&amp;IF(AND(W132="Yes",AZ132=""),"GST needs a GSTIN; ","")&amp;IF(AND(W132="Yes",X132=""),"GST return frequency missing; ","")&amp;IF(AND(Y132="Yes",TRIM(H132)=""),"TDS needs a TAN; ","")&amp;IF(AND(AA132="Yes",BC132&lt;&gt;"",BC132&lt;&gt;"company",BC132&lt;&gt;"llp"),"ROC is only for a company / LLP; ","")&amp;IF(AND(AA132="Yes",OR(BC132="company",BC132="llp"),TRIM(I132)=""),"ROC needs the CIN / LLPIN; ","")&amp;IF((TRIM(AF132)="")&lt;&gt;(TRIM(AG132)=""),"GST login needs both user ID and password; ","")&amp;IF((TRIM(AH132)="")&lt;&gt;(TRIM(AI132)=""),"Income-tax login needs both user ID and password; ","")&amp;IF((TRIM(AJ132)="")&lt;&gt;(TRIM(AK132)=""),"Income-tax login needs both user ID and password; ","")&amp;IF((TRIM(AL132)="")&lt;&gt;(TRIM(AM132)=""),"TRACES login needs both user ID and password; ","")&amp;IF((TRIM(AN132)="")&lt;&gt;(TRIM(AO132)=""),"MCA login needs both user ID and password; ","")&amp;IF((TRIM(AP132)="")&lt;&gt;(TRIM(AQ132)=""),"E-way bill login needs both user ID and password; ","")</f>
        <v/>
      </c>
    </row>
    <row r="133">
      <c r="A133" s="32" t="n"/>
      <c r="B133" s="33" t="n"/>
      <c r="C133" s="33" t="n"/>
      <c r="D133" s="33" t="n"/>
      <c r="E133" s="32" t="n"/>
      <c r="F133" s="32" t="n"/>
      <c r="G133" s="32" t="n"/>
      <c r="H133" s="32" t="n"/>
      <c r="I133" s="32" t="n"/>
      <c r="J133" s="34" t="n"/>
      <c r="K133" s="33" t="n"/>
      <c r="L133" s="32" t="n"/>
      <c r="M133" s="33" t="n"/>
      <c r="N133" s="33" t="n"/>
      <c r="O133" s="33" t="n"/>
      <c r="P133" s="32" t="n"/>
      <c r="Q133" s="33" t="n"/>
      <c r="R133" s="33" t="n"/>
      <c r="S133" s="33" t="n"/>
      <c r="T133" s="33" t="n"/>
      <c r="U133" s="32" t="n"/>
      <c r="V133" s="33" t="n"/>
      <c r="W133" s="33" t="n"/>
      <c r="X133" s="33" t="n"/>
      <c r="Y133" s="33" t="n"/>
      <c r="Z133" s="33" t="n"/>
      <c r="AA133" s="33" t="n"/>
      <c r="AB133" s="33" t="n"/>
      <c r="AC133" s="33" t="n"/>
      <c r="AD133" s="33" t="n"/>
      <c r="AE133" s="33" t="n"/>
      <c r="AF133" s="32" t="n"/>
      <c r="AG133" s="32" t="n"/>
      <c r="AH133" s="32" t="n"/>
      <c r="AI133" s="32" t="n"/>
      <c r="AJ133" s="32" t="n"/>
      <c r="AK133" s="32" t="n"/>
      <c r="AL133" s="32" t="n"/>
      <c r="AM133" s="32" t="n"/>
      <c r="AN133" s="32" t="n"/>
      <c r="AO133" s="32" t="n"/>
      <c r="AP133" s="32" t="n"/>
      <c r="AQ133" s="32" t="n"/>
      <c r="AR133" s="29">
        <f>IF(NOT(COUNTA(A133:AE133)&gt;0),"",IF(A133="","New client","Update"))</f>
        <v/>
      </c>
      <c r="AS133" s="29">
        <f>IF(BA133&lt;&gt;"",BA133,IF(LEN(AZ133)=15,MID(AZ133,3,10),""))</f>
        <v/>
      </c>
      <c r="AT133" s="29">
        <f>IF(BB133="","",BB133&amp;IF(D133="","  (guessed from PAN)",""))</f>
        <v/>
      </c>
      <c r="AU133" s="29">
        <f>IF(AZ133="","",IFERROR(INDEX(Lists!$L$2:$L$38,MATCH(LEFT(AZ133,2),Lists!$K$2:$K$38,0)),"Unknown code"))</f>
        <v/>
      </c>
      <c r="AV133" s="29">
        <f>IF(AZ133="","",IFERROR(IF(NOT(AND(LEN(AZ133)=15,ISNUMBER(MATCH(LEFT(AZ133,2),Lists!$K$2:$K$38,0)),SUMPRODUCT(--ISERROR(FIND(MID(MID(AZ133,3,10),{1,2,3,4,5,10},1),"ABCDEFGHIJKLMNOPQRSTUVWXYZ")))=0,SUMPRODUCT(--ISERROR(FIND(MID(MID(AZ133,3,10),{6,7,8,9},1),"0123456789")))=0,ISNUMBER(FIND(MID(AZ133,13,1),"123456789ABCDEFGHIJKLMNOPQRSTUVWXYZ")),MID(AZ133,14,1)="Z")),"Wrong format",IF(MID("0123456789ABCDEFGHIJKLMNOPQRSTUVWXYZ",MOD(36-MOD(SUMPRODUCT(INT((FIND(MID(AZ133,{1,2,3,4,5,6,7,8,9,10,11,12,13,14},1),"0123456789ABCDEFGHIJKLMNOPQRSTUVWXYZ")-1)*{1,2,1,2,1,2,1,2,1,2,1,2,1,2}/36)+MOD((FIND(MID(AZ133,{1,2,3,4,5,6,7,8,9,10,11,12,13,14},1),"0123456789ABCDEFGHIJKLMNOPQRSTUVWXYZ")-1)*{1,2,1,2,1,2,1,2,1,2,1,2,1,2},36)),36),36)+1,1)=MID(AZ133,15,1),"OK","Typo? check digit wrong")),"Wrong format"))</f>
        <v/>
      </c>
      <c r="AW133" s="29">
        <f>IF(BA133="","",IF(AND(LEN(BA133)=10,SUMPRODUCT(--ISERROR(FIND(MID(BA133,{1,2,3,4,5,10},1),"ABCDEFGHIJKLMNOPQRSTUVWXYZ")))=0,SUMPRODUCT(--ISERROR(FIND(MID(BA133,{6,7,8,9},1),"0123456789")))=0),"OK","Wrong format"))</f>
        <v/>
      </c>
      <c r="AX133" s="29">
        <f>IF(TRIM(H133)="","",IF(AND(LEN(UPPER(TRIM(H133)))=10,SUMPRODUCT(--ISERROR(FIND(MID(UPPER(TRIM(H133)),{1,2,3,4,10},1),"ABCDEFGHIJKLMNOPQRSTUVWXYZ")))=0,SUMPRODUCT(--ISERROR(FIND(MID(UPPER(TRIM(H133)),{5,6,7,8,9},1),"0123456789")))=0),"OK","Wrong format"))</f>
        <v/>
      </c>
      <c r="AY133" s="30">
        <f>IF(NOT(COUNTA(A133:AE133)&gt;0),"",IF(BE133&lt;&gt;"","✖ "&amp;LEFT(BE133,LEN(BE133)-2),IF(BD133&gt;0,"✔ Ready — client + "&amp;BD133&amp;" service(s)","✔ Ready — client only")))</f>
        <v/>
      </c>
      <c r="AZ133" s="31">
        <f>UPPER(SUBSTITUTE(TRIM(F133)," ",""))</f>
        <v/>
      </c>
      <c r="BA133" s="31">
        <f>UPPER(SUBSTITUTE(TRIM(E133)," ",""))</f>
        <v/>
      </c>
      <c r="BB133" s="31">
        <f>IF(D133&lt;&gt;"",D133,IFERROR(VLOOKUP(MID(AS133,4,1),Lists!$E$2:$F$8,2,FALSE),""))</f>
        <v/>
      </c>
      <c r="BC133" s="31">
        <f>IFERROR(VLOOKUP(BB133,Lists!$A$2:$C$12,3,FALSE),"")</f>
        <v/>
      </c>
      <c r="BD133" s="31">
        <f>COUNTIF(W133:AC133,"Yes")</f>
        <v/>
      </c>
      <c r="BE133" s="31">
        <f>IF(TRIM(B133)="","Legal name missing; ","")&amp;IF(AND(AV133&lt;&gt;"",AV133&lt;&gt;"OK"),"GSTIN: "&amp;AV133&amp;"; ","")&amp;IF(AND(AW133&lt;&gt;"",AW133&lt;&gt;"OK"),"PAN wrong format; ","")&amp;IF(AND(BA133&lt;&gt;"",LEN(AZ133)=15,MID(AZ133,3,10)&lt;&gt;BA133),"PAN does not match GSTIN; ","")&amp;IF(AND(AX133&lt;&gt;"",AX133&lt;&gt;"OK"),"TAN wrong format; ","")&amp;IF(AS133="","PAN missing; ","")&amp;IF(BB133="","Entity type missing; ","")&amp;IF(AND(AZ133&lt;&gt;"",COUNTIF($AZ$6:$AZ$1005,AZ133)&gt;1),"GSTIN repeated in this sheet; ","")&amp;IF(AND(AS133&lt;&gt;"",COUNTIF($AS$6:$AS$1005,AS133)&gt;1),"PAN repeated in this sheet (same client? put extra GSTINs in Other GSTINs); ","")&amp;IF(AND(BD133&gt;0,V133=""),"Financial year missing; ","")&amp;IF(AND(BD133=0,V133&lt;&gt;""),"Financial year given but no service is Yes; ","")&amp;IF(AND(W133="Yes",AZ133=""),"GST needs a GSTIN; ","")&amp;IF(AND(W133="Yes",X133=""),"GST return frequency missing; ","")&amp;IF(AND(Y133="Yes",TRIM(H133)=""),"TDS needs a TAN; ","")&amp;IF(AND(AA133="Yes",BC133&lt;&gt;"",BC133&lt;&gt;"company",BC133&lt;&gt;"llp"),"ROC is only for a company / LLP; ","")&amp;IF(AND(AA133="Yes",OR(BC133="company",BC133="llp"),TRIM(I133)=""),"ROC needs the CIN / LLPIN; ","")&amp;IF((TRIM(AF133)="")&lt;&gt;(TRIM(AG133)=""),"GST login needs both user ID and password; ","")&amp;IF((TRIM(AH133)="")&lt;&gt;(TRIM(AI133)=""),"Income-tax login needs both user ID and password; ","")&amp;IF((TRIM(AJ133)="")&lt;&gt;(TRIM(AK133)=""),"Income-tax login needs both user ID and password; ","")&amp;IF((TRIM(AL133)="")&lt;&gt;(TRIM(AM133)=""),"TRACES login needs both user ID and password; ","")&amp;IF((TRIM(AN133)="")&lt;&gt;(TRIM(AO133)=""),"MCA login needs both user ID and password; ","")&amp;IF((TRIM(AP133)="")&lt;&gt;(TRIM(AQ133)=""),"E-way bill login needs both user ID and password; ","")</f>
        <v/>
      </c>
    </row>
    <row r="134">
      <c r="A134" s="32" t="n"/>
      <c r="B134" s="33" t="n"/>
      <c r="C134" s="33" t="n"/>
      <c r="D134" s="33" t="n"/>
      <c r="E134" s="32" t="n"/>
      <c r="F134" s="32" t="n"/>
      <c r="G134" s="32" t="n"/>
      <c r="H134" s="32" t="n"/>
      <c r="I134" s="32" t="n"/>
      <c r="J134" s="34" t="n"/>
      <c r="K134" s="33" t="n"/>
      <c r="L134" s="32" t="n"/>
      <c r="M134" s="33" t="n"/>
      <c r="N134" s="33" t="n"/>
      <c r="O134" s="33" t="n"/>
      <c r="P134" s="32" t="n"/>
      <c r="Q134" s="33" t="n"/>
      <c r="R134" s="33" t="n"/>
      <c r="S134" s="33" t="n"/>
      <c r="T134" s="33" t="n"/>
      <c r="U134" s="32" t="n"/>
      <c r="V134" s="33" t="n"/>
      <c r="W134" s="33" t="n"/>
      <c r="X134" s="33" t="n"/>
      <c r="Y134" s="33" t="n"/>
      <c r="Z134" s="33" t="n"/>
      <c r="AA134" s="33" t="n"/>
      <c r="AB134" s="33" t="n"/>
      <c r="AC134" s="33" t="n"/>
      <c r="AD134" s="33" t="n"/>
      <c r="AE134" s="33" t="n"/>
      <c r="AF134" s="32" t="n"/>
      <c r="AG134" s="32" t="n"/>
      <c r="AH134" s="32" t="n"/>
      <c r="AI134" s="32" t="n"/>
      <c r="AJ134" s="32" t="n"/>
      <c r="AK134" s="32" t="n"/>
      <c r="AL134" s="32" t="n"/>
      <c r="AM134" s="32" t="n"/>
      <c r="AN134" s="32" t="n"/>
      <c r="AO134" s="32" t="n"/>
      <c r="AP134" s="32" t="n"/>
      <c r="AQ134" s="32" t="n"/>
      <c r="AR134" s="29">
        <f>IF(NOT(COUNTA(A134:AE134)&gt;0),"",IF(A134="","New client","Update"))</f>
        <v/>
      </c>
      <c r="AS134" s="29">
        <f>IF(BA134&lt;&gt;"",BA134,IF(LEN(AZ134)=15,MID(AZ134,3,10),""))</f>
        <v/>
      </c>
      <c r="AT134" s="29">
        <f>IF(BB134="","",BB134&amp;IF(D134="","  (guessed from PAN)",""))</f>
        <v/>
      </c>
      <c r="AU134" s="29">
        <f>IF(AZ134="","",IFERROR(INDEX(Lists!$L$2:$L$38,MATCH(LEFT(AZ134,2),Lists!$K$2:$K$38,0)),"Unknown code"))</f>
        <v/>
      </c>
      <c r="AV134" s="29">
        <f>IF(AZ134="","",IFERROR(IF(NOT(AND(LEN(AZ134)=15,ISNUMBER(MATCH(LEFT(AZ134,2),Lists!$K$2:$K$38,0)),SUMPRODUCT(--ISERROR(FIND(MID(MID(AZ134,3,10),{1,2,3,4,5,10},1),"ABCDEFGHIJKLMNOPQRSTUVWXYZ")))=0,SUMPRODUCT(--ISERROR(FIND(MID(MID(AZ134,3,10),{6,7,8,9},1),"0123456789")))=0,ISNUMBER(FIND(MID(AZ134,13,1),"123456789ABCDEFGHIJKLMNOPQRSTUVWXYZ")),MID(AZ134,14,1)="Z")),"Wrong format",IF(MID("0123456789ABCDEFGHIJKLMNOPQRSTUVWXYZ",MOD(36-MOD(SUMPRODUCT(INT((FIND(MID(AZ134,{1,2,3,4,5,6,7,8,9,10,11,12,13,14},1),"0123456789ABCDEFGHIJKLMNOPQRSTUVWXYZ")-1)*{1,2,1,2,1,2,1,2,1,2,1,2,1,2}/36)+MOD((FIND(MID(AZ134,{1,2,3,4,5,6,7,8,9,10,11,12,13,14},1),"0123456789ABCDEFGHIJKLMNOPQRSTUVWXYZ")-1)*{1,2,1,2,1,2,1,2,1,2,1,2,1,2},36)),36),36)+1,1)=MID(AZ134,15,1),"OK","Typo? check digit wrong")),"Wrong format"))</f>
        <v/>
      </c>
      <c r="AW134" s="29">
        <f>IF(BA134="","",IF(AND(LEN(BA134)=10,SUMPRODUCT(--ISERROR(FIND(MID(BA134,{1,2,3,4,5,10},1),"ABCDEFGHIJKLMNOPQRSTUVWXYZ")))=0,SUMPRODUCT(--ISERROR(FIND(MID(BA134,{6,7,8,9},1),"0123456789")))=0),"OK","Wrong format"))</f>
        <v/>
      </c>
      <c r="AX134" s="29">
        <f>IF(TRIM(H134)="","",IF(AND(LEN(UPPER(TRIM(H134)))=10,SUMPRODUCT(--ISERROR(FIND(MID(UPPER(TRIM(H134)),{1,2,3,4,10},1),"ABCDEFGHIJKLMNOPQRSTUVWXYZ")))=0,SUMPRODUCT(--ISERROR(FIND(MID(UPPER(TRIM(H134)),{5,6,7,8,9},1),"0123456789")))=0),"OK","Wrong format"))</f>
        <v/>
      </c>
      <c r="AY134" s="30">
        <f>IF(NOT(COUNTA(A134:AE134)&gt;0),"",IF(BE134&lt;&gt;"","✖ "&amp;LEFT(BE134,LEN(BE134)-2),IF(BD134&gt;0,"✔ Ready — client + "&amp;BD134&amp;" service(s)","✔ Ready — client only")))</f>
        <v/>
      </c>
      <c r="AZ134" s="31">
        <f>UPPER(SUBSTITUTE(TRIM(F134)," ",""))</f>
        <v/>
      </c>
      <c r="BA134" s="31">
        <f>UPPER(SUBSTITUTE(TRIM(E134)," ",""))</f>
        <v/>
      </c>
      <c r="BB134" s="31">
        <f>IF(D134&lt;&gt;"",D134,IFERROR(VLOOKUP(MID(AS134,4,1),Lists!$E$2:$F$8,2,FALSE),""))</f>
        <v/>
      </c>
      <c r="BC134" s="31">
        <f>IFERROR(VLOOKUP(BB134,Lists!$A$2:$C$12,3,FALSE),"")</f>
        <v/>
      </c>
      <c r="BD134" s="31">
        <f>COUNTIF(W134:AC134,"Yes")</f>
        <v/>
      </c>
      <c r="BE134" s="31">
        <f>IF(TRIM(B134)="","Legal name missing; ","")&amp;IF(AND(AV134&lt;&gt;"",AV134&lt;&gt;"OK"),"GSTIN: "&amp;AV134&amp;"; ","")&amp;IF(AND(AW134&lt;&gt;"",AW134&lt;&gt;"OK"),"PAN wrong format; ","")&amp;IF(AND(BA134&lt;&gt;"",LEN(AZ134)=15,MID(AZ134,3,10)&lt;&gt;BA134),"PAN does not match GSTIN; ","")&amp;IF(AND(AX134&lt;&gt;"",AX134&lt;&gt;"OK"),"TAN wrong format; ","")&amp;IF(AS134="","PAN missing; ","")&amp;IF(BB134="","Entity type missing; ","")&amp;IF(AND(AZ134&lt;&gt;"",COUNTIF($AZ$6:$AZ$1005,AZ134)&gt;1),"GSTIN repeated in this sheet; ","")&amp;IF(AND(AS134&lt;&gt;"",COUNTIF($AS$6:$AS$1005,AS134)&gt;1),"PAN repeated in this sheet (same client? put extra GSTINs in Other GSTINs); ","")&amp;IF(AND(BD134&gt;0,V134=""),"Financial year missing; ","")&amp;IF(AND(BD134=0,V134&lt;&gt;""),"Financial year given but no service is Yes; ","")&amp;IF(AND(W134="Yes",AZ134=""),"GST needs a GSTIN; ","")&amp;IF(AND(W134="Yes",X134=""),"GST return frequency missing; ","")&amp;IF(AND(Y134="Yes",TRIM(H134)=""),"TDS needs a TAN; ","")&amp;IF(AND(AA134="Yes",BC134&lt;&gt;"",BC134&lt;&gt;"company",BC134&lt;&gt;"llp"),"ROC is only for a company / LLP; ","")&amp;IF(AND(AA134="Yes",OR(BC134="company",BC134="llp"),TRIM(I134)=""),"ROC needs the CIN / LLPIN; ","")&amp;IF((TRIM(AF134)="")&lt;&gt;(TRIM(AG134)=""),"GST login needs both user ID and password; ","")&amp;IF((TRIM(AH134)="")&lt;&gt;(TRIM(AI134)=""),"Income-tax login needs both user ID and password; ","")&amp;IF((TRIM(AJ134)="")&lt;&gt;(TRIM(AK134)=""),"Income-tax login needs both user ID and password; ","")&amp;IF((TRIM(AL134)="")&lt;&gt;(TRIM(AM134)=""),"TRACES login needs both user ID and password; ","")&amp;IF((TRIM(AN134)="")&lt;&gt;(TRIM(AO134)=""),"MCA login needs both user ID and password; ","")&amp;IF((TRIM(AP134)="")&lt;&gt;(TRIM(AQ134)=""),"E-way bill login needs both user ID and password; ","")</f>
        <v/>
      </c>
    </row>
    <row r="135">
      <c r="A135" s="32" t="n"/>
      <c r="B135" s="33" t="n"/>
      <c r="C135" s="33" t="n"/>
      <c r="D135" s="33" t="n"/>
      <c r="E135" s="32" t="n"/>
      <c r="F135" s="32" t="n"/>
      <c r="G135" s="32" t="n"/>
      <c r="H135" s="32" t="n"/>
      <c r="I135" s="32" t="n"/>
      <c r="J135" s="34" t="n"/>
      <c r="K135" s="33" t="n"/>
      <c r="L135" s="32" t="n"/>
      <c r="M135" s="33" t="n"/>
      <c r="N135" s="33" t="n"/>
      <c r="O135" s="33" t="n"/>
      <c r="P135" s="32" t="n"/>
      <c r="Q135" s="33" t="n"/>
      <c r="R135" s="33" t="n"/>
      <c r="S135" s="33" t="n"/>
      <c r="T135" s="33" t="n"/>
      <c r="U135" s="32" t="n"/>
      <c r="V135" s="33" t="n"/>
      <c r="W135" s="33" t="n"/>
      <c r="X135" s="33" t="n"/>
      <c r="Y135" s="33" t="n"/>
      <c r="Z135" s="33" t="n"/>
      <c r="AA135" s="33" t="n"/>
      <c r="AB135" s="33" t="n"/>
      <c r="AC135" s="33" t="n"/>
      <c r="AD135" s="33" t="n"/>
      <c r="AE135" s="33" t="n"/>
      <c r="AF135" s="32" t="n"/>
      <c r="AG135" s="32" t="n"/>
      <c r="AH135" s="32" t="n"/>
      <c r="AI135" s="32" t="n"/>
      <c r="AJ135" s="32" t="n"/>
      <c r="AK135" s="32" t="n"/>
      <c r="AL135" s="32" t="n"/>
      <c r="AM135" s="32" t="n"/>
      <c r="AN135" s="32" t="n"/>
      <c r="AO135" s="32" t="n"/>
      <c r="AP135" s="32" t="n"/>
      <c r="AQ135" s="32" t="n"/>
      <c r="AR135" s="29">
        <f>IF(NOT(COUNTA(A135:AE135)&gt;0),"",IF(A135="","New client","Update"))</f>
        <v/>
      </c>
      <c r="AS135" s="29">
        <f>IF(BA135&lt;&gt;"",BA135,IF(LEN(AZ135)=15,MID(AZ135,3,10),""))</f>
        <v/>
      </c>
      <c r="AT135" s="29">
        <f>IF(BB135="","",BB135&amp;IF(D135="","  (guessed from PAN)",""))</f>
        <v/>
      </c>
      <c r="AU135" s="29">
        <f>IF(AZ135="","",IFERROR(INDEX(Lists!$L$2:$L$38,MATCH(LEFT(AZ135,2),Lists!$K$2:$K$38,0)),"Unknown code"))</f>
        <v/>
      </c>
      <c r="AV135" s="29">
        <f>IF(AZ135="","",IFERROR(IF(NOT(AND(LEN(AZ135)=15,ISNUMBER(MATCH(LEFT(AZ135,2),Lists!$K$2:$K$38,0)),SUMPRODUCT(--ISERROR(FIND(MID(MID(AZ135,3,10),{1,2,3,4,5,10},1),"ABCDEFGHIJKLMNOPQRSTUVWXYZ")))=0,SUMPRODUCT(--ISERROR(FIND(MID(MID(AZ135,3,10),{6,7,8,9},1),"0123456789")))=0,ISNUMBER(FIND(MID(AZ135,13,1),"123456789ABCDEFGHIJKLMNOPQRSTUVWXYZ")),MID(AZ135,14,1)="Z")),"Wrong format",IF(MID("0123456789ABCDEFGHIJKLMNOPQRSTUVWXYZ",MOD(36-MOD(SUMPRODUCT(INT((FIND(MID(AZ135,{1,2,3,4,5,6,7,8,9,10,11,12,13,14},1),"0123456789ABCDEFGHIJKLMNOPQRSTUVWXYZ")-1)*{1,2,1,2,1,2,1,2,1,2,1,2,1,2}/36)+MOD((FIND(MID(AZ135,{1,2,3,4,5,6,7,8,9,10,11,12,13,14},1),"0123456789ABCDEFGHIJKLMNOPQRSTUVWXYZ")-1)*{1,2,1,2,1,2,1,2,1,2,1,2,1,2},36)),36),36)+1,1)=MID(AZ135,15,1),"OK","Typo? check digit wrong")),"Wrong format"))</f>
        <v/>
      </c>
      <c r="AW135" s="29">
        <f>IF(BA135="","",IF(AND(LEN(BA135)=10,SUMPRODUCT(--ISERROR(FIND(MID(BA135,{1,2,3,4,5,10},1),"ABCDEFGHIJKLMNOPQRSTUVWXYZ")))=0,SUMPRODUCT(--ISERROR(FIND(MID(BA135,{6,7,8,9},1),"0123456789")))=0),"OK","Wrong format"))</f>
        <v/>
      </c>
      <c r="AX135" s="29">
        <f>IF(TRIM(H135)="","",IF(AND(LEN(UPPER(TRIM(H135)))=10,SUMPRODUCT(--ISERROR(FIND(MID(UPPER(TRIM(H135)),{1,2,3,4,10},1),"ABCDEFGHIJKLMNOPQRSTUVWXYZ")))=0,SUMPRODUCT(--ISERROR(FIND(MID(UPPER(TRIM(H135)),{5,6,7,8,9},1),"0123456789")))=0),"OK","Wrong format"))</f>
        <v/>
      </c>
      <c r="AY135" s="30">
        <f>IF(NOT(COUNTA(A135:AE135)&gt;0),"",IF(BE135&lt;&gt;"","✖ "&amp;LEFT(BE135,LEN(BE135)-2),IF(BD135&gt;0,"✔ Ready — client + "&amp;BD135&amp;" service(s)","✔ Ready — client only")))</f>
        <v/>
      </c>
      <c r="AZ135" s="31">
        <f>UPPER(SUBSTITUTE(TRIM(F135)," ",""))</f>
        <v/>
      </c>
      <c r="BA135" s="31">
        <f>UPPER(SUBSTITUTE(TRIM(E135)," ",""))</f>
        <v/>
      </c>
      <c r="BB135" s="31">
        <f>IF(D135&lt;&gt;"",D135,IFERROR(VLOOKUP(MID(AS135,4,1),Lists!$E$2:$F$8,2,FALSE),""))</f>
        <v/>
      </c>
      <c r="BC135" s="31">
        <f>IFERROR(VLOOKUP(BB135,Lists!$A$2:$C$12,3,FALSE),"")</f>
        <v/>
      </c>
      <c r="BD135" s="31">
        <f>COUNTIF(W135:AC135,"Yes")</f>
        <v/>
      </c>
      <c r="BE135" s="31">
        <f>IF(TRIM(B135)="","Legal name missing; ","")&amp;IF(AND(AV135&lt;&gt;"",AV135&lt;&gt;"OK"),"GSTIN: "&amp;AV135&amp;"; ","")&amp;IF(AND(AW135&lt;&gt;"",AW135&lt;&gt;"OK"),"PAN wrong format; ","")&amp;IF(AND(BA135&lt;&gt;"",LEN(AZ135)=15,MID(AZ135,3,10)&lt;&gt;BA135),"PAN does not match GSTIN; ","")&amp;IF(AND(AX135&lt;&gt;"",AX135&lt;&gt;"OK"),"TAN wrong format; ","")&amp;IF(AS135="","PAN missing; ","")&amp;IF(BB135="","Entity type missing; ","")&amp;IF(AND(AZ135&lt;&gt;"",COUNTIF($AZ$6:$AZ$1005,AZ135)&gt;1),"GSTIN repeated in this sheet; ","")&amp;IF(AND(AS135&lt;&gt;"",COUNTIF($AS$6:$AS$1005,AS135)&gt;1),"PAN repeated in this sheet (same client? put extra GSTINs in Other GSTINs); ","")&amp;IF(AND(BD135&gt;0,V135=""),"Financial year missing; ","")&amp;IF(AND(BD135=0,V135&lt;&gt;""),"Financial year given but no service is Yes; ","")&amp;IF(AND(W135="Yes",AZ135=""),"GST needs a GSTIN; ","")&amp;IF(AND(W135="Yes",X135=""),"GST return frequency missing; ","")&amp;IF(AND(Y135="Yes",TRIM(H135)=""),"TDS needs a TAN; ","")&amp;IF(AND(AA135="Yes",BC135&lt;&gt;"",BC135&lt;&gt;"company",BC135&lt;&gt;"llp"),"ROC is only for a company / LLP; ","")&amp;IF(AND(AA135="Yes",OR(BC135="company",BC135="llp"),TRIM(I135)=""),"ROC needs the CIN / LLPIN; ","")&amp;IF((TRIM(AF135)="")&lt;&gt;(TRIM(AG135)=""),"GST login needs both user ID and password; ","")&amp;IF((TRIM(AH135)="")&lt;&gt;(TRIM(AI135)=""),"Income-tax login needs both user ID and password; ","")&amp;IF((TRIM(AJ135)="")&lt;&gt;(TRIM(AK135)=""),"Income-tax login needs both user ID and password; ","")&amp;IF((TRIM(AL135)="")&lt;&gt;(TRIM(AM135)=""),"TRACES login needs both user ID and password; ","")&amp;IF((TRIM(AN135)="")&lt;&gt;(TRIM(AO135)=""),"MCA login needs both user ID and password; ","")&amp;IF((TRIM(AP135)="")&lt;&gt;(TRIM(AQ135)=""),"E-way bill login needs both user ID and password; ","")</f>
        <v/>
      </c>
    </row>
    <row r="136">
      <c r="A136" s="32" t="n"/>
      <c r="B136" s="33" t="n"/>
      <c r="C136" s="33" t="n"/>
      <c r="D136" s="33" t="n"/>
      <c r="E136" s="32" t="n"/>
      <c r="F136" s="32" t="n"/>
      <c r="G136" s="32" t="n"/>
      <c r="H136" s="32" t="n"/>
      <c r="I136" s="32" t="n"/>
      <c r="J136" s="34" t="n"/>
      <c r="K136" s="33" t="n"/>
      <c r="L136" s="32" t="n"/>
      <c r="M136" s="33" t="n"/>
      <c r="N136" s="33" t="n"/>
      <c r="O136" s="33" t="n"/>
      <c r="P136" s="32" t="n"/>
      <c r="Q136" s="33" t="n"/>
      <c r="R136" s="33" t="n"/>
      <c r="S136" s="33" t="n"/>
      <c r="T136" s="33" t="n"/>
      <c r="U136" s="32" t="n"/>
      <c r="V136" s="33" t="n"/>
      <c r="W136" s="33" t="n"/>
      <c r="X136" s="33" t="n"/>
      <c r="Y136" s="33" t="n"/>
      <c r="Z136" s="33" t="n"/>
      <c r="AA136" s="33" t="n"/>
      <c r="AB136" s="33" t="n"/>
      <c r="AC136" s="33" t="n"/>
      <c r="AD136" s="33" t="n"/>
      <c r="AE136" s="33" t="n"/>
      <c r="AF136" s="32" t="n"/>
      <c r="AG136" s="32" t="n"/>
      <c r="AH136" s="32" t="n"/>
      <c r="AI136" s="32" t="n"/>
      <c r="AJ136" s="32" t="n"/>
      <c r="AK136" s="32" t="n"/>
      <c r="AL136" s="32" t="n"/>
      <c r="AM136" s="32" t="n"/>
      <c r="AN136" s="32" t="n"/>
      <c r="AO136" s="32" t="n"/>
      <c r="AP136" s="32" t="n"/>
      <c r="AQ136" s="32" t="n"/>
      <c r="AR136" s="29">
        <f>IF(NOT(COUNTA(A136:AE136)&gt;0),"",IF(A136="","New client","Update"))</f>
        <v/>
      </c>
      <c r="AS136" s="29">
        <f>IF(BA136&lt;&gt;"",BA136,IF(LEN(AZ136)=15,MID(AZ136,3,10),""))</f>
        <v/>
      </c>
      <c r="AT136" s="29">
        <f>IF(BB136="","",BB136&amp;IF(D136="","  (guessed from PAN)",""))</f>
        <v/>
      </c>
      <c r="AU136" s="29">
        <f>IF(AZ136="","",IFERROR(INDEX(Lists!$L$2:$L$38,MATCH(LEFT(AZ136,2),Lists!$K$2:$K$38,0)),"Unknown code"))</f>
        <v/>
      </c>
      <c r="AV136" s="29">
        <f>IF(AZ136="","",IFERROR(IF(NOT(AND(LEN(AZ136)=15,ISNUMBER(MATCH(LEFT(AZ136,2),Lists!$K$2:$K$38,0)),SUMPRODUCT(--ISERROR(FIND(MID(MID(AZ136,3,10),{1,2,3,4,5,10},1),"ABCDEFGHIJKLMNOPQRSTUVWXYZ")))=0,SUMPRODUCT(--ISERROR(FIND(MID(MID(AZ136,3,10),{6,7,8,9},1),"0123456789")))=0,ISNUMBER(FIND(MID(AZ136,13,1),"123456789ABCDEFGHIJKLMNOPQRSTUVWXYZ")),MID(AZ136,14,1)="Z")),"Wrong format",IF(MID("0123456789ABCDEFGHIJKLMNOPQRSTUVWXYZ",MOD(36-MOD(SUMPRODUCT(INT((FIND(MID(AZ136,{1,2,3,4,5,6,7,8,9,10,11,12,13,14},1),"0123456789ABCDEFGHIJKLMNOPQRSTUVWXYZ")-1)*{1,2,1,2,1,2,1,2,1,2,1,2,1,2}/36)+MOD((FIND(MID(AZ136,{1,2,3,4,5,6,7,8,9,10,11,12,13,14},1),"0123456789ABCDEFGHIJKLMNOPQRSTUVWXYZ")-1)*{1,2,1,2,1,2,1,2,1,2,1,2,1,2},36)),36),36)+1,1)=MID(AZ136,15,1),"OK","Typo? check digit wrong")),"Wrong format"))</f>
        <v/>
      </c>
      <c r="AW136" s="29">
        <f>IF(BA136="","",IF(AND(LEN(BA136)=10,SUMPRODUCT(--ISERROR(FIND(MID(BA136,{1,2,3,4,5,10},1),"ABCDEFGHIJKLMNOPQRSTUVWXYZ")))=0,SUMPRODUCT(--ISERROR(FIND(MID(BA136,{6,7,8,9},1),"0123456789")))=0),"OK","Wrong format"))</f>
        <v/>
      </c>
      <c r="AX136" s="29">
        <f>IF(TRIM(H136)="","",IF(AND(LEN(UPPER(TRIM(H136)))=10,SUMPRODUCT(--ISERROR(FIND(MID(UPPER(TRIM(H136)),{1,2,3,4,10},1),"ABCDEFGHIJKLMNOPQRSTUVWXYZ")))=0,SUMPRODUCT(--ISERROR(FIND(MID(UPPER(TRIM(H136)),{5,6,7,8,9},1),"0123456789")))=0),"OK","Wrong format"))</f>
        <v/>
      </c>
      <c r="AY136" s="30">
        <f>IF(NOT(COUNTA(A136:AE136)&gt;0),"",IF(BE136&lt;&gt;"","✖ "&amp;LEFT(BE136,LEN(BE136)-2),IF(BD136&gt;0,"✔ Ready — client + "&amp;BD136&amp;" service(s)","✔ Ready — client only")))</f>
        <v/>
      </c>
      <c r="AZ136" s="31">
        <f>UPPER(SUBSTITUTE(TRIM(F136)," ",""))</f>
        <v/>
      </c>
      <c r="BA136" s="31">
        <f>UPPER(SUBSTITUTE(TRIM(E136)," ",""))</f>
        <v/>
      </c>
      <c r="BB136" s="31">
        <f>IF(D136&lt;&gt;"",D136,IFERROR(VLOOKUP(MID(AS136,4,1),Lists!$E$2:$F$8,2,FALSE),""))</f>
        <v/>
      </c>
      <c r="BC136" s="31">
        <f>IFERROR(VLOOKUP(BB136,Lists!$A$2:$C$12,3,FALSE),"")</f>
        <v/>
      </c>
      <c r="BD136" s="31">
        <f>COUNTIF(W136:AC136,"Yes")</f>
        <v/>
      </c>
      <c r="BE136" s="31">
        <f>IF(TRIM(B136)="","Legal name missing; ","")&amp;IF(AND(AV136&lt;&gt;"",AV136&lt;&gt;"OK"),"GSTIN: "&amp;AV136&amp;"; ","")&amp;IF(AND(AW136&lt;&gt;"",AW136&lt;&gt;"OK"),"PAN wrong format; ","")&amp;IF(AND(BA136&lt;&gt;"",LEN(AZ136)=15,MID(AZ136,3,10)&lt;&gt;BA136),"PAN does not match GSTIN; ","")&amp;IF(AND(AX136&lt;&gt;"",AX136&lt;&gt;"OK"),"TAN wrong format; ","")&amp;IF(AS136="","PAN missing; ","")&amp;IF(BB136="","Entity type missing; ","")&amp;IF(AND(AZ136&lt;&gt;"",COUNTIF($AZ$6:$AZ$1005,AZ136)&gt;1),"GSTIN repeated in this sheet; ","")&amp;IF(AND(AS136&lt;&gt;"",COUNTIF($AS$6:$AS$1005,AS136)&gt;1),"PAN repeated in this sheet (same client? put extra GSTINs in Other GSTINs); ","")&amp;IF(AND(BD136&gt;0,V136=""),"Financial year missing; ","")&amp;IF(AND(BD136=0,V136&lt;&gt;""),"Financial year given but no service is Yes; ","")&amp;IF(AND(W136="Yes",AZ136=""),"GST needs a GSTIN; ","")&amp;IF(AND(W136="Yes",X136=""),"GST return frequency missing; ","")&amp;IF(AND(Y136="Yes",TRIM(H136)=""),"TDS needs a TAN; ","")&amp;IF(AND(AA136="Yes",BC136&lt;&gt;"",BC136&lt;&gt;"company",BC136&lt;&gt;"llp"),"ROC is only for a company / LLP; ","")&amp;IF(AND(AA136="Yes",OR(BC136="company",BC136="llp"),TRIM(I136)=""),"ROC needs the CIN / LLPIN; ","")&amp;IF((TRIM(AF136)="")&lt;&gt;(TRIM(AG136)=""),"GST login needs both user ID and password; ","")&amp;IF((TRIM(AH136)="")&lt;&gt;(TRIM(AI136)=""),"Income-tax login needs both user ID and password; ","")&amp;IF((TRIM(AJ136)="")&lt;&gt;(TRIM(AK136)=""),"Income-tax login needs both user ID and password; ","")&amp;IF((TRIM(AL136)="")&lt;&gt;(TRIM(AM136)=""),"TRACES login needs both user ID and password; ","")&amp;IF((TRIM(AN136)="")&lt;&gt;(TRIM(AO136)=""),"MCA login needs both user ID and password; ","")&amp;IF((TRIM(AP136)="")&lt;&gt;(TRIM(AQ136)=""),"E-way bill login needs both user ID and password; ","")</f>
        <v/>
      </c>
    </row>
    <row r="137">
      <c r="A137" s="32" t="n"/>
      <c r="B137" s="33" t="n"/>
      <c r="C137" s="33" t="n"/>
      <c r="D137" s="33" t="n"/>
      <c r="E137" s="32" t="n"/>
      <c r="F137" s="32" t="n"/>
      <c r="G137" s="32" t="n"/>
      <c r="H137" s="32" t="n"/>
      <c r="I137" s="32" t="n"/>
      <c r="J137" s="34" t="n"/>
      <c r="K137" s="33" t="n"/>
      <c r="L137" s="32" t="n"/>
      <c r="M137" s="33" t="n"/>
      <c r="N137" s="33" t="n"/>
      <c r="O137" s="33" t="n"/>
      <c r="P137" s="32" t="n"/>
      <c r="Q137" s="33" t="n"/>
      <c r="R137" s="33" t="n"/>
      <c r="S137" s="33" t="n"/>
      <c r="T137" s="33" t="n"/>
      <c r="U137" s="32" t="n"/>
      <c r="V137" s="33" t="n"/>
      <c r="W137" s="33" t="n"/>
      <c r="X137" s="33" t="n"/>
      <c r="Y137" s="33" t="n"/>
      <c r="Z137" s="33" t="n"/>
      <c r="AA137" s="33" t="n"/>
      <c r="AB137" s="33" t="n"/>
      <c r="AC137" s="33" t="n"/>
      <c r="AD137" s="33" t="n"/>
      <c r="AE137" s="33" t="n"/>
      <c r="AF137" s="32" t="n"/>
      <c r="AG137" s="32" t="n"/>
      <c r="AH137" s="32" t="n"/>
      <c r="AI137" s="32" t="n"/>
      <c r="AJ137" s="32" t="n"/>
      <c r="AK137" s="32" t="n"/>
      <c r="AL137" s="32" t="n"/>
      <c r="AM137" s="32" t="n"/>
      <c r="AN137" s="32" t="n"/>
      <c r="AO137" s="32" t="n"/>
      <c r="AP137" s="32" t="n"/>
      <c r="AQ137" s="32" t="n"/>
      <c r="AR137" s="29">
        <f>IF(NOT(COUNTA(A137:AE137)&gt;0),"",IF(A137="","New client","Update"))</f>
        <v/>
      </c>
      <c r="AS137" s="29">
        <f>IF(BA137&lt;&gt;"",BA137,IF(LEN(AZ137)=15,MID(AZ137,3,10),""))</f>
        <v/>
      </c>
      <c r="AT137" s="29">
        <f>IF(BB137="","",BB137&amp;IF(D137="","  (guessed from PAN)",""))</f>
        <v/>
      </c>
      <c r="AU137" s="29">
        <f>IF(AZ137="","",IFERROR(INDEX(Lists!$L$2:$L$38,MATCH(LEFT(AZ137,2),Lists!$K$2:$K$38,0)),"Unknown code"))</f>
        <v/>
      </c>
      <c r="AV137" s="29">
        <f>IF(AZ137="","",IFERROR(IF(NOT(AND(LEN(AZ137)=15,ISNUMBER(MATCH(LEFT(AZ137,2),Lists!$K$2:$K$38,0)),SUMPRODUCT(--ISERROR(FIND(MID(MID(AZ137,3,10),{1,2,3,4,5,10},1),"ABCDEFGHIJKLMNOPQRSTUVWXYZ")))=0,SUMPRODUCT(--ISERROR(FIND(MID(MID(AZ137,3,10),{6,7,8,9},1),"0123456789")))=0,ISNUMBER(FIND(MID(AZ137,13,1),"123456789ABCDEFGHIJKLMNOPQRSTUVWXYZ")),MID(AZ137,14,1)="Z")),"Wrong format",IF(MID("0123456789ABCDEFGHIJKLMNOPQRSTUVWXYZ",MOD(36-MOD(SUMPRODUCT(INT((FIND(MID(AZ137,{1,2,3,4,5,6,7,8,9,10,11,12,13,14},1),"0123456789ABCDEFGHIJKLMNOPQRSTUVWXYZ")-1)*{1,2,1,2,1,2,1,2,1,2,1,2,1,2}/36)+MOD((FIND(MID(AZ137,{1,2,3,4,5,6,7,8,9,10,11,12,13,14},1),"0123456789ABCDEFGHIJKLMNOPQRSTUVWXYZ")-1)*{1,2,1,2,1,2,1,2,1,2,1,2,1,2},36)),36),36)+1,1)=MID(AZ137,15,1),"OK","Typo? check digit wrong")),"Wrong format"))</f>
        <v/>
      </c>
      <c r="AW137" s="29">
        <f>IF(BA137="","",IF(AND(LEN(BA137)=10,SUMPRODUCT(--ISERROR(FIND(MID(BA137,{1,2,3,4,5,10},1),"ABCDEFGHIJKLMNOPQRSTUVWXYZ")))=0,SUMPRODUCT(--ISERROR(FIND(MID(BA137,{6,7,8,9},1),"0123456789")))=0),"OK","Wrong format"))</f>
        <v/>
      </c>
      <c r="AX137" s="29">
        <f>IF(TRIM(H137)="","",IF(AND(LEN(UPPER(TRIM(H137)))=10,SUMPRODUCT(--ISERROR(FIND(MID(UPPER(TRIM(H137)),{1,2,3,4,10},1),"ABCDEFGHIJKLMNOPQRSTUVWXYZ")))=0,SUMPRODUCT(--ISERROR(FIND(MID(UPPER(TRIM(H137)),{5,6,7,8,9},1),"0123456789")))=0),"OK","Wrong format"))</f>
        <v/>
      </c>
      <c r="AY137" s="30">
        <f>IF(NOT(COUNTA(A137:AE137)&gt;0),"",IF(BE137&lt;&gt;"","✖ "&amp;LEFT(BE137,LEN(BE137)-2),IF(BD137&gt;0,"✔ Ready — client + "&amp;BD137&amp;" service(s)","✔ Ready — client only")))</f>
        <v/>
      </c>
      <c r="AZ137" s="31">
        <f>UPPER(SUBSTITUTE(TRIM(F137)," ",""))</f>
        <v/>
      </c>
      <c r="BA137" s="31">
        <f>UPPER(SUBSTITUTE(TRIM(E137)," ",""))</f>
        <v/>
      </c>
      <c r="BB137" s="31">
        <f>IF(D137&lt;&gt;"",D137,IFERROR(VLOOKUP(MID(AS137,4,1),Lists!$E$2:$F$8,2,FALSE),""))</f>
        <v/>
      </c>
      <c r="BC137" s="31">
        <f>IFERROR(VLOOKUP(BB137,Lists!$A$2:$C$12,3,FALSE),"")</f>
        <v/>
      </c>
      <c r="BD137" s="31">
        <f>COUNTIF(W137:AC137,"Yes")</f>
        <v/>
      </c>
      <c r="BE137" s="31">
        <f>IF(TRIM(B137)="","Legal name missing; ","")&amp;IF(AND(AV137&lt;&gt;"",AV137&lt;&gt;"OK"),"GSTIN: "&amp;AV137&amp;"; ","")&amp;IF(AND(AW137&lt;&gt;"",AW137&lt;&gt;"OK"),"PAN wrong format; ","")&amp;IF(AND(BA137&lt;&gt;"",LEN(AZ137)=15,MID(AZ137,3,10)&lt;&gt;BA137),"PAN does not match GSTIN; ","")&amp;IF(AND(AX137&lt;&gt;"",AX137&lt;&gt;"OK"),"TAN wrong format; ","")&amp;IF(AS137="","PAN missing; ","")&amp;IF(BB137="","Entity type missing; ","")&amp;IF(AND(AZ137&lt;&gt;"",COUNTIF($AZ$6:$AZ$1005,AZ137)&gt;1),"GSTIN repeated in this sheet; ","")&amp;IF(AND(AS137&lt;&gt;"",COUNTIF($AS$6:$AS$1005,AS137)&gt;1),"PAN repeated in this sheet (same client? put extra GSTINs in Other GSTINs); ","")&amp;IF(AND(BD137&gt;0,V137=""),"Financial year missing; ","")&amp;IF(AND(BD137=0,V137&lt;&gt;""),"Financial year given but no service is Yes; ","")&amp;IF(AND(W137="Yes",AZ137=""),"GST needs a GSTIN; ","")&amp;IF(AND(W137="Yes",X137=""),"GST return frequency missing; ","")&amp;IF(AND(Y137="Yes",TRIM(H137)=""),"TDS needs a TAN; ","")&amp;IF(AND(AA137="Yes",BC137&lt;&gt;"",BC137&lt;&gt;"company",BC137&lt;&gt;"llp"),"ROC is only for a company / LLP; ","")&amp;IF(AND(AA137="Yes",OR(BC137="company",BC137="llp"),TRIM(I137)=""),"ROC needs the CIN / LLPIN; ","")&amp;IF((TRIM(AF137)="")&lt;&gt;(TRIM(AG137)=""),"GST login needs both user ID and password; ","")&amp;IF((TRIM(AH137)="")&lt;&gt;(TRIM(AI137)=""),"Income-tax login needs both user ID and password; ","")&amp;IF((TRIM(AJ137)="")&lt;&gt;(TRIM(AK137)=""),"Income-tax login needs both user ID and password; ","")&amp;IF((TRIM(AL137)="")&lt;&gt;(TRIM(AM137)=""),"TRACES login needs both user ID and password; ","")&amp;IF((TRIM(AN137)="")&lt;&gt;(TRIM(AO137)=""),"MCA login needs both user ID and password; ","")&amp;IF((TRIM(AP137)="")&lt;&gt;(TRIM(AQ137)=""),"E-way bill login needs both user ID and password; ","")</f>
        <v/>
      </c>
    </row>
    <row r="138">
      <c r="A138" s="32" t="n"/>
      <c r="B138" s="33" t="n"/>
      <c r="C138" s="33" t="n"/>
      <c r="D138" s="33" t="n"/>
      <c r="E138" s="32" t="n"/>
      <c r="F138" s="32" t="n"/>
      <c r="G138" s="32" t="n"/>
      <c r="H138" s="32" t="n"/>
      <c r="I138" s="32" t="n"/>
      <c r="J138" s="34" t="n"/>
      <c r="K138" s="33" t="n"/>
      <c r="L138" s="32" t="n"/>
      <c r="M138" s="33" t="n"/>
      <c r="N138" s="33" t="n"/>
      <c r="O138" s="33" t="n"/>
      <c r="P138" s="32" t="n"/>
      <c r="Q138" s="33" t="n"/>
      <c r="R138" s="33" t="n"/>
      <c r="S138" s="33" t="n"/>
      <c r="T138" s="33" t="n"/>
      <c r="U138" s="32" t="n"/>
      <c r="V138" s="33" t="n"/>
      <c r="W138" s="33" t="n"/>
      <c r="X138" s="33" t="n"/>
      <c r="Y138" s="33" t="n"/>
      <c r="Z138" s="33" t="n"/>
      <c r="AA138" s="33" t="n"/>
      <c r="AB138" s="33" t="n"/>
      <c r="AC138" s="33" t="n"/>
      <c r="AD138" s="33" t="n"/>
      <c r="AE138" s="33" t="n"/>
      <c r="AF138" s="32" t="n"/>
      <c r="AG138" s="32" t="n"/>
      <c r="AH138" s="32" t="n"/>
      <c r="AI138" s="32" t="n"/>
      <c r="AJ138" s="32" t="n"/>
      <c r="AK138" s="32" t="n"/>
      <c r="AL138" s="32" t="n"/>
      <c r="AM138" s="32" t="n"/>
      <c r="AN138" s="32" t="n"/>
      <c r="AO138" s="32" t="n"/>
      <c r="AP138" s="32" t="n"/>
      <c r="AQ138" s="32" t="n"/>
      <c r="AR138" s="29">
        <f>IF(NOT(COUNTA(A138:AE138)&gt;0),"",IF(A138="","New client","Update"))</f>
        <v/>
      </c>
      <c r="AS138" s="29">
        <f>IF(BA138&lt;&gt;"",BA138,IF(LEN(AZ138)=15,MID(AZ138,3,10),""))</f>
        <v/>
      </c>
      <c r="AT138" s="29">
        <f>IF(BB138="","",BB138&amp;IF(D138="","  (guessed from PAN)",""))</f>
        <v/>
      </c>
      <c r="AU138" s="29">
        <f>IF(AZ138="","",IFERROR(INDEX(Lists!$L$2:$L$38,MATCH(LEFT(AZ138,2),Lists!$K$2:$K$38,0)),"Unknown code"))</f>
        <v/>
      </c>
      <c r="AV138" s="29">
        <f>IF(AZ138="","",IFERROR(IF(NOT(AND(LEN(AZ138)=15,ISNUMBER(MATCH(LEFT(AZ138,2),Lists!$K$2:$K$38,0)),SUMPRODUCT(--ISERROR(FIND(MID(MID(AZ138,3,10),{1,2,3,4,5,10},1),"ABCDEFGHIJKLMNOPQRSTUVWXYZ")))=0,SUMPRODUCT(--ISERROR(FIND(MID(MID(AZ138,3,10),{6,7,8,9},1),"0123456789")))=0,ISNUMBER(FIND(MID(AZ138,13,1),"123456789ABCDEFGHIJKLMNOPQRSTUVWXYZ")),MID(AZ138,14,1)="Z")),"Wrong format",IF(MID("0123456789ABCDEFGHIJKLMNOPQRSTUVWXYZ",MOD(36-MOD(SUMPRODUCT(INT((FIND(MID(AZ138,{1,2,3,4,5,6,7,8,9,10,11,12,13,14},1),"0123456789ABCDEFGHIJKLMNOPQRSTUVWXYZ")-1)*{1,2,1,2,1,2,1,2,1,2,1,2,1,2}/36)+MOD((FIND(MID(AZ138,{1,2,3,4,5,6,7,8,9,10,11,12,13,14},1),"0123456789ABCDEFGHIJKLMNOPQRSTUVWXYZ")-1)*{1,2,1,2,1,2,1,2,1,2,1,2,1,2},36)),36),36)+1,1)=MID(AZ138,15,1),"OK","Typo? check digit wrong")),"Wrong format"))</f>
        <v/>
      </c>
      <c r="AW138" s="29">
        <f>IF(BA138="","",IF(AND(LEN(BA138)=10,SUMPRODUCT(--ISERROR(FIND(MID(BA138,{1,2,3,4,5,10},1),"ABCDEFGHIJKLMNOPQRSTUVWXYZ")))=0,SUMPRODUCT(--ISERROR(FIND(MID(BA138,{6,7,8,9},1),"0123456789")))=0),"OK","Wrong format"))</f>
        <v/>
      </c>
      <c r="AX138" s="29">
        <f>IF(TRIM(H138)="","",IF(AND(LEN(UPPER(TRIM(H138)))=10,SUMPRODUCT(--ISERROR(FIND(MID(UPPER(TRIM(H138)),{1,2,3,4,10},1),"ABCDEFGHIJKLMNOPQRSTUVWXYZ")))=0,SUMPRODUCT(--ISERROR(FIND(MID(UPPER(TRIM(H138)),{5,6,7,8,9},1),"0123456789")))=0),"OK","Wrong format"))</f>
        <v/>
      </c>
      <c r="AY138" s="30">
        <f>IF(NOT(COUNTA(A138:AE138)&gt;0),"",IF(BE138&lt;&gt;"","✖ "&amp;LEFT(BE138,LEN(BE138)-2),IF(BD138&gt;0,"✔ Ready — client + "&amp;BD138&amp;" service(s)","✔ Ready — client only")))</f>
        <v/>
      </c>
      <c r="AZ138" s="31">
        <f>UPPER(SUBSTITUTE(TRIM(F138)," ",""))</f>
        <v/>
      </c>
      <c r="BA138" s="31">
        <f>UPPER(SUBSTITUTE(TRIM(E138)," ",""))</f>
        <v/>
      </c>
      <c r="BB138" s="31">
        <f>IF(D138&lt;&gt;"",D138,IFERROR(VLOOKUP(MID(AS138,4,1),Lists!$E$2:$F$8,2,FALSE),""))</f>
        <v/>
      </c>
      <c r="BC138" s="31">
        <f>IFERROR(VLOOKUP(BB138,Lists!$A$2:$C$12,3,FALSE),"")</f>
        <v/>
      </c>
      <c r="BD138" s="31">
        <f>COUNTIF(W138:AC138,"Yes")</f>
        <v/>
      </c>
      <c r="BE138" s="31">
        <f>IF(TRIM(B138)="","Legal name missing; ","")&amp;IF(AND(AV138&lt;&gt;"",AV138&lt;&gt;"OK"),"GSTIN: "&amp;AV138&amp;"; ","")&amp;IF(AND(AW138&lt;&gt;"",AW138&lt;&gt;"OK"),"PAN wrong format; ","")&amp;IF(AND(BA138&lt;&gt;"",LEN(AZ138)=15,MID(AZ138,3,10)&lt;&gt;BA138),"PAN does not match GSTIN; ","")&amp;IF(AND(AX138&lt;&gt;"",AX138&lt;&gt;"OK"),"TAN wrong format; ","")&amp;IF(AS138="","PAN missing; ","")&amp;IF(BB138="","Entity type missing; ","")&amp;IF(AND(AZ138&lt;&gt;"",COUNTIF($AZ$6:$AZ$1005,AZ138)&gt;1),"GSTIN repeated in this sheet; ","")&amp;IF(AND(AS138&lt;&gt;"",COUNTIF($AS$6:$AS$1005,AS138)&gt;1),"PAN repeated in this sheet (same client? put extra GSTINs in Other GSTINs); ","")&amp;IF(AND(BD138&gt;0,V138=""),"Financial year missing; ","")&amp;IF(AND(BD138=0,V138&lt;&gt;""),"Financial year given but no service is Yes; ","")&amp;IF(AND(W138="Yes",AZ138=""),"GST needs a GSTIN; ","")&amp;IF(AND(W138="Yes",X138=""),"GST return frequency missing; ","")&amp;IF(AND(Y138="Yes",TRIM(H138)=""),"TDS needs a TAN; ","")&amp;IF(AND(AA138="Yes",BC138&lt;&gt;"",BC138&lt;&gt;"company",BC138&lt;&gt;"llp"),"ROC is only for a company / LLP; ","")&amp;IF(AND(AA138="Yes",OR(BC138="company",BC138="llp"),TRIM(I138)=""),"ROC needs the CIN / LLPIN; ","")&amp;IF((TRIM(AF138)="")&lt;&gt;(TRIM(AG138)=""),"GST login needs both user ID and password; ","")&amp;IF((TRIM(AH138)="")&lt;&gt;(TRIM(AI138)=""),"Income-tax login needs both user ID and password; ","")&amp;IF((TRIM(AJ138)="")&lt;&gt;(TRIM(AK138)=""),"Income-tax login needs both user ID and password; ","")&amp;IF((TRIM(AL138)="")&lt;&gt;(TRIM(AM138)=""),"TRACES login needs both user ID and password; ","")&amp;IF((TRIM(AN138)="")&lt;&gt;(TRIM(AO138)=""),"MCA login needs both user ID and password; ","")&amp;IF((TRIM(AP138)="")&lt;&gt;(TRIM(AQ138)=""),"E-way bill login needs both user ID and password; ","")</f>
        <v/>
      </c>
    </row>
    <row r="139">
      <c r="A139" s="32" t="n"/>
      <c r="B139" s="33" t="n"/>
      <c r="C139" s="33" t="n"/>
      <c r="D139" s="33" t="n"/>
      <c r="E139" s="32" t="n"/>
      <c r="F139" s="32" t="n"/>
      <c r="G139" s="32" t="n"/>
      <c r="H139" s="32" t="n"/>
      <c r="I139" s="32" t="n"/>
      <c r="J139" s="34" t="n"/>
      <c r="K139" s="33" t="n"/>
      <c r="L139" s="32" t="n"/>
      <c r="M139" s="33" t="n"/>
      <c r="N139" s="33" t="n"/>
      <c r="O139" s="33" t="n"/>
      <c r="P139" s="32" t="n"/>
      <c r="Q139" s="33" t="n"/>
      <c r="R139" s="33" t="n"/>
      <c r="S139" s="33" t="n"/>
      <c r="T139" s="33" t="n"/>
      <c r="U139" s="32" t="n"/>
      <c r="V139" s="33" t="n"/>
      <c r="W139" s="33" t="n"/>
      <c r="X139" s="33" t="n"/>
      <c r="Y139" s="33" t="n"/>
      <c r="Z139" s="33" t="n"/>
      <c r="AA139" s="33" t="n"/>
      <c r="AB139" s="33" t="n"/>
      <c r="AC139" s="33" t="n"/>
      <c r="AD139" s="33" t="n"/>
      <c r="AE139" s="33" t="n"/>
      <c r="AF139" s="32" t="n"/>
      <c r="AG139" s="32" t="n"/>
      <c r="AH139" s="32" t="n"/>
      <c r="AI139" s="32" t="n"/>
      <c r="AJ139" s="32" t="n"/>
      <c r="AK139" s="32" t="n"/>
      <c r="AL139" s="32" t="n"/>
      <c r="AM139" s="32" t="n"/>
      <c r="AN139" s="32" t="n"/>
      <c r="AO139" s="32" t="n"/>
      <c r="AP139" s="32" t="n"/>
      <c r="AQ139" s="32" t="n"/>
      <c r="AR139" s="29">
        <f>IF(NOT(COUNTA(A139:AE139)&gt;0),"",IF(A139="","New client","Update"))</f>
        <v/>
      </c>
      <c r="AS139" s="29">
        <f>IF(BA139&lt;&gt;"",BA139,IF(LEN(AZ139)=15,MID(AZ139,3,10),""))</f>
        <v/>
      </c>
      <c r="AT139" s="29">
        <f>IF(BB139="","",BB139&amp;IF(D139="","  (guessed from PAN)",""))</f>
        <v/>
      </c>
      <c r="AU139" s="29">
        <f>IF(AZ139="","",IFERROR(INDEX(Lists!$L$2:$L$38,MATCH(LEFT(AZ139,2),Lists!$K$2:$K$38,0)),"Unknown code"))</f>
        <v/>
      </c>
      <c r="AV139" s="29">
        <f>IF(AZ139="","",IFERROR(IF(NOT(AND(LEN(AZ139)=15,ISNUMBER(MATCH(LEFT(AZ139,2),Lists!$K$2:$K$38,0)),SUMPRODUCT(--ISERROR(FIND(MID(MID(AZ139,3,10),{1,2,3,4,5,10},1),"ABCDEFGHIJKLMNOPQRSTUVWXYZ")))=0,SUMPRODUCT(--ISERROR(FIND(MID(MID(AZ139,3,10),{6,7,8,9},1),"0123456789")))=0,ISNUMBER(FIND(MID(AZ139,13,1),"123456789ABCDEFGHIJKLMNOPQRSTUVWXYZ")),MID(AZ139,14,1)="Z")),"Wrong format",IF(MID("0123456789ABCDEFGHIJKLMNOPQRSTUVWXYZ",MOD(36-MOD(SUMPRODUCT(INT((FIND(MID(AZ139,{1,2,3,4,5,6,7,8,9,10,11,12,13,14},1),"0123456789ABCDEFGHIJKLMNOPQRSTUVWXYZ")-1)*{1,2,1,2,1,2,1,2,1,2,1,2,1,2}/36)+MOD((FIND(MID(AZ139,{1,2,3,4,5,6,7,8,9,10,11,12,13,14},1),"0123456789ABCDEFGHIJKLMNOPQRSTUVWXYZ")-1)*{1,2,1,2,1,2,1,2,1,2,1,2,1,2},36)),36),36)+1,1)=MID(AZ139,15,1),"OK","Typo? check digit wrong")),"Wrong format"))</f>
        <v/>
      </c>
      <c r="AW139" s="29">
        <f>IF(BA139="","",IF(AND(LEN(BA139)=10,SUMPRODUCT(--ISERROR(FIND(MID(BA139,{1,2,3,4,5,10},1),"ABCDEFGHIJKLMNOPQRSTUVWXYZ")))=0,SUMPRODUCT(--ISERROR(FIND(MID(BA139,{6,7,8,9},1),"0123456789")))=0),"OK","Wrong format"))</f>
        <v/>
      </c>
      <c r="AX139" s="29">
        <f>IF(TRIM(H139)="","",IF(AND(LEN(UPPER(TRIM(H139)))=10,SUMPRODUCT(--ISERROR(FIND(MID(UPPER(TRIM(H139)),{1,2,3,4,10},1),"ABCDEFGHIJKLMNOPQRSTUVWXYZ")))=0,SUMPRODUCT(--ISERROR(FIND(MID(UPPER(TRIM(H139)),{5,6,7,8,9},1),"0123456789")))=0),"OK","Wrong format"))</f>
        <v/>
      </c>
      <c r="AY139" s="30">
        <f>IF(NOT(COUNTA(A139:AE139)&gt;0),"",IF(BE139&lt;&gt;"","✖ "&amp;LEFT(BE139,LEN(BE139)-2),IF(BD139&gt;0,"✔ Ready — client + "&amp;BD139&amp;" service(s)","✔ Ready — client only")))</f>
        <v/>
      </c>
      <c r="AZ139" s="31">
        <f>UPPER(SUBSTITUTE(TRIM(F139)," ",""))</f>
        <v/>
      </c>
      <c r="BA139" s="31">
        <f>UPPER(SUBSTITUTE(TRIM(E139)," ",""))</f>
        <v/>
      </c>
      <c r="BB139" s="31">
        <f>IF(D139&lt;&gt;"",D139,IFERROR(VLOOKUP(MID(AS139,4,1),Lists!$E$2:$F$8,2,FALSE),""))</f>
        <v/>
      </c>
      <c r="BC139" s="31">
        <f>IFERROR(VLOOKUP(BB139,Lists!$A$2:$C$12,3,FALSE),"")</f>
        <v/>
      </c>
      <c r="BD139" s="31">
        <f>COUNTIF(W139:AC139,"Yes")</f>
        <v/>
      </c>
      <c r="BE139" s="31">
        <f>IF(TRIM(B139)="","Legal name missing; ","")&amp;IF(AND(AV139&lt;&gt;"",AV139&lt;&gt;"OK"),"GSTIN: "&amp;AV139&amp;"; ","")&amp;IF(AND(AW139&lt;&gt;"",AW139&lt;&gt;"OK"),"PAN wrong format; ","")&amp;IF(AND(BA139&lt;&gt;"",LEN(AZ139)=15,MID(AZ139,3,10)&lt;&gt;BA139),"PAN does not match GSTIN; ","")&amp;IF(AND(AX139&lt;&gt;"",AX139&lt;&gt;"OK"),"TAN wrong format; ","")&amp;IF(AS139="","PAN missing; ","")&amp;IF(BB139="","Entity type missing; ","")&amp;IF(AND(AZ139&lt;&gt;"",COUNTIF($AZ$6:$AZ$1005,AZ139)&gt;1),"GSTIN repeated in this sheet; ","")&amp;IF(AND(AS139&lt;&gt;"",COUNTIF($AS$6:$AS$1005,AS139)&gt;1),"PAN repeated in this sheet (same client? put extra GSTINs in Other GSTINs); ","")&amp;IF(AND(BD139&gt;0,V139=""),"Financial year missing; ","")&amp;IF(AND(BD139=0,V139&lt;&gt;""),"Financial year given but no service is Yes; ","")&amp;IF(AND(W139="Yes",AZ139=""),"GST needs a GSTIN; ","")&amp;IF(AND(W139="Yes",X139=""),"GST return frequency missing; ","")&amp;IF(AND(Y139="Yes",TRIM(H139)=""),"TDS needs a TAN; ","")&amp;IF(AND(AA139="Yes",BC139&lt;&gt;"",BC139&lt;&gt;"company",BC139&lt;&gt;"llp"),"ROC is only for a company / LLP; ","")&amp;IF(AND(AA139="Yes",OR(BC139="company",BC139="llp"),TRIM(I139)=""),"ROC needs the CIN / LLPIN; ","")&amp;IF((TRIM(AF139)="")&lt;&gt;(TRIM(AG139)=""),"GST login needs both user ID and password; ","")&amp;IF((TRIM(AH139)="")&lt;&gt;(TRIM(AI139)=""),"Income-tax login needs both user ID and password; ","")&amp;IF((TRIM(AJ139)="")&lt;&gt;(TRIM(AK139)=""),"Income-tax login needs both user ID and password; ","")&amp;IF((TRIM(AL139)="")&lt;&gt;(TRIM(AM139)=""),"TRACES login needs both user ID and password; ","")&amp;IF((TRIM(AN139)="")&lt;&gt;(TRIM(AO139)=""),"MCA login needs both user ID and password; ","")&amp;IF((TRIM(AP139)="")&lt;&gt;(TRIM(AQ139)=""),"E-way bill login needs both user ID and password; ","")</f>
        <v/>
      </c>
    </row>
    <row r="140">
      <c r="A140" s="32" t="n"/>
      <c r="B140" s="33" t="n"/>
      <c r="C140" s="33" t="n"/>
      <c r="D140" s="33" t="n"/>
      <c r="E140" s="32" t="n"/>
      <c r="F140" s="32" t="n"/>
      <c r="G140" s="32" t="n"/>
      <c r="H140" s="32" t="n"/>
      <c r="I140" s="32" t="n"/>
      <c r="J140" s="34" t="n"/>
      <c r="K140" s="33" t="n"/>
      <c r="L140" s="32" t="n"/>
      <c r="M140" s="33" t="n"/>
      <c r="N140" s="33" t="n"/>
      <c r="O140" s="33" t="n"/>
      <c r="P140" s="32" t="n"/>
      <c r="Q140" s="33" t="n"/>
      <c r="R140" s="33" t="n"/>
      <c r="S140" s="33" t="n"/>
      <c r="T140" s="33" t="n"/>
      <c r="U140" s="32" t="n"/>
      <c r="V140" s="33" t="n"/>
      <c r="W140" s="33" t="n"/>
      <c r="X140" s="33" t="n"/>
      <c r="Y140" s="33" t="n"/>
      <c r="Z140" s="33" t="n"/>
      <c r="AA140" s="33" t="n"/>
      <c r="AB140" s="33" t="n"/>
      <c r="AC140" s="33" t="n"/>
      <c r="AD140" s="33" t="n"/>
      <c r="AE140" s="33" t="n"/>
      <c r="AF140" s="32" t="n"/>
      <c r="AG140" s="32" t="n"/>
      <c r="AH140" s="32" t="n"/>
      <c r="AI140" s="32" t="n"/>
      <c r="AJ140" s="32" t="n"/>
      <c r="AK140" s="32" t="n"/>
      <c r="AL140" s="32" t="n"/>
      <c r="AM140" s="32" t="n"/>
      <c r="AN140" s="32" t="n"/>
      <c r="AO140" s="32" t="n"/>
      <c r="AP140" s="32" t="n"/>
      <c r="AQ140" s="32" t="n"/>
      <c r="AR140" s="29">
        <f>IF(NOT(COUNTA(A140:AE140)&gt;0),"",IF(A140="","New client","Update"))</f>
        <v/>
      </c>
      <c r="AS140" s="29">
        <f>IF(BA140&lt;&gt;"",BA140,IF(LEN(AZ140)=15,MID(AZ140,3,10),""))</f>
        <v/>
      </c>
      <c r="AT140" s="29">
        <f>IF(BB140="","",BB140&amp;IF(D140="","  (guessed from PAN)",""))</f>
        <v/>
      </c>
      <c r="AU140" s="29">
        <f>IF(AZ140="","",IFERROR(INDEX(Lists!$L$2:$L$38,MATCH(LEFT(AZ140,2),Lists!$K$2:$K$38,0)),"Unknown code"))</f>
        <v/>
      </c>
      <c r="AV140" s="29">
        <f>IF(AZ140="","",IFERROR(IF(NOT(AND(LEN(AZ140)=15,ISNUMBER(MATCH(LEFT(AZ140,2),Lists!$K$2:$K$38,0)),SUMPRODUCT(--ISERROR(FIND(MID(MID(AZ140,3,10),{1,2,3,4,5,10},1),"ABCDEFGHIJKLMNOPQRSTUVWXYZ")))=0,SUMPRODUCT(--ISERROR(FIND(MID(MID(AZ140,3,10),{6,7,8,9},1),"0123456789")))=0,ISNUMBER(FIND(MID(AZ140,13,1),"123456789ABCDEFGHIJKLMNOPQRSTUVWXYZ")),MID(AZ140,14,1)="Z")),"Wrong format",IF(MID("0123456789ABCDEFGHIJKLMNOPQRSTUVWXYZ",MOD(36-MOD(SUMPRODUCT(INT((FIND(MID(AZ140,{1,2,3,4,5,6,7,8,9,10,11,12,13,14},1),"0123456789ABCDEFGHIJKLMNOPQRSTUVWXYZ")-1)*{1,2,1,2,1,2,1,2,1,2,1,2,1,2}/36)+MOD((FIND(MID(AZ140,{1,2,3,4,5,6,7,8,9,10,11,12,13,14},1),"0123456789ABCDEFGHIJKLMNOPQRSTUVWXYZ")-1)*{1,2,1,2,1,2,1,2,1,2,1,2,1,2},36)),36),36)+1,1)=MID(AZ140,15,1),"OK","Typo? check digit wrong")),"Wrong format"))</f>
        <v/>
      </c>
      <c r="AW140" s="29">
        <f>IF(BA140="","",IF(AND(LEN(BA140)=10,SUMPRODUCT(--ISERROR(FIND(MID(BA140,{1,2,3,4,5,10},1),"ABCDEFGHIJKLMNOPQRSTUVWXYZ")))=0,SUMPRODUCT(--ISERROR(FIND(MID(BA140,{6,7,8,9},1),"0123456789")))=0),"OK","Wrong format"))</f>
        <v/>
      </c>
      <c r="AX140" s="29">
        <f>IF(TRIM(H140)="","",IF(AND(LEN(UPPER(TRIM(H140)))=10,SUMPRODUCT(--ISERROR(FIND(MID(UPPER(TRIM(H140)),{1,2,3,4,10},1),"ABCDEFGHIJKLMNOPQRSTUVWXYZ")))=0,SUMPRODUCT(--ISERROR(FIND(MID(UPPER(TRIM(H140)),{5,6,7,8,9},1),"0123456789")))=0),"OK","Wrong format"))</f>
        <v/>
      </c>
      <c r="AY140" s="30">
        <f>IF(NOT(COUNTA(A140:AE140)&gt;0),"",IF(BE140&lt;&gt;"","✖ "&amp;LEFT(BE140,LEN(BE140)-2),IF(BD140&gt;0,"✔ Ready — client + "&amp;BD140&amp;" service(s)","✔ Ready — client only")))</f>
        <v/>
      </c>
      <c r="AZ140" s="31">
        <f>UPPER(SUBSTITUTE(TRIM(F140)," ",""))</f>
        <v/>
      </c>
      <c r="BA140" s="31">
        <f>UPPER(SUBSTITUTE(TRIM(E140)," ",""))</f>
        <v/>
      </c>
      <c r="BB140" s="31">
        <f>IF(D140&lt;&gt;"",D140,IFERROR(VLOOKUP(MID(AS140,4,1),Lists!$E$2:$F$8,2,FALSE),""))</f>
        <v/>
      </c>
      <c r="BC140" s="31">
        <f>IFERROR(VLOOKUP(BB140,Lists!$A$2:$C$12,3,FALSE),"")</f>
        <v/>
      </c>
      <c r="BD140" s="31">
        <f>COUNTIF(W140:AC140,"Yes")</f>
        <v/>
      </c>
      <c r="BE140" s="31">
        <f>IF(TRIM(B140)="","Legal name missing; ","")&amp;IF(AND(AV140&lt;&gt;"",AV140&lt;&gt;"OK"),"GSTIN: "&amp;AV140&amp;"; ","")&amp;IF(AND(AW140&lt;&gt;"",AW140&lt;&gt;"OK"),"PAN wrong format; ","")&amp;IF(AND(BA140&lt;&gt;"",LEN(AZ140)=15,MID(AZ140,3,10)&lt;&gt;BA140),"PAN does not match GSTIN; ","")&amp;IF(AND(AX140&lt;&gt;"",AX140&lt;&gt;"OK"),"TAN wrong format; ","")&amp;IF(AS140="","PAN missing; ","")&amp;IF(BB140="","Entity type missing; ","")&amp;IF(AND(AZ140&lt;&gt;"",COUNTIF($AZ$6:$AZ$1005,AZ140)&gt;1),"GSTIN repeated in this sheet; ","")&amp;IF(AND(AS140&lt;&gt;"",COUNTIF($AS$6:$AS$1005,AS140)&gt;1),"PAN repeated in this sheet (same client? put extra GSTINs in Other GSTINs); ","")&amp;IF(AND(BD140&gt;0,V140=""),"Financial year missing; ","")&amp;IF(AND(BD140=0,V140&lt;&gt;""),"Financial year given but no service is Yes; ","")&amp;IF(AND(W140="Yes",AZ140=""),"GST needs a GSTIN; ","")&amp;IF(AND(W140="Yes",X140=""),"GST return frequency missing; ","")&amp;IF(AND(Y140="Yes",TRIM(H140)=""),"TDS needs a TAN; ","")&amp;IF(AND(AA140="Yes",BC140&lt;&gt;"",BC140&lt;&gt;"company",BC140&lt;&gt;"llp"),"ROC is only for a company / LLP; ","")&amp;IF(AND(AA140="Yes",OR(BC140="company",BC140="llp"),TRIM(I140)=""),"ROC needs the CIN / LLPIN; ","")&amp;IF((TRIM(AF140)="")&lt;&gt;(TRIM(AG140)=""),"GST login needs both user ID and password; ","")&amp;IF((TRIM(AH140)="")&lt;&gt;(TRIM(AI140)=""),"Income-tax login needs both user ID and password; ","")&amp;IF((TRIM(AJ140)="")&lt;&gt;(TRIM(AK140)=""),"Income-tax login needs both user ID and password; ","")&amp;IF((TRIM(AL140)="")&lt;&gt;(TRIM(AM140)=""),"TRACES login needs both user ID and password; ","")&amp;IF((TRIM(AN140)="")&lt;&gt;(TRIM(AO140)=""),"MCA login needs both user ID and password; ","")&amp;IF((TRIM(AP140)="")&lt;&gt;(TRIM(AQ140)=""),"E-way bill login needs both user ID and password; ","")</f>
        <v/>
      </c>
    </row>
    <row r="141">
      <c r="A141" s="32" t="n"/>
      <c r="B141" s="33" t="n"/>
      <c r="C141" s="33" t="n"/>
      <c r="D141" s="33" t="n"/>
      <c r="E141" s="32" t="n"/>
      <c r="F141" s="32" t="n"/>
      <c r="G141" s="32" t="n"/>
      <c r="H141" s="32" t="n"/>
      <c r="I141" s="32" t="n"/>
      <c r="J141" s="34" t="n"/>
      <c r="K141" s="33" t="n"/>
      <c r="L141" s="32" t="n"/>
      <c r="M141" s="33" t="n"/>
      <c r="N141" s="33" t="n"/>
      <c r="O141" s="33" t="n"/>
      <c r="P141" s="32" t="n"/>
      <c r="Q141" s="33" t="n"/>
      <c r="R141" s="33" t="n"/>
      <c r="S141" s="33" t="n"/>
      <c r="T141" s="33" t="n"/>
      <c r="U141" s="32" t="n"/>
      <c r="V141" s="33" t="n"/>
      <c r="W141" s="33" t="n"/>
      <c r="X141" s="33" t="n"/>
      <c r="Y141" s="33" t="n"/>
      <c r="Z141" s="33" t="n"/>
      <c r="AA141" s="33" t="n"/>
      <c r="AB141" s="33" t="n"/>
      <c r="AC141" s="33" t="n"/>
      <c r="AD141" s="33" t="n"/>
      <c r="AE141" s="33" t="n"/>
      <c r="AF141" s="32" t="n"/>
      <c r="AG141" s="32" t="n"/>
      <c r="AH141" s="32" t="n"/>
      <c r="AI141" s="32" t="n"/>
      <c r="AJ141" s="32" t="n"/>
      <c r="AK141" s="32" t="n"/>
      <c r="AL141" s="32" t="n"/>
      <c r="AM141" s="32" t="n"/>
      <c r="AN141" s="32" t="n"/>
      <c r="AO141" s="32" t="n"/>
      <c r="AP141" s="32" t="n"/>
      <c r="AQ141" s="32" t="n"/>
      <c r="AR141" s="29">
        <f>IF(NOT(COUNTA(A141:AE141)&gt;0),"",IF(A141="","New client","Update"))</f>
        <v/>
      </c>
      <c r="AS141" s="29">
        <f>IF(BA141&lt;&gt;"",BA141,IF(LEN(AZ141)=15,MID(AZ141,3,10),""))</f>
        <v/>
      </c>
      <c r="AT141" s="29">
        <f>IF(BB141="","",BB141&amp;IF(D141="","  (guessed from PAN)",""))</f>
        <v/>
      </c>
      <c r="AU141" s="29">
        <f>IF(AZ141="","",IFERROR(INDEX(Lists!$L$2:$L$38,MATCH(LEFT(AZ141,2),Lists!$K$2:$K$38,0)),"Unknown code"))</f>
        <v/>
      </c>
      <c r="AV141" s="29">
        <f>IF(AZ141="","",IFERROR(IF(NOT(AND(LEN(AZ141)=15,ISNUMBER(MATCH(LEFT(AZ141,2),Lists!$K$2:$K$38,0)),SUMPRODUCT(--ISERROR(FIND(MID(MID(AZ141,3,10),{1,2,3,4,5,10},1),"ABCDEFGHIJKLMNOPQRSTUVWXYZ")))=0,SUMPRODUCT(--ISERROR(FIND(MID(MID(AZ141,3,10),{6,7,8,9},1),"0123456789")))=0,ISNUMBER(FIND(MID(AZ141,13,1),"123456789ABCDEFGHIJKLMNOPQRSTUVWXYZ")),MID(AZ141,14,1)="Z")),"Wrong format",IF(MID("0123456789ABCDEFGHIJKLMNOPQRSTUVWXYZ",MOD(36-MOD(SUMPRODUCT(INT((FIND(MID(AZ141,{1,2,3,4,5,6,7,8,9,10,11,12,13,14},1),"0123456789ABCDEFGHIJKLMNOPQRSTUVWXYZ")-1)*{1,2,1,2,1,2,1,2,1,2,1,2,1,2}/36)+MOD((FIND(MID(AZ141,{1,2,3,4,5,6,7,8,9,10,11,12,13,14},1),"0123456789ABCDEFGHIJKLMNOPQRSTUVWXYZ")-1)*{1,2,1,2,1,2,1,2,1,2,1,2,1,2},36)),36),36)+1,1)=MID(AZ141,15,1),"OK","Typo? check digit wrong")),"Wrong format"))</f>
        <v/>
      </c>
      <c r="AW141" s="29">
        <f>IF(BA141="","",IF(AND(LEN(BA141)=10,SUMPRODUCT(--ISERROR(FIND(MID(BA141,{1,2,3,4,5,10},1),"ABCDEFGHIJKLMNOPQRSTUVWXYZ")))=0,SUMPRODUCT(--ISERROR(FIND(MID(BA141,{6,7,8,9},1),"0123456789")))=0),"OK","Wrong format"))</f>
        <v/>
      </c>
      <c r="AX141" s="29">
        <f>IF(TRIM(H141)="","",IF(AND(LEN(UPPER(TRIM(H141)))=10,SUMPRODUCT(--ISERROR(FIND(MID(UPPER(TRIM(H141)),{1,2,3,4,10},1),"ABCDEFGHIJKLMNOPQRSTUVWXYZ")))=0,SUMPRODUCT(--ISERROR(FIND(MID(UPPER(TRIM(H141)),{5,6,7,8,9},1),"0123456789")))=0),"OK","Wrong format"))</f>
        <v/>
      </c>
      <c r="AY141" s="30">
        <f>IF(NOT(COUNTA(A141:AE141)&gt;0),"",IF(BE141&lt;&gt;"","✖ "&amp;LEFT(BE141,LEN(BE141)-2),IF(BD141&gt;0,"✔ Ready — client + "&amp;BD141&amp;" service(s)","✔ Ready — client only")))</f>
        <v/>
      </c>
      <c r="AZ141" s="31">
        <f>UPPER(SUBSTITUTE(TRIM(F141)," ",""))</f>
        <v/>
      </c>
      <c r="BA141" s="31">
        <f>UPPER(SUBSTITUTE(TRIM(E141)," ",""))</f>
        <v/>
      </c>
      <c r="BB141" s="31">
        <f>IF(D141&lt;&gt;"",D141,IFERROR(VLOOKUP(MID(AS141,4,1),Lists!$E$2:$F$8,2,FALSE),""))</f>
        <v/>
      </c>
      <c r="BC141" s="31">
        <f>IFERROR(VLOOKUP(BB141,Lists!$A$2:$C$12,3,FALSE),"")</f>
        <v/>
      </c>
      <c r="BD141" s="31">
        <f>COUNTIF(W141:AC141,"Yes")</f>
        <v/>
      </c>
      <c r="BE141" s="31">
        <f>IF(TRIM(B141)="","Legal name missing; ","")&amp;IF(AND(AV141&lt;&gt;"",AV141&lt;&gt;"OK"),"GSTIN: "&amp;AV141&amp;"; ","")&amp;IF(AND(AW141&lt;&gt;"",AW141&lt;&gt;"OK"),"PAN wrong format; ","")&amp;IF(AND(BA141&lt;&gt;"",LEN(AZ141)=15,MID(AZ141,3,10)&lt;&gt;BA141),"PAN does not match GSTIN; ","")&amp;IF(AND(AX141&lt;&gt;"",AX141&lt;&gt;"OK"),"TAN wrong format; ","")&amp;IF(AS141="","PAN missing; ","")&amp;IF(BB141="","Entity type missing; ","")&amp;IF(AND(AZ141&lt;&gt;"",COUNTIF($AZ$6:$AZ$1005,AZ141)&gt;1),"GSTIN repeated in this sheet; ","")&amp;IF(AND(AS141&lt;&gt;"",COUNTIF($AS$6:$AS$1005,AS141)&gt;1),"PAN repeated in this sheet (same client? put extra GSTINs in Other GSTINs); ","")&amp;IF(AND(BD141&gt;0,V141=""),"Financial year missing; ","")&amp;IF(AND(BD141=0,V141&lt;&gt;""),"Financial year given but no service is Yes; ","")&amp;IF(AND(W141="Yes",AZ141=""),"GST needs a GSTIN; ","")&amp;IF(AND(W141="Yes",X141=""),"GST return frequency missing; ","")&amp;IF(AND(Y141="Yes",TRIM(H141)=""),"TDS needs a TAN; ","")&amp;IF(AND(AA141="Yes",BC141&lt;&gt;"",BC141&lt;&gt;"company",BC141&lt;&gt;"llp"),"ROC is only for a company / LLP; ","")&amp;IF(AND(AA141="Yes",OR(BC141="company",BC141="llp"),TRIM(I141)=""),"ROC needs the CIN / LLPIN; ","")&amp;IF((TRIM(AF141)="")&lt;&gt;(TRIM(AG141)=""),"GST login needs both user ID and password; ","")&amp;IF((TRIM(AH141)="")&lt;&gt;(TRIM(AI141)=""),"Income-tax login needs both user ID and password; ","")&amp;IF((TRIM(AJ141)="")&lt;&gt;(TRIM(AK141)=""),"Income-tax login needs both user ID and password; ","")&amp;IF((TRIM(AL141)="")&lt;&gt;(TRIM(AM141)=""),"TRACES login needs both user ID and password; ","")&amp;IF((TRIM(AN141)="")&lt;&gt;(TRIM(AO141)=""),"MCA login needs both user ID and password; ","")&amp;IF((TRIM(AP141)="")&lt;&gt;(TRIM(AQ141)=""),"E-way bill login needs both user ID and password; ","")</f>
        <v/>
      </c>
    </row>
    <row r="142">
      <c r="A142" s="32" t="n"/>
      <c r="B142" s="33" t="n"/>
      <c r="C142" s="33" t="n"/>
      <c r="D142" s="33" t="n"/>
      <c r="E142" s="32" t="n"/>
      <c r="F142" s="32" t="n"/>
      <c r="G142" s="32" t="n"/>
      <c r="H142" s="32" t="n"/>
      <c r="I142" s="32" t="n"/>
      <c r="J142" s="34" t="n"/>
      <c r="K142" s="33" t="n"/>
      <c r="L142" s="32" t="n"/>
      <c r="M142" s="33" t="n"/>
      <c r="N142" s="33" t="n"/>
      <c r="O142" s="33" t="n"/>
      <c r="P142" s="32" t="n"/>
      <c r="Q142" s="33" t="n"/>
      <c r="R142" s="33" t="n"/>
      <c r="S142" s="33" t="n"/>
      <c r="T142" s="33" t="n"/>
      <c r="U142" s="32" t="n"/>
      <c r="V142" s="33" t="n"/>
      <c r="W142" s="33" t="n"/>
      <c r="X142" s="33" t="n"/>
      <c r="Y142" s="33" t="n"/>
      <c r="Z142" s="33" t="n"/>
      <c r="AA142" s="33" t="n"/>
      <c r="AB142" s="33" t="n"/>
      <c r="AC142" s="33" t="n"/>
      <c r="AD142" s="33" t="n"/>
      <c r="AE142" s="33" t="n"/>
      <c r="AF142" s="32" t="n"/>
      <c r="AG142" s="32" t="n"/>
      <c r="AH142" s="32" t="n"/>
      <c r="AI142" s="32" t="n"/>
      <c r="AJ142" s="32" t="n"/>
      <c r="AK142" s="32" t="n"/>
      <c r="AL142" s="32" t="n"/>
      <c r="AM142" s="32" t="n"/>
      <c r="AN142" s="32" t="n"/>
      <c r="AO142" s="32" t="n"/>
      <c r="AP142" s="32" t="n"/>
      <c r="AQ142" s="32" t="n"/>
      <c r="AR142" s="29">
        <f>IF(NOT(COUNTA(A142:AE142)&gt;0),"",IF(A142="","New client","Update"))</f>
        <v/>
      </c>
      <c r="AS142" s="29">
        <f>IF(BA142&lt;&gt;"",BA142,IF(LEN(AZ142)=15,MID(AZ142,3,10),""))</f>
        <v/>
      </c>
      <c r="AT142" s="29">
        <f>IF(BB142="","",BB142&amp;IF(D142="","  (guessed from PAN)",""))</f>
        <v/>
      </c>
      <c r="AU142" s="29">
        <f>IF(AZ142="","",IFERROR(INDEX(Lists!$L$2:$L$38,MATCH(LEFT(AZ142,2),Lists!$K$2:$K$38,0)),"Unknown code"))</f>
        <v/>
      </c>
      <c r="AV142" s="29">
        <f>IF(AZ142="","",IFERROR(IF(NOT(AND(LEN(AZ142)=15,ISNUMBER(MATCH(LEFT(AZ142,2),Lists!$K$2:$K$38,0)),SUMPRODUCT(--ISERROR(FIND(MID(MID(AZ142,3,10),{1,2,3,4,5,10},1),"ABCDEFGHIJKLMNOPQRSTUVWXYZ")))=0,SUMPRODUCT(--ISERROR(FIND(MID(MID(AZ142,3,10),{6,7,8,9},1),"0123456789")))=0,ISNUMBER(FIND(MID(AZ142,13,1),"123456789ABCDEFGHIJKLMNOPQRSTUVWXYZ")),MID(AZ142,14,1)="Z")),"Wrong format",IF(MID("0123456789ABCDEFGHIJKLMNOPQRSTUVWXYZ",MOD(36-MOD(SUMPRODUCT(INT((FIND(MID(AZ142,{1,2,3,4,5,6,7,8,9,10,11,12,13,14},1),"0123456789ABCDEFGHIJKLMNOPQRSTUVWXYZ")-1)*{1,2,1,2,1,2,1,2,1,2,1,2,1,2}/36)+MOD((FIND(MID(AZ142,{1,2,3,4,5,6,7,8,9,10,11,12,13,14},1),"0123456789ABCDEFGHIJKLMNOPQRSTUVWXYZ")-1)*{1,2,1,2,1,2,1,2,1,2,1,2,1,2},36)),36),36)+1,1)=MID(AZ142,15,1),"OK","Typo? check digit wrong")),"Wrong format"))</f>
        <v/>
      </c>
      <c r="AW142" s="29">
        <f>IF(BA142="","",IF(AND(LEN(BA142)=10,SUMPRODUCT(--ISERROR(FIND(MID(BA142,{1,2,3,4,5,10},1),"ABCDEFGHIJKLMNOPQRSTUVWXYZ")))=0,SUMPRODUCT(--ISERROR(FIND(MID(BA142,{6,7,8,9},1),"0123456789")))=0),"OK","Wrong format"))</f>
        <v/>
      </c>
      <c r="AX142" s="29">
        <f>IF(TRIM(H142)="","",IF(AND(LEN(UPPER(TRIM(H142)))=10,SUMPRODUCT(--ISERROR(FIND(MID(UPPER(TRIM(H142)),{1,2,3,4,10},1),"ABCDEFGHIJKLMNOPQRSTUVWXYZ")))=0,SUMPRODUCT(--ISERROR(FIND(MID(UPPER(TRIM(H142)),{5,6,7,8,9},1),"0123456789")))=0),"OK","Wrong format"))</f>
        <v/>
      </c>
      <c r="AY142" s="30">
        <f>IF(NOT(COUNTA(A142:AE142)&gt;0),"",IF(BE142&lt;&gt;"","✖ "&amp;LEFT(BE142,LEN(BE142)-2),IF(BD142&gt;0,"✔ Ready — client + "&amp;BD142&amp;" service(s)","✔ Ready — client only")))</f>
        <v/>
      </c>
      <c r="AZ142" s="31">
        <f>UPPER(SUBSTITUTE(TRIM(F142)," ",""))</f>
        <v/>
      </c>
      <c r="BA142" s="31">
        <f>UPPER(SUBSTITUTE(TRIM(E142)," ",""))</f>
        <v/>
      </c>
      <c r="BB142" s="31">
        <f>IF(D142&lt;&gt;"",D142,IFERROR(VLOOKUP(MID(AS142,4,1),Lists!$E$2:$F$8,2,FALSE),""))</f>
        <v/>
      </c>
      <c r="BC142" s="31">
        <f>IFERROR(VLOOKUP(BB142,Lists!$A$2:$C$12,3,FALSE),"")</f>
        <v/>
      </c>
      <c r="BD142" s="31">
        <f>COUNTIF(W142:AC142,"Yes")</f>
        <v/>
      </c>
      <c r="BE142" s="31">
        <f>IF(TRIM(B142)="","Legal name missing; ","")&amp;IF(AND(AV142&lt;&gt;"",AV142&lt;&gt;"OK"),"GSTIN: "&amp;AV142&amp;"; ","")&amp;IF(AND(AW142&lt;&gt;"",AW142&lt;&gt;"OK"),"PAN wrong format; ","")&amp;IF(AND(BA142&lt;&gt;"",LEN(AZ142)=15,MID(AZ142,3,10)&lt;&gt;BA142),"PAN does not match GSTIN; ","")&amp;IF(AND(AX142&lt;&gt;"",AX142&lt;&gt;"OK"),"TAN wrong format; ","")&amp;IF(AS142="","PAN missing; ","")&amp;IF(BB142="","Entity type missing; ","")&amp;IF(AND(AZ142&lt;&gt;"",COUNTIF($AZ$6:$AZ$1005,AZ142)&gt;1),"GSTIN repeated in this sheet; ","")&amp;IF(AND(AS142&lt;&gt;"",COUNTIF($AS$6:$AS$1005,AS142)&gt;1),"PAN repeated in this sheet (same client? put extra GSTINs in Other GSTINs); ","")&amp;IF(AND(BD142&gt;0,V142=""),"Financial year missing; ","")&amp;IF(AND(BD142=0,V142&lt;&gt;""),"Financial year given but no service is Yes; ","")&amp;IF(AND(W142="Yes",AZ142=""),"GST needs a GSTIN; ","")&amp;IF(AND(W142="Yes",X142=""),"GST return frequency missing; ","")&amp;IF(AND(Y142="Yes",TRIM(H142)=""),"TDS needs a TAN; ","")&amp;IF(AND(AA142="Yes",BC142&lt;&gt;"",BC142&lt;&gt;"company",BC142&lt;&gt;"llp"),"ROC is only for a company / LLP; ","")&amp;IF(AND(AA142="Yes",OR(BC142="company",BC142="llp"),TRIM(I142)=""),"ROC needs the CIN / LLPIN; ","")&amp;IF((TRIM(AF142)="")&lt;&gt;(TRIM(AG142)=""),"GST login needs both user ID and password; ","")&amp;IF((TRIM(AH142)="")&lt;&gt;(TRIM(AI142)=""),"Income-tax login needs both user ID and password; ","")&amp;IF((TRIM(AJ142)="")&lt;&gt;(TRIM(AK142)=""),"Income-tax login needs both user ID and password; ","")&amp;IF((TRIM(AL142)="")&lt;&gt;(TRIM(AM142)=""),"TRACES login needs both user ID and password; ","")&amp;IF((TRIM(AN142)="")&lt;&gt;(TRIM(AO142)=""),"MCA login needs both user ID and password; ","")&amp;IF((TRIM(AP142)="")&lt;&gt;(TRIM(AQ142)=""),"E-way bill login needs both user ID and password; ","")</f>
        <v/>
      </c>
    </row>
    <row r="143">
      <c r="A143" s="32" t="n"/>
      <c r="B143" s="33" t="n"/>
      <c r="C143" s="33" t="n"/>
      <c r="D143" s="33" t="n"/>
      <c r="E143" s="32" t="n"/>
      <c r="F143" s="32" t="n"/>
      <c r="G143" s="32" t="n"/>
      <c r="H143" s="32" t="n"/>
      <c r="I143" s="32" t="n"/>
      <c r="J143" s="34" t="n"/>
      <c r="K143" s="33" t="n"/>
      <c r="L143" s="32" t="n"/>
      <c r="M143" s="33" t="n"/>
      <c r="N143" s="33" t="n"/>
      <c r="O143" s="33" t="n"/>
      <c r="P143" s="32" t="n"/>
      <c r="Q143" s="33" t="n"/>
      <c r="R143" s="33" t="n"/>
      <c r="S143" s="33" t="n"/>
      <c r="T143" s="33" t="n"/>
      <c r="U143" s="32" t="n"/>
      <c r="V143" s="33" t="n"/>
      <c r="W143" s="33" t="n"/>
      <c r="X143" s="33" t="n"/>
      <c r="Y143" s="33" t="n"/>
      <c r="Z143" s="33" t="n"/>
      <c r="AA143" s="33" t="n"/>
      <c r="AB143" s="33" t="n"/>
      <c r="AC143" s="33" t="n"/>
      <c r="AD143" s="33" t="n"/>
      <c r="AE143" s="33" t="n"/>
      <c r="AF143" s="32" t="n"/>
      <c r="AG143" s="32" t="n"/>
      <c r="AH143" s="32" t="n"/>
      <c r="AI143" s="32" t="n"/>
      <c r="AJ143" s="32" t="n"/>
      <c r="AK143" s="32" t="n"/>
      <c r="AL143" s="32" t="n"/>
      <c r="AM143" s="32" t="n"/>
      <c r="AN143" s="32" t="n"/>
      <c r="AO143" s="32" t="n"/>
      <c r="AP143" s="32" t="n"/>
      <c r="AQ143" s="32" t="n"/>
      <c r="AR143" s="29">
        <f>IF(NOT(COUNTA(A143:AE143)&gt;0),"",IF(A143="","New client","Update"))</f>
        <v/>
      </c>
      <c r="AS143" s="29">
        <f>IF(BA143&lt;&gt;"",BA143,IF(LEN(AZ143)=15,MID(AZ143,3,10),""))</f>
        <v/>
      </c>
      <c r="AT143" s="29">
        <f>IF(BB143="","",BB143&amp;IF(D143="","  (guessed from PAN)",""))</f>
        <v/>
      </c>
      <c r="AU143" s="29">
        <f>IF(AZ143="","",IFERROR(INDEX(Lists!$L$2:$L$38,MATCH(LEFT(AZ143,2),Lists!$K$2:$K$38,0)),"Unknown code"))</f>
        <v/>
      </c>
      <c r="AV143" s="29">
        <f>IF(AZ143="","",IFERROR(IF(NOT(AND(LEN(AZ143)=15,ISNUMBER(MATCH(LEFT(AZ143,2),Lists!$K$2:$K$38,0)),SUMPRODUCT(--ISERROR(FIND(MID(MID(AZ143,3,10),{1,2,3,4,5,10},1),"ABCDEFGHIJKLMNOPQRSTUVWXYZ")))=0,SUMPRODUCT(--ISERROR(FIND(MID(MID(AZ143,3,10),{6,7,8,9},1),"0123456789")))=0,ISNUMBER(FIND(MID(AZ143,13,1),"123456789ABCDEFGHIJKLMNOPQRSTUVWXYZ")),MID(AZ143,14,1)="Z")),"Wrong format",IF(MID("0123456789ABCDEFGHIJKLMNOPQRSTUVWXYZ",MOD(36-MOD(SUMPRODUCT(INT((FIND(MID(AZ143,{1,2,3,4,5,6,7,8,9,10,11,12,13,14},1),"0123456789ABCDEFGHIJKLMNOPQRSTUVWXYZ")-1)*{1,2,1,2,1,2,1,2,1,2,1,2,1,2}/36)+MOD((FIND(MID(AZ143,{1,2,3,4,5,6,7,8,9,10,11,12,13,14},1),"0123456789ABCDEFGHIJKLMNOPQRSTUVWXYZ")-1)*{1,2,1,2,1,2,1,2,1,2,1,2,1,2},36)),36),36)+1,1)=MID(AZ143,15,1),"OK","Typo? check digit wrong")),"Wrong format"))</f>
        <v/>
      </c>
      <c r="AW143" s="29">
        <f>IF(BA143="","",IF(AND(LEN(BA143)=10,SUMPRODUCT(--ISERROR(FIND(MID(BA143,{1,2,3,4,5,10},1),"ABCDEFGHIJKLMNOPQRSTUVWXYZ")))=0,SUMPRODUCT(--ISERROR(FIND(MID(BA143,{6,7,8,9},1),"0123456789")))=0),"OK","Wrong format"))</f>
        <v/>
      </c>
      <c r="AX143" s="29">
        <f>IF(TRIM(H143)="","",IF(AND(LEN(UPPER(TRIM(H143)))=10,SUMPRODUCT(--ISERROR(FIND(MID(UPPER(TRIM(H143)),{1,2,3,4,10},1),"ABCDEFGHIJKLMNOPQRSTUVWXYZ")))=0,SUMPRODUCT(--ISERROR(FIND(MID(UPPER(TRIM(H143)),{5,6,7,8,9},1),"0123456789")))=0),"OK","Wrong format"))</f>
        <v/>
      </c>
      <c r="AY143" s="30">
        <f>IF(NOT(COUNTA(A143:AE143)&gt;0),"",IF(BE143&lt;&gt;"","✖ "&amp;LEFT(BE143,LEN(BE143)-2),IF(BD143&gt;0,"✔ Ready — client + "&amp;BD143&amp;" service(s)","✔ Ready — client only")))</f>
        <v/>
      </c>
      <c r="AZ143" s="31">
        <f>UPPER(SUBSTITUTE(TRIM(F143)," ",""))</f>
        <v/>
      </c>
      <c r="BA143" s="31">
        <f>UPPER(SUBSTITUTE(TRIM(E143)," ",""))</f>
        <v/>
      </c>
      <c r="BB143" s="31">
        <f>IF(D143&lt;&gt;"",D143,IFERROR(VLOOKUP(MID(AS143,4,1),Lists!$E$2:$F$8,2,FALSE),""))</f>
        <v/>
      </c>
      <c r="BC143" s="31">
        <f>IFERROR(VLOOKUP(BB143,Lists!$A$2:$C$12,3,FALSE),"")</f>
        <v/>
      </c>
      <c r="BD143" s="31">
        <f>COUNTIF(W143:AC143,"Yes")</f>
        <v/>
      </c>
      <c r="BE143" s="31">
        <f>IF(TRIM(B143)="","Legal name missing; ","")&amp;IF(AND(AV143&lt;&gt;"",AV143&lt;&gt;"OK"),"GSTIN: "&amp;AV143&amp;"; ","")&amp;IF(AND(AW143&lt;&gt;"",AW143&lt;&gt;"OK"),"PAN wrong format; ","")&amp;IF(AND(BA143&lt;&gt;"",LEN(AZ143)=15,MID(AZ143,3,10)&lt;&gt;BA143),"PAN does not match GSTIN; ","")&amp;IF(AND(AX143&lt;&gt;"",AX143&lt;&gt;"OK"),"TAN wrong format; ","")&amp;IF(AS143="","PAN missing; ","")&amp;IF(BB143="","Entity type missing; ","")&amp;IF(AND(AZ143&lt;&gt;"",COUNTIF($AZ$6:$AZ$1005,AZ143)&gt;1),"GSTIN repeated in this sheet; ","")&amp;IF(AND(AS143&lt;&gt;"",COUNTIF($AS$6:$AS$1005,AS143)&gt;1),"PAN repeated in this sheet (same client? put extra GSTINs in Other GSTINs); ","")&amp;IF(AND(BD143&gt;0,V143=""),"Financial year missing; ","")&amp;IF(AND(BD143=0,V143&lt;&gt;""),"Financial year given but no service is Yes; ","")&amp;IF(AND(W143="Yes",AZ143=""),"GST needs a GSTIN; ","")&amp;IF(AND(W143="Yes",X143=""),"GST return frequency missing; ","")&amp;IF(AND(Y143="Yes",TRIM(H143)=""),"TDS needs a TAN; ","")&amp;IF(AND(AA143="Yes",BC143&lt;&gt;"",BC143&lt;&gt;"company",BC143&lt;&gt;"llp"),"ROC is only for a company / LLP; ","")&amp;IF(AND(AA143="Yes",OR(BC143="company",BC143="llp"),TRIM(I143)=""),"ROC needs the CIN / LLPIN; ","")&amp;IF((TRIM(AF143)="")&lt;&gt;(TRIM(AG143)=""),"GST login needs both user ID and password; ","")&amp;IF((TRIM(AH143)="")&lt;&gt;(TRIM(AI143)=""),"Income-tax login needs both user ID and password; ","")&amp;IF((TRIM(AJ143)="")&lt;&gt;(TRIM(AK143)=""),"Income-tax login needs both user ID and password; ","")&amp;IF((TRIM(AL143)="")&lt;&gt;(TRIM(AM143)=""),"TRACES login needs both user ID and password; ","")&amp;IF((TRIM(AN143)="")&lt;&gt;(TRIM(AO143)=""),"MCA login needs both user ID and password; ","")&amp;IF((TRIM(AP143)="")&lt;&gt;(TRIM(AQ143)=""),"E-way bill login needs both user ID and password; ","")</f>
        <v/>
      </c>
    </row>
    <row r="144">
      <c r="A144" s="32" t="n"/>
      <c r="B144" s="33" t="n"/>
      <c r="C144" s="33" t="n"/>
      <c r="D144" s="33" t="n"/>
      <c r="E144" s="32" t="n"/>
      <c r="F144" s="32" t="n"/>
      <c r="G144" s="32" t="n"/>
      <c r="H144" s="32" t="n"/>
      <c r="I144" s="32" t="n"/>
      <c r="J144" s="34" t="n"/>
      <c r="K144" s="33" t="n"/>
      <c r="L144" s="32" t="n"/>
      <c r="M144" s="33" t="n"/>
      <c r="N144" s="33" t="n"/>
      <c r="O144" s="33" t="n"/>
      <c r="P144" s="32" t="n"/>
      <c r="Q144" s="33" t="n"/>
      <c r="R144" s="33" t="n"/>
      <c r="S144" s="33" t="n"/>
      <c r="T144" s="33" t="n"/>
      <c r="U144" s="32" t="n"/>
      <c r="V144" s="33" t="n"/>
      <c r="W144" s="33" t="n"/>
      <c r="X144" s="33" t="n"/>
      <c r="Y144" s="33" t="n"/>
      <c r="Z144" s="33" t="n"/>
      <c r="AA144" s="33" t="n"/>
      <c r="AB144" s="33" t="n"/>
      <c r="AC144" s="33" t="n"/>
      <c r="AD144" s="33" t="n"/>
      <c r="AE144" s="33" t="n"/>
      <c r="AF144" s="32" t="n"/>
      <c r="AG144" s="32" t="n"/>
      <c r="AH144" s="32" t="n"/>
      <c r="AI144" s="32" t="n"/>
      <c r="AJ144" s="32" t="n"/>
      <c r="AK144" s="32" t="n"/>
      <c r="AL144" s="32" t="n"/>
      <c r="AM144" s="32" t="n"/>
      <c r="AN144" s="32" t="n"/>
      <c r="AO144" s="32" t="n"/>
      <c r="AP144" s="32" t="n"/>
      <c r="AQ144" s="32" t="n"/>
      <c r="AR144" s="29">
        <f>IF(NOT(COUNTA(A144:AE144)&gt;0),"",IF(A144="","New client","Update"))</f>
        <v/>
      </c>
      <c r="AS144" s="29">
        <f>IF(BA144&lt;&gt;"",BA144,IF(LEN(AZ144)=15,MID(AZ144,3,10),""))</f>
        <v/>
      </c>
      <c r="AT144" s="29">
        <f>IF(BB144="","",BB144&amp;IF(D144="","  (guessed from PAN)",""))</f>
        <v/>
      </c>
      <c r="AU144" s="29">
        <f>IF(AZ144="","",IFERROR(INDEX(Lists!$L$2:$L$38,MATCH(LEFT(AZ144,2),Lists!$K$2:$K$38,0)),"Unknown code"))</f>
        <v/>
      </c>
      <c r="AV144" s="29">
        <f>IF(AZ144="","",IFERROR(IF(NOT(AND(LEN(AZ144)=15,ISNUMBER(MATCH(LEFT(AZ144,2),Lists!$K$2:$K$38,0)),SUMPRODUCT(--ISERROR(FIND(MID(MID(AZ144,3,10),{1,2,3,4,5,10},1),"ABCDEFGHIJKLMNOPQRSTUVWXYZ")))=0,SUMPRODUCT(--ISERROR(FIND(MID(MID(AZ144,3,10),{6,7,8,9},1),"0123456789")))=0,ISNUMBER(FIND(MID(AZ144,13,1),"123456789ABCDEFGHIJKLMNOPQRSTUVWXYZ")),MID(AZ144,14,1)="Z")),"Wrong format",IF(MID("0123456789ABCDEFGHIJKLMNOPQRSTUVWXYZ",MOD(36-MOD(SUMPRODUCT(INT((FIND(MID(AZ144,{1,2,3,4,5,6,7,8,9,10,11,12,13,14},1),"0123456789ABCDEFGHIJKLMNOPQRSTUVWXYZ")-1)*{1,2,1,2,1,2,1,2,1,2,1,2,1,2}/36)+MOD((FIND(MID(AZ144,{1,2,3,4,5,6,7,8,9,10,11,12,13,14},1),"0123456789ABCDEFGHIJKLMNOPQRSTUVWXYZ")-1)*{1,2,1,2,1,2,1,2,1,2,1,2,1,2},36)),36),36)+1,1)=MID(AZ144,15,1),"OK","Typo? check digit wrong")),"Wrong format"))</f>
        <v/>
      </c>
      <c r="AW144" s="29">
        <f>IF(BA144="","",IF(AND(LEN(BA144)=10,SUMPRODUCT(--ISERROR(FIND(MID(BA144,{1,2,3,4,5,10},1),"ABCDEFGHIJKLMNOPQRSTUVWXYZ")))=0,SUMPRODUCT(--ISERROR(FIND(MID(BA144,{6,7,8,9},1),"0123456789")))=0),"OK","Wrong format"))</f>
        <v/>
      </c>
      <c r="AX144" s="29">
        <f>IF(TRIM(H144)="","",IF(AND(LEN(UPPER(TRIM(H144)))=10,SUMPRODUCT(--ISERROR(FIND(MID(UPPER(TRIM(H144)),{1,2,3,4,10},1),"ABCDEFGHIJKLMNOPQRSTUVWXYZ")))=0,SUMPRODUCT(--ISERROR(FIND(MID(UPPER(TRIM(H144)),{5,6,7,8,9},1),"0123456789")))=0),"OK","Wrong format"))</f>
        <v/>
      </c>
      <c r="AY144" s="30">
        <f>IF(NOT(COUNTA(A144:AE144)&gt;0),"",IF(BE144&lt;&gt;"","✖ "&amp;LEFT(BE144,LEN(BE144)-2),IF(BD144&gt;0,"✔ Ready — client + "&amp;BD144&amp;" service(s)","✔ Ready — client only")))</f>
        <v/>
      </c>
      <c r="AZ144" s="31">
        <f>UPPER(SUBSTITUTE(TRIM(F144)," ",""))</f>
        <v/>
      </c>
      <c r="BA144" s="31">
        <f>UPPER(SUBSTITUTE(TRIM(E144)," ",""))</f>
        <v/>
      </c>
      <c r="BB144" s="31">
        <f>IF(D144&lt;&gt;"",D144,IFERROR(VLOOKUP(MID(AS144,4,1),Lists!$E$2:$F$8,2,FALSE),""))</f>
        <v/>
      </c>
      <c r="BC144" s="31">
        <f>IFERROR(VLOOKUP(BB144,Lists!$A$2:$C$12,3,FALSE),"")</f>
        <v/>
      </c>
      <c r="BD144" s="31">
        <f>COUNTIF(W144:AC144,"Yes")</f>
        <v/>
      </c>
      <c r="BE144" s="31">
        <f>IF(TRIM(B144)="","Legal name missing; ","")&amp;IF(AND(AV144&lt;&gt;"",AV144&lt;&gt;"OK"),"GSTIN: "&amp;AV144&amp;"; ","")&amp;IF(AND(AW144&lt;&gt;"",AW144&lt;&gt;"OK"),"PAN wrong format; ","")&amp;IF(AND(BA144&lt;&gt;"",LEN(AZ144)=15,MID(AZ144,3,10)&lt;&gt;BA144),"PAN does not match GSTIN; ","")&amp;IF(AND(AX144&lt;&gt;"",AX144&lt;&gt;"OK"),"TAN wrong format; ","")&amp;IF(AS144="","PAN missing; ","")&amp;IF(BB144="","Entity type missing; ","")&amp;IF(AND(AZ144&lt;&gt;"",COUNTIF($AZ$6:$AZ$1005,AZ144)&gt;1),"GSTIN repeated in this sheet; ","")&amp;IF(AND(AS144&lt;&gt;"",COUNTIF($AS$6:$AS$1005,AS144)&gt;1),"PAN repeated in this sheet (same client? put extra GSTINs in Other GSTINs); ","")&amp;IF(AND(BD144&gt;0,V144=""),"Financial year missing; ","")&amp;IF(AND(BD144=0,V144&lt;&gt;""),"Financial year given but no service is Yes; ","")&amp;IF(AND(W144="Yes",AZ144=""),"GST needs a GSTIN; ","")&amp;IF(AND(W144="Yes",X144=""),"GST return frequency missing; ","")&amp;IF(AND(Y144="Yes",TRIM(H144)=""),"TDS needs a TAN; ","")&amp;IF(AND(AA144="Yes",BC144&lt;&gt;"",BC144&lt;&gt;"company",BC144&lt;&gt;"llp"),"ROC is only for a company / LLP; ","")&amp;IF(AND(AA144="Yes",OR(BC144="company",BC144="llp"),TRIM(I144)=""),"ROC needs the CIN / LLPIN; ","")&amp;IF((TRIM(AF144)="")&lt;&gt;(TRIM(AG144)=""),"GST login needs both user ID and password; ","")&amp;IF((TRIM(AH144)="")&lt;&gt;(TRIM(AI144)=""),"Income-tax login needs both user ID and password; ","")&amp;IF((TRIM(AJ144)="")&lt;&gt;(TRIM(AK144)=""),"Income-tax login needs both user ID and password; ","")&amp;IF((TRIM(AL144)="")&lt;&gt;(TRIM(AM144)=""),"TRACES login needs both user ID and password; ","")&amp;IF((TRIM(AN144)="")&lt;&gt;(TRIM(AO144)=""),"MCA login needs both user ID and password; ","")&amp;IF((TRIM(AP144)="")&lt;&gt;(TRIM(AQ144)=""),"E-way bill login needs both user ID and password; ","")</f>
        <v/>
      </c>
    </row>
    <row r="145">
      <c r="A145" s="32" t="n"/>
      <c r="B145" s="33" t="n"/>
      <c r="C145" s="33" t="n"/>
      <c r="D145" s="33" t="n"/>
      <c r="E145" s="32" t="n"/>
      <c r="F145" s="32" t="n"/>
      <c r="G145" s="32" t="n"/>
      <c r="H145" s="32" t="n"/>
      <c r="I145" s="32" t="n"/>
      <c r="J145" s="34" t="n"/>
      <c r="K145" s="33" t="n"/>
      <c r="L145" s="32" t="n"/>
      <c r="M145" s="33" t="n"/>
      <c r="N145" s="33" t="n"/>
      <c r="O145" s="33" t="n"/>
      <c r="P145" s="32" t="n"/>
      <c r="Q145" s="33" t="n"/>
      <c r="R145" s="33" t="n"/>
      <c r="S145" s="33" t="n"/>
      <c r="T145" s="33" t="n"/>
      <c r="U145" s="32" t="n"/>
      <c r="V145" s="33" t="n"/>
      <c r="W145" s="33" t="n"/>
      <c r="X145" s="33" t="n"/>
      <c r="Y145" s="33" t="n"/>
      <c r="Z145" s="33" t="n"/>
      <c r="AA145" s="33" t="n"/>
      <c r="AB145" s="33" t="n"/>
      <c r="AC145" s="33" t="n"/>
      <c r="AD145" s="33" t="n"/>
      <c r="AE145" s="33" t="n"/>
      <c r="AF145" s="32" t="n"/>
      <c r="AG145" s="32" t="n"/>
      <c r="AH145" s="32" t="n"/>
      <c r="AI145" s="32" t="n"/>
      <c r="AJ145" s="32" t="n"/>
      <c r="AK145" s="32" t="n"/>
      <c r="AL145" s="32" t="n"/>
      <c r="AM145" s="32" t="n"/>
      <c r="AN145" s="32" t="n"/>
      <c r="AO145" s="32" t="n"/>
      <c r="AP145" s="32" t="n"/>
      <c r="AQ145" s="32" t="n"/>
      <c r="AR145" s="29">
        <f>IF(NOT(COUNTA(A145:AE145)&gt;0),"",IF(A145="","New client","Update"))</f>
        <v/>
      </c>
      <c r="AS145" s="29">
        <f>IF(BA145&lt;&gt;"",BA145,IF(LEN(AZ145)=15,MID(AZ145,3,10),""))</f>
        <v/>
      </c>
      <c r="AT145" s="29">
        <f>IF(BB145="","",BB145&amp;IF(D145="","  (guessed from PAN)",""))</f>
        <v/>
      </c>
      <c r="AU145" s="29">
        <f>IF(AZ145="","",IFERROR(INDEX(Lists!$L$2:$L$38,MATCH(LEFT(AZ145,2),Lists!$K$2:$K$38,0)),"Unknown code"))</f>
        <v/>
      </c>
      <c r="AV145" s="29">
        <f>IF(AZ145="","",IFERROR(IF(NOT(AND(LEN(AZ145)=15,ISNUMBER(MATCH(LEFT(AZ145,2),Lists!$K$2:$K$38,0)),SUMPRODUCT(--ISERROR(FIND(MID(MID(AZ145,3,10),{1,2,3,4,5,10},1),"ABCDEFGHIJKLMNOPQRSTUVWXYZ")))=0,SUMPRODUCT(--ISERROR(FIND(MID(MID(AZ145,3,10),{6,7,8,9},1),"0123456789")))=0,ISNUMBER(FIND(MID(AZ145,13,1),"123456789ABCDEFGHIJKLMNOPQRSTUVWXYZ")),MID(AZ145,14,1)="Z")),"Wrong format",IF(MID("0123456789ABCDEFGHIJKLMNOPQRSTUVWXYZ",MOD(36-MOD(SUMPRODUCT(INT((FIND(MID(AZ145,{1,2,3,4,5,6,7,8,9,10,11,12,13,14},1),"0123456789ABCDEFGHIJKLMNOPQRSTUVWXYZ")-1)*{1,2,1,2,1,2,1,2,1,2,1,2,1,2}/36)+MOD((FIND(MID(AZ145,{1,2,3,4,5,6,7,8,9,10,11,12,13,14},1),"0123456789ABCDEFGHIJKLMNOPQRSTUVWXYZ")-1)*{1,2,1,2,1,2,1,2,1,2,1,2,1,2},36)),36),36)+1,1)=MID(AZ145,15,1),"OK","Typo? check digit wrong")),"Wrong format"))</f>
        <v/>
      </c>
      <c r="AW145" s="29">
        <f>IF(BA145="","",IF(AND(LEN(BA145)=10,SUMPRODUCT(--ISERROR(FIND(MID(BA145,{1,2,3,4,5,10},1),"ABCDEFGHIJKLMNOPQRSTUVWXYZ")))=0,SUMPRODUCT(--ISERROR(FIND(MID(BA145,{6,7,8,9},1),"0123456789")))=0),"OK","Wrong format"))</f>
        <v/>
      </c>
      <c r="AX145" s="29">
        <f>IF(TRIM(H145)="","",IF(AND(LEN(UPPER(TRIM(H145)))=10,SUMPRODUCT(--ISERROR(FIND(MID(UPPER(TRIM(H145)),{1,2,3,4,10},1),"ABCDEFGHIJKLMNOPQRSTUVWXYZ")))=0,SUMPRODUCT(--ISERROR(FIND(MID(UPPER(TRIM(H145)),{5,6,7,8,9},1),"0123456789")))=0),"OK","Wrong format"))</f>
        <v/>
      </c>
      <c r="AY145" s="30">
        <f>IF(NOT(COUNTA(A145:AE145)&gt;0),"",IF(BE145&lt;&gt;"","✖ "&amp;LEFT(BE145,LEN(BE145)-2),IF(BD145&gt;0,"✔ Ready — client + "&amp;BD145&amp;" service(s)","✔ Ready — client only")))</f>
        <v/>
      </c>
      <c r="AZ145" s="31">
        <f>UPPER(SUBSTITUTE(TRIM(F145)," ",""))</f>
        <v/>
      </c>
      <c r="BA145" s="31">
        <f>UPPER(SUBSTITUTE(TRIM(E145)," ",""))</f>
        <v/>
      </c>
      <c r="BB145" s="31">
        <f>IF(D145&lt;&gt;"",D145,IFERROR(VLOOKUP(MID(AS145,4,1),Lists!$E$2:$F$8,2,FALSE),""))</f>
        <v/>
      </c>
      <c r="BC145" s="31">
        <f>IFERROR(VLOOKUP(BB145,Lists!$A$2:$C$12,3,FALSE),"")</f>
        <v/>
      </c>
      <c r="BD145" s="31">
        <f>COUNTIF(W145:AC145,"Yes")</f>
        <v/>
      </c>
      <c r="BE145" s="31">
        <f>IF(TRIM(B145)="","Legal name missing; ","")&amp;IF(AND(AV145&lt;&gt;"",AV145&lt;&gt;"OK"),"GSTIN: "&amp;AV145&amp;"; ","")&amp;IF(AND(AW145&lt;&gt;"",AW145&lt;&gt;"OK"),"PAN wrong format; ","")&amp;IF(AND(BA145&lt;&gt;"",LEN(AZ145)=15,MID(AZ145,3,10)&lt;&gt;BA145),"PAN does not match GSTIN; ","")&amp;IF(AND(AX145&lt;&gt;"",AX145&lt;&gt;"OK"),"TAN wrong format; ","")&amp;IF(AS145="","PAN missing; ","")&amp;IF(BB145="","Entity type missing; ","")&amp;IF(AND(AZ145&lt;&gt;"",COUNTIF($AZ$6:$AZ$1005,AZ145)&gt;1),"GSTIN repeated in this sheet; ","")&amp;IF(AND(AS145&lt;&gt;"",COUNTIF($AS$6:$AS$1005,AS145)&gt;1),"PAN repeated in this sheet (same client? put extra GSTINs in Other GSTINs); ","")&amp;IF(AND(BD145&gt;0,V145=""),"Financial year missing; ","")&amp;IF(AND(BD145=0,V145&lt;&gt;""),"Financial year given but no service is Yes; ","")&amp;IF(AND(W145="Yes",AZ145=""),"GST needs a GSTIN; ","")&amp;IF(AND(W145="Yes",X145=""),"GST return frequency missing; ","")&amp;IF(AND(Y145="Yes",TRIM(H145)=""),"TDS needs a TAN; ","")&amp;IF(AND(AA145="Yes",BC145&lt;&gt;"",BC145&lt;&gt;"company",BC145&lt;&gt;"llp"),"ROC is only for a company / LLP; ","")&amp;IF(AND(AA145="Yes",OR(BC145="company",BC145="llp"),TRIM(I145)=""),"ROC needs the CIN / LLPIN; ","")&amp;IF((TRIM(AF145)="")&lt;&gt;(TRIM(AG145)=""),"GST login needs both user ID and password; ","")&amp;IF((TRIM(AH145)="")&lt;&gt;(TRIM(AI145)=""),"Income-tax login needs both user ID and password; ","")&amp;IF((TRIM(AJ145)="")&lt;&gt;(TRIM(AK145)=""),"Income-tax login needs both user ID and password; ","")&amp;IF((TRIM(AL145)="")&lt;&gt;(TRIM(AM145)=""),"TRACES login needs both user ID and password; ","")&amp;IF((TRIM(AN145)="")&lt;&gt;(TRIM(AO145)=""),"MCA login needs both user ID and password; ","")&amp;IF((TRIM(AP145)="")&lt;&gt;(TRIM(AQ145)=""),"E-way bill login needs both user ID and password; ","")</f>
        <v/>
      </c>
    </row>
    <row r="146">
      <c r="A146" s="32" t="n"/>
      <c r="B146" s="33" t="n"/>
      <c r="C146" s="33" t="n"/>
      <c r="D146" s="33" t="n"/>
      <c r="E146" s="32" t="n"/>
      <c r="F146" s="32" t="n"/>
      <c r="G146" s="32" t="n"/>
      <c r="H146" s="32" t="n"/>
      <c r="I146" s="32" t="n"/>
      <c r="J146" s="34" t="n"/>
      <c r="K146" s="33" t="n"/>
      <c r="L146" s="32" t="n"/>
      <c r="M146" s="33" t="n"/>
      <c r="N146" s="33" t="n"/>
      <c r="O146" s="33" t="n"/>
      <c r="P146" s="32" t="n"/>
      <c r="Q146" s="33" t="n"/>
      <c r="R146" s="33" t="n"/>
      <c r="S146" s="33" t="n"/>
      <c r="T146" s="33" t="n"/>
      <c r="U146" s="32" t="n"/>
      <c r="V146" s="33" t="n"/>
      <c r="W146" s="33" t="n"/>
      <c r="X146" s="33" t="n"/>
      <c r="Y146" s="33" t="n"/>
      <c r="Z146" s="33" t="n"/>
      <c r="AA146" s="33" t="n"/>
      <c r="AB146" s="33" t="n"/>
      <c r="AC146" s="33" t="n"/>
      <c r="AD146" s="33" t="n"/>
      <c r="AE146" s="33" t="n"/>
      <c r="AF146" s="32" t="n"/>
      <c r="AG146" s="32" t="n"/>
      <c r="AH146" s="32" t="n"/>
      <c r="AI146" s="32" t="n"/>
      <c r="AJ146" s="32" t="n"/>
      <c r="AK146" s="32" t="n"/>
      <c r="AL146" s="32" t="n"/>
      <c r="AM146" s="32" t="n"/>
      <c r="AN146" s="32" t="n"/>
      <c r="AO146" s="32" t="n"/>
      <c r="AP146" s="32" t="n"/>
      <c r="AQ146" s="32" t="n"/>
      <c r="AR146" s="29">
        <f>IF(NOT(COUNTA(A146:AE146)&gt;0),"",IF(A146="","New client","Update"))</f>
        <v/>
      </c>
      <c r="AS146" s="29">
        <f>IF(BA146&lt;&gt;"",BA146,IF(LEN(AZ146)=15,MID(AZ146,3,10),""))</f>
        <v/>
      </c>
      <c r="AT146" s="29">
        <f>IF(BB146="","",BB146&amp;IF(D146="","  (guessed from PAN)",""))</f>
        <v/>
      </c>
      <c r="AU146" s="29">
        <f>IF(AZ146="","",IFERROR(INDEX(Lists!$L$2:$L$38,MATCH(LEFT(AZ146,2),Lists!$K$2:$K$38,0)),"Unknown code"))</f>
        <v/>
      </c>
      <c r="AV146" s="29">
        <f>IF(AZ146="","",IFERROR(IF(NOT(AND(LEN(AZ146)=15,ISNUMBER(MATCH(LEFT(AZ146,2),Lists!$K$2:$K$38,0)),SUMPRODUCT(--ISERROR(FIND(MID(MID(AZ146,3,10),{1,2,3,4,5,10},1),"ABCDEFGHIJKLMNOPQRSTUVWXYZ")))=0,SUMPRODUCT(--ISERROR(FIND(MID(MID(AZ146,3,10),{6,7,8,9},1),"0123456789")))=0,ISNUMBER(FIND(MID(AZ146,13,1),"123456789ABCDEFGHIJKLMNOPQRSTUVWXYZ")),MID(AZ146,14,1)="Z")),"Wrong format",IF(MID("0123456789ABCDEFGHIJKLMNOPQRSTUVWXYZ",MOD(36-MOD(SUMPRODUCT(INT((FIND(MID(AZ146,{1,2,3,4,5,6,7,8,9,10,11,12,13,14},1),"0123456789ABCDEFGHIJKLMNOPQRSTUVWXYZ")-1)*{1,2,1,2,1,2,1,2,1,2,1,2,1,2}/36)+MOD((FIND(MID(AZ146,{1,2,3,4,5,6,7,8,9,10,11,12,13,14},1),"0123456789ABCDEFGHIJKLMNOPQRSTUVWXYZ")-1)*{1,2,1,2,1,2,1,2,1,2,1,2,1,2},36)),36),36)+1,1)=MID(AZ146,15,1),"OK","Typo? check digit wrong")),"Wrong format"))</f>
        <v/>
      </c>
      <c r="AW146" s="29">
        <f>IF(BA146="","",IF(AND(LEN(BA146)=10,SUMPRODUCT(--ISERROR(FIND(MID(BA146,{1,2,3,4,5,10},1),"ABCDEFGHIJKLMNOPQRSTUVWXYZ")))=0,SUMPRODUCT(--ISERROR(FIND(MID(BA146,{6,7,8,9},1),"0123456789")))=0),"OK","Wrong format"))</f>
        <v/>
      </c>
      <c r="AX146" s="29">
        <f>IF(TRIM(H146)="","",IF(AND(LEN(UPPER(TRIM(H146)))=10,SUMPRODUCT(--ISERROR(FIND(MID(UPPER(TRIM(H146)),{1,2,3,4,10},1),"ABCDEFGHIJKLMNOPQRSTUVWXYZ")))=0,SUMPRODUCT(--ISERROR(FIND(MID(UPPER(TRIM(H146)),{5,6,7,8,9},1),"0123456789")))=0),"OK","Wrong format"))</f>
        <v/>
      </c>
      <c r="AY146" s="30">
        <f>IF(NOT(COUNTA(A146:AE146)&gt;0),"",IF(BE146&lt;&gt;"","✖ "&amp;LEFT(BE146,LEN(BE146)-2),IF(BD146&gt;0,"✔ Ready — client + "&amp;BD146&amp;" service(s)","✔ Ready — client only")))</f>
        <v/>
      </c>
      <c r="AZ146" s="31">
        <f>UPPER(SUBSTITUTE(TRIM(F146)," ",""))</f>
        <v/>
      </c>
      <c r="BA146" s="31">
        <f>UPPER(SUBSTITUTE(TRIM(E146)," ",""))</f>
        <v/>
      </c>
      <c r="BB146" s="31">
        <f>IF(D146&lt;&gt;"",D146,IFERROR(VLOOKUP(MID(AS146,4,1),Lists!$E$2:$F$8,2,FALSE),""))</f>
        <v/>
      </c>
      <c r="BC146" s="31">
        <f>IFERROR(VLOOKUP(BB146,Lists!$A$2:$C$12,3,FALSE),"")</f>
        <v/>
      </c>
      <c r="BD146" s="31">
        <f>COUNTIF(W146:AC146,"Yes")</f>
        <v/>
      </c>
      <c r="BE146" s="31">
        <f>IF(TRIM(B146)="","Legal name missing; ","")&amp;IF(AND(AV146&lt;&gt;"",AV146&lt;&gt;"OK"),"GSTIN: "&amp;AV146&amp;"; ","")&amp;IF(AND(AW146&lt;&gt;"",AW146&lt;&gt;"OK"),"PAN wrong format; ","")&amp;IF(AND(BA146&lt;&gt;"",LEN(AZ146)=15,MID(AZ146,3,10)&lt;&gt;BA146),"PAN does not match GSTIN; ","")&amp;IF(AND(AX146&lt;&gt;"",AX146&lt;&gt;"OK"),"TAN wrong format; ","")&amp;IF(AS146="","PAN missing; ","")&amp;IF(BB146="","Entity type missing; ","")&amp;IF(AND(AZ146&lt;&gt;"",COUNTIF($AZ$6:$AZ$1005,AZ146)&gt;1),"GSTIN repeated in this sheet; ","")&amp;IF(AND(AS146&lt;&gt;"",COUNTIF($AS$6:$AS$1005,AS146)&gt;1),"PAN repeated in this sheet (same client? put extra GSTINs in Other GSTINs); ","")&amp;IF(AND(BD146&gt;0,V146=""),"Financial year missing; ","")&amp;IF(AND(BD146=0,V146&lt;&gt;""),"Financial year given but no service is Yes; ","")&amp;IF(AND(W146="Yes",AZ146=""),"GST needs a GSTIN; ","")&amp;IF(AND(W146="Yes",X146=""),"GST return frequency missing; ","")&amp;IF(AND(Y146="Yes",TRIM(H146)=""),"TDS needs a TAN; ","")&amp;IF(AND(AA146="Yes",BC146&lt;&gt;"",BC146&lt;&gt;"company",BC146&lt;&gt;"llp"),"ROC is only for a company / LLP; ","")&amp;IF(AND(AA146="Yes",OR(BC146="company",BC146="llp"),TRIM(I146)=""),"ROC needs the CIN / LLPIN; ","")&amp;IF((TRIM(AF146)="")&lt;&gt;(TRIM(AG146)=""),"GST login needs both user ID and password; ","")&amp;IF((TRIM(AH146)="")&lt;&gt;(TRIM(AI146)=""),"Income-tax login needs both user ID and password; ","")&amp;IF((TRIM(AJ146)="")&lt;&gt;(TRIM(AK146)=""),"Income-tax login needs both user ID and password; ","")&amp;IF((TRIM(AL146)="")&lt;&gt;(TRIM(AM146)=""),"TRACES login needs both user ID and password; ","")&amp;IF((TRIM(AN146)="")&lt;&gt;(TRIM(AO146)=""),"MCA login needs both user ID and password; ","")&amp;IF((TRIM(AP146)="")&lt;&gt;(TRIM(AQ146)=""),"E-way bill login needs both user ID and password; ","")</f>
        <v/>
      </c>
    </row>
    <row r="147">
      <c r="A147" s="32" t="n"/>
      <c r="B147" s="33" t="n"/>
      <c r="C147" s="33" t="n"/>
      <c r="D147" s="33" t="n"/>
      <c r="E147" s="32" t="n"/>
      <c r="F147" s="32" t="n"/>
      <c r="G147" s="32" t="n"/>
      <c r="H147" s="32" t="n"/>
      <c r="I147" s="32" t="n"/>
      <c r="J147" s="34" t="n"/>
      <c r="K147" s="33" t="n"/>
      <c r="L147" s="32" t="n"/>
      <c r="M147" s="33" t="n"/>
      <c r="N147" s="33" t="n"/>
      <c r="O147" s="33" t="n"/>
      <c r="P147" s="32" t="n"/>
      <c r="Q147" s="33" t="n"/>
      <c r="R147" s="33" t="n"/>
      <c r="S147" s="33" t="n"/>
      <c r="T147" s="33" t="n"/>
      <c r="U147" s="32" t="n"/>
      <c r="V147" s="33" t="n"/>
      <c r="W147" s="33" t="n"/>
      <c r="X147" s="33" t="n"/>
      <c r="Y147" s="33" t="n"/>
      <c r="Z147" s="33" t="n"/>
      <c r="AA147" s="33" t="n"/>
      <c r="AB147" s="33" t="n"/>
      <c r="AC147" s="33" t="n"/>
      <c r="AD147" s="33" t="n"/>
      <c r="AE147" s="33" t="n"/>
      <c r="AF147" s="32" t="n"/>
      <c r="AG147" s="32" t="n"/>
      <c r="AH147" s="32" t="n"/>
      <c r="AI147" s="32" t="n"/>
      <c r="AJ147" s="32" t="n"/>
      <c r="AK147" s="32" t="n"/>
      <c r="AL147" s="32" t="n"/>
      <c r="AM147" s="32" t="n"/>
      <c r="AN147" s="32" t="n"/>
      <c r="AO147" s="32" t="n"/>
      <c r="AP147" s="32" t="n"/>
      <c r="AQ147" s="32" t="n"/>
      <c r="AR147" s="29">
        <f>IF(NOT(COUNTA(A147:AE147)&gt;0),"",IF(A147="","New client","Update"))</f>
        <v/>
      </c>
      <c r="AS147" s="29">
        <f>IF(BA147&lt;&gt;"",BA147,IF(LEN(AZ147)=15,MID(AZ147,3,10),""))</f>
        <v/>
      </c>
      <c r="AT147" s="29">
        <f>IF(BB147="","",BB147&amp;IF(D147="","  (guessed from PAN)",""))</f>
        <v/>
      </c>
      <c r="AU147" s="29">
        <f>IF(AZ147="","",IFERROR(INDEX(Lists!$L$2:$L$38,MATCH(LEFT(AZ147,2),Lists!$K$2:$K$38,0)),"Unknown code"))</f>
        <v/>
      </c>
      <c r="AV147" s="29">
        <f>IF(AZ147="","",IFERROR(IF(NOT(AND(LEN(AZ147)=15,ISNUMBER(MATCH(LEFT(AZ147,2),Lists!$K$2:$K$38,0)),SUMPRODUCT(--ISERROR(FIND(MID(MID(AZ147,3,10),{1,2,3,4,5,10},1),"ABCDEFGHIJKLMNOPQRSTUVWXYZ")))=0,SUMPRODUCT(--ISERROR(FIND(MID(MID(AZ147,3,10),{6,7,8,9},1),"0123456789")))=0,ISNUMBER(FIND(MID(AZ147,13,1),"123456789ABCDEFGHIJKLMNOPQRSTUVWXYZ")),MID(AZ147,14,1)="Z")),"Wrong format",IF(MID("0123456789ABCDEFGHIJKLMNOPQRSTUVWXYZ",MOD(36-MOD(SUMPRODUCT(INT((FIND(MID(AZ147,{1,2,3,4,5,6,7,8,9,10,11,12,13,14},1),"0123456789ABCDEFGHIJKLMNOPQRSTUVWXYZ")-1)*{1,2,1,2,1,2,1,2,1,2,1,2,1,2}/36)+MOD((FIND(MID(AZ147,{1,2,3,4,5,6,7,8,9,10,11,12,13,14},1),"0123456789ABCDEFGHIJKLMNOPQRSTUVWXYZ")-1)*{1,2,1,2,1,2,1,2,1,2,1,2,1,2},36)),36),36)+1,1)=MID(AZ147,15,1),"OK","Typo? check digit wrong")),"Wrong format"))</f>
        <v/>
      </c>
      <c r="AW147" s="29">
        <f>IF(BA147="","",IF(AND(LEN(BA147)=10,SUMPRODUCT(--ISERROR(FIND(MID(BA147,{1,2,3,4,5,10},1),"ABCDEFGHIJKLMNOPQRSTUVWXYZ")))=0,SUMPRODUCT(--ISERROR(FIND(MID(BA147,{6,7,8,9},1),"0123456789")))=0),"OK","Wrong format"))</f>
        <v/>
      </c>
      <c r="AX147" s="29">
        <f>IF(TRIM(H147)="","",IF(AND(LEN(UPPER(TRIM(H147)))=10,SUMPRODUCT(--ISERROR(FIND(MID(UPPER(TRIM(H147)),{1,2,3,4,10},1),"ABCDEFGHIJKLMNOPQRSTUVWXYZ")))=0,SUMPRODUCT(--ISERROR(FIND(MID(UPPER(TRIM(H147)),{5,6,7,8,9},1),"0123456789")))=0),"OK","Wrong format"))</f>
        <v/>
      </c>
      <c r="AY147" s="30">
        <f>IF(NOT(COUNTA(A147:AE147)&gt;0),"",IF(BE147&lt;&gt;"","✖ "&amp;LEFT(BE147,LEN(BE147)-2),IF(BD147&gt;0,"✔ Ready — client + "&amp;BD147&amp;" service(s)","✔ Ready — client only")))</f>
        <v/>
      </c>
      <c r="AZ147" s="31">
        <f>UPPER(SUBSTITUTE(TRIM(F147)," ",""))</f>
        <v/>
      </c>
      <c r="BA147" s="31">
        <f>UPPER(SUBSTITUTE(TRIM(E147)," ",""))</f>
        <v/>
      </c>
      <c r="BB147" s="31">
        <f>IF(D147&lt;&gt;"",D147,IFERROR(VLOOKUP(MID(AS147,4,1),Lists!$E$2:$F$8,2,FALSE),""))</f>
        <v/>
      </c>
      <c r="BC147" s="31">
        <f>IFERROR(VLOOKUP(BB147,Lists!$A$2:$C$12,3,FALSE),"")</f>
        <v/>
      </c>
      <c r="BD147" s="31">
        <f>COUNTIF(W147:AC147,"Yes")</f>
        <v/>
      </c>
      <c r="BE147" s="31">
        <f>IF(TRIM(B147)="","Legal name missing; ","")&amp;IF(AND(AV147&lt;&gt;"",AV147&lt;&gt;"OK"),"GSTIN: "&amp;AV147&amp;"; ","")&amp;IF(AND(AW147&lt;&gt;"",AW147&lt;&gt;"OK"),"PAN wrong format; ","")&amp;IF(AND(BA147&lt;&gt;"",LEN(AZ147)=15,MID(AZ147,3,10)&lt;&gt;BA147),"PAN does not match GSTIN; ","")&amp;IF(AND(AX147&lt;&gt;"",AX147&lt;&gt;"OK"),"TAN wrong format; ","")&amp;IF(AS147="","PAN missing; ","")&amp;IF(BB147="","Entity type missing; ","")&amp;IF(AND(AZ147&lt;&gt;"",COUNTIF($AZ$6:$AZ$1005,AZ147)&gt;1),"GSTIN repeated in this sheet; ","")&amp;IF(AND(AS147&lt;&gt;"",COUNTIF($AS$6:$AS$1005,AS147)&gt;1),"PAN repeated in this sheet (same client? put extra GSTINs in Other GSTINs); ","")&amp;IF(AND(BD147&gt;0,V147=""),"Financial year missing; ","")&amp;IF(AND(BD147=0,V147&lt;&gt;""),"Financial year given but no service is Yes; ","")&amp;IF(AND(W147="Yes",AZ147=""),"GST needs a GSTIN; ","")&amp;IF(AND(W147="Yes",X147=""),"GST return frequency missing; ","")&amp;IF(AND(Y147="Yes",TRIM(H147)=""),"TDS needs a TAN; ","")&amp;IF(AND(AA147="Yes",BC147&lt;&gt;"",BC147&lt;&gt;"company",BC147&lt;&gt;"llp"),"ROC is only for a company / LLP; ","")&amp;IF(AND(AA147="Yes",OR(BC147="company",BC147="llp"),TRIM(I147)=""),"ROC needs the CIN / LLPIN; ","")&amp;IF((TRIM(AF147)="")&lt;&gt;(TRIM(AG147)=""),"GST login needs both user ID and password; ","")&amp;IF((TRIM(AH147)="")&lt;&gt;(TRIM(AI147)=""),"Income-tax login needs both user ID and password; ","")&amp;IF((TRIM(AJ147)="")&lt;&gt;(TRIM(AK147)=""),"Income-tax login needs both user ID and password; ","")&amp;IF((TRIM(AL147)="")&lt;&gt;(TRIM(AM147)=""),"TRACES login needs both user ID and password; ","")&amp;IF((TRIM(AN147)="")&lt;&gt;(TRIM(AO147)=""),"MCA login needs both user ID and password; ","")&amp;IF((TRIM(AP147)="")&lt;&gt;(TRIM(AQ147)=""),"E-way bill login needs both user ID and password; ","")</f>
        <v/>
      </c>
    </row>
    <row r="148">
      <c r="A148" s="32" t="n"/>
      <c r="B148" s="33" t="n"/>
      <c r="C148" s="33" t="n"/>
      <c r="D148" s="33" t="n"/>
      <c r="E148" s="32" t="n"/>
      <c r="F148" s="32" t="n"/>
      <c r="G148" s="32" t="n"/>
      <c r="H148" s="32" t="n"/>
      <c r="I148" s="32" t="n"/>
      <c r="J148" s="34" t="n"/>
      <c r="K148" s="33" t="n"/>
      <c r="L148" s="32" t="n"/>
      <c r="M148" s="33" t="n"/>
      <c r="N148" s="33" t="n"/>
      <c r="O148" s="33" t="n"/>
      <c r="P148" s="32" t="n"/>
      <c r="Q148" s="33" t="n"/>
      <c r="R148" s="33" t="n"/>
      <c r="S148" s="33" t="n"/>
      <c r="T148" s="33" t="n"/>
      <c r="U148" s="32" t="n"/>
      <c r="V148" s="33" t="n"/>
      <c r="W148" s="33" t="n"/>
      <c r="X148" s="33" t="n"/>
      <c r="Y148" s="33" t="n"/>
      <c r="Z148" s="33" t="n"/>
      <c r="AA148" s="33" t="n"/>
      <c r="AB148" s="33" t="n"/>
      <c r="AC148" s="33" t="n"/>
      <c r="AD148" s="33" t="n"/>
      <c r="AE148" s="33" t="n"/>
      <c r="AF148" s="32" t="n"/>
      <c r="AG148" s="32" t="n"/>
      <c r="AH148" s="32" t="n"/>
      <c r="AI148" s="32" t="n"/>
      <c r="AJ148" s="32" t="n"/>
      <c r="AK148" s="32" t="n"/>
      <c r="AL148" s="32" t="n"/>
      <c r="AM148" s="32" t="n"/>
      <c r="AN148" s="32" t="n"/>
      <c r="AO148" s="32" t="n"/>
      <c r="AP148" s="32" t="n"/>
      <c r="AQ148" s="32" t="n"/>
      <c r="AR148" s="29">
        <f>IF(NOT(COUNTA(A148:AE148)&gt;0),"",IF(A148="","New client","Update"))</f>
        <v/>
      </c>
      <c r="AS148" s="29">
        <f>IF(BA148&lt;&gt;"",BA148,IF(LEN(AZ148)=15,MID(AZ148,3,10),""))</f>
        <v/>
      </c>
      <c r="AT148" s="29">
        <f>IF(BB148="","",BB148&amp;IF(D148="","  (guessed from PAN)",""))</f>
        <v/>
      </c>
      <c r="AU148" s="29">
        <f>IF(AZ148="","",IFERROR(INDEX(Lists!$L$2:$L$38,MATCH(LEFT(AZ148,2),Lists!$K$2:$K$38,0)),"Unknown code"))</f>
        <v/>
      </c>
      <c r="AV148" s="29">
        <f>IF(AZ148="","",IFERROR(IF(NOT(AND(LEN(AZ148)=15,ISNUMBER(MATCH(LEFT(AZ148,2),Lists!$K$2:$K$38,0)),SUMPRODUCT(--ISERROR(FIND(MID(MID(AZ148,3,10),{1,2,3,4,5,10},1),"ABCDEFGHIJKLMNOPQRSTUVWXYZ")))=0,SUMPRODUCT(--ISERROR(FIND(MID(MID(AZ148,3,10),{6,7,8,9},1),"0123456789")))=0,ISNUMBER(FIND(MID(AZ148,13,1),"123456789ABCDEFGHIJKLMNOPQRSTUVWXYZ")),MID(AZ148,14,1)="Z")),"Wrong format",IF(MID("0123456789ABCDEFGHIJKLMNOPQRSTUVWXYZ",MOD(36-MOD(SUMPRODUCT(INT((FIND(MID(AZ148,{1,2,3,4,5,6,7,8,9,10,11,12,13,14},1),"0123456789ABCDEFGHIJKLMNOPQRSTUVWXYZ")-1)*{1,2,1,2,1,2,1,2,1,2,1,2,1,2}/36)+MOD((FIND(MID(AZ148,{1,2,3,4,5,6,7,8,9,10,11,12,13,14},1),"0123456789ABCDEFGHIJKLMNOPQRSTUVWXYZ")-1)*{1,2,1,2,1,2,1,2,1,2,1,2,1,2},36)),36),36)+1,1)=MID(AZ148,15,1),"OK","Typo? check digit wrong")),"Wrong format"))</f>
        <v/>
      </c>
      <c r="AW148" s="29">
        <f>IF(BA148="","",IF(AND(LEN(BA148)=10,SUMPRODUCT(--ISERROR(FIND(MID(BA148,{1,2,3,4,5,10},1),"ABCDEFGHIJKLMNOPQRSTUVWXYZ")))=0,SUMPRODUCT(--ISERROR(FIND(MID(BA148,{6,7,8,9},1),"0123456789")))=0),"OK","Wrong format"))</f>
        <v/>
      </c>
      <c r="AX148" s="29">
        <f>IF(TRIM(H148)="","",IF(AND(LEN(UPPER(TRIM(H148)))=10,SUMPRODUCT(--ISERROR(FIND(MID(UPPER(TRIM(H148)),{1,2,3,4,10},1),"ABCDEFGHIJKLMNOPQRSTUVWXYZ")))=0,SUMPRODUCT(--ISERROR(FIND(MID(UPPER(TRIM(H148)),{5,6,7,8,9},1),"0123456789")))=0),"OK","Wrong format"))</f>
        <v/>
      </c>
      <c r="AY148" s="30">
        <f>IF(NOT(COUNTA(A148:AE148)&gt;0),"",IF(BE148&lt;&gt;"","✖ "&amp;LEFT(BE148,LEN(BE148)-2),IF(BD148&gt;0,"✔ Ready — client + "&amp;BD148&amp;" service(s)","✔ Ready — client only")))</f>
        <v/>
      </c>
      <c r="AZ148" s="31">
        <f>UPPER(SUBSTITUTE(TRIM(F148)," ",""))</f>
        <v/>
      </c>
      <c r="BA148" s="31">
        <f>UPPER(SUBSTITUTE(TRIM(E148)," ",""))</f>
        <v/>
      </c>
      <c r="BB148" s="31">
        <f>IF(D148&lt;&gt;"",D148,IFERROR(VLOOKUP(MID(AS148,4,1),Lists!$E$2:$F$8,2,FALSE),""))</f>
        <v/>
      </c>
      <c r="BC148" s="31">
        <f>IFERROR(VLOOKUP(BB148,Lists!$A$2:$C$12,3,FALSE),"")</f>
        <v/>
      </c>
      <c r="BD148" s="31">
        <f>COUNTIF(W148:AC148,"Yes")</f>
        <v/>
      </c>
      <c r="BE148" s="31">
        <f>IF(TRIM(B148)="","Legal name missing; ","")&amp;IF(AND(AV148&lt;&gt;"",AV148&lt;&gt;"OK"),"GSTIN: "&amp;AV148&amp;"; ","")&amp;IF(AND(AW148&lt;&gt;"",AW148&lt;&gt;"OK"),"PAN wrong format; ","")&amp;IF(AND(BA148&lt;&gt;"",LEN(AZ148)=15,MID(AZ148,3,10)&lt;&gt;BA148),"PAN does not match GSTIN; ","")&amp;IF(AND(AX148&lt;&gt;"",AX148&lt;&gt;"OK"),"TAN wrong format; ","")&amp;IF(AS148="","PAN missing; ","")&amp;IF(BB148="","Entity type missing; ","")&amp;IF(AND(AZ148&lt;&gt;"",COUNTIF($AZ$6:$AZ$1005,AZ148)&gt;1),"GSTIN repeated in this sheet; ","")&amp;IF(AND(AS148&lt;&gt;"",COUNTIF($AS$6:$AS$1005,AS148)&gt;1),"PAN repeated in this sheet (same client? put extra GSTINs in Other GSTINs); ","")&amp;IF(AND(BD148&gt;0,V148=""),"Financial year missing; ","")&amp;IF(AND(BD148=0,V148&lt;&gt;""),"Financial year given but no service is Yes; ","")&amp;IF(AND(W148="Yes",AZ148=""),"GST needs a GSTIN; ","")&amp;IF(AND(W148="Yes",X148=""),"GST return frequency missing; ","")&amp;IF(AND(Y148="Yes",TRIM(H148)=""),"TDS needs a TAN; ","")&amp;IF(AND(AA148="Yes",BC148&lt;&gt;"",BC148&lt;&gt;"company",BC148&lt;&gt;"llp"),"ROC is only for a company / LLP; ","")&amp;IF(AND(AA148="Yes",OR(BC148="company",BC148="llp"),TRIM(I148)=""),"ROC needs the CIN / LLPIN; ","")&amp;IF((TRIM(AF148)="")&lt;&gt;(TRIM(AG148)=""),"GST login needs both user ID and password; ","")&amp;IF((TRIM(AH148)="")&lt;&gt;(TRIM(AI148)=""),"Income-tax login needs both user ID and password; ","")&amp;IF((TRIM(AJ148)="")&lt;&gt;(TRIM(AK148)=""),"Income-tax login needs both user ID and password; ","")&amp;IF((TRIM(AL148)="")&lt;&gt;(TRIM(AM148)=""),"TRACES login needs both user ID and password; ","")&amp;IF((TRIM(AN148)="")&lt;&gt;(TRIM(AO148)=""),"MCA login needs both user ID and password; ","")&amp;IF((TRIM(AP148)="")&lt;&gt;(TRIM(AQ148)=""),"E-way bill login needs both user ID and password; ","")</f>
        <v/>
      </c>
    </row>
    <row r="149">
      <c r="A149" s="32" t="n"/>
      <c r="B149" s="33" t="n"/>
      <c r="C149" s="33" t="n"/>
      <c r="D149" s="33" t="n"/>
      <c r="E149" s="32" t="n"/>
      <c r="F149" s="32" t="n"/>
      <c r="G149" s="32" t="n"/>
      <c r="H149" s="32" t="n"/>
      <c r="I149" s="32" t="n"/>
      <c r="J149" s="34" t="n"/>
      <c r="K149" s="33" t="n"/>
      <c r="L149" s="32" t="n"/>
      <c r="M149" s="33" t="n"/>
      <c r="N149" s="33" t="n"/>
      <c r="O149" s="33" t="n"/>
      <c r="P149" s="32" t="n"/>
      <c r="Q149" s="33" t="n"/>
      <c r="R149" s="33" t="n"/>
      <c r="S149" s="33" t="n"/>
      <c r="T149" s="33" t="n"/>
      <c r="U149" s="32" t="n"/>
      <c r="V149" s="33" t="n"/>
      <c r="W149" s="33" t="n"/>
      <c r="X149" s="33" t="n"/>
      <c r="Y149" s="33" t="n"/>
      <c r="Z149" s="33" t="n"/>
      <c r="AA149" s="33" t="n"/>
      <c r="AB149" s="33" t="n"/>
      <c r="AC149" s="33" t="n"/>
      <c r="AD149" s="33" t="n"/>
      <c r="AE149" s="33" t="n"/>
      <c r="AF149" s="32" t="n"/>
      <c r="AG149" s="32" t="n"/>
      <c r="AH149" s="32" t="n"/>
      <c r="AI149" s="32" t="n"/>
      <c r="AJ149" s="32" t="n"/>
      <c r="AK149" s="32" t="n"/>
      <c r="AL149" s="32" t="n"/>
      <c r="AM149" s="32" t="n"/>
      <c r="AN149" s="32" t="n"/>
      <c r="AO149" s="32" t="n"/>
      <c r="AP149" s="32" t="n"/>
      <c r="AQ149" s="32" t="n"/>
      <c r="AR149" s="29">
        <f>IF(NOT(COUNTA(A149:AE149)&gt;0),"",IF(A149="","New client","Update"))</f>
        <v/>
      </c>
      <c r="AS149" s="29">
        <f>IF(BA149&lt;&gt;"",BA149,IF(LEN(AZ149)=15,MID(AZ149,3,10),""))</f>
        <v/>
      </c>
      <c r="AT149" s="29">
        <f>IF(BB149="","",BB149&amp;IF(D149="","  (guessed from PAN)",""))</f>
        <v/>
      </c>
      <c r="AU149" s="29">
        <f>IF(AZ149="","",IFERROR(INDEX(Lists!$L$2:$L$38,MATCH(LEFT(AZ149,2),Lists!$K$2:$K$38,0)),"Unknown code"))</f>
        <v/>
      </c>
      <c r="AV149" s="29">
        <f>IF(AZ149="","",IFERROR(IF(NOT(AND(LEN(AZ149)=15,ISNUMBER(MATCH(LEFT(AZ149,2),Lists!$K$2:$K$38,0)),SUMPRODUCT(--ISERROR(FIND(MID(MID(AZ149,3,10),{1,2,3,4,5,10},1),"ABCDEFGHIJKLMNOPQRSTUVWXYZ")))=0,SUMPRODUCT(--ISERROR(FIND(MID(MID(AZ149,3,10),{6,7,8,9},1),"0123456789")))=0,ISNUMBER(FIND(MID(AZ149,13,1),"123456789ABCDEFGHIJKLMNOPQRSTUVWXYZ")),MID(AZ149,14,1)="Z")),"Wrong format",IF(MID("0123456789ABCDEFGHIJKLMNOPQRSTUVWXYZ",MOD(36-MOD(SUMPRODUCT(INT((FIND(MID(AZ149,{1,2,3,4,5,6,7,8,9,10,11,12,13,14},1),"0123456789ABCDEFGHIJKLMNOPQRSTUVWXYZ")-1)*{1,2,1,2,1,2,1,2,1,2,1,2,1,2}/36)+MOD((FIND(MID(AZ149,{1,2,3,4,5,6,7,8,9,10,11,12,13,14},1),"0123456789ABCDEFGHIJKLMNOPQRSTUVWXYZ")-1)*{1,2,1,2,1,2,1,2,1,2,1,2,1,2},36)),36),36)+1,1)=MID(AZ149,15,1),"OK","Typo? check digit wrong")),"Wrong format"))</f>
        <v/>
      </c>
      <c r="AW149" s="29">
        <f>IF(BA149="","",IF(AND(LEN(BA149)=10,SUMPRODUCT(--ISERROR(FIND(MID(BA149,{1,2,3,4,5,10},1),"ABCDEFGHIJKLMNOPQRSTUVWXYZ")))=0,SUMPRODUCT(--ISERROR(FIND(MID(BA149,{6,7,8,9},1),"0123456789")))=0),"OK","Wrong format"))</f>
        <v/>
      </c>
      <c r="AX149" s="29">
        <f>IF(TRIM(H149)="","",IF(AND(LEN(UPPER(TRIM(H149)))=10,SUMPRODUCT(--ISERROR(FIND(MID(UPPER(TRIM(H149)),{1,2,3,4,10},1),"ABCDEFGHIJKLMNOPQRSTUVWXYZ")))=0,SUMPRODUCT(--ISERROR(FIND(MID(UPPER(TRIM(H149)),{5,6,7,8,9},1),"0123456789")))=0),"OK","Wrong format"))</f>
        <v/>
      </c>
      <c r="AY149" s="30">
        <f>IF(NOT(COUNTA(A149:AE149)&gt;0),"",IF(BE149&lt;&gt;"","✖ "&amp;LEFT(BE149,LEN(BE149)-2),IF(BD149&gt;0,"✔ Ready — client + "&amp;BD149&amp;" service(s)","✔ Ready — client only")))</f>
        <v/>
      </c>
      <c r="AZ149" s="31">
        <f>UPPER(SUBSTITUTE(TRIM(F149)," ",""))</f>
        <v/>
      </c>
      <c r="BA149" s="31">
        <f>UPPER(SUBSTITUTE(TRIM(E149)," ",""))</f>
        <v/>
      </c>
      <c r="BB149" s="31">
        <f>IF(D149&lt;&gt;"",D149,IFERROR(VLOOKUP(MID(AS149,4,1),Lists!$E$2:$F$8,2,FALSE),""))</f>
        <v/>
      </c>
      <c r="BC149" s="31">
        <f>IFERROR(VLOOKUP(BB149,Lists!$A$2:$C$12,3,FALSE),"")</f>
        <v/>
      </c>
      <c r="BD149" s="31">
        <f>COUNTIF(W149:AC149,"Yes")</f>
        <v/>
      </c>
      <c r="BE149" s="31">
        <f>IF(TRIM(B149)="","Legal name missing; ","")&amp;IF(AND(AV149&lt;&gt;"",AV149&lt;&gt;"OK"),"GSTIN: "&amp;AV149&amp;"; ","")&amp;IF(AND(AW149&lt;&gt;"",AW149&lt;&gt;"OK"),"PAN wrong format; ","")&amp;IF(AND(BA149&lt;&gt;"",LEN(AZ149)=15,MID(AZ149,3,10)&lt;&gt;BA149),"PAN does not match GSTIN; ","")&amp;IF(AND(AX149&lt;&gt;"",AX149&lt;&gt;"OK"),"TAN wrong format; ","")&amp;IF(AS149="","PAN missing; ","")&amp;IF(BB149="","Entity type missing; ","")&amp;IF(AND(AZ149&lt;&gt;"",COUNTIF($AZ$6:$AZ$1005,AZ149)&gt;1),"GSTIN repeated in this sheet; ","")&amp;IF(AND(AS149&lt;&gt;"",COUNTIF($AS$6:$AS$1005,AS149)&gt;1),"PAN repeated in this sheet (same client? put extra GSTINs in Other GSTINs); ","")&amp;IF(AND(BD149&gt;0,V149=""),"Financial year missing; ","")&amp;IF(AND(BD149=0,V149&lt;&gt;""),"Financial year given but no service is Yes; ","")&amp;IF(AND(W149="Yes",AZ149=""),"GST needs a GSTIN; ","")&amp;IF(AND(W149="Yes",X149=""),"GST return frequency missing; ","")&amp;IF(AND(Y149="Yes",TRIM(H149)=""),"TDS needs a TAN; ","")&amp;IF(AND(AA149="Yes",BC149&lt;&gt;"",BC149&lt;&gt;"company",BC149&lt;&gt;"llp"),"ROC is only for a company / LLP; ","")&amp;IF(AND(AA149="Yes",OR(BC149="company",BC149="llp"),TRIM(I149)=""),"ROC needs the CIN / LLPIN; ","")&amp;IF((TRIM(AF149)="")&lt;&gt;(TRIM(AG149)=""),"GST login needs both user ID and password; ","")&amp;IF((TRIM(AH149)="")&lt;&gt;(TRIM(AI149)=""),"Income-tax login needs both user ID and password; ","")&amp;IF((TRIM(AJ149)="")&lt;&gt;(TRIM(AK149)=""),"Income-tax login needs both user ID and password; ","")&amp;IF((TRIM(AL149)="")&lt;&gt;(TRIM(AM149)=""),"TRACES login needs both user ID and password; ","")&amp;IF((TRIM(AN149)="")&lt;&gt;(TRIM(AO149)=""),"MCA login needs both user ID and password; ","")&amp;IF((TRIM(AP149)="")&lt;&gt;(TRIM(AQ149)=""),"E-way bill login needs both user ID and password; ","")</f>
        <v/>
      </c>
    </row>
    <row r="150">
      <c r="A150" s="32" t="n"/>
      <c r="B150" s="33" t="n"/>
      <c r="C150" s="33" t="n"/>
      <c r="D150" s="33" t="n"/>
      <c r="E150" s="32" t="n"/>
      <c r="F150" s="32" t="n"/>
      <c r="G150" s="32" t="n"/>
      <c r="H150" s="32" t="n"/>
      <c r="I150" s="32" t="n"/>
      <c r="J150" s="34" t="n"/>
      <c r="K150" s="33" t="n"/>
      <c r="L150" s="32" t="n"/>
      <c r="M150" s="33" t="n"/>
      <c r="N150" s="33" t="n"/>
      <c r="O150" s="33" t="n"/>
      <c r="P150" s="32" t="n"/>
      <c r="Q150" s="33" t="n"/>
      <c r="R150" s="33" t="n"/>
      <c r="S150" s="33" t="n"/>
      <c r="T150" s="33" t="n"/>
      <c r="U150" s="32" t="n"/>
      <c r="V150" s="33" t="n"/>
      <c r="W150" s="33" t="n"/>
      <c r="X150" s="33" t="n"/>
      <c r="Y150" s="33" t="n"/>
      <c r="Z150" s="33" t="n"/>
      <c r="AA150" s="33" t="n"/>
      <c r="AB150" s="33" t="n"/>
      <c r="AC150" s="33" t="n"/>
      <c r="AD150" s="33" t="n"/>
      <c r="AE150" s="33" t="n"/>
      <c r="AF150" s="32" t="n"/>
      <c r="AG150" s="32" t="n"/>
      <c r="AH150" s="32" t="n"/>
      <c r="AI150" s="32" t="n"/>
      <c r="AJ150" s="32" t="n"/>
      <c r="AK150" s="32" t="n"/>
      <c r="AL150" s="32" t="n"/>
      <c r="AM150" s="32" t="n"/>
      <c r="AN150" s="32" t="n"/>
      <c r="AO150" s="32" t="n"/>
      <c r="AP150" s="32" t="n"/>
      <c r="AQ150" s="32" t="n"/>
      <c r="AR150" s="29">
        <f>IF(NOT(COUNTA(A150:AE150)&gt;0),"",IF(A150="","New client","Update"))</f>
        <v/>
      </c>
      <c r="AS150" s="29">
        <f>IF(BA150&lt;&gt;"",BA150,IF(LEN(AZ150)=15,MID(AZ150,3,10),""))</f>
        <v/>
      </c>
      <c r="AT150" s="29">
        <f>IF(BB150="","",BB150&amp;IF(D150="","  (guessed from PAN)",""))</f>
        <v/>
      </c>
      <c r="AU150" s="29">
        <f>IF(AZ150="","",IFERROR(INDEX(Lists!$L$2:$L$38,MATCH(LEFT(AZ150,2),Lists!$K$2:$K$38,0)),"Unknown code"))</f>
        <v/>
      </c>
      <c r="AV150" s="29">
        <f>IF(AZ150="","",IFERROR(IF(NOT(AND(LEN(AZ150)=15,ISNUMBER(MATCH(LEFT(AZ150,2),Lists!$K$2:$K$38,0)),SUMPRODUCT(--ISERROR(FIND(MID(MID(AZ150,3,10),{1,2,3,4,5,10},1),"ABCDEFGHIJKLMNOPQRSTUVWXYZ")))=0,SUMPRODUCT(--ISERROR(FIND(MID(MID(AZ150,3,10),{6,7,8,9},1),"0123456789")))=0,ISNUMBER(FIND(MID(AZ150,13,1),"123456789ABCDEFGHIJKLMNOPQRSTUVWXYZ")),MID(AZ150,14,1)="Z")),"Wrong format",IF(MID("0123456789ABCDEFGHIJKLMNOPQRSTUVWXYZ",MOD(36-MOD(SUMPRODUCT(INT((FIND(MID(AZ150,{1,2,3,4,5,6,7,8,9,10,11,12,13,14},1),"0123456789ABCDEFGHIJKLMNOPQRSTUVWXYZ")-1)*{1,2,1,2,1,2,1,2,1,2,1,2,1,2}/36)+MOD((FIND(MID(AZ150,{1,2,3,4,5,6,7,8,9,10,11,12,13,14},1),"0123456789ABCDEFGHIJKLMNOPQRSTUVWXYZ")-1)*{1,2,1,2,1,2,1,2,1,2,1,2,1,2},36)),36),36)+1,1)=MID(AZ150,15,1),"OK","Typo? check digit wrong")),"Wrong format"))</f>
        <v/>
      </c>
      <c r="AW150" s="29">
        <f>IF(BA150="","",IF(AND(LEN(BA150)=10,SUMPRODUCT(--ISERROR(FIND(MID(BA150,{1,2,3,4,5,10},1),"ABCDEFGHIJKLMNOPQRSTUVWXYZ")))=0,SUMPRODUCT(--ISERROR(FIND(MID(BA150,{6,7,8,9},1),"0123456789")))=0),"OK","Wrong format"))</f>
        <v/>
      </c>
      <c r="AX150" s="29">
        <f>IF(TRIM(H150)="","",IF(AND(LEN(UPPER(TRIM(H150)))=10,SUMPRODUCT(--ISERROR(FIND(MID(UPPER(TRIM(H150)),{1,2,3,4,10},1),"ABCDEFGHIJKLMNOPQRSTUVWXYZ")))=0,SUMPRODUCT(--ISERROR(FIND(MID(UPPER(TRIM(H150)),{5,6,7,8,9},1),"0123456789")))=0),"OK","Wrong format"))</f>
        <v/>
      </c>
      <c r="AY150" s="30">
        <f>IF(NOT(COUNTA(A150:AE150)&gt;0),"",IF(BE150&lt;&gt;"","✖ "&amp;LEFT(BE150,LEN(BE150)-2),IF(BD150&gt;0,"✔ Ready — client + "&amp;BD150&amp;" service(s)","✔ Ready — client only")))</f>
        <v/>
      </c>
      <c r="AZ150" s="31">
        <f>UPPER(SUBSTITUTE(TRIM(F150)," ",""))</f>
        <v/>
      </c>
      <c r="BA150" s="31">
        <f>UPPER(SUBSTITUTE(TRIM(E150)," ",""))</f>
        <v/>
      </c>
      <c r="BB150" s="31">
        <f>IF(D150&lt;&gt;"",D150,IFERROR(VLOOKUP(MID(AS150,4,1),Lists!$E$2:$F$8,2,FALSE),""))</f>
        <v/>
      </c>
      <c r="BC150" s="31">
        <f>IFERROR(VLOOKUP(BB150,Lists!$A$2:$C$12,3,FALSE),"")</f>
        <v/>
      </c>
      <c r="BD150" s="31">
        <f>COUNTIF(W150:AC150,"Yes")</f>
        <v/>
      </c>
      <c r="BE150" s="31">
        <f>IF(TRIM(B150)="","Legal name missing; ","")&amp;IF(AND(AV150&lt;&gt;"",AV150&lt;&gt;"OK"),"GSTIN: "&amp;AV150&amp;"; ","")&amp;IF(AND(AW150&lt;&gt;"",AW150&lt;&gt;"OK"),"PAN wrong format; ","")&amp;IF(AND(BA150&lt;&gt;"",LEN(AZ150)=15,MID(AZ150,3,10)&lt;&gt;BA150),"PAN does not match GSTIN; ","")&amp;IF(AND(AX150&lt;&gt;"",AX150&lt;&gt;"OK"),"TAN wrong format; ","")&amp;IF(AS150="","PAN missing; ","")&amp;IF(BB150="","Entity type missing; ","")&amp;IF(AND(AZ150&lt;&gt;"",COUNTIF($AZ$6:$AZ$1005,AZ150)&gt;1),"GSTIN repeated in this sheet; ","")&amp;IF(AND(AS150&lt;&gt;"",COUNTIF($AS$6:$AS$1005,AS150)&gt;1),"PAN repeated in this sheet (same client? put extra GSTINs in Other GSTINs); ","")&amp;IF(AND(BD150&gt;0,V150=""),"Financial year missing; ","")&amp;IF(AND(BD150=0,V150&lt;&gt;""),"Financial year given but no service is Yes; ","")&amp;IF(AND(W150="Yes",AZ150=""),"GST needs a GSTIN; ","")&amp;IF(AND(W150="Yes",X150=""),"GST return frequency missing; ","")&amp;IF(AND(Y150="Yes",TRIM(H150)=""),"TDS needs a TAN; ","")&amp;IF(AND(AA150="Yes",BC150&lt;&gt;"",BC150&lt;&gt;"company",BC150&lt;&gt;"llp"),"ROC is only for a company / LLP; ","")&amp;IF(AND(AA150="Yes",OR(BC150="company",BC150="llp"),TRIM(I150)=""),"ROC needs the CIN / LLPIN; ","")&amp;IF((TRIM(AF150)="")&lt;&gt;(TRIM(AG150)=""),"GST login needs both user ID and password; ","")&amp;IF((TRIM(AH150)="")&lt;&gt;(TRIM(AI150)=""),"Income-tax login needs both user ID and password; ","")&amp;IF((TRIM(AJ150)="")&lt;&gt;(TRIM(AK150)=""),"Income-tax login needs both user ID and password; ","")&amp;IF((TRIM(AL150)="")&lt;&gt;(TRIM(AM150)=""),"TRACES login needs both user ID and password; ","")&amp;IF((TRIM(AN150)="")&lt;&gt;(TRIM(AO150)=""),"MCA login needs both user ID and password; ","")&amp;IF((TRIM(AP150)="")&lt;&gt;(TRIM(AQ150)=""),"E-way bill login needs both user ID and password; ","")</f>
        <v/>
      </c>
    </row>
    <row r="151">
      <c r="A151" s="32" t="n"/>
      <c r="B151" s="33" t="n"/>
      <c r="C151" s="33" t="n"/>
      <c r="D151" s="33" t="n"/>
      <c r="E151" s="32" t="n"/>
      <c r="F151" s="32" t="n"/>
      <c r="G151" s="32" t="n"/>
      <c r="H151" s="32" t="n"/>
      <c r="I151" s="32" t="n"/>
      <c r="J151" s="34" t="n"/>
      <c r="K151" s="33" t="n"/>
      <c r="L151" s="32" t="n"/>
      <c r="M151" s="33" t="n"/>
      <c r="N151" s="33" t="n"/>
      <c r="O151" s="33" t="n"/>
      <c r="P151" s="32" t="n"/>
      <c r="Q151" s="33" t="n"/>
      <c r="R151" s="33" t="n"/>
      <c r="S151" s="33" t="n"/>
      <c r="T151" s="33" t="n"/>
      <c r="U151" s="32" t="n"/>
      <c r="V151" s="33" t="n"/>
      <c r="W151" s="33" t="n"/>
      <c r="X151" s="33" t="n"/>
      <c r="Y151" s="33" t="n"/>
      <c r="Z151" s="33" t="n"/>
      <c r="AA151" s="33" t="n"/>
      <c r="AB151" s="33" t="n"/>
      <c r="AC151" s="33" t="n"/>
      <c r="AD151" s="33" t="n"/>
      <c r="AE151" s="33" t="n"/>
      <c r="AF151" s="32" t="n"/>
      <c r="AG151" s="32" t="n"/>
      <c r="AH151" s="32" t="n"/>
      <c r="AI151" s="32" t="n"/>
      <c r="AJ151" s="32" t="n"/>
      <c r="AK151" s="32" t="n"/>
      <c r="AL151" s="32" t="n"/>
      <c r="AM151" s="32" t="n"/>
      <c r="AN151" s="32" t="n"/>
      <c r="AO151" s="32" t="n"/>
      <c r="AP151" s="32" t="n"/>
      <c r="AQ151" s="32" t="n"/>
      <c r="AR151" s="29">
        <f>IF(NOT(COUNTA(A151:AE151)&gt;0),"",IF(A151="","New client","Update"))</f>
        <v/>
      </c>
      <c r="AS151" s="29">
        <f>IF(BA151&lt;&gt;"",BA151,IF(LEN(AZ151)=15,MID(AZ151,3,10),""))</f>
        <v/>
      </c>
      <c r="AT151" s="29">
        <f>IF(BB151="","",BB151&amp;IF(D151="","  (guessed from PAN)",""))</f>
        <v/>
      </c>
      <c r="AU151" s="29">
        <f>IF(AZ151="","",IFERROR(INDEX(Lists!$L$2:$L$38,MATCH(LEFT(AZ151,2),Lists!$K$2:$K$38,0)),"Unknown code"))</f>
        <v/>
      </c>
      <c r="AV151" s="29">
        <f>IF(AZ151="","",IFERROR(IF(NOT(AND(LEN(AZ151)=15,ISNUMBER(MATCH(LEFT(AZ151,2),Lists!$K$2:$K$38,0)),SUMPRODUCT(--ISERROR(FIND(MID(MID(AZ151,3,10),{1,2,3,4,5,10},1),"ABCDEFGHIJKLMNOPQRSTUVWXYZ")))=0,SUMPRODUCT(--ISERROR(FIND(MID(MID(AZ151,3,10),{6,7,8,9},1),"0123456789")))=0,ISNUMBER(FIND(MID(AZ151,13,1),"123456789ABCDEFGHIJKLMNOPQRSTUVWXYZ")),MID(AZ151,14,1)="Z")),"Wrong format",IF(MID("0123456789ABCDEFGHIJKLMNOPQRSTUVWXYZ",MOD(36-MOD(SUMPRODUCT(INT((FIND(MID(AZ151,{1,2,3,4,5,6,7,8,9,10,11,12,13,14},1),"0123456789ABCDEFGHIJKLMNOPQRSTUVWXYZ")-1)*{1,2,1,2,1,2,1,2,1,2,1,2,1,2}/36)+MOD((FIND(MID(AZ151,{1,2,3,4,5,6,7,8,9,10,11,12,13,14},1),"0123456789ABCDEFGHIJKLMNOPQRSTUVWXYZ")-1)*{1,2,1,2,1,2,1,2,1,2,1,2,1,2},36)),36),36)+1,1)=MID(AZ151,15,1),"OK","Typo? check digit wrong")),"Wrong format"))</f>
        <v/>
      </c>
      <c r="AW151" s="29">
        <f>IF(BA151="","",IF(AND(LEN(BA151)=10,SUMPRODUCT(--ISERROR(FIND(MID(BA151,{1,2,3,4,5,10},1),"ABCDEFGHIJKLMNOPQRSTUVWXYZ")))=0,SUMPRODUCT(--ISERROR(FIND(MID(BA151,{6,7,8,9},1),"0123456789")))=0),"OK","Wrong format"))</f>
        <v/>
      </c>
      <c r="AX151" s="29">
        <f>IF(TRIM(H151)="","",IF(AND(LEN(UPPER(TRIM(H151)))=10,SUMPRODUCT(--ISERROR(FIND(MID(UPPER(TRIM(H151)),{1,2,3,4,10},1),"ABCDEFGHIJKLMNOPQRSTUVWXYZ")))=0,SUMPRODUCT(--ISERROR(FIND(MID(UPPER(TRIM(H151)),{5,6,7,8,9},1),"0123456789")))=0),"OK","Wrong format"))</f>
        <v/>
      </c>
      <c r="AY151" s="30">
        <f>IF(NOT(COUNTA(A151:AE151)&gt;0),"",IF(BE151&lt;&gt;"","✖ "&amp;LEFT(BE151,LEN(BE151)-2),IF(BD151&gt;0,"✔ Ready — client + "&amp;BD151&amp;" service(s)","✔ Ready — client only")))</f>
        <v/>
      </c>
      <c r="AZ151" s="31">
        <f>UPPER(SUBSTITUTE(TRIM(F151)," ",""))</f>
        <v/>
      </c>
      <c r="BA151" s="31">
        <f>UPPER(SUBSTITUTE(TRIM(E151)," ",""))</f>
        <v/>
      </c>
      <c r="BB151" s="31">
        <f>IF(D151&lt;&gt;"",D151,IFERROR(VLOOKUP(MID(AS151,4,1),Lists!$E$2:$F$8,2,FALSE),""))</f>
        <v/>
      </c>
      <c r="BC151" s="31">
        <f>IFERROR(VLOOKUP(BB151,Lists!$A$2:$C$12,3,FALSE),"")</f>
        <v/>
      </c>
      <c r="BD151" s="31">
        <f>COUNTIF(W151:AC151,"Yes")</f>
        <v/>
      </c>
      <c r="BE151" s="31">
        <f>IF(TRIM(B151)="","Legal name missing; ","")&amp;IF(AND(AV151&lt;&gt;"",AV151&lt;&gt;"OK"),"GSTIN: "&amp;AV151&amp;"; ","")&amp;IF(AND(AW151&lt;&gt;"",AW151&lt;&gt;"OK"),"PAN wrong format; ","")&amp;IF(AND(BA151&lt;&gt;"",LEN(AZ151)=15,MID(AZ151,3,10)&lt;&gt;BA151),"PAN does not match GSTIN; ","")&amp;IF(AND(AX151&lt;&gt;"",AX151&lt;&gt;"OK"),"TAN wrong format; ","")&amp;IF(AS151="","PAN missing; ","")&amp;IF(BB151="","Entity type missing; ","")&amp;IF(AND(AZ151&lt;&gt;"",COUNTIF($AZ$6:$AZ$1005,AZ151)&gt;1),"GSTIN repeated in this sheet; ","")&amp;IF(AND(AS151&lt;&gt;"",COUNTIF($AS$6:$AS$1005,AS151)&gt;1),"PAN repeated in this sheet (same client? put extra GSTINs in Other GSTINs); ","")&amp;IF(AND(BD151&gt;0,V151=""),"Financial year missing; ","")&amp;IF(AND(BD151=0,V151&lt;&gt;""),"Financial year given but no service is Yes; ","")&amp;IF(AND(W151="Yes",AZ151=""),"GST needs a GSTIN; ","")&amp;IF(AND(W151="Yes",X151=""),"GST return frequency missing; ","")&amp;IF(AND(Y151="Yes",TRIM(H151)=""),"TDS needs a TAN; ","")&amp;IF(AND(AA151="Yes",BC151&lt;&gt;"",BC151&lt;&gt;"company",BC151&lt;&gt;"llp"),"ROC is only for a company / LLP; ","")&amp;IF(AND(AA151="Yes",OR(BC151="company",BC151="llp"),TRIM(I151)=""),"ROC needs the CIN / LLPIN; ","")&amp;IF((TRIM(AF151)="")&lt;&gt;(TRIM(AG151)=""),"GST login needs both user ID and password; ","")&amp;IF((TRIM(AH151)="")&lt;&gt;(TRIM(AI151)=""),"Income-tax login needs both user ID and password; ","")&amp;IF((TRIM(AJ151)="")&lt;&gt;(TRIM(AK151)=""),"Income-tax login needs both user ID and password; ","")&amp;IF((TRIM(AL151)="")&lt;&gt;(TRIM(AM151)=""),"TRACES login needs both user ID and password; ","")&amp;IF((TRIM(AN151)="")&lt;&gt;(TRIM(AO151)=""),"MCA login needs both user ID and password; ","")&amp;IF((TRIM(AP151)="")&lt;&gt;(TRIM(AQ151)=""),"E-way bill login needs both user ID and password; ","")</f>
        <v/>
      </c>
    </row>
    <row r="152">
      <c r="A152" s="32" t="n"/>
      <c r="B152" s="33" t="n"/>
      <c r="C152" s="33" t="n"/>
      <c r="D152" s="33" t="n"/>
      <c r="E152" s="32" t="n"/>
      <c r="F152" s="32" t="n"/>
      <c r="G152" s="32" t="n"/>
      <c r="H152" s="32" t="n"/>
      <c r="I152" s="32" t="n"/>
      <c r="J152" s="34" t="n"/>
      <c r="K152" s="33" t="n"/>
      <c r="L152" s="32" t="n"/>
      <c r="M152" s="33" t="n"/>
      <c r="N152" s="33" t="n"/>
      <c r="O152" s="33" t="n"/>
      <c r="P152" s="32" t="n"/>
      <c r="Q152" s="33" t="n"/>
      <c r="R152" s="33" t="n"/>
      <c r="S152" s="33" t="n"/>
      <c r="T152" s="33" t="n"/>
      <c r="U152" s="32" t="n"/>
      <c r="V152" s="33" t="n"/>
      <c r="W152" s="33" t="n"/>
      <c r="X152" s="33" t="n"/>
      <c r="Y152" s="33" t="n"/>
      <c r="Z152" s="33" t="n"/>
      <c r="AA152" s="33" t="n"/>
      <c r="AB152" s="33" t="n"/>
      <c r="AC152" s="33" t="n"/>
      <c r="AD152" s="33" t="n"/>
      <c r="AE152" s="33" t="n"/>
      <c r="AF152" s="32" t="n"/>
      <c r="AG152" s="32" t="n"/>
      <c r="AH152" s="32" t="n"/>
      <c r="AI152" s="32" t="n"/>
      <c r="AJ152" s="32" t="n"/>
      <c r="AK152" s="32" t="n"/>
      <c r="AL152" s="32" t="n"/>
      <c r="AM152" s="32" t="n"/>
      <c r="AN152" s="32" t="n"/>
      <c r="AO152" s="32" t="n"/>
      <c r="AP152" s="32" t="n"/>
      <c r="AQ152" s="32" t="n"/>
      <c r="AR152" s="29">
        <f>IF(NOT(COUNTA(A152:AE152)&gt;0),"",IF(A152="","New client","Update"))</f>
        <v/>
      </c>
      <c r="AS152" s="29">
        <f>IF(BA152&lt;&gt;"",BA152,IF(LEN(AZ152)=15,MID(AZ152,3,10),""))</f>
        <v/>
      </c>
      <c r="AT152" s="29">
        <f>IF(BB152="","",BB152&amp;IF(D152="","  (guessed from PAN)",""))</f>
        <v/>
      </c>
      <c r="AU152" s="29">
        <f>IF(AZ152="","",IFERROR(INDEX(Lists!$L$2:$L$38,MATCH(LEFT(AZ152,2),Lists!$K$2:$K$38,0)),"Unknown code"))</f>
        <v/>
      </c>
      <c r="AV152" s="29">
        <f>IF(AZ152="","",IFERROR(IF(NOT(AND(LEN(AZ152)=15,ISNUMBER(MATCH(LEFT(AZ152,2),Lists!$K$2:$K$38,0)),SUMPRODUCT(--ISERROR(FIND(MID(MID(AZ152,3,10),{1,2,3,4,5,10},1),"ABCDEFGHIJKLMNOPQRSTUVWXYZ")))=0,SUMPRODUCT(--ISERROR(FIND(MID(MID(AZ152,3,10),{6,7,8,9},1),"0123456789")))=0,ISNUMBER(FIND(MID(AZ152,13,1),"123456789ABCDEFGHIJKLMNOPQRSTUVWXYZ")),MID(AZ152,14,1)="Z")),"Wrong format",IF(MID("0123456789ABCDEFGHIJKLMNOPQRSTUVWXYZ",MOD(36-MOD(SUMPRODUCT(INT((FIND(MID(AZ152,{1,2,3,4,5,6,7,8,9,10,11,12,13,14},1),"0123456789ABCDEFGHIJKLMNOPQRSTUVWXYZ")-1)*{1,2,1,2,1,2,1,2,1,2,1,2,1,2}/36)+MOD((FIND(MID(AZ152,{1,2,3,4,5,6,7,8,9,10,11,12,13,14},1),"0123456789ABCDEFGHIJKLMNOPQRSTUVWXYZ")-1)*{1,2,1,2,1,2,1,2,1,2,1,2,1,2},36)),36),36)+1,1)=MID(AZ152,15,1),"OK","Typo? check digit wrong")),"Wrong format"))</f>
        <v/>
      </c>
      <c r="AW152" s="29">
        <f>IF(BA152="","",IF(AND(LEN(BA152)=10,SUMPRODUCT(--ISERROR(FIND(MID(BA152,{1,2,3,4,5,10},1),"ABCDEFGHIJKLMNOPQRSTUVWXYZ")))=0,SUMPRODUCT(--ISERROR(FIND(MID(BA152,{6,7,8,9},1),"0123456789")))=0),"OK","Wrong format"))</f>
        <v/>
      </c>
      <c r="AX152" s="29">
        <f>IF(TRIM(H152)="","",IF(AND(LEN(UPPER(TRIM(H152)))=10,SUMPRODUCT(--ISERROR(FIND(MID(UPPER(TRIM(H152)),{1,2,3,4,10},1),"ABCDEFGHIJKLMNOPQRSTUVWXYZ")))=0,SUMPRODUCT(--ISERROR(FIND(MID(UPPER(TRIM(H152)),{5,6,7,8,9},1),"0123456789")))=0),"OK","Wrong format"))</f>
        <v/>
      </c>
      <c r="AY152" s="30">
        <f>IF(NOT(COUNTA(A152:AE152)&gt;0),"",IF(BE152&lt;&gt;"","✖ "&amp;LEFT(BE152,LEN(BE152)-2),IF(BD152&gt;0,"✔ Ready — client + "&amp;BD152&amp;" service(s)","✔ Ready — client only")))</f>
        <v/>
      </c>
      <c r="AZ152" s="31">
        <f>UPPER(SUBSTITUTE(TRIM(F152)," ",""))</f>
        <v/>
      </c>
      <c r="BA152" s="31">
        <f>UPPER(SUBSTITUTE(TRIM(E152)," ",""))</f>
        <v/>
      </c>
      <c r="BB152" s="31">
        <f>IF(D152&lt;&gt;"",D152,IFERROR(VLOOKUP(MID(AS152,4,1),Lists!$E$2:$F$8,2,FALSE),""))</f>
        <v/>
      </c>
      <c r="BC152" s="31">
        <f>IFERROR(VLOOKUP(BB152,Lists!$A$2:$C$12,3,FALSE),"")</f>
        <v/>
      </c>
      <c r="BD152" s="31">
        <f>COUNTIF(W152:AC152,"Yes")</f>
        <v/>
      </c>
      <c r="BE152" s="31">
        <f>IF(TRIM(B152)="","Legal name missing; ","")&amp;IF(AND(AV152&lt;&gt;"",AV152&lt;&gt;"OK"),"GSTIN: "&amp;AV152&amp;"; ","")&amp;IF(AND(AW152&lt;&gt;"",AW152&lt;&gt;"OK"),"PAN wrong format; ","")&amp;IF(AND(BA152&lt;&gt;"",LEN(AZ152)=15,MID(AZ152,3,10)&lt;&gt;BA152),"PAN does not match GSTIN; ","")&amp;IF(AND(AX152&lt;&gt;"",AX152&lt;&gt;"OK"),"TAN wrong format; ","")&amp;IF(AS152="","PAN missing; ","")&amp;IF(BB152="","Entity type missing; ","")&amp;IF(AND(AZ152&lt;&gt;"",COUNTIF($AZ$6:$AZ$1005,AZ152)&gt;1),"GSTIN repeated in this sheet; ","")&amp;IF(AND(AS152&lt;&gt;"",COUNTIF($AS$6:$AS$1005,AS152)&gt;1),"PAN repeated in this sheet (same client? put extra GSTINs in Other GSTINs); ","")&amp;IF(AND(BD152&gt;0,V152=""),"Financial year missing; ","")&amp;IF(AND(BD152=0,V152&lt;&gt;""),"Financial year given but no service is Yes; ","")&amp;IF(AND(W152="Yes",AZ152=""),"GST needs a GSTIN; ","")&amp;IF(AND(W152="Yes",X152=""),"GST return frequency missing; ","")&amp;IF(AND(Y152="Yes",TRIM(H152)=""),"TDS needs a TAN; ","")&amp;IF(AND(AA152="Yes",BC152&lt;&gt;"",BC152&lt;&gt;"company",BC152&lt;&gt;"llp"),"ROC is only for a company / LLP; ","")&amp;IF(AND(AA152="Yes",OR(BC152="company",BC152="llp"),TRIM(I152)=""),"ROC needs the CIN / LLPIN; ","")&amp;IF((TRIM(AF152)="")&lt;&gt;(TRIM(AG152)=""),"GST login needs both user ID and password; ","")&amp;IF((TRIM(AH152)="")&lt;&gt;(TRIM(AI152)=""),"Income-tax login needs both user ID and password; ","")&amp;IF((TRIM(AJ152)="")&lt;&gt;(TRIM(AK152)=""),"Income-tax login needs both user ID and password; ","")&amp;IF((TRIM(AL152)="")&lt;&gt;(TRIM(AM152)=""),"TRACES login needs both user ID and password; ","")&amp;IF((TRIM(AN152)="")&lt;&gt;(TRIM(AO152)=""),"MCA login needs both user ID and password; ","")&amp;IF((TRIM(AP152)="")&lt;&gt;(TRIM(AQ152)=""),"E-way bill login needs both user ID and password; ","")</f>
        <v/>
      </c>
    </row>
    <row r="153">
      <c r="A153" s="32" t="n"/>
      <c r="B153" s="33" t="n"/>
      <c r="C153" s="33" t="n"/>
      <c r="D153" s="33" t="n"/>
      <c r="E153" s="32" t="n"/>
      <c r="F153" s="32" t="n"/>
      <c r="G153" s="32" t="n"/>
      <c r="H153" s="32" t="n"/>
      <c r="I153" s="32" t="n"/>
      <c r="J153" s="34" t="n"/>
      <c r="K153" s="33" t="n"/>
      <c r="L153" s="32" t="n"/>
      <c r="M153" s="33" t="n"/>
      <c r="N153" s="33" t="n"/>
      <c r="O153" s="33" t="n"/>
      <c r="P153" s="32" t="n"/>
      <c r="Q153" s="33" t="n"/>
      <c r="R153" s="33" t="n"/>
      <c r="S153" s="33" t="n"/>
      <c r="T153" s="33" t="n"/>
      <c r="U153" s="32" t="n"/>
      <c r="V153" s="33" t="n"/>
      <c r="W153" s="33" t="n"/>
      <c r="X153" s="33" t="n"/>
      <c r="Y153" s="33" t="n"/>
      <c r="Z153" s="33" t="n"/>
      <c r="AA153" s="33" t="n"/>
      <c r="AB153" s="33" t="n"/>
      <c r="AC153" s="33" t="n"/>
      <c r="AD153" s="33" t="n"/>
      <c r="AE153" s="33" t="n"/>
      <c r="AF153" s="32" t="n"/>
      <c r="AG153" s="32" t="n"/>
      <c r="AH153" s="32" t="n"/>
      <c r="AI153" s="32" t="n"/>
      <c r="AJ153" s="32" t="n"/>
      <c r="AK153" s="32" t="n"/>
      <c r="AL153" s="32" t="n"/>
      <c r="AM153" s="32" t="n"/>
      <c r="AN153" s="32" t="n"/>
      <c r="AO153" s="32" t="n"/>
      <c r="AP153" s="32" t="n"/>
      <c r="AQ153" s="32" t="n"/>
      <c r="AR153" s="29">
        <f>IF(NOT(COUNTA(A153:AE153)&gt;0),"",IF(A153="","New client","Update"))</f>
        <v/>
      </c>
      <c r="AS153" s="29">
        <f>IF(BA153&lt;&gt;"",BA153,IF(LEN(AZ153)=15,MID(AZ153,3,10),""))</f>
        <v/>
      </c>
      <c r="AT153" s="29">
        <f>IF(BB153="","",BB153&amp;IF(D153="","  (guessed from PAN)",""))</f>
        <v/>
      </c>
      <c r="AU153" s="29">
        <f>IF(AZ153="","",IFERROR(INDEX(Lists!$L$2:$L$38,MATCH(LEFT(AZ153,2),Lists!$K$2:$K$38,0)),"Unknown code"))</f>
        <v/>
      </c>
      <c r="AV153" s="29">
        <f>IF(AZ153="","",IFERROR(IF(NOT(AND(LEN(AZ153)=15,ISNUMBER(MATCH(LEFT(AZ153,2),Lists!$K$2:$K$38,0)),SUMPRODUCT(--ISERROR(FIND(MID(MID(AZ153,3,10),{1,2,3,4,5,10},1),"ABCDEFGHIJKLMNOPQRSTUVWXYZ")))=0,SUMPRODUCT(--ISERROR(FIND(MID(MID(AZ153,3,10),{6,7,8,9},1),"0123456789")))=0,ISNUMBER(FIND(MID(AZ153,13,1),"123456789ABCDEFGHIJKLMNOPQRSTUVWXYZ")),MID(AZ153,14,1)="Z")),"Wrong format",IF(MID("0123456789ABCDEFGHIJKLMNOPQRSTUVWXYZ",MOD(36-MOD(SUMPRODUCT(INT((FIND(MID(AZ153,{1,2,3,4,5,6,7,8,9,10,11,12,13,14},1),"0123456789ABCDEFGHIJKLMNOPQRSTUVWXYZ")-1)*{1,2,1,2,1,2,1,2,1,2,1,2,1,2}/36)+MOD((FIND(MID(AZ153,{1,2,3,4,5,6,7,8,9,10,11,12,13,14},1),"0123456789ABCDEFGHIJKLMNOPQRSTUVWXYZ")-1)*{1,2,1,2,1,2,1,2,1,2,1,2,1,2},36)),36),36)+1,1)=MID(AZ153,15,1),"OK","Typo? check digit wrong")),"Wrong format"))</f>
        <v/>
      </c>
      <c r="AW153" s="29">
        <f>IF(BA153="","",IF(AND(LEN(BA153)=10,SUMPRODUCT(--ISERROR(FIND(MID(BA153,{1,2,3,4,5,10},1),"ABCDEFGHIJKLMNOPQRSTUVWXYZ")))=0,SUMPRODUCT(--ISERROR(FIND(MID(BA153,{6,7,8,9},1),"0123456789")))=0),"OK","Wrong format"))</f>
        <v/>
      </c>
      <c r="AX153" s="29">
        <f>IF(TRIM(H153)="","",IF(AND(LEN(UPPER(TRIM(H153)))=10,SUMPRODUCT(--ISERROR(FIND(MID(UPPER(TRIM(H153)),{1,2,3,4,10},1),"ABCDEFGHIJKLMNOPQRSTUVWXYZ")))=0,SUMPRODUCT(--ISERROR(FIND(MID(UPPER(TRIM(H153)),{5,6,7,8,9},1),"0123456789")))=0),"OK","Wrong format"))</f>
        <v/>
      </c>
      <c r="AY153" s="30">
        <f>IF(NOT(COUNTA(A153:AE153)&gt;0),"",IF(BE153&lt;&gt;"","✖ "&amp;LEFT(BE153,LEN(BE153)-2),IF(BD153&gt;0,"✔ Ready — client + "&amp;BD153&amp;" service(s)","✔ Ready — client only")))</f>
        <v/>
      </c>
      <c r="AZ153" s="31">
        <f>UPPER(SUBSTITUTE(TRIM(F153)," ",""))</f>
        <v/>
      </c>
      <c r="BA153" s="31">
        <f>UPPER(SUBSTITUTE(TRIM(E153)," ",""))</f>
        <v/>
      </c>
      <c r="BB153" s="31">
        <f>IF(D153&lt;&gt;"",D153,IFERROR(VLOOKUP(MID(AS153,4,1),Lists!$E$2:$F$8,2,FALSE),""))</f>
        <v/>
      </c>
      <c r="BC153" s="31">
        <f>IFERROR(VLOOKUP(BB153,Lists!$A$2:$C$12,3,FALSE),"")</f>
        <v/>
      </c>
      <c r="BD153" s="31">
        <f>COUNTIF(W153:AC153,"Yes")</f>
        <v/>
      </c>
      <c r="BE153" s="31">
        <f>IF(TRIM(B153)="","Legal name missing; ","")&amp;IF(AND(AV153&lt;&gt;"",AV153&lt;&gt;"OK"),"GSTIN: "&amp;AV153&amp;"; ","")&amp;IF(AND(AW153&lt;&gt;"",AW153&lt;&gt;"OK"),"PAN wrong format; ","")&amp;IF(AND(BA153&lt;&gt;"",LEN(AZ153)=15,MID(AZ153,3,10)&lt;&gt;BA153),"PAN does not match GSTIN; ","")&amp;IF(AND(AX153&lt;&gt;"",AX153&lt;&gt;"OK"),"TAN wrong format; ","")&amp;IF(AS153="","PAN missing; ","")&amp;IF(BB153="","Entity type missing; ","")&amp;IF(AND(AZ153&lt;&gt;"",COUNTIF($AZ$6:$AZ$1005,AZ153)&gt;1),"GSTIN repeated in this sheet; ","")&amp;IF(AND(AS153&lt;&gt;"",COUNTIF($AS$6:$AS$1005,AS153)&gt;1),"PAN repeated in this sheet (same client? put extra GSTINs in Other GSTINs); ","")&amp;IF(AND(BD153&gt;0,V153=""),"Financial year missing; ","")&amp;IF(AND(BD153=0,V153&lt;&gt;""),"Financial year given but no service is Yes; ","")&amp;IF(AND(W153="Yes",AZ153=""),"GST needs a GSTIN; ","")&amp;IF(AND(W153="Yes",X153=""),"GST return frequency missing; ","")&amp;IF(AND(Y153="Yes",TRIM(H153)=""),"TDS needs a TAN; ","")&amp;IF(AND(AA153="Yes",BC153&lt;&gt;"",BC153&lt;&gt;"company",BC153&lt;&gt;"llp"),"ROC is only for a company / LLP; ","")&amp;IF(AND(AA153="Yes",OR(BC153="company",BC153="llp"),TRIM(I153)=""),"ROC needs the CIN / LLPIN; ","")&amp;IF((TRIM(AF153)="")&lt;&gt;(TRIM(AG153)=""),"GST login needs both user ID and password; ","")&amp;IF((TRIM(AH153)="")&lt;&gt;(TRIM(AI153)=""),"Income-tax login needs both user ID and password; ","")&amp;IF((TRIM(AJ153)="")&lt;&gt;(TRIM(AK153)=""),"Income-tax login needs both user ID and password; ","")&amp;IF((TRIM(AL153)="")&lt;&gt;(TRIM(AM153)=""),"TRACES login needs both user ID and password; ","")&amp;IF((TRIM(AN153)="")&lt;&gt;(TRIM(AO153)=""),"MCA login needs both user ID and password; ","")&amp;IF((TRIM(AP153)="")&lt;&gt;(TRIM(AQ153)=""),"E-way bill login needs both user ID and password; ","")</f>
        <v/>
      </c>
    </row>
    <row r="154">
      <c r="A154" s="32" t="n"/>
      <c r="B154" s="33" t="n"/>
      <c r="C154" s="33" t="n"/>
      <c r="D154" s="33" t="n"/>
      <c r="E154" s="32" t="n"/>
      <c r="F154" s="32" t="n"/>
      <c r="G154" s="32" t="n"/>
      <c r="H154" s="32" t="n"/>
      <c r="I154" s="32" t="n"/>
      <c r="J154" s="34" t="n"/>
      <c r="K154" s="33" t="n"/>
      <c r="L154" s="32" t="n"/>
      <c r="M154" s="33" t="n"/>
      <c r="N154" s="33" t="n"/>
      <c r="O154" s="33" t="n"/>
      <c r="P154" s="32" t="n"/>
      <c r="Q154" s="33" t="n"/>
      <c r="R154" s="33" t="n"/>
      <c r="S154" s="33" t="n"/>
      <c r="T154" s="33" t="n"/>
      <c r="U154" s="32" t="n"/>
      <c r="V154" s="33" t="n"/>
      <c r="W154" s="33" t="n"/>
      <c r="X154" s="33" t="n"/>
      <c r="Y154" s="33" t="n"/>
      <c r="Z154" s="33" t="n"/>
      <c r="AA154" s="33" t="n"/>
      <c r="AB154" s="33" t="n"/>
      <c r="AC154" s="33" t="n"/>
      <c r="AD154" s="33" t="n"/>
      <c r="AE154" s="33" t="n"/>
      <c r="AF154" s="32" t="n"/>
      <c r="AG154" s="32" t="n"/>
      <c r="AH154" s="32" t="n"/>
      <c r="AI154" s="32" t="n"/>
      <c r="AJ154" s="32" t="n"/>
      <c r="AK154" s="32" t="n"/>
      <c r="AL154" s="32" t="n"/>
      <c r="AM154" s="32" t="n"/>
      <c r="AN154" s="32" t="n"/>
      <c r="AO154" s="32" t="n"/>
      <c r="AP154" s="32" t="n"/>
      <c r="AQ154" s="32" t="n"/>
      <c r="AR154" s="29">
        <f>IF(NOT(COUNTA(A154:AE154)&gt;0),"",IF(A154="","New client","Update"))</f>
        <v/>
      </c>
      <c r="AS154" s="29">
        <f>IF(BA154&lt;&gt;"",BA154,IF(LEN(AZ154)=15,MID(AZ154,3,10),""))</f>
        <v/>
      </c>
      <c r="AT154" s="29">
        <f>IF(BB154="","",BB154&amp;IF(D154="","  (guessed from PAN)",""))</f>
        <v/>
      </c>
      <c r="AU154" s="29">
        <f>IF(AZ154="","",IFERROR(INDEX(Lists!$L$2:$L$38,MATCH(LEFT(AZ154,2),Lists!$K$2:$K$38,0)),"Unknown code"))</f>
        <v/>
      </c>
      <c r="AV154" s="29">
        <f>IF(AZ154="","",IFERROR(IF(NOT(AND(LEN(AZ154)=15,ISNUMBER(MATCH(LEFT(AZ154,2),Lists!$K$2:$K$38,0)),SUMPRODUCT(--ISERROR(FIND(MID(MID(AZ154,3,10),{1,2,3,4,5,10},1),"ABCDEFGHIJKLMNOPQRSTUVWXYZ")))=0,SUMPRODUCT(--ISERROR(FIND(MID(MID(AZ154,3,10),{6,7,8,9},1),"0123456789")))=0,ISNUMBER(FIND(MID(AZ154,13,1),"123456789ABCDEFGHIJKLMNOPQRSTUVWXYZ")),MID(AZ154,14,1)="Z")),"Wrong format",IF(MID("0123456789ABCDEFGHIJKLMNOPQRSTUVWXYZ",MOD(36-MOD(SUMPRODUCT(INT((FIND(MID(AZ154,{1,2,3,4,5,6,7,8,9,10,11,12,13,14},1),"0123456789ABCDEFGHIJKLMNOPQRSTUVWXYZ")-1)*{1,2,1,2,1,2,1,2,1,2,1,2,1,2}/36)+MOD((FIND(MID(AZ154,{1,2,3,4,5,6,7,8,9,10,11,12,13,14},1),"0123456789ABCDEFGHIJKLMNOPQRSTUVWXYZ")-1)*{1,2,1,2,1,2,1,2,1,2,1,2,1,2},36)),36),36)+1,1)=MID(AZ154,15,1),"OK","Typo? check digit wrong")),"Wrong format"))</f>
        <v/>
      </c>
      <c r="AW154" s="29">
        <f>IF(BA154="","",IF(AND(LEN(BA154)=10,SUMPRODUCT(--ISERROR(FIND(MID(BA154,{1,2,3,4,5,10},1),"ABCDEFGHIJKLMNOPQRSTUVWXYZ")))=0,SUMPRODUCT(--ISERROR(FIND(MID(BA154,{6,7,8,9},1),"0123456789")))=0),"OK","Wrong format"))</f>
        <v/>
      </c>
      <c r="AX154" s="29">
        <f>IF(TRIM(H154)="","",IF(AND(LEN(UPPER(TRIM(H154)))=10,SUMPRODUCT(--ISERROR(FIND(MID(UPPER(TRIM(H154)),{1,2,3,4,10},1),"ABCDEFGHIJKLMNOPQRSTUVWXYZ")))=0,SUMPRODUCT(--ISERROR(FIND(MID(UPPER(TRIM(H154)),{5,6,7,8,9},1),"0123456789")))=0),"OK","Wrong format"))</f>
        <v/>
      </c>
      <c r="AY154" s="30">
        <f>IF(NOT(COUNTA(A154:AE154)&gt;0),"",IF(BE154&lt;&gt;"","✖ "&amp;LEFT(BE154,LEN(BE154)-2),IF(BD154&gt;0,"✔ Ready — client + "&amp;BD154&amp;" service(s)","✔ Ready — client only")))</f>
        <v/>
      </c>
      <c r="AZ154" s="31">
        <f>UPPER(SUBSTITUTE(TRIM(F154)," ",""))</f>
        <v/>
      </c>
      <c r="BA154" s="31">
        <f>UPPER(SUBSTITUTE(TRIM(E154)," ",""))</f>
        <v/>
      </c>
      <c r="BB154" s="31">
        <f>IF(D154&lt;&gt;"",D154,IFERROR(VLOOKUP(MID(AS154,4,1),Lists!$E$2:$F$8,2,FALSE),""))</f>
        <v/>
      </c>
      <c r="BC154" s="31">
        <f>IFERROR(VLOOKUP(BB154,Lists!$A$2:$C$12,3,FALSE),"")</f>
        <v/>
      </c>
      <c r="BD154" s="31">
        <f>COUNTIF(W154:AC154,"Yes")</f>
        <v/>
      </c>
      <c r="BE154" s="31">
        <f>IF(TRIM(B154)="","Legal name missing; ","")&amp;IF(AND(AV154&lt;&gt;"",AV154&lt;&gt;"OK"),"GSTIN: "&amp;AV154&amp;"; ","")&amp;IF(AND(AW154&lt;&gt;"",AW154&lt;&gt;"OK"),"PAN wrong format; ","")&amp;IF(AND(BA154&lt;&gt;"",LEN(AZ154)=15,MID(AZ154,3,10)&lt;&gt;BA154),"PAN does not match GSTIN; ","")&amp;IF(AND(AX154&lt;&gt;"",AX154&lt;&gt;"OK"),"TAN wrong format; ","")&amp;IF(AS154="","PAN missing; ","")&amp;IF(BB154="","Entity type missing; ","")&amp;IF(AND(AZ154&lt;&gt;"",COUNTIF($AZ$6:$AZ$1005,AZ154)&gt;1),"GSTIN repeated in this sheet; ","")&amp;IF(AND(AS154&lt;&gt;"",COUNTIF($AS$6:$AS$1005,AS154)&gt;1),"PAN repeated in this sheet (same client? put extra GSTINs in Other GSTINs); ","")&amp;IF(AND(BD154&gt;0,V154=""),"Financial year missing; ","")&amp;IF(AND(BD154=0,V154&lt;&gt;""),"Financial year given but no service is Yes; ","")&amp;IF(AND(W154="Yes",AZ154=""),"GST needs a GSTIN; ","")&amp;IF(AND(W154="Yes",X154=""),"GST return frequency missing; ","")&amp;IF(AND(Y154="Yes",TRIM(H154)=""),"TDS needs a TAN; ","")&amp;IF(AND(AA154="Yes",BC154&lt;&gt;"",BC154&lt;&gt;"company",BC154&lt;&gt;"llp"),"ROC is only for a company / LLP; ","")&amp;IF(AND(AA154="Yes",OR(BC154="company",BC154="llp"),TRIM(I154)=""),"ROC needs the CIN / LLPIN; ","")&amp;IF((TRIM(AF154)="")&lt;&gt;(TRIM(AG154)=""),"GST login needs both user ID and password; ","")&amp;IF((TRIM(AH154)="")&lt;&gt;(TRIM(AI154)=""),"Income-tax login needs both user ID and password; ","")&amp;IF((TRIM(AJ154)="")&lt;&gt;(TRIM(AK154)=""),"Income-tax login needs both user ID and password; ","")&amp;IF((TRIM(AL154)="")&lt;&gt;(TRIM(AM154)=""),"TRACES login needs both user ID and password; ","")&amp;IF((TRIM(AN154)="")&lt;&gt;(TRIM(AO154)=""),"MCA login needs both user ID and password; ","")&amp;IF((TRIM(AP154)="")&lt;&gt;(TRIM(AQ154)=""),"E-way bill login needs both user ID and password; ","")</f>
        <v/>
      </c>
    </row>
    <row r="155">
      <c r="A155" s="32" t="n"/>
      <c r="B155" s="33" t="n"/>
      <c r="C155" s="33" t="n"/>
      <c r="D155" s="33" t="n"/>
      <c r="E155" s="32" t="n"/>
      <c r="F155" s="32" t="n"/>
      <c r="G155" s="32" t="n"/>
      <c r="H155" s="32" t="n"/>
      <c r="I155" s="32" t="n"/>
      <c r="J155" s="34" t="n"/>
      <c r="K155" s="33" t="n"/>
      <c r="L155" s="32" t="n"/>
      <c r="M155" s="33" t="n"/>
      <c r="N155" s="33" t="n"/>
      <c r="O155" s="33" t="n"/>
      <c r="P155" s="32" t="n"/>
      <c r="Q155" s="33" t="n"/>
      <c r="R155" s="33" t="n"/>
      <c r="S155" s="33" t="n"/>
      <c r="T155" s="33" t="n"/>
      <c r="U155" s="32" t="n"/>
      <c r="V155" s="33" t="n"/>
      <c r="W155" s="33" t="n"/>
      <c r="X155" s="33" t="n"/>
      <c r="Y155" s="33" t="n"/>
      <c r="Z155" s="33" t="n"/>
      <c r="AA155" s="33" t="n"/>
      <c r="AB155" s="33" t="n"/>
      <c r="AC155" s="33" t="n"/>
      <c r="AD155" s="33" t="n"/>
      <c r="AE155" s="33" t="n"/>
      <c r="AF155" s="32" t="n"/>
      <c r="AG155" s="32" t="n"/>
      <c r="AH155" s="32" t="n"/>
      <c r="AI155" s="32" t="n"/>
      <c r="AJ155" s="32" t="n"/>
      <c r="AK155" s="32" t="n"/>
      <c r="AL155" s="32" t="n"/>
      <c r="AM155" s="32" t="n"/>
      <c r="AN155" s="32" t="n"/>
      <c r="AO155" s="32" t="n"/>
      <c r="AP155" s="32" t="n"/>
      <c r="AQ155" s="32" t="n"/>
      <c r="AR155" s="29">
        <f>IF(NOT(COUNTA(A155:AE155)&gt;0),"",IF(A155="","New client","Update"))</f>
        <v/>
      </c>
      <c r="AS155" s="29">
        <f>IF(BA155&lt;&gt;"",BA155,IF(LEN(AZ155)=15,MID(AZ155,3,10),""))</f>
        <v/>
      </c>
      <c r="AT155" s="29">
        <f>IF(BB155="","",BB155&amp;IF(D155="","  (guessed from PAN)",""))</f>
        <v/>
      </c>
      <c r="AU155" s="29">
        <f>IF(AZ155="","",IFERROR(INDEX(Lists!$L$2:$L$38,MATCH(LEFT(AZ155,2),Lists!$K$2:$K$38,0)),"Unknown code"))</f>
        <v/>
      </c>
      <c r="AV155" s="29">
        <f>IF(AZ155="","",IFERROR(IF(NOT(AND(LEN(AZ155)=15,ISNUMBER(MATCH(LEFT(AZ155,2),Lists!$K$2:$K$38,0)),SUMPRODUCT(--ISERROR(FIND(MID(MID(AZ155,3,10),{1,2,3,4,5,10},1),"ABCDEFGHIJKLMNOPQRSTUVWXYZ")))=0,SUMPRODUCT(--ISERROR(FIND(MID(MID(AZ155,3,10),{6,7,8,9},1),"0123456789")))=0,ISNUMBER(FIND(MID(AZ155,13,1),"123456789ABCDEFGHIJKLMNOPQRSTUVWXYZ")),MID(AZ155,14,1)="Z")),"Wrong format",IF(MID("0123456789ABCDEFGHIJKLMNOPQRSTUVWXYZ",MOD(36-MOD(SUMPRODUCT(INT((FIND(MID(AZ155,{1,2,3,4,5,6,7,8,9,10,11,12,13,14},1),"0123456789ABCDEFGHIJKLMNOPQRSTUVWXYZ")-1)*{1,2,1,2,1,2,1,2,1,2,1,2,1,2}/36)+MOD((FIND(MID(AZ155,{1,2,3,4,5,6,7,8,9,10,11,12,13,14},1),"0123456789ABCDEFGHIJKLMNOPQRSTUVWXYZ")-1)*{1,2,1,2,1,2,1,2,1,2,1,2,1,2},36)),36),36)+1,1)=MID(AZ155,15,1),"OK","Typo? check digit wrong")),"Wrong format"))</f>
        <v/>
      </c>
      <c r="AW155" s="29">
        <f>IF(BA155="","",IF(AND(LEN(BA155)=10,SUMPRODUCT(--ISERROR(FIND(MID(BA155,{1,2,3,4,5,10},1),"ABCDEFGHIJKLMNOPQRSTUVWXYZ")))=0,SUMPRODUCT(--ISERROR(FIND(MID(BA155,{6,7,8,9},1),"0123456789")))=0),"OK","Wrong format"))</f>
        <v/>
      </c>
      <c r="AX155" s="29">
        <f>IF(TRIM(H155)="","",IF(AND(LEN(UPPER(TRIM(H155)))=10,SUMPRODUCT(--ISERROR(FIND(MID(UPPER(TRIM(H155)),{1,2,3,4,10},1),"ABCDEFGHIJKLMNOPQRSTUVWXYZ")))=0,SUMPRODUCT(--ISERROR(FIND(MID(UPPER(TRIM(H155)),{5,6,7,8,9},1),"0123456789")))=0),"OK","Wrong format"))</f>
        <v/>
      </c>
      <c r="AY155" s="30">
        <f>IF(NOT(COUNTA(A155:AE155)&gt;0),"",IF(BE155&lt;&gt;"","✖ "&amp;LEFT(BE155,LEN(BE155)-2),IF(BD155&gt;0,"✔ Ready — client + "&amp;BD155&amp;" service(s)","✔ Ready — client only")))</f>
        <v/>
      </c>
      <c r="AZ155" s="31">
        <f>UPPER(SUBSTITUTE(TRIM(F155)," ",""))</f>
        <v/>
      </c>
      <c r="BA155" s="31">
        <f>UPPER(SUBSTITUTE(TRIM(E155)," ",""))</f>
        <v/>
      </c>
      <c r="BB155" s="31">
        <f>IF(D155&lt;&gt;"",D155,IFERROR(VLOOKUP(MID(AS155,4,1),Lists!$E$2:$F$8,2,FALSE),""))</f>
        <v/>
      </c>
      <c r="BC155" s="31">
        <f>IFERROR(VLOOKUP(BB155,Lists!$A$2:$C$12,3,FALSE),"")</f>
        <v/>
      </c>
      <c r="BD155" s="31">
        <f>COUNTIF(W155:AC155,"Yes")</f>
        <v/>
      </c>
      <c r="BE155" s="31">
        <f>IF(TRIM(B155)="","Legal name missing; ","")&amp;IF(AND(AV155&lt;&gt;"",AV155&lt;&gt;"OK"),"GSTIN: "&amp;AV155&amp;"; ","")&amp;IF(AND(AW155&lt;&gt;"",AW155&lt;&gt;"OK"),"PAN wrong format; ","")&amp;IF(AND(BA155&lt;&gt;"",LEN(AZ155)=15,MID(AZ155,3,10)&lt;&gt;BA155),"PAN does not match GSTIN; ","")&amp;IF(AND(AX155&lt;&gt;"",AX155&lt;&gt;"OK"),"TAN wrong format; ","")&amp;IF(AS155="","PAN missing; ","")&amp;IF(BB155="","Entity type missing; ","")&amp;IF(AND(AZ155&lt;&gt;"",COUNTIF($AZ$6:$AZ$1005,AZ155)&gt;1),"GSTIN repeated in this sheet; ","")&amp;IF(AND(AS155&lt;&gt;"",COUNTIF($AS$6:$AS$1005,AS155)&gt;1),"PAN repeated in this sheet (same client? put extra GSTINs in Other GSTINs); ","")&amp;IF(AND(BD155&gt;0,V155=""),"Financial year missing; ","")&amp;IF(AND(BD155=0,V155&lt;&gt;""),"Financial year given but no service is Yes; ","")&amp;IF(AND(W155="Yes",AZ155=""),"GST needs a GSTIN; ","")&amp;IF(AND(W155="Yes",X155=""),"GST return frequency missing; ","")&amp;IF(AND(Y155="Yes",TRIM(H155)=""),"TDS needs a TAN; ","")&amp;IF(AND(AA155="Yes",BC155&lt;&gt;"",BC155&lt;&gt;"company",BC155&lt;&gt;"llp"),"ROC is only for a company / LLP; ","")&amp;IF(AND(AA155="Yes",OR(BC155="company",BC155="llp"),TRIM(I155)=""),"ROC needs the CIN / LLPIN; ","")&amp;IF((TRIM(AF155)="")&lt;&gt;(TRIM(AG155)=""),"GST login needs both user ID and password; ","")&amp;IF((TRIM(AH155)="")&lt;&gt;(TRIM(AI155)=""),"Income-tax login needs both user ID and password; ","")&amp;IF((TRIM(AJ155)="")&lt;&gt;(TRIM(AK155)=""),"Income-tax login needs both user ID and password; ","")&amp;IF((TRIM(AL155)="")&lt;&gt;(TRIM(AM155)=""),"TRACES login needs both user ID and password; ","")&amp;IF((TRIM(AN155)="")&lt;&gt;(TRIM(AO155)=""),"MCA login needs both user ID and password; ","")&amp;IF((TRIM(AP155)="")&lt;&gt;(TRIM(AQ155)=""),"E-way bill login needs both user ID and password; ","")</f>
        <v/>
      </c>
    </row>
    <row r="156">
      <c r="A156" s="32" t="n"/>
      <c r="B156" s="33" t="n"/>
      <c r="C156" s="33" t="n"/>
      <c r="D156" s="33" t="n"/>
      <c r="E156" s="32" t="n"/>
      <c r="F156" s="32" t="n"/>
      <c r="G156" s="32" t="n"/>
      <c r="H156" s="32" t="n"/>
      <c r="I156" s="32" t="n"/>
      <c r="J156" s="34" t="n"/>
      <c r="K156" s="33" t="n"/>
      <c r="L156" s="32" t="n"/>
      <c r="M156" s="33" t="n"/>
      <c r="N156" s="33" t="n"/>
      <c r="O156" s="33" t="n"/>
      <c r="P156" s="32" t="n"/>
      <c r="Q156" s="33" t="n"/>
      <c r="R156" s="33" t="n"/>
      <c r="S156" s="33" t="n"/>
      <c r="T156" s="33" t="n"/>
      <c r="U156" s="32" t="n"/>
      <c r="V156" s="33" t="n"/>
      <c r="W156" s="33" t="n"/>
      <c r="X156" s="33" t="n"/>
      <c r="Y156" s="33" t="n"/>
      <c r="Z156" s="33" t="n"/>
      <c r="AA156" s="33" t="n"/>
      <c r="AB156" s="33" t="n"/>
      <c r="AC156" s="33" t="n"/>
      <c r="AD156" s="33" t="n"/>
      <c r="AE156" s="33" t="n"/>
      <c r="AF156" s="32" t="n"/>
      <c r="AG156" s="32" t="n"/>
      <c r="AH156" s="32" t="n"/>
      <c r="AI156" s="32" t="n"/>
      <c r="AJ156" s="32" t="n"/>
      <c r="AK156" s="32" t="n"/>
      <c r="AL156" s="32" t="n"/>
      <c r="AM156" s="32" t="n"/>
      <c r="AN156" s="32" t="n"/>
      <c r="AO156" s="32" t="n"/>
      <c r="AP156" s="32" t="n"/>
      <c r="AQ156" s="32" t="n"/>
      <c r="AR156" s="29">
        <f>IF(NOT(COUNTA(A156:AE156)&gt;0),"",IF(A156="","New client","Update"))</f>
        <v/>
      </c>
      <c r="AS156" s="29">
        <f>IF(BA156&lt;&gt;"",BA156,IF(LEN(AZ156)=15,MID(AZ156,3,10),""))</f>
        <v/>
      </c>
      <c r="AT156" s="29">
        <f>IF(BB156="","",BB156&amp;IF(D156="","  (guessed from PAN)",""))</f>
        <v/>
      </c>
      <c r="AU156" s="29">
        <f>IF(AZ156="","",IFERROR(INDEX(Lists!$L$2:$L$38,MATCH(LEFT(AZ156,2),Lists!$K$2:$K$38,0)),"Unknown code"))</f>
        <v/>
      </c>
      <c r="AV156" s="29">
        <f>IF(AZ156="","",IFERROR(IF(NOT(AND(LEN(AZ156)=15,ISNUMBER(MATCH(LEFT(AZ156,2),Lists!$K$2:$K$38,0)),SUMPRODUCT(--ISERROR(FIND(MID(MID(AZ156,3,10),{1,2,3,4,5,10},1),"ABCDEFGHIJKLMNOPQRSTUVWXYZ")))=0,SUMPRODUCT(--ISERROR(FIND(MID(MID(AZ156,3,10),{6,7,8,9},1),"0123456789")))=0,ISNUMBER(FIND(MID(AZ156,13,1),"123456789ABCDEFGHIJKLMNOPQRSTUVWXYZ")),MID(AZ156,14,1)="Z")),"Wrong format",IF(MID("0123456789ABCDEFGHIJKLMNOPQRSTUVWXYZ",MOD(36-MOD(SUMPRODUCT(INT((FIND(MID(AZ156,{1,2,3,4,5,6,7,8,9,10,11,12,13,14},1),"0123456789ABCDEFGHIJKLMNOPQRSTUVWXYZ")-1)*{1,2,1,2,1,2,1,2,1,2,1,2,1,2}/36)+MOD((FIND(MID(AZ156,{1,2,3,4,5,6,7,8,9,10,11,12,13,14},1),"0123456789ABCDEFGHIJKLMNOPQRSTUVWXYZ")-1)*{1,2,1,2,1,2,1,2,1,2,1,2,1,2},36)),36),36)+1,1)=MID(AZ156,15,1),"OK","Typo? check digit wrong")),"Wrong format"))</f>
        <v/>
      </c>
      <c r="AW156" s="29">
        <f>IF(BA156="","",IF(AND(LEN(BA156)=10,SUMPRODUCT(--ISERROR(FIND(MID(BA156,{1,2,3,4,5,10},1),"ABCDEFGHIJKLMNOPQRSTUVWXYZ")))=0,SUMPRODUCT(--ISERROR(FIND(MID(BA156,{6,7,8,9},1),"0123456789")))=0),"OK","Wrong format"))</f>
        <v/>
      </c>
      <c r="AX156" s="29">
        <f>IF(TRIM(H156)="","",IF(AND(LEN(UPPER(TRIM(H156)))=10,SUMPRODUCT(--ISERROR(FIND(MID(UPPER(TRIM(H156)),{1,2,3,4,10},1),"ABCDEFGHIJKLMNOPQRSTUVWXYZ")))=0,SUMPRODUCT(--ISERROR(FIND(MID(UPPER(TRIM(H156)),{5,6,7,8,9},1),"0123456789")))=0),"OK","Wrong format"))</f>
        <v/>
      </c>
      <c r="AY156" s="30">
        <f>IF(NOT(COUNTA(A156:AE156)&gt;0),"",IF(BE156&lt;&gt;"","✖ "&amp;LEFT(BE156,LEN(BE156)-2),IF(BD156&gt;0,"✔ Ready — client + "&amp;BD156&amp;" service(s)","✔ Ready — client only")))</f>
        <v/>
      </c>
      <c r="AZ156" s="31">
        <f>UPPER(SUBSTITUTE(TRIM(F156)," ",""))</f>
        <v/>
      </c>
      <c r="BA156" s="31">
        <f>UPPER(SUBSTITUTE(TRIM(E156)," ",""))</f>
        <v/>
      </c>
      <c r="BB156" s="31">
        <f>IF(D156&lt;&gt;"",D156,IFERROR(VLOOKUP(MID(AS156,4,1),Lists!$E$2:$F$8,2,FALSE),""))</f>
        <v/>
      </c>
      <c r="BC156" s="31">
        <f>IFERROR(VLOOKUP(BB156,Lists!$A$2:$C$12,3,FALSE),"")</f>
        <v/>
      </c>
      <c r="BD156" s="31">
        <f>COUNTIF(W156:AC156,"Yes")</f>
        <v/>
      </c>
      <c r="BE156" s="31">
        <f>IF(TRIM(B156)="","Legal name missing; ","")&amp;IF(AND(AV156&lt;&gt;"",AV156&lt;&gt;"OK"),"GSTIN: "&amp;AV156&amp;"; ","")&amp;IF(AND(AW156&lt;&gt;"",AW156&lt;&gt;"OK"),"PAN wrong format; ","")&amp;IF(AND(BA156&lt;&gt;"",LEN(AZ156)=15,MID(AZ156,3,10)&lt;&gt;BA156),"PAN does not match GSTIN; ","")&amp;IF(AND(AX156&lt;&gt;"",AX156&lt;&gt;"OK"),"TAN wrong format; ","")&amp;IF(AS156="","PAN missing; ","")&amp;IF(BB156="","Entity type missing; ","")&amp;IF(AND(AZ156&lt;&gt;"",COUNTIF($AZ$6:$AZ$1005,AZ156)&gt;1),"GSTIN repeated in this sheet; ","")&amp;IF(AND(AS156&lt;&gt;"",COUNTIF($AS$6:$AS$1005,AS156)&gt;1),"PAN repeated in this sheet (same client? put extra GSTINs in Other GSTINs); ","")&amp;IF(AND(BD156&gt;0,V156=""),"Financial year missing; ","")&amp;IF(AND(BD156=0,V156&lt;&gt;""),"Financial year given but no service is Yes; ","")&amp;IF(AND(W156="Yes",AZ156=""),"GST needs a GSTIN; ","")&amp;IF(AND(W156="Yes",X156=""),"GST return frequency missing; ","")&amp;IF(AND(Y156="Yes",TRIM(H156)=""),"TDS needs a TAN; ","")&amp;IF(AND(AA156="Yes",BC156&lt;&gt;"",BC156&lt;&gt;"company",BC156&lt;&gt;"llp"),"ROC is only for a company / LLP; ","")&amp;IF(AND(AA156="Yes",OR(BC156="company",BC156="llp"),TRIM(I156)=""),"ROC needs the CIN / LLPIN; ","")&amp;IF((TRIM(AF156)="")&lt;&gt;(TRIM(AG156)=""),"GST login needs both user ID and password; ","")&amp;IF((TRIM(AH156)="")&lt;&gt;(TRIM(AI156)=""),"Income-tax login needs both user ID and password; ","")&amp;IF((TRIM(AJ156)="")&lt;&gt;(TRIM(AK156)=""),"Income-tax login needs both user ID and password; ","")&amp;IF((TRIM(AL156)="")&lt;&gt;(TRIM(AM156)=""),"TRACES login needs both user ID and password; ","")&amp;IF((TRIM(AN156)="")&lt;&gt;(TRIM(AO156)=""),"MCA login needs both user ID and password; ","")&amp;IF((TRIM(AP156)="")&lt;&gt;(TRIM(AQ156)=""),"E-way bill login needs both user ID and password; ","")</f>
        <v/>
      </c>
    </row>
    <row r="157">
      <c r="A157" s="32" t="n"/>
      <c r="B157" s="33" t="n"/>
      <c r="C157" s="33" t="n"/>
      <c r="D157" s="33" t="n"/>
      <c r="E157" s="32" t="n"/>
      <c r="F157" s="32" t="n"/>
      <c r="G157" s="32" t="n"/>
      <c r="H157" s="32" t="n"/>
      <c r="I157" s="32" t="n"/>
      <c r="J157" s="34" t="n"/>
      <c r="K157" s="33" t="n"/>
      <c r="L157" s="32" t="n"/>
      <c r="M157" s="33" t="n"/>
      <c r="N157" s="33" t="n"/>
      <c r="O157" s="33" t="n"/>
      <c r="P157" s="32" t="n"/>
      <c r="Q157" s="33" t="n"/>
      <c r="R157" s="33" t="n"/>
      <c r="S157" s="33" t="n"/>
      <c r="T157" s="33" t="n"/>
      <c r="U157" s="32" t="n"/>
      <c r="V157" s="33" t="n"/>
      <c r="W157" s="33" t="n"/>
      <c r="X157" s="33" t="n"/>
      <c r="Y157" s="33" t="n"/>
      <c r="Z157" s="33" t="n"/>
      <c r="AA157" s="33" t="n"/>
      <c r="AB157" s="33" t="n"/>
      <c r="AC157" s="33" t="n"/>
      <c r="AD157" s="33" t="n"/>
      <c r="AE157" s="33" t="n"/>
      <c r="AF157" s="32" t="n"/>
      <c r="AG157" s="32" t="n"/>
      <c r="AH157" s="32" t="n"/>
      <c r="AI157" s="32" t="n"/>
      <c r="AJ157" s="32" t="n"/>
      <c r="AK157" s="32" t="n"/>
      <c r="AL157" s="32" t="n"/>
      <c r="AM157" s="32" t="n"/>
      <c r="AN157" s="32" t="n"/>
      <c r="AO157" s="32" t="n"/>
      <c r="AP157" s="32" t="n"/>
      <c r="AQ157" s="32" t="n"/>
      <c r="AR157" s="29">
        <f>IF(NOT(COUNTA(A157:AE157)&gt;0),"",IF(A157="","New client","Update"))</f>
        <v/>
      </c>
      <c r="AS157" s="29">
        <f>IF(BA157&lt;&gt;"",BA157,IF(LEN(AZ157)=15,MID(AZ157,3,10),""))</f>
        <v/>
      </c>
      <c r="AT157" s="29">
        <f>IF(BB157="","",BB157&amp;IF(D157="","  (guessed from PAN)",""))</f>
        <v/>
      </c>
      <c r="AU157" s="29">
        <f>IF(AZ157="","",IFERROR(INDEX(Lists!$L$2:$L$38,MATCH(LEFT(AZ157,2),Lists!$K$2:$K$38,0)),"Unknown code"))</f>
        <v/>
      </c>
      <c r="AV157" s="29">
        <f>IF(AZ157="","",IFERROR(IF(NOT(AND(LEN(AZ157)=15,ISNUMBER(MATCH(LEFT(AZ157,2),Lists!$K$2:$K$38,0)),SUMPRODUCT(--ISERROR(FIND(MID(MID(AZ157,3,10),{1,2,3,4,5,10},1),"ABCDEFGHIJKLMNOPQRSTUVWXYZ")))=0,SUMPRODUCT(--ISERROR(FIND(MID(MID(AZ157,3,10),{6,7,8,9},1),"0123456789")))=0,ISNUMBER(FIND(MID(AZ157,13,1),"123456789ABCDEFGHIJKLMNOPQRSTUVWXYZ")),MID(AZ157,14,1)="Z")),"Wrong format",IF(MID("0123456789ABCDEFGHIJKLMNOPQRSTUVWXYZ",MOD(36-MOD(SUMPRODUCT(INT((FIND(MID(AZ157,{1,2,3,4,5,6,7,8,9,10,11,12,13,14},1),"0123456789ABCDEFGHIJKLMNOPQRSTUVWXYZ")-1)*{1,2,1,2,1,2,1,2,1,2,1,2,1,2}/36)+MOD((FIND(MID(AZ157,{1,2,3,4,5,6,7,8,9,10,11,12,13,14},1),"0123456789ABCDEFGHIJKLMNOPQRSTUVWXYZ")-1)*{1,2,1,2,1,2,1,2,1,2,1,2,1,2},36)),36),36)+1,1)=MID(AZ157,15,1),"OK","Typo? check digit wrong")),"Wrong format"))</f>
        <v/>
      </c>
      <c r="AW157" s="29">
        <f>IF(BA157="","",IF(AND(LEN(BA157)=10,SUMPRODUCT(--ISERROR(FIND(MID(BA157,{1,2,3,4,5,10},1),"ABCDEFGHIJKLMNOPQRSTUVWXYZ")))=0,SUMPRODUCT(--ISERROR(FIND(MID(BA157,{6,7,8,9},1),"0123456789")))=0),"OK","Wrong format"))</f>
        <v/>
      </c>
      <c r="AX157" s="29">
        <f>IF(TRIM(H157)="","",IF(AND(LEN(UPPER(TRIM(H157)))=10,SUMPRODUCT(--ISERROR(FIND(MID(UPPER(TRIM(H157)),{1,2,3,4,10},1),"ABCDEFGHIJKLMNOPQRSTUVWXYZ")))=0,SUMPRODUCT(--ISERROR(FIND(MID(UPPER(TRIM(H157)),{5,6,7,8,9},1),"0123456789")))=0),"OK","Wrong format"))</f>
        <v/>
      </c>
      <c r="AY157" s="30">
        <f>IF(NOT(COUNTA(A157:AE157)&gt;0),"",IF(BE157&lt;&gt;"","✖ "&amp;LEFT(BE157,LEN(BE157)-2),IF(BD157&gt;0,"✔ Ready — client + "&amp;BD157&amp;" service(s)","✔ Ready — client only")))</f>
        <v/>
      </c>
      <c r="AZ157" s="31">
        <f>UPPER(SUBSTITUTE(TRIM(F157)," ",""))</f>
        <v/>
      </c>
      <c r="BA157" s="31">
        <f>UPPER(SUBSTITUTE(TRIM(E157)," ",""))</f>
        <v/>
      </c>
      <c r="BB157" s="31">
        <f>IF(D157&lt;&gt;"",D157,IFERROR(VLOOKUP(MID(AS157,4,1),Lists!$E$2:$F$8,2,FALSE),""))</f>
        <v/>
      </c>
      <c r="BC157" s="31">
        <f>IFERROR(VLOOKUP(BB157,Lists!$A$2:$C$12,3,FALSE),"")</f>
        <v/>
      </c>
      <c r="BD157" s="31">
        <f>COUNTIF(W157:AC157,"Yes")</f>
        <v/>
      </c>
      <c r="BE157" s="31">
        <f>IF(TRIM(B157)="","Legal name missing; ","")&amp;IF(AND(AV157&lt;&gt;"",AV157&lt;&gt;"OK"),"GSTIN: "&amp;AV157&amp;"; ","")&amp;IF(AND(AW157&lt;&gt;"",AW157&lt;&gt;"OK"),"PAN wrong format; ","")&amp;IF(AND(BA157&lt;&gt;"",LEN(AZ157)=15,MID(AZ157,3,10)&lt;&gt;BA157),"PAN does not match GSTIN; ","")&amp;IF(AND(AX157&lt;&gt;"",AX157&lt;&gt;"OK"),"TAN wrong format; ","")&amp;IF(AS157="","PAN missing; ","")&amp;IF(BB157="","Entity type missing; ","")&amp;IF(AND(AZ157&lt;&gt;"",COUNTIF($AZ$6:$AZ$1005,AZ157)&gt;1),"GSTIN repeated in this sheet; ","")&amp;IF(AND(AS157&lt;&gt;"",COUNTIF($AS$6:$AS$1005,AS157)&gt;1),"PAN repeated in this sheet (same client? put extra GSTINs in Other GSTINs); ","")&amp;IF(AND(BD157&gt;0,V157=""),"Financial year missing; ","")&amp;IF(AND(BD157=0,V157&lt;&gt;""),"Financial year given but no service is Yes; ","")&amp;IF(AND(W157="Yes",AZ157=""),"GST needs a GSTIN; ","")&amp;IF(AND(W157="Yes",X157=""),"GST return frequency missing; ","")&amp;IF(AND(Y157="Yes",TRIM(H157)=""),"TDS needs a TAN; ","")&amp;IF(AND(AA157="Yes",BC157&lt;&gt;"",BC157&lt;&gt;"company",BC157&lt;&gt;"llp"),"ROC is only for a company / LLP; ","")&amp;IF(AND(AA157="Yes",OR(BC157="company",BC157="llp"),TRIM(I157)=""),"ROC needs the CIN / LLPIN; ","")&amp;IF((TRIM(AF157)="")&lt;&gt;(TRIM(AG157)=""),"GST login needs both user ID and password; ","")&amp;IF((TRIM(AH157)="")&lt;&gt;(TRIM(AI157)=""),"Income-tax login needs both user ID and password; ","")&amp;IF((TRIM(AJ157)="")&lt;&gt;(TRIM(AK157)=""),"Income-tax login needs both user ID and password; ","")&amp;IF((TRIM(AL157)="")&lt;&gt;(TRIM(AM157)=""),"TRACES login needs both user ID and password; ","")&amp;IF((TRIM(AN157)="")&lt;&gt;(TRIM(AO157)=""),"MCA login needs both user ID and password; ","")&amp;IF((TRIM(AP157)="")&lt;&gt;(TRIM(AQ157)=""),"E-way bill login needs both user ID and password; ","")</f>
        <v/>
      </c>
    </row>
    <row r="158">
      <c r="A158" s="32" t="n"/>
      <c r="B158" s="33" t="n"/>
      <c r="C158" s="33" t="n"/>
      <c r="D158" s="33" t="n"/>
      <c r="E158" s="32" t="n"/>
      <c r="F158" s="32" t="n"/>
      <c r="G158" s="32" t="n"/>
      <c r="H158" s="32" t="n"/>
      <c r="I158" s="32" t="n"/>
      <c r="J158" s="34" t="n"/>
      <c r="K158" s="33" t="n"/>
      <c r="L158" s="32" t="n"/>
      <c r="M158" s="33" t="n"/>
      <c r="N158" s="33" t="n"/>
      <c r="O158" s="33" t="n"/>
      <c r="P158" s="32" t="n"/>
      <c r="Q158" s="33" t="n"/>
      <c r="R158" s="33" t="n"/>
      <c r="S158" s="33" t="n"/>
      <c r="T158" s="33" t="n"/>
      <c r="U158" s="32" t="n"/>
      <c r="V158" s="33" t="n"/>
      <c r="W158" s="33" t="n"/>
      <c r="X158" s="33" t="n"/>
      <c r="Y158" s="33" t="n"/>
      <c r="Z158" s="33" t="n"/>
      <c r="AA158" s="33" t="n"/>
      <c r="AB158" s="33" t="n"/>
      <c r="AC158" s="33" t="n"/>
      <c r="AD158" s="33" t="n"/>
      <c r="AE158" s="33" t="n"/>
      <c r="AF158" s="32" t="n"/>
      <c r="AG158" s="32" t="n"/>
      <c r="AH158" s="32" t="n"/>
      <c r="AI158" s="32" t="n"/>
      <c r="AJ158" s="32" t="n"/>
      <c r="AK158" s="32" t="n"/>
      <c r="AL158" s="32" t="n"/>
      <c r="AM158" s="32" t="n"/>
      <c r="AN158" s="32" t="n"/>
      <c r="AO158" s="32" t="n"/>
      <c r="AP158" s="32" t="n"/>
      <c r="AQ158" s="32" t="n"/>
      <c r="AR158" s="29">
        <f>IF(NOT(COUNTA(A158:AE158)&gt;0),"",IF(A158="","New client","Update"))</f>
        <v/>
      </c>
      <c r="AS158" s="29">
        <f>IF(BA158&lt;&gt;"",BA158,IF(LEN(AZ158)=15,MID(AZ158,3,10),""))</f>
        <v/>
      </c>
      <c r="AT158" s="29">
        <f>IF(BB158="","",BB158&amp;IF(D158="","  (guessed from PAN)",""))</f>
        <v/>
      </c>
      <c r="AU158" s="29">
        <f>IF(AZ158="","",IFERROR(INDEX(Lists!$L$2:$L$38,MATCH(LEFT(AZ158,2),Lists!$K$2:$K$38,0)),"Unknown code"))</f>
        <v/>
      </c>
      <c r="AV158" s="29">
        <f>IF(AZ158="","",IFERROR(IF(NOT(AND(LEN(AZ158)=15,ISNUMBER(MATCH(LEFT(AZ158,2),Lists!$K$2:$K$38,0)),SUMPRODUCT(--ISERROR(FIND(MID(MID(AZ158,3,10),{1,2,3,4,5,10},1),"ABCDEFGHIJKLMNOPQRSTUVWXYZ")))=0,SUMPRODUCT(--ISERROR(FIND(MID(MID(AZ158,3,10),{6,7,8,9},1),"0123456789")))=0,ISNUMBER(FIND(MID(AZ158,13,1),"123456789ABCDEFGHIJKLMNOPQRSTUVWXYZ")),MID(AZ158,14,1)="Z")),"Wrong format",IF(MID("0123456789ABCDEFGHIJKLMNOPQRSTUVWXYZ",MOD(36-MOD(SUMPRODUCT(INT((FIND(MID(AZ158,{1,2,3,4,5,6,7,8,9,10,11,12,13,14},1),"0123456789ABCDEFGHIJKLMNOPQRSTUVWXYZ")-1)*{1,2,1,2,1,2,1,2,1,2,1,2,1,2}/36)+MOD((FIND(MID(AZ158,{1,2,3,4,5,6,7,8,9,10,11,12,13,14},1),"0123456789ABCDEFGHIJKLMNOPQRSTUVWXYZ")-1)*{1,2,1,2,1,2,1,2,1,2,1,2,1,2},36)),36),36)+1,1)=MID(AZ158,15,1),"OK","Typo? check digit wrong")),"Wrong format"))</f>
        <v/>
      </c>
      <c r="AW158" s="29">
        <f>IF(BA158="","",IF(AND(LEN(BA158)=10,SUMPRODUCT(--ISERROR(FIND(MID(BA158,{1,2,3,4,5,10},1),"ABCDEFGHIJKLMNOPQRSTUVWXYZ")))=0,SUMPRODUCT(--ISERROR(FIND(MID(BA158,{6,7,8,9},1),"0123456789")))=0),"OK","Wrong format"))</f>
        <v/>
      </c>
      <c r="AX158" s="29">
        <f>IF(TRIM(H158)="","",IF(AND(LEN(UPPER(TRIM(H158)))=10,SUMPRODUCT(--ISERROR(FIND(MID(UPPER(TRIM(H158)),{1,2,3,4,10},1),"ABCDEFGHIJKLMNOPQRSTUVWXYZ")))=0,SUMPRODUCT(--ISERROR(FIND(MID(UPPER(TRIM(H158)),{5,6,7,8,9},1),"0123456789")))=0),"OK","Wrong format"))</f>
        <v/>
      </c>
      <c r="AY158" s="30">
        <f>IF(NOT(COUNTA(A158:AE158)&gt;0),"",IF(BE158&lt;&gt;"","✖ "&amp;LEFT(BE158,LEN(BE158)-2),IF(BD158&gt;0,"✔ Ready — client + "&amp;BD158&amp;" service(s)","✔ Ready — client only")))</f>
        <v/>
      </c>
      <c r="AZ158" s="31">
        <f>UPPER(SUBSTITUTE(TRIM(F158)," ",""))</f>
        <v/>
      </c>
      <c r="BA158" s="31">
        <f>UPPER(SUBSTITUTE(TRIM(E158)," ",""))</f>
        <v/>
      </c>
      <c r="BB158" s="31">
        <f>IF(D158&lt;&gt;"",D158,IFERROR(VLOOKUP(MID(AS158,4,1),Lists!$E$2:$F$8,2,FALSE),""))</f>
        <v/>
      </c>
      <c r="BC158" s="31">
        <f>IFERROR(VLOOKUP(BB158,Lists!$A$2:$C$12,3,FALSE),"")</f>
        <v/>
      </c>
      <c r="BD158" s="31">
        <f>COUNTIF(W158:AC158,"Yes")</f>
        <v/>
      </c>
      <c r="BE158" s="31">
        <f>IF(TRIM(B158)="","Legal name missing; ","")&amp;IF(AND(AV158&lt;&gt;"",AV158&lt;&gt;"OK"),"GSTIN: "&amp;AV158&amp;"; ","")&amp;IF(AND(AW158&lt;&gt;"",AW158&lt;&gt;"OK"),"PAN wrong format; ","")&amp;IF(AND(BA158&lt;&gt;"",LEN(AZ158)=15,MID(AZ158,3,10)&lt;&gt;BA158),"PAN does not match GSTIN; ","")&amp;IF(AND(AX158&lt;&gt;"",AX158&lt;&gt;"OK"),"TAN wrong format; ","")&amp;IF(AS158="","PAN missing; ","")&amp;IF(BB158="","Entity type missing; ","")&amp;IF(AND(AZ158&lt;&gt;"",COUNTIF($AZ$6:$AZ$1005,AZ158)&gt;1),"GSTIN repeated in this sheet; ","")&amp;IF(AND(AS158&lt;&gt;"",COUNTIF($AS$6:$AS$1005,AS158)&gt;1),"PAN repeated in this sheet (same client? put extra GSTINs in Other GSTINs); ","")&amp;IF(AND(BD158&gt;0,V158=""),"Financial year missing; ","")&amp;IF(AND(BD158=0,V158&lt;&gt;""),"Financial year given but no service is Yes; ","")&amp;IF(AND(W158="Yes",AZ158=""),"GST needs a GSTIN; ","")&amp;IF(AND(W158="Yes",X158=""),"GST return frequency missing; ","")&amp;IF(AND(Y158="Yes",TRIM(H158)=""),"TDS needs a TAN; ","")&amp;IF(AND(AA158="Yes",BC158&lt;&gt;"",BC158&lt;&gt;"company",BC158&lt;&gt;"llp"),"ROC is only for a company / LLP; ","")&amp;IF(AND(AA158="Yes",OR(BC158="company",BC158="llp"),TRIM(I158)=""),"ROC needs the CIN / LLPIN; ","")&amp;IF((TRIM(AF158)="")&lt;&gt;(TRIM(AG158)=""),"GST login needs both user ID and password; ","")&amp;IF((TRIM(AH158)="")&lt;&gt;(TRIM(AI158)=""),"Income-tax login needs both user ID and password; ","")&amp;IF((TRIM(AJ158)="")&lt;&gt;(TRIM(AK158)=""),"Income-tax login needs both user ID and password; ","")&amp;IF((TRIM(AL158)="")&lt;&gt;(TRIM(AM158)=""),"TRACES login needs both user ID and password; ","")&amp;IF((TRIM(AN158)="")&lt;&gt;(TRIM(AO158)=""),"MCA login needs both user ID and password; ","")&amp;IF((TRIM(AP158)="")&lt;&gt;(TRIM(AQ158)=""),"E-way bill login needs both user ID and password; ","")</f>
        <v/>
      </c>
    </row>
    <row r="159">
      <c r="A159" s="32" t="n"/>
      <c r="B159" s="33" t="n"/>
      <c r="C159" s="33" t="n"/>
      <c r="D159" s="33" t="n"/>
      <c r="E159" s="32" t="n"/>
      <c r="F159" s="32" t="n"/>
      <c r="G159" s="32" t="n"/>
      <c r="H159" s="32" t="n"/>
      <c r="I159" s="32" t="n"/>
      <c r="J159" s="34" t="n"/>
      <c r="K159" s="33" t="n"/>
      <c r="L159" s="32" t="n"/>
      <c r="M159" s="33" t="n"/>
      <c r="N159" s="33" t="n"/>
      <c r="O159" s="33" t="n"/>
      <c r="P159" s="32" t="n"/>
      <c r="Q159" s="33" t="n"/>
      <c r="R159" s="33" t="n"/>
      <c r="S159" s="33" t="n"/>
      <c r="T159" s="33" t="n"/>
      <c r="U159" s="32" t="n"/>
      <c r="V159" s="33" t="n"/>
      <c r="W159" s="33" t="n"/>
      <c r="X159" s="33" t="n"/>
      <c r="Y159" s="33" t="n"/>
      <c r="Z159" s="33" t="n"/>
      <c r="AA159" s="33" t="n"/>
      <c r="AB159" s="33" t="n"/>
      <c r="AC159" s="33" t="n"/>
      <c r="AD159" s="33" t="n"/>
      <c r="AE159" s="33" t="n"/>
      <c r="AF159" s="32" t="n"/>
      <c r="AG159" s="32" t="n"/>
      <c r="AH159" s="32" t="n"/>
      <c r="AI159" s="32" t="n"/>
      <c r="AJ159" s="32" t="n"/>
      <c r="AK159" s="32" t="n"/>
      <c r="AL159" s="32" t="n"/>
      <c r="AM159" s="32" t="n"/>
      <c r="AN159" s="32" t="n"/>
      <c r="AO159" s="32" t="n"/>
      <c r="AP159" s="32" t="n"/>
      <c r="AQ159" s="32" t="n"/>
      <c r="AR159" s="29">
        <f>IF(NOT(COUNTA(A159:AE159)&gt;0),"",IF(A159="","New client","Update"))</f>
        <v/>
      </c>
      <c r="AS159" s="29">
        <f>IF(BA159&lt;&gt;"",BA159,IF(LEN(AZ159)=15,MID(AZ159,3,10),""))</f>
        <v/>
      </c>
      <c r="AT159" s="29">
        <f>IF(BB159="","",BB159&amp;IF(D159="","  (guessed from PAN)",""))</f>
        <v/>
      </c>
      <c r="AU159" s="29">
        <f>IF(AZ159="","",IFERROR(INDEX(Lists!$L$2:$L$38,MATCH(LEFT(AZ159,2),Lists!$K$2:$K$38,0)),"Unknown code"))</f>
        <v/>
      </c>
      <c r="AV159" s="29">
        <f>IF(AZ159="","",IFERROR(IF(NOT(AND(LEN(AZ159)=15,ISNUMBER(MATCH(LEFT(AZ159,2),Lists!$K$2:$K$38,0)),SUMPRODUCT(--ISERROR(FIND(MID(MID(AZ159,3,10),{1,2,3,4,5,10},1),"ABCDEFGHIJKLMNOPQRSTUVWXYZ")))=0,SUMPRODUCT(--ISERROR(FIND(MID(MID(AZ159,3,10),{6,7,8,9},1),"0123456789")))=0,ISNUMBER(FIND(MID(AZ159,13,1),"123456789ABCDEFGHIJKLMNOPQRSTUVWXYZ")),MID(AZ159,14,1)="Z")),"Wrong format",IF(MID("0123456789ABCDEFGHIJKLMNOPQRSTUVWXYZ",MOD(36-MOD(SUMPRODUCT(INT((FIND(MID(AZ159,{1,2,3,4,5,6,7,8,9,10,11,12,13,14},1),"0123456789ABCDEFGHIJKLMNOPQRSTUVWXYZ")-1)*{1,2,1,2,1,2,1,2,1,2,1,2,1,2}/36)+MOD((FIND(MID(AZ159,{1,2,3,4,5,6,7,8,9,10,11,12,13,14},1),"0123456789ABCDEFGHIJKLMNOPQRSTUVWXYZ")-1)*{1,2,1,2,1,2,1,2,1,2,1,2,1,2},36)),36),36)+1,1)=MID(AZ159,15,1),"OK","Typo? check digit wrong")),"Wrong format"))</f>
        <v/>
      </c>
      <c r="AW159" s="29">
        <f>IF(BA159="","",IF(AND(LEN(BA159)=10,SUMPRODUCT(--ISERROR(FIND(MID(BA159,{1,2,3,4,5,10},1),"ABCDEFGHIJKLMNOPQRSTUVWXYZ")))=0,SUMPRODUCT(--ISERROR(FIND(MID(BA159,{6,7,8,9},1),"0123456789")))=0),"OK","Wrong format"))</f>
        <v/>
      </c>
      <c r="AX159" s="29">
        <f>IF(TRIM(H159)="","",IF(AND(LEN(UPPER(TRIM(H159)))=10,SUMPRODUCT(--ISERROR(FIND(MID(UPPER(TRIM(H159)),{1,2,3,4,10},1),"ABCDEFGHIJKLMNOPQRSTUVWXYZ")))=0,SUMPRODUCT(--ISERROR(FIND(MID(UPPER(TRIM(H159)),{5,6,7,8,9},1),"0123456789")))=0),"OK","Wrong format"))</f>
        <v/>
      </c>
      <c r="AY159" s="30">
        <f>IF(NOT(COUNTA(A159:AE159)&gt;0),"",IF(BE159&lt;&gt;"","✖ "&amp;LEFT(BE159,LEN(BE159)-2),IF(BD159&gt;0,"✔ Ready — client + "&amp;BD159&amp;" service(s)","✔ Ready — client only")))</f>
        <v/>
      </c>
      <c r="AZ159" s="31">
        <f>UPPER(SUBSTITUTE(TRIM(F159)," ",""))</f>
        <v/>
      </c>
      <c r="BA159" s="31">
        <f>UPPER(SUBSTITUTE(TRIM(E159)," ",""))</f>
        <v/>
      </c>
      <c r="BB159" s="31">
        <f>IF(D159&lt;&gt;"",D159,IFERROR(VLOOKUP(MID(AS159,4,1),Lists!$E$2:$F$8,2,FALSE),""))</f>
        <v/>
      </c>
      <c r="BC159" s="31">
        <f>IFERROR(VLOOKUP(BB159,Lists!$A$2:$C$12,3,FALSE),"")</f>
        <v/>
      </c>
      <c r="BD159" s="31">
        <f>COUNTIF(W159:AC159,"Yes")</f>
        <v/>
      </c>
      <c r="BE159" s="31">
        <f>IF(TRIM(B159)="","Legal name missing; ","")&amp;IF(AND(AV159&lt;&gt;"",AV159&lt;&gt;"OK"),"GSTIN: "&amp;AV159&amp;"; ","")&amp;IF(AND(AW159&lt;&gt;"",AW159&lt;&gt;"OK"),"PAN wrong format; ","")&amp;IF(AND(BA159&lt;&gt;"",LEN(AZ159)=15,MID(AZ159,3,10)&lt;&gt;BA159),"PAN does not match GSTIN; ","")&amp;IF(AND(AX159&lt;&gt;"",AX159&lt;&gt;"OK"),"TAN wrong format; ","")&amp;IF(AS159="","PAN missing; ","")&amp;IF(BB159="","Entity type missing; ","")&amp;IF(AND(AZ159&lt;&gt;"",COUNTIF($AZ$6:$AZ$1005,AZ159)&gt;1),"GSTIN repeated in this sheet; ","")&amp;IF(AND(AS159&lt;&gt;"",COUNTIF($AS$6:$AS$1005,AS159)&gt;1),"PAN repeated in this sheet (same client? put extra GSTINs in Other GSTINs); ","")&amp;IF(AND(BD159&gt;0,V159=""),"Financial year missing; ","")&amp;IF(AND(BD159=0,V159&lt;&gt;""),"Financial year given but no service is Yes; ","")&amp;IF(AND(W159="Yes",AZ159=""),"GST needs a GSTIN; ","")&amp;IF(AND(W159="Yes",X159=""),"GST return frequency missing; ","")&amp;IF(AND(Y159="Yes",TRIM(H159)=""),"TDS needs a TAN; ","")&amp;IF(AND(AA159="Yes",BC159&lt;&gt;"",BC159&lt;&gt;"company",BC159&lt;&gt;"llp"),"ROC is only for a company / LLP; ","")&amp;IF(AND(AA159="Yes",OR(BC159="company",BC159="llp"),TRIM(I159)=""),"ROC needs the CIN / LLPIN; ","")&amp;IF((TRIM(AF159)="")&lt;&gt;(TRIM(AG159)=""),"GST login needs both user ID and password; ","")&amp;IF((TRIM(AH159)="")&lt;&gt;(TRIM(AI159)=""),"Income-tax login needs both user ID and password; ","")&amp;IF((TRIM(AJ159)="")&lt;&gt;(TRIM(AK159)=""),"Income-tax login needs both user ID and password; ","")&amp;IF((TRIM(AL159)="")&lt;&gt;(TRIM(AM159)=""),"TRACES login needs both user ID and password; ","")&amp;IF((TRIM(AN159)="")&lt;&gt;(TRIM(AO159)=""),"MCA login needs both user ID and password; ","")&amp;IF((TRIM(AP159)="")&lt;&gt;(TRIM(AQ159)=""),"E-way bill login needs both user ID and password; ","")</f>
        <v/>
      </c>
    </row>
    <row r="160">
      <c r="A160" s="32" t="n"/>
      <c r="B160" s="33" t="n"/>
      <c r="C160" s="33" t="n"/>
      <c r="D160" s="33" t="n"/>
      <c r="E160" s="32" t="n"/>
      <c r="F160" s="32" t="n"/>
      <c r="G160" s="32" t="n"/>
      <c r="H160" s="32" t="n"/>
      <c r="I160" s="32" t="n"/>
      <c r="J160" s="34" t="n"/>
      <c r="K160" s="33" t="n"/>
      <c r="L160" s="32" t="n"/>
      <c r="M160" s="33" t="n"/>
      <c r="N160" s="33" t="n"/>
      <c r="O160" s="33" t="n"/>
      <c r="P160" s="32" t="n"/>
      <c r="Q160" s="33" t="n"/>
      <c r="R160" s="33" t="n"/>
      <c r="S160" s="33" t="n"/>
      <c r="T160" s="33" t="n"/>
      <c r="U160" s="32" t="n"/>
      <c r="V160" s="33" t="n"/>
      <c r="W160" s="33" t="n"/>
      <c r="X160" s="33" t="n"/>
      <c r="Y160" s="33" t="n"/>
      <c r="Z160" s="33" t="n"/>
      <c r="AA160" s="33" t="n"/>
      <c r="AB160" s="33" t="n"/>
      <c r="AC160" s="33" t="n"/>
      <c r="AD160" s="33" t="n"/>
      <c r="AE160" s="33" t="n"/>
      <c r="AF160" s="32" t="n"/>
      <c r="AG160" s="32" t="n"/>
      <c r="AH160" s="32" t="n"/>
      <c r="AI160" s="32" t="n"/>
      <c r="AJ160" s="32" t="n"/>
      <c r="AK160" s="32" t="n"/>
      <c r="AL160" s="32" t="n"/>
      <c r="AM160" s="32" t="n"/>
      <c r="AN160" s="32" t="n"/>
      <c r="AO160" s="32" t="n"/>
      <c r="AP160" s="32" t="n"/>
      <c r="AQ160" s="32" t="n"/>
      <c r="AR160" s="29">
        <f>IF(NOT(COUNTA(A160:AE160)&gt;0),"",IF(A160="","New client","Update"))</f>
        <v/>
      </c>
      <c r="AS160" s="29">
        <f>IF(BA160&lt;&gt;"",BA160,IF(LEN(AZ160)=15,MID(AZ160,3,10),""))</f>
        <v/>
      </c>
      <c r="AT160" s="29">
        <f>IF(BB160="","",BB160&amp;IF(D160="","  (guessed from PAN)",""))</f>
        <v/>
      </c>
      <c r="AU160" s="29">
        <f>IF(AZ160="","",IFERROR(INDEX(Lists!$L$2:$L$38,MATCH(LEFT(AZ160,2),Lists!$K$2:$K$38,0)),"Unknown code"))</f>
        <v/>
      </c>
      <c r="AV160" s="29">
        <f>IF(AZ160="","",IFERROR(IF(NOT(AND(LEN(AZ160)=15,ISNUMBER(MATCH(LEFT(AZ160,2),Lists!$K$2:$K$38,0)),SUMPRODUCT(--ISERROR(FIND(MID(MID(AZ160,3,10),{1,2,3,4,5,10},1),"ABCDEFGHIJKLMNOPQRSTUVWXYZ")))=0,SUMPRODUCT(--ISERROR(FIND(MID(MID(AZ160,3,10),{6,7,8,9},1),"0123456789")))=0,ISNUMBER(FIND(MID(AZ160,13,1),"123456789ABCDEFGHIJKLMNOPQRSTUVWXYZ")),MID(AZ160,14,1)="Z")),"Wrong format",IF(MID("0123456789ABCDEFGHIJKLMNOPQRSTUVWXYZ",MOD(36-MOD(SUMPRODUCT(INT((FIND(MID(AZ160,{1,2,3,4,5,6,7,8,9,10,11,12,13,14},1),"0123456789ABCDEFGHIJKLMNOPQRSTUVWXYZ")-1)*{1,2,1,2,1,2,1,2,1,2,1,2,1,2}/36)+MOD((FIND(MID(AZ160,{1,2,3,4,5,6,7,8,9,10,11,12,13,14},1),"0123456789ABCDEFGHIJKLMNOPQRSTUVWXYZ")-1)*{1,2,1,2,1,2,1,2,1,2,1,2,1,2},36)),36),36)+1,1)=MID(AZ160,15,1),"OK","Typo? check digit wrong")),"Wrong format"))</f>
        <v/>
      </c>
      <c r="AW160" s="29">
        <f>IF(BA160="","",IF(AND(LEN(BA160)=10,SUMPRODUCT(--ISERROR(FIND(MID(BA160,{1,2,3,4,5,10},1),"ABCDEFGHIJKLMNOPQRSTUVWXYZ")))=0,SUMPRODUCT(--ISERROR(FIND(MID(BA160,{6,7,8,9},1),"0123456789")))=0),"OK","Wrong format"))</f>
        <v/>
      </c>
      <c r="AX160" s="29">
        <f>IF(TRIM(H160)="","",IF(AND(LEN(UPPER(TRIM(H160)))=10,SUMPRODUCT(--ISERROR(FIND(MID(UPPER(TRIM(H160)),{1,2,3,4,10},1),"ABCDEFGHIJKLMNOPQRSTUVWXYZ")))=0,SUMPRODUCT(--ISERROR(FIND(MID(UPPER(TRIM(H160)),{5,6,7,8,9},1),"0123456789")))=0),"OK","Wrong format"))</f>
        <v/>
      </c>
      <c r="AY160" s="30">
        <f>IF(NOT(COUNTA(A160:AE160)&gt;0),"",IF(BE160&lt;&gt;"","✖ "&amp;LEFT(BE160,LEN(BE160)-2),IF(BD160&gt;0,"✔ Ready — client + "&amp;BD160&amp;" service(s)","✔ Ready — client only")))</f>
        <v/>
      </c>
      <c r="AZ160" s="31">
        <f>UPPER(SUBSTITUTE(TRIM(F160)," ",""))</f>
        <v/>
      </c>
      <c r="BA160" s="31">
        <f>UPPER(SUBSTITUTE(TRIM(E160)," ",""))</f>
        <v/>
      </c>
      <c r="BB160" s="31">
        <f>IF(D160&lt;&gt;"",D160,IFERROR(VLOOKUP(MID(AS160,4,1),Lists!$E$2:$F$8,2,FALSE),""))</f>
        <v/>
      </c>
      <c r="BC160" s="31">
        <f>IFERROR(VLOOKUP(BB160,Lists!$A$2:$C$12,3,FALSE),"")</f>
        <v/>
      </c>
      <c r="BD160" s="31">
        <f>COUNTIF(W160:AC160,"Yes")</f>
        <v/>
      </c>
      <c r="BE160" s="31">
        <f>IF(TRIM(B160)="","Legal name missing; ","")&amp;IF(AND(AV160&lt;&gt;"",AV160&lt;&gt;"OK"),"GSTIN: "&amp;AV160&amp;"; ","")&amp;IF(AND(AW160&lt;&gt;"",AW160&lt;&gt;"OK"),"PAN wrong format; ","")&amp;IF(AND(BA160&lt;&gt;"",LEN(AZ160)=15,MID(AZ160,3,10)&lt;&gt;BA160),"PAN does not match GSTIN; ","")&amp;IF(AND(AX160&lt;&gt;"",AX160&lt;&gt;"OK"),"TAN wrong format; ","")&amp;IF(AS160="","PAN missing; ","")&amp;IF(BB160="","Entity type missing; ","")&amp;IF(AND(AZ160&lt;&gt;"",COUNTIF($AZ$6:$AZ$1005,AZ160)&gt;1),"GSTIN repeated in this sheet; ","")&amp;IF(AND(AS160&lt;&gt;"",COUNTIF($AS$6:$AS$1005,AS160)&gt;1),"PAN repeated in this sheet (same client? put extra GSTINs in Other GSTINs); ","")&amp;IF(AND(BD160&gt;0,V160=""),"Financial year missing; ","")&amp;IF(AND(BD160=0,V160&lt;&gt;""),"Financial year given but no service is Yes; ","")&amp;IF(AND(W160="Yes",AZ160=""),"GST needs a GSTIN; ","")&amp;IF(AND(W160="Yes",X160=""),"GST return frequency missing; ","")&amp;IF(AND(Y160="Yes",TRIM(H160)=""),"TDS needs a TAN; ","")&amp;IF(AND(AA160="Yes",BC160&lt;&gt;"",BC160&lt;&gt;"company",BC160&lt;&gt;"llp"),"ROC is only for a company / LLP; ","")&amp;IF(AND(AA160="Yes",OR(BC160="company",BC160="llp"),TRIM(I160)=""),"ROC needs the CIN / LLPIN; ","")&amp;IF((TRIM(AF160)="")&lt;&gt;(TRIM(AG160)=""),"GST login needs both user ID and password; ","")&amp;IF((TRIM(AH160)="")&lt;&gt;(TRIM(AI160)=""),"Income-tax login needs both user ID and password; ","")&amp;IF((TRIM(AJ160)="")&lt;&gt;(TRIM(AK160)=""),"Income-tax login needs both user ID and password; ","")&amp;IF((TRIM(AL160)="")&lt;&gt;(TRIM(AM160)=""),"TRACES login needs both user ID and password; ","")&amp;IF((TRIM(AN160)="")&lt;&gt;(TRIM(AO160)=""),"MCA login needs both user ID and password; ","")&amp;IF((TRIM(AP160)="")&lt;&gt;(TRIM(AQ160)=""),"E-way bill login needs both user ID and password; ","")</f>
        <v/>
      </c>
    </row>
    <row r="161">
      <c r="A161" s="32" t="n"/>
      <c r="B161" s="33" t="n"/>
      <c r="C161" s="33" t="n"/>
      <c r="D161" s="33" t="n"/>
      <c r="E161" s="32" t="n"/>
      <c r="F161" s="32" t="n"/>
      <c r="G161" s="32" t="n"/>
      <c r="H161" s="32" t="n"/>
      <c r="I161" s="32" t="n"/>
      <c r="J161" s="34" t="n"/>
      <c r="K161" s="33" t="n"/>
      <c r="L161" s="32" t="n"/>
      <c r="M161" s="33" t="n"/>
      <c r="N161" s="33" t="n"/>
      <c r="O161" s="33" t="n"/>
      <c r="P161" s="32" t="n"/>
      <c r="Q161" s="33" t="n"/>
      <c r="R161" s="33" t="n"/>
      <c r="S161" s="33" t="n"/>
      <c r="T161" s="33" t="n"/>
      <c r="U161" s="32" t="n"/>
      <c r="V161" s="33" t="n"/>
      <c r="W161" s="33" t="n"/>
      <c r="X161" s="33" t="n"/>
      <c r="Y161" s="33" t="n"/>
      <c r="Z161" s="33" t="n"/>
      <c r="AA161" s="33" t="n"/>
      <c r="AB161" s="33" t="n"/>
      <c r="AC161" s="33" t="n"/>
      <c r="AD161" s="33" t="n"/>
      <c r="AE161" s="33" t="n"/>
      <c r="AF161" s="32" t="n"/>
      <c r="AG161" s="32" t="n"/>
      <c r="AH161" s="32" t="n"/>
      <c r="AI161" s="32" t="n"/>
      <c r="AJ161" s="32" t="n"/>
      <c r="AK161" s="32" t="n"/>
      <c r="AL161" s="32" t="n"/>
      <c r="AM161" s="32" t="n"/>
      <c r="AN161" s="32" t="n"/>
      <c r="AO161" s="32" t="n"/>
      <c r="AP161" s="32" t="n"/>
      <c r="AQ161" s="32" t="n"/>
      <c r="AR161" s="29">
        <f>IF(NOT(COUNTA(A161:AE161)&gt;0),"",IF(A161="","New client","Update"))</f>
        <v/>
      </c>
      <c r="AS161" s="29">
        <f>IF(BA161&lt;&gt;"",BA161,IF(LEN(AZ161)=15,MID(AZ161,3,10),""))</f>
        <v/>
      </c>
      <c r="AT161" s="29">
        <f>IF(BB161="","",BB161&amp;IF(D161="","  (guessed from PAN)",""))</f>
        <v/>
      </c>
      <c r="AU161" s="29">
        <f>IF(AZ161="","",IFERROR(INDEX(Lists!$L$2:$L$38,MATCH(LEFT(AZ161,2),Lists!$K$2:$K$38,0)),"Unknown code"))</f>
        <v/>
      </c>
      <c r="AV161" s="29">
        <f>IF(AZ161="","",IFERROR(IF(NOT(AND(LEN(AZ161)=15,ISNUMBER(MATCH(LEFT(AZ161,2),Lists!$K$2:$K$38,0)),SUMPRODUCT(--ISERROR(FIND(MID(MID(AZ161,3,10),{1,2,3,4,5,10},1),"ABCDEFGHIJKLMNOPQRSTUVWXYZ")))=0,SUMPRODUCT(--ISERROR(FIND(MID(MID(AZ161,3,10),{6,7,8,9},1),"0123456789")))=0,ISNUMBER(FIND(MID(AZ161,13,1),"123456789ABCDEFGHIJKLMNOPQRSTUVWXYZ")),MID(AZ161,14,1)="Z")),"Wrong format",IF(MID("0123456789ABCDEFGHIJKLMNOPQRSTUVWXYZ",MOD(36-MOD(SUMPRODUCT(INT((FIND(MID(AZ161,{1,2,3,4,5,6,7,8,9,10,11,12,13,14},1),"0123456789ABCDEFGHIJKLMNOPQRSTUVWXYZ")-1)*{1,2,1,2,1,2,1,2,1,2,1,2,1,2}/36)+MOD((FIND(MID(AZ161,{1,2,3,4,5,6,7,8,9,10,11,12,13,14},1),"0123456789ABCDEFGHIJKLMNOPQRSTUVWXYZ")-1)*{1,2,1,2,1,2,1,2,1,2,1,2,1,2},36)),36),36)+1,1)=MID(AZ161,15,1),"OK","Typo? check digit wrong")),"Wrong format"))</f>
        <v/>
      </c>
      <c r="AW161" s="29">
        <f>IF(BA161="","",IF(AND(LEN(BA161)=10,SUMPRODUCT(--ISERROR(FIND(MID(BA161,{1,2,3,4,5,10},1),"ABCDEFGHIJKLMNOPQRSTUVWXYZ")))=0,SUMPRODUCT(--ISERROR(FIND(MID(BA161,{6,7,8,9},1),"0123456789")))=0),"OK","Wrong format"))</f>
        <v/>
      </c>
      <c r="AX161" s="29">
        <f>IF(TRIM(H161)="","",IF(AND(LEN(UPPER(TRIM(H161)))=10,SUMPRODUCT(--ISERROR(FIND(MID(UPPER(TRIM(H161)),{1,2,3,4,10},1),"ABCDEFGHIJKLMNOPQRSTUVWXYZ")))=0,SUMPRODUCT(--ISERROR(FIND(MID(UPPER(TRIM(H161)),{5,6,7,8,9},1),"0123456789")))=0),"OK","Wrong format"))</f>
        <v/>
      </c>
      <c r="AY161" s="30">
        <f>IF(NOT(COUNTA(A161:AE161)&gt;0),"",IF(BE161&lt;&gt;"","✖ "&amp;LEFT(BE161,LEN(BE161)-2),IF(BD161&gt;0,"✔ Ready — client + "&amp;BD161&amp;" service(s)","✔ Ready — client only")))</f>
        <v/>
      </c>
      <c r="AZ161" s="31">
        <f>UPPER(SUBSTITUTE(TRIM(F161)," ",""))</f>
        <v/>
      </c>
      <c r="BA161" s="31">
        <f>UPPER(SUBSTITUTE(TRIM(E161)," ",""))</f>
        <v/>
      </c>
      <c r="BB161" s="31">
        <f>IF(D161&lt;&gt;"",D161,IFERROR(VLOOKUP(MID(AS161,4,1),Lists!$E$2:$F$8,2,FALSE),""))</f>
        <v/>
      </c>
      <c r="BC161" s="31">
        <f>IFERROR(VLOOKUP(BB161,Lists!$A$2:$C$12,3,FALSE),"")</f>
        <v/>
      </c>
      <c r="BD161" s="31">
        <f>COUNTIF(W161:AC161,"Yes")</f>
        <v/>
      </c>
      <c r="BE161" s="31">
        <f>IF(TRIM(B161)="","Legal name missing; ","")&amp;IF(AND(AV161&lt;&gt;"",AV161&lt;&gt;"OK"),"GSTIN: "&amp;AV161&amp;"; ","")&amp;IF(AND(AW161&lt;&gt;"",AW161&lt;&gt;"OK"),"PAN wrong format; ","")&amp;IF(AND(BA161&lt;&gt;"",LEN(AZ161)=15,MID(AZ161,3,10)&lt;&gt;BA161),"PAN does not match GSTIN; ","")&amp;IF(AND(AX161&lt;&gt;"",AX161&lt;&gt;"OK"),"TAN wrong format; ","")&amp;IF(AS161="","PAN missing; ","")&amp;IF(BB161="","Entity type missing; ","")&amp;IF(AND(AZ161&lt;&gt;"",COUNTIF($AZ$6:$AZ$1005,AZ161)&gt;1),"GSTIN repeated in this sheet; ","")&amp;IF(AND(AS161&lt;&gt;"",COUNTIF($AS$6:$AS$1005,AS161)&gt;1),"PAN repeated in this sheet (same client? put extra GSTINs in Other GSTINs); ","")&amp;IF(AND(BD161&gt;0,V161=""),"Financial year missing; ","")&amp;IF(AND(BD161=0,V161&lt;&gt;""),"Financial year given but no service is Yes; ","")&amp;IF(AND(W161="Yes",AZ161=""),"GST needs a GSTIN; ","")&amp;IF(AND(W161="Yes",X161=""),"GST return frequency missing; ","")&amp;IF(AND(Y161="Yes",TRIM(H161)=""),"TDS needs a TAN; ","")&amp;IF(AND(AA161="Yes",BC161&lt;&gt;"",BC161&lt;&gt;"company",BC161&lt;&gt;"llp"),"ROC is only for a company / LLP; ","")&amp;IF(AND(AA161="Yes",OR(BC161="company",BC161="llp"),TRIM(I161)=""),"ROC needs the CIN / LLPIN; ","")&amp;IF((TRIM(AF161)="")&lt;&gt;(TRIM(AG161)=""),"GST login needs both user ID and password; ","")&amp;IF((TRIM(AH161)="")&lt;&gt;(TRIM(AI161)=""),"Income-tax login needs both user ID and password; ","")&amp;IF((TRIM(AJ161)="")&lt;&gt;(TRIM(AK161)=""),"Income-tax login needs both user ID and password; ","")&amp;IF((TRIM(AL161)="")&lt;&gt;(TRIM(AM161)=""),"TRACES login needs both user ID and password; ","")&amp;IF((TRIM(AN161)="")&lt;&gt;(TRIM(AO161)=""),"MCA login needs both user ID and password; ","")&amp;IF((TRIM(AP161)="")&lt;&gt;(TRIM(AQ161)=""),"E-way bill login needs both user ID and password; ","")</f>
        <v/>
      </c>
    </row>
    <row r="162">
      <c r="A162" s="32" t="n"/>
      <c r="B162" s="33" t="n"/>
      <c r="C162" s="33" t="n"/>
      <c r="D162" s="33" t="n"/>
      <c r="E162" s="32" t="n"/>
      <c r="F162" s="32" t="n"/>
      <c r="G162" s="32" t="n"/>
      <c r="H162" s="32" t="n"/>
      <c r="I162" s="32" t="n"/>
      <c r="J162" s="34" t="n"/>
      <c r="K162" s="33" t="n"/>
      <c r="L162" s="32" t="n"/>
      <c r="M162" s="33" t="n"/>
      <c r="N162" s="33" t="n"/>
      <c r="O162" s="33" t="n"/>
      <c r="P162" s="32" t="n"/>
      <c r="Q162" s="33" t="n"/>
      <c r="R162" s="33" t="n"/>
      <c r="S162" s="33" t="n"/>
      <c r="T162" s="33" t="n"/>
      <c r="U162" s="32" t="n"/>
      <c r="V162" s="33" t="n"/>
      <c r="W162" s="33" t="n"/>
      <c r="X162" s="33" t="n"/>
      <c r="Y162" s="33" t="n"/>
      <c r="Z162" s="33" t="n"/>
      <c r="AA162" s="33" t="n"/>
      <c r="AB162" s="33" t="n"/>
      <c r="AC162" s="33" t="n"/>
      <c r="AD162" s="33" t="n"/>
      <c r="AE162" s="33" t="n"/>
      <c r="AF162" s="32" t="n"/>
      <c r="AG162" s="32" t="n"/>
      <c r="AH162" s="32" t="n"/>
      <c r="AI162" s="32" t="n"/>
      <c r="AJ162" s="32" t="n"/>
      <c r="AK162" s="32" t="n"/>
      <c r="AL162" s="32" t="n"/>
      <c r="AM162" s="32" t="n"/>
      <c r="AN162" s="32" t="n"/>
      <c r="AO162" s="32" t="n"/>
      <c r="AP162" s="32" t="n"/>
      <c r="AQ162" s="32" t="n"/>
      <c r="AR162" s="29">
        <f>IF(NOT(COUNTA(A162:AE162)&gt;0),"",IF(A162="","New client","Update"))</f>
        <v/>
      </c>
      <c r="AS162" s="29">
        <f>IF(BA162&lt;&gt;"",BA162,IF(LEN(AZ162)=15,MID(AZ162,3,10),""))</f>
        <v/>
      </c>
      <c r="AT162" s="29">
        <f>IF(BB162="","",BB162&amp;IF(D162="","  (guessed from PAN)",""))</f>
        <v/>
      </c>
      <c r="AU162" s="29">
        <f>IF(AZ162="","",IFERROR(INDEX(Lists!$L$2:$L$38,MATCH(LEFT(AZ162,2),Lists!$K$2:$K$38,0)),"Unknown code"))</f>
        <v/>
      </c>
      <c r="AV162" s="29">
        <f>IF(AZ162="","",IFERROR(IF(NOT(AND(LEN(AZ162)=15,ISNUMBER(MATCH(LEFT(AZ162,2),Lists!$K$2:$K$38,0)),SUMPRODUCT(--ISERROR(FIND(MID(MID(AZ162,3,10),{1,2,3,4,5,10},1),"ABCDEFGHIJKLMNOPQRSTUVWXYZ")))=0,SUMPRODUCT(--ISERROR(FIND(MID(MID(AZ162,3,10),{6,7,8,9},1),"0123456789")))=0,ISNUMBER(FIND(MID(AZ162,13,1),"123456789ABCDEFGHIJKLMNOPQRSTUVWXYZ")),MID(AZ162,14,1)="Z")),"Wrong format",IF(MID("0123456789ABCDEFGHIJKLMNOPQRSTUVWXYZ",MOD(36-MOD(SUMPRODUCT(INT((FIND(MID(AZ162,{1,2,3,4,5,6,7,8,9,10,11,12,13,14},1),"0123456789ABCDEFGHIJKLMNOPQRSTUVWXYZ")-1)*{1,2,1,2,1,2,1,2,1,2,1,2,1,2}/36)+MOD((FIND(MID(AZ162,{1,2,3,4,5,6,7,8,9,10,11,12,13,14},1),"0123456789ABCDEFGHIJKLMNOPQRSTUVWXYZ")-1)*{1,2,1,2,1,2,1,2,1,2,1,2,1,2},36)),36),36)+1,1)=MID(AZ162,15,1),"OK","Typo? check digit wrong")),"Wrong format"))</f>
        <v/>
      </c>
      <c r="AW162" s="29">
        <f>IF(BA162="","",IF(AND(LEN(BA162)=10,SUMPRODUCT(--ISERROR(FIND(MID(BA162,{1,2,3,4,5,10},1),"ABCDEFGHIJKLMNOPQRSTUVWXYZ")))=0,SUMPRODUCT(--ISERROR(FIND(MID(BA162,{6,7,8,9},1),"0123456789")))=0),"OK","Wrong format"))</f>
        <v/>
      </c>
      <c r="AX162" s="29">
        <f>IF(TRIM(H162)="","",IF(AND(LEN(UPPER(TRIM(H162)))=10,SUMPRODUCT(--ISERROR(FIND(MID(UPPER(TRIM(H162)),{1,2,3,4,10},1),"ABCDEFGHIJKLMNOPQRSTUVWXYZ")))=0,SUMPRODUCT(--ISERROR(FIND(MID(UPPER(TRIM(H162)),{5,6,7,8,9},1),"0123456789")))=0),"OK","Wrong format"))</f>
        <v/>
      </c>
      <c r="AY162" s="30">
        <f>IF(NOT(COUNTA(A162:AE162)&gt;0),"",IF(BE162&lt;&gt;"","✖ "&amp;LEFT(BE162,LEN(BE162)-2),IF(BD162&gt;0,"✔ Ready — client + "&amp;BD162&amp;" service(s)","✔ Ready — client only")))</f>
        <v/>
      </c>
      <c r="AZ162" s="31">
        <f>UPPER(SUBSTITUTE(TRIM(F162)," ",""))</f>
        <v/>
      </c>
      <c r="BA162" s="31">
        <f>UPPER(SUBSTITUTE(TRIM(E162)," ",""))</f>
        <v/>
      </c>
      <c r="BB162" s="31">
        <f>IF(D162&lt;&gt;"",D162,IFERROR(VLOOKUP(MID(AS162,4,1),Lists!$E$2:$F$8,2,FALSE),""))</f>
        <v/>
      </c>
      <c r="BC162" s="31">
        <f>IFERROR(VLOOKUP(BB162,Lists!$A$2:$C$12,3,FALSE),"")</f>
        <v/>
      </c>
      <c r="BD162" s="31">
        <f>COUNTIF(W162:AC162,"Yes")</f>
        <v/>
      </c>
      <c r="BE162" s="31">
        <f>IF(TRIM(B162)="","Legal name missing; ","")&amp;IF(AND(AV162&lt;&gt;"",AV162&lt;&gt;"OK"),"GSTIN: "&amp;AV162&amp;"; ","")&amp;IF(AND(AW162&lt;&gt;"",AW162&lt;&gt;"OK"),"PAN wrong format; ","")&amp;IF(AND(BA162&lt;&gt;"",LEN(AZ162)=15,MID(AZ162,3,10)&lt;&gt;BA162),"PAN does not match GSTIN; ","")&amp;IF(AND(AX162&lt;&gt;"",AX162&lt;&gt;"OK"),"TAN wrong format; ","")&amp;IF(AS162="","PAN missing; ","")&amp;IF(BB162="","Entity type missing; ","")&amp;IF(AND(AZ162&lt;&gt;"",COUNTIF($AZ$6:$AZ$1005,AZ162)&gt;1),"GSTIN repeated in this sheet; ","")&amp;IF(AND(AS162&lt;&gt;"",COUNTIF($AS$6:$AS$1005,AS162)&gt;1),"PAN repeated in this sheet (same client? put extra GSTINs in Other GSTINs); ","")&amp;IF(AND(BD162&gt;0,V162=""),"Financial year missing; ","")&amp;IF(AND(BD162=0,V162&lt;&gt;""),"Financial year given but no service is Yes; ","")&amp;IF(AND(W162="Yes",AZ162=""),"GST needs a GSTIN; ","")&amp;IF(AND(W162="Yes",X162=""),"GST return frequency missing; ","")&amp;IF(AND(Y162="Yes",TRIM(H162)=""),"TDS needs a TAN; ","")&amp;IF(AND(AA162="Yes",BC162&lt;&gt;"",BC162&lt;&gt;"company",BC162&lt;&gt;"llp"),"ROC is only for a company / LLP; ","")&amp;IF(AND(AA162="Yes",OR(BC162="company",BC162="llp"),TRIM(I162)=""),"ROC needs the CIN / LLPIN; ","")&amp;IF((TRIM(AF162)="")&lt;&gt;(TRIM(AG162)=""),"GST login needs both user ID and password; ","")&amp;IF((TRIM(AH162)="")&lt;&gt;(TRIM(AI162)=""),"Income-tax login needs both user ID and password; ","")&amp;IF((TRIM(AJ162)="")&lt;&gt;(TRIM(AK162)=""),"Income-tax login needs both user ID and password; ","")&amp;IF((TRIM(AL162)="")&lt;&gt;(TRIM(AM162)=""),"TRACES login needs both user ID and password; ","")&amp;IF((TRIM(AN162)="")&lt;&gt;(TRIM(AO162)=""),"MCA login needs both user ID and password; ","")&amp;IF((TRIM(AP162)="")&lt;&gt;(TRIM(AQ162)=""),"E-way bill login needs both user ID and password; ","")</f>
        <v/>
      </c>
    </row>
    <row r="163">
      <c r="A163" s="32" t="n"/>
      <c r="B163" s="33" t="n"/>
      <c r="C163" s="33" t="n"/>
      <c r="D163" s="33" t="n"/>
      <c r="E163" s="32" t="n"/>
      <c r="F163" s="32" t="n"/>
      <c r="G163" s="32" t="n"/>
      <c r="H163" s="32" t="n"/>
      <c r="I163" s="32" t="n"/>
      <c r="J163" s="34" t="n"/>
      <c r="K163" s="33" t="n"/>
      <c r="L163" s="32" t="n"/>
      <c r="M163" s="33" t="n"/>
      <c r="N163" s="33" t="n"/>
      <c r="O163" s="33" t="n"/>
      <c r="P163" s="32" t="n"/>
      <c r="Q163" s="33" t="n"/>
      <c r="R163" s="33" t="n"/>
      <c r="S163" s="33" t="n"/>
      <c r="T163" s="33" t="n"/>
      <c r="U163" s="32" t="n"/>
      <c r="V163" s="33" t="n"/>
      <c r="W163" s="33" t="n"/>
      <c r="X163" s="33" t="n"/>
      <c r="Y163" s="33" t="n"/>
      <c r="Z163" s="33" t="n"/>
      <c r="AA163" s="33" t="n"/>
      <c r="AB163" s="33" t="n"/>
      <c r="AC163" s="33" t="n"/>
      <c r="AD163" s="33" t="n"/>
      <c r="AE163" s="33" t="n"/>
      <c r="AF163" s="32" t="n"/>
      <c r="AG163" s="32" t="n"/>
      <c r="AH163" s="32" t="n"/>
      <c r="AI163" s="32" t="n"/>
      <c r="AJ163" s="32" t="n"/>
      <c r="AK163" s="32" t="n"/>
      <c r="AL163" s="32" t="n"/>
      <c r="AM163" s="32" t="n"/>
      <c r="AN163" s="32" t="n"/>
      <c r="AO163" s="32" t="n"/>
      <c r="AP163" s="32" t="n"/>
      <c r="AQ163" s="32" t="n"/>
      <c r="AR163" s="29">
        <f>IF(NOT(COUNTA(A163:AE163)&gt;0),"",IF(A163="","New client","Update"))</f>
        <v/>
      </c>
      <c r="AS163" s="29">
        <f>IF(BA163&lt;&gt;"",BA163,IF(LEN(AZ163)=15,MID(AZ163,3,10),""))</f>
        <v/>
      </c>
      <c r="AT163" s="29">
        <f>IF(BB163="","",BB163&amp;IF(D163="","  (guessed from PAN)",""))</f>
        <v/>
      </c>
      <c r="AU163" s="29">
        <f>IF(AZ163="","",IFERROR(INDEX(Lists!$L$2:$L$38,MATCH(LEFT(AZ163,2),Lists!$K$2:$K$38,0)),"Unknown code"))</f>
        <v/>
      </c>
      <c r="AV163" s="29">
        <f>IF(AZ163="","",IFERROR(IF(NOT(AND(LEN(AZ163)=15,ISNUMBER(MATCH(LEFT(AZ163,2),Lists!$K$2:$K$38,0)),SUMPRODUCT(--ISERROR(FIND(MID(MID(AZ163,3,10),{1,2,3,4,5,10},1),"ABCDEFGHIJKLMNOPQRSTUVWXYZ")))=0,SUMPRODUCT(--ISERROR(FIND(MID(MID(AZ163,3,10),{6,7,8,9},1),"0123456789")))=0,ISNUMBER(FIND(MID(AZ163,13,1),"123456789ABCDEFGHIJKLMNOPQRSTUVWXYZ")),MID(AZ163,14,1)="Z")),"Wrong format",IF(MID("0123456789ABCDEFGHIJKLMNOPQRSTUVWXYZ",MOD(36-MOD(SUMPRODUCT(INT((FIND(MID(AZ163,{1,2,3,4,5,6,7,8,9,10,11,12,13,14},1),"0123456789ABCDEFGHIJKLMNOPQRSTUVWXYZ")-1)*{1,2,1,2,1,2,1,2,1,2,1,2,1,2}/36)+MOD((FIND(MID(AZ163,{1,2,3,4,5,6,7,8,9,10,11,12,13,14},1),"0123456789ABCDEFGHIJKLMNOPQRSTUVWXYZ")-1)*{1,2,1,2,1,2,1,2,1,2,1,2,1,2},36)),36),36)+1,1)=MID(AZ163,15,1),"OK","Typo? check digit wrong")),"Wrong format"))</f>
        <v/>
      </c>
      <c r="AW163" s="29">
        <f>IF(BA163="","",IF(AND(LEN(BA163)=10,SUMPRODUCT(--ISERROR(FIND(MID(BA163,{1,2,3,4,5,10},1),"ABCDEFGHIJKLMNOPQRSTUVWXYZ")))=0,SUMPRODUCT(--ISERROR(FIND(MID(BA163,{6,7,8,9},1),"0123456789")))=0),"OK","Wrong format"))</f>
        <v/>
      </c>
      <c r="AX163" s="29">
        <f>IF(TRIM(H163)="","",IF(AND(LEN(UPPER(TRIM(H163)))=10,SUMPRODUCT(--ISERROR(FIND(MID(UPPER(TRIM(H163)),{1,2,3,4,10},1),"ABCDEFGHIJKLMNOPQRSTUVWXYZ")))=0,SUMPRODUCT(--ISERROR(FIND(MID(UPPER(TRIM(H163)),{5,6,7,8,9},1),"0123456789")))=0),"OK","Wrong format"))</f>
        <v/>
      </c>
      <c r="AY163" s="30">
        <f>IF(NOT(COUNTA(A163:AE163)&gt;0),"",IF(BE163&lt;&gt;"","✖ "&amp;LEFT(BE163,LEN(BE163)-2),IF(BD163&gt;0,"✔ Ready — client + "&amp;BD163&amp;" service(s)","✔ Ready — client only")))</f>
        <v/>
      </c>
      <c r="AZ163" s="31">
        <f>UPPER(SUBSTITUTE(TRIM(F163)," ",""))</f>
        <v/>
      </c>
      <c r="BA163" s="31">
        <f>UPPER(SUBSTITUTE(TRIM(E163)," ",""))</f>
        <v/>
      </c>
      <c r="BB163" s="31">
        <f>IF(D163&lt;&gt;"",D163,IFERROR(VLOOKUP(MID(AS163,4,1),Lists!$E$2:$F$8,2,FALSE),""))</f>
        <v/>
      </c>
      <c r="BC163" s="31">
        <f>IFERROR(VLOOKUP(BB163,Lists!$A$2:$C$12,3,FALSE),"")</f>
        <v/>
      </c>
      <c r="BD163" s="31">
        <f>COUNTIF(W163:AC163,"Yes")</f>
        <v/>
      </c>
      <c r="BE163" s="31">
        <f>IF(TRIM(B163)="","Legal name missing; ","")&amp;IF(AND(AV163&lt;&gt;"",AV163&lt;&gt;"OK"),"GSTIN: "&amp;AV163&amp;"; ","")&amp;IF(AND(AW163&lt;&gt;"",AW163&lt;&gt;"OK"),"PAN wrong format; ","")&amp;IF(AND(BA163&lt;&gt;"",LEN(AZ163)=15,MID(AZ163,3,10)&lt;&gt;BA163),"PAN does not match GSTIN; ","")&amp;IF(AND(AX163&lt;&gt;"",AX163&lt;&gt;"OK"),"TAN wrong format; ","")&amp;IF(AS163="","PAN missing; ","")&amp;IF(BB163="","Entity type missing; ","")&amp;IF(AND(AZ163&lt;&gt;"",COUNTIF($AZ$6:$AZ$1005,AZ163)&gt;1),"GSTIN repeated in this sheet; ","")&amp;IF(AND(AS163&lt;&gt;"",COUNTIF($AS$6:$AS$1005,AS163)&gt;1),"PAN repeated in this sheet (same client? put extra GSTINs in Other GSTINs); ","")&amp;IF(AND(BD163&gt;0,V163=""),"Financial year missing; ","")&amp;IF(AND(BD163=0,V163&lt;&gt;""),"Financial year given but no service is Yes; ","")&amp;IF(AND(W163="Yes",AZ163=""),"GST needs a GSTIN; ","")&amp;IF(AND(W163="Yes",X163=""),"GST return frequency missing; ","")&amp;IF(AND(Y163="Yes",TRIM(H163)=""),"TDS needs a TAN; ","")&amp;IF(AND(AA163="Yes",BC163&lt;&gt;"",BC163&lt;&gt;"company",BC163&lt;&gt;"llp"),"ROC is only for a company / LLP; ","")&amp;IF(AND(AA163="Yes",OR(BC163="company",BC163="llp"),TRIM(I163)=""),"ROC needs the CIN / LLPIN; ","")&amp;IF((TRIM(AF163)="")&lt;&gt;(TRIM(AG163)=""),"GST login needs both user ID and password; ","")&amp;IF((TRIM(AH163)="")&lt;&gt;(TRIM(AI163)=""),"Income-tax login needs both user ID and password; ","")&amp;IF((TRIM(AJ163)="")&lt;&gt;(TRIM(AK163)=""),"Income-tax login needs both user ID and password; ","")&amp;IF((TRIM(AL163)="")&lt;&gt;(TRIM(AM163)=""),"TRACES login needs both user ID and password; ","")&amp;IF((TRIM(AN163)="")&lt;&gt;(TRIM(AO163)=""),"MCA login needs both user ID and password; ","")&amp;IF((TRIM(AP163)="")&lt;&gt;(TRIM(AQ163)=""),"E-way bill login needs both user ID and password; ","")</f>
        <v/>
      </c>
    </row>
    <row r="164">
      <c r="A164" s="32" t="n"/>
      <c r="B164" s="33" t="n"/>
      <c r="C164" s="33" t="n"/>
      <c r="D164" s="33" t="n"/>
      <c r="E164" s="32" t="n"/>
      <c r="F164" s="32" t="n"/>
      <c r="G164" s="32" t="n"/>
      <c r="H164" s="32" t="n"/>
      <c r="I164" s="32" t="n"/>
      <c r="J164" s="34" t="n"/>
      <c r="K164" s="33" t="n"/>
      <c r="L164" s="32" t="n"/>
      <c r="M164" s="33" t="n"/>
      <c r="N164" s="33" t="n"/>
      <c r="O164" s="33" t="n"/>
      <c r="P164" s="32" t="n"/>
      <c r="Q164" s="33" t="n"/>
      <c r="R164" s="33" t="n"/>
      <c r="S164" s="33" t="n"/>
      <c r="T164" s="33" t="n"/>
      <c r="U164" s="32" t="n"/>
      <c r="V164" s="33" t="n"/>
      <c r="W164" s="33" t="n"/>
      <c r="X164" s="33" t="n"/>
      <c r="Y164" s="33" t="n"/>
      <c r="Z164" s="33" t="n"/>
      <c r="AA164" s="33" t="n"/>
      <c r="AB164" s="33" t="n"/>
      <c r="AC164" s="33" t="n"/>
      <c r="AD164" s="33" t="n"/>
      <c r="AE164" s="33" t="n"/>
      <c r="AF164" s="32" t="n"/>
      <c r="AG164" s="32" t="n"/>
      <c r="AH164" s="32" t="n"/>
      <c r="AI164" s="32" t="n"/>
      <c r="AJ164" s="32" t="n"/>
      <c r="AK164" s="32" t="n"/>
      <c r="AL164" s="32" t="n"/>
      <c r="AM164" s="32" t="n"/>
      <c r="AN164" s="32" t="n"/>
      <c r="AO164" s="32" t="n"/>
      <c r="AP164" s="32" t="n"/>
      <c r="AQ164" s="32" t="n"/>
      <c r="AR164" s="29">
        <f>IF(NOT(COUNTA(A164:AE164)&gt;0),"",IF(A164="","New client","Update"))</f>
        <v/>
      </c>
      <c r="AS164" s="29">
        <f>IF(BA164&lt;&gt;"",BA164,IF(LEN(AZ164)=15,MID(AZ164,3,10),""))</f>
        <v/>
      </c>
      <c r="AT164" s="29">
        <f>IF(BB164="","",BB164&amp;IF(D164="","  (guessed from PAN)",""))</f>
        <v/>
      </c>
      <c r="AU164" s="29">
        <f>IF(AZ164="","",IFERROR(INDEX(Lists!$L$2:$L$38,MATCH(LEFT(AZ164,2),Lists!$K$2:$K$38,0)),"Unknown code"))</f>
        <v/>
      </c>
      <c r="AV164" s="29">
        <f>IF(AZ164="","",IFERROR(IF(NOT(AND(LEN(AZ164)=15,ISNUMBER(MATCH(LEFT(AZ164,2),Lists!$K$2:$K$38,0)),SUMPRODUCT(--ISERROR(FIND(MID(MID(AZ164,3,10),{1,2,3,4,5,10},1),"ABCDEFGHIJKLMNOPQRSTUVWXYZ")))=0,SUMPRODUCT(--ISERROR(FIND(MID(MID(AZ164,3,10),{6,7,8,9},1),"0123456789")))=0,ISNUMBER(FIND(MID(AZ164,13,1),"123456789ABCDEFGHIJKLMNOPQRSTUVWXYZ")),MID(AZ164,14,1)="Z")),"Wrong format",IF(MID("0123456789ABCDEFGHIJKLMNOPQRSTUVWXYZ",MOD(36-MOD(SUMPRODUCT(INT((FIND(MID(AZ164,{1,2,3,4,5,6,7,8,9,10,11,12,13,14},1),"0123456789ABCDEFGHIJKLMNOPQRSTUVWXYZ")-1)*{1,2,1,2,1,2,1,2,1,2,1,2,1,2}/36)+MOD((FIND(MID(AZ164,{1,2,3,4,5,6,7,8,9,10,11,12,13,14},1),"0123456789ABCDEFGHIJKLMNOPQRSTUVWXYZ")-1)*{1,2,1,2,1,2,1,2,1,2,1,2,1,2},36)),36),36)+1,1)=MID(AZ164,15,1),"OK","Typo? check digit wrong")),"Wrong format"))</f>
        <v/>
      </c>
      <c r="AW164" s="29">
        <f>IF(BA164="","",IF(AND(LEN(BA164)=10,SUMPRODUCT(--ISERROR(FIND(MID(BA164,{1,2,3,4,5,10},1),"ABCDEFGHIJKLMNOPQRSTUVWXYZ")))=0,SUMPRODUCT(--ISERROR(FIND(MID(BA164,{6,7,8,9},1),"0123456789")))=0),"OK","Wrong format"))</f>
        <v/>
      </c>
      <c r="AX164" s="29">
        <f>IF(TRIM(H164)="","",IF(AND(LEN(UPPER(TRIM(H164)))=10,SUMPRODUCT(--ISERROR(FIND(MID(UPPER(TRIM(H164)),{1,2,3,4,10},1),"ABCDEFGHIJKLMNOPQRSTUVWXYZ")))=0,SUMPRODUCT(--ISERROR(FIND(MID(UPPER(TRIM(H164)),{5,6,7,8,9},1),"0123456789")))=0),"OK","Wrong format"))</f>
        <v/>
      </c>
      <c r="AY164" s="30">
        <f>IF(NOT(COUNTA(A164:AE164)&gt;0),"",IF(BE164&lt;&gt;"","✖ "&amp;LEFT(BE164,LEN(BE164)-2),IF(BD164&gt;0,"✔ Ready — client + "&amp;BD164&amp;" service(s)","✔ Ready — client only")))</f>
        <v/>
      </c>
      <c r="AZ164" s="31">
        <f>UPPER(SUBSTITUTE(TRIM(F164)," ",""))</f>
        <v/>
      </c>
      <c r="BA164" s="31">
        <f>UPPER(SUBSTITUTE(TRIM(E164)," ",""))</f>
        <v/>
      </c>
      <c r="BB164" s="31">
        <f>IF(D164&lt;&gt;"",D164,IFERROR(VLOOKUP(MID(AS164,4,1),Lists!$E$2:$F$8,2,FALSE),""))</f>
        <v/>
      </c>
      <c r="BC164" s="31">
        <f>IFERROR(VLOOKUP(BB164,Lists!$A$2:$C$12,3,FALSE),"")</f>
        <v/>
      </c>
      <c r="BD164" s="31">
        <f>COUNTIF(W164:AC164,"Yes")</f>
        <v/>
      </c>
      <c r="BE164" s="31">
        <f>IF(TRIM(B164)="","Legal name missing; ","")&amp;IF(AND(AV164&lt;&gt;"",AV164&lt;&gt;"OK"),"GSTIN: "&amp;AV164&amp;"; ","")&amp;IF(AND(AW164&lt;&gt;"",AW164&lt;&gt;"OK"),"PAN wrong format; ","")&amp;IF(AND(BA164&lt;&gt;"",LEN(AZ164)=15,MID(AZ164,3,10)&lt;&gt;BA164),"PAN does not match GSTIN; ","")&amp;IF(AND(AX164&lt;&gt;"",AX164&lt;&gt;"OK"),"TAN wrong format; ","")&amp;IF(AS164="","PAN missing; ","")&amp;IF(BB164="","Entity type missing; ","")&amp;IF(AND(AZ164&lt;&gt;"",COUNTIF($AZ$6:$AZ$1005,AZ164)&gt;1),"GSTIN repeated in this sheet; ","")&amp;IF(AND(AS164&lt;&gt;"",COUNTIF($AS$6:$AS$1005,AS164)&gt;1),"PAN repeated in this sheet (same client? put extra GSTINs in Other GSTINs); ","")&amp;IF(AND(BD164&gt;0,V164=""),"Financial year missing; ","")&amp;IF(AND(BD164=0,V164&lt;&gt;""),"Financial year given but no service is Yes; ","")&amp;IF(AND(W164="Yes",AZ164=""),"GST needs a GSTIN; ","")&amp;IF(AND(W164="Yes",X164=""),"GST return frequency missing; ","")&amp;IF(AND(Y164="Yes",TRIM(H164)=""),"TDS needs a TAN; ","")&amp;IF(AND(AA164="Yes",BC164&lt;&gt;"",BC164&lt;&gt;"company",BC164&lt;&gt;"llp"),"ROC is only for a company / LLP; ","")&amp;IF(AND(AA164="Yes",OR(BC164="company",BC164="llp"),TRIM(I164)=""),"ROC needs the CIN / LLPIN; ","")&amp;IF((TRIM(AF164)="")&lt;&gt;(TRIM(AG164)=""),"GST login needs both user ID and password; ","")&amp;IF((TRIM(AH164)="")&lt;&gt;(TRIM(AI164)=""),"Income-tax login needs both user ID and password; ","")&amp;IF((TRIM(AJ164)="")&lt;&gt;(TRIM(AK164)=""),"Income-tax login needs both user ID and password; ","")&amp;IF((TRIM(AL164)="")&lt;&gt;(TRIM(AM164)=""),"TRACES login needs both user ID and password; ","")&amp;IF((TRIM(AN164)="")&lt;&gt;(TRIM(AO164)=""),"MCA login needs both user ID and password; ","")&amp;IF((TRIM(AP164)="")&lt;&gt;(TRIM(AQ164)=""),"E-way bill login needs both user ID and password; ","")</f>
        <v/>
      </c>
    </row>
    <row r="165">
      <c r="A165" s="32" t="n"/>
      <c r="B165" s="33" t="n"/>
      <c r="C165" s="33" t="n"/>
      <c r="D165" s="33" t="n"/>
      <c r="E165" s="32" t="n"/>
      <c r="F165" s="32" t="n"/>
      <c r="G165" s="32" t="n"/>
      <c r="H165" s="32" t="n"/>
      <c r="I165" s="32" t="n"/>
      <c r="J165" s="34" t="n"/>
      <c r="K165" s="33" t="n"/>
      <c r="L165" s="32" t="n"/>
      <c r="M165" s="33" t="n"/>
      <c r="N165" s="33" t="n"/>
      <c r="O165" s="33" t="n"/>
      <c r="P165" s="32" t="n"/>
      <c r="Q165" s="33" t="n"/>
      <c r="R165" s="33" t="n"/>
      <c r="S165" s="33" t="n"/>
      <c r="T165" s="33" t="n"/>
      <c r="U165" s="32" t="n"/>
      <c r="V165" s="33" t="n"/>
      <c r="W165" s="33" t="n"/>
      <c r="X165" s="33" t="n"/>
      <c r="Y165" s="33" t="n"/>
      <c r="Z165" s="33" t="n"/>
      <c r="AA165" s="33" t="n"/>
      <c r="AB165" s="33" t="n"/>
      <c r="AC165" s="33" t="n"/>
      <c r="AD165" s="33" t="n"/>
      <c r="AE165" s="33" t="n"/>
      <c r="AF165" s="32" t="n"/>
      <c r="AG165" s="32" t="n"/>
      <c r="AH165" s="32" t="n"/>
      <c r="AI165" s="32" t="n"/>
      <c r="AJ165" s="32" t="n"/>
      <c r="AK165" s="32" t="n"/>
      <c r="AL165" s="32" t="n"/>
      <c r="AM165" s="32" t="n"/>
      <c r="AN165" s="32" t="n"/>
      <c r="AO165" s="32" t="n"/>
      <c r="AP165" s="32" t="n"/>
      <c r="AQ165" s="32" t="n"/>
      <c r="AR165" s="29">
        <f>IF(NOT(COUNTA(A165:AE165)&gt;0),"",IF(A165="","New client","Update"))</f>
        <v/>
      </c>
      <c r="AS165" s="29">
        <f>IF(BA165&lt;&gt;"",BA165,IF(LEN(AZ165)=15,MID(AZ165,3,10),""))</f>
        <v/>
      </c>
      <c r="AT165" s="29">
        <f>IF(BB165="","",BB165&amp;IF(D165="","  (guessed from PAN)",""))</f>
        <v/>
      </c>
      <c r="AU165" s="29">
        <f>IF(AZ165="","",IFERROR(INDEX(Lists!$L$2:$L$38,MATCH(LEFT(AZ165,2),Lists!$K$2:$K$38,0)),"Unknown code"))</f>
        <v/>
      </c>
      <c r="AV165" s="29">
        <f>IF(AZ165="","",IFERROR(IF(NOT(AND(LEN(AZ165)=15,ISNUMBER(MATCH(LEFT(AZ165,2),Lists!$K$2:$K$38,0)),SUMPRODUCT(--ISERROR(FIND(MID(MID(AZ165,3,10),{1,2,3,4,5,10},1),"ABCDEFGHIJKLMNOPQRSTUVWXYZ")))=0,SUMPRODUCT(--ISERROR(FIND(MID(MID(AZ165,3,10),{6,7,8,9},1),"0123456789")))=0,ISNUMBER(FIND(MID(AZ165,13,1),"123456789ABCDEFGHIJKLMNOPQRSTUVWXYZ")),MID(AZ165,14,1)="Z")),"Wrong format",IF(MID("0123456789ABCDEFGHIJKLMNOPQRSTUVWXYZ",MOD(36-MOD(SUMPRODUCT(INT((FIND(MID(AZ165,{1,2,3,4,5,6,7,8,9,10,11,12,13,14},1),"0123456789ABCDEFGHIJKLMNOPQRSTUVWXYZ")-1)*{1,2,1,2,1,2,1,2,1,2,1,2,1,2}/36)+MOD((FIND(MID(AZ165,{1,2,3,4,5,6,7,8,9,10,11,12,13,14},1),"0123456789ABCDEFGHIJKLMNOPQRSTUVWXYZ")-1)*{1,2,1,2,1,2,1,2,1,2,1,2,1,2},36)),36),36)+1,1)=MID(AZ165,15,1),"OK","Typo? check digit wrong")),"Wrong format"))</f>
        <v/>
      </c>
      <c r="AW165" s="29">
        <f>IF(BA165="","",IF(AND(LEN(BA165)=10,SUMPRODUCT(--ISERROR(FIND(MID(BA165,{1,2,3,4,5,10},1),"ABCDEFGHIJKLMNOPQRSTUVWXYZ")))=0,SUMPRODUCT(--ISERROR(FIND(MID(BA165,{6,7,8,9},1),"0123456789")))=0),"OK","Wrong format"))</f>
        <v/>
      </c>
      <c r="AX165" s="29">
        <f>IF(TRIM(H165)="","",IF(AND(LEN(UPPER(TRIM(H165)))=10,SUMPRODUCT(--ISERROR(FIND(MID(UPPER(TRIM(H165)),{1,2,3,4,10},1),"ABCDEFGHIJKLMNOPQRSTUVWXYZ")))=0,SUMPRODUCT(--ISERROR(FIND(MID(UPPER(TRIM(H165)),{5,6,7,8,9},1),"0123456789")))=0),"OK","Wrong format"))</f>
        <v/>
      </c>
      <c r="AY165" s="30">
        <f>IF(NOT(COUNTA(A165:AE165)&gt;0),"",IF(BE165&lt;&gt;"","✖ "&amp;LEFT(BE165,LEN(BE165)-2),IF(BD165&gt;0,"✔ Ready — client + "&amp;BD165&amp;" service(s)","✔ Ready — client only")))</f>
        <v/>
      </c>
      <c r="AZ165" s="31">
        <f>UPPER(SUBSTITUTE(TRIM(F165)," ",""))</f>
        <v/>
      </c>
      <c r="BA165" s="31">
        <f>UPPER(SUBSTITUTE(TRIM(E165)," ",""))</f>
        <v/>
      </c>
      <c r="BB165" s="31">
        <f>IF(D165&lt;&gt;"",D165,IFERROR(VLOOKUP(MID(AS165,4,1),Lists!$E$2:$F$8,2,FALSE),""))</f>
        <v/>
      </c>
      <c r="BC165" s="31">
        <f>IFERROR(VLOOKUP(BB165,Lists!$A$2:$C$12,3,FALSE),"")</f>
        <v/>
      </c>
      <c r="BD165" s="31">
        <f>COUNTIF(W165:AC165,"Yes")</f>
        <v/>
      </c>
      <c r="BE165" s="31">
        <f>IF(TRIM(B165)="","Legal name missing; ","")&amp;IF(AND(AV165&lt;&gt;"",AV165&lt;&gt;"OK"),"GSTIN: "&amp;AV165&amp;"; ","")&amp;IF(AND(AW165&lt;&gt;"",AW165&lt;&gt;"OK"),"PAN wrong format; ","")&amp;IF(AND(BA165&lt;&gt;"",LEN(AZ165)=15,MID(AZ165,3,10)&lt;&gt;BA165),"PAN does not match GSTIN; ","")&amp;IF(AND(AX165&lt;&gt;"",AX165&lt;&gt;"OK"),"TAN wrong format; ","")&amp;IF(AS165="","PAN missing; ","")&amp;IF(BB165="","Entity type missing; ","")&amp;IF(AND(AZ165&lt;&gt;"",COUNTIF($AZ$6:$AZ$1005,AZ165)&gt;1),"GSTIN repeated in this sheet; ","")&amp;IF(AND(AS165&lt;&gt;"",COUNTIF($AS$6:$AS$1005,AS165)&gt;1),"PAN repeated in this sheet (same client? put extra GSTINs in Other GSTINs); ","")&amp;IF(AND(BD165&gt;0,V165=""),"Financial year missing; ","")&amp;IF(AND(BD165=0,V165&lt;&gt;""),"Financial year given but no service is Yes; ","")&amp;IF(AND(W165="Yes",AZ165=""),"GST needs a GSTIN; ","")&amp;IF(AND(W165="Yes",X165=""),"GST return frequency missing; ","")&amp;IF(AND(Y165="Yes",TRIM(H165)=""),"TDS needs a TAN; ","")&amp;IF(AND(AA165="Yes",BC165&lt;&gt;"",BC165&lt;&gt;"company",BC165&lt;&gt;"llp"),"ROC is only for a company / LLP; ","")&amp;IF(AND(AA165="Yes",OR(BC165="company",BC165="llp"),TRIM(I165)=""),"ROC needs the CIN / LLPIN; ","")&amp;IF((TRIM(AF165)="")&lt;&gt;(TRIM(AG165)=""),"GST login needs both user ID and password; ","")&amp;IF((TRIM(AH165)="")&lt;&gt;(TRIM(AI165)=""),"Income-tax login needs both user ID and password; ","")&amp;IF((TRIM(AJ165)="")&lt;&gt;(TRIM(AK165)=""),"Income-tax login needs both user ID and password; ","")&amp;IF((TRIM(AL165)="")&lt;&gt;(TRIM(AM165)=""),"TRACES login needs both user ID and password; ","")&amp;IF((TRIM(AN165)="")&lt;&gt;(TRIM(AO165)=""),"MCA login needs both user ID and password; ","")&amp;IF((TRIM(AP165)="")&lt;&gt;(TRIM(AQ165)=""),"E-way bill login needs both user ID and password; ","")</f>
        <v/>
      </c>
    </row>
    <row r="166">
      <c r="A166" s="32" t="n"/>
      <c r="B166" s="33" t="n"/>
      <c r="C166" s="33" t="n"/>
      <c r="D166" s="33" t="n"/>
      <c r="E166" s="32" t="n"/>
      <c r="F166" s="32" t="n"/>
      <c r="G166" s="32" t="n"/>
      <c r="H166" s="32" t="n"/>
      <c r="I166" s="32" t="n"/>
      <c r="J166" s="34" t="n"/>
      <c r="K166" s="33" t="n"/>
      <c r="L166" s="32" t="n"/>
      <c r="M166" s="33" t="n"/>
      <c r="N166" s="33" t="n"/>
      <c r="O166" s="33" t="n"/>
      <c r="P166" s="32" t="n"/>
      <c r="Q166" s="33" t="n"/>
      <c r="R166" s="33" t="n"/>
      <c r="S166" s="33" t="n"/>
      <c r="T166" s="33" t="n"/>
      <c r="U166" s="32" t="n"/>
      <c r="V166" s="33" t="n"/>
      <c r="W166" s="33" t="n"/>
      <c r="X166" s="33" t="n"/>
      <c r="Y166" s="33" t="n"/>
      <c r="Z166" s="33" t="n"/>
      <c r="AA166" s="33" t="n"/>
      <c r="AB166" s="33" t="n"/>
      <c r="AC166" s="33" t="n"/>
      <c r="AD166" s="33" t="n"/>
      <c r="AE166" s="33" t="n"/>
      <c r="AF166" s="32" t="n"/>
      <c r="AG166" s="32" t="n"/>
      <c r="AH166" s="32" t="n"/>
      <c r="AI166" s="32" t="n"/>
      <c r="AJ166" s="32" t="n"/>
      <c r="AK166" s="32" t="n"/>
      <c r="AL166" s="32" t="n"/>
      <c r="AM166" s="32" t="n"/>
      <c r="AN166" s="32" t="n"/>
      <c r="AO166" s="32" t="n"/>
      <c r="AP166" s="32" t="n"/>
      <c r="AQ166" s="32" t="n"/>
      <c r="AR166" s="29">
        <f>IF(NOT(COUNTA(A166:AE166)&gt;0),"",IF(A166="","New client","Update"))</f>
        <v/>
      </c>
      <c r="AS166" s="29">
        <f>IF(BA166&lt;&gt;"",BA166,IF(LEN(AZ166)=15,MID(AZ166,3,10),""))</f>
        <v/>
      </c>
      <c r="AT166" s="29">
        <f>IF(BB166="","",BB166&amp;IF(D166="","  (guessed from PAN)",""))</f>
        <v/>
      </c>
      <c r="AU166" s="29">
        <f>IF(AZ166="","",IFERROR(INDEX(Lists!$L$2:$L$38,MATCH(LEFT(AZ166,2),Lists!$K$2:$K$38,0)),"Unknown code"))</f>
        <v/>
      </c>
      <c r="AV166" s="29">
        <f>IF(AZ166="","",IFERROR(IF(NOT(AND(LEN(AZ166)=15,ISNUMBER(MATCH(LEFT(AZ166,2),Lists!$K$2:$K$38,0)),SUMPRODUCT(--ISERROR(FIND(MID(MID(AZ166,3,10),{1,2,3,4,5,10},1),"ABCDEFGHIJKLMNOPQRSTUVWXYZ")))=0,SUMPRODUCT(--ISERROR(FIND(MID(MID(AZ166,3,10),{6,7,8,9},1),"0123456789")))=0,ISNUMBER(FIND(MID(AZ166,13,1),"123456789ABCDEFGHIJKLMNOPQRSTUVWXYZ")),MID(AZ166,14,1)="Z")),"Wrong format",IF(MID("0123456789ABCDEFGHIJKLMNOPQRSTUVWXYZ",MOD(36-MOD(SUMPRODUCT(INT((FIND(MID(AZ166,{1,2,3,4,5,6,7,8,9,10,11,12,13,14},1),"0123456789ABCDEFGHIJKLMNOPQRSTUVWXYZ")-1)*{1,2,1,2,1,2,1,2,1,2,1,2,1,2}/36)+MOD((FIND(MID(AZ166,{1,2,3,4,5,6,7,8,9,10,11,12,13,14},1),"0123456789ABCDEFGHIJKLMNOPQRSTUVWXYZ")-1)*{1,2,1,2,1,2,1,2,1,2,1,2,1,2},36)),36),36)+1,1)=MID(AZ166,15,1),"OK","Typo? check digit wrong")),"Wrong format"))</f>
        <v/>
      </c>
      <c r="AW166" s="29">
        <f>IF(BA166="","",IF(AND(LEN(BA166)=10,SUMPRODUCT(--ISERROR(FIND(MID(BA166,{1,2,3,4,5,10},1),"ABCDEFGHIJKLMNOPQRSTUVWXYZ")))=0,SUMPRODUCT(--ISERROR(FIND(MID(BA166,{6,7,8,9},1),"0123456789")))=0),"OK","Wrong format"))</f>
        <v/>
      </c>
      <c r="AX166" s="29">
        <f>IF(TRIM(H166)="","",IF(AND(LEN(UPPER(TRIM(H166)))=10,SUMPRODUCT(--ISERROR(FIND(MID(UPPER(TRIM(H166)),{1,2,3,4,10},1),"ABCDEFGHIJKLMNOPQRSTUVWXYZ")))=0,SUMPRODUCT(--ISERROR(FIND(MID(UPPER(TRIM(H166)),{5,6,7,8,9},1),"0123456789")))=0),"OK","Wrong format"))</f>
        <v/>
      </c>
      <c r="AY166" s="30">
        <f>IF(NOT(COUNTA(A166:AE166)&gt;0),"",IF(BE166&lt;&gt;"","✖ "&amp;LEFT(BE166,LEN(BE166)-2),IF(BD166&gt;0,"✔ Ready — client + "&amp;BD166&amp;" service(s)","✔ Ready — client only")))</f>
        <v/>
      </c>
      <c r="AZ166" s="31">
        <f>UPPER(SUBSTITUTE(TRIM(F166)," ",""))</f>
        <v/>
      </c>
      <c r="BA166" s="31">
        <f>UPPER(SUBSTITUTE(TRIM(E166)," ",""))</f>
        <v/>
      </c>
      <c r="BB166" s="31">
        <f>IF(D166&lt;&gt;"",D166,IFERROR(VLOOKUP(MID(AS166,4,1),Lists!$E$2:$F$8,2,FALSE),""))</f>
        <v/>
      </c>
      <c r="BC166" s="31">
        <f>IFERROR(VLOOKUP(BB166,Lists!$A$2:$C$12,3,FALSE),"")</f>
        <v/>
      </c>
      <c r="BD166" s="31">
        <f>COUNTIF(W166:AC166,"Yes")</f>
        <v/>
      </c>
      <c r="BE166" s="31">
        <f>IF(TRIM(B166)="","Legal name missing; ","")&amp;IF(AND(AV166&lt;&gt;"",AV166&lt;&gt;"OK"),"GSTIN: "&amp;AV166&amp;"; ","")&amp;IF(AND(AW166&lt;&gt;"",AW166&lt;&gt;"OK"),"PAN wrong format; ","")&amp;IF(AND(BA166&lt;&gt;"",LEN(AZ166)=15,MID(AZ166,3,10)&lt;&gt;BA166),"PAN does not match GSTIN; ","")&amp;IF(AND(AX166&lt;&gt;"",AX166&lt;&gt;"OK"),"TAN wrong format; ","")&amp;IF(AS166="","PAN missing; ","")&amp;IF(BB166="","Entity type missing; ","")&amp;IF(AND(AZ166&lt;&gt;"",COUNTIF($AZ$6:$AZ$1005,AZ166)&gt;1),"GSTIN repeated in this sheet; ","")&amp;IF(AND(AS166&lt;&gt;"",COUNTIF($AS$6:$AS$1005,AS166)&gt;1),"PAN repeated in this sheet (same client? put extra GSTINs in Other GSTINs); ","")&amp;IF(AND(BD166&gt;0,V166=""),"Financial year missing; ","")&amp;IF(AND(BD166=0,V166&lt;&gt;""),"Financial year given but no service is Yes; ","")&amp;IF(AND(W166="Yes",AZ166=""),"GST needs a GSTIN; ","")&amp;IF(AND(W166="Yes",X166=""),"GST return frequency missing; ","")&amp;IF(AND(Y166="Yes",TRIM(H166)=""),"TDS needs a TAN; ","")&amp;IF(AND(AA166="Yes",BC166&lt;&gt;"",BC166&lt;&gt;"company",BC166&lt;&gt;"llp"),"ROC is only for a company / LLP; ","")&amp;IF(AND(AA166="Yes",OR(BC166="company",BC166="llp"),TRIM(I166)=""),"ROC needs the CIN / LLPIN; ","")&amp;IF((TRIM(AF166)="")&lt;&gt;(TRIM(AG166)=""),"GST login needs both user ID and password; ","")&amp;IF((TRIM(AH166)="")&lt;&gt;(TRIM(AI166)=""),"Income-tax login needs both user ID and password; ","")&amp;IF((TRIM(AJ166)="")&lt;&gt;(TRIM(AK166)=""),"Income-tax login needs both user ID and password; ","")&amp;IF((TRIM(AL166)="")&lt;&gt;(TRIM(AM166)=""),"TRACES login needs both user ID and password; ","")&amp;IF((TRIM(AN166)="")&lt;&gt;(TRIM(AO166)=""),"MCA login needs both user ID and password; ","")&amp;IF((TRIM(AP166)="")&lt;&gt;(TRIM(AQ166)=""),"E-way bill login needs both user ID and password; ","")</f>
        <v/>
      </c>
    </row>
    <row r="167">
      <c r="A167" s="32" t="n"/>
      <c r="B167" s="33" t="n"/>
      <c r="C167" s="33" t="n"/>
      <c r="D167" s="33" t="n"/>
      <c r="E167" s="32" t="n"/>
      <c r="F167" s="32" t="n"/>
      <c r="G167" s="32" t="n"/>
      <c r="H167" s="32" t="n"/>
      <c r="I167" s="32" t="n"/>
      <c r="J167" s="34" t="n"/>
      <c r="K167" s="33" t="n"/>
      <c r="L167" s="32" t="n"/>
      <c r="M167" s="33" t="n"/>
      <c r="N167" s="33" t="n"/>
      <c r="O167" s="33" t="n"/>
      <c r="P167" s="32" t="n"/>
      <c r="Q167" s="33" t="n"/>
      <c r="R167" s="33" t="n"/>
      <c r="S167" s="33" t="n"/>
      <c r="T167" s="33" t="n"/>
      <c r="U167" s="32" t="n"/>
      <c r="V167" s="33" t="n"/>
      <c r="W167" s="33" t="n"/>
      <c r="X167" s="33" t="n"/>
      <c r="Y167" s="33" t="n"/>
      <c r="Z167" s="33" t="n"/>
      <c r="AA167" s="33" t="n"/>
      <c r="AB167" s="33" t="n"/>
      <c r="AC167" s="33" t="n"/>
      <c r="AD167" s="33" t="n"/>
      <c r="AE167" s="33" t="n"/>
      <c r="AF167" s="32" t="n"/>
      <c r="AG167" s="32" t="n"/>
      <c r="AH167" s="32" t="n"/>
      <c r="AI167" s="32" t="n"/>
      <c r="AJ167" s="32" t="n"/>
      <c r="AK167" s="32" t="n"/>
      <c r="AL167" s="32" t="n"/>
      <c r="AM167" s="32" t="n"/>
      <c r="AN167" s="32" t="n"/>
      <c r="AO167" s="32" t="n"/>
      <c r="AP167" s="32" t="n"/>
      <c r="AQ167" s="32" t="n"/>
      <c r="AR167" s="29">
        <f>IF(NOT(COUNTA(A167:AE167)&gt;0),"",IF(A167="","New client","Update"))</f>
        <v/>
      </c>
      <c r="AS167" s="29">
        <f>IF(BA167&lt;&gt;"",BA167,IF(LEN(AZ167)=15,MID(AZ167,3,10),""))</f>
        <v/>
      </c>
      <c r="AT167" s="29">
        <f>IF(BB167="","",BB167&amp;IF(D167="","  (guessed from PAN)",""))</f>
        <v/>
      </c>
      <c r="AU167" s="29">
        <f>IF(AZ167="","",IFERROR(INDEX(Lists!$L$2:$L$38,MATCH(LEFT(AZ167,2),Lists!$K$2:$K$38,0)),"Unknown code"))</f>
        <v/>
      </c>
      <c r="AV167" s="29">
        <f>IF(AZ167="","",IFERROR(IF(NOT(AND(LEN(AZ167)=15,ISNUMBER(MATCH(LEFT(AZ167,2),Lists!$K$2:$K$38,0)),SUMPRODUCT(--ISERROR(FIND(MID(MID(AZ167,3,10),{1,2,3,4,5,10},1),"ABCDEFGHIJKLMNOPQRSTUVWXYZ")))=0,SUMPRODUCT(--ISERROR(FIND(MID(MID(AZ167,3,10),{6,7,8,9},1),"0123456789")))=0,ISNUMBER(FIND(MID(AZ167,13,1),"123456789ABCDEFGHIJKLMNOPQRSTUVWXYZ")),MID(AZ167,14,1)="Z")),"Wrong format",IF(MID("0123456789ABCDEFGHIJKLMNOPQRSTUVWXYZ",MOD(36-MOD(SUMPRODUCT(INT((FIND(MID(AZ167,{1,2,3,4,5,6,7,8,9,10,11,12,13,14},1),"0123456789ABCDEFGHIJKLMNOPQRSTUVWXYZ")-1)*{1,2,1,2,1,2,1,2,1,2,1,2,1,2}/36)+MOD((FIND(MID(AZ167,{1,2,3,4,5,6,7,8,9,10,11,12,13,14},1),"0123456789ABCDEFGHIJKLMNOPQRSTUVWXYZ")-1)*{1,2,1,2,1,2,1,2,1,2,1,2,1,2},36)),36),36)+1,1)=MID(AZ167,15,1),"OK","Typo? check digit wrong")),"Wrong format"))</f>
        <v/>
      </c>
      <c r="AW167" s="29">
        <f>IF(BA167="","",IF(AND(LEN(BA167)=10,SUMPRODUCT(--ISERROR(FIND(MID(BA167,{1,2,3,4,5,10},1),"ABCDEFGHIJKLMNOPQRSTUVWXYZ")))=0,SUMPRODUCT(--ISERROR(FIND(MID(BA167,{6,7,8,9},1),"0123456789")))=0),"OK","Wrong format"))</f>
        <v/>
      </c>
      <c r="AX167" s="29">
        <f>IF(TRIM(H167)="","",IF(AND(LEN(UPPER(TRIM(H167)))=10,SUMPRODUCT(--ISERROR(FIND(MID(UPPER(TRIM(H167)),{1,2,3,4,10},1),"ABCDEFGHIJKLMNOPQRSTUVWXYZ")))=0,SUMPRODUCT(--ISERROR(FIND(MID(UPPER(TRIM(H167)),{5,6,7,8,9},1),"0123456789")))=0),"OK","Wrong format"))</f>
        <v/>
      </c>
      <c r="AY167" s="30">
        <f>IF(NOT(COUNTA(A167:AE167)&gt;0),"",IF(BE167&lt;&gt;"","✖ "&amp;LEFT(BE167,LEN(BE167)-2),IF(BD167&gt;0,"✔ Ready — client + "&amp;BD167&amp;" service(s)","✔ Ready — client only")))</f>
        <v/>
      </c>
      <c r="AZ167" s="31">
        <f>UPPER(SUBSTITUTE(TRIM(F167)," ",""))</f>
        <v/>
      </c>
      <c r="BA167" s="31">
        <f>UPPER(SUBSTITUTE(TRIM(E167)," ",""))</f>
        <v/>
      </c>
      <c r="BB167" s="31">
        <f>IF(D167&lt;&gt;"",D167,IFERROR(VLOOKUP(MID(AS167,4,1),Lists!$E$2:$F$8,2,FALSE),""))</f>
        <v/>
      </c>
      <c r="BC167" s="31">
        <f>IFERROR(VLOOKUP(BB167,Lists!$A$2:$C$12,3,FALSE),"")</f>
        <v/>
      </c>
      <c r="BD167" s="31">
        <f>COUNTIF(W167:AC167,"Yes")</f>
        <v/>
      </c>
      <c r="BE167" s="31">
        <f>IF(TRIM(B167)="","Legal name missing; ","")&amp;IF(AND(AV167&lt;&gt;"",AV167&lt;&gt;"OK"),"GSTIN: "&amp;AV167&amp;"; ","")&amp;IF(AND(AW167&lt;&gt;"",AW167&lt;&gt;"OK"),"PAN wrong format; ","")&amp;IF(AND(BA167&lt;&gt;"",LEN(AZ167)=15,MID(AZ167,3,10)&lt;&gt;BA167),"PAN does not match GSTIN; ","")&amp;IF(AND(AX167&lt;&gt;"",AX167&lt;&gt;"OK"),"TAN wrong format; ","")&amp;IF(AS167="","PAN missing; ","")&amp;IF(BB167="","Entity type missing; ","")&amp;IF(AND(AZ167&lt;&gt;"",COUNTIF($AZ$6:$AZ$1005,AZ167)&gt;1),"GSTIN repeated in this sheet; ","")&amp;IF(AND(AS167&lt;&gt;"",COUNTIF($AS$6:$AS$1005,AS167)&gt;1),"PAN repeated in this sheet (same client? put extra GSTINs in Other GSTINs); ","")&amp;IF(AND(BD167&gt;0,V167=""),"Financial year missing; ","")&amp;IF(AND(BD167=0,V167&lt;&gt;""),"Financial year given but no service is Yes; ","")&amp;IF(AND(W167="Yes",AZ167=""),"GST needs a GSTIN; ","")&amp;IF(AND(W167="Yes",X167=""),"GST return frequency missing; ","")&amp;IF(AND(Y167="Yes",TRIM(H167)=""),"TDS needs a TAN; ","")&amp;IF(AND(AA167="Yes",BC167&lt;&gt;"",BC167&lt;&gt;"company",BC167&lt;&gt;"llp"),"ROC is only for a company / LLP; ","")&amp;IF(AND(AA167="Yes",OR(BC167="company",BC167="llp"),TRIM(I167)=""),"ROC needs the CIN / LLPIN; ","")&amp;IF((TRIM(AF167)="")&lt;&gt;(TRIM(AG167)=""),"GST login needs both user ID and password; ","")&amp;IF((TRIM(AH167)="")&lt;&gt;(TRIM(AI167)=""),"Income-tax login needs both user ID and password; ","")&amp;IF((TRIM(AJ167)="")&lt;&gt;(TRIM(AK167)=""),"Income-tax login needs both user ID and password; ","")&amp;IF((TRIM(AL167)="")&lt;&gt;(TRIM(AM167)=""),"TRACES login needs both user ID and password; ","")&amp;IF((TRIM(AN167)="")&lt;&gt;(TRIM(AO167)=""),"MCA login needs both user ID and password; ","")&amp;IF((TRIM(AP167)="")&lt;&gt;(TRIM(AQ167)=""),"E-way bill login needs both user ID and password; ","")</f>
        <v/>
      </c>
    </row>
    <row r="168">
      <c r="A168" s="32" t="n"/>
      <c r="B168" s="33" t="n"/>
      <c r="C168" s="33" t="n"/>
      <c r="D168" s="33" t="n"/>
      <c r="E168" s="32" t="n"/>
      <c r="F168" s="32" t="n"/>
      <c r="G168" s="32" t="n"/>
      <c r="H168" s="32" t="n"/>
      <c r="I168" s="32" t="n"/>
      <c r="J168" s="34" t="n"/>
      <c r="K168" s="33" t="n"/>
      <c r="L168" s="32" t="n"/>
      <c r="M168" s="33" t="n"/>
      <c r="N168" s="33" t="n"/>
      <c r="O168" s="33" t="n"/>
      <c r="P168" s="32" t="n"/>
      <c r="Q168" s="33" t="n"/>
      <c r="R168" s="33" t="n"/>
      <c r="S168" s="33" t="n"/>
      <c r="T168" s="33" t="n"/>
      <c r="U168" s="32" t="n"/>
      <c r="V168" s="33" t="n"/>
      <c r="W168" s="33" t="n"/>
      <c r="X168" s="33" t="n"/>
      <c r="Y168" s="33" t="n"/>
      <c r="Z168" s="33" t="n"/>
      <c r="AA168" s="33" t="n"/>
      <c r="AB168" s="33" t="n"/>
      <c r="AC168" s="33" t="n"/>
      <c r="AD168" s="33" t="n"/>
      <c r="AE168" s="33" t="n"/>
      <c r="AF168" s="32" t="n"/>
      <c r="AG168" s="32" t="n"/>
      <c r="AH168" s="32" t="n"/>
      <c r="AI168" s="32" t="n"/>
      <c r="AJ168" s="32" t="n"/>
      <c r="AK168" s="32" t="n"/>
      <c r="AL168" s="32" t="n"/>
      <c r="AM168" s="32" t="n"/>
      <c r="AN168" s="32" t="n"/>
      <c r="AO168" s="32" t="n"/>
      <c r="AP168" s="32" t="n"/>
      <c r="AQ168" s="32" t="n"/>
      <c r="AR168" s="29">
        <f>IF(NOT(COUNTA(A168:AE168)&gt;0),"",IF(A168="","New client","Update"))</f>
        <v/>
      </c>
      <c r="AS168" s="29">
        <f>IF(BA168&lt;&gt;"",BA168,IF(LEN(AZ168)=15,MID(AZ168,3,10),""))</f>
        <v/>
      </c>
      <c r="AT168" s="29">
        <f>IF(BB168="","",BB168&amp;IF(D168="","  (guessed from PAN)",""))</f>
        <v/>
      </c>
      <c r="AU168" s="29">
        <f>IF(AZ168="","",IFERROR(INDEX(Lists!$L$2:$L$38,MATCH(LEFT(AZ168,2),Lists!$K$2:$K$38,0)),"Unknown code"))</f>
        <v/>
      </c>
      <c r="AV168" s="29">
        <f>IF(AZ168="","",IFERROR(IF(NOT(AND(LEN(AZ168)=15,ISNUMBER(MATCH(LEFT(AZ168,2),Lists!$K$2:$K$38,0)),SUMPRODUCT(--ISERROR(FIND(MID(MID(AZ168,3,10),{1,2,3,4,5,10},1),"ABCDEFGHIJKLMNOPQRSTUVWXYZ")))=0,SUMPRODUCT(--ISERROR(FIND(MID(MID(AZ168,3,10),{6,7,8,9},1),"0123456789")))=0,ISNUMBER(FIND(MID(AZ168,13,1),"123456789ABCDEFGHIJKLMNOPQRSTUVWXYZ")),MID(AZ168,14,1)="Z")),"Wrong format",IF(MID("0123456789ABCDEFGHIJKLMNOPQRSTUVWXYZ",MOD(36-MOD(SUMPRODUCT(INT((FIND(MID(AZ168,{1,2,3,4,5,6,7,8,9,10,11,12,13,14},1),"0123456789ABCDEFGHIJKLMNOPQRSTUVWXYZ")-1)*{1,2,1,2,1,2,1,2,1,2,1,2,1,2}/36)+MOD((FIND(MID(AZ168,{1,2,3,4,5,6,7,8,9,10,11,12,13,14},1),"0123456789ABCDEFGHIJKLMNOPQRSTUVWXYZ")-1)*{1,2,1,2,1,2,1,2,1,2,1,2,1,2},36)),36),36)+1,1)=MID(AZ168,15,1),"OK","Typo? check digit wrong")),"Wrong format"))</f>
        <v/>
      </c>
      <c r="AW168" s="29">
        <f>IF(BA168="","",IF(AND(LEN(BA168)=10,SUMPRODUCT(--ISERROR(FIND(MID(BA168,{1,2,3,4,5,10},1),"ABCDEFGHIJKLMNOPQRSTUVWXYZ")))=0,SUMPRODUCT(--ISERROR(FIND(MID(BA168,{6,7,8,9},1),"0123456789")))=0),"OK","Wrong format"))</f>
        <v/>
      </c>
      <c r="AX168" s="29">
        <f>IF(TRIM(H168)="","",IF(AND(LEN(UPPER(TRIM(H168)))=10,SUMPRODUCT(--ISERROR(FIND(MID(UPPER(TRIM(H168)),{1,2,3,4,10},1),"ABCDEFGHIJKLMNOPQRSTUVWXYZ")))=0,SUMPRODUCT(--ISERROR(FIND(MID(UPPER(TRIM(H168)),{5,6,7,8,9},1),"0123456789")))=0),"OK","Wrong format"))</f>
        <v/>
      </c>
      <c r="AY168" s="30">
        <f>IF(NOT(COUNTA(A168:AE168)&gt;0),"",IF(BE168&lt;&gt;"","✖ "&amp;LEFT(BE168,LEN(BE168)-2),IF(BD168&gt;0,"✔ Ready — client + "&amp;BD168&amp;" service(s)","✔ Ready — client only")))</f>
        <v/>
      </c>
      <c r="AZ168" s="31">
        <f>UPPER(SUBSTITUTE(TRIM(F168)," ",""))</f>
        <v/>
      </c>
      <c r="BA168" s="31">
        <f>UPPER(SUBSTITUTE(TRIM(E168)," ",""))</f>
        <v/>
      </c>
      <c r="BB168" s="31">
        <f>IF(D168&lt;&gt;"",D168,IFERROR(VLOOKUP(MID(AS168,4,1),Lists!$E$2:$F$8,2,FALSE),""))</f>
        <v/>
      </c>
      <c r="BC168" s="31">
        <f>IFERROR(VLOOKUP(BB168,Lists!$A$2:$C$12,3,FALSE),"")</f>
        <v/>
      </c>
      <c r="BD168" s="31">
        <f>COUNTIF(W168:AC168,"Yes")</f>
        <v/>
      </c>
      <c r="BE168" s="31">
        <f>IF(TRIM(B168)="","Legal name missing; ","")&amp;IF(AND(AV168&lt;&gt;"",AV168&lt;&gt;"OK"),"GSTIN: "&amp;AV168&amp;"; ","")&amp;IF(AND(AW168&lt;&gt;"",AW168&lt;&gt;"OK"),"PAN wrong format; ","")&amp;IF(AND(BA168&lt;&gt;"",LEN(AZ168)=15,MID(AZ168,3,10)&lt;&gt;BA168),"PAN does not match GSTIN; ","")&amp;IF(AND(AX168&lt;&gt;"",AX168&lt;&gt;"OK"),"TAN wrong format; ","")&amp;IF(AS168="","PAN missing; ","")&amp;IF(BB168="","Entity type missing; ","")&amp;IF(AND(AZ168&lt;&gt;"",COUNTIF($AZ$6:$AZ$1005,AZ168)&gt;1),"GSTIN repeated in this sheet; ","")&amp;IF(AND(AS168&lt;&gt;"",COUNTIF($AS$6:$AS$1005,AS168)&gt;1),"PAN repeated in this sheet (same client? put extra GSTINs in Other GSTINs); ","")&amp;IF(AND(BD168&gt;0,V168=""),"Financial year missing; ","")&amp;IF(AND(BD168=0,V168&lt;&gt;""),"Financial year given but no service is Yes; ","")&amp;IF(AND(W168="Yes",AZ168=""),"GST needs a GSTIN; ","")&amp;IF(AND(W168="Yes",X168=""),"GST return frequency missing; ","")&amp;IF(AND(Y168="Yes",TRIM(H168)=""),"TDS needs a TAN; ","")&amp;IF(AND(AA168="Yes",BC168&lt;&gt;"",BC168&lt;&gt;"company",BC168&lt;&gt;"llp"),"ROC is only for a company / LLP; ","")&amp;IF(AND(AA168="Yes",OR(BC168="company",BC168="llp"),TRIM(I168)=""),"ROC needs the CIN / LLPIN; ","")&amp;IF((TRIM(AF168)="")&lt;&gt;(TRIM(AG168)=""),"GST login needs both user ID and password; ","")&amp;IF((TRIM(AH168)="")&lt;&gt;(TRIM(AI168)=""),"Income-tax login needs both user ID and password; ","")&amp;IF((TRIM(AJ168)="")&lt;&gt;(TRIM(AK168)=""),"Income-tax login needs both user ID and password; ","")&amp;IF((TRIM(AL168)="")&lt;&gt;(TRIM(AM168)=""),"TRACES login needs both user ID and password; ","")&amp;IF((TRIM(AN168)="")&lt;&gt;(TRIM(AO168)=""),"MCA login needs both user ID and password; ","")&amp;IF((TRIM(AP168)="")&lt;&gt;(TRIM(AQ168)=""),"E-way bill login needs both user ID and password; ","")</f>
        <v/>
      </c>
    </row>
    <row r="169">
      <c r="A169" s="32" t="n"/>
      <c r="B169" s="33" t="n"/>
      <c r="C169" s="33" t="n"/>
      <c r="D169" s="33" t="n"/>
      <c r="E169" s="32" t="n"/>
      <c r="F169" s="32" t="n"/>
      <c r="G169" s="32" t="n"/>
      <c r="H169" s="32" t="n"/>
      <c r="I169" s="32" t="n"/>
      <c r="J169" s="34" t="n"/>
      <c r="K169" s="33" t="n"/>
      <c r="L169" s="32" t="n"/>
      <c r="M169" s="33" t="n"/>
      <c r="N169" s="33" t="n"/>
      <c r="O169" s="33" t="n"/>
      <c r="P169" s="32" t="n"/>
      <c r="Q169" s="33" t="n"/>
      <c r="R169" s="33" t="n"/>
      <c r="S169" s="33" t="n"/>
      <c r="T169" s="33" t="n"/>
      <c r="U169" s="32" t="n"/>
      <c r="V169" s="33" t="n"/>
      <c r="W169" s="33" t="n"/>
      <c r="X169" s="33" t="n"/>
      <c r="Y169" s="33" t="n"/>
      <c r="Z169" s="33" t="n"/>
      <c r="AA169" s="33" t="n"/>
      <c r="AB169" s="33" t="n"/>
      <c r="AC169" s="33" t="n"/>
      <c r="AD169" s="33" t="n"/>
      <c r="AE169" s="33" t="n"/>
      <c r="AF169" s="32" t="n"/>
      <c r="AG169" s="32" t="n"/>
      <c r="AH169" s="32" t="n"/>
      <c r="AI169" s="32" t="n"/>
      <c r="AJ169" s="32" t="n"/>
      <c r="AK169" s="32" t="n"/>
      <c r="AL169" s="32" t="n"/>
      <c r="AM169" s="32" t="n"/>
      <c r="AN169" s="32" t="n"/>
      <c r="AO169" s="32" t="n"/>
      <c r="AP169" s="32" t="n"/>
      <c r="AQ169" s="32" t="n"/>
      <c r="AR169" s="29">
        <f>IF(NOT(COUNTA(A169:AE169)&gt;0),"",IF(A169="","New client","Update"))</f>
        <v/>
      </c>
      <c r="AS169" s="29">
        <f>IF(BA169&lt;&gt;"",BA169,IF(LEN(AZ169)=15,MID(AZ169,3,10),""))</f>
        <v/>
      </c>
      <c r="AT169" s="29">
        <f>IF(BB169="","",BB169&amp;IF(D169="","  (guessed from PAN)",""))</f>
        <v/>
      </c>
      <c r="AU169" s="29">
        <f>IF(AZ169="","",IFERROR(INDEX(Lists!$L$2:$L$38,MATCH(LEFT(AZ169,2),Lists!$K$2:$K$38,0)),"Unknown code"))</f>
        <v/>
      </c>
      <c r="AV169" s="29">
        <f>IF(AZ169="","",IFERROR(IF(NOT(AND(LEN(AZ169)=15,ISNUMBER(MATCH(LEFT(AZ169,2),Lists!$K$2:$K$38,0)),SUMPRODUCT(--ISERROR(FIND(MID(MID(AZ169,3,10),{1,2,3,4,5,10},1),"ABCDEFGHIJKLMNOPQRSTUVWXYZ")))=0,SUMPRODUCT(--ISERROR(FIND(MID(MID(AZ169,3,10),{6,7,8,9},1),"0123456789")))=0,ISNUMBER(FIND(MID(AZ169,13,1),"123456789ABCDEFGHIJKLMNOPQRSTUVWXYZ")),MID(AZ169,14,1)="Z")),"Wrong format",IF(MID("0123456789ABCDEFGHIJKLMNOPQRSTUVWXYZ",MOD(36-MOD(SUMPRODUCT(INT((FIND(MID(AZ169,{1,2,3,4,5,6,7,8,9,10,11,12,13,14},1),"0123456789ABCDEFGHIJKLMNOPQRSTUVWXYZ")-1)*{1,2,1,2,1,2,1,2,1,2,1,2,1,2}/36)+MOD((FIND(MID(AZ169,{1,2,3,4,5,6,7,8,9,10,11,12,13,14},1),"0123456789ABCDEFGHIJKLMNOPQRSTUVWXYZ")-1)*{1,2,1,2,1,2,1,2,1,2,1,2,1,2},36)),36),36)+1,1)=MID(AZ169,15,1),"OK","Typo? check digit wrong")),"Wrong format"))</f>
        <v/>
      </c>
      <c r="AW169" s="29">
        <f>IF(BA169="","",IF(AND(LEN(BA169)=10,SUMPRODUCT(--ISERROR(FIND(MID(BA169,{1,2,3,4,5,10},1),"ABCDEFGHIJKLMNOPQRSTUVWXYZ")))=0,SUMPRODUCT(--ISERROR(FIND(MID(BA169,{6,7,8,9},1),"0123456789")))=0),"OK","Wrong format"))</f>
        <v/>
      </c>
      <c r="AX169" s="29">
        <f>IF(TRIM(H169)="","",IF(AND(LEN(UPPER(TRIM(H169)))=10,SUMPRODUCT(--ISERROR(FIND(MID(UPPER(TRIM(H169)),{1,2,3,4,10},1),"ABCDEFGHIJKLMNOPQRSTUVWXYZ")))=0,SUMPRODUCT(--ISERROR(FIND(MID(UPPER(TRIM(H169)),{5,6,7,8,9},1),"0123456789")))=0),"OK","Wrong format"))</f>
        <v/>
      </c>
      <c r="AY169" s="30">
        <f>IF(NOT(COUNTA(A169:AE169)&gt;0),"",IF(BE169&lt;&gt;"","✖ "&amp;LEFT(BE169,LEN(BE169)-2),IF(BD169&gt;0,"✔ Ready — client + "&amp;BD169&amp;" service(s)","✔ Ready — client only")))</f>
        <v/>
      </c>
      <c r="AZ169" s="31">
        <f>UPPER(SUBSTITUTE(TRIM(F169)," ",""))</f>
        <v/>
      </c>
      <c r="BA169" s="31">
        <f>UPPER(SUBSTITUTE(TRIM(E169)," ",""))</f>
        <v/>
      </c>
      <c r="BB169" s="31">
        <f>IF(D169&lt;&gt;"",D169,IFERROR(VLOOKUP(MID(AS169,4,1),Lists!$E$2:$F$8,2,FALSE),""))</f>
        <v/>
      </c>
      <c r="BC169" s="31">
        <f>IFERROR(VLOOKUP(BB169,Lists!$A$2:$C$12,3,FALSE),"")</f>
        <v/>
      </c>
      <c r="BD169" s="31">
        <f>COUNTIF(W169:AC169,"Yes")</f>
        <v/>
      </c>
      <c r="BE169" s="31">
        <f>IF(TRIM(B169)="","Legal name missing; ","")&amp;IF(AND(AV169&lt;&gt;"",AV169&lt;&gt;"OK"),"GSTIN: "&amp;AV169&amp;"; ","")&amp;IF(AND(AW169&lt;&gt;"",AW169&lt;&gt;"OK"),"PAN wrong format; ","")&amp;IF(AND(BA169&lt;&gt;"",LEN(AZ169)=15,MID(AZ169,3,10)&lt;&gt;BA169),"PAN does not match GSTIN; ","")&amp;IF(AND(AX169&lt;&gt;"",AX169&lt;&gt;"OK"),"TAN wrong format; ","")&amp;IF(AS169="","PAN missing; ","")&amp;IF(BB169="","Entity type missing; ","")&amp;IF(AND(AZ169&lt;&gt;"",COUNTIF($AZ$6:$AZ$1005,AZ169)&gt;1),"GSTIN repeated in this sheet; ","")&amp;IF(AND(AS169&lt;&gt;"",COUNTIF($AS$6:$AS$1005,AS169)&gt;1),"PAN repeated in this sheet (same client? put extra GSTINs in Other GSTINs); ","")&amp;IF(AND(BD169&gt;0,V169=""),"Financial year missing; ","")&amp;IF(AND(BD169=0,V169&lt;&gt;""),"Financial year given but no service is Yes; ","")&amp;IF(AND(W169="Yes",AZ169=""),"GST needs a GSTIN; ","")&amp;IF(AND(W169="Yes",X169=""),"GST return frequency missing; ","")&amp;IF(AND(Y169="Yes",TRIM(H169)=""),"TDS needs a TAN; ","")&amp;IF(AND(AA169="Yes",BC169&lt;&gt;"",BC169&lt;&gt;"company",BC169&lt;&gt;"llp"),"ROC is only for a company / LLP; ","")&amp;IF(AND(AA169="Yes",OR(BC169="company",BC169="llp"),TRIM(I169)=""),"ROC needs the CIN / LLPIN; ","")&amp;IF((TRIM(AF169)="")&lt;&gt;(TRIM(AG169)=""),"GST login needs both user ID and password; ","")&amp;IF((TRIM(AH169)="")&lt;&gt;(TRIM(AI169)=""),"Income-tax login needs both user ID and password; ","")&amp;IF((TRIM(AJ169)="")&lt;&gt;(TRIM(AK169)=""),"Income-tax login needs both user ID and password; ","")&amp;IF((TRIM(AL169)="")&lt;&gt;(TRIM(AM169)=""),"TRACES login needs both user ID and password; ","")&amp;IF((TRIM(AN169)="")&lt;&gt;(TRIM(AO169)=""),"MCA login needs both user ID and password; ","")&amp;IF((TRIM(AP169)="")&lt;&gt;(TRIM(AQ169)=""),"E-way bill login needs both user ID and password; ","")</f>
        <v/>
      </c>
    </row>
    <row r="170">
      <c r="A170" s="32" t="n"/>
      <c r="B170" s="33" t="n"/>
      <c r="C170" s="33" t="n"/>
      <c r="D170" s="33" t="n"/>
      <c r="E170" s="32" t="n"/>
      <c r="F170" s="32" t="n"/>
      <c r="G170" s="32" t="n"/>
      <c r="H170" s="32" t="n"/>
      <c r="I170" s="32" t="n"/>
      <c r="J170" s="34" t="n"/>
      <c r="K170" s="33" t="n"/>
      <c r="L170" s="32" t="n"/>
      <c r="M170" s="33" t="n"/>
      <c r="N170" s="33" t="n"/>
      <c r="O170" s="33" t="n"/>
      <c r="P170" s="32" t="n"/>
      <c r="Q170" s="33" t="n"/>
      <c r="R170" s="33" t="n"/>
      <c r="S170" s="33" t="n"/>
      <c r="T170" s="33" t="n"/>
      <c r="U170" s="32" t="n"/>
      <c r="V170" s="33" t="n"/>
      <c r="W170" s="33" t="n"/>
      <c r="X170" s="33" t="n"/>
      <c r="Y170" s="33" t="n"/>
      <c r="Z170" s="33" t="n"/>
      <c r="AA170" s="33" t="n"/>
      <c r="AB170" s="33" t="n"/>
      <c r="AC170" s="33" t="n"/>
      <c r="AD170" s="33" t="n"/>
      <c r="AE170" s="33" t="n"/>
      <c r="AF170" s="32" t="n"/>
      <c r="AG170" s="32" t="n"/>
      <c r="AH170" s="32" t="n"/>
      <c r="AI170" s="32" t="n"/>
      <c r="AJ170" s="32" t="n"/>
      <c r="AK170" s="32" t="n"/>
      <c r="AL170" s="32" t="n"/>
      <c r="AM170" s="32" t="n"/>
      <c r="AN170" s="32" t="n"/>
      <c r="AO170" s="32" t="n"/>
      <c r="AP170" s="32" t="n"/>
      <c r="AQ170" s="32" t="n"/>
      <c r="AR170" s="29">
        <f>IF(NOT(COUNTA(A170:AE170)&gt;0),"",IF(A170="","New client","Update"))</f>
        <v/>
      </c>
      <c r="AS170" s="29">
        <f>IF(BA170&lt;&gt;"",BA170,IF(LEN(AZ170)=15,MID(AZ170,3,10),""))</f>
        <v/>
      </c>
      <c r="AT170" s="29">
        <f>IF(BB170="","",BB170&amp;IF(D170="","  (guessed from PAN)",""))</f>
        <v/>
      </c>
      <c r="AU170" s="29">
        <f>IF(AZ170="","",IFERROR(INDEX(Lists!$L$2:$L$38,MATCH(LEFT(AZ170,2),Lists!$K$2:$K$38,0)),"Unknown code"))</f>
        <v/>
      </c>
      <c r="AV170" s="29">
        <f>IF(AZ170="","",IFERROR(IF(NOT(AND(LEN(AZ170)=15,ISNUMBER(MATCH(LEFT(AZ170,2),Lists!$K$2:$K$38,0)),SUMPRODUCT(--ISERROR(FIND(MID(MID(AZ170,3,10),{1,2,3,4,5,10},1),"ABCDEFGHIJKLMNOPQRSTUVWXYZ")))=0,SUMPRODUCT(--ISERROR(FIND(MID(MID(AZ170,3,10),{6,7,8,9},1),"0123456789")))=0,ISNUMBER(FIND(MID(AZ170,13,1),"123456789ABCDEFGHIJKLMNOPQRSTUVWXYZ")),MID(AZ170,14,1)="Z")),"Wrong format",IF(MID("0123456789ABCDEFGHIJKLMNOPQRSTUVWXYZ",MOD(36-MOD(SUMPRODUCT(INT((FIND(MID(AZ170,{1,2,3,4,5,6,7,8,9,10,11,12,13,14},1),"0123456789ABCDEFGHIJKLMNOPQRSTUVWXYZ")-1)*{1,2,1,2,1,2,1,2,1,2,1,2,1,2}/36)+MOD((FIND(MID(AZ170,{1,2,3,4,5,6,7,8,9,10,11,12,13,14},1),"0123456789ABCDEFGHIJKLMNOPQRSTUVWXYZ")-1)*{1,2,1,2,1,2,1,2,1,2,1,2,1,2},36)),36),36)+1,1)=MID(AZ170,15,1),"OK","Typo? check digit wrong")),"Wrong format"))</f>
        <v/>
      </c>
      <c r="AW170" s="29">
        <f>IF(BA170="","",IF(AND(LEN(BA170)=10,SUMPRODUCT(--ISERROR(FIND(MID(BA170,{1,2,3,4,5,10},1),"ABCDEFGHIJKLMNOPQRSTUVWXYZ")))=0,SUMPRODUCT(--ISERROR(FIND(MID(BA170,{6,7,8,9},1),"0123456789")))=0),"OK","Wrong format"))</f>
        <v/>
      </c>
      <c r="AX170" s="29">
        <f>IF(TRIM(H170)="","",IF(AND(LEN(UPPER(TRIM(H170)))=10,SUMPRODUCT(--ISERROR(FIND(MID(UPPER(TRIM(H170)),{1,2,3,4,10},1),"ABCDEFGHIJKLMNOPQRSTUVWXYZ")))=0,SUMPRODUCT(--ISERROR(FIND(MID(UPPER(TRIM(H170)),{5,6,7,8,9},1),"0123456789")))=0),"OK","Wrong format"))</f>
        <v/>
      </c>
      <c r="AY170" s="30">
        <f>IF(NOT(COUNTA(A170:AE170)&gt;0),"",IF(BE170&lt;&gt;"","✖ "&amp;LEFT(BE170,LEN(BE170)-2),IF(BD170&gt;0,"✔ Ready — client + "&amp;BD170&amp;" service(s)","✔ Ready — client only")))</f>
        <v/>
      </c>
      <c r="AZ170" s="31">
        <f>UPPER(SUBSTITUTE(TRIM(F170)," ",""))</f>
        <v/>
      </c>
      <c r="BA170" s="31">
        <f>UPPER(SUBSTITUTE(TRIM(E170)," ",""))</f>
        <v/>
      </c>
      <c r="BB170" s="31">
        <f>IF(D170&lt;&gt;"",D170,IFERROR(VLOOKUP(MID(AS170,4,1),Lists!$E$2:$F$8,2,FALSE),""))</f>
        <v/>
      </c>
      <c r="BC170" s="31">
        <f>IFERROR(VLOOKUP(BB170,Lists!$A$2:$C$12,3,FALSE),"")</f>
        <v/>
      </c>
      <c r="BD170" s="31">
        <f>COUNTIF(W170:AC170,"Yes")</f>
        <v/>
      </c>
      <c r="BE170" s="31">
        <f>IF(TRIM(B170)="","Legal name missing; ","")&amp;IF(AND(AV170&lt;&gt;"",AV170&lt;&gt;"OK"),"GSTIN: "&amp;AV170&amp;"; ","")&amp;IF(AND(AW170&lt;&gt;"",AW170&lt;&gt;"OK"),"PAN wrong format; ","")&amp;IF(AND(BA170&lt;&gt;"",LEN(AZ170)=15,MID(AZ170,3,10)&lt;&gt;BA170),"PAN does not match GSTIN; ","")&amp;IF(AND(AX170&lt;&gt;"",AX170&lt;&gt;"OK"),"TAN wrong format; ","")&amp;IF(AS170="","PAN missing; ","")&amp;IF(BB170="","Entity type missing; ","")&amp;IF(AND(AZ170&lt;&gt;"",COUNTIF($AZ$6:$AZ$1005,AZ170)&gt;1),"GSTIN repeated in this sheet; ","")&amp;IF(AND(AS170&lt;&gt;"",COUNTIF($AS$6:$AS$1005,AS170)&gt;1),"PAN repeated in this sheet (same client? put extra GSTINs in Other GSTINs); ","")&amp;IF(AND(BD170&gt;0,V170=""),"Financial year missing; ","")&amp;IF(AND(BD170=0,V170&lt;&gt;""),"Financial year given but no service is Yes; ","")&amp;IF(AND(W170="Yes",AZ170=""),"GST needs a GSTIN; ","")&amp;IF(AND(W170="Yes",X170=""),"GST return frequency missing; ","")&amp;IF(AND(Y170="Yes",TRIM(H170)=""),"TDS needs a TAN; ","")&amp;IF(AND(AA170="Yes",BC170&lt;&gt;"",BC170&lt;&gt;"company",BC170&lt;&gt;"llp"),"ROC is only for a company / LLP; ","")&amp;IF(AND(AA170="Yes",OR(BC170="company",BC170="llp"),TRIM(I170)=""),"ROC needs the CIN / LLPIN; ","")&amp;IF((TRIM(AF170)="")&lt;&gt;(TRIM(AG170)=""),"GST login needs both user ID and password; ","")&amp;IF((TRIM(AH170)="")&lt;&gt;(TRIM(AI170)=""),"Income-tax login needs both user ID and password; ","")&amp;IF((TRIM(AJ170)="")&lt;&gt;(TRIM(AK170)=""),"Income-tax login needs both user ID and password; ","")&amp;IF((TRIM(AL170)="")&lt;&gt;(TRIM(AM170)=""),"TRACES login needs both user ID and password; ","")&amp;IF((TRIM(AN170)="")&lt;&gt;(TRIM(AO170)=""),"MCA login needs both user ID and password; ","")&amp;IF((TRIM(AP170)="")&lt;&gt;(TRIM(AQ170)=""),"E-way bill login needs both user ID and password; ","")</f>
        <v/>
      </c>
    </row>
    <row r="171">
      <c r="A171" s="32" t="n"/>
      <c r="B171" s="33" t="n"/>
      <c r="C171" s="33" t="n"/>
      <c r="D171" s="33" t="n"/>
      <c r="E171" s="32" t="n"/>
      <c r="F171" s="32" t="n"/>
      <c r="G171" s="32" t="n"/>
      <c r="H171" s="32" t="n"/>
      <c r="I171" s="32" t="n"/>
      <c r="J171" s="34" t="n"/>
      <c r="K171" s="33" t="n"/>
      <c r="L171" s="32" t="n"/>
      <c r="M171" s="33" t="n"/>
      <c r="N171" s="33" t="n"/>
      <c r="O171" s="33" t="n"/>
      <c r="P171" s="32" t="n"/>
      <c r="Q171" s="33" t="n"/>
      <c r="R171" s="33" t="n"/>
      <c r="S171" s="33" t="n"/>
      <c r="T171" s="33" t="n"/>
      <c r="U171" s="32" t="n"/>
      <c r="V171" s="33" t="n"/>
      <c r="W171" s="33" t="n"/>
      <c r="X171" s="33" t="n"/>
      <c r="Y171" s="33" t="n"/>
      <c r="Z171" s="33" t="n"/>
      <c r="AA171" s="33" t="n"/>
      <c r="AB171" s="33" t="n"/>
      <c r="AC171" s="33" t="n"/>
      <c r="AD171" s="33" t="n"/>
      <c r="AE171" s="33" t="n"/>
      <c r="AF171" s="32" t="n"/>
      <c r="AG171" s="32" t="n"/>
      <c r="AH171" s="32" t="n"/>
      <c r="AI171" s="32" t="n"/>
      <c r="AJ171" s="32" t="n"/>
      <c r="AK171" s="32" t="n"/>
      <c r="AL171" s="32" t="n"/>
      <c r="AM171" s="32" t="n"/>
      <c r="AN171" s="32" t="n"/>
      <c r="AO171" s="32" t="n"/>
      <c r="AP171" s="32" t="n"/>
      <c r="AQ171" s="32" t="n"/>
      <c r="AR171" s="29">
        <f>IF(NOT(COUNTA(A171:AE171)&gt;0),"",IF(A171="","New client","Update"))</f>
        <v/>
      </c>
      <c r="AS171" s="29">
        <f>IF(BA171&lt;&gt;"",BA171,IF(LEN(AZ171)=15,MID(AZ171,3,10),""))</f>
        <v/>
      </c>
      <c r="AT171" s="29">
        <f>IF(BB171="","",BB171&amp;IF(D171="","  (guessed from PAN)",""))</f>
        <v/>
      </c>
      <c r="AU171" s="29">
        <f>IF(AZ171="","",IFERROR(INDEX(Lists!$L$2:$L$38,MATCH(LEFT(AZ171,2),Lists!$K$2:$K$38,0)),"Unknown code"))</f>
        <v/>
      </c>
      <c r="AV171" s="29">
        <f>IF(AZ171="","",IFERROR(IF(NOT(AND(LEN(AZ171)=15,ISNUMBER(MATCH(LEFT(AZ171,2),Lists!$K$2:$K$38,0)),SUMPRODUCT(--ISERROR(FIND(MID(MID(AZ171,3,10),{1,2,3,4,5,10},1),"ABCDEFGHIJKLMNOPQRSTUVWXYZ")))=0,SUMPRODUCT(--ISERROR(FIND(MID(MID(AZ171,3,10),{6,7,8,9},1),"0123456789")))=0,ISNUMBER(FIND(MID(AZ171,13,1),"123456789ABCDEFGHIJKLMNOPQRSTUVWXYZ")),MID(AZ171,14,1)="Z")),"Wrong format",IF(MID("0123456789ABCDEFGHIJKLMNOPQRSTUVWXYZ",MOD(36-MOD(SUMPRODUCT(INT((FIND(MID(AZ171,{1,2,3,4,5,6,7,8,9,10,11,12,13,14},1),"0123456789ABCDEFGHIJKLMNOPQRSTUVWXYZ")-1)*{1,2,1,2,1,2,1,2,1,2,1,2,1,2}/36)+MOD((FIND(MID(AZ171,{1,2,3,4,5,6,7,8,9,10,11,12,13,14},1),"0123456789ABCDEFGHIJKLMNOPQRSTUVWXYZ")-1)*{1,2,1,2,1,2,1,2,1,2,1,2,1,2},36)),36),36)+1,1)=MID(AZ171,15,1),"OK","Typo? check digit wrong")),"Wrong format"))</f>
        <v/>
      </c>
      <c r="AW171" s="29">
        <f>IF(BA171="","",IF(AND(LEN(BA171)=10,SUMPRODUCT(--ISERROR(FIND(MID(BA171,{1,2,3,4,5,10},1),"ABCDEFGHIJKLMNOPQRSTUVWXYZ")))=0,SUMPRODUCT(--ISERROR(FIND(MID(BA171,{6,7,8,9},1),"0123456789")))=0),"OK","Wrong format"))</f>
        <v/>
      </c>
      <c r="AX171" s="29">
        <f>IF(TRIM(H171)="","",IF(AND(LEN(UPPER(TRIM(H171)))=10,SUMPRODUCT(--ISERROR(FIND(MID(UPPER(TRIM(H171)),{1,2,3,4,10},1),"ABCDEFGHIJKLMNOPQRSTUVWXYZ")))=0,SUMPRODUCT(--ISERROR(FIND(MID(UPPER(TRIM(H171)),{5,6,7,8,9},1),"0123456789")))=0),"OK","Wrong format"))</f>
        <v/>
      </c>
      <c r="AY171" s="30">
        <f>IF(NOT(COUNTA(A171:AE171)&gt;0),"",IF(BE171&lt;&gt;"","✖ "&amp;LEFT(BE171,LEN(BE171)-2),IF(BD171&gt;0,"✔ Ready — client + "&amp;BD171&amp;" service(s)","✔ Ready — client only")))</f>
        <v/>
      </c>
      <c r="AZ171" s="31">
        <f>UPPER(SUBSTITUTE(TRIM(F171)," ",""))</f>
        <v/>
      </c>
      <c r="BA171" s="31">
        <f>UPPER(SUBSTITUTE(TRIM(E171)," ",""))</f>
        <v/>
      </c>
      <c r="BB171" s="31">
        <f>IF(D171&lt;&gt;"",D171,IFERROR(VLOOKUP(MID(AS171,4,1),Lists!$E$2:$F$8,2,FALSE),""))</f>
        <v/>
      </c>
      <c r="BC171" s="31">
        <f>IFERROR(VLOOKUP(BB171,Lists!$A$2:$C$12,3,FALSE),"")</f>
        <v/>
      </c>
      <c r="BD171" s="31">
        <f>COUNTIF(W171:AC171,"Yes")</f>
        <v/>
      </c>
      <c r="BE171" s="31">
        <f>IF(TRIM(B171)="","Legal name missing; ","")&amp;IF(AND(AV171&lt;&gt;"",AV171&lt;&gt;"OK"),"GSTIN: "&amp;AV171&amp;"; ","")&amp;IF(AND(AW171&lt;&gt;"",AW171&lt;&gt;"OK"),"PAN wrong format; ","")&amp;IF(AND(BA171&lt;&gt;"",LEN(AZ171)=15,MID(AZ171,3,10)&lt;&gt;BA171),"PAN does not match GSTIN; ","")&amp;IF(AND(AX171&lt;&gt;"",AX171&lt;&gt;"OK"),"TAN wrong format; ","")&amp;IF(AS171="","PAN missing; ","")&amp;IF(BB171="","Entity type missing; ","")&amp;IF(AND(AZ171&lt;&gt;"",COUNTIF($AZ$6:$AZ$1005,AZ171)&gt;1),"GSTIN repeated in this sheet; ","")&amp;IF(AND(AS171&lt;&gt;"",COUNTIF($AS$6:$AS$1005,AS171)&gt;1),"PAN repeated in this sheet (same client? put extra GSTINs in Other GSTINs); ","")&amp;IF(AND(BD171&gt;0,V171=""),"Financial year missing; ","")&amp;IF(AND(BD171=0,V171&lt;&gt;""),"Financial year given but no service is Yes; ","")&amp;IF(AND(W171="Yes",AZ171=""),"GST needs a GSTIN; ","")&amp;IF(AND(W171="Yes",X171=""),"GST return frequency missing; ","")&amp;IF(AND(Y171="Yes",TRIM(H171)=""),"TDS needs a TAN; ","")&amp;IF(AND(AA171="Yes",BC171&lt;&gt;"",BC171&lt;&gt;"company",BC171&lt;&gt;"llp"),"ROC is only for a company / LLP; ","")&amp;IF(AND(AA171="Yes",OR(BC171="company",BC171="llp"),TRIM(I171)=""),"ROC needs the CIN / LLPIN; ","")&amp;IF((TRIM(AF171)="")&lt;&gt;(TRIM(AG171)=""),"GST login needs both user ID and password; ","")&amp;IF((TRIM(AH171)="")&lt;&gt;(TRIM(AI171)=""),"Income-tax login needs both user ID and password; ","")&amp;IF((TRIM(AJ171)="")&lt;&gt;(TRIM(AK171)=""),"Income-tax login needs both user ID and password; ","")&amp;IF((TRIM(AL171)="")&lt;&gt;(TRIM(AM171)=""),"TRACES login needs both user ID and password; ","")&amp;IF((TRIM(AN171)="")&lt;&gt;(TRIM(AO171)=""),"MCA login needs both user ID and password; ","")&amp;IF((TRIM(AP171)="")&lt;&gt;(TRIM(AQ171)=""),"E-way bill login needs both user ID and password; ","")</f>
        <v/>
      </c>
    </row>
    <row r="172">
      <c r="A172" s="32" t="n"/>
      <c r="B172" s="33" t="n"/>
      <c r="C172" s="33" t="n"/>
      <c r="D172" s="33" t="n"/>
      <c r="E172" s="32" t="n"/>
      <c r="F172" s="32" t="n"/>
      <c r="G172" s="32" t="n"/>
      <c r="H172" s="32" t="n"/>
      <c r="I172" s="32" t="n"/>
      <c r="J172" s="34" t="n"/>
      <c r="K172" s="33" t="n"/>
      <c r="L172" s="32" t="n"/>
      <c r="M172" s="33" t="n"/>
      <c r="N172" s="33" t="n"/>
      <c r="O172" s="33" t="n"/>
      <c r="P172" s="32" t="n"/>
      <c r="Q172" s="33" t="n"/>
      <c r="R172" s="33" t="n"/>
      <c r="S172" s="33" t="n"/>
      <c r="T172" s="33" t="n"/>
      <c r="U172" s="32" t="n"/>
      <c r="V172" s="33" t="n"/>
      <c r="W172" s="33" t="n"/>
      <c r="X172" s="33" t="n"/>
      <c r="Y172" s="33" t="n"/>
      <c r="Z172" s="33" t="n"/>
      <c r="AA172" s="33" t="n"/>
      <c r="AB172" s="33" t="n"/>
      <c r="AC172" s="33" t="n"/>
      <c r="AD172" s="33" t="n"/>
      <c r="AE172" s="33" t="n"/>
      <c r="AF172" s="32" t="n"/>
      <c r="AG172" s="32" t="n"/>
      <c r="AH172" s="32" t="n"/>
      <c r="AI172" s="32" t="n"/>
      <c r="AJ172" s="32" t="n"/>
      <c r="AK172" s="32" t="n"/>
      <c r="AL172" s="32" t="n"/>
      <c r="AM172" s="32" t="n"/>
      <c r="AN172" s="32" t="n"/>
      <c r="AO172" s="32" t="n"/>
      <c r="AP172" s="32" t="n"/>
      <c r="AQ172" s="32" t="n"/>
      <c r="AR172" s="29">
        <f>IF(NOT(COUNTA(A172:AE172)&gt;0),"",IF(A172="","New client","Update"))</f>
        <v/>
      </c>
      <c r="AS172" s="29">
        <f>IF(BA172&lt;&gt;"",BA172,IF(LEN(AZ172)=15,MID(AZ172,3,10),""))</f>
        <v/>
      </c>
      <c r="AT172" s="29">
        <f>IF(BB172="","",BB172&amp;IF(D172="","  (guessed from PAN)",""))</f>
        <v/>
      </c>
      <c r="AU172" s="29">
        <f>IF(AZ172="","",IFERROR(INDEX(Lists!$L$2:$L$38,MATCH(LEFT(AZ172,2),Lists!$K$2:$K$38,0)),"Unknown code"))</f>
        <v/>
      </c>
      <c r="AV172" s="29">
        <f>IF(AZ172="","",IFERROR(IF(NOT(AND(LEN(AZ172)=15,ISNUMBER(MATCH(LEFT(AZ172,2),Lists!$K$2:$K$38,0)),SUMPRODUCT(--ISERROR(FIND(MID(MID(AZ172,3,10),{1,2,3,4,5,10},1),"ABCDEFGHIJKLMNOPQRSTUVWXYZ")))=0,SUMPRODUCT(--ISERROR(FIND(MID(MID(AZ172,3,10),{6,7,8,9},1),"0123456789")))=0,ISNUMBER(FIND(MID(AZ172,13,1),"123456789ABCDEFGHIJKLMNOPQRSTUVWXYZ")),MID(AZ172,14,1)="Z")),"Wrong format",IF(MID("0123456789ABCDEFGHIJKLMNOPQRSTUVWXYZ",MOD(36-MOD(SUMPRODUCT(INT((FIND(MID(AZ172,{1,2,3,4,5,6,7,8,9,10,11,12,13,14},1),"0123456789ABCDEFGHIJKLMNOPQRSTUVWXYZ")-1)*{1,2,1,2,1,2,1,2,1,2,1,2,1,2}/36)+MOD((FIND(MID(AZ172,{1,2,3,4,5,6,7,8,9,10,11,12,13,14},1),"0123456789ABCDEFGHIJKLMNOPQRSTUVWXYZ")-1)*{1,2,1,2,1,2,1,2,1,2,1,2,1,2},36)),36),36)+1,1)=MID(AZ172,15,1),"OK","Typo? check digit wrong")),"Wrong format"))</f>
        <v/>
      </c>
      <c r="AW172" s="29">
        <f>IF(BA172="","",IF(AND(LEN(BA172)=10,SUMPRODUCT(--ISERROR(FIND(MID(BA172,{1,2,3,4,5,10},1),"ABCDEFGHIJKLMNOPQRSTUVWXYZ")))=0,SUMPRODUCT(--ISERROR(FIND(MID(BA172,{6,7,8,9},1),"0123456789")))=0),"OK","Wrong format"))</f>
        <v/>
      </c>
      <c r="AX172" s="29">
        <f>IF(TRIM(H172)="","",IF(AND(LEN(UPPER(TRIM(H172)))=10,SUMPRODUCT(--ISERROR(FIND(MID(UPPER(TRIM(H172)),{1,2,3,4,10},1),"ABCDEFGHIJKLMNOPQRSTUVWXYZ")))=0,SUMPRODUCT(--ISERROR(FIND(MID(UPPER(TRIM(H172)),{5,6,7,8,9},1),"0123456789")))=0),"OK","Wrong format"))</f>
        <v/>
      </c>
      <c r="AY172" s="30">
        <f>IF(NOT(COUNTA(A172:AE172)&gt;0),"",IF(BE172&lt;&gt;"","✖ "&amp;LEFT(BE172,LEN(BE172)-2),IF(BD172&gt;0,"✔ Ready — client + "&amp;BD172&amp;" service(s)","✔ Ready — client only")))</f>
        <v/>
      </c>
      <c r="AZ172" s="31">
        <f>UPPER(SUBSTITUTE(TRIM(F172)," ",""))</f>
        <v/>
      </c>
      <c r="BA172" s="31">
        <f>UPPER(SUBSTITUTE(TRIM(E172)," ",""))</f>
        <v/>
      </c>
      <c r="BB172" s="31">
        <f>IF(D172&lt;&gt;"",D172,IFERROR(VLOOKUP(MID(AS172,4,1),Lists!$E$2:$F$8,2,FALSE),""))</f>
        <v/>
      </c>
      <c r="BC172" s="31">
        <f>IFERROR(VLOOKUP(BB172,Lists!$A$2:$C$12,3,FALSE),"")</f>
        <v/>
      </c>
      <c r="BD172" s="31">
        <f>COUNTIF(W172:AC172,"Yes")</f>
        <v/>
      </c>
      <c r="BE172" s="31">
        <f>IF(TRIM(B172)="","Legal name missing; ","")&amp;IF(AND(AV172&lt;&gt;"",AV172&lt;&gt;"OK"),"GSTIN: "&amp;AV172&amp;"; ","")&amp;IF(AND(AW172&lt;&gt;"",AW172&lt;&gt;"OK"),"PAN wrong format; ","")&amp;IF(AND(BA172&lt;&gt;"",LEN(AZ172)=15,MID(AZ172,3,10)&lt;&gt;BA172),"PAN does not match GSTIN; ","")&amp;IF(AND(AX172&lt;&gt;"",AX172&lt;&gt;"OK"),"TAN wrong format; ","")&amp;IF(AS172="","PAN missing; ","")&amp;IF(BB172="","Entity type missing; ","")&amp;IF(AND(AZ172&lt;&gt;"",COUNTIF($AZ$6:$AZ$1005,AZ172)&gt;1),"GSTIN repeated in this sheet; ","")&amp;IF(AND(AS172&lt;&gt;"",COUNTIF($AS$6:$AS$1005,AS172)&gt;1),"PAN repeated in this sheet (same client? put extra GSTINs in Other GSTINs); ","")&amp;IF(AND(BD172&gt;0,V172=""),"Financial year missing; ","")&amp;IF(AND(BD172=0,V172&lt;&gt;""),"Financial year given but no service is Yes; ","")&amp;IF(AND(W172="Yes",AZ172=""),"GST needs a GSTIN; ","")&amp;IF(AND(W172="Yes",X172=""),"GST return frequency missing; ","")&amp;IF(AND(Y172="Yes",TRIM(H172)=""),"TDS needs a TAN; ","")&amp;IF(AND(AA172="Yes",BC172&lt;&gt;"",BC172&lt;&gt;"company",BC172&lt;&gt;"llp"),"ROC is only for a company / LLP; ","")&amp;IF(AND(AA172="Yes",OR(BC172="company",BC172="llp"),TRIM(I172)=""),"ROC needs the CIN / LLPIN; ","")&amp;IF((TRIM(AF172)="")&lt;&gt;(TRIM(AG172)=""),"GST login needs both user ID and password; ","")&amp;IF((TRIM(AH172)="")&lt;&gt;(TRIM(AI172)=""),"Income-tax login needs both user ID and password; ","")&amp;IF((TRIM(AJ172)="")&lt;&gt;(TRIM(AK172)=""),"Income-tax login needs both user ID and password; ","")&amp;IF((TRIM(AL172)="")&lt;&gt;(TRIM(AM172)=""),"TRACES login needs both user ID and password; ","")&amp;IF((TRIM(AN172)="")&lt;&gt;(TRIM(AO172)=""),"MCA login needs both user ID and password; ","")&amp;IF((TRIM(AP172)="")&lt;&gt;(TRIM(AQ172)=""),"E-way bill login needs both user ID and password; ","")</f>
        <v/>
      </c>
    </row>
    <row r="173">
      <c r="A173" s="32" t="n"/>
      <c r="B173" s="33" t="n"/>
      <c r="C173" s="33" t="n"/>
      <c r="D173" s="33" t="n"/>
      <c r="E173" s="32" t="n"/>
      <c r="F173" s="32" t="n"/>
      <c r="G173" s="32" t="n"/>
      <c r="H173" s="32" t="n"/>
      <c r="I173" s="32" t="n"/>
      <c r="J173" s="34" t="n"/>
      <c r="K173" s="33" t="n"/>
      <c r="L173" s="32" t="n"/>
      <c r="M173" s="33" t="n"/>
      <c r="N173" s="33" t="n"/>
      <c r="O173" s="33" t="n"/>
      <c r="P173" s="32" t="n"/>
      <c r="Q173" s="33" t="n"/>
      <c r="R173" s="33" t="n"/>
      <c r="S173" s="33" t="n"/>
      <c r="T173" s="33" t="n"/>
      <c r="U173" s="32" t="n"/>
      <c r="V173" s="33" t="n"/>
      <c r="W173" s="33" t="n"/>
      <c r="X173" s="33" t="n"/>
      <c r="Y173" s="33" t="n"/>
      <c r="Z173" s="33" t="n"/>
      <c r="AA173" s="33" t="n"/>
      <c r="AB173" s="33" t="n"/>
      <c r="AC173" s="33" t="n"/>
      <c r="AD173" s="33" t="n"/>
      <c r="AE173" s="33" t="n"/>
      <c r="AF173" s="32" t="n"/>
      <c r="AG173" s="32" t="n"/>
      <c r="AH173" s="32" t="n"/>
      <c r="AI173" s="32" t="n"/>
      <c r="AJ173" s="32" t="n"/>
      <c r="AK173" s="32" t="n"/>
      <c r="AL173" s="32" t="n"/>
      <c r="AM173" s="32" t="n"/>
      <c r="AN173" s="32" t="n"/>
      <c r="AO173" s="32" t="n"/>
      <c r="AP173" s="32" t="n"/>
      <c r="AQ173" s="32" t="n"/>
      <c r="AR173" s="29">
        <f>IF(NOT(COUNTA(A173:AE173)&gt;0),"",IF(A173="","New client","Update"))</f>
        <v/>
      </c>
      <c r="AS173" s="29">
        <f>IF(BA173&lt;&gt;"",BA173,IF(LEN(AZ173)=15,MID(AZ173,3,10),""))</f>
        <v/>
      </c>
      <c r="AT173" s="29">
        <f>IF(BB173="","",BB173&amp;IF(D173="","  (guessed from PAN)",""))</f>
        <v/>
      </c>
      <c r="AU173" s="29">
        <f>IF(AZ173="","",IFERROR(INDEX(Lists!$L$2:$L$38,MATCH(LEFT(AZ173,2),Lists!$K$2:$K$38,0)),"Unknown code"))</f>
        <v/>
      </c>
      <c r="AV173" s="29">
        <f>IF(AZ173="","",IFERROR(IF(NOT(AND(LEN(AZ173)=15,ISNUMBER(MATCH(LEFT(AZ173,2),Lists!$K$2:$K$38,0)),SUMPRODUCT(--ISERROR(FIND(MID(MID(AZ173,3,10),{1,2,3,4,5,10},1),"ABCDEFGHIJKLMNOPQRSTUVWXYZ")))=0,SUMPRODUCT(--ISERROR(FIND(MID(MID(AZ173,3,10),{6,7,8,9},1),"0123456789")))=0,ISNUMBER(FIND(MID(AZ173,13,1),"123456789ABCDEFGHIJKLMNOPQRSTUVWXYZ")),MID(AZ173,14,1)="Z")),"Wrong format",IF(MID("0123456789ABCDEFGHIJKLMNOPQRSTUVWXYZ",MOD(36-MOD(SUMPRODUCT(INT((FIND(MID(AZ173,{1,2,3,4,5,6,7,8,9,10,11,12,13,14},1),"0123456789ABCDEFGHIJKLMNOPQRSTUVWXYZ")-1)*{1,2,1,2,1,2,1,2,1,2,1,2,1,2}/36)+MOD((FIND(MID(AZ173,{1,2,3,4,5,6,7,8,9,10,11,12,13,14},1),"0123456789ABCDEFGHIJKLMNOPQRSTUVWXYZ")-1)*{1,2,1,2,1,2,1,2,1,2,1,2,1,2},36)),36),36)+1,1)=MID(AZ173,15,1),"OK","Typo? check digit wrong")),"Wrong format"))</f>
        <v/>
      </c>
      <c r="AW173" s="29">
        <f>IF(BA173="","",IF(AND(LEN(BA173)=10,SUMPRODUCT(--ISERROR(FIND(MID(BA173,{1,2,3,4,5,10},1),"ABCDEFGHIJKLMNOPQRSTUVWXYZ")))=0,SUMPRODUCT(--ISERROR(FIND(MID(BA173,{6,7,8,9},1),"0123456789")))=0),"OK","Wrong format"))</f>
        <v/>
      </c>
      <c r="AX173" s="29">
        <f>IF(TRIM(H173)="","",IF(AND(LEN(UPPER(TRIM(H173)))=10,SUMPRODUCT(--ISERROR(FIND(MID(UPPER(TRIM(H173)),{1,2,3,4,10},1),"ABCDEFGHIJKLMNOPQRSTUVWXYZ")))=0,SUMPRODUCT(--ISERROR(FIND(MID(UPPER(TRIM(H173)),{5,6,7,8,9},1),"0123456789")))=0),"OK","Wrong format"))</f>
        <v/>
      </c>
      <c r="AY173" s="30">
        <f>IF(NOT(COUNTA(A173:AE173)&gt;0),"",IF(BE173&lt;&gt;"","✖ "&amp;LEFT(BE173,LEN(BE173)-2),IF(BD173&gt;0,"✔ Ready — client + "&amp;BD173&amp;" service(s)","✔ Ready — client only")))</f>
        <v/>
      </c>
      <c r="AZ173" s="31">
        <f>UPPER(SUBSTITUTE(TRIM(F173)," ",""))</f>
        <v/>
      </c>
      <c r="BA173" s="31">
        <f>UPPER(SUBSTITUTE(TRIM(E173)," ",""))</f>
        <v/>
      </c>
      <c r="BB173" s="31">
        <f>IF(D173&lt;&gt;"",D173,IFERROR(VLOOKUP(MID(AS173,4,1),Lists!$E$2:$F$8,2,FALSE),""))</f>
        <v/>
      </c>
      <c r="BC173" s="31">
        <f>IFERROR(VLOOKUP(BB173,Lists!$A$2:$C$12,3,FALSE),"")</f>
        <v/>
      </c>
      <c r="BD173" s="31">
        <f>COUNTIF(W173:AC173,"Yes")</f>
        <v/>
      </c>
      <c r="BE173" s="31">
        <f>IF(TRIM(B173)="","Legal name missing; ","")&amp;IF(AND(AV173&lt;&gt;"",AV173&lt;&gt;"OK"),"GSTIN: "&amp;AV173&amp;"; ","")&amp;IF(AND(AW173&lt;&gt;"",AW173&lt;&gt;"OK"),"PAN wrong format; ","")&amp;IF(AND(BA173&lt;&gt;"",LEN(AZ173)=15,MID(AZ173,3,10)&lt;&gt;BA173),"PAN does not match GSTIN; ","")&amp;IF(AND(AX173&lt;&gt;"",AX173&lt;&gt;"OK"),"TAN wrong format; ","")&amp;IF(AS173="","PAN missing; ","")&amp;IF(BB173="","Entity type missing; ","")&amp;IF(AND(AZ173&lt;&gt;"",COUNTIF($AZ$6:$AZ$1005,AZ173)&gt;1),"GSTIN repeated in this sheet; ","")&amp;IF(AND(AS173&lt;&gt;"",COUNTIF($AS$6:$AS$1005,AS173)&gt;1),"PAN repeated in this sheet (same client? put extra GSTINs in Other GSTINs); ","")&amp;IF(AND(BD173&gt;0,V173=""),"Financial year missing; ","")&amp;IF(AND(BD173=0,V173&lt;&gt;""),"Financial year given but no service is Yes; ","")&amp;IF(AND(W173="Yes",AZ173=""),"GST needs a GSTIN; ","")&amp;IF(AND(W173="Yes",X173=""),"GST return frequency missing; ","")&amp;IF(AND(Y173="Yes",TRIM(H173)=""),"TDS needs a TAN; ","")&amp;IF(AND(AA173="Yes",BC173&lt;&gt;"",BC173&lt;&gt;"company",BC173&lt;&gt;"llp"),"ROC is only for a company / LLP; ","")&amp;IF(AND(AA173="Yes",OR(BC173="company",BC173="llp"),TRIM(I173)=""),"ROC needs the CIN / LLPIN; ","")&amp;IF((TRIM(AF173)="")&lt;&gt;(TRIM(AG173)=""),"GST login needs both user ID and password; ","")&amp;IF((TRIM(AH173)="")&lt;&gt;(TRIM(AI173)=""),"Income-tax login needs both user ID and password; ","")&amp;IF((TRIM(AJ173)="")&lt;&gt;(TRIM(AK173)=""),"Income-tax login needs both user ID and password; ","")&amp;IF((TRIM(AL173)="")&lt;&gt;(TRIM(AM173)=""),"TRACES login needs both user ID and password; ","")&amp;IF((TRIM(AN173)="")&lt;&gt;(TRIM(AO173)=""),"MCA login needs both user ID and password; ","")&amp;IF((TRIM(AP173)="")&lt;&gt;(TRIM(AQ173)=""),"E-way bill login needs both user ID and password; ","")</f>
        <v/>
      </c>
    </row>
    <row r="174">
      <c r="A174" s="32" t="n"/>
      <c r="B174" s="33" t="n"/>
      <c r="C174" s="33" t="n"/>
      <c r="D174" s="33" t="n"/>
      <c r="E174" s="32" t="n"/>
      <c r="F174" s="32" t="n"/>
      <c r="G174" s="32" t="n"/>
      <c r="H174" s="32" t="n"/>
      <c r="I174" s="32" t="n"/>
      <c r="J174" s="34" t="n"/>
      <c r="K174" s="33" t="n"/>
      <c r="L174" s="32" t="n"/>
      <c r="M174" s="33" t="n"/>
      <c r="N174" s="33" t="n"/>
      <c r="O174" s="33" t="n"/>
      <c r="P174" s="32" t="n"/>
      <c r="Q174" s="33" t="n"/>
      <c r="R174" s="33" t="n"/>
      <c r="S174" s="33" t="n"/>
      <c r="T174" s="33" t="n"/>
      <c r="U174" s="32" t="n"/>
      <c r="V174" s="33" t="n"/>
      <c r="W174" s="33" t="n"/>
      <c r="X174" s="33" t="n"/>
      <c r="Y174" s="33" t="n"/>
      <c r="Z174" s="33" t="n"/>
      <c r="AA174" s="33" t="n"/>
      <c r="AB174" s="33" t="n"/>
      <c r="AC174" s="33" t="n"/>
      <c r="AD174" s="33" t="n"/>
      <c r="AE174" s="33" t="n"/>
      <c r="AF174" s="32" t="n"/>
      <c r="AG174" s="32" t="n"/>
      <c r="AH174" s="32" t="n"/>
      <c r="AI174" s="32" t="n"/>
      <c r="AJ174" s="32" t="n"/>
      <c r="AK174" s="32" t="n"/>
      <c r="AL174" s="32" t="n"/>
      <c r="AM174" s="32" t="n"/>
      <c r="AN174" s="32" t="n"/>
      <c r="AO174" s="32" t="n"/>
      <c r="AP174" s="32" t="n"/>
      <c r="AQ174" s="32" t="n"/>
      <c r="AR174" s="29">
        <f>IF(NOT(COUNTA(A174:AE174)&gt;0),"",IF(A174="","New client","Update"))</f>
        <v/>
      </c>
      <c r="AS174" s="29">
        <f>IF(BA174&lt;&gt;"",BA174,IF(LEN(AZ174)=15,MID(AZ174,3,10),""))</f>
        <v/>
      </c>
      <c r="AT174" s="29">
        <f>IF(BB174="","",BB174&amp;IF(D174="","  (guessed from PAN)",""))</f>
        <v/>
      </c>
      <c r="AU174" s="29">
        <f>IF(AZ174="","",IFERROR(INDEX(Lists!$L$2:$L$38,MATCH(LEFT(AZ174,2),Lists!$K$2:$K$38,0)),"Unknown code"))</f>
        <v/>
      </c>
      <c r="AV174" s="29">
        <f>IF(AZ174="","",IFERROR(IF(NOT(AND(LEN(AZ174)=15,ISNUMBER(MATCH(LEFT(AZ174,2),Lists!$K$2:$K$38,0)),SUMPRODUCT(--ISERROR(FIND(MID(MID(AZ174,3,10),{1,2,3,4,5,10},1),"ABCDEFGHIJKLMNOPQRSTUVWXYZ")))=0,SUMPRODUCT(--ISERROR(FIND(MID(MID(AZ174,3,10),{6,7,8,9},1),"0123456789")))=0,ISNUMBER(FIND(MID(AZ174,13,1),"123456789ABCDEFGHIJKLMNOPQRSTUVWXYZ")),MID(AZ174,14,1)="Z")),"Wrong format",IF(MID("0123456789ABCDEFGHIJKLMNOPQRSTUVWXYZ",MOD(36-MOD(SUMPRODUCT(INT((FIND(MID(AZ174,{1,2,3,4,5,6,7,8,9,10,11,12,13,14},1),"0123456789ABCDEFGHIJKLMNOPQRSTUVWXYZ")-1)*{1,2,1,2,1,2,1,2,1,2,1,2,1,2}/36)+MOD((FIND(MID(AZ174,{1,2,3,4,5,6,7,8,9,10,11,12,13,14},1),"0123456789ABCDEFGHIJKLMNOPQRSTUVWXYZ")-1)*{1,2,1,2,1,2,1,2,1,2,1,2,1,2},36)),36),36)+1,1)=MID(AZ174,15,1),"OK","Typo? check digit wrong")),"Wrong format"))</f>
        <v/>
      </c>
      <c r="AW174" s="29">
        <f>IF(BA174="","",IF(AND(LEN(BA174)=10,SUMPRODUCT(--ISERROR(FIND(MID(BA174,{1,2,3,4,5,10},1),"ABCDEFGHIJKLMNOPQRSTUVWXYZ")))=0,SUMPRODUCT(--ISERROR(FIND(MID(BA174,{6,7,8,9},1),"0123456789")))=0),"OK","Wrong format"))</f>
        <v/>
      </c>
      <c r="AX174" s="29">
        <f>IF(TRIM(H174)="","",IF(AND(LEN(UPPER(TRIM(H174)))=10,SUMPRODUCT(--ISERROR(FIND(MID(UPPER(TRIM(H174)),{1,2,3,4,10},1),"ABCDEFGHIJKLMNOPQRSTUVWXYZ")))=0,SUMPRODUCT(--ISERROR(FIND(MID(UPPER(TRIM(H174)),{5,6,7,8,9},1),"0123456789")))=0),"OK","Wrong format"))</f>
        <v/>
      </c>
      <c r="AY174" s="30">
        <f>IF(NOT(COUNTA(A174:AE174)&gt;0),"",IF(BE174&lt;&gt;"","✖ "&amp;LEFT(BE174,LEN(BE174)-2),IF(BD174&gt;0,"✔ Ready — client + "&amp;BD174&amp;" service(s)","✔ Ready — client only")))</f>
        <v/>
      </c>
      <c r="AZ174" s="31">
        <f>UPPER(SUBSTITUTE(TRIM(F174)," ",""))</f>
        <v/>
      </c>
      <c r="BA174" s="31">
        <f>UPPER(SUBSTITUTE(TRIM(E174)," ",""))</f>
        <v/>
      </c>
      <c r="BB174" s="31">
        <f>IF(D174&lt;&gt;"",D174,IFERROR(VLOOKUP(MID(AS174,4,1),Lists!$E$2:$F$8,2,FALSE),""))</f>
        <v/>
      </c>
      <c r="BC174" s="31">
        <f>IFERROR(VLOOKUP(BB174,Lists!$A$2:$C$12,3,FALSE),"")</f>
        <v/>
      </c>
      <c r="BD174" s="31">
        <f>COUNTIF(W174:AC174,"Yes")</f>
        <v/>
      </c>
      <c r="BE174" s="31">
        <f>IF(TRIM(B174)="","Legal name missing; ","")&amp;IF(AND(AV174&lt;&gt;"",AV174&lt;&gt;"OK"),"GSTIN: "&amp;AV174&amp;"; ","")&amp;IF(AND(AW174&lt;&gt;"",AW174&lt;&gt;"OK"),"PAN wrong format; ","")&amp;IF(AND(BA174&lt;&gt;"",LEN(AZ174)=15,MID(AZ174,3,10)&lt;&gt;BA174),"PAN does not match GSTIN; ","")&amp;IF(AND(AX174&lt;&gt;"",AX174&lt;&gt;"OK"),"TAN wrong format; ","")&amp;IF(AS174="","PAN missing; ","")&amp;IF(BB174="","Entity type missing; ","")&amp;IF(AND(AZ174&lt;&gt;"",COUNTIF($AZ$6:$AZ$1005,AZ174)&gt;1),"GSTIN repeated in this sheet; ","")&amp;IF(AND(AS174&lt;&gt;"",COUNTIF($AS$6:$AS$1005,AS174)&gt;1),"PAN repeated in this sheet (same client? put extra GSTINs in Other GSTINs); ","")&amp;IF(AND(BD174&gt;0,V174=""),"Financial year missing; ","")&amp;IF(AND(BD174=0,V174&lt;&gt;""),"Financial year given but no service is Yes; ","")&amp;IF(AND(W174="Yes",AZ174=""),"GST needs a GSTIN; ","")&amp;IF(AND(W174="Yes",X174=""),"GST return frequency missing; ","")&amp;IF(AND(Y174="Yes",TRIM(H174)=""),"TDS needs a TAN; ","")&amp;IF(AND(AA174="Yes",BC174&lt;&gt;"",BC174&lt;&gt;"company",BC174&lt;&gt;"llp"),"ROC is only for a company / LLP; ","")&amp;IF(AND(AA174="Yes",OR(BC174="company",BC174="llp"),TRIM(I174)=""),"ROC needs the CIN / LLPIN; ","")&amp;IF((TRIM(AF174)="")&lt;&gt;(TRIM(AG174)=""),"GST login needs both user ID and password; ","")&amp;IF((TRIM(AH174)="")&lt;&gt;(TRIM(AI174)=""),"Income-tax login needs both user ID and password; ","")&amp;IF((TRIM(AJ174)="")&lt;&gt;(TRIM(AK174)=""),"Income-tax login needs both user ID and password; ","")&amp;IF((TRIM(AL174)="")&lt;&gt;(TRIM(AM174)=""),"TRACES login needs both user ID and password; ","")&amp;IF((TRIM(AN174)="")&lt;&gt;(TRIM(AO174)=""),"MCA login needs both user ID and password; ","")&amp;IF((TRIM(AP174)="")&lt;&gt;(TRIM(AQ174)=""),"E-way bill login needs both user ID and password; ","")</f>
        <v/>
      </c>
    </row>
    <row r="175">
      <c r="A175" s="32" t="n"/>
      <c r="B175" s="33" t="n"/>
      <c r="C175" s="33" t="n"/>
      <c r="D175" s="33" t="n"/>
      <c r="E175" s="32" t="n"/>
      <c r="F175" s="32" t="n"/>
      <c r="G175" s="32" t="n"/>
      <c r="H175" s="32" t="n"/>
      <c r="I175" s="32" t="n"/>
      <c r="J175" s="34" t="n"/>
      <c r="K175" s="33" t="n"/>
      <c r="L175" s="32" t="n"/>
      <c r="M175" s="33" t="n"/>
      <c r="N175" s="33" t="n"/>
      <c r="O175" s="33" t="n"/>
      <c r="P175" s="32" t="n"/>
      <c r="Q175" s="33" t="n"/>
      <c r="R175" s="33" t="n"/>
      <c r="S175" s="33" t="n"/>
      <c r="T175" s="33" t="n"/>
      <c r="U175" s="32" t="n"/>
      <c r="V175" s="33" t="n"/>
      <c r="W175" s="33" t="n"/>
      <c r="X175" s="33" t="n"/>
      <c r="Y175" s="33" t="n"/>
      <c r="Z175" s="33" t="n"/>
      <c r="AA175" s="33" t="n"/>
      <c r="AB175" s="33" t="n"/>
      <c r="AC175" s="33" t="n"/>
      <c r="AD175" s="33" t="n"/>
      <c r="AE175" s="33" t="n"/>
      <c r="AF175" s="32" t="n"/>
      <c r="AG175" s="32" t="n"/>
      <c r="AH175" s="32" t="n"/>
      <c r="AI175" s="32" t="n"/>
      <c r="AJ175" s="32" t="n"/>
      <c r="AK175" s="32" t="n"/>
      <c r="AL175" s="32" t="n"/>
      <c r="AM175" s="32" t="n"/>
      <c r="AN175" s="32" t="n"/>
      <c r="AO175" s="32" t="n"/>
      <c r="AP175" s="32" t="n"/>
      <c r="AQ175" s="32" t="n"/>
      <c r="AR175" s="29">
        <f>IF(NOT(COUNTA(A175:AE175)&gt;0),"",IF(A175="","New client","Update"))</f>
        <v/>
      </c>
      <c r="AS175" s="29">
        <f>IF(BA175&lt;&gt;"",BA175,IF(LEN(AZ175)=15,MID(AZ175,3,10),""))</f>
        <v/>
      </c>
      <c r="AT175" s="29">
        <f>IF(BB175="","",BB175&amp;IF(D175="","  (guessed from PAN)",""))</f>
        <v/>
      </c>
      <c r="AU175" s="29">
        <f>IF(AZ175="","",IFERROR(INDEX(Lists!$L$2:$L$38,MATCH(LEFT(AZ175,2),Lists!$K$2:$K$38,0)),"Unknown code"))</f>
        <v/>
      </c>
      <c r="AV175" s="29">
        <f>IF(AZ175="","",IFERROR(IF(NOT(AND(LEN(AZ175)=15,ISNUMBER(MATCH(LEFT(AZ175,2),Lists!$K$2:$K$38,0)),SUMPRODUCT(--ISERROR(FIND(MID(MID(AZ175,3,10),{1,2,3,4,5,10},1),"ABCDEFGHIJKLMNOPQRSTUVWXYZ")))=0,SUMPRODUCT(--ISERROR(FIND(MID(MID(AZ175,3,10),{6,7,8,9},1),"0123456789")))=0,ISNUMBER(FIND(MID(AZ175,13,1),"123456789ABCDEFGHIJKLMNOPQRSTUVWXYZ")),MID(AZ175,14,1)="Z")),"Wrong format",IF(MID("0123456789ABCDEFGHIJKLMNOPQRSTUVWXYZ",MOD(36-MOD(SUMPRODUCT(INT((FIND(MID(AZ175,{1,2,3,4,5,6,7,8,9,10,11,12,13,14},1),"0123456789ABCDEFGHIJKLMNOPQRSTUVWXYZ")-1)*{1,2,1,2,1,2,1,2,1,2,1,2,1,2}/36)+MOD((FIND(MID(AZ175,{1,2,3,4,5,6,7,8,9,10,11,12,13,14},1),"0123456789ABCDEFGHIJKLMNOPQRSTUVWXYZ")-1)*{1,2,1,2,1,2,1,2,1,2,1,2,1,2},36)),36),36)+1,1)=MID(AZ175,15,1),"OK","Typo? check digit wrong")),"Wrong format"))</f>
        <v/>
      </c>
      <c r="AW175" s="29">
        <f>IF(BA175="","",IF(AND(LEN(BA175)=10,SUMPRODUCT(--ISERROR(FIND(MID(BA175,{1,2,3,4,5,10},1),"ABCDEFGHIJKLMNOPQRSTUVWXYZ")))=0,SUMPRODUCT(--ISERROR(FIND(MID(BA175,{6,7,8,9},1),"0123456789")))=0),"OK","Wrong format"))</f>
        <v/>
      </c>
      <c r="AX175" s="29">
        <f>IF(TRIM(H175)="","",IF(AND(LEN(UPPER(TRIM(H175)))=10,SUMPRODUCT(--ISERROR(FIND(MID(UPPER(TRIM(H175)),{1,2,3,4,10},1),"ABCDEFGHIJKLMNOPQRSTUVWXYZ")))=0,SUMPRODUCT(--ISERROR(FIND(MID(UPPER(TRIM(H175)),{5,6,7,8,9},1),"0123456789")))=0),"OK","Wrong format"))</f>
        <v/>
      </c>
      <c r="AY175" s="30">
        <f>IF(NOT(COUNTA(A175:AE175)&gt;0),"",IF(BE175&lt;&gt;"","✖ "&amp;LEFT(BE175,LEN(BE175)-2),IF(BD175&gt;0,"✔ Ready — client + "&amp;BD175&amp;" service(s)","✔ Ready — client only")))</f>
        <v/>
      </c>
      <c r="AZ175" s="31">
        <f>UPPER(SUBSTITUTE(TRIM(F175)," ",""))</f>
        <v/>
      </c>
      <c r="BA175" s="31">
        <f>UPPER(SUBSTITUTE(TRIM(E175)," ",""))</f>
        <v/>
      </c>
      <c r="BB175" s="31">
        <f>IF(D175&lt;&gt;"",D175,IFERROR(VLOOKUP(MID(AS175,4,1),Lists!$E$2:$F$8,2,FALSE),""))</f>
        <v/>
      </c>
      <c r="BC175" s="31">
        <f>IFERROR(VLOOKUP(BB175,Lists!$A$2:$C$12,3,FALSE),"")</f>
        <v/>
      </c>
      <c r="BD175" s="31">
        <f>COUNTIF(W175:AC175,"Yes")</f>
        <v/>
      </c>
      <c r="BE175" s="31">
        <f>IF(TRIM(B175)="","Legal name missing; ","")&amp;IF(AND(AV175&lt;&gt;"",AV175&lt;&gt;"OK"),"GSTIN: "&amp;AV175&amp;"; ","")&amp;IF(AND(AW175&lt;&gt;"",AW175&lt;&gt;"OK"),"PAN wrong format; ","")&amp;IF(AND(BA175&lt;&gt;"",LEN(AZ175)=15,MID(AZ175,3,10)&lt;&gt;BA175),"PAN does not match GSTIN; ","")&amp;IF(AND(AX175&lt;&gt;"",AX175&lt;&gt;"OK"),"TAN wrong format; ","")&amp;IF(AS175="","PAN missing; ","")&amp;IF(BB175="","Entity type missing; ","")&amp;IF(AND(AZ175&lt;&gt;"",COUNTIF($AZ$6:$AZ$1005,AZ175)&gt;1),"GSTIN repeated in this sheet; ","")&amp;IF(AND(AS175&lt;&gt;"",COUNTIF($AS$6:$AS$1005,AS175)&gt;1),"PAN repeated in this sheet (same client? put extra GSTINs in Other GSTINs); ","")&amp;IF(AND(BD175&gt;0,V175=""),"Financial year missing; ","")&amp;IF(AND(BD175=0,V175&lt;&gt;""),"Financial year given but no service is Yes; ","")&amp;IF(AND(W175="Yes",AZ175=""),"GST needs a GSTIN; ","")&amp;IF(AND(W175="Yes",X175=""),"GST return frequency missing; ","")&amp;IF(AND(Y175="Yes",TRIM(H175)=""),"TDS needs a TAN; ","")&amp;IF(AND(AA175="Yes",BC175&lt;&gt;"",BC175&lt;&gt;"company",BC175&lt;&gt;"llp"),"ROC is only for a company / LLP; ","")&amp;IF(AND(AA175="Yes",OR(BC175="company",BC175="llp"),TRIM(I175)=""),"ROC needs the CIN / LLPIN; ","")&amp;IF((TRIM(AF175)="")&lt;&gt;(TRIM(AG175)=""),"GST login needs both user ID and password; ","")&amp;IF((TRIM(AH175)="")&lt;&gt;(TRIM(AI175)=""),"Income-tax login needs both user ID and password; ","")&amp;IF((TRIM(AJ175)="")&lt;&gt;(TRIM(AK175)=""),"Income-tax login needs both user ID and password; ","")&amp;IF((TRIM(AL175)="")&lt;&gt;(TRIM(AM175)=""),"TRACES login needs both user ID and password; ","")&amp;IF((TRIM(AN175)="")&lt;&gt;(TRIM(AO175)=""),"MCA login needs both user ID and password; ","")&amp;IF((TRIM(AP175)="")&lt;&gt;(TRIM(AQ175)=""),"E-way bill login needs both user ID and password; ","")</f>
        <v/>
      </c>
    </row>
    <row r="176">
      <c r="A176" s="32" t="n"/>
      <c r="B176" s="33" t="n"/>
      <c r="C176" s="33" t="n"/>
      <c r="D176" s="33" t="n"/>
      <c r="E176" s="32" t="n"/>
      <c r="F176" s="32" t="n"/>
      <c r="G176" s="32" t="n"/>
      <c r="H176" s="32" t="n"/>
      <c r="I176" s="32" t="n"/>
      <c r="J176" s="34" t="n"/>
      <c r="K176" s="33" t="n"/>
      <c r="L176" s="32" t="n"/>
      <c r="M176" s="33" t="n"/>
      <c r="N176" s="33" t="n"/>
      <c r="O176" s="33" t="n"/>
      <c r="P176" s="32" t="n"/>
      <c r="Q176" s="33" t="n"/>
      <c r="R176" s="33" t="n"/>
      <c r="S176" s="33" t="n"/>
      <c r="T176" s="33" t="n"/>
      <c r="U176" s="32" t="n"/>
      <c r="V176" s="33" t="n"/>
      <c r="W176" s="33" t="n"/>
      <c r="X176" s="33" t="n"/>
      <c r="Y176" s="33" t="n"/>
      <c r="Z176" s="33" t="n"/>
      <c r="AA176" s="33" t="n"/>
      <c r="AB176" s="33" t="n"/>
      <c r="AC176" s="33" t="n"/>
      <c r="AD176" s="33" t="n"/>
      <c r="AE176" s="33" t="n"/>
      <c r="AF176" s="32" t="n"/>
      <c r="AG176" s="32" t="n"/>
      <c r="AH176" s="32" t="n"/>
      <c r="AI176" s="32" t="n"/>
      <c r="AJ176" s="32" t="n"/>
      <c r="AK176" s="32" t="n"/>
      <c r="AL176" s="32" t="n"/>
      <c r="AM176" s="32" t="n"/>
      <c r="AN176" s="32" t="n"/>
      <c r="AO176" s="32" t="n"/>
      <c r="AP176" s="32" t="n"/>
      <c r="AQ176" s="32" t="n"/>
      <c r="AR176" s="29">
        <f>IF(NOT(COUNTA(A176:AE176)&gt;0),"",IF(A176="","New client","Update"))</f>
        <v/>
      </c>
      <c r="AS176" s="29">
        <f>IF(BA176&lt;&gt;"",BA176,IF(LEN(AZ176)=15,MID(AZ176,3,10),""))</f>
        <v/>
      </c>
      <c r="AT176" s="29">
        <f>IF(BB176="","",BB176&amp;IF(D176="","  (guessed from PAN)",""))</f>
        <v/>
      </c>
      <c r="AU176" s="29">
        <f>IF(AZ176="","",IFERROR(INDEX(Lists!$L$2:$L$38,MATCH(LEFT(AZ176,2),Lists!$K$2:$K$38,0)),"Unknown code"))</f>
        <v/>
      </c>
      <c r="AV176" s="29">
        <f>IF(AZ176="","",IFERROR(IF(NOT(AND(LEN(AZ176)=15,ISNUMBER(MATCH(LEFT(AZ176,2),Lists!$K$2:$K$38,0)),SUMPRODUCT(--ISERROR(FIND(MID(MID(AZ176,3,10),{1,2,3,4,5,10},1),"ABCDEFGHIJKLMNOPQRSTUVWXYZ")))=0,SUMPRODUCT(--ISERROR(FIND(MID(MID(AZ176,3,10),{6,7,8,9},1),"0123456789")))=0,ISNUMBER(FIND(MID(AZ176,13,1),"123456789ABCDEFGHIJKLMNOPQRSTUVWXYZ")),MID(AZ176,14,1)="Z")),"Wrong format",IF(MID("0123456789ABCDEFGHIJKLMNOPQRSTUVWXYZ",MOD(36-MOD(SUMPRODUCT(INT((FIND(MID(AZ176,{1,2,3,4,5,6,7,8,9,10,11,12,13,14},1),"0123456789ABCDEFGHIJKLMNOPQRSTUVWXYZ")-1)*{1,2,1,2,1,2,1,2,1,2,1,2,1,2}/36)+MOD((FIND(MID(AZ176,{1,2,3,4,5,6,7,8,9,10,11,12,13,14},1),"0123456789ABCDEFGHIJKLMNOPQRSTUVWXYZ")-1)*{1,2,1,2,1,2,1,2,1,2,1,2,1,2},36)),36),36)+1,1)=MID(AZ176,15,1),"OK","Typo? check digit wrong")),"Wrong format"))</f>
        <v/>
      </c>
      <c r="AW176" s="29">
        <f>IF(BA176="","",IF(AND(LEN(BA176)=10,SUMPRODUCT(--ISERROR(FIND(MID(BA176,{1,2,3,4,5,10},1),"ABCDEFGHIJKLMNOPQRSTUVWXYZ")))=0,SUMPRODUCT(--ISERROR(FIND(MID(BA176,{6,7,8,9},1),"0123456789")))=0),"OK","Wrong format"))</f>
        <v/>
      </c>
      <c r="AX176" s="29">
        <f>IF(TRIM(H176)="","",IF(AND(LEN(UPPER(TRIM(H176)))=10,SUMPRODUCT(--ISERROR(FIND(MID(UPPER(TRIM(H176)),{1,2,3,4,10},1),"ABCDEFGHIJKLMNOPQRSTUVWXYZ")))=0,SUMPRODUCT(--ISERROR(FIND(MID(UPPER(TRIM(H176)),{5,6,7,8,9},1),"0123456789")))=0),"OK","Wrong format"))</f>
        <v/>
      </c>
      <c r="AY176" s="30">
        <f>IF(NOT(COUNTA(A176:AE176)&gt;0),"",IF(BE176&lt;&gt;"","✖ "&amp;LEFT(BE176,LEN(BE176)-2),IF(BD176&gt;0,"✔ Ready — client + "&amp;BD176&amp;" service(s)","✔ Ready — client only")))</f>
        <v/>
      </c>
      <c r="AZ176" s="31">
        <f>UPPER(SUBSTITUTE(TRIM(F176)," ",""))</f>
        <v/>
      </c>
      <c r="BA176" s="31">
        <f>UPPER(SUBSTITUTE(TRIM(E176)," ",""))</f>
        <v/>
      </c>
      <c r="BB176" s="31">
        <f>IF(D176&lt;&gt;"",D176,IFERROR(VLOOKUP(MID(AS176,4,1),Lists!$E$2:$F$8,2,FALSE),""))</f>
        <v/>
      </c>
      <c r="BC176" s="31">
        <f>IFERROR(VLOOKUP(BB176,Lists!$A$2:$C$12,3,FALSE),"")</f>
        <v/>
      </c>
      <c r="BD176" s="31">
        <f>COUNTIF(W176:AC176,"Yes")</f>
        <v/>
      </c>
      <c r="BE176" s="31">
        <f>IF(TRIM(B176)="","Legal name missing; ","")&amp;IF(AND(AV176&lt;&gt;"",AV176&lt;&gt;"OK"),"GSTIN: "&amp;AV176&amp;"; ","")&amp;IF(AND(AW176&lt;&gt;"",AW176&lt;&gt;"OK"),"PAN wrong format; ","")&amp;IF(AND(BA176&lt;&gt;"",LEN(AZ176)=15,MID(AZ176,3,10)&lt;&gt;BA176),"PAN does not match GSTIN; ","")&amp;IF(AND(AX176&lt;&gt;"",AX176&lt;&gt;"OK"),"TAN wrong format; ","")&amp;IF(AS176="","PAN missing; ","")&amp;IF(BB176="","Entity type missing; ","")&amp;IF(AND(AZ176&lt;&gt;"",COUNTIF($AZ$6:$AZ$1005,AZ176)&gt;1),"GSTIN repeated in this sheet; ","")&amp;IF(AND(AS176&lt;&gt;"",COUNTIF($AS$6:$AS$1005,AS176)&gt;1),"PAN repeated in this sheet (same client? put extra GSTINs in Other GSTINs); ","")&amp;IF(AND(BD176&gt;0,V176=""),"Financial year missing; ","")&amp;IF(AND(BD176=0,V176&lt;&gt;""),"Financial year given but no service is Yes; ","")&amp;IF(AND(W176="Yes",AZ176=""),"GST needs a GSTIN; ","")&amp;IF(AND(W176="Yes",X176=""),"GST return frequency missing; ","")&amp;IF(AND(Y176="Yes",TRIM(H176)=""),"TDS needs a TAN; ","")&amp;IF(AND(AA176="Yes",BC176&lt;&gt;"",BC176&lt;&gt;"company",BC176&lt;&gt;"llp"),"ROC is only for a company / LLP; ","")&amp;IF(AND(AA176="Yes",OR(BC176="company",BC176="llp"),TRIM(I176)=""),"ROC needs the CIN / LLPIN; ","")&amp;IF((TRIM(AF176)="")&lt;&gt;(TRIM(AG176)=""),"GST login needs both user ID and password; ","")&amp;IF((TRIM(AH176)="")&lt;&gt;(TRIM(AI176)=""),"Income-tax login needs both user ID and password; ","")&amp;IF((TRIM(AJ176)="")&lt;&gt;(TRIM(AK176)=""),"Income-tax login needs both user ID and password; ","")&amp;IF((TRIM(AL176)="")&lt;&gt;(TRIM(AM176)=""),"TRACES login needs both user ID and password; ","")&amp;IF((TRIM(AN176)="")&lt;&gt;(TRIM(AO176)=""),"MCA login needs both user ID and password; ","")&amp;IF((TRIM(AP176)="")&lt;&gt;(TRIM(AQ176)=""),"E-way bill login needs both user ID and password; ","")</f>
        <v/>
      </c>
    </row>
    <row r="177">
      <c r="A177" s="32" t="n"/>
      <c r="B177" s="33" t="n"/>
      <c r="C177" s="33" t="n"/>
      <c r="D177" s="33" t="n"/>
      <c r="E177" s="32" t="n"/>
      <c r="F177" s="32" t="n"/>
      <c r="G177" s="32" t="n"/>
      <c r="H177" s="32" t="n"/>
      <c r="I177" s="32" t="n"/>
      <c r="J177" s="34" t="n"/>
      <c r="K177" s="33" t="n"/>
      <c r="L177" s="32" t="n"/>
      <c r="M177" s="33" t="n"/>
      <c r="N177" s="33" t="n"/>
      <c r="O177" s="33" t="n"/>
      <c r="P177" s="32" t="n"/>
      <c r="Q177" s="33" t="n"/>
      <c r="R177" s="33" t="n"/>
      <c r="S177" s="33" t="n"/>
      <c r="T177" s="33" t="n"/>
      <c r="U177" s="32" t="n"/>
      <c r="V177" s="33" t="n"/>
      <c r="W177" s="33" t="n"/>
      <c r="X177" s="33" t="n"/>
      <c r="Y177" s="33" t="n"/>
      <c r="Z177" s="33" t="n"/>
      <c r="AA177" s="33" t="n"/>
      <c r="AB177" s="33" t="n"/>
      <c r="AC177" s="33" t="n"/>
      <c r="AD177" s="33" t="n"/>
      <c r="AE177" s="33" t="n"/>
      <c r="AF177" s="32" t="n"/>
      <c r="AG177" s="32" t="n"/>
      <c r="AH177" s="32" t="n"/>
      <c r="AI177" s="32" t="n"/>
      <c r="AJ177" s="32" t="n"/>
      <c r="AK177" s="32" t="n"/>
      <c r="AL177" s="32" t="n"/>
      <c r="AM177" s="32" t="n"/>
      <c r="AN177" s="32" t="n"/>
      <c r="AO177" s="32" t="n"/>
      <c r="AP177" s="32" t="n"/>
      <c r="AQ177" s="32" t="n"/>
      <c r="AR177" s="29">
        <f>IF(NOT(COUNTA(A177:AE177)&gt;0),"",IF(A177="","New client","Update"))</f>
        <v/>
      </c>
      <c r="AS177" s="29">
        <f>IF(BA177&lt;&gt;"",BA177,IF(LEN(AZ177)=15,MID(AZ177,3,10),""))</f>
        <v/>
      </c>
      <c r="AT177" s="29">
        <f>IF(BB177="","",BB177&amp;IF(D177="","  (guessed from PAN)",""))</f>
        <v/>
      </c>
      <c r="AU177" s="29">
        <f>IF(AZ177="","",IFERROR(INDEX(Lists!$L$2:$L$38,MATCH(LEFT(AZ177,2),Lists!$K$2:$K$38,0)),"Unknown code"))</f>
        <v/>
      </c>
      <c r="AV177" s="29">
        <f>IF(AZ177="","",IFERROR(IF(NOT(AND(LEN(AZ177)=15,ISNUMBER(MATCH(LEFT(AZ177,2),Lists!$K$2:$K$38,0)),SUMPRODUCT(--ISERROR(FIND(MID(MID(AZ177,3,10),{1,2,3,4,5,10},1),"ABCDEFGHIJKLMNOPQRSTUVWXYZ")))=0,SUMPRODUCT(--ISERROR(FIND(MID(MID(AZ177,3,10),{6,7,8,9},1),"0123456789")))=0,ISNUMBER(FIND(MID(AZ177,13,1),"123456789ABCDEFGHIJKLMNOPQRSTUVWXYZ")),MID(AZ177,14,1)="Z")),"Wrong format",IF(MID("0123456789ABCDEFGHIJKLMNOPQRSTUVWXYZ",MOD(36-MOD(SUMPRODUCT(INT((FIND(MID(AZ177,{1,2,3,4,5,6,7,8,9,10,11,12,13,14},1),"0123456789ABCDEFGHIJKLMNOPQRSTUVWXYZ")-1)*{1,2,1,2,1,2,1,2,1,2,1,2,1,2}/36)+MOD((FIND(MID(AZ177,{1,2,3,4,5,6,7,8,9,10,11,12,13,14},1),"0123456789ABCDEFGHIJKLMNOPQRSTUVWXYZ")-1)*{1,2,1,2,1,2,1,2,1,2,1,2,1,2},36)),36),36)+1,1)=MID(AZ177,15,1),"OK","Typo? check digit wrong")),"Wrong format"))</f>
        <v/>
      </c>
      <c r="AW177" s="29">
        <f>IF(BA177="","",IF(AND(LEN(BA177)=10,SUMPRODUCT(--ISERROR(FIND(MID(BA177,{1,2,3,4,5,10},1),"ABCDEFGHIJKLMNOPQRSTUVWXYZ")))=0,SUMPRODUCT(--ISERROR(FIND(MID(BA177,{6,7,8,9},1),"0123456789")))=0),"OK","Wrong format"))</f>
        <v/>
      </c>
      <c r="AX177" s="29">
        <f>IF(TRIM(H177)="","",IF(AND(LEN(UPPER(TRIM(H177)))=10,SUMPRODUCT(--ISERROR(FIND(MID(UPPER(TRIM(H177)),{1,2,3,4,10},1),"ABCDEFGHIJKLMNOPQRSTUVWXYZ")))=0,SUMPRODUCT(--ISERROR(FIND(MID(UPPER(TRIM(H177)),{5,6,7,8,9},1),"0123456789")))=0),"OK","Wrong format"))</f>
        <v/>
      </c>
      <c r="AY177" s="30">
        <f>IF(NOT(COUNTA(A177:AE177)&gt;0),"",IF(BE177&lt;&gt;"","✖ "&amp;LEFT(BE177,LEN(BE177)-2),IF(BD177&gt;0,"✔ Ready — client + "&amp;BD177&amp;" service(s)","✔ Ready — client only")))</f>
        <v/>
      </c>
      <c r="AZ177" s="31">
        <f>UPPER(SUBSTITUTE(TRIM(F177)," ",""))</f>
        <v/>
      </c>
      <c r="BA177" s="31">
        <f>UPPER(SUBSTITUTE(TRIM(E177)," ",""))</f>
        <v/>
      </c>
      <c r="BB177" s="31">
        <f>IF(D177&lt;&gt;"",D177,IFERROR(VLOOKUP(MID(AS177,4,1),Lists!$E$2:$F$8,2,FALSE),""))</f>
        <v/>
      </c>
      <c r="BC177" s="31">
        <f>IFERROR(VLOOKUP(BB177,Lists!$A$2:$C$12,3,FALSE),"")</f>
        <v/>
      </c>
      <c r="BD177" s="31">
        <f>COUNTIF(W177:AC177,"Yes")</f>
        <v/>
      </c>
      <c r="BE177" s="31">
        <f>IF(TRIM(B177)="","Legal name missing; ","")&amp;IF(AND(AV177&lt;&gt;"",AV177&lt;&gt;"OK"),"GSTIN: "&amp;AV177&amp;"; ","")&amp;IF(AND(AW177&lt;&gt;"",AW177&lt;&gt;"OK"),"PAN wrong format; ","")&amp;IF(AND(BA177&lt;&gt;"",LEN(AZ177)=15,MID(AZ177,3,10)&lt;&gt;BA177),"PAN does not match GSTIN; ","")&amp;IF(AND(AX177&lt;&gt;"",AX177&lt;&gt;"OK"),"TAN wrong format; ","")&amp;IF(AS177="","PAN missing; ","")&amp;IF(BB177="","Entity type missing; ","")&amp;IF(AND(AZ177&lt;&gt;"",COUNTIF($AZ$6:$AZ$1005,AZ177)&gt;1),"GSTIN repeated in this sheet; ","")&amp;IF(AND(AS177&lt;&gt;"",COUNTIF($AS$6:$AS$1005,AS177)&gt;1),"PAN repeated in this sheet (same client? put extra GSTINs in Other GSTINs); ","")&amp;IF(AND(BD177&gt;0,V177=""),"Financial year missing; ","")&amp;IF(AND(BD177=0,V177&lt;&gt;""),"Financial year given but no service is Yes; ","")&amp;IF(AND(W177="Yes",AZ177=""),"GST needs a GSTIN; ","")&amp;IF(AND(W177="Yes",X177=""),"GST return frequency missing; ","")&amp;IF(AND(Y177="Yes",TRIM(H177)=""),"TDS needs a TAN; ","")&amp;IF(AND(AA177="Yes",BC177&lt;&gt;"",BC177&lt;&gt;"company",BC177&lt;&gt;"llp"),"ROC is only for a company / LLP; ","")&amp;IF(AND(AA177="Yes",OR(BC177="company",BC177="llp"),TRIM(I177)=""),"ROC needs the CIN / LLPIN; ","")&amp;IF((TRIM(AF177)="")&lt;&gt;(TRIM(AG177)=""),"GST login needs both user ID and password; ","")&amp;IF((TRIM(AH177)="")&lt;&gt;(TRIM(AI177)=""),"Income-tax login needs both user ID and password; ","")&amp;IF((TRIM(AJ177)="")&lt;&gt;(TRIM(AK177)=""),"Income-tax login needs both user ID and password; ","")&amp;IF((TRIM(AL177)="")&lt;&gt;(TRIM(AM177)=""),"TRACES login needs both user ID and password; ","")&amp;IF((TRIM(AN177)="")&lt;&gt;(TRIM(AO177)=""),"MCA login needs both user ID and password; ","")&amp;IF((TRIM(AP177)="")&lt;&gt;(TRIM(AQ177)=""),"E-way bill login needs both user ID and password; ","")</f>
        <v/>
      </c>
    </row>
    <row r="178">
      <c r="A178" s="32" t="n"/>
      <c r="B178" s="33" t="n"/>
      <c r="C178" s="33" t="n"/>
      <c r="D178" s="33" t="n"/>
      <c r="E178" s="32" t="n"/>
      <c r="F178" s="32" t="n"/>
      <c r="G178" s="32" t="n"/>
      <c r="H178" s="32" t="n"/>
      <c r="I178" s="32" t="n"/>
      <c r="J178" s="34" t="n"/>
      <c r="K178" s="33" t="n"/>
      <c r="L178" s="32" t="n"/>
      <c r="M178" s="33" t="n"/>
      <c r="N178" s="33" t="n"/>
      <c r="O178" s="33" t="n"/>
      <c r="P178" s="32" t="n"/>
      <c r="Q178" s="33" t="n"/>
      <c r="R178" s="33" t="n"/>
      <c r="S178" s="33" t="n"/>
      <c r="T178" s="33" t="n"/>
      <c r="U178" s="32" t="n"/>
      <c r="V178" s="33" t="n"/>
      <c r="W178" s="33" t="n"/>
      <c r="X178" s="33" t="n"/>
      <c r="Y178" s="33" t="n"/>
      <c r="Z178" s="33" t="n"/>
      <c r="AA178" s="33" t="n"/>
      <c r="AB178" s="33" t="n"/>
      <c r="AC178" s="33" t="n"/>
      <c r="AD178" s="33" t="n"/>
      <c r="AE178" s="33" t="n"/>
      <c r="AF178" s="32" t="n"/>
      <c r="AG178" s="32" t="n"/>
      <c r="AH178" s="32" t="n"/>
      <c r="AI178" s="32" t="n"/>
      <c r="AJ178" s="32" t="n"/>
      <c r="AK178" s="32" t="n"/>
      <c r="AL178" s="32" t="n"/>
      <c r="AM178" s="32" t="n"/>
      <c r="AN178" s="32" t="n"/>
      <c r="AO178" s="32" t="n"/>
      <c r="AP178" s="32" t="n"/>
      <c r="AQ178" s="32" t="n"/>
      <c r="AR178" s="29">
        <f>IF(NOT(COUNTA(A178:AE178)&gt;0),"",IF(A178="","New client","Update"))</f>
        <v/>
      </c>
      <c r="AS178" s="29">
        <f>IF(BA178&lt;&gt;"",BA178,IF(LEN(AZ178)=15,MID(AZ178,3,10),""))</f>
        <v/>
      </c>
      <c r="AT178" s="29">
        <f>IF(BB178="","",BB178&amp;IF(D178="","  (guessed from PAN)",""))</f>
        <v/>
      </c>
      <c r="AU178" s="29">
        <f>IF(AZ178="","",IFERROR(INDEX(Lists!$L$2:$L$38,MATCH(LEFT(AZ178,2),Lists!$K$2:$K$38,0)),"Unknown code"))</f>
        <v/>
      </c>
      <c r="AV178" s="29">
        <f>IF(AZ178="","",IFERROR(IF(NOT(AND(LEN(AZ178)=15,ISNUMBER(MATCH(LEFT(AZ178,2),Lists!$K$2:$K$38,0)),SUMPRODUCT(--ISERROR(FIND(MID(MID(AZ178,3,10),{1,2,3,4,5,10},1),"ABCDEFGHIJKLMNOPQRSTUVWXYZ")))=0,SUMPRODUCT(--ISERROR(FIND(MID(MID(AZ178,3,10),{6,7,8,9},1),"0123456789")))=0,ISNUMBER(FIND(MID(AZ178,13,1),"123456789ABCDEFGHIJKLMNOPQRSTUVWXYZ")),MID(AZ178,14,1)="Z")),"Wrong format",IF(MID("0123456789ABCDEFGHIJKLMNOPQRSTUVWXYZ",MOD(36-MOD(SUMPRODUCT(INT((FIND(MID(AZ178,{1,2,3,4,5,6,7,8,9,10,11,12,13,14},1),"0123456789ABCDEFGHIJKLMNOPQRSTUVWXYZ")-1)*{1,2,1,2,1,2,1,2,1,2,1,2,1,2}/36)+MOD((FIND(MID(AZ178,{1,2,3,4,5,6,7,8,9,10,11,12,13,14},1),"0123456789ABCDEFGHIJKLMNOPQRSTUVWXYZ")-1)*{1,2,1,2,1,2,1,2,1,2,1,2,1,2},36)),36),36)+1,1)=MID(AZ178,15,1),"OK","Typo? check digit wrong")),"Wrong format"))</f>
        <v/>
      </c>
      <c r="AW178" s="29">
        <f>IF(BA178="","",IF(AND(LEN(BA178)=10,SUMPRODUCT(--ISERROR(FIND(MID(BA178,{1,2,3,4,5,10},1),"ABCDEFGHIJKLMNOPQRSTUVWXYZ")))=0,SUMPRODUCT(--ISERROR(FIND(MID(BA178,{6,7,8,9},1),"0123456789")))=0),"OK","Wrong format"))</f>
        <v/>
      </c>
      <c r="AX178" s="29">
        <f>IF(TRIM(H178)="","",IF(AND(LEN(UPPER(TRIM(H178)))=10,SUMPRODUCT(--ISERROR(FIND(MID(UPPER(TRIM(H178)),{1,2,3,4,10},1),"ABCDEFGHIJKLMNOPQRSTUVWXYZ")))=0,SUMPRODUCT(--ISERROR(FIND(MID(UPPER(TRIM(H178)),{5,6,7,8,9},1),"0123456789")))=0),"OK","Wrong format"))</f>
        <v/>
      </c>
      <c r="AY178" s="30">
        <f>IF(NOT(COUNTA(A178:AE178)&gt;0),"",IF(BE178&lt;&gt;"","✖ "&amp;LEFT(BE178,LEN(BE178)-2),IF(BD178&gt;0,"✔ Ready — client + "&amp;BD178&amp;" service(s)","✔ Ready — client only")))</f>
        <v/>
      </c>
      <c r="AZ178" s="31">
        <f>UPPER(SUBSTITUTE(TRIM(F178)," ",""))</f>
        <v/>
      </c>
      <c r="BA178" s="31">
        <f>UPPER(SUBSTITUTE(TRIM(E178)," ",""))</f>
        <v/>
      </c>
      <c r="BB178" s="31">
        <f>IF(D178&lt;&gt;"",D178,IFERROR(VLOOKUP(MID(AS178,4,1),Lists!$E$2:$F$8,2,FALSE),""))</f>
        <v/>
      </c>
      <c r="BC178" s="31">
        <f>IFERROR(VLOOKUP(BB178,Lists!$A$2:$C$12,3,FALSE),"")</f>
        <v/>
      </c>
      <c r="BD178" s="31">
        <f>COUNTIF(W178:AC178,"Yes")</f>
        <v/>
      </c>
      <c r="BE178" s="31">
        <f>IF(TRIM(B178)="","Legal name missing; ","")&amp;IF(AND(AV178&lt;&gt;"",AV178&lt;&gt;"OK"),"GSTIN: "&amp;AV178&amp;"; ","")&amp;IF(AND(AW178&lt;&gt;"",AW178&lt;&gt;"OK"),"PAN wrong format; ","")&amp;IF(AND(BA178&lt;&gt;"",LEN(AZ178)=15,MID(AZ178,3,10)&lt;&gt;BA178),"PAN does not match GSTIN; ","")&amp;IF(AND(AX178&lt;&gt;"",AX178&lt;&gt;"OK"),"TAN wrong format; ","")&amp;IF(AS178="","PAN missing; ","")&amp;IF(BB178="","Entity type missing; ","")&amp;IF(AND(AZ178&lt;&gt;"",COUNTIF($AZ$6:$AZ$1005,AZ178)&gt;1),"GSTIN repeated in this sheet; ","")&amp;IF(AND(AS178&lt;&gt;"",COUNTIF($AS$6:$AS$1005,AS178)&gt;1),"PAN repeated in this sheet (same client? put extra GSTINs in Other GSTINs); ","")&amp;IF(AND(BD178&gt;0,V178=""),"Financial year missing; ","")&amp;IF(AND(BD178=0,V178&lt;&gt;""),"Financial year given but no service is Yes; ","")&amp;IF(AND(W178="Yes",AZ178=""),"GST needs a GSTIN; ","")&amp;IF(AND(W178="Yes",X178=""),"GST return frequency missing; ","")&amp;IF(AND(Y178="Yes",TRIM(H178)=""),"TDS needs a TAN; ","")&amp;IF(AND(AA178="Yes",BC178&lt;&gt;"",BC178&lt;&gt;"company",BC178&lt;&gt;"llp"),"ROC is only for a company / LLP; ","")&amp;IF(AND(AA178="Yes",OR(BC178="company",BC178="llp"),TRIM(I178)=""),"ROC needs the CIN / LLPIN; ","")&amp;IF((TRIM(AF178)="")&lt;&gt;(TRIM(AG178)=""),"GST login needs both user ID and password; ","")&amp;IF((TRIM(AH178)="")&lt;&gt;(TRIM(AI178)=""),"Income-tax login needs both user ID and password; ","")&amp;IF((TRIM(AJ178)="")&lt;&gt;(TRIM(AK178)=""),"Income-tax login needs both user ID and password; ","")&amp;IF((TRIM(AL178)="")&lt;&gt;(TRIM(AM178)=""),"TRACES login needs both user ID and password; ","")&amp;IF((TRIM(AN178)="")&lt;&gt;(TRIM(AO178)=""),"MCA login needs both user ID and password; ","")&amp;IF((TRIM(AP178)="")&lt;&gt;(TRIM(AQ178)=""),"E-way bill login needs both user ID and password; ","")</f>
        <v/>
      </c>
    </row>
    <row r="179">
      <c r="A179" s="32" t="n"/>
      <c r="B179" s="33" t="n"/>
      <c r="C179" s="33" t="n"/>
      <c r="D179" s="33" t="n"/>
      <c r="E179" s="32" t="n"/>
      <c r="F179" s="32" t="n"/>
      <c r="G179" s="32" t="n"/>
      <c r="H179" s="32" t="n"/>
      <c r="I179" s="32" t="n"/>
      <c r="J179" s="34" t="n"/>
      <c r="K179" s="33" t="n"/>
      <c r="L179" s="32" t="n"/>
      <c r="M179" s="33" t="n"/>
      <c r="N179" s="33" t="n"/>
      <c r="O179" s="33" t="n"/>
      <c r="P179" s="32" t="n"/>
      <c r="Q179" s="33" t="n"/>
      <c r="R179" s="33" t="n"/>
      <c r="S179" s="33" t="n"/>
      <c r="T179" s="33" t="n"/>
      <c r="U179" s="32" t="n"/>
      <c r="V179" s="33" t="n"/>
      <c r="W179" s="33" t="n"/>
      <c r="X179" s="33" t="n"/>
      <c r="Y179" s="33" t="n"/>
      <c r="Z179" s="33" t="n"/>
      <c r="AA179" s="33" t="n"/>
      <c r="AB179" s="33" t="n"/>
      <c r="AC179" s="33" t="n"/>
      <c r="AD179" s="33" t="n"/>
      <c r="AE179" s="33" t="n"/>
      <c r="AF179" s="32" t="n"/>
      <c r="AG179" s="32" t="n"/>
      <c r="AH179" s="32" t="n"/>
      <c r="AI179" s="32" t="n"/>
      <c r="AJ179" s="32" t="n"/>
      <c r="AK179" s="32" t="n"/>
      <c r="AL179" s="32" t="n"/>
      <c r="AM179" s="32" t="n"/>
      <c r="AN179" s="32" t="n"/>
      <c r="AO179" s="32" t="n"/>
      <c r="AP179" s="32" t="n"/>
      <c r="AQ179" s="32" t="n"/>
      <c r="AR179" s="29">
        <f>IF(NOT(COUNTA(A179:AE179)&gt;0),"",IF(A179="","New client","Update"))</f>
        <v/>
      </c>
      <c r="AS179" s="29">
        <f>IF(BA179&lt;&gt;"",BA179,IF(LEN(AZ179)=15,MID(AZ179,3,10),""))</f>
        <v/>
      </c>
      <c r="AT179" s="29">
        <f>IF(BB179="","",BB179&amp;IF(D179="","  (guessed from PAN)",""))</f>
        <v/>
      </c>
      <c r="AU179" s="29">
        <f>IF(AZ179="","",IFERROR(INDEX(Lists!$L$2:$L$38,MATCH(LEFT(AZ179,2),Lists!$K$2:$K$38,0)),"Unknown code"))</f>
        <v/>
      </c>
      <c r="AV179" s="29">
        <f>IF(AZ179="","",IFERROR(IF(NOT(AND(LEN(AZ179)=15,ISNUMBER(MATCH(LEFT(AZ179,2),Lists!$K$2:$K$38,0)),SUMPRODUCT(--ISERROR(FIND(MID(MID(AZ179,3,10),{1,2,3,4,5,10},1),"ABCDEFGHIJKLMNOPQRSTUVWXYZ")))=0,SUMPRODUCT(--ISERROR(FIND(MID(MID(AZ179,3,10),{6,7,8,9},1),"0123456789")))=0,ISNUMBER(FIND(MID(AZ179,13,1),"123456789ABCDEFGHIJKLMNOPQRSTUVWXYZ")),MID(AZ179,14,1)="Z")),"Wrong format",IF(MID("0123456789ABCDEFGHIJKLMNOPQRSTUVWXYZ",MOD(36-MOD(SUMPRODUCT(INT((FIND(MID(AZ179,{1,2,3,4,5,6,7,8,9,10,11,12,13,14},1),"0123456789ABCDEFGHIJKLMNOPQRSTUVWXYZ")-1)*{1,2,1,2,1,2,1,2,1,2,1,2,1,2}/36)+MOD((FIND(MID(AZ179,{1,2,3,4,5,6,7,8,9,10,11,12,13,14},1),"0123456789ABCDEFGHIJKLMNOPQRSTUVWXYZ")-1)*{1,2,1,2,1,2,1,2,1,2,1,2,1,2},36)),36),36)+1,1)=MID(AZ179,15,1),"OK","Typo? check digit wrong")),"Wrong format"))</f>
        <v/>
      </c>
      <c r="AW179" s="29">
        <f>IF(BA179="","",IF(AND(LEN(BA179)=10,SUMPRODUCT(--ISERROR(FIND(MID(BA179,{1,2,3,4,5,10},1),"ABCDEFGHIJKLMNOPQRSTUVWXYZ")))=0,SUMPRODUCT(--ISERROR(FIND(MID(BA179,{6,7,8,9},1),"0123456789")))=0),"OK","Wrong format"))</f>
        <v/>
      </c>
      <c r="AX179" s="29">
        <f>IF(TRIM(H179)="","",IF(AND(LEN(UPPER(TRIM(H179)))=10,SUMPRODUCT(--ISERROR(FIND(MID(UPPER(TRIM(H179)),{1,2,3,4,10},1),"ABCDEFGHIJKLMNOPQRSTUVWXYZ")))=0,SUMPRODUCT(--ISERROR(FIND(MID(UPPER(TRIM(H179)),{5,6,7,8,9},1),"0123456789")))=0),"OK","Wrong format"))</f>
        <v/>
      </c>
      <c r="AY179" s="30">
        <f>IF(NOT(COUNTA(A179:AE179)&gt;0),"",IF(BE179&lt;&gt;"","✖ "&amp;LEFT(BE179,LEN(BE179)-2),IF(BD179&gt;0,"✔ Ready — client + "&amp;BD179&amp;" service(s)","✔ Ready — client only")))</f>
        <v/>
      </c>
      <c r="AZ179" s="31">
        <f>UPPER(SUBSTITUTE(TRIM(F179)," ",""))</f>
        <v/>
      </c>
      <c r="BA179" s="31">
        <f>UPPER(SUBSTITUTE(TRIM(E179)," ",""))</f>
        <v/>
      </c>
      <c r="BB179" s="31">
        <f>IF(D179&lt;&gt;"",D179,IFERROR(VLOOKUP(MID(AS179,4,1),Lists!$E$2:$F$8,2,FALSE),""))</f>
        <v/>
      </c>
      <c r="BC179" s="31">
        <f>IFERROR(VLOOKUP(BB179,Lists!$A$2:$C$12,3,FALSE),"")</f>
        <v/>
      </c>
      <c r="BD179" s="31">
        <f>COUNTIF(W179:AC179,"Yes")</f>
        <v/>
      </c>
      <c r="BE179" s="31">
        <f>IF(TRIM(B179)="","Legal name missing; ","")&amp;IF(AND(AV179&lt;&gt;"",AV179&lt;&gt;"OK"),"GSTIN: "&amp;AV179&amp;"; ","")&amp;IF(AND(AW179&lt;&gt;"",AW179&lt;&gt;"OK"),"PAN wrong format; ","")&amp;IF(AND(BA179&lt;&gt;"",LEN(AZ179)=15,MID(AZ179,3,10)&lt;&gt;BA179),"PAN does not match GSTIN; ","")&amp;IF(AND(AX179&lt;&gt;"",AX179&lt;&gt;"OK"),"TAN wrong format; ","")&amp;IF(AS179="","PAN missing; ","")&amp;IF(BB179="","Entity type missing; ","")&amp;IF(AND(AZ179&lt;&gt;"",COUNTIF($AZ$6:$AZ$1005,AZ179)&gt;1),"GSTIN repeated in this sheet; ","")&amp;IF(AND(AS179&lt;&gt;"",COUNTIF($AS$6:$AS$1005,AS179)&gt;1),"PAN repeated in this sheet (same client? put extra GSTINs in Other GSTINs); ","")&amp;IF(AND(BD179&gt;0,V179=""),"Financial year missing; ","")&amp;IF(AND(BD179=0,V179&lt;&gt;""),"Financial year given but no service is Yes; ","")&amp;IF(AND(W179="Yes",AZ179=""),"GST needs a GSTIN; ","")&amp;IF(AND(W179="Yes",X179=""),"GST return frequency missing; ","")&amp;IF(AND(Y179="Yes",TRIM(H179)=""),"TDS needs a TAN; ","")&amp;IF(AND(AA179="Yes",BC179&lt;&gt;"",BC179&lt;&gt;"company",BC179&lt;&gt;"llp"),"ROC is only for a company / LLP; ","")&amp;IF(AND(AA179="Yes",OR(BC179="company",BC179="llp"),TRIM(I179)=""),"ROC needs the CIN / LLPIN; ","")&amp;IF((TRIM(AF179)="")&lt;&gt;(TRIM(AG179)=""),"GST login needs both user ID and password; ","")&amp;IF((TRIM(AH179)="")&lt;&gt;(TRIM(AI179)=""),"Income-tax login needs both user ID and password; ","")&amp;IF((TRIM(AJ179)="")&lt;&gt;(TRIM(AK179)=""),"Income-tax login needs both user ID and password; ","")&amp;IF((TRIM(AL179)="")&lt;&gt;(TRIM(AM179)=""),"TRACES login needs both user ID and password; ","")&amp;IF((TRIM(AN179)="")&lt;&gt;(TRIM(AO179)=""),"MCA login needs both user ID and password; ","")&amp;IF((TRIM(AP179)="")&lt;&gt;(TRIM(AQ179)=""),"E-way bill login needs both user ID and password; ","")</f>
        <v/>
      </c>
    </row>
    <row r="180">
      <c r="A180" s="32" t="n"/>
      <c r="B180" s="33" t="n"/>
      <c r="C180" s="33" t="n"/>
      <c r="D180" s="33" t="n"/>
      <c r="E180" s="32" t="n"/>
      <c r="F180" s="32" t="n"/>
      <c r="G180" s="32" t="n"/>
      <c r="H180" s="32" t="n"/>
      <c r="I180" s="32" t="n"/>
      <c r="J180" s="34" t="n"/>
      <c r="K180" s="33" t="n"/>
      <c r="L180" s="32" t="n"/>
      <c r="M180" s="33" t="n"/>
      <c r="N180" s="33" t="n"/>
      <c r="O180" s="33" t="n"/>
      <c r="P180" s="32" t="n"/>
      <c r="Q180" s="33" t="n"/>
      <c r="R180" s="33" t="n"/>
      <c r="S180" s="33" t="n"/>
      <c r="T180" s="33" t="n"/>
      <c r="U180" s="32" t="n"/>
      <c r="V180" s="33" t="n"/>
      <c r="W180" s="33" t="n"/>
      <c r="X180" s="33" t="n"/>
      <c r="Y180" s="33" t="n"/>
      <c r="Z180" s="33" t="n"/>
      <c r="AA180" s="33" t="n"/>
      <c r="AB180" s="33" t="n"/>
      <c r="AC180" s="33" t="n"/>
      <c r="AD180" s="33" t="n"/>
      <c r="AE180" s="33" t="n"/>
      <c r="AF180" s="32" t="n"/>
      <c r="AG180" s="32" t="n"/>
      <c r="AH180" s="32" t="n"/>
      <c r="AI180" s="32" t="n"/>
      <c r="AJ180" s="32" t="n"/>
      <c r="AK180" s="32" t="n"/>
      <c r="AL180" s="32" t="n"/>
      <c r="AM180" s="32" t="n"/>
      <c r="AN180" s="32" t="n"/>
      <c r="AO180" s="32" t="n"/>
      <c r="AP180" s="32" t="n"/>
      <c r="AQ180" s="32" t="n"/>
      <c r="AR180" s="29">
        <f>IF(NOT(COUNTA(A180:AE180)&gt;0),"",IF(A180="","New client","Update"))</f>
        <v/>
      </c>
      <c r="AS180" s="29">
        <f>IF(BA180&lt;&gt;"",BA180,IF(LEN(AZ180)=15,MID(AZ180,3,10),""))</f>
        <v/>
      </c>
      <c r="AT180" s="29">
        <f>IF(BB180="","",BB180&amp;IF(D180="","  (guessed from PAN)",""))</f>
        <v/>
      </c>
      <c r="AU180" s="29">
        <f>IF(AZ180="","",IFERROR(INDEX(Lists!$L$2:$L$38,MATCH(LEFT(AZ180,2),Lists!$K$2:$K$38,0)),"Unknown code"))</f>
        <v/>
      </c>
      <c r="AV180" s="29">
        <f>IF(AZ180="","",IFERROR(IF(NOT(AND(LEN(AZ180)=15,ISNUMBER(MATCH(LEFT(AZ180,2),Lists!$K$2:$K$38,0)),SUMPRODUCT(--ISERROR(FIND(MID(MID(AZ180,3,10),{1,2,3,4,5,10},1),"ABCDEFGHIJKLMNOPQRSTUVWXYZ")))=0,SUMPRODUCT(--ISERROR(FIND(MID(MID(AZ180,3,10),{6,7,8,9},1),"0123456789")))=0,ISNUMBER(FIND(MID(AZ180,13,1),"123456789ABCDEFGHIJKLMNOPQRSTUVWXYZ")),MID(AZ180,14,1)="Z")),"Wrong format",IF(MID("0123456789ABCDEFGHIJKLMNOPQRSTUVWXYZ",MOD(36-MOD(SUMPRODUCT(INT((FIND(MID(AZ180,{1,2,3,4,5,6,7,8,9,10,11,12,13,14},1),"0123456789ABCDEFGHIJKLMNOPQRSTUVWXYZ")-1)*{1,2,1,2,1,2,1,2,1,2,1,2,1,2}/36)+MOD((FIND(MID(AZ180,{1,2,3,4,5,6,7,8,9,10,11,12,13,14},1),"0123456789ABCDEFGHIJKLMNOPQRSTUVWXYZ")-1)*{1,2,1,2,1,2,1,2,1,2,1,2,1,2},36)),36),36)+1,1)=MID(AZ180,15,1),"OK","Typo? check digit wrong")),"Wrong format"))</f>
        <v/>
      </c>
      <c r="AW180" s="29">
        <f>IF(BA180="","",IF(AND(LEN(BA180)=10,SUMPRODUCT(--ISERROR(FIND(MID(BA180,{1,2,3,4,5,10},1),"ABCDEFGHIJKLMNOPQRSTUVWXYZ")))=0,SUMPRODUCT(--ISERROR(FIND(MID(BA180,{6,7,8,9},1),"0123456789")))=0),"OK","Wrong format"))</f>
        <v/>
      </c>
      <c r="AX180" s="29">
        <f>IF(TRIM(H180)="","",IF(AND(LEN(UPPER(TRIM(H180)))=10,SUMPRODUCT(--ISERROR(FIND(MID(UPPER(TRIM(H180)),{1,2,3,4,10},1),"ABCDEFGHIJKLMNOPQRSTUVWXYZ")))=0,SUMPRODUCT(--ISERROR(FIND(MID(UPPER(TRIM(H180)),{5,6,7,8,9},1),"0123456789")))=0),"OK","Wrong format"))</f>
        <v/>
      </c>
      <c r="AY180" s="30">
        <f>IF(NOT(COUNTA(A180:AE180)&gt;0),"",IF(BE180&lt;&gt;"","✖ "&amp;LEFT(BE180,LEN(BE180)-2),IF(BD180&gt;0,"✔ Ready — client + "&amp;BD180&amp;" service(s)","✔ Ready — client only")))</f>
        <v/>
      </c>
      <c r="AZ180" s="31">
        <f>UPPER(SUBSTITUTE(TRIM(F180)," ",""))</f>
        <v/>
      </c>
      <c r="BA180" s="31">
        <f>UPPER(SUBSTITUTE(TRIM(E180)," ",""))</f>
        <v/>
      </c>
      <c r="BB180" s="31">
        <f>IF(D180&lt;&gt;"",D180,IFERROR(VLOOKUP(MID(AS180,4,1),Lists!$E$2:$F$8,2,FALSE),""))</f>
        <v/>
      </c>
      <c r="BC180" s="31">
        <f>IFERROR(VLOOKUP(BB180,Lists!$A$2:$C$12,3,FALSE),"")</f>
        <v/>
      </c>
      <c r="BD180" s="31">
        <f>COUNTIF(W180:AC180,"Yes")</f>
        <v/>
      </c>
      <c r="BE180" s="31">
        <f>IF(TRIM(B180)="","Legal name missing; ","")&amp;IF(AND(AV180&lt;&gt;"",AV180&lt;&gt;"OK"),"GSTIN: "&amp;AV180&amp;"; ","")&amp;IF(AND(AW180&lt;&gt;"",AW180&lt;&gt;"OK"),"PAN wrong format; ","")&amp;IF(AND(BA180&lt;&gt;"",LEN(AZ180)=15,MID(AZ180,3,10)&lt;&gt;BA180),"PAN does not match GSTIN; ","")&amp;IF(AND(AX180&lt;&gt;"",AX180&lt;&gt;"OK"),"TAN wrong format; ","")&amp;IF(AS180="","PAN missing; ","")&amp;IF(BB180="","Entity type missing; ","")&amp;IF(AND(AZ180&lt;&gt;"",COUNTIF($AZ$6:$AZ$1005,AZ180)&gt;1),"GSTIN repeated in this sheet; ","")&amp;IF(AND(AS180&lt;&gt;"",COUNTIF($AS$6:$AS$1005,AS180)&gt;1),"PAN repeated in this sheet (same client? put extra GSTINs in Other GSTINs); ","")&amp;IF(AND(BD180&gt;0,V180=""),"Financial year missing; ","")&amp;IF(AND(BD180=0,V180&lt;&gt;""),"Financial year given but no service is Yes; ","")&amp;IF(AND(W180="Yes",AZ180=""),"GST needs a GSTIN; ","")&amp;IF(AND(W180="Yes",X180=""),"GST return frequency missing; ","")&amp;IF(AND(Y180="Yes",TRIM(H180)=""),"TDS needs a TAN; ","")&amp;IF(AND(AA180="Yes",BC180&lt;&gt;"",BC180&lt;&gt;"company",BC180&lt;&gt;"llp"),"ROC is only for a company / LLP; ","")&amp;IF(AND(AA180="Yes",OR(BC180="company",BC180="llp"),TRIM(I180)=""),"ROC needs the CIN / LLPIN; ","")&amp;IF((TRIM(AF180)="")&lt;&gt;(TRIM(AG180)=""),"GST login needs both user ID and password; ","")&amp;IF((TRIM(AH180)="")&lt;&gt;(TRIM(AI180)=""),"Income-tax login needs both user ID and password; ","")&amp;IF((TRIM(AJ180)="")&lt;&gt;(TRIM(AK180)=""),"Income-tax login needs both user ID and password; ","")&amp;IF((TRIM(AL180)="")&lt;&gt;(TRIM(AM180)=""),"TRACES login needs both user ID and password; ","")&amp;IF((TRIM(AN180)="")&lt;&gt;(TRIM(AO180)=""),"MCA login needs both user ID and password; ","")&amp;IF((TRIM(AP180)="")&lt;&gt;(TRIM(AQ180)=""),"E-way bill login needs both user ID and password; ","")</f>
        <v/>
      </c>
    </row>
    <row r="181">
      <c r="A181" s="32" t="n"/>
      <c r="B181" s="33" t="n"/>
      <c r="C181" s="33" t="n"/>
      <c r="D181" s="33" t="n"/>
      <c r="E181" s="32" t="n"/>
      <c r="F181" s="32" t="n"/>
      <c r="G181" s="32" t="n"/>
      <c r="H181" s="32" t="n"/>
      <c r="I181" s="32" t="n"/>
      <c r="J181" s="34" t="n"/>
      <c r="K181" s="33" t="n"/>
      <c r="L181" s="32" t="n"/>
      <c r="M181" s="33" t="n"/>
      <c r="N181" s="33" t="n"/>
      <c r="O181" s="33" t="n"/>
      <c r="P181" s="32" t="n"/>
      <c r="Q181" s="33" t="n"/>
      <c r="R181" s="33" t="n"/>
      <c r="S181" s="33" t="n"/>
      <c r="T181" s="33" t="n"/>
      <c r="U181" s="32" t="n"/>
      <c r="V181" s="33" t="n"/>
      <c r="W181" s="33" t="n"/>
      <c r="X181" s="33" t="n"/>
      <c r="Y181" s="33" t="n"/>
      <c r="Z181" s="33" t="n"/>
      <c r="AA181" s="33" t="n"/>
      <c r="AB181" s="33" t="n"/>
      <c r="AC181" s="33" t="n"/>
      <c r="AD181" s="33" t="n"/>
      <c r="AE181" s="33" t="n"/>
      <c r="AF181" s="32" t="n"/>
      <c r="AG181" s="32" t="n"/>
      <c r="AH181" s="32" t="n"/>
      <c r="AI181" s="32" t="n"/>
      <c r="AJ181" s="32" t="n"/>
      <c r="AK181" s="32" t="n"/>
      <c r="AL181" s="32" t="n"/>
      <c r="AM181" s="32" t="n"/>
      <c r="AN181" s="32" t="n"/>
      <c r="AO181" s="32" t="n"/>
      <c r="AP181" s="32" t="n"/>
      <c r="AQ181" s="32" t="n"/>
      <c r="AR181" s="29">
        <f>IF(NOT(COUNTA(A181:AE181)&gt;0),"",IF(A181="","New client","Update"))</f>
        <v/>
      </c>
      <c r="AS181" s="29">
        <f>IF(BA181&lt;&gt;"",BA181,IF(LEN(AZ181)=15,MID(AZ181,3,10),""))</f>
        <v/>
      </c>
      <c r="AT181" s="29">
        <f>IF(BB181="","",BB181&amp;IF(D181="","  (guessed from PAN)",""))</f>
        <v/>
      </c>
      <c r="AU181" s="29">
        <f>IF(AZ181="","",IFERROR(INDEX(Lists!$L$2:$L$38,MATCH(LEFT(AZ181,2),Lists!$K$2:$K$38,0)),"Unknown code"))</f>
        <v/>
      </c>
      <c r="AV181" s="29">
        <f>IF(AZ181="","",IFERROR(IF(NOT(AND(LEN(AZ181)=15,ISNUMBER(MATCH(LEFT(AZ181,2),Lists!$K$2:$K$38,0)),SUMPRODUCT(--ISERROR(FIND(MID(MID(AZ181,3,10),{1,2,3,4,5,10},1),"ABCDEFGHIJKLMNOPQRSTUVWXYZ")))=0,SUMPRODUCT(--ISERROR(FIND(MID(MID(AZ181,3,10),{6,7,8,9},1),"0123456789")))=0,ISNUMBER(FIND(MID(AZ181,13,1),"123456789ABCDEFGHIJKLMNOPQRSTUVWXYZ")),MID(AZ181,14,1)="Z")),"Wrong format",IF(MID("0123456789ABCDEFGHIJKLMNOPQRSTUVWXYZ",MOD(36-MOD(SUMPRODUCT(INT((FIND(MID(AZ181,{1,2,3,4,5,6,7,8,9,10,11,12,13,14},1),"0123456789ABCDEFGHIJKLMNOPQRSTUVWXYZ")-1)*{1,2,1,2,1,2,1,2,1,2,1,2,1,2}/36)+MOD((FIND(MID(AZ181,{1,2,3,4,5,6,7,8,9,10,11,12,13,14},1),"0123456789ABCDEFGHIJKLMNOPQRSTUVWXYZ")-1)*{1,2,1,2,1,2,1,2,1,2,1,2,1,2},36)),36),36)+1,1)=MID(AZ181,15,1),"OK","Typo? check digit wrong")),"Wrong format"))</f>
        <v/>
      </c>
      <c r="AW181" s="29">
        <f>IF(BA181="","",IF(AND(LEN(BA181)=10,SUMPRODUCT(--ISERROR(FIND(MID(BA181,{1,2,3,4,5,10},1),"ABCDEFGHIJKLMNOPQRSTUVWXYZ")))=0,SUMPRODUCT(--ISERROR(FIND(MID(BA181,{6,7,8,9},1),"0123456789")))=0),"OK","Wrong format"))</f>
        <v/>
      </c>
      <c r="AX181" s="29">
        <f>IF(TRIM(H181)="","",IF(AND(LEN(UPPER(TRIM(H181)))=10,SUMPRODUCT(--ISERROR(FIND(MID(UPPER(TRIM(H181)),{1,2,3,4,10},1),"ABCDEFGHIJKLMNOPQRSTUVWXYZ")))=0,SUMPRODUCT(--ISERROR(FIND(MID(UPPER(TRIM(H181)),{5,6,7,8,9},1),"0123456789")))=0),"OK","Wrong format"))</f>
        <v/>
      </c>
      <c r="AY181" s="30">
        <f>IF(NOT(COUNTA(A181:AE181)&gt;0),"",IF(BE181&lt;&gt;"","✖ "&amp;LEFT(BE181,LEN(BE181)-2),IF(BD181&gt;0,"✔ Ready — client + "&amp;BD181&amp;" service(s)","✔ Ready — client only")))</f>
        <v/>
      </c>
      <c r="AZ181" s="31">
        <f>UPPER(SUBSTITUTE(TRIM(F181)," ",""))</f>
        <v/>
      </c>
      <c r="BA181" s="31">
        <f>UPPER(SUBSTITUTE(TRIM(E181)," ",""))</f>
        <v/>
      </c>
      <c r="BB181" s="31">
        <f>IF(D181&lt;&gt;"",D181,IFERROR(VLOOKUP(MID(AS181,4,1),Lists!$E$2:$F$8,2,FALSE),""))</f>
        <v/>
      </c>
      <c r="BC181" s="31">
        <f>IFERROR(VLOOKUP(BB181,Lists!$A$2:$C$12,3,FALSE),"")</f>
        <v/>
      </c>
      <c r="BD181" s="31">
        <f>COUNTIF(W181:AC181,"Yes")</f>
        <v/>
      </c>
      <c r="BE181" s="31">
        <f>IF(TRIM(B181)="","Legal name missing; ","")&amp;IF(AND(AV181&lt;&gt;"",AV181&lt;&gt;"OK"),"GSTIN: "&amp;AV181&amp;"; ","")&amp;IF(AND(AW181&lt;&gt;"",AW181&lt;&gt;"OK"),"PAN wrong format; ","")&amp;IF(AND(BA181&lt;&gt;"",LEN(AZ181)=15,MID(AZ181,3,10)&lt;&gt;BA181),"PAN does not match GSTIN; ","")&amp;IF(AND(AX181&lt;&gt;"",AX181&lt;&gt;"OK"),"TAN wrong format; ","")&amp;IF(AS181="","PAN missing; ","")&amp;IF(BB181="","Entity type missing; ","")&amp;IF(AND(AZ181&lt;&gt;"",COUNTIF($AZ$6:$AZ$1005,AZ181)&gt;1),"GSTIN repeated in this sheet; ","")&amp;IF(AND(AS181&lt;&gt;"",COUNTIF($AS$6:$AS$1005,AS181)&gt;1),"PAN repeated in this sheet (same client? put extra GSTINs in Other GSTINs); ","")&amp;IF(AND(BD181&gt;0,V181=""),"Financial year missing; ","")&amp;IF(AND(BD181=0,V181&lt;&gt;""),"Financial year given but no service is Yes; ","")&amp;IF(AND(W181="Yes",AZ181=""),"GST needs a GSTIN; ","")&amp;IF(AND(W181="Yes",X181=""),"GST return frequency missing; ","")&amp;IF(AND(Y181="Yes",TRIM(H181)=""),"TDS needs a TAN; ","")&amp;IF(AND(AA181="Yes",BC181&lt;&gt;"",BC181&lt;&gt;"company",BC181&lt;&gt;"llp"),"ROC is only for a company / LLP; ","")&amp;IF(AND(AA181="Yes",OR(BC181="company",BC181="llp"),TRIM(I181)=""),"ROC needs the CIN / LLPIN; ","")&amp;IF((TRIM(AF181)="")&lt;&gt;(TRIM(AG181)=""),"GST login needs both user ID and password; ","")&amp;IF((TRIM(AH181)="")&lt;&gt;(TRIM(AI181)=""),"Income-tax login needs both user ID and password; ","")&amp;IF((TRIM(AJ181)="")&lt;&gt;(TRIM(AK181)=""),"Income-tax login needs both user ID and password; ","")&amp;IF((TRIM(AL181)="")&lt;&gt;(TRIM(AM181)=""),"TRACES login needs both user ID and password; ","")&amp;IF((TRIM(AN181)="")&lt;&gt;(TRIM(AO181)=""),"MCA login needs both user ID and password; ","")&amp;IF((TRIM(AP181)="")&lt;&gt;(TRIM(AQ181)=""),"E-way bill login needs both user ID and password; ","")</f>
        <v/>
      </c>
    </row>
    <row r="182">
      <c r="A182" s="32" t="n"/>
      <c r="B182" s="33" t="n"/>
      <c r="C182" s="33" t="n"/>
      <c r="D182" s="33" t="n"/>
      <c r="E182" s="32" t="n"/>
      <c r="F182" s="32" t="n"/>
      <c r="G182" s="32" t="n"/>
      <c r="H182" s="32" t="n"/>
      <c r="I182" s="32" t="n"/>
      <c r="J182" s="34" t="n"/>
      <c r="K182" s="33" t="n"/>
      <c r="L182" s="32" t="n"/>
      <c r="M182" s="33" t="n"/>
      <c r="N182" s="33" t="n"/>
      <c r="O182" s="33" t="n"/>
      <c r="P182" s="32" t="n"/>
      <c r="Q182" s="33" t="n"/>
      <c r="R182" s="33" t="n"/>
      <c r="S182" s="33" t="n"/>
      <c r="T182" s="33" t="n"/>
      <c r="U182" s="32" t="n"/>
      <c r="V182" s="33" t="n"/>
      <c r="W182" s="33" t="n"/>
      <c r="X182" s="33" t="n"/>
      <c r="Y182" s="33" t="n"/>
      <c r="Z182" s="33" t="n"/>
      <c r="AA182" s="33" t="n"/>
      <c r="AB182" s="33" t="n"/>
      <c r="AC182" s="33" t="n"/>
      <c r="AD182" s="33" t="n"/>
      <c r="AE182" s="33" t="n"/>
      <c r="AF182" s="32" t="n"/>
      <c r="AG182" s="32" t="n"/>
      <c r="AH182" s="32" t="n"/>
      <c r="AI182" s="32" t="n"/>
      <c r="AJ182" s="32" t="n"/>
      <c r="AK182" s="32" t="n"/>
      <c r="AL182" s="32" t="n"/>
      <c r="AM182" s="32" t="n"/>
      <c r="AN182" s="32" t="n"/>
      <c r="AO182" s="32" t="n"/>
      <c r="AP182" s="32" t="n"/>
      <c r="AQ182" s="32" t="n"/>
      <c r="AR182" s="29">
        <f>IF(NOT(COUNTA(A182:AE182)&gt;0),"",IF(A182="","New client","Update"))</f>
        <v/>
      </c>
      <c r="AS182" s="29">
        <f>IF(BA182&lt;&gt;"",BA182,IF(LEN(AZ182)=15,MID(AZ182,3,10),""))</f>
        <v/>
      </c>
      <c r="AT182" s="29">
        <f>IF(BB182="","",BB182&amp;IF(D182="","  (guessed from PAN)",""))</f>
        <v/>
      </c>
      <c r="AU182" s="29">
        <f>IF(AZ182="","",IFERROR(INDEX(Lists!$L$2:$L$38,MATCH(LEFT(AZ182,2),Lists!$K$2:$K$38,0)),"Unknown code"))</f>
        <v/>
      </c>
      <c r="AV182" s="29">
        <f>IF(AZ182="","",IFERROR(IF(NOT(AND(LEN(AZ182)=15,ISNUMBER(MATCH(LEFT(AZ182,2),Lists!$K$2:$K$38,0)),SUMPRODUCT(--ISERROR(FIND(MID(MID(AZ182,3,10),{1,2,3,4,5,10},1),"ABCDEFGHIJKLMNOPQRSTUVWXYZ")))=0,SUMPRODUCT(--ISERROR(FIND(MID(MID(AZ182,3,10),{6,7,8,9},1),"0123456789")))=0,ISNUMBER(FIND(MID(AZ182,13,1),"123456789ABCDEFGHIJKLMNOPQRSTUVWXYZ")),MID(AZ182,14,1)="Z")),"Wrong format",IF(MID("0123456789ABCDEFGHIJKLMNOPQRSTUVWXYZ",MOD(36-MOD(SUMPRODUCT(INT((FIND(MID(AZ182,{1,2,3,4,5,6,7,8,9,10,11,12,13,14},1),"0123456789ABCDEFGHIJKLMNOPQRSTUVWXYZ")-1)*{1,2,1,2,1,2,1,2,1,2,1,2,1,2}/36)+MOD((FIND(MID(AZ182,{1,2,3,4,5,6,7,8,9,10,11,12,13,14},1),"0123456789ABCDEFGHIJKLMNOPQRSTUVWXYZ")-1)*{1,2,1,2,1,2,1,2,1,2,1,2,1,2},36)),36),36)+1,1)=MID(AZ182,15,1),"OK","Typo? check digit wrong")),"Wrong format"))</f>
        <v/>
      </c>
      <c r="AW182" s="29">
        <f>IF(BA182="","",IF(AND(LEN(BA182)=10,SUMPRODUCT(--ISERROR(FIND(MID(BA182,{1,2,3,4,5,10},1),"ABCDEFGHIJKLMNOPQRSTUVWXYZ")))=0,SUMPRODUCT(--ISERROR(FIND(MID(BA182,{6,7,8,9},1),"0123456789")))=0),"OK","Wrong format"))</f>
        <v/>
      </c>
      <c r="AX182" s="29">
        <f>IF(TRIM(H182)="","",IF(AND(LEN(UPPER(TRIM(H182)))=10,SUMPRODUCT(--ISERROR(FIND(MID(UPPER(TRIM(H182)),{1,2,3,4,10},1),"ABCDEFGHIJKLMNOPQRSTUVWXYZ")))=0,SUMPRODUCT(--ISERROR(FIND(MID(UPPER(TRIM(H182)),{5,6,7,8,9},1),"0123456789")))=0),"OK","Wrong format"))</f>
        <v/>
      </c>
      <c r="AY182" s="30">
        <f>IF(NOT(COUNTA(A182:AE182)&gt;0),"",IF(BE182&lt;&gt;"","✖ "&amp;LEFT(BE182,LEN(BE182)-2),IF(BD182&gt;0,"✔ Ready — client + "&amp;BD182&amp;" service(s)","✔ Ready — client only")))</f>
        <v/>
      </c>
      <c r="AZ182" s="31">
        <f>UPPER(SUBSTITUTE(TRIM(F182)," ",""))</f>
        <v/>
      </c>
      <c r="BA182" s="31">
        <f>UPPER(SUBSTITUTE(TRIM(E182)," ",""))</f>
        <v/>
      </c>
      <c r="BB182" s="31">
        <f>IF(D182&lt;&gt;"",D182,IFERROR(VLOOKUP(MID(AS182,4,1),Lists!$E$2:$F$8,2,FALSE),""))</f>
        <v/>
      </c>
      <c r="BC182" s="31">
        <f>IFERROR(VLOOKUP(BB182,Lists!$A$2:$C$12,3,FALSE),"")</f>
        <v/>
      </c>
      <c r="BD182" s="31">
        <f>COUNTIF(W182:AC182,"Yes")</f>
        <v/>
      </c>
      <c r="BE182" s="31">
        <f>IF(TRIM(B182)="","Legal name missing; ","")&amp;IF(AND(AV182&lt;&gt;"",AV182&lt;&gt;"OK"),"GSTIN: "&amp;AV182&amp;"; ","")&amp;IF(AND(AW182&lt;&gt;"",AW182&lt;&gt;"OK"),"PAN wrong format; ","")&amp;IF(AND(BA182&lt;&gt;"",LEN(AZ182)=15,MID(AZ182,3,10)&lt;&gt;BA182),"PAN does not match GSTIN; ","")&amp;IF(AND(AX182&lt;&gt;"",AX182&lt;&gt;"OK"),"TAN wrong format; ","")&amp;IF(AS182="","PAN missing; ","")&amp;IF(BB182="","Entity type missing; ","")&amp;IF(AND(AZ182&lt;&gt;"",COUNTIF($AZ$6:$AZ$1005,AZ182)&gt;1),"GSTIN repeated in this sheet; ","")&amp;IF(AND(AS182&lt;&gt;"",COUNTIF($AS$6:$AS$1005,AS182)&gt;1),"PAN repeated in this sheet (same client? put extra GSTINs in Other GSTINs); ","")&amp;IF(AND(BD182&gt;0,V182=""),"Financial year missing; ","")&amp;IF(AND(BD182=0,V182&lt;&gt;""),"Financial year given but no service is Yes; ","")&amp;IF(AND(W182="Yes",AZ182=""),"GST needs a GSTIN; ","")&amp;IF(AND(W182="Yes",X182=""),"GST return frequency missing; ","")&amp;IF(AND(Y182="Yes",TRIM(H182)=""),"TDS needs a TAN; ","")&amp;IF(AND(AA182="Yes",BC182&lt;&gt;"",BC182&lt;&gt;"company",BC182&lt;&gt;"llp"),"ROC is only for a company / LLP; ","")&amp;IF(AND(AA182="Yes",OR(BC182="company",BC182="llp"),TRIM(I182)=""),"ROC needs the CIN / LLPIN; ","")&amp;IF((TRIM(AF182)="")&lt;&gt;(TRIM(AG182)=""),"GST login needs both user ID and password; ","")&amp;IF((TRIM(AH182)="")&lt;&gt;(TRIM(AI182)=""),"Income-tax login needs both user ID and password; ","")&amp;IF((TRIM(AJ182)="")&lt;&gt;(TRIM(AK182)=""),"Income-tax login needs both user ID and password; ","")&amp;IF((TRIM(AL182)="")&lt;&gt;(TRIM(AM182)=""),"TRACES login needs both user ID and password; ","")&amp;IF((TRIM(AN182)="")&lt;&gt;(TRIM(AO182)=""),"MCA login needs both user ID and password; ","")&amp;IF((TRIM(AP182)="")&lt;&gt;(TRIM(AQ182)=""),"E-way bill login needs both user ID and password; ","")</f>
        <v/>
      </c>
    </row>
    <row r="183">
      <c r="A183" s="32" t="n"/>
      <c r="B183" s="33" t="n"/>
      <c r="C183" s="33" t="n"/>
      <c r="D183" s="33" t="n"/>
      <c r="E183" s="32" t="n"/>
      <c r="F183" s="32" t="n"/>
      <c r="G183" s="32" t="n"/>
      <c r="H183" s="32" t="n"/>
      <c r="I183" s="32" t="n"/>
      <c r="J183" s="34" t="n"/>
      <c r="K183" s="33" t="n"/>
      <c r="L183" s="32" t="n"/>
      <c r="M183" s="33" t="n"/>
      <c r="N183" s="33" t="n"/>
      <c r="O183" s="33" t="n"/>
      <c r="P183" s="32" t="n"/>
      <c r="Q183" s="33" t="n"/>
      <c r="R183" s="33" t="n"/>
      <c r="S183" s="33" t="n"/>
      <c r="T183" s="33" t="n"/>
      <c r="U183" s="32" t="n"/>
      <c r="V183" s="33" t="n"/>
      <c r="W183" s="33" t="n"/>
      <c r="X183" s="33" t="n"/>
      <c r="Y183" s="33" t="n"/>
      <c r="Z183" s="33" t="n"/>
      <c r="AA183" s="33" t="n"/>
      <c r="AB183" s="33" t="n"/>
      <c r="AC183" s="33" t="n"/>
      <c r="AD183" s="33" t="n"/>
      <c r="AE183" s="33" t="n"/>
      <c r="AF183" s="32" t="n"/>
      <c r="AG183" s="32" t="n"/>
      <c r="AH183" s="32" t="n"/>
      <c r="AI183" s="32" t="n"/>
      <c r="AJ183" s="32" t="n"/>
      <c r="AK183" s="32" t="n"/>
      <c r="AL183" s="32" t="n"/>
      <c r="AM183" s="32" t="n"/>
      <c r="AN183" s="32" t="n"/>
      <c r="AO183" s="32" t="n"/>
      <c r="AP183" s="32" t="n"/>
      <c r="AQ183" s="32" t="n"/>
      <c r="AR183" s="29">
        <f>IF(NOT(COUNTA(A183:AE183)&gt;0),"",IF(A183="","New client","Update"))</f>
        <v/>
      </c>
      <c r="AS183" s="29">
        <f>IF(BA183&lt;&gt;"",BA183,IF(LEN(AZ183)=15,MID(AZ183,3,10),""))</f>
        <v/>
      </c>
      <c r="AT183" s="29">
        <f>IF(BB183="","",BB183&amp;IF(D183="","  (guessed from PAN)",""))</f>
        <v/>
      </c>
      <c r="AU183" s="29">
        <f>IF(AZ183="","",IFERROR(INDEX(Lists!$L$2:$L$38,MATCH(LEFT(AZ183,2),Lists!$K$2:$K$38,0)),"Unknown code"))</f>
        <v/>
      </c>
      <c r="AV183" s="29">
        <f>IF(AZ183="","",IFERROR(IF(NOT(AND(LEN(AZ183)=15,ISNUMBER(MATCH(LEFT(AZ183,2),Lists!$K$2:$K$38,0)),SUMPRODUCT(--ISERROR(FIND(MID(MID(AZ183,3,10),{1,2,3,4,5,10},1),"ABCDEFGHIJKLMNOPQRSTUVWXYZ")))=0,SUMPRODUCT(--ISERROR(FIND(MID(MID(AZ183,3,10),{6,7,8,9},1),"0123456789")))=0,ISNUMBER(FIND(MID(AZ183,13,1),"123456789ABCDEFGHIJKLMNOPQRSTUVWXYZ")),MID(AZ183,14,1)="Z")),"Wrong format",IF(MID("0123456789ABCDEFGHIJKLMNOPQRSTUVWXYZ",MOD(36-MOD(SUMPRODUCT(INT((FIND(MID(AZ183,{1,2,3,4,5,6,7,8,9,10,11,12,13,14},1),"0123456789ABCDEFGHIJKLMNOPQRSTUVWXYZ")-1)*{1,2,1,2,1,2,1,2,1,2,1,2,1,2}/36)+MOD((FIND(MID(AZ183,{1,2,3,4,5,6,7,8,9,10,11,12,13,14},1),"0123456789ABCDEFGHIJKLMNOPQRSTUVWXYZ")-1)*{1,2,1,2,1,2,1,2,1,2,1,2,1,2},36)),36),36)+1,1)=MID(AZ183,15,1),"OK","Typo? check digit wrong")),"Wrong format"))</f>
        <v/>
      </c>
      <c r="AW183" s="29">
        <f>IF(BA183="","",IF(AND(LEN(BA183)=10,SUMPRODUCT(--ISERROR(FIND(MID(BA183,{1,2,3,4,5,10},1),"ABCDEFGHIJKLMNOPQRSTUVWXYZ")))=0,SUMPRODUCT(--ISERROR(FIND(MID(BA183,{6,7,8,9},1),"0123456789")))=0),"OK","Wrong format"))</f>
        <v/>
      </c>
      <c r="AX183" s="29">
        <f>IF(TRIM(H183)="","",IF(AND(LEN(UPPER(TRIM(H183)))=10,SUMPRODUCT(--ISERROR(FIND(MID(UPPER(TRIM(H183)),{1,2,3,4,10},1),"ABCDEFGHIJKLMNOPQRSTUVWXYZ")))=0,SUMPRODUCT(--ISERROR(FIND(MID(UPPER(TRIM(H183)),{5,6,7,8,9},1),"0123456789")))=0),"OK","Wrong format"))</f>
        <v/>
      </c>
      <c r="AY183" s="30">
        <f>IF(NOT(COUNTA(A183:AE183)&gt;0),"",IF(BE183&lt;&gt;"","✖ "&amp;LEFT(BE183,LEN(BE183)-2),IF(BD183&gt;0,"✔ Ready — client + "&amp;BD183&amp;" service(s)","✔ Ready — client only")))</f>
        <v/>
      </c>
      <c r="AZ183" s="31">
        <f>UPPER(SUBSTITUTE(TRIM(F183)," ",""))</f>
        <v/>
      </c>
      <c r="BA183" s="31">
        <f>UPPER(SUBSTITUTE(TRIM(E183)," ",""))</f>
        <v/>
      </c>
      <c r="BB183" s="31">
        <f>IF(D183&lt;&gt;"",D183,IFERROR(VLOOKUP(MID(AS183,4,1),Lists!$E$2:$F$8,2,FALSE),""))</f>
        <v/>
      </c>
      <c r="BC183" s="31">
        <f>IFERROR(VLOOKUP(BB183,Lists!$A$2:$C$12,3,FALSE),"")</f>
        <v/>
      </c>
      <c r="BD183" s="31">
        <f>COUNTIF(W183:AC183,"Yes")</f>
        <v/>
      </c>
      <c r="BE183" s="31">
        <f>IF(TRIM(B183)="","Legal name missing; ","")&amp;IF(AND(AV183&lt;&gt;"",AV183&lt;&gt;"OK"),"GSTIN: "&amp;AV183&amp;"; ","")&amp;IF(AND(AW183&lt;&gt;"",AW183&lt;&gt;"OK"),"PAN wrong format; ","")&amp;IF(AND(BA183&lt;&gt;"",LEN(AZ183)=15,MID(AZ183,3,10)&lt;&gt;BA183),"PAN does not match GSTIN; ","")&amp;IF(AND(AX183&lt;&gt;"",AX183&lt;&gt;"OK"),"TAN wrong format; ","")&amp;IF(AS183="","PAN missing; ","")&amp;IF(BB183="","Entity type missing; ","")&amp;IF(AND(AZ183&lt;&gt;"",COUNTIF($AZ$6:$AZ$1005,AZ183)&gt;1),"GSTIN repeated in this sheet; ","")&amp;IF(AND(AS183&lt;&gt;"",COUNTIF($AS$6:$AS$1005,AS183)&gt;1),"PAN repeated in this sheet (same client? put extra GSTINs in Other GSTINs); ","")&amp;IF(AND(BD183&gt;0,V183=""),"Financial year missing; ","")&amp;IF(AND(BD183=0,V183&lt;&gt;""),"Financial year given but no service is Yes; ","")&amp;IF(AND(W183="Yes",AZ183=""),"GST needs a GSTIN; ","")&amp;IF(AND(W183="Yes",X183=""),"GST return frequency missing; ","")&amp;IF(AND(Y183="Yes",TRIM(H183)=""),"TDS needs a TAN; ","")&amp;IF(AND(AA183="Yes",BC183&lt;&gt;"",BC183&lt;&gt;"company",BC183&lt;&gt;"llp"),"ROC is only for a company / LLP; ","")&amp;IF(AND(AA183="Yes",OR(BC183="company",BC183="llp"),TRIM(I183)=""),"ROC needs the CIN / LLPIN; ","")&amp;IF((TRIM(AF183)="")&lt;&gt;(TRIM(AG183)=""),"GST login needs both user ID and password; ","")&amp;IF((TRIM(AH183)="")&lt;&gt;(TRIM(AI183)=""),"Income-tax login needs both user ID and password; ","")&amp;IF((TRIM(AJ183)="")&lt;&gt;(TRIM(AK183)=""),"Income-tax login needs both user ID and password; ","")&amp;IF((TRIM(AL183)="")&lt;&gt;(TRIM(AM183)=""),"TRACES login needs both user ID and password; ","")&amp;IF((TRIM(AN183)="")&lt;&gt;(TRIM(AO183)=""),"MCA login needs both user ID and password; ","")&amp;IF((TRIM(AP183)="")&lt;&gt;(TRIM(AQ183)=""),"E-way bill login needs both user ID and password; ","")</f>
        <v/>
      </c>
    </row>
    <row r="184">
      <c r="A184" s="32" t="n"/>
      <c r="B184" s="33" t="n"/>
      <c r="C184" s="33" t="n"/>
      <c r="D184" s="33" t="n"/>
      <c r="E184" s="32" t="n"/>
      <c r="F184" s="32" t="n"/>
      <c r="G184" s="32" t="n"/>
      <c r="H184" s="32" t="n"/>
      <c r="I184" s="32" t="n"/>
      <c r="J184" s="34" t="n"/>
      <c r="K184" s="33" t="n"/>
      <c r="L184" s="32" t="n"/>
      <c r="M184" s="33" t="n"/>
      <c r="N184" s="33" t="n"/>
      <c r="O184" s="33" t="n"/>
      <c r="P184" s="32" t="n"/>
      <c r="Q184" s="33" t="n"/>
      <c r="R184" s="33" t="n"/>
      <c r="S184" s="33" t="n"/>
      <c r="T184" s="33" t="n"/>
      <c r="U184" s="32" t="n"/>
      <c r="V184" s="33" t="n"/>
      <c r="W184" s="33" t="n"/>
      <c r="X184" s="33" t="n"/>
      <c r="Y184" s="33" t="n"/>
      <c r="Z184" s="33" t="n"/>
      <c r="AA184" s="33" t="n"/>
      <c r="AB184" s="33" t="n"/>
      <c r="AC184" s="33" t="n"/>
      <c r="AD184" s="33" t="n"/>
      <c r="AE184" s="33" t="n"/>
      <c r="AF184" s="32" t="n"/>
      <c r="AG184" s="32" t="n"/>
      <c r="AH184" s="32" t="n"/>
      <c r="AI184" s="32" t="n"/>
      <c r="AJ184" s="32" t="n"/>
      <c r="AK184" s="32" t="n"/>
      <c r="AL184" s="32" t="n"/>
      <c r="AM184" s="32" t="n"/>
      <c r="AN184" s="32" t="n"/>
      <c r="AO184" s="32" t="n"/>
      <c r="AP184" s="32" t="n"/>
      <c r="AQ184" s="32" t="n"/>
      <c r="AR184" s="29">
        <f>IF(NOT(COUNTA(A184:AE184)&gt;0),"",IF(A184="","New client","Update"))</f>
        <v/>
      </c>
      <c r="AS184" s="29">
        <f>IF(BA184&lt;&gt;"",BA184,IF(LEN(AZ184)=15,MID(AZ184,3,10),""))</f>
        <v/>
      </c>
      <c r="AT184" s="29">
        <f>IF(BB184="","",BB184&amp;IF(D184="","  (guessed from PAN)",""))</f>
        <v/>
      </c>
      <c r="AU184" s="29">
        <f>IF(AZ184="","",IFERROR(INDEX(Lists!$L$2:$L$38,MATCH(LEFT(AZ184,2),Lists!$K$2:$K$38,0)),"Unknown code"))</f>
        <v/>
      </c>
      <c r="AV184" s="29">
        <f>IF(AZ184="","",IFERROR(IF(NOT(AND(LEN(AZ184)=15,ISNUMBER(MATCH(LEFT(AZ184,2),Lists!$K$2:$K$38,0)),SUMPRODUCT(--ISERROR(FIND(MID(MID(AZ184,3,10),{1,2,3,4,5,10},1),"ABCDEFGHIJKLMNOPQRSTUVWXYZ")))=0,SUMPRODUCT(--ISERROR(FIND(MID(MID(AZ184,3,10),{6,7,8,9},1),"0123456789")))=0,ISNUMBER(FIND(MID(AZ184,13,1),"123456789ABCDEFGHIJKLMNOPQRSTUVWXYZ")),MID(AZ184,14,1)="Z")),"Wrong format",IF(MID("0123456789ABCDEFGHIJKLMNOPQRSTUVWXYZ",MOD(36-MOD(SUMPRODUCT(INT((FIND(MID(AZ184,{1,2,3,4,5,6,7,8,9,10,11,12,13,14},1),"0123456789ABCDEFGHIJKLMNOPQRSTUVWXYZ")-1)*{1,2,1,2,1,2,1,2,1,2,1,2,1,2}/36)+MOD((FIND(MID(AZ184,{1,2,3,4,5,6,7,8,9,10,11,12,13,14},1),"0123456789ABCDEFGHIJKLMNOPQRSTUVWXYZ")-1)*{1,2,1,2,1,2,1,2,1,2,1,2,1,2},36)),36),36)+1,1)=MID(AZ184,15,1),"OK","Typo? check digit wrong")),"Wrong format"))</f>
        <v/>
      </c>
      <c r="AW184" s="29">
        <f>IF(BA184="","",IF(AND(LEN(BA184)=10,SUMPRODUCT(--ISERROR(FIND(MID(BA184,{1,2,3,4,5,10},1),"ABCDEFGHIJKLMNOPQRSTUVWXYZ")))=0,SUMPRODUCT(--ISERROR(FIND(MID(BA184,{6,7,8,9},1),"0123456789")))=0),"OK","Wrong format"))</f>
        <v/>
      </c>
      <c r="AX184" s="29">
        <f>IF(TRIM(H184)="","",IF(AND(LEN(UPPER(TRIM(H184)))=10,SUMPRODUCT(--ISERROR(FIND(MID(UPPER(TRIM(H184)),{1,2,3,4,10},1),"ABCDEFGHIJKLMNOPQRSTUVWXYZ")))=0,SUMPRODUCT(--ISERROR(FIND(MID(UPPER(TRIM(H184)),{5,6,7,8,9},1),"0123456789")))=0),"OK","Wrong format"))</f>
        <v/>
      </c>
      <c r="AY184" s="30">
        <f>IF(NOT(COUNTA(A184:AE184)&gt;0),"",IF(BE184&lt;&gt;"","✖ "&amp;LEFT(BE184,LEN(BE184)-2),IF(BD184&gt;0,"✔ Ready — client + "&amp;BD184&amp;" service(s)","✔ Ready — client only")))</f>
        <v/>
      </c>
      <c r="AZ184" s="31">
        <f>UPPER(SUBSTITUTE(TRIM(F184)," ",""))</f>
        <v/>
      </c>
      <c r="BA184" s="31">
        <f>UPPER(SUBSTITUTE(TRIM(E184)," ",""))</f>
        <v/>
      </c>
      <c r="BB184" s="31">
        <f>IF(D184&lt;&gt;"",D184,IFERROR(VLOOKUP(MID(AS184,4,1),Lists!$E$2:$F$8,2,FALSE),""))</f>
        <v/>
      </c>
      <c r="BC184" s="31">
        <f>IFERROR(VLOOKUP(BB184,Lists!$A$2:$C$12,3,FALSE),"")</f>
        <v/>
      </c>
      <c r="BD184" s="31">
        <f>COUNTIF(W184:AC184,"Yes")</f>
        <v/>
      </c>
      <c r="BE184" s="31">
        <f>IF(TRIM(B184)="","Legal name missing; ","")&amp;IF(AND(AV184&lt;&gt;"",AV184&lt;&gt;"OK"),"GSTIN: "&amp;AV184&amp;"; ","")&amp;IF(AND(AW184&lt;&gt;"",AW184&lt;&gt;"OK"),"PAN wrong format; ","")&amp;IF(AND(BA184&lt;&gt;"",LEN(AZ184)=15,MID(AZ184,3,10)&lt;&gt;BA184),"PAN does not match GSTIN; ","")&amp;IF(AND(AX184&lt;&gt;"",AX184&lt;&gt;"OK"),"TAN wrong format; ","")&amp;IF(AS184="","PAN missing; ","")&amp;IF(BB184="","Entity type missing; ","")&amp;IF(AND(AZ184&lt;&gt;"",COUNTIF($AZ$6:$AZ$1005,AZ184)&gt;1),"GSTIN repeated in this sheet; ","")&amp;IF(AND(AS184&lt;&gt;"",COUNTIF($AS$6:$AS$1005,AS184)&gt;1),"PAN repeated in this sheet (same client? put extra GSTINs in Other GSTINs); ","")&amp;IF(AND(BD184&gt;0,V184=""),"Financial year missing; ","")&amp;IF(AND(BD184=0,V184&lt;&gt;""),"Financial year given but no service is Yes; ","")&amp;IF(AND(W184="Yes",AZ184=""),"GST needs a GSTIN; ","")&amp;IF(AND(W184="Yes",X184=""),"GST return frequency missing; ","")&amp;IF(AND(Y184="Yes",TRIM(H184)=""),"TDS needs a TAN; ","")&amp;IF(AND(AA184="Yes",BC184&lt;&gt;"",BC184&lt;&gt;"company",BC184&lt;&gt;"llp"),"ROC is only for a company / LLP; ","")&amp;IF(AND(AA184="Yes",OR(BC184="company",BC184="llp"),TRIM(I184)=""),"ROC needs the CIN / LLPIN; ","")&amp;IF((TRIM(AF184)="")&lt;&gt;(TRIM(AG184)=""),"GST login needs both user ID and password; ","")&amp;IF((TRIM(AH184)="")&lt;&gt;(TRIM(AI184)=""),"Income-tax login needs both user ID and password; ","")&amp;IF((TRIM(AJ184)="")&lt;&gt;(TRIM(AK184)=""),"Income-tax login needs both user ID and password; ","")&amp;IF((TRIM(AL184)="")&lt;&gt;(TRIM(AM184)=""),"TRACES login needs both user ID and password; ","")&amp;IF((TRIM(AN184)="")&lt;&gt;(TRIM(AO184)=""),"MCA login needs both user ID and password; ","")&amp;IF((TRIM(AP184)="")&lt;&gt;(TRIM(AQ184)=""),"E-way bill login needs both user ID and password; ","")</f>
        <v/>
      </c>
    </row>
    <row r="185">
      <c r="A185" s="32" t="n"/>
      <c r="B185" s="33" t="n"/>
      <c r="C185" s="33" t="n"/>
      <c r="D185" s="33" t="n"/>
      <c r="E185" s="32" t="n"/>
      <c r="F185" s="32" t="n"/>
      <c r="G185" s="32" t="n"/>
      <c r="H185" s="32" t="n"/>
      <c r="I185" s="32" t="n"/>
      <c r="J185" s="34" t="n"/>
      <c r="K185" s="33" t="n"/>
      <c r="L185" s="32" t="n"/>
      <c r="M185" s="33" t="n"/>
      <c r="N185" s="33" t="n"/>
      <c r="O185" s="33" t="n"/>
      <c r="P185" s="32" t="n"/>
      <c r="Q185" s="33" t="n"/>
      <c r="R185" s="33" t="n"/>
      <c r="S185" s="33" t="n"/>
      <c r="T185" s="33" t="n"/>
      <c r="U185" s="32" t="n"/>
      <c r="V185" s="33" t="n"/>
      <c r="W185" s="33" t="n"/>
      <c r="X185" s="33" t="n"/>
      <c r="Y185" s="33" t="n"/>
      <c r="Z185" s="33" t="n"/>
      <c r="AA185" s="33" t="n"/>
      <c r="AB185" s="33" t="n"/>
      <c r="AC185" s="33" t="n"/>
      <c r="AD185" s="33" t="n"/>
      <c r="AE185" s="33" t="n"/>
      <c r="AF185" s="32" t="n"/>
      <c r="AG185" s="32" t="n"/>
      <c r="AH185" s="32" t="n"/>
      <c r="AI185" s="32" t="n"/>
      <c r="AJ185" s="32" t="n"/>
      <c r="AK185" s="32" t="n"/>
      <c r="AL185" s="32" t="n"/>
      <c r="AM185" s="32" t="n"/>
      <c r="AN185" s="32" t="n"/>
      <c r="AO185" s="32" t="n"/>
      <c r="AP185" s="32" t="n"/>
      <c r="AQ185" s="32" t="n"/>
      <c r="AR185" s="29">
        <f>IF(NOT(COUNTA(A185:AE185)&gt;0),"",IF(A185="","New client","Update"))</f>
        <v/>
      </c>
      <c r="AS185" s="29">
        <f>IF(BA185&lt;&gt;"",BA185,IF(LEN(AZ185)=15,MID(AZ185,3,10),""))</f>
        <v/>
      </c>
      <c r="AT185" s="29">
        <f>IF(BB185="","",BB185&amp;IF(D185="","  (guessed from PAN)",""))</f>
        <v/>
      </c>
      <c r="AU185" s="29">
        <f>IF(AZ185="","",IFERROR(INDEX(Lists!$L$2:$L$38,MATCH(LEFT(AZ185,2),Lists!$K$2:$K$38,0)),"Unknown code"))</f>
        <v/>
      </c>
      <c r="AV185" s="29">
        <f>IF(AZ185="","",IFERROR(IF(NOT(AND(LEN(AZ185)=15,ISNUMBER(MATCH(LEFT(AZ185,2),Lists!$K$2:$K$38,0)),SUMPRODUCT(--ISERROR(FIND(MID(MID(AZ185,3,10),{1,2,3,4,5,10},1),"ABCDEFGHIJKLMNOPQRSTUVWXYZ")))=0,SUMPRODUCT(--ISERROR(FIND(MID(MID(AZ185,3,10),{6,7,8,9},1),"0123456789")))=0,ISNUMBER(FIND(MID(AZ185,13,1),"123456789ABCDEFGHIJKLMNOPQRSTUVWXYZ")),MID(AZ185,14,1)="Z")),"Wrong format",IF(MID("0123456789ABCDEFGHIJKLMNOPQRSTUVWXYZ",MOD(36-MOD(SUMPRODUCT(INT((FIND(MID(AZ185,{1,2,3,4,5,6,7,8,9,10,11,12,13,14},1),"0123456789ABCDEFGHIJKLMNOPQRSTUVWXYZ")-1)*{1,2,1,2,1,2,1,2,1,2,1,2,1,2}/36)+MOD((FIND(MID(AZ185,{1,2,3,4,5,6,7,8,9,10,11,12,13,14},1),"0123456789ABCDEFGHIJKLMNOPQRSTUVWXYZ")-1)*{1,2,1,2,1,2,1,2,1,2,1,2,1,2},36)),36),36)+1,1)=MID(AZ185,15,1),"OK","Typo? check digit wrong")),"Wrong format"))</f>
        <v/>
      </c>
      <c r="AW185" s="29">
        <f>IF(BA185="","",IF(AND(LEN(BA185)=10,SUMPRODUCT(--ISERROR(FIND(MID(BA185,{1,2,3,4,5,10},1),"ABCDEFGHIJKLMNOPQRSTUVWXYZ")))=0,SUMPRODUCT(--ISERROR(FIND(MID(BA185,{6,7,8,9},1),"0123456789")))=0),"OK","Wrong format"))</f>
        <v/>
      </c>
      <c r="AX185" s="29">
        <f>IF(TRIM(H185)="","",IF(AND(LEN(UPPER(TRIM(H185)))=10,SUMPRODUCT(--ISERROR(FIND(MID(UPPER(TRIM(H185)),{1,2,3,4,10},1),"ABCDEFGHIJKLMNOPQRSTUVWXYZ")))=0,SUMPRODUCT(--ISERROR(FIND(MID(UPPER(TRIM(H185)),{5,6,7,8,9},1),"0123456789")))=0),"OK","Wrong format"))</f>
        <v/>
      </c>
      <c r="AY185" s="30">
        <f>IF(NOT(COUNTA(A185:AE185)&gt;0),"",IF(BE185&lt;&gt;"","✖ "&amp;LEFT(BE185,LEN(BE185)-2),IF(BD185&gt;0,"✔ Ready — client + "&amp;BD185&amp;" service(s)","✔ Ready — client only")))</f>
        <v/>
      </c>
      <c r="AZ185" s="31">
        <f>UPPER(SUBSTITUTE(TRIM(F185)," ",""))</f>
        <v/>
      </c>
      <c r="BA185" s="31">
        <f>UPPER(SUBSTITUTE(TRIM(E185)," ",""))</f>
        <v/>
      </c>
      <c r="BB185" s="31">
        <f>IF(D185&lt;&gt;"",D185,IFERROR(VLOOKUP(MID(AS185,4,1),Lists!$E$2:$F$8,2,FALSE),""))</f>
        <v/>
      </c>
      <c r="BC185" s="31">
        <f>IFERROR(VLOOKUP(BB185,Lists!$A$2:$C$12,3,FALSE),"")</f>
        <v/>
      </c>
      <c r="BD185" s="31">
        <f>COUNTIF(W185:AC185,"Yes")</f>
        <v/>
      </c>
      <c r="BE185" s="31">
        <f>IF(TRIM(B185)="","Legal name missing; ","")&amp;IF(AND(AV185&lt;&gt;"",AV185&lt;&gt;"OK"),"GSTIN: "&amp;AV185&amp;"; ","")&amp;IF(AND(AW185&lt;&gt;"",AW185&lt;&gt;"OK"),"PAN wrong format; ","")&amp;IF(AND(BA185&lt;&gt;"",LEN(AZ185)=15,MID(AZ185,3,10)&lt;&gt;BA185),"PAN does not match GSTIN; ","")&amp;IF(AND(AX185&lt;&gt;"",AX185&lt;&gt;"OK"),"TAN wrong format; ","")&amp;IF(AS185="","PAN missing; ","")&amp;IF(BB185="","Entity type missing; ","")&amp;IF(AND(AZ185&lt;&gt;"",COUNTIF($AZ$6:$AZ$1005,AZ185)&gt;1),"GSTIN repeated in this sheet; ","")&amp;IF(AND(AS185&lt;&gt;"",COUNTIF($AS$6:$AS$1005,AS185)&gt;1),"PAN repeated in this sheet (same client? put extra GSTINs in Other GSTINs); ","")&amp;IF(AND(BD185&gt;0,V185=""),"Financial year missing; ","")&amp;IF(AND(BD185=0,V185&lt;&gt;""),"Financial year given but no service is Yes; ","")&amp;IF(AND(W185="Yes",AZ185=""),"GST needs a GSTIN; ","")&amp;IF(AND(W185="Yes",X185=""),"GST return frequency missing; ","")&amp;IF(AND(Y185="Yes",TRIM(H185)=""),"TDS needs a TAN; ","")&amp;IF(AND(AA185="Yes",BC185&lt;&gt;"",BC185&lt;&gt;"company",BC185&lt;&gt;"llp"),"ROC is only for a company / LLP; ","")&amp;IF(AND(AA185="Yes",OR(BC185="company",BC185="llp"),TRIM(I185)=""),"ROC needs the CIN / LLPIN; ","")&amp;IF((TRIM(AF185)="")&lt;&gt;(TRIM(AG185)=""),"GST login needs both user ID and password; ","")&amp;IF((TRIM(AH185)="")&lt;&gt;(TRIM(AI185)=""),"Income-tax login needs both user ID and password; ","")&amp;IF((TRIM(AJ185)="")&lt;&gt;(TRIM(AK185)=""),"Income-tax login needs both user ID and password; ","")&amp;IF((TRIM(AL185)="")&lt;&gt;(TRIM(AM185)=""),"TRACES login needs both user ID and password; ","")&amp;IF((TRIM(AN185)="")&lt;&gt;(TRIM(AO185)=""),"MCA login needs both user ID and password; ","")&amp;IF((TRIM(AP185)="")&lt;&gt;(TRIM(AQ185)=""),"E-way bill login needs both user ID and password; ","")</f>
        <v/>
      </c>
    </row>
    <row r="186">
      <c r="A186" s="32" t="n"/>
      <c r="B186" s="33" t="n"/>
      <c r="C186" s="33" t="n"/>
      <c r="D186" s="33" t="n"/>
      <c r="E186" s="32" t="n"/>
      <c r="F186" s="32" t="n"/>
      <c r="G186" s="32" t="n"/>
      <c r="H186" s="32" t="n"/>
      <c r="I186" s="32" t="n"/>
      <c r="J186" s="34" t="n"/>
      <c r="K186" s="33" t="n"/>
      <c r="L186" s="32" t="n"/>
      <c r="M186" s="33" t="n"/>
      <c r="N186" s="33" t="n"/>
      <c r="O186" s="33" t="n"/>
      <c r="P186" s="32" t="n"/>
      <c r="Q186" s="33" t="n"/>
      <c r="R186" s="33" t="n"/>
      <c r="S186" s="33" t="n"/>
      <c r="T186" s="33" t="n"/>
      <c r="U186" s="32" t="n"/>
      <c r="V186" s="33" t="n"/>
      <c r="W186" s="33" t="n"/>
      <c r="X186" s="33" t="n"/>
      <c r="Y186" s="33" t="n"/>
      <c r="Z186" s="33" t="n"/>
      <c r="AA186" s="33" t="n"/>
      <c r="AB186" s="33" t="n"/>
      <c r="AC186" s="33" t="n"/>
      <c r="AD186" s="33" t="n"/>
      <c r="AE186" s="33" t="n"/>
      <c r="AF186" s="32" t="n"/>
      <c r="AG186" s="32" t="n"/>
      <c r="AH186" s="32" t="n"/>
      <c r="AI186" s="32" t="n"/>
      <c r="AJ186" s="32" t="n"/>
      <c r="AK186" s="32" t="n"/>
      <c r="AL186" s="32" t="n"/>
      <c r="AM186" s="32" t="n"/>
      <c r="AN186" s="32" t="n"/>
      <c r="AO186" s="32" t="n"/>
      <c r="AP186" s="32" t="n"/>
      <c r="AQ186" s="32" t="n"/>
      <c r="AR186" s="29">
        <f>IF(NOT(COUNTA(A186:AE186)&gt;0),"",IF(A186="","New client","Update"))</f>
        <v/>
      </c>
      <c r="AS186" s="29">
        <f>IF(BA186&lt;&gt;"",BA186,IF(LEN(AZ186)=15,MID(AZ186,3,10),""))</f>
        <v/>
      </c>
      <c r="AT186" s="29">
        <f>IF(BB186="","",BB186&amp;IF(D186="","  (guessed from PAN)",""))</f>
        <v/>
      </c>
      <c r="AU186" s="29">
        <f>IF(AZ186="","",IFERROR(INDEX(Lists!$L$2:$L$38,MATCH(LEFT(AZ186,2),Lists!$K$2:$K$38,0)),"Unknown code"))</f>
        <v/>
      </c>
      <c r="AV186" s="29">
        <f>IF(AZ186="","",IFERROR(IF(NOT(AND(LEN(AZ186)=15,ISNUMBER(MATCH(LEFT(AZ186,2),Lists!$K$2:$K$38,0)),SUMPRODUCT(--ISERROR(FIND(MID(MID(AZ186,3,10),{1,2,3,4,5,10},1),"ABCDEFGHIJKLMNOPQRSTUVWXYZ")))=0,SUMPRODUCT(--ISERROR(FIND(MID(MID(AZ186,3,10),{6,7,8,9},1),"0123456789")))=0,ISNUMBER(FIND(MID(AZ186,13,1),"123456789ABCDEFGHIJKLMNOPQRSTUVWXYZ")),MID(AZ186,14,1)="Z")),"Wrong format",IF(MID("0123456789ABCDEFGHIJKLMNOPQRSTUVWXYZ",MOD(36-MOD(SUMPRODUCT(INT((FIND(MID(AZ186,{1,2,3,4,5,6,7,8,9,10,11,12,13,14},1),"0123456789ABCDEFGHIJKLMNOPQRSTUVWXYZ")-1)*{1,2,1,2,1,2,1,2,1,2,1,2,1,2}/36)+MOD((FIND(MID(AZ186,{1,2,3,4,5,6,7,8,9,10,11,12,13,14},1),"0123456789ABCDEFGHIJKLMNOPQRSTUVWXYZ")-1)*{1,2,1,2,1,2,1,2,1,2,1,2,1,2},36)),36),36)+1,1)=MID(AZ186,15,1),"OK","Typo? check digit wrong")),"Wrong format"))</f>
        <v/>
      </c>
      <c r="AW186" s="29">
        <f>IF(BA186="","",IF(AND(LEN(BA186)=10,SUMPRODUCT(--ISERROR(FIND(MID(BA186,{1,2,3,4,5,10},1),"ABCDEFGHIJKLMNOPQRSTUVWXYZ")))=0,SUMPRODUCT(--ISERROR(FIND(MID(BA186,{6,7,8,9},1),"0123456789")))=0),"OK","Wrong format"))</f>
        <v/>
      </c>
      <c r="AX186" s="29">
        <f>IF(TRIM(H186)="","",IF(AND(LEN(UPPER(TRIM(H186)))=10,SUMPRODUCT(--ISERROR(FIND(MID(UPPER(TRIM(H186)),{1,2,3,4,10},1),"ABCDEFGHIJKLMNOPQRSTUVWXYZ")))=0,SUMPRODUCT(--ISERROR(FIND(MID(UPPER(TRIM(H186)),{5,6,7,8,9},1),"0123456789")))=0),"OK","Wrong format"))</f>
        <v/>
      </c>
      <c r="AY186" s="30">
        <f>IF(NOT(COUNTA(A186:AE186)&gt;0),"",IF(BE186&lt;&gt;"","✖ "&amp;LEFT(BE186,LEN(BE186)-2),IF(BD186&gt;0,"✔ Ready — client + "&amp;BD186&amp;" service(s)","✔ Ready — client only")))</f>
        <v/>
      </c>
      <c r="AZ186" s="31">
        <f>UPPER(SUBSTITUTE(TRIM(F186)," ",""))</f>
        <v/>
      </c>
      <c r="BA186" s="31">
        <f>UPPER(SUBSTITUTE(TRIM(E186)," ",""))</f>
        <v/>
      </c>
      <c r="BB186" s="31">
        <f>IF(D186&lt;&gt;"",D186,IFERROR(VLOOKUP(MID(AS186,4,1),Lists!$E$2:$F$8,2,FALSE),""))</f>
        <v/>
      </c>
      <c r="BC186" s="31">
        <f>IFERROR(VLOOKUP(BB186,Lists!$A$2:$C$12,3,FALSE),"")</f>
        <v/>
      </c>
      <c r="BD186" s="31">
        <f>COUNTIF(W186:AC186,"Yes")</f>
        <v/>
      </c>
      <c r="BE186" s="31">
        <f>IF(TRIM(B186)="","Legal name missing; ","")&amp;IF(AND(AV186&lt;&gt;"",AV186&lt;&gt;"OK"),"GSTIN: "&amp;AV186&amp;"; ","")&amp;IF(AND(AW186&lt;&gt;"",AW186&lt;&gt;"OK"),"PAN wrong format; ","")&amp;IF(AND(BA186&lt;&gt;"",LEN(AZ186)=15,MID(AZ186,3,10)&lt;&gt;BA186),"PAN does not match GSTIN; ","")&amp;IF(AND(AX186&lt;&gt;"",AX186&lt;&gt;"OK"),"TAN wrong format; ","")&amp;IF(AS186="","PAN missing; ","")&amp;IF(BB186="","Entity type missing; ","")&amp;IF(AND(AZ186&lt;&gt;"",COUNTIF($AZ$6:$AZ$1005,AZ186)&gt;1),"GSTIN repeated in this sheet; ","")&amp;IF(AND(AS186&lt;&gt;"",COUNTIF($AS$6:$AS$1005,AS186)&gt;1),"PAN repeated in this sheet (same client? put extra GSTINs in Other GSTINs); ","")&amp;IF(AND(BD186&gt;0,V186=""),"Financial year missing; ","")&amp;IF(AND(BD186=0,V186&lt;&gt;""),"Financial year given but no service is Yes; ","")&amp;IF(AND(W186="Yes",AZ186=""),"GST needs a GSTIN; ","")&amp;IF(AND(W186="Yes",X186=""),"GST return frequency missing; ","")&amp;IF(AND(Y186="Yes",TRIM(H186)=""),"TDS needs a TAN; ","")&amp;IF(AND(AA186="Yes",BC186&lt;&gt;"",BC186&lt;&gt;"company",BC186&lt;&gt;"llp"),"ROC is only for a company / LLP; ","")&amp;IF(AND(AA186="Yes",OR(BC186="company",BC186="llp"),TRIM(I186)=""),"ROC needs the CIN / LLPIN; ","")&amp;IF((TRIM(AF186)="")&lt;&gt;(TRIM(AG186)=""),"GST login needs both user ID and password; ","")&amp;IF((TRIM(AH186)="")&lt;&gt;(TRIM(AI186)=""),"Income-tax login needs both user ID and password; ","")&amp;IF((TRIM(AJ186)="")&lt;&gt;(TRIM(AK186)=""),"Income-tax login needs both user ID and password; ","")&amp;IF((TRIM(AL186)="")&lt;&gt;(TRIM(AM186)=""),"TRACES login needs both user ID and password; ","")&amp;IF((TRIM(AN186)="")&lt;&gt;(TRIM(AO186)=""),"MCA login needs both user ID and password; ","")&amp;IF((TRIM(AP186)="")&lt;&gt;(TRIM(AQ186)=""),"E-way bill login needs both user ID and password; ","")</f>
        <v/>
      </c>
    </row>
    <row r="187">
      <c r="A187" s="32" t="n"/>
      <c r="B187" s="33" t="n"/>
      <c r="C187" s="33" t="n"/>
      <c r="D187" s="33" t="n"/>
      <c r="E187" s="32" t="n"/>
      <c r="F187" s="32" t="n"/>
      <c r="G187" s="32" t="n"/>
      <c r="H187" s="32" t="n"/>
      <c r="I187" s="32" t="n"/>
      <c r="J187" s="34" t="n"/>
      <c r="K187" s="33" t="n"/>
      <c r="L187" s="32" t="n"/>
      <c r="M187" s="33" t="n"/>
      <c r="N187" s="33" t="n"/>
      <c r="O187" s="33" t="n"/>
      <c r="P187" s="32" t="n"/>
      <c r="Q187" s="33" t="n"/>
      <c r="R187" s="33" t="n"/>
      <c r="S187" s="33" t="n"/>
      <c r="T187" s="33" t="n"/>
      <c r="U187" s="32" t="n"/>
      <c r="V187" s="33" t="n"/>
      <c r="W187" s="33" t="n"/>
      <c r="X187" s="33" t="n"/>
      <c r="Y187" s="33" t="n"/>
      <c r="Z187" s="33" t="n"/>
      <c r="AA187" s="33" t="n"/>
      <c r="AB187" s="33" t="n"/>
      <c r="AC187" s="33" t="n"/>
      <c r="AD187" s="33" t="n"/>
      <c r="AE187" s="33" t="n"/>
      <c r="AF187" s="32" t="n"/>
      <c r="AG187" s="32" t="n"/>
      <c r="AH187" s="32" t="n"/>
      <c r="AI187" s="32" t="n"/>
      <c r="AJ187" s="32" t="n"/>
      <c r="AK187" s="32" t="n"/>
      <c r="AL187" s="32" t="n"/>
      <c r="AM187" s="32" t="n"/>
      <c r="AN187" s="32" t="n"/>
      <c r="AO187" s="32" t="n"/>
      <c r="AP187" s="32" t="n"/>
      <c r="AQ187" s="32" t="n"/>
      <c r="AR187" s="29">
        <f>IF(NOT(COUNTA(A187:AE187)&gt;0),"",IF(A187="","New client","Update"))</f>
        <v/>
      </c>
      <c r="AS187" s="29">
        <f>IF(BA187&lt;&gt;"",BA187,IF(LEN(AZ187)=15,MID(AZ187,3,10),""))</f>
        <v/>
      </c>
      <c r="AT187" s="29">
        <f>IF(BB187="","",BB187&amp;IF(D187="","  (guessed from PAN)",""))</f>
        <v/>
      </c>
      <c r="AU187" s="29">
        <f>IF(AZ187="","",IFERROR(INDEX(Lists!$L$2:$L$38,MATCH(LEFT(AZ187,2),Lists!$K$2:$K$38,0)),"Unknown code"))</f>
        <v/>
      </c>
      <c r="AV187" s="29">
        <f>IF(AZ187="","",IFERROR(IF(NOT(AND(LEN(AZ187)=15,ISNUMBER(MATCH(LEFT(AZ187,2),Lists!$K$2:$K$38,0)),SUMPRODUCT(--ISERROR(FIND(MID(MID(AZ187,3,10),{1,2,3,4,5,10},1),"ABCDEFGHIJKLMNOPQRSTUVWXYZ")))=0,SUMPRODUCT(--ISERROR(FIND(MID(MID(AZ187,3,10),{6,7,8,9},1),"0123456789")))=0,ISNUMBER(FIND(MID(AZ187,13,1),"123456789ABCDEFGHIJKLMNOPQRSTUVWXYZ")),MID(AZ187,14,1)="Z")),"Wrong format",IF(MID("0123456789ABCDEFGHIJKLMNOPQRSTUVWXYZ",MOD(36-MOD(SUMPRODUCT(INT((FIND(MID(AZ187,{1,2,3,4,5,6,7,8,9,10,11,12,13,14},1),"0123456789ABCDEFGHIJKLMNOPQRSTUVWXYZ")-1)*{1,2,1,2,1,2,1,2,1,2,1,2,1,2}/36)+MOD((FIND(MID(AZ187,{1,2,3,4,5,6,7,8,9,10,11,12,13,14},1),"0123456789ABCDEFGHIJKLMNOPQRSTUVWXYZ")-1)*{1,2,1,2,1,2,1,2,1,2,1,2,1,2},36)),36),36)+1,1)=MID(AZ187,15,1),"OK","Typo? check digit wrong")),"Wrong format"))</f>
        <v/>
      </c>
      <c r="AW187" s="29">
        <f>IF(BA187="","",IF(AND(LEN(BA187)=10,SUMPRODUCT(--ISERROR(FIND(MID(BA187,{1,2,3,4,5,10},1),"ABCDEFGHIJKLMNOPQRSTUVWXYZ")))=0,SUMPRODUCT(--ISERROR(FIND(MID(BA187,{6,7,8,9},1),"0123456789")))=0),"OK","Wrong format"))</f>
        <v/>
      </c>
      <c r="AX187" s="29">
        <f>IF(TRIM(H187)="","",IF(AND(LEN(UPPER(TRIM(H187)))=10,SUMPRODUCT(--ISERROR(FIND(MID(UPPER(TRIM(H187)),{1,2,3,4,10},1),"ABCDEFGHIJKLMNOPQRSTUVWXYZ")))=0,SUMPRODUCT(--ISERROR(FIND(MID(UPPER(TRIM(H187)),{5,6,7,8,9},1),"0123456789")))=0),"OK","Wrong format"))</f>
        <v/>
      </c>
      <c r="AY187" s="30">
        <f>IF(NOT(COUNTA(A187:AE187)&gt;0),"",IF(BE187&lt;&gt;"","✖ "&amp;LEFT(BE187,LEN(BE187)-2),IF(BD187&gt;0,"✔ Ready — client + "&amp;BD187&amp;" service(s)","✔ Ready — client only")))</f>
        <v/>
      </c>
      <c r="AZ187" s="31">
        <f>UPPER(SUBSTITUTE(TRIM(F187)," ",""))</f>
        <v/>
      </c>
      <c r="BA187" s="31">
        <f>UPPER(SUBSTITUTE(TRIM(E187)," ",""))</f>
        <v/>
      </c>
      <c r="BB187" s="31">
        <f>IF(D187&lt;&gt;"",D187,IFERROR(VLOOKUP(MID(AS187,4,1),Lists!$E$2:$F$8,2,FALSE),""))</f>
        <v/>
      </c>
      <c r="BC187" s="31">
        <f>IFERROR(VLOOKUP(BB187,Lists!$A$2:$C$12,3,FALSE),"")</f>
        <v/>
      </c>
      <c r="BD187" s="31">
        <f>COUNTIF(W187:AC187,"Yes")</f>
        <v/>
      </c>
      <c r="BE187" s="31">
        <f>IF(TRIM(B187)="","Legal name missing; ","")&amp;IF(AND(AV187&lt;&gt;"",AV187&lt;&gt;"OK"),"GSTIN: "&amp;AV187&amp;"; ","")&amp;IF(AND(AW187&lt;&gt;"",AW187&lt;&gt;"OK"),"PAN wrong format; ","")&amp;IF(AND(BA187&lt;&gt;"",LEN(AZ187)=15,MID(AZ187,3,10)&lt;&gt;BA187),"PAN does not match GSTIN; ","")&amp;IF(AND(AX187&lt;&gt;"",AX187&lt;&gt;"OK"),"TAN wrong format; ","")&amp;IF(AS187="","PAN missing; ","")&amp;IF(BB187="","Entity type missing; ","")&amp;IF(AND(AZ187&lt;&gt;"",COUNTIF($AZ$6:$AZ$1005,AZ187)&gt;1),"GSTIN repeated in this sheet; ","")&amp;IF(AND(AS187&lt;&gt;"",COUNTIF($AS$6:$AS$1005,AS187)&gt;1),"PAN repeated in this sheet (same client? put extra GSTINs in Other GSTINs); ","")&amp;IF(AND(BD187&gt;0,V187=""),"Financial year missing; ","")&amp;IF(AND(BD187=0,V187&lt;&gt;""),"Financial year given but no service is Yes; ","")&amp;IF(AND(W187="Yes",AZ187=""),"GST needs a GSTIN; ","")&amp;IF(AND(W187="Yes",X187=""),"GST return frequency missing; ","")&amp;IF(AND(Y187="Yes",TRIM(H187)=""),"TDS needs a TAN; ","")&amp;IF(AND(AA187="Yes",BC187&lt;&gt;"",BC187&lt;&gt;"company",BC187&lt;&gt;"llp"),"ROC is only for a company / LLP; ","")&amp;IF(AND(AA187="Yes",OR(BC187="company",BC187="llp"),TRIM(I187)=""),"ROC needs the CIN / LLPIN; ","")&amp;IF((TRIM(AF187)="")&lt;&gt;(TRIM(AG187)=""),"GST login needs both user ID and password; ","")&amp;IF((TRIM(AH187)="")&lt;&gt;(TRIM(AI187)=""),"Income-tax login needs both user ID and password; ","")&amp;IF((TRIM(AJ187)="")&lt;&gt;(TRIM(AK187)=""),"Income-tax login needs both user ID and password; ","")&amp;IF((TRIM(AL187)="")&lt;&gt;(TRIM(AM187)=""),"TRACES login needs both user ID and password; ","")&amp;IF((TRIM(AN187)="")&lt;&gt;(TRIM(AO187)=""),"MCA login needs both user ID and password; ","")&amp;IF((TRIM(AP187)="")&lt;&gt;(TRIM(AQ187)=""),"E-way bill login needs both user ID and password; ","")</f>
        <v/>
      </c>
    </row>
    <row r="188">
      <c r="A188" s="32" t="n"/>
      <c r="B188" s="33" t="n"/>
      <c r="C188" s="33" t="n"/>
      <c r="D188" s="33" t="n"/>
      <c r="E188" s="32" t="n"/>
      <c r="F188" s="32" t="n"/>
      <c r="G188" s="32" t="n"/>
      <c r="H188" s="32" t="n"/>
      <c r="I188" s="32" t="n"/>
      <c r="J188" s="34" t="n"/>
      <c r="K188" s="33" t="n"/>
      <c r="L188" s="32" t="n"/>
      <c r="M188" s="33" t="n"/>
      <c r="N188" s="33" t="n"/>
      <c r="O188" s="33" t="n"/>
      <c r="P188" s="32" t="n"/>
      <c r="Q188" s="33" t="n"/>
      <c r="R188" s="33" t="n"/>
      <c r="S188" s="33" t="n"/>
      <c r="T188" s="33" t="n"/>
      <c r="U188" s="32" t="n"/>
      <c r="V188" s="33" t="n"/>
      <c r="W188" s="33" t="n"/>
      <c r="X188" s="33" t="n"/>
      <c r="Y188" s="33" t="n"/>
      <c r="Z188" s="33" t="n"/>
      <c r="AA188" s="33" t="n"/>
      <c r="AB188" s="33" t="n"/>
      <c r="AC188" s="33" t="n"/>
      <c r="AD188" s="33" t="n"/>
      <c r="AE188" s="33" t="n"/>
      <c r="AF188" s="32" t="n"/>
      <c r="AG188" s="32" t="n"/>
      <c r="AH188" s="32" t="n"/>
      <c r="AI188" s="32" t="n"/>
      <c r="AJ188" s="32" t="n"/>
      <c r="AK188" s="32" t="n"/>
      <c r="AL188" s="32" t="n"/>
      <c r="AM188" s="32" t="n"/>
      <c r="AN188" s="32" t="n"/>
      <c r="AO188" s="32" t="n"/>
      <c r="AP188" s="32" t="n"/>
      <c r="AQ188" s="32" t="n"/>
      <c r="AR188" s="29">
        <f>IF(NOT(COUNTA(A188:AE188)&gt;0),"",IF(A188="","New client","Update"))</f>
        <v/>
      </c>
      <c r="AS188" s="29">
        <f>IF(BA188&lt;&gt;"",BA188,IF(LEN(AZ188)=15,MID(AZ188,3,10),""))</f>
        <v/>
      </c>
      <c r="AT188" s="29">
        <f>IF(BB188="","",BB188&amp;IF(D188="","  (guessed from PAN)",""))</f>
        <v/>
      </c>
      <c r="AU188" s="29">
        <f>IF(AZ188="","",IFERROR(INDEX(Lists!$L$2:$L$38,MATCH(LEFT(AZ188,2),Lists!$K$2:$K$38,0)),"Unknown code"))</f>
        <v/>
      </c>
      <c r="AV188" s="29">
        <f>IF(AZ188="","",IFERROR(IF(NOT(AND(LEN(AZ188)=15,ISNUMBER(MATCH(LEFT(AZ188,2),Lists!$K$2:$K$38,0)),SUMPRODUCT(--ISERROR(FIND(MID(MID(AZ188,3,10),{1,2,3,4,5,10},1),"ABCDEFGHIJKLMNOPQRSTUVWXYZ")))=0,SUMPRODUCT(--ISERROR(FIND(MID(MID(AZ188,3,10),{6,7,8,9},1),"0123456789")))=0,ISNUMBER(FIND(MID(AZ188,13,1),"123456789ABCDEFGHIJKLMNOPQRSTUVWXYZ")),MID(AZ188,14,1)="Z")),"Wrong format",IF(MID("0123456789ABCDEFGHIJKLMNOPQRSTUVWXYZ",MOD(36-MOD(SUMPRODUCT(INT((FIND(MID(AZ188,{1,2,3,4,5,6,7,8,9,10,11,12,13,14},1),"0123456789ABCDEFGHIJKLMNOPQRSTUVWXYZ")-1)*{1,2,1,2,1,2,1,2,1,2,1,2,1,2}/36)+MOD((FIND(MID(AZ188,{1,2,3,4,5,6,7,8,9,10,11,12,13,14},1),"0123456789ABCDEFGHIJKLMNOPQRSTUVWXYZ")-1)*{1,2,1,2,1,2,1,2,1,2,1,2,1,2},36)),36),36)+1,1)=MID(AZ188,15,1),"OK","Typo? check digit wrong")),"Wrong format"))</f>
        <v/>
      </c>
      <c r="AW188" s="29">
        <f>IF(BA188="","",IF(AND(LEN(BA188)=10,SUMPRODUCT(--ISERROR(FIND(MID(BA188,{1,2,3,4,5,10},1),"ABCDEFGHIJKLMNOPQRSTUVWXYZ")))=0,SUMPRODUCT(--ISERROR(FIND(MID(BA188,{6,7,8,9},1),"0123456789")))=0),"OK","Wrong format"))</f>
        <v/>
      </c>
      <c r="AX188" s="29">
        <f>IF(TRIM(H188)="","",IF(AND(LEN(UPPER(TRIM(H188)))=10,SUMPRODUCT(--ISERROR(FIND(MID(UPPER(TRIM(H188)),{1,2,3,4,10},1),"ABCDEFGHIJKLMNOPQRSTUVWXYZ")))=0,SUMPRODUCT(--ISERROR(FIND(MID(UPPER(TRIM(H188)),{5,6,7,8,9},1),"0123456789")))=0),"OK","Wrong format"))</f>
        <v/>
      </c>
      <c r="AY188" s="30">
        <f>IF(NOT(COUNTA(A188:AE188)&gt;0),"",IF(BE188&lt;&gt;"","✖ "&amp;LEFT(BE188,LEN(BE188)-2),IF(BD188&gt;0,"✔ Ready — client + "&amp;BD188&amp;" service(s)","✔ Ready — client only")))</f>
        <v/>
      </c>
      <c r="AZ188" s="31">
        <f>UPPER(SUBSTITUTE(TRIM(F188)," ",""))</f>
        <v/>
      </c>
      <c r="BA188" s="31">
        <f>UPPER(SUBSTITUTE(TRIM(E188)," ",""))</f>
        <v/>
      </c>
      <c r="BB188" s="31">
        <f>IF(D188&lt;&gt;"",D188,IFERROR(VLOOKUP(MID(AS188,4,1),Lists!$E$2:$F$8,2,FALSE),""))</f>
        <v/>
      </c>
      <c r="BC188" s="31">
        <f>IFERROR(VLOOKUP(BB188,Lists!$A$2:$C$12,3,FALSE),"")</f>
        <v/>
      </c>
      <c r="BD188" s="31">
        <f>COUNTIF(W188:AC188,"Yes")</f>
        <v/>
      </c>
      <c r="BE188" s="31">
        <f>IF(TRIM(B188)="","Legal name missing; ","")&amp;IF(AND(AV188&lt;&gt;"",AV188&lt;&gt;"OK"),"GSTIN: "&amp;AV188&amp;"; ","")&amp;IF(AND(AW188&lt;&gt;"",AW188&lt;&gt;"OK"),"PAN wrong format; ","")&amp;IF(AND(BA188&lt;&gt;"",LEN(AZ188)=15,MID(AZ188,3,10)&lt;&gt;BA188),"PAN does not match GSTIN; ","")&amp;IF(AND(AX188&lt;&gt;"",AX188&lt;&gt;"OK"),"TAN wrong format; ","")&amp;IF(AS188="","PAN missing; ","")&amp;IF(BB188="","Entity type missing; ","")&amp;IF(AND(AZ188&lt;&gt;"",COUNTIF($AZ$6:$AZ$1005,AZ188)&gt;1),"GSTIN repeated in this sheet; ","")&amp;IF(AND(AS188&lt;&gt;"",COUNTIF($AS$6:$AS$1005,AS188)&gt;1),"PAN repeated in this sheet (same client? put extra GSTINs in Other GSTINs); ","")&amp;IF(AND(BD188&gt;0,V188=""),"Financial year missing; ","")&amp;IF(AND(BD188=0,V188&lt;&gt;""),"Financial year given but no service is Yes; ","")&amp;IF(AND(W188="Yes",AZ188=""),"GST needs a GSTIN; ","")&amp;IF(AND(W188="Yes",X188=""),"GST return frequency missing; ","")&amp;IF(AND(Y188="Yes",TRIM(H188)=""),"TDS needs a TAN; ","")&amp;IF(AND(AA188="Yes",BC188&lt;&gt;"",BC188&lt;&gt;"company",BC188&lt;&gt;"llp"),"ROC is only for a company / LLP; ","")&amp;IF(AND(AA188="Yes",OR(BC188="company",BC188="llp"),TRIM(I188)=""),"ROC needs the CIN / LLPIN; ","")&amp;IF((TRIM(AF188)="")&lt;&gt;(TRIM(AG188)=""),"GST login needs both user ID and password; ","")&amp;IF((TRIM(AH188)="")&lt;&gt;(TRIM(AI188)=""),"Income-tax login needs both user ID and password; ","")&amp;IF((TRIM(AJ188)="")&lt;&gt;(TRIM(AK188)=""),"Income-tax login needs both user ID and password; ","")&amp;IF((TRIM(AL188)="")&lt;&gt;(TRIM(AM188)=""),"TRACES login needs both user ID and password; ","")&amp;IF((TRIM(AN188)="")&lt;&gt;(TRIM(AO188)=""),"MCA login needs both user ID and password; ","")&amp;IF((TRIM(AP188)="")&lt;&gt;(TRIM(AQ188)=""),"E-way bill login needs both user ID and password; ","")</f>
        <v/>
      </c>
    </row>
    <row r="189">
      <c r="A189" s="32" t="n"/>
      <c r="B189" s="33" t="n"/>
      <c r="C189" s="33" t="n"/>
      <c r="D189" s="33" t="n"/>
      <c r="E189" s="32" t="n"/>
      <c r="F189" s="32" t="n"/>
      <c r="G189" s="32" t="n"/>
      <c r="H189" s="32" t="n"/>
      <c r="I189" s="32" t="n"/>
      <c r="J189" s="34" t="n"/>
      <c r="K189" s="33" t="n"/>
      <c r="L189" s="32" t="n"/>
      <c r="M189" s="33" t="n"/>
      <c r="N189" s="33" t="n"/>
      <c r="O189" s="33" t="n"/>
      <c r="P189" s="32" t="n"/>
      <c r="Q189" s="33" t="n"/>
      <c r="R189" s="33" t="n"/>
      <c r="S189" s="33" t="n"/>
      <c r="T189" s="33" t="n"/>
      <c r="U189" s="32" t="n"/>
      <c r="V189" s="33" t="n"/>
      <c r="W189" s="33" t="n"/>
      <c r="X189" s="33" t="n"/>
      <c r="Y189" s="33" t="n"/>
      <c r="Z189" s="33" t="n"/>
      <c r="AA189" s="33" t="n"/>
      <c r="AB189" s="33" t="n"/>
      <c r="AC189" s="33" t="n"/>
      <c r="AD189" s="33" t="n"/>
      <c r="AE189" s="33" t="n"/>
      <c r="AF189" s="32" t="n"/>
      <c r="AG189" s="32" t="n"/>
      <c r="AH189" s="32" t="n"/>
      <c r="AI189" s="32" t="n"/>
      <c r="AJ189" s="32" t="n"/>
      <c r="AK189" s="32" t="n"/>
      <c r="AL189" s="32" t="n"/>
      <c r="AM189" s="32" t="n"/>
      <c r="AN189" s="32" t="n"/>
      <c r="AO189" s="32" t="n"/>
      <c r="AP189" s="32" t="n"/>
      <c r="AQ189" s="32" t="n"/>
      <c r="AR189" s="29">
        <f>IF(NOT(COUNTA(A189:AE189)&gt;0),"",IF(A189="","New client","Update"))</f>
        <v/>
      </c>
      <c r="AS189" s="29">
        <f>IF(BA189&lt;&gt;"",BA189,IF(LEN(AZ189)=15,MID(AZ189,3,10),""))</f>
        <v/>
      </c>
      <c r="AT189" s="29">
        <f>IF(BB189="","",BB189&amp;IF(D189="","  (guessed from PAN)",""))</f>
        <v/>
      </c>
      <c r="AU189" s="29">
        <f>IF(AZ189="","",IFERROR(INDEX(Lists!$L$2:$L$38,MATCH(LEFT(AZ189,2),Lists!$K$2:$K$38,0)),"Unknown code"))</f>
        <v/>
      </c>
      <c r="AV189" s="29">
        <f>IF(AZ189="","",IFERROR(IF(NOT(AND(LEN(AZ189)=15,ISNUMBER(MATCH(LEFT(AZ189,2),Lists!$K$2:$K$38,0)),SUMPRODUCT(--ISERROR(FIND(MID(MID(AZ189,3,10),{1,2,3,4,5,10},1),"ABCDEFGHIJKLMNOPQRSTUVWXYZ")))=0,SUMPRODUCT(--ISERROR(FIND(MID(MID(AZ189,3,10),{6,7,8,9},1),"0123456789")))=0,ISNUMBER(FIND(MID(AZ189,13,1),"123456789ABCDEFGHIJKLMNOPQRSTUVWXYZ")),MID(AZ189,14,1)="Z")),"Wrong format",IF(MID("0123456789ABCDEFGHIJKLMNOPQRSTUVWXYZ",MOD(36-MOD(SUMPRODUCT(INT((FIND(MID(AZ189,{1,2,3,4,5,6,7,8,9,10,11,12,13,14},1),"0123456789ABCDEFGHIJKLMNOPQRSTUVWXYZ")-1)*{1,2,1,2,1,2,1,2,1,2,1,2,1,2}/36)+MOD((FIND(MID(AZ189,{1,2,3,4,5,6,7,8,9,10,11,12,13,14},1),"0123456789ABCDEFGHIJKLMNOPQRSTUVWXYZ")-1)*{1,2,1,2,1,2,1,2,1,2,1,2,1,2},36)),36),36)+1,1)=MID(AZ189,15,1),"OK","Typo? check digit wrong")),"Wrong format"))</f>
        <v/>
      </c>
      <c r="AW189" s="29">
        <f>IF(BA189="","",IF(AND(LEN(BA189)=10,SUMPRODUCT(--ISERROR(FIND(MID(BA189,{1,2,3,4,5,10},1),"ABCDEFGHIJKLMNOPQRSTUVWXYZ")))=0,SUMPRODUCT(--ISERROR(FIND(MID(BA189,{6,7,8,9},1),"0123456789")))=0),"OK","Wrong format"))</f>
        <v/>
      </c>
      <c r="AX189" s="29">
        <f>IF(TRIM(H189)="","",IF(AND(LEN(UPPER(TRIM(H189)))=10,SUMPRODUCT(--ISERROR(FIND(MID(UPPER(TRIM(H189)),{1,2,3,4,10},1),"ABCDEFGHIJKLMNOPQRSTUVWXYZ")))=0,SUMPRODUCT(--ISERROR(FIND(MID(UPPER(TRIM(H189)),{5,6,7,8,9},1),"0123456789")))=0),"OK","Wrong format"))</f>
        <v/>
      </c>
      <c r="AY189" s="30">
        <f>IF(NOT(COUNTA(A189:AE189)&gt;0),"",IF(BE189&lt;&gt;"","✖ "&amp;LEFT(BE189,LEN(BE189)-2),IF(BD189&gt;0,"✔ Ready — client + "&amp;BD189&amp;" service(s)","✔ Ready — client only")))</f>
        <v/>
      </c>
      <c r="AZ189" s="31">
        <f>UPPER(SUBSTITUTE(TRIM(F189)," ",""))</f>
        <v/>
      </c>
      <c r="BA189" s="31">
        <f>UPPER(SUBSTITUTE(TRIM(E189)," ",""))</f>
        <v/>
      </c>
      <c r="BB189" s="31">
        <f>IF(D189&lt;&gt;"",D189,IFERROR(VLOOKUP(MID(AS189,4,1),Lists!$E$2:$F$8,2,FALSE),""))</f>
        <v/>
      </c>
      <c r="BC189" s="31">
        <f>IFERROR(VLOOKUP(BB189,Lists!$A$2:$C$12,3,FALSE),"")</f>
        <v/>
      </c>
      <c r="BD189" s="31">
        <f>COUNTIF(W189:AC189,"Yes")</f>
        <v/>
      </c>
      <c r="BE189" s="31">
        <f>IF(TRIM(B189)="","Legal name missing; ","")&amp;IF(AND(AV189&lt;&gt;"",AV189&lt;&gt;"OK"),"GSTIN: "&amp;AV189&amp;"; ","")&amp;IF(AND(AW189&lt;&gt;"",AW189&lt;&gt;"OK"),"PAN wrong format; ","")&amp;IF(AND(BA189&lt;&gt;"",LEN(AZ189)=15,MID(AZ189,3,10)&lt;&gt;BA189),"PAN does not match GSTIN; ","")&amp;IF(AND(AX189&lt;&gt;"",AX189&lt;&gt;"OK"),"TAN wrong format; ","")&amp;IF(AS189="","PAN missing; ","")&amp;IF(BB189="","Entity type missing; ","")&amp;IF(AND(AZ189&lt;&gt;"",COUNTIF($AZ$6:$AZ$1005,AZ189)&gt;1),"GSTIN repeated in this sheet; ","")&amp;IF(AND(AS189&lt;&gt;"",COUNTIF($AS$6:$AS$1005,AS189)&gt;1),"PAN repeated in this sheet (same client? put extra GSTINs in Other GSTINs); ","")&amp;IF(AND(BD189&gt;0,V189=""),"Financial year missing; ","")&amp;IF(AND(BD189=0,V189&lt;&gt;""),"Financial year given but no service is Yes; ","")&amp;IF(AND(W189="Yes",AZ189=""),"GST needs a GSTIN; ","")&amp;IF(AND(W189="Yes",X189=""),"GST return frequency missing; ","")&amp;IF(AND(Y189="Yes",TRIM(H189)=""),"TDS needs a TAN; ","")&amp;IF(AND(AA189="Yes",BC189&lt;&gt;"",BC189&lt;&gt;"company",BC189&lt;&gt;"llp"),"ROC is only for a company / LLP; ","")&amp;IF(AND(AA189="Yes",OR(BC189="company",BC189="llp"),TRIM(I189)=""),"ROC needs the CIN / LLPIN; ","")&amp;IF((TRIM(AF189)="")&lt;&gt;(TRIM(AG189)=""),"GST login needs both user ID and password; ","")&amp;IF((TRIM(AH189)="")&lt;&gt;(TRIM(AI189)=""),"Income-tax login needs both user ID and password; ","")&amp;IF((TRIM(AJ189)="")&lt;&gt;(TRIM(AK189)=""),"Income-tax login needs both user ID and password; ","")&amp;IF((TRIM(AL189)="")&lt;&gt;(TRIM(AM189)=""),"TRACES login needs both user ID and password; ","")&amp;IF((TRIM(AN189)="")&lt;&gt;(TRIM(AO189)=""),"MCA login needs both user ID and password; ","")&amp;IF((TRIM(AP189)="")&lt;&gt;(TRIM(AQ189)=""),"E-way bill login needs both user ID and password; ","")</f>
        <v/>
      </c>
    </row>
    <row r="190">
      <c r="A190" s="32" t="n"/>
      <c r="B190" s="33" t="n"/>
      <c r="C190" s="33" t="n"/>
      <c r="D190" s="33" t="n"/>
      <c r="E190" s="32" t="n"/>
      <c r="F190" s="32" t="n"/>
      <c r="G190" s="32" t="n"/>
      <c r="H190" s="32" t="n"/>
      <c r="I190" s="32" t="n"/>
      <c r="J190" s="34" t="n"/>
      <c r="K190" s="33" t="n"/>
      <c r="L190" s="32" t="n"/>
      <c r="M190" s="33" t="n"/>
      <c r="N190" s="33" t="n"/>
      <c r="O190" s="33" t="n"/>
      <c r="P190" s="32" t="n"/>
      <c r="Q190" s="33" t="n"/>
      <c r="R190" s="33" t="n"/>
      <c r="S190" s="33" t="n"/>
      <c r="T190" s="33" t="n"/>
      <c r="U190" s="32" t="n"/>
      <c r="V190" s="33" t="n"/>
      <c r="W190" s="33" t="n"/>
      <c r="X190" s="33" t="n"/>
      <c r="Y190" s="33" t="n"/>
      <c r="Z190" s="33" t="n"/>
      <c r="AA190" s="33" t="n"/>
      <c r="AB190" s="33" t="n"/>
      <c r="AC190" s="33" t="n"/>
      <c r="AD190" s="33" t="n"/>
      <c r="AE190" s="33" t="n"/>
      <c r="AF190" s="32" t="n"/>
      <c r="AG190" s="32" t="n"/>
      <c r="AH190" s="32" t="n"/>
      <c r="AI190" s="32" t="n"/>
      <c r="AJ190" s="32" t="n"/>
      <c r="AK190" s="32" t="n"/>
      <c r="AL190" s="32" t="n"/>
      <c r="AM190" s="32" t="n"/>
      <c r="AN190" s="32" t="n"/>
      <c r="AO190" s="32" t="n"/>
      <c r="AP190" s="32" t="n"/>
      <c r="AQ190" s="32" t="n"/>
      <c r="AR190" s="29">
        <f>IF(NOT(COUNTA(A190:AE190)&gt;0),"",IF(A190="","New client","Update"))</f>
        <v/>
      </c>
      <c r="AS190" s="29">
        <f>IF(BA190&lt;&gt;"",BA190,IF(LEN(AZ190)=15,MID(AZ190,3,10),""))</f>
        <v/>
      </c>
      <c r="AT190" s="29">
        <f>IF(BB190="","",BB190&amp;IF(D190="","  (guessed from PAN)",""))</f>
        <v/>
      </c>
      <c r="AU190" s="29">
        <f>IF(AZ190="","",IFERROR(INDEX(Lists!$L$2:$L$38,MATCH(LEFT(AZ190,2),Lists!$K$2:$K$38,0)),"Unknown code"))</f>
        <v/>
      </c>
      <c r="AV190" s="29">
        <f>IF(AZ190="","",IFERROR(IF(NOT(AND(LEN(AZ190)=15,ISNUMBER(MATCH(LEFT(AZ190,2),Lists!$K$2:$K$38,0)),SUMPRODUCT(--ISERROR(FIND(MID(MID(AZ190,3,10),{1,2,3,4,5,10},1),"ABCDEFGHIJKLMNOPQRSTUVWXYZ")))=0,SUMPRODUCT(--ISERROR(FIND(MID(MID(AZ190,3,10),{6,7,8,9},1),"0123456789")))=0,ISNUMBER(FIND(MID(AZ190,13,1),"123456789ABCDEFGHIJKLMNOPQRSTUVWXYZ")),MID(AZ190,14,1)="Z")),"Wrong format",IF(MID("0123456789ABCDEFGHIJKLMNOPQRSTUVWXYZ",MOD(36-MOD(SUMPRODUCT(INT((FIND(MID(AZ190,{1,2,3,4,5,6,7,8,9,10,11,12,13,14},1),"0123456789ABCDEFGHIJKLMNOPQRSTUVWXYZ")-1)*{1,2,1,2,1,2,1,2,1,2,1,2,1,2}/36)+MOD((FIND(MID(AZ190,{1,2,3,4,5,6,7,8,9,10,11,12,13,14},1),"0123456789ABCDEFGHIJKLMNOPQRSTUVWXYZ")-1)*{1,2,1,2,1,2,1,2,1,2,1,2,1,2},36)),36),36)+1,1)=MID(AZ190,15,1),"OK","Typo? check digit wrong")),"Wrong format"))</f>
        <v/>
      </c>
      <c r="AW190" s="29">
        <f>IF(BA190="","",IF(AND(LEN(BA190)=10,SUMPRODUCT(--ISERROR(FIND(MID(BA190,{1,2,3,4,5,10},1),"ABCDEFGHIJKLMNOPQRSTUVWXYZ")))=0,SUMPRODUCT(--ISERROR(FIND(MID(BA190,{6,7,8,9},1),"0123456789")))=0),"OK","Wrong format"))</f>
        <v/>
      </c>
      <c r="AX190" s="29">
        <f>IF(TRIM(H190)="","",IF(AND(LEN(UPPER(TRIM(H190)))=10,SUMPRODUCT(--ISERROR(FIND(MID(UPPER(TRIM(H190)),{1,2,3,4,10},1),"ABCDEFGHIJKLMNOPQRSTUVWXYZ")))=0,SUMPRODUCT(--ISERROR(FIND(MID(UPPER(TRIM(H190)),{5,6,7,8,9},1),"0123456789")))=0),"OK","Wrong format"))</f>
        <v/>
      </c>
      <c r="AY190" s="30">
        <f>IF(NOT(COUNTA(A190:AE190)&gt;0),"",IF(BE190&lt;&gt;"","✖ "&amp;LEFT(BE190,LEN(BE190)-2),IF(BD190&gt;0,"✔ Ready — client + "&amp;BD190&amp;" service(s)","✔ Ready — client only")))</f>
        <v/>
      </c>
      <c r="AZ190" s="31">
        <f>UPPER(SUBSTITUTE(TRIM(F190)," ",""))</f>
        <v/>
      </c>
      <c r="BA190" s="31">
        <f>UPPER(SUBSTITUTE(TRIM(E190)," ",""))</f>
        <v/>
      </c>
      <c r="BB190" s="31">
        <f>IF(D190&lt;&gt;"",D190,IFERROR(VLOOKUP(MID(AS190,4,1),Lists!$E$2:$F$8,2,FALSE),""))</f>
        <v/>
      </c>
      <c r="BC190" s="31">
        <f>IFERROR(VLOOKUP(BB190,Lists!$A$2:$C$12,3,FALSE),"")</f>
        <v/>
      </c>
      <c r="BD190" s="31">
        <f>COUNTIF(W190:AC190,"Yes")</f>
        <v/>
      </c>
      <c r="BE190" s="31">
        <f>IF(TRIM(B190)="","Legal name missing; ","")&amp;IF(AND(AV190&lt;&gt;"",AV190&lt;&gt;"OK"),"GSTIN: "&amp;AV190&amp;"; ","")&amp;IF(AND(AW190&lt;&gt;"",AW190&lt;&gt;"OK"),"PAN wrong format; ","")&amp;IF(AND(BA190&lt;&gt;"",LEN(AZ190)=15,MID(AZ190,3,10)&lt;&gt;BA190),"PAN does not match GSTIN; ","")&amp;IF(AND(AX190&lt;&gt;"",AX190&lt;&gt;"OK"),"TAN wrong format; ","")&amp;IF(AS190="","PAN missing; ","")&amp;IF(BB190="","Entity type missing; ","")&amp;IF(AND(AZ190&lt;&gt;"",COUNTIF($AZ$6:$AZ$1005,AZ190)&gt;1),"GSTIN repeated in this sheet; ","")&amp;IF(AND(AS190&lt;&gt;"",COUNTIF($AS$6:$AS$1005,AS190)&gt;1),"PAN repeated in this sheet (same client? put extra GSTINs in Other GSTINs); ","")&amp;IF(AND(BD190&gt;0,V190=""),"Financial year missing; ","")&amp;IF(AND(BD190=0,V190&lt;&gt;""),"Financial year given but no service is Yes; ","")&amp;IF(AND(W190="Yes",AZ190=""),"GST needs a GSTIN; ","")&amp;IF(AND(W190="Yes",X190=""),"GST return frequency missing; ","")&amp;IF(AND(Y190="Yes",TRIM(H190)=""),"TDS needs a TAN; ","")&amp;IF(AND(AA190="Yes",BC190&lt;&gt;"",BC190&lt;&gt;"company",BC190&lt;&gt;"llp"),"ROC is only for a company / LLP; ","")&amp;IF(AND(AA190="Yes",OR(BC190="company",BC190="llp"),TRIM(I190)=""),"ROC needs the CIN / LLPIN; ","")&amp;IF((TRIM(AF190)="")&lt;&gt;(TRIM(AG190)=""),"GST login needs both user ID and password; ","")&amp;IF((TRIM(AH190)="")&lt;&gt;(TRIM(AI190)=""),"Income-tax login needs both user ID and password; ","")&amp;IF((TRIM(AJ190)="")&lt;&gt;(TRIM(AK190)=""),"Income-tax login needs both user ID and password; ","")&amp;IF((TRIM(AL190)="")&lt;&gt;(TRIM(AM190)=""),"TRACES login needs both user ID and password; ","")&amp;IF((TRIM(AN190)="")&lt;&gt;(TRIM(AO190)=""),"MCA login needs both user ID and password; ","")&amp;IF((TRIM(AP190)="")&lt;&gt;(TRIM(AQ190)=""),"E-way bill login needs both user ID and password; ","")</f>
        <v/>
      </c>
    </row>
    <row r="191">
      <c r="A191" s="32" t="n"/>
      <c r="B191" s="33" t="n"/>
      <c r="C191" s="33" t="n"/>
      <c r="D191" s="33" t="n"/>
      <c r="E191" s="32" t="n"/>
      <c r="F191" s="32" t="n"/>
      <c r="G191" s="32" t="n"/>
      <c r="H191" s="32" t="n"/>
      <c r="I191" s="32" t="n"/>
      <c r="J191" s="34" t="n"/>
      <c r="K191" s="33" t="n"/>
      <c r="L191" s="32" t="n"/>
      <c r="M191" s="33" t="n"/>
      <c r="N191" s="33" t="n"/>
      <c r="O191" s="33" t="n"/>
      <c r="P191" s="32" t="n"/>
      <c r="Q191" s="33" t="n"/>
      <c r="R191" s="33" t="n"/>
      <c r="S191" s="33" t="n"/>
      <c r="T191" s="33" t="n"/>
      <c r="U191" s="32" t="n"/>
      <c r="V191" s="33" t="n"/>
      <c r="W191" s="33" t="n"/>
      <c r="X191" s="33" t="n"/>
      <c r="Y191" s="33" t="n"/>
      <c r="Z191" s="33" t="n"/>
      <c r="AA191" s="33" t="n"/>
      <c r="AB191" s="33" t="n"/>
      <c r="AC191" s="33" t="n"/>
      <c r="AD191" s="33" t="n"/>
      <c r="AE191" s="33" t="n"/>
      <c r="AF191" s="32" t="n"/>
      <c r="AG191" s="32" t="n"/>
      <c r="AH191" s="32" t="n"/>
      <c r="AI191" s="32" t="n"/>
      <c r="AJ191" s="32" t="n"/>
      <c r="AK191" s="32" t="n"/>
      <c r="AL191" s="32" t="n"/>
      <c r="AM191" s="32" t="n"/>
      <c r="AN191" s="32" t="n"/>
      <c r="AO191" s="32" t="n"/>
      <c r="AP191" s="32" t="n"/>
      <c r="AQ191" s="32" t="n"/>
      <c r="AR191" s="29">
        <f>IF(NOT(COUNTA(A191:AE191)&gt;0),"",IF(A191="","New client","Update"))</f>
        <v/>
      </c>
      <c r="AS191" s="29">
        <f>IF(BA191&lt;&gt;"",BA191,IF(LEN(AZ191)=15,MID(AZ191,3,10),""))</f>
        <v/>
      </c>
      <c r="AT191" s="29">
        <f>IF(BB191="","",BB191&amp;IF(D191="","  (guessed from PAN)",""))</f>
        <v/>
      </c>
      <c r="AU191" s="29">
        <f>IF(AZ191="","",IFERROR(INDEX(Lists!$L$2:$L$38,MATCH(LEFT(AZ191,2),Lists!$K$2:$K$38,0)),"Unknown code"))</f>
        <v/>
      </c>
      <c r="AV191" s="29">
        <f>IF(AZ191="","",IFERROR(IF(NOT(AND(LEN(AZ191)=15,ISNUMBER(MATCH(LEFT(AZ191,2),Lists!$K$2:$K$38,0)),SUMPRODUCT(--ISERROR(FIND(MID(MID(AZ191,3,10),{1,2,3,4,5,10},1),"ABCDEFGHIJKLMNOPQRSTUVWXYZ")))=0,SUMPRODUCT(--ISERROR(FIND(MID(MID(AZ191,3,10),{6,7,8,9},1),"0123456789")))=0,ISNUMBER(FIND(MID(AZ191,13,1),"123456789ABCDEFGHIJKLMNOPQRSTUVWXYZ")),MID(AZ191,14,1)="Z")),"Wrong format",IF(MID("0123456789ABCDEFGHIJKLMNOPQRSTUVWXYZ",MOD(36-MOD(SUMPRODUCT(INT((FIND(MID(AZ191,{1,2,3,4,5,6,7,8,9,10,11,12,13,14},1),"0123456789ABCDEFGHIJKLMNOPQRSTUVWXYZ")-1)*{1,2,1,2,1,2,1,2,1,2,1,2,1,2}/36)+MOD((FIND(MID(AZ191,{1,2,3,4,5,6,7,8,9,10,11,12,13,14},1),"0123456789ABCDEFGHIJKLMNOPQRSTUVWXYZ")-1)*{1,2,1,2,1,2,1,2,1,2,1,2,1,2},36)),36),36)+1,1)=MID(AZ191,15,1),"OK","Typo? check digit wrong")),"Wrong format"))</f>
        <v/>
      </c>
      <c r="AW191" s="29">
        <f>IF(BA191="","",IF(AND(LEN(BA191)=10,SUMPRODUCT(--ISERROR(FIND(MID(BA191,{1,2,3,4,5,10},1),"ABCDEFGHIJKLMNOPQRSTUVWXYZ")))=0,SUMPRODUCT(--ISERROR(FIND(MID(BA191,{6,7,8,9},1),"0123456789")))=0),"OK","Wrong format"))</f>
        <v/>
      </c>
      <c r="AX191" s="29">
        <f>IF(TRIM(H191)="","",IF(AND(LEN(UPPER(TRIM(H191)))=10,SUMPRODUCT(--ISERROR(FIND(MID(UPPER(TRIM(H191)),{1,2,3,4,10},1),"ABCDEFGHIJKLMNOPQRSTUVWXYZ")))=0,SUMPRODUCT(--ISERROR(FIND(MID(UPPER(TRIM(H191)),{5,6,7,8,9},1),"0123456789")))=0),"OK","Wrong format"))</f>
        <v/>
      </c>
      <c r="AY191" s="30">
        <f>IF(NOT(COUNTA(A191:AE191)&gt;0),"",IF(BE191&lt;&gt;"","✖ "&amp;LEFT(BE191,LEN(BE191)-2),IF(BD191&gt;0,"✔ Ready — client + "&amp;BD191&amp;" service(s)","✔ Ready — client only")))</f>
        <v/>
      </c>
      <c r="AZ191" s="31">
        <f>UPPER(SUBSTITUTE(TRIM(F191)," ",""))</f>
        <v/>
      </c>
      <c r="BA191" s="31">
        <f>UPPER(SUBSTITUTE(TRIM(E191)," ",""))</f>
        <v/>
      </c>
      <c r="BB191" s="31">
        <f>IF(D191&lt;&gt;"",D191,IFERROR(VLOOKUP(MID(AS191,4,1),Lists!$E$2:$F$8,2,FALSE),""))</f>
        <v/>
      </c>
      <c r="BC191" s="31">
        <f>IFERROR(VLOOKUP(BB191,Lists!$A$2:$C$12,3,FALSE),"")</f>
        <v/>
      </c>
      <c r="BD191" s="31">
        <f>COUNTIF(W191:AC191,"Yes")</f>
        <v/>
      </c>
      <c r="BE191" s="31">
        <f>IF(TRIM(B191)="","Legal name missing; ","")&amp;IF(AND(AV191&lt;&gt;"",AV191&lt;&gt;"OK"),"GSTIN: "&amp;AV191&amp;"; ","")&amp;IF(AND(AW191&lt;&gt;"",AW191&lt;&gt;"OK"),"PAN wrong format; ","")&amp;IF(AND(BA191&lt;&gt;"",LEN(AZ191)=15,MID(AZ191,3,10)&lt;&gt;BA191),"PAN does not match GSTIN; ","")&amp;IF(AND(AX191&lt;&gt;"",AX191&lt;&gt;"OK"),"TAN wrong format; ","")&amp;IF(AS191="","PAN missing; ","")&amp;IF(BB191="","Entity type missing; ","")&amp;IF(AND(AZ191&lt;&gt;"",COUNTIF($AZ$6:$AZ$1005,AZ191)&gt;1),"GSTIN repeated in this sheet; ","")&amp;IF(AND(AS191&lt;&gt;"",COUNTIF($AS$6:$AS$1005,AS191)&gt;1),"PAN repeated in this sheet (same client? put extra GSTINs in Other GSTINs); ","")&amp;IF(AND(BD191&gt;0,V191=""),"Financial year missing; ","")&amp;IF(AND(BD191=0,V191&lt;&gt;""),"Financial year given but no service is Yes; ","")&amp;IF(AND(W191="Yes",AZ191=""),"GST needs a GSTIN; ","")&amp;IF(AND(W191="Yes",X191=""),"GST return frequency missing; ","")&amp;IF(AND(Y191="Yes",TRIM(H191)=""),"TDS needs a TAN; ","")&amp;IF(AND(AA191="Yes",BC191&lt;&gt;"",BC191&lt;&gt;"company",BC191&lt;&gt;"llp"),"ROC is only for a company / LLP; ","")&amp;IF(AND(AA191="Yes",OR(BC191="company",BC191="llp"),TRIM(I191)=""),"ROC needs the CIN / LLPIN; ","")&amp;IF((TRIM(AF191)="")&lt;&gt;(TRIM(AG191)=""),"GST login needs both user ID and password; ","")&amp;IF((TRIM(AH191)="")&lt;&gt;(TRIM(AI191)=""),"Income-tax login needs both user ID and password; ","")&amp;IF((TRIM(AJ191)="")&lt;&gt;(TRIM(AK191)=""),"Income-tax login needs both user ID and password; ","")&amp;IF((TRIM(AL191)="")&lt;&gt;(TRIM(AM191)=""),"TRACES login needs both user ID and password; ","")&amp;IF((TRIM(AN191)="")&lt;&gt;(TRIM(AO191)=""),"MCA login needs both user ID and password; ","")&amp;IF((TRIM(AP191)="")&lt;&gt;(TRIM(AQ191)=""),"E-way bill login needs both user ID and password; ","")</f>
        <v/>
      </c>
    </row>
    <row r="192">
      <c r="A192" s="32" t="n"/>
      <c r="B192" s="33" t="n"/>
      <c r="C192" s="33" t="n"/>
      <c r="D192" s="33" t="n"/>
      <c r="E192" s="32" t="n"/>
      <c r="F192" s="32" t="n"/>
      <c r="G192" s="32" t="n"/>
      <c r="H192" s="32" t="n"/>
      <c r="I192" s="32" t="n"/>
      <c r="J192" s="34" t="n"/>
      <c r="K192" s="33" t="n"/>
      <c r="L192" s="32" t="n"/>
      <c r="M192" s="33" t="n"/>
      <c r="N192" s="33" t="n"/>
      <c r="O192" s="33" t="n"/>
      <c r="P192" s="32" t="n"/>
      <c r="Q192" s="33" t="n"/>
      <c r="R192" s="33" t="n"/>
      <c r="S192" s="33" t="n"/>
      <c r="T192" s="33" t="n"/>
      <c r="U192" s="32" t="n"/>
      <c r="V192" s="33" t="n"/>
      <c r="W192" s="33" t="n"/>
      <c r="X192" s="33" t="n"/>
      <c r="Y192" s="33" t="n"/>
      <c r="Z192" s="33" t="n"/>
      <c r="AA192" s="33" t="n"/>
      <c r="AB192" s="33" t="n"/>
      <c r="AC192" s="33" t="n"/>
      <c r="AD192" s="33" t="n"/>
      <c r="AE192" s="33" t="n"/>
      <c r="AF192" s="32" t="n"/>
      <c r="AG192" s="32" t="n"/>
      <c r="AH192" s="32" t="n"/>
      <c r="AI192" s="32" t="n"/>
      <c r="AJ192" s="32" t="n"/>
      <c r="AK192" s="32" t="n"/>
      <c r="AL192" s="32" t="n"/>
      <c r="AM192" s="32" t="n"/>
      <c r="AN192" s="32" t="n"/>
      <c r="AO192" s="32" t="n"/>
      <c r="AP192" s="32" t="n"/>
      <c r="AQ192" s="32" t="n"/>
      <c r="AR192" s="29">
        <f>IF(NOT(COUNTA(A192:AE192)&gt;0),"",IF(A192="","New client","Update"))</f>
        <v/>
      </c>
      <c r="AS192" s="29">
        <f>IF(BA192&lt;&gt;"",BA192,IF(LEN(AZ192)=15,MID(AZ192,3,10),""))</f>
        <v/>
      </c>
      <c r="AT192" s="29">
        <f>IF(BB192="","",BB192&amp;IF(D192="","  (guessed from PAN)",""))</f>
        <v/>
      </c>
      <c r="AU192" s="29">
        <f>IF(AZ192="","",IFERROR(INDEX(Lists!$L$2:$L$38,MATCH(LEFT(AZ192,2),Lists!$K$2:$K$38,0)),"Unknown code"))</f>
        <v/>
      </c>
      <c r="AV192" s="29">
        <f>IF(AZ192="","",IFERROR(IF(NOT(AND(LEN(AZ192)=15,ISNUMBER(MATCH(LEFT(AZ192,2),Lists!$K$2:$K$38,0)),SUMPRODUCT(--ISERROR(FIND(MID(MID(AZ192,3,10),{1,2,3,4,5,10},1),"ABCDEFGHIJKLMNOPQRSTUVWXYZ")))=0,SUMPRODUCT(--ISERROR(FIND(MID(MID(AZ192,3,10),{6,7,8,9},1),"0123456789")))=0,ISNUMBER(FIND(MID(AZ192,13,1),"123456789ABCDEFGHIJKLMNOPQRSTUVWXYZ")),MID(AZ192,14,1)="Z")),"Wrong format",IF(MID("0123456789ABCDEFGHIJKLMNOPQRSTUVWXYZ",MOD(36-MOD(SUMPRODUCT(INT((FIND(MID(AZ192,{1,2,3,4,5,6,7,8,9,10,11,12,13,14},1),"0123456789ABCDEFGHIJKLMNOPQRSTUVWXYZ")-1)*{1,2,1,2,1,2,1,2,1,2,1,2,1,2}/36)+MOD((FIND(MID(AZ192,{1,2,3,4,5,6,7,8,9,10,11,12,13,14},1),"0123456789ABCDEFGHIJKLMNOPQRSTUVWXYZ")-1)*{1,2,1,2,1,2,1,2,1,2,1,2,1,2},36)),36),36)+1,1)=MID(AZ192,15,1),"OK","Typo? check digit wrong")),"Wrong format"))</f>
        <v/>
      </c>
      <c r="AW192" s="29">
        <f>IF(BA192="","",IF(AND(LEN(BA192)=10,SUMPRODUCT(--ISERROR(FIND(MID(BA192,{1,2,3,4,5,10},1),"ABCDEFGHIJKLMNOPQRSTUVWXYZ")))=0,SUMPRODUCT(--ISERROR(FIND(MID(BA192,{6,7,8,9},1),"0123456789")))=0),"OK","Wrong format"))</f>
        <v/>
      </c>
      <c r="AX192" s="29">
        <f>IF(TRIM(H192)="","",IF(AND(LEN(UPPER(TRIM(H192)))=10,SUMPRODUCT(--ISERROR(FIND(MID(UPPER(TRIM(H192)),{1,2,3,4,10},1),"ABCDEFGHIJKLMNOPQRSTUVWXYZ")))=0,SUMPRODUCT(--ISERROR(FIND(MID(UPPER(TRIM(H192)),{5,6,7,8,9},1),"0123456789")))=0),"OK","Wrong format"))</f>
        <v/>
      </c>
      <c r="AY192" s="30">
        <f>IF(NOT(COUNTA(A192:AE192)&gt;0),"",IF(BE192&lt;&gt;"","✖ "&amp;LEFT(BE192,LEN(BE192)-2),IF(BD192&gt;0,"✔ Ready — client + "&amp;BD192&amp;" service(s)","✔ Ready — client only")))</f>
        <v/>
      </c>
      <c r="AZ192" s="31">
        <f>UPPER(SUBSTITUTE(TRIM(F192)," ",""))</f>
        <v/>
      </c>
      <c r="BA192" s="31">
        <f>UPPER(SUBSTITUTE(TRIM(E192)," ",""))</f>
        <v/>
      </c>
      <c r="BB192" s="31">
        <f>IF(D192&lt;&gt;"",D192,IFERROR(VLOOKUP(MID(AS192,4,1),Lists!$E$2:$F$8,2,FALSE),""))</f>
        <v/>
      </c>
      <c r="BC192" s="31">
        <f>IFERROR(VLOOKUP(BB192,Lists!$A$2:$C$12,3,FALSE),"")</f>
        <v/>
      </c>
      <c r="BD192" s="31">
        <f>COUNTIF(W192:AC192,"Yes")</f>
        <v/>
      </c>
      <c r="BE192" s="31">
        <f>IF(TRIM(B192)="","Legal name missing; ","")&amp;IF(AND(AV192&lt;&gt;"",AV192&lt;&gt;"OK"),"GSTIN: "&amp;AV192&amp;"; ","")&amp;IF(AND(AW192&lt;&gt;"",AW192&lt;&gt;"OK"),"PAN wrong format; ","")&amp;IF(AND(BA192&lt;&gt;"",LEN(AZ192)=15,MID(AZ192,3,10)&lt;&gt;BA192),"PAN does not match GSTIN; ","")&amp;IF(AND(AX192&lt;&gt;"",AX192&lt;&gt;"OK"),"TAN wrong format; ","")&amp;IF(AS192="","PAN missing; ","")&amp;IF(BB192="","Entity type missing; ","")&amp;IF(AND(AZ192&lt;&gt;"",COUNTIF($AZ$6:$AZ$1005,AZ192)&gt;1),"GSTIN repeated in this sheet; ","")&amp;IF(AND(AS192&lt;&gt;"",COUNTIF($AS$6:$AS$1005,AS192)&gt;1),"PAN repeated in this sheet (same client? put extra GSTINs in Other GSTINs); ","")&amp;IF(AND(BD192&gt;0,V192=""),"Financial year missing; ","")&amp;IF(AND(BD192=0,V192&lt;&gt;""),"Financial year given but no service is Yes; ","")&amp;IF(AND(W192="Yes",AZ192=""),"GST needs a GSTIN; ","")&amp;IF(AND(W192="Yes",X192=""),"GST return frequency missing; ","")&amp;IF(AND(Y192="Yes",TRIM(H192)=""),"TDS needs a TAN; ","")&amp;IF(AND(AA192="Yes",BC192&lt;&gt;"",BC192&lt;&gt;"company",BC192&lt;&gt;"llp"),"ROC is only for a company / LLP; ","")&amp;IF(AND(AA192="Yes",OR(BC192="company",BC192="llp"),TRIM(I192)=""),"ROC needs the CIN / LLPIN; ","")&amp;IF((TRIM(AF192)="")&lt;&gt;(TRIM(AG192)=""),"GST login needs both user ID and password; ","")&amp;IF((TRIM(AH192)="")&lt;&gt;(TRIM(AI192)=""),"Income-tax login needs both user ID and password; ","")&amp;IF((TRIM(AJ192)="")&lt;&gt;(TRIM(AK192)=""),"Income-tax login needs both user ID and password; ","")&amp;IF((TRIM(AL192)="")&lt;&gt;(TRIM(AM192)=""),"TRACES login needs both user ID and password; ","")&amp;IF((TRIM(AN192)="")&lt;&gt;(TRIM(AO192)=""),"MCA login needs both user ID and password; ","")&amp;IF((TRIM(AP192)="")&lt;&gt;(TRIM(AQ192)=""),"E-way bill login needs both user ID and password; ","")</f>
        <v/>
      </c>
    </row>
    <row r="193">
      <c r="A193" s="32" t="n"/>
      <c r="B193" s="33" t="n"/>
      <c r="C193" s="33" t="n"/>
      <c r="D193" s="33" t="n"/>
      <c r="E193" s="32" t="n"/>
      <c r="F193" s="32" t="n"/>
      <c r="G193" s="32" t="n"/>
      <c r="H193" s="32" t="n"/>
      <c r="I193" s="32" t="n"/>
      <c r="J193" s="34" t="n"/>
      <c r="K193" s="33" t="n"/>
      <c r="L193" s="32" t="n"/>
      <c r="M193" s="33" t="n"/>
      <c r="N193" s="33" t="n"/>
      <c r="O193" s="33" t="n"/>
      <c r="P193" s="32" t="n"/>
      <c r="Q193" s="33" t="n"/>
      <c r="R193" s="33" t="n"/>
      <c r="S193" s="33" t="n"/>
      <c r="T193" s="33" t="n"/>
      <c r="U193" s="32" t="n"/>
      <c r="V193" s="33" t="n"/>
      <c r="W193" s="33" t="n"/>
      <c r="X193" s="33" t="n"/>
      <c r="Y193" s="33" t="n"/>
      <c r="Z193" s="33" t="n"/>
      <c r="AA193" s="33" t="n"/>
      <c r="AB193" s="33" t="n"/>
      <c r="AC193" s="33" t="n"/>
      <c r="AD193" s="33" t="n"/>
      <c r="AE193" s="33" t="n"/>
      <c r="AF193" s="32" t="n"/>
      <c r="AG193" s="32" t="n"/>
      <c r="AH193" s="32" t="n"/>
      <c r="AI193" s="32" t="n"/>
      <c r="AJ193" s="32" t="n"/>
      <c r="AK193" s="32" t="n"/>
      <c r="AL193" s="32" t="n"/>
      <c r="AM193" s="32" t="n"/>
      <c r="AN193" s="32" t="n"/>
      <c r="AO193" s="32" t="n"/>
      <c r="AP193" s="32" t="n"/>
      <c r="AQ193" s="32" t="n"/>
      <c r="AR193" s="29">
        <f>IF(NOT(COUNTA(A193:AE193)&gt;0),"",IF(A193="","New client","Update"))</f>
        <v/>
      </c>
      <c r="AS193" s="29">
        <f>IF(BA193&lt;&gt;"",BA193,IF(LEN(AZ193)=15,MID(AZ193,3,10),""))</f>
        <v/>
      </c>
      <c r="AT193" s="29">
        <f>IF(BB193="","",BB193&amp;IF(D193="","  (guessed from PAN)",""))</f>
        <v/>
      </c>
      <c r="AU193" s="29">
        <f>IF(AZ193="","",IFERROR(INDEX(Lists!$L$2:$L$38,MATCH(LEFT(AZ193,2),Lists!$K$2:$K$38,0)),"Unknown code"))</f>
        <v/>
      </c>
      <c r="AV193" s="29">
        <f>IF(AZ193="","",IFERROR(IF(NOT(AND(LEN(AZ193)=15,ISNUMBER(MATCH(LEFT(AZ193,2),Lists!$K$2:$K$38,0)),SUMPRODUCT(--ISERROR(FIND(MID(MID(AZ193,3,10),{1,2,3,4,5,10},1),"ABCDEFGHIJKLMNOPQRSTUVWXYZ")))=0,SUMPRODUCT(--ISERROR(FIND(MID(MID(AZ193,3,10),{6,7,8,9},1),"0123456789")))=0,ISNUMBER(FIND(MID(AZ193,13,1),"123456789ABCDEFGHIJKLMNOPQRSTUVWXYZ")),MID(AZ193,14,1)="Z")),"Wrong format",IF(MID("0123456789ABCDEFGHIJKLMNOPQRSTUVWXYZ",MOD(36-MOD(SUMPRODUCT(INT((FIND(MID(AZ193,{1,2,3,4,5,6,7,8,9,10,11,12,13,14},1),"0123456789ABCDEFGHIJKLMNOPQRSTUVWXYZ")-1)*{1,2,1,2,1,2,1,2,1,2,1,2,1,2}/36)+MOD((FIND(MID(AZ193,{1,2,3,4,5,6,7,8,9,10,11,12,13,14},1),"0123456789ABCDEFGHIJKLMNOPQRSTUVWXYZ")-1)*{1,2,1,2,1,2,1,2,1,2,1,2,1,2},36)),36),36)+1,1)=MID(AZ193,15,1),"OK","Typo? check digit wrong")),"Wrong format"))</f>
        <v/>
      </c>
      <c r="AW193" s="29">
        <f>IF(BA193="","",IF(AND(LEN(BA193)=10,SUMPRODUCT(--ISERROR(FIND(MID(BA193,{1,2,3,4,5,10},1),"ABCDEFGHIJKLMNOPQRSTUVWXYZ")))=0,SUMPRODUCT(--ISERROR(FIND(MID(BA193,{6,7,8,9},1),"0123456789")))=0),"OK","Wrong format"))</f>
        <v/>
      </c>
      <c r="AX193" s="29">
        <f>IF(TRIM(H193)="","",IF(AND(LEN(UPPER(TRIM(H193)))=10,SUMPRODUCT(--ISERROR(FIND(MID(UPPER(TRIM(H193)),{1,2,3,4,10},1),"ABCDEFGHIJKLMNOPQRSTUVWXYZ")))=0,SUMPRODUCT(--ISERROR(FIND(MID(UPPER(TRIM(H193)),{5,6,7,8,9},1),"0123456789")))=0),"OK","Wrong format"))</f>
        <v/>
      </c>
      <c r="AY193" s="30">
        <f>IF(NOT(COUNTA(A193:AE193)&gt;0),"",IF(BE193&lt;&gt;"","✖ "&amp;LEFT(BE193,LEN(BE193)-2),IF(BD193&gt;0,"✔ Ready — client + "&amp;BD193&amp;" service(s)","✔ Ready — client only")))</f>
        <v/>
      </c>
      <c r="AZ193" s="31">
        <f>UPPER(SUBSTITUTE(TRIM(F193)," ",""))</f>
        <v/>
      </c>
      <c r="BA193" s="31">
        <f>UPPER(SUBSTITUTE(TRIM(E193)," ",""))</f>
        <v/>
      </c>
      <c r="BB193" s="31">
        <f>IF(D193&lt;&gt;"",D193,IFERROR(VLOOKUP(MID(AS193,4,1),Lists!$E$2:$F$8,2,FALSE),""))</f>
        <v/>
      </c>
      <c r="BC193" s="31">
        <f>IFERROR(VLOOKUP(BB193,Lists!$A$2:$C$12,3,FALSE),"")</f>
        <v/>
      </c>
      <c r="BD193" s="31">
        <f>COUNTIF(W193:AC193,"Yes")</f>
        <v/>
      </c>
      <c r="BE193" s="31">
        <f>IF(TRIM(B193)="","Legal name missing; ","")&amp;IF(AND(AV193&lt;&gt;"",AV193&lt;&gt;"OK"),"GSTIN: "&amp;AV193&amp;"; ","")&amp;IF(AND(AW193&lt;&gt;"",AW193&lt;&gt;"OK"),"PAN wrong format; ","")&amp;IF(AND(BA193&lt;&gt;"",LEN(AZ193)=15,MID(AZ193,3,10)&lt;&gt;BA193),"PAN does not match GSTIN; ","")&amp;IF(AND(AX193&lt;&gt;"",AX193&lt;&gt;"OK"),"TAN wrong format; ","")&amp;IF(AS193="","PAN missing; ","")&amp;IF(BB193="","Entity type missing; ","")&amp;IF(AND(AZ193&lt;&gt;"",COUNTIF($AZ$6:$AZ$1005,AZ193)&gt;1),"GSTIN repeated in this sheet; ","")&amp;IF(AND(AS193&lt;&gt;"",COUNTIF($AS$6:$AS$1005,AS193)&gt;1),"PAN repeated in this sheet (same client? put extra GSTINs in Other GSTINs); ","")&amp;IF(AND(BD193&gt;0,V193=""),"Financial year missing; ","")&amp;IF(AND(BD193=0,V193&lt;&gt;""),"Financial year given but no service is Yes; ","")&amp;IF(AND(W193="Yes",AZ193=""),"GST needs a GSTIN; ","")&amp;IF(AND(W193="Yes",X193=""),"GST return frequency missing; ","")&amp;IF(AND(Y193="Yes",TRIM(H193)=""),"TDS needs a TAN; ","")&amp;IF(AND(AA193="Yes",BC193&lt;&gt;"",BC193&lt;&gt;"company",BC193&lt;&gt;"llp"),"ROC is only for a company / LLP; ","")&amp;IF(AND(AA193="Yes",OR(BC193="company",BC193="llp"),TRIM(I193)=""),"ROC needs the CIN / LLPIN; ","")&amp;IF((TRIM(AF193)="")&lt;&gt;(TRIM(AG193)=""),"GST login needs both user ID and password; ","")&amp;IF((TRIM(AH193)="")&lt;&gt;(TRIM(AI193)=""),"Income-tax login needs both user ID and password; ","")&amp;IF((TRIM(AJ193)="")&lt;&gt;(TRIM(AK193)=""),"Income-tax login needs both user ID and password; ","")&amp;IF((TRIM(AL193)="")&lt;&gt;(TRIM(AM193)=""),"TRACES login needs both user ID and password; ","")&amp;IF((TRIM(AN193)="")&lt;&gt;(TRIM(AO193)=""),"MCA login needs both user ID and password; ","")&amp;IF((TRIM(AP193)="")&lt;&gt;(TRIM(AQ193)=""),"E-way bill login needs both user ID and password; ","")</f>
        <v/>
      </c>
    </row>
    <row r="194">
      <c r="A194" s="32" t="n"/>
      <c r="B194" s="33" t="n"/>
      <c r="C194" s="33" t="n"/>
      <c r="D194" s="33" t="n"/>
      <c r="E194" s="32" t="n"/>
      <c r="F194" s="32" t="n"/>
      <c r="G194" s="32" t="n"/>
      <c r="H194" s="32" t="n"/>
      <c r="I194" s="32" t="n"/>
      <c r="J194" s="34" t="n"/>
      <c r="K194" s="33" t="n"/>
      <c r="L194" s="32" t="n"/>
      <c r="M194" s="33" t="n"/>
      <c r="N194" s="33" t="n"/>
      <c r="O194" s="33" t="n"/>
      <c r="P194" s="32" t="n"/>
      <c r="Q194" s="33" t="n"/>
      <c r="R194" s="33" t="n"/>
      <c r="S194" s="33" t="n"/>
      <c r="T194" s="33" t="n"/>
      <c r="U194" s="32" t="n"/>
      <c r="V194" s="33" t="n"/>
      <c r="W194" s="33" t="n"/>
      <c r="X194" s="33" t="n"/>
      <c r="Y194" s="33" t="n"/>
      <c r="Z194" s="33" t="n"/>
      <c r="AA194" s="33" t="n"/>
      <c r="AB194" s="33" t="n"/>
      <c r="AC194" s="33" t="n"/>
      <c r="AD194" s="33" t="n"/>
      <c r="AE194" s="33" t="n"/>
      <c r="AF194" s="32" t="n"/>
      <c r="AG194" s="32" t="n"/>
      <c r="AH194" s="32" t="n"/>
      <c r="AI194" s="32" t="n"/>
      <c r="AJ194" s="32" t="n"/>
      <c r="AK194" s="32" t="n"/>
      <c r="AL194" s="32" t="n"/>
      <c r="AM194" s="32" t="n"/>
      <c r="AN194" s="32" t="n"/>
      <c r="AO194" s="32" t="n"/>
      <c r="AP194" s="32" t="n"/>
      <c r="AQ194" s="32" t="n"/>
      <c r="AR194" s="29">
        <f>IF(NOT(COUNTA(A194:AE194)&gt;0),"",IF(A194="","New client","Update"))</f>
        <v/>
      </c>
      <c r="AS194" s="29">
        <f>IF(BA194&lt;&gt;"",BA194,IF(LEN(AZ194)=15,MID(AZ194,3,10),""))</f>
        <v/>
      </c>
      <c r="AT194" s="29">
        <f>IF(BB194="","",BB194&amp;IF(D194="","  (guessed from PAN)",""))</f>
        <v/>
      </c>
      <c r="AU194" s="29">
        <f>IF(AZ194="","",IFERROR(INDEX(Lists!$L$2:$L$38,MATCH(LEFT(AZ194,2),Lists!$K$2:$K$38,0)),"Unknown code"))</f>
        <v/>
      </c>
      <c r="AV194" s="29">
        <f>IF(AZ194="","",IFERROR(IF(NOT(AND(LEN(AZ194)=15,ISNUMBER(MATCH(LEFT(AZ194,2),Lists!$K$2:$K$38,0)),SUMPRODUCT(--ISERROR(FIND(MID(MID(AZ194,3,10),{1,2,3,4,5,10},1),"ABCDEFGHIJKLMNOPQRSTUVWXYZ")))=0,SUMPRODUCT(--ISERROR(FIND(MID(MID(AZ194,3,10),{6,7,8,9},1),"0123456789")))=0,ISNUMBER(FIND(MID(AZ194,13,1),"123456789ABCDEFGHIJKLMNOPQRSTUVWXYZ")),MID(AZ194,14,1)="Z")),"Wrong format",IF(MID("0123456789ABCDEFGHIJKLMNOPQRSTUVWXYZ",MOD(36-MOD(SUMPRODUCT(INT((FIND(MID(AZ194,{1,2,3,4,5,6,7,8,9,10,11,12,13,14},1),"0123456789ABCDEFGHIJKLMNOPQRSTUVWXYZ")-1)*{1,2,1,2,1,2,1,2,1,2,1,2,1,2}/36)+MOD((FIND(MID(AZ194,{1,2,3,4,5,6,7,8,9,10,11,12,13,14},1),"0123456789ABCDEFGHIJKLMNOPQRSTUVWXYZ")-1)*{1,2,1,2,1,2,1,2,1,2,1,2,1,2},36)),36),36)+1,1)=MID(AZ194,15,1),"OK","Typo? check digit wrong")),"Wrong format"))</f>
        <v/>
      </c>
      <c r="AW194" s="29">
        <f>IF(BA194="","",IF(AND(LEN(BA194)=10,SUMPRODUCT(--ISERROR(FIND(MID(BA194,{1,2,3,4,5,10},1),"ABCDEFGHIJKLMNOPQRSTUVWXYZ")))=0,SUMPRODUCT(--ISERROR(FIND(MID(BA194,{6,7,8,9},1),"0123456789")))=0),"OK","Wrong format"))</f>
        <v/>
      </c>
      <c r="AX194" s="29">
        <f>IF(TRIM(H194)="","",IF(AND(LEN(UPPER(TRIM(H194)))=10,SUMPRODUCT(--ISERROR(FIND(MID(UPPER(TRIM(H194)),{1,2,3,4,10},1),"ABCDEFGHIJKLMNOPQRSTUVWXYZ")))=0,SUMPRODUCT(--ISERROR(FIND(MID(UPPER(TRIM(H194)),{5,6,7,8,9},1),"0123456789")))=0),"OK","Wrong format"))</f>
        <v/>
      </c>
      <c r="AY194" s="30">
        <f>IF(NOT(COUNTA(A194:AE194)&gt;0),"",IF(BE194&lt;&gt;"","✖ "&amp;LEFT(BE194,LEN(BE194)-2),IF(BD194&gt;0,"✔ Ready — client + "&amp;BD194&amp;" service(s)","✔ Ready — client only")))</f>
        <v/>
      </c>
      <c r="AZ194" s="31">
        <f>UPPER(SUBSTITUTE(TRIM(F194)," ",""))</f>
        <v/>
      </c>
      <c r="BA194" s="31">
        <f>UPPER(SUBSTITUTE(TRIM(E194)," ",""))</f>
        <v/>
      </c>
      <c r="BB194" s="31">
        <f>IF(D194&lt;&gt;"",D194,IFERROR(VLOOKUP(MID(AS194,4,1),Lists!$E$2:$F$8,2,FALSE),""))</f>
        <v/>
      </c>
      <c r="BC194" s="31">
        <f>IFERROR(VLOOKUP(BB194,Lists!$A$2:$C$12,3,FALSE),"")</f>
        <v/>
      </c>
      <c r="BD194" s="31">
        <f>COUNTIF(W194:AC194,"Yes")</f>
        <v/>
      </c>
      <c r="BE194" s="31">
        <f>IF(TRIM(B194)="","Legal name missing; ","")&amp;IF(AND(AV194&lt;&gt;"",AV194&lt;&gt;"OK"),"GSTIN: "&amp;AV194&amp;"; ","")&amp;IF(AND(AW194&lt;&gt;"",AW194&lt;&gt;"OK"),"PAN wrong format; ","")&amp;IF(AND(BA194&lt;&gt;"",LEN(AZ194)=15,MID(AZ194,3,10)&lt;&gt;BA194),"PAN does not match GSTIN; ","")&amp;IF(AND(AX194&lt;&gt;"",AX194&lt;&gt;"OK"),"TAN wrong format; ","")&amp;IF(AS194="","PAN missing; ","")&amp;IF(BB194="","Entity type missing; ","")&amp;IF(AND(AZ194&lt;&gt;"",COUNTIF($AZ$6:$AZ$1005,AZ194)&gt;1),"GSTIN repeated in this sheet; ","")&amp;IF(AND(AS194&lt;&gt;"",COUNTIF($AS$6:$AS$1005,AS194)&gt;1),"PAN repeated in this sheet (same client? put extra GSTINs in Other GSTINs); ","")&amp;IF(AND(BD194&gt;0,V194=""),"Financial year missing; ","")&amp;IF(AND(BD194=0,V194&lt;&gt;""),"Financial year given but no service is Yes; ","")&amp;IF(AND(W194="Yes",AZ194=""),"GST needs a GSTIN; ","")&amp;IF(AND(W194="Yes",X194=""),"GST return frequency missing; ","")&amp;IF(AND(Y194="Yes",TRIM(H194)=""),"TDS needs a TAN; ","")&amp;IF(AND(AA194="Yes",BC194&lt;&gt;"",BC194&lt;&gt;"company",BC194&lt;&gt;"llp"),"ROC is only for a company / LLP; ","")&amp;IF(AND(AA194="Yes",OR(BC194="company",BC194="llp"),TRIM(I194)=""),"ROC needs the CIN / LLPIN; ","")&amp;IF((TRIM(AF194)="")&lt;&gt;(TRIM(AG194)=""),"GST login needs both user ID and password; ","")&amp;IF((TRIM(AH194)="")&lt;&gt;(TRIM(AI194)=""),"Income-tax login needs both user ID and password; ","")&amp;IF((TRIM(AJ194)="")&lt;&gt;(TRIM(AK194)=""),"Income-tax login needs both user ID and password; ","")&amp;IF((TRIM(AL194)="")&lt;&gt;(TRIM(AM194)=""),"TRACES login needs both user ID and password; ","")&amp;IF((TRIM(AN194)="")&lt;&gt;(TRIM(AO194)=""),"MCA login needs both user ID and password; ","")&amp;IF((TRIM(AP194)="")&lt;&gt;(TRIM(AQ194)=""),"E-way bill login needs both user ID and password; ","")</f>
        <v/>
      </c>
    </row>
    <row r="195">
      <c r="A195" s="32" t="n"/>
      <c r="B195" s="33" t="n"/>
      <c r="C195" s="33" t="n"/>
      <c r="D195" s="33" t="n"/>
      <c r="E195" s="32" t="n"/>
      <c r="F195" s="32" t="n"/>
      <c r="G195" s="32" t="n"/>
      <c r="H195" s="32" t="n"/>
      <c r="I195" s="32" t="n"/>
      <c r="J195" s="34" t="n"/>
      <c r="K195" s="33" t="n"/>
      <c r="L195" s="32" t="n"/>
      <c r="M195" s="33" t="n"/>
      <c r="N195" s="33" t="n"/>
      <c r="O195" s="33" t="n"/>
      <c r="P195" s="32" t="n"/>
      <c r="Q195" s="33" t="n"/>
      <c r="R195" s="33" t="n"/>
      <c r="S195" s="33" t="n"/>
      <c r="T195" s="33" t="n"/>
      <c r="U195" s="32" t="n"/>
      <c r="V195" s="33" t="n"/>
      <c r="W195" s="33" t="n"/>
      <c r="X195" s="33" t="n"/>
      <c r="Y195" s="33" t="n"/>
      <c r="Z195" s="33" t="n"/>
      <c r="AA195" s="33" t="n"/>
      <c r="AB195" s="33" t="n"/>
      <c r="AC195" s="33" t="n"/>
      <c r="AD195" s="33" t="n"/>
      <c r="AE195" s="33" t="n"/>
      <c r="AF195" s="32" t="n"/>
      <c r="AG195" s="32" t="n"/>
      <c r="AH195" s="32" t="n"/>
      <c r="AI195" s="32" t="n"/>
      <c r="AJ195" s="32" t="n"/>
      <c r="AK195" s="32" t="n"/>
      <c r="AL195" s="32" t="n"/>
      <c r="AM195" s="32" t="n"/>
      <c r="AN195" s="32" t="n"/>
      <c r="AO195" s="32" t="n"/>
      <c r="AP195" s="32" t="n"/>
      <c r="AQ195" s="32" t="n"/>
      <c r="AR195" s="29">
        <f>IF(NOT(COUNTA(A195:AE195)&gt;0),"",IF(A195="","New client","Update"))</f>
        <v/>
      </c>
      <c r="AS195" s="29">
        <f>IF(BA195&lt;&gt;"",BA195,IF(LEN(AZ195)=15,MID(AZ195,3,10),""))</f>
        <v/>
      </c>
      <c r="AT195" s="29">
        <f>IF(BB195="","",BB195&amp;IF(D195="","  (guessed from PAN)",""))</f>
        <v/>
      </c>
      <c r="AU195" s="29">
        <f>IF(AZ195="","",IFERROR(INDEX(Lists!$L$2:$L$38,MATCH(LEFT(AZ195,2),Lists!$K$2:$K$38,0)),"Unknown code"))</f>
        <v/>
      </c>
      <c r="AV195" s="29">
        <f>IF(AZ195="","",IFERROR(IF(NOT(AND(LEN(AZ195)=15,ISNUMBER(MATCH(LEFT(AZ195,2),Lists!$K$2:$K$38,0)),SUMPRODUCT(--ISERROR(FIND(MID(MID(AZ195,3,10),{1,2,3,4,5,10},1),"ABCDEFGHIJKLMNOPQRSTUVWXYZ")))=0,SUMPRODUCT(--ISERROR(FIND(MID(MID(AZ195,3,10),{6,7,8,9},1),"0123456789")))=0,ISNUMBER(FIND(MID(AZ195,13,1),"123456789ABCDEFGHIJKLMNOPQRSTUVWXYZ")),MID(AZ195,14,1)="Z")),"Wrong format",IF(MID("0123456789ABCDEFGHIJKLMNOPQRSTUVWXYZ",MOD(36-MOD(SUMPRODUCT(INT((FIND(MID(AZ195,{1,2,3,4,5,6,7,8,9,10,11,12,13,14},1),"0123456789ABCDEFGHIJKLMNOPQRSTUVWXYZ")-1)*{1,2,1,2,1,2,1,2,1,2,1,2,1,2}/36)+MOD((FIND(MID(AZ195,{1,2,3,4,5,6,7,8,9,10,11,12,13,14},1),"0123456789ABCDEFGHIJKLMNOPQRSTUVWXYZ")-1)*{1,2,1,2,1,2,1,2,1,2,1,2,1,2},36)),36),36)+1,1)=MID(AZ195,15,1),"OK","Typo? check digit wrong")),"Wrong format"))</f>
        <v/>
      </c>
      <c r="AW195" s="29">
        <f>IF(BA195="","",IF(AND(LEN(BA195)=10,SUMPRODUCT(--ISERROR(FIND(MID(BA195,{1,2,3,4,5,10},1),"ABCDEFGHIJKLMNOPQRSTUVWXYZ")))=0,SUMPRODUCT(--ISERROR(FIND(MID(BA195,{6,7,8,9},1),"0123456789")))=0),"OK","Wrong format"))</f>
        <v/>
      </c>
      <c r="AX195" s="29">
        <f>IF(TRIM(H195)="","",IF(AND(LEN(UPPER(TRIM(H195)))=10,SUMPRODUCT(--ISERROR(FIND(MID(UPPER(TRIM(H195)),{1,2,3,4,10},1),"ABCDEFGHIJKLMNOPQRSTUVWXYZ")))=0,SUMPRODUCT(--ISERROR(FIND(MID(UPPER(TRIM(H195)),{5,6,7,8,9},1),"0123456789")))=0),"OK","Wrong format"))</f>
        <v/>
      </c>
      <c r="AY195" s="30">
        <f>IF(NOT(COUNTA(A195:AE195)&gt;0),"",IF(BE195&lt;&gt;"","✖ "&amp;LEFT(BE195,LEN(BE195)-2),IF(BD195&gt;0,"✔ Ready — client + "&amp;BD195&amp;" service(s)","✔ Ready — client only")))</f>
        <v/>
      </c>
      <c r="AZ195" s="31">
        <f>UPPER(SUBSTITUTE(TRIM(F195)," ",""))</f>
        <v/>
      </c>
      <c r="BA195" s="31">
        <f>UPPER(SUBSTITUTE(TRIM(E195)," ",""))</f>
        <v/>
      </c>
      <c r="BB195" s="31">
        <f>IF(D195&lt;&gt;"",D195,IFERROR(VLOOKUP(MID(AS195,4,1),Lists!$E$2:$F$8,2,FALSE),""))</f>
        <v/>
      </c>
      <c r="BC195" s="31">
        <f>IFERROR(VLOOKUP(BB195,Lists!$A$2:$C$12,3,FALSE),"")</f>
        <v/>
      </c>
      <c r="BD195" s="31">
        <f>COUNTIF(W195:AC195,"Yes")</f>
        <v/>
      </c>
      <c r="BE195" s="31">
        <f>IF(TRIM(B195)="","Legal name missing; ","")&amp;IF(AND(AV195&lt;&gt;"",AV195&lt;&gt;"OK"),"GSTIN: "&amp;AV195&amp;"; ","")&amp;IF(AND(AW195&lt;&gt;"",AW195&lt;&gt;"OK"),"PAN wrong format; ","")&amp;IF(AND(BA195&lt;&gt;"",LEN(AZ195)=15,MID(AZ195,3,10)&lt;&gt;BA195),"PAN does not match GSTIN; ","")&amp;IF(AND(AX195&lt;&gt;"",AX195&lt;&gt;"OK"),"TAN wrong format; ","")&amp;IF(AS195="","PAN missing; ","")&amp;IF(BB195="","Entity type missing; ","")&amp;IF(AND(AZ195&lt;&gt;"",COUNTIF($AZ$6:$AZ$1005,AZ195)&gt;1),"GSTIN repeated in this sheet; ","")&amp;IF(AND(AS195&lt;&gt;"",COUNTIF($AS$6:$AS$1005,AS195)&gt;1),"PAN repeated in this sheet (same client? put extra GSTINs in Other GSTINs); ","")&amp;IF(AND(BD195&gt;0,V195=""),"Financial year missing; ","")&amp;IF(AND(BD195=0,V195&lt;&gt;""),"Financial year given but no service is Yes; ","")&amp;IF(AND(W195="Yes",AZ195=""),"GST needs a GSTIN; ","")&amp;IF(AND(W195="Yes",X195=""),"GST return frequency missing; ","")&amp;IF(AND(Y195="Yes",TRIM(H195)=""),"TDS needs a TAN; ","")&amp;IF(AND(AA195="Yes",BC195&lt;&gt;"",BC195&lt;&gt;"company",BC195&lt;&gt;"llp"),"ROC is only for a company / LLP; ","")&amp;IF(AND(AA195="Yes",OR(BC195="company",BC195="llp"),TRIM(I195)=""),"ROC needs the CIN / LLPIN; ","")&amp;IF((TRIM(AF195)="")&lt;&gt;(TRIM(AG195)=""),"GST login needs both user ID and password; ","")&amp;IF((TRIM(AH195)="")&lt;&gt;(TRIM(AI195)=""),"Income-tax login needs both user ID and password; ","")&amp;IF((TRIM(AJ195)="")&lt;&gt;(TRIM(AK195)=""),"Income-tax login needs both user ID and password; ","")&amp;IF((TRIM(AL195)="")&lt;&gt;(TRIM(AM195)=""),"TRACES login needs both user ID and password; ","")&amp;IF((TRIM(AN195)="")&lt;&gt;(TRIM(AO195)=""),"MCA login needs both user ID and password; ","")&amp;IF((TRIM(AP195)="")&lt;&gt;(TRIM(AQ195)=""),"E-way bill login needs both user ID and password; ","")</f>
        <v/>
      </c>
    </row>
    <row r="196">
      <c r="A196" s="32" t="n"/>
      <c r="B196" s="33" t="n"/>
      <c r="C196" s="33" t="n"/>
      <c r="D196" s="33" t="n"/>
      <c r="E196" s="32" t="n"/>
      <c r="F196" s="32" t="n"/>
      <c r="G196" s="32" t="n"/>
      <c r="H196" s="32" t="n"/>
      <c r="I196" s="32" t="n"/>
      <c r="J196" s="34" t="n"/>
      <c r="K196" s="33" t="n"/>
      <c r="L196" s="32" t="n"/>
      <c r="M196" s="33" t="n"/>
      <c r="N196" s="33" t="n"/>
      <c r="O196" s="33" t="n"/>
      <c r="P196" s="32" t="n"/>
      <c r="Q196" s="33" t="n"/>
      <c r="R196" s="33" t="n"/>
      <c r="S196" s="33" t="n"/>
      <c r="T196" s="33" t="n"/>
      <c r="U196" s="32" t="n"/>
      <c r="V196" s="33" t="n"/>
      <c r="W196" s="33" t="n"/>
      <c r="X196" s="33" t="n"/>
      <c r="Y196" s="33" t="n"/>
      <c r="Z196" s="33" t="n"/>
      <c r="AA196" s="33" t="n"/>
      <c r="AB196" s="33" t="n"/>
      <c r="AC196" s="33" t="n"/>
      <c r="AD196" s="33" t="n"/>
      <c r="AE196" s="33" t="n"/>
      <c r="AF196" s="32" t="n"/>
      <c r="AG196" s="32" t="n"/>
      <c r="AH196" s="32" t="n"/>
      <c r="AI196" s="32" t="n"/>
      <c r="AJ196" s="32" t="n"/>
      <c r="AK196" s="32" t="n"/>
      <c r="AL196" s="32" t="n"/>
      <c r="AM196" s="32" t="n"/>
      <c r="AN196" s="32" t="n"/>
      <c r="AO196" s="32" t="n"/>
      <c r="AP196" s="32" t="n"/>
      <c r="AQ196" s="32" t="n"/>
      <c r="AR196" s="29">
        <f>IF(NOT(COUNTA(A196:AE196)&gt;0),"",IF(A196="","New client","Update"))</f>
        <v/>
      </c>
      <c r="AS196" s="29">
        <f>IF(BA196&lt;&gt;"",BA196,IF(LEN(AZ196)=15,MID(AZ196,3,10),""))</f>
        <v/>
      </c>
      <c r="AT196" s="29">
        <f>IF(BB196="","",BB196&amp;IF(D196="","  (guessed from PAN)",""))</f>
        <v/>
      </c>
      <c r="AU196" s="29">
        <f>IF(AZ196="","",IFERROR(INDEX(Lists!$L$2:$L$38,MATCH(LEFT(AZ196,2),Lists!$K$2:$K$38,0)),"Unknown code"))</f>
        <v/>
      </c>
      <c r="AV196" s="29">
        <f>IF(AZ196="","",IFERROR(IF(NOT(AND(LEN(AZ196)=15,ISNUMBER(MATCH(LEFT(AZ196,2),Lists!$K$2:$K$38,0)),SUMPRODUCT(--ISERROR(FIND(MID(MID(AZ196,3,10),{1,2,3,4,5,10},1),"ABCDEFGHIJKLMNOPQRSTUVWXYZ")))=0,SUMPRODUCT(--ISERROR(FIND(MID(MID(AZ196,3,10),{6,7,8,9},1),"0123456789")))=0,ISNUMBER(FIND(MID(AZ196,13,1),"123456789ABCDEFGHIJKLMNOPQRSTUVWXYZ")),MID(AZ196,14,1)="Z")),"Wrong format",IF(MID("0123456789ABCDEFGHIJKLMNOPQRSTUVWXYZ",MOD(36-MOD(SUMPRODUCT(INT((FIND(MID(AZ196,{1,2,3,4,5,6,7,8,9,10,11,12,13,14},1),"0123456789ABCDEFGHIJKLMNOPQRSTUVWXYZ")-1)*{1,2,1,2,1,2,1,2,1,2,1,2,1,2}/36)+MOD((FIND(MID(AZ196,{1,2,3,4,5,6,7,8,9,10,11,12,13,14},1),"0123456789ABCDEFGHIJKLMNOPQRSTUVWXYZ")-1)*{1,2,1,2,1,2,1,2,1,2,1,2,1,2},36)),36),36)+1,1)=MID(AZ196,15,1),"OK","Typo? check digit wrong")),"Wrong format"))</f>
        <v/>
      </c>
      <c r="AW196" s="29">
        <f>IF(BA196="","",IF(AND(LEN(BA196)=10,SUMPRODUCT(--ISERROR(FIND(MID(BA196,{1,2,3,4,5,10},1),"ABCDEFGHIJKLMNOPQRSTUVWXYZ")))=0,SUMPRODUCT(--ISERROR(FIND(MID(BA196,{6,7,8,9},1),"0123456789")))=0),"OK","Wrong format"))</f>
        <v/>
      </c>
      <c r="AX196" s="29">
        <f>IF(TRIM(H196)="","",IF(AND(LEN(UPPER(TRIM(H196)))=10,SUMPRODUCT(--ISERROR(FIND(MID(UPPER(TRIM(H196)),{1,2,3,4,10},1),"ABCDEFGHIJKLMNOPQRSTUVWXYZ")))=0,SUMPRODUCT(--ISERROR(FIND(MID(UPPER(TRIM(H196)),{5,6,7,8,9},1),"0123456789")))=0),"OK","Wrong format"))</f>
        <v/>
      </c>
      <c r="AY196" s="30">
        <f>IF(NOT(COUNTA(A196:AE196)&gt;0),"",IF(BE196&lt;&gt;"","✖ "&amp;LEFT(BE196,LEN(BE196)-2),IF(BD196&gt;0,"✔ Ready — client + "&amp;BD196&amp;" service(s)","✔ Ready — client only")))</f>
        <v/>
      </c>
      <c r="AZ196" s="31">
        <f>UPPER(SUBSTITUTE(TRIM(F196)," ",""))</f>
        <v/>
      </c>
      <c r="BA196" s="31">
        <f>UPPER(SUBSTITUTE(TRIM(E196)," ",""))</f>
        <v/>
      </c>
      <c r="BB196" s="31">
        <f>IF(D196&lt;&gt;"",D196,IFERROR(VLOOKUP(MID(AS196,4,1),Lists!$E$2:$F$8,2,FALSE),""))</f>
        <v/>
      </c>
      <c r="BC196" s="31">
        <f>IFERROR(VLOOKUP(BB196,Lists!$A$2:$C$12,3,FALSE),"")</f>
        <v/>
      </c>
      <c r="BD196" s="31">
        <f>COUNTIF(W196:AC196,"Yes")</f>
        <v/>
      </c>
      <c r="BE196" s="31">
        <f>IF(TRIM(B196)="","Legal name missing; ","")&amp;IF(AND(AV196&lt;&gt;"",AV196&lt;&gt;"OK"),"GSTIN: "&amp;AV196&amp;"; ","")&amp;IF(AND(AW196&lt;&gt;"",AW196&lt;&gt;"OK"),"PAN wrong format; ","")&amp;IF(AND(BA196&lt;&gt;"",LEN(AZ196)=15,MID(AZ196,3,10)&lt;&gt;BA196),"PAN does not match GSTIN; ","")&amp;IF(AND(AX196&lt;&gt;"",AX196&lt;&gt;"OK"),"TAN wrong format; ","")&amp;IF(AS196="","PAN missing; ","")&amp;IF(BB196="","Entity type missing; ","")&amp;IF(AND(AZ196&lt;&gt;"",COUNTIF($AZ$6:$AZ$1005,AZ196)&gt;1),"GSTIN repeated in this sheet; ","")&amp;IF(AND(AS196&lt;&gt;"",COUNTIF($AS$6:$AS$1005,AS196)&gt;1),"PAN repeated in this sheet (same client? put extra GSTINs in Other GSTINs); ","")&amp;IF(AND(BD196&gt;0,V196=""),"Financial year missing; ","")&amp;IF(AND(BD196=0,V196&lt;&gt;""),"Financial year given but no service is Yes; ","")&amp;IF(AND(W196="Yes",AZ196=""),"GST needs a GSTIN; ","")&amp;IF(AND(W196="Yes",X196=""),"GST return frequency missing; ","")&amp;IF(AND(Y196="Yes",TRIM(H196)=""),"TDS needs a TAN; ","")&amp;IF(AND(AA196="Yes",BC196&lt;&gt;"",BC196&lt;&gt;"company",BC196&lt;&gt;"llp"),"ROC is only for a company / LLP; ","")&amp;IF(AND(AA196="Yes",OR(BC196="company",BC196="llp"),TRIM(I196)=""),"ROC needs the CIN / LLPIN; ","")&amp;IF((TRIM(AF196)="")&lt;&gt;(TRIM(AG196)=""),"GST login needs both user ID and password; ","")&amp;IF((TRIM(AH196)="")&lt;&gt;(TRIM(AI196)=""),"Income-tax login needs both user ID and password; ","")&amp;IF((TRIM(AJ196)="")&lt;&gt;(TRIM(AK196)=""),"Income-tax login needs both user ID and password; ","")&amp;IF((TRIM(AL196)="")&lt;&gt;(TRIM(AM196)=""),"TRACES login needs both user ID and password; ","")&amp;IF((TRIM(AN196)="")&lt;&gt;(TRIM(AO196)=""),"MCA login needs both user ID and password; ","")&amp;IF((TRIM(AP196)="")&lt;&gt;(TRIM(AQ196)=""),"E-way bill login needs both user ID and password; ","")</f>
        <v/>
      </c>
    </row>
    <row r="197">
      <c r="A197" s="32" t="n"/>
      <c r="B197" s="33" t="n"/>
      <c r="C197" s="33" t="n"/>
      <c r="D197" s="33" t="n"/>
      <c r="E197" s="32" t="n"/>
      <c r="F197" s="32" t="n"/>
      <c r="G197" s="32" t="n"/>
      <c r="H197" s="32" t="n"/>
      <c r="I197" s="32" t="n"/>
      <c r="J197" s="34" t="n"/>
      <c r="K197" s="33" t="n"/>
      <c r="L197" s="32" t="n"/>
      <c r="M197" s="33" t="n"/>
      <c r="N197" s="33" t="n"/>
      <c r="O197" s="33" t="n"/>
      <c r="P197" s="32" t="n"/>
      <c r="Q197" s="33" t="n"/>
      <c r="R197" s="33" t="n"/>
      <c r="S197" s="33" t="n"/>
      <c r="T197" s="33" t="n"/>
      <c r="U197" s="32" t="n"/>
      <c r="V197" s="33" t="n"/>
      <c r="W197" s="33" t="n"/>
      <c r="X197" s="33" t="n"/>
      <c r="Y197" s="33" t="n"/>
      <c r="Z197" s="33" t="n"/>
      <c r="AA197" s="33" t="n"/>
      <c r="AB197" s="33" t="n"/>
      <c r="AC197" s="33" t="n"/>
      <c r="AD197" s="33" t="n"/>
      <c r="AE197" s="33" t="n"/>
      <c r="AF197" s="32" t="n"/>
      <c r="AG197" s="32" t="n"/>
      <c r="AH197" s="32" t="n"/>
      <c r="AI197" s="32" t="n"/>
      <c r="AJ197" s="32" t="n"/>
      <c r="AK197" s="32" t="n"/>
      <c r="AL197" s="32" t="n"/>
      <c r="AM197" s="32" t="n"/>
      <c r="AN197" s="32" t="n"/>
      <c r="AO197" s="32" t="n"/>
      <c r="AP197" s="32" t="n"/>
      <c r="AQ197" s="32" t="n"/>
      <c r="AR197" s="29">
        <f>IF(NOT(COUNTA(A197:AE197)&gt;0),"",IF(A197="","New client","Update"))</f>
        <v/>
      </c>
      <c r="AS197" s="29">
        <f>IF(BA197&lt;&gt;"",BA197,IF(LEN(AZ197)=15,MID(AZ197,3,10),""))</f>
        <v/>
      </c>
      <c r="AT197" s="29">
        <f>IF(BB197="","",BB197&amp;IF(D197="","  (guessed from PAN)",""))</f>
        <v/>
      </c>
      <c r="AU197" s="29">
        <f>IF(AZ197="","",IFERROR(INDEX(Lists!$L$2:$L$38,MATCH(LEFT(AZ197,2),Lists!$K$2:$K$38,0)),"Unknown code"))</f>
        <v/>
      </c>
      <c r="AV197" s="29">
        <f>IF(AZ197="","",IFERROR(IF(NOT(AND(LEN(AZ197)=15,ISNUMBER(MATCH(LEFT(AZ197,2),Lists!$K$2:$K$38,0)),SUMPRODUCT(--ISERROR(FIND(MID(MID(AZ197,3,10),{1,2,3,4,5,10},1),"ABCDEFGHIJKLMNOPQRSTUVWXYZ")))=0,SUMPRODUCT(--ISERROR(FIND(MID(MID(AZ197,3,10),{6,7,8,9},1),"0123456789")))=0,ISNUMBER(FIND(MID(AZ197,13,1),"123456789ABCDEFGHIJKLMNOPQRSTUVWXYZ")),MID(AZ197,14,1)="Z")),"Wrong format",IF(MID("0123456789ABCDEFGHIJKLMNOPQRSTUVWXYZ",MOD(36-MOD(SUMPRODUCT(INT((FIND(MID(AZ197,{1,2,3,4,5,6,7,8,9,10,11,12,13,14},1),"0123456789ABCDEFGHIJKLMNOPQRSTUVWXYZ")-1)*{1,2,1,2,1,2,1,2,1,2,1,2,1,2}/36)+MOD((FIND(MID(AZ197,{1,2,3,4,5,6,7,8,9,10,11,12,13,14},1),"0123456789ABCDEFGHIJKLMNOPQRSTUVWXYZ")-1)*{1,2,1,2,1,2,1,2,1,2,1,2,1,2},36)),36),36)+1,1)=MID(AZ197,15,1),"OK","Typo? check digit wrong")),"Wrong format"))</f>
        <v/>
      </c>
      <c r="AW197" s="29">
        <f>IF(BA197="","",IF(AND(LEN(BA197)=10,SUMPRODUCT(--ISERROR(FIND(MID(BA197,{1,2,3,4,5,10},1),"ABCDEFGHIJKLMNOPQRSTUVWXYZ")))=0,SUMPRODUCT(--ISERROR(FIND(MID(BA197,{6,7,8,9},1),"0123456789")))=0),"OK","Wrong format"))</f>
        <v/>
      </c>
      <c r="AX197" s="29">
        <f>IF(TRIM(H197)="","",IF(AND(LEN(UPPER(TRIM(H197)))=10,SUMPRODUCT(--ISERROR(FIND(MID(UPPER(TRIM(H197)),{1,2,3,4,10},1),"ABCDEFGHIJKLMNOPQRSTUVWXYZ")))=0,SUMPRODUCT(--ISERROR(FIND(MID(UPPER(TRIM(H197)),{5,6,7,8,9},1),"0123456789")))=0),"OK","Wrong format"))</f>
        <v/>
      </c>
      <c r="AY197" s="30">
        <f>IF(NOT(COUNTA(A197:AE197)&gt;0),"",IF(BE197&lt;&gt;"","✖ "&amp;LEFT(BE197,LEN(BE197)-2),IF(BD197&gt;0,"✔ Ready — client + "&amp;BD197&amp;" service(s)","✔ Ready — client only")))</f>
        <v/>
      </c>
      <c r="AZ197" s="31">
        <f>UPPER(SUBSTITUTE(TRIM(F197)," ",""))</f>
        <v/>
      </c>
      <c r="BA197" s="31">
        <f>UPPER(SUBSTITUTE(TRIM(E197)," ",""))</f>
        <v/>
      </c>
      <c r="BB197" s="31">
        <f>IF(D197&lt;&gt;"",D197,IFERROR(VLOOKUP(MID(AS197,4,1),Lists!$E$2:$F$8,2,FALSE),""))</f>
        <v/>
      </c>
      <c r="BC197" s="31">
        <f>IFERROR(VLOOKUP(BB197,Lists!$A$2:$C$12,3,FALSE),"")</f>
        <v/>
      </c>
      <c r="BD197" s="31">
        <f>COUNTIF(W197:AC197,"Yes")</f>
        <v/>
      </c>
      <c r="BE197" s="31">
        <f>IF(TRIM(B197)="","Legal name missing; ","")&amp;IF(AND(AV197&lt;&gt;"",AV197&lt;&gt;"OK"),"GSTIN: "&amp;AV197&amp;"; ","")&amp;IF(AND(AW197&lt;&gt;"",AW197&lt;&gt;"OK"),"PAN wrong format; ","")&amp;IF(AND(BA197&lt;&gt;"",LEN(AZ197)=15,MID(AZ197,3,10)&lt;&gt;BA197),"PAN does not match GSTIN; ","")&amp;IF(AND(AX197&lt;&gt;"",AX197&lt;&gt;"OK"),"TAN wrong format; ","")&amp;IF(AS197="","PAN missing; ","")&amp;IF(BB197="","Entity type missing; ","")&amp;IF(AND(AZ197&lt;&gt;"",COUNTIF($AZ$6:$AZ$1005,AZ197)&gt;1),"GSTIN repeated in this sheet; ","")&amp;IF(AND(AS197&lt;&gt;"",COUNTIF($AS$6:$AS$1005,AS197)&gt;1),"PAN repeated in this sheet (same client? put extra GSTINs in Other GSTINs); ","")&amp;IF(AND(BD197&gt;0,V197=""),"Financial year missing; ","")&amp;IF(AND(BD197=0,V197&lt;&gt;""),"Financial year given but no service is Yes; ","")&amp;IF(AND(W197="Yes",AZ197=""),"GST needs a GSTIN; ","")&amp;IF(AND(W197="Yes",X197=""),"GST return frequency missing; ","")&amp;IF(AND(Y197="Yes",TRIM(H197)=""),"TDS needs a TAN; ","")&amp;IF(AND(AA197="Yes",BC197&lt;&gt;"",BC197&lt;&gt;"company",BC197&lt;&gt;"llp"),"ROC is only for a company / LLP; ","")&amp;IF(AND(AA197="Yes",OR(BC197="company",BC197="llp"),TRIM(I197)=""),"ROC needs the CIN / LLPIN; ","")&amp;IF((TRIM(AF197)="")&lt;&gt;(TRIM(AG197)=""),"GST login needs both user ID and password; ","")&amp;IF((TRIM(AH197)="")&lt;&gt;(TRIM(AI197)=""),"Income-tax login needs both user ID and password; ","")&amp;IF((TRIM(AJ197)="")&lt;&gt;(TRIM(AK197)=""),"Income-tax login needs both user ID and password; ","")&amp;IF((TRIM(AL197)="")&lt;&gt;(TRIM(AM197)=""),"TRACES login needs both user ID and password; ","")&amp;IF((TRIM(AN197)="")&lt;&gt;(TRIM(AO197)=""),"MCA login needs both user ID and password; ","")&amp;IF((TRIM(AP197)="")&lt;&gt;(TRIM(AQ197)=""),"E-way bill login needs both user ID and password; ","")</f>
        <v/>
      </c>
    </row>
    <row r="198">
      <c r="A198" s="32" t="n"/>
      <c r="B198" s="33" t="n"/>
      <c r="C198" s="33" t="n"/>
      <c r="D198" s="33" t="n"/>
      <c r="E198" s="32" t="n"/>
      <c r="F198" s="32" t="n"/>
      <c r="G198" s="32" t="n"/>
      <c r="H198" s="32" t="n"/>
      <c r="I198" s="32" t="n"/>
      <c r="J198" s="34" t="n"/>
      <c r="K198" s="33" t="n"/>
      <c r="L198" s="32" t="n"/>
      <c r="M198" s="33" t="n"/>
      <c r="N198" s="33" t="n"/>
      <c r="O198" s="33" t="n"/>
      <c r="P198" s="32" t="n"/>
      <c r="Q198" s="33" t="n"/>
      <c r="R198" s="33" t="n"/>
      <c r="S198" s="33" t="n"/>
      <c r="T198" s="33" t="n"/>
      <c r="U198" s="32" t="n"/>
      <c r="V198" s="33" t="n"/>
      <c r="W198" s="33" t="n"/>
      <c r="X198" s="33" t="n"/>
      <c r="Y198" s="33" t="n"/>
      <c r="Z198" s="33" t="n"/>
      <c r="AA198" s="33" t="n"/>
      <c r="AB198" s="33" t="n"/>
      <c r="AC198" s="33" t="n"/>
      <c r="AD198" s="33" t="n"/>
      <c r="AE198" s="33" t="n"/>
      <c r="AF198" s="32" t="n"/>
      <c r="AG198" s="32" t="n"/>
      <c r="AH198" s="32" t="n"/>
      <c r="AI198" s="32" t="n"/>
      <c r="AJ198" s="32" t="n"/>
      <c r="AK198" s="32" t="n"/>
      <c r="AL198" s="32" t="n"/>
      <c r="AM198" s="32" t="n"/>
      <c r="AN198" s="32" t="n"/>
      <c r="AO198" s="32" t="n"/>
      <c r="AP198" s="32" t="n"/>
      <c r="AQ198" s="32" t="n"/>
      <c r="AR198" s="29">
        <f>IF(NOT(COUNTA(A198:AE198)&gt;0),"",IF(A198="","New client","Update"))</f>
        <v/>
      </c>
      <c r="AS198" s="29">
        <f>IF(BA198&lt;&gt;"",BA198,IF(LEN(AZ198)=15,MID(AZ198,3,10),""))</f>
        <v/>
      </c>
      <c r="AT198" s="29">
        <f>IF(BB198="","",BB198&amp;IF(D198="","  (guessed from PAN)",""))</f>
        <v/>
      </c>
      <c r="AU198" s="29">
        <f>IF(AZ198="","",IFERROR(INDEX(Lists!$L$2:$L$38,MATCH(LEFT(AZ198,2),Lists!$K$2:$K$38,0)),"Unknown code"))</f>
        <v/>
      </c>
      <c r="AV198" s="29">
        <f>IF(AZ198="","",IFERROR(IF(NOT(AND(LEN(AZ198)=15,ISNUMBER(MATCH(LEFT(AZ198,2),Lists!$K$2:$K$38,0)),SUMPRODUCT(--ISERROR(FIND(MID(MID(AZ198,3,10),{1,2,3,4,5,10},1),"ABCDEFGHIJKLMNOPQRSTUVWXYZ")))=0,SUMPRODUCT(--ISERROR(FIND(MID(MID(AZ198,3,10),{6,7,8,9},1),"0123456789")))=0,ISNUMBER(FIND(MID(AZ198,13,1),"123456789ABCDEFGHIJKLMNOPQRSTUVWXYZ")),MID(AZ198,14,1)="Z")),"Wrong format",IF(MID("0123456789ABCDEFGHIJKLMNOPQRSTUVWXYZ",MOD(36-MOD(SUMPRODUCT(INT((FIND(MID(AZ198,{1,2,3,4,5,6,7,8,9,10,11,12,13,14},1),"0123456789ABCDEFGHIJKLMNOPQRSTUVWXYZ")-1)*{1,2,1,2,1,2,1,2,1,2,1,2,1,2}/36)+MOD((FIND(MID(AZ198,{1,2,3,4,5,6,7,8,9,10,11,12,13,14},1),"0123456789ABCDEFGHIJKLMNOPQRSTUVWXYZ")-1)*{1,2,1,2,1,2,1,2,1,2,1,2,1,2},36)),36),36)+1,1)=MID(AZ198,15,1),"OK","Typo? check digit wrong")),"Wrong format"))</f>
        <v/>
      </c>
      <c r="AW198" s="29">
        <f>IF(BA198="","",IF(AND(LEN(BA198)=10,SUMPRODUCT(--ISERROR(FIND(MID(BA198,{1,2,3,4,5,10},1),"ABCDEFGHIJKLMNOPQRSTUVWXYZ")))=0,SUMPRODUCT(--ISERROR(FIND(MID(BA198,{6,7,8,9},1),"0123456789")))=0),"OK","Wrong format"))</f>
        <v/>
      </c>
      <c r="AX198" s="29">
        <f>IF(TRIM(H198)="","",IF(AND(LEN(UPPER(TRIM(H198)))=10,SUMPRODUCT(--ISERROR(FIND(MID(UPPER(TRIM(H198)),{1,2,3,4,10},1),"ABCDEFGHIJKLMNOPQRSTUVWXYZ")))=0,SUMPRODUCT(--ISERROR(FIND(MID(UPPER(TRIM(H198)),{5,6,7,8,9},1),"0123456789")))=0),"OK","Wrong format"))</f>
        <v/>
      </c>
      <c r="AY198" s="30">
        <f>IF(NOT(COUNTA(A198:AE198)&gt;0),"",IF(BE198&lt;&gt;"","✖ "&amp;LEFT(BE198,LEN(BE198)-2),IF(BD198&gt;0,"✔ Ready — client + "&amp;BD198&amp;" service(s)","✔ Ready — client only")))</f>
        <v/>
      </c>
      <c r="AZ198" s="31">
        <f>UPPER(SUBSTITUTE(TRIM(F198)," ",""))</f>
        <v/>
      </c>
      <c r="BA198" s="31">
        <f>UPPER(SUBSTITUTE(TRIM(E198)," ",""))</f>
        <v/>
      </c>
      <c r="BB198" s="31">
        <f>IF(D198&lt;&gt;"",D198,IFERROR(VLOOKUP(MID(AS198,4,1),Lists!$E$2:$F$8,2,FALSE),""))</f>
        <v/>
      </c>
      <c r="BC198" s="31">
        <f>IFERROR(VLOOKUP(BB198,Lists!$A$2:$C$12,3,FALSE),"")</f>
        <v/>
      </c>
      <c r="BD198" s="31">
        <f>COUNTIF(W198:AC198,"Yes")</f>
        <v/>
      </c>
      <c r="BE198" s="31">
        <f>IF(TRIM(B198)="","Legal name missing; ","")&amp;IF(AND(AV198&lt;&gt;"",AV198&lt;&gt;"OK"),"GSTIN: "&amp;AV198&amp;"; ","")&amp;IF(AND(AW198&lt;&gt;"",AW198&lt;&gt;"OK"),"PAN wrong format; ","")&amp;IF(AND(BA198&lt;&gt;"",LEN(AZ198)=15,MID(AZ198,3,10)&lt;&gt;BA198),"PAN does not match GSTIN; ","")&amp;IF(AND(AX198&lt;&gt;"",AX198&lt;&gt;"OK"),"TAN wrong format; ","")&amp;IF(AS198="","PAN missing; ","")&amp;IF(BB198="","Entity type missing; ","")&amp;IF(AND(AZ198&lt;&gt;"",COUNTIF($AZ$6:$AZ$1005,AZ198)&gt;1),"GSTIN repeated in this sheet; ","")&amp;IF(AND(AS198&lt;&gt;"",COUNTIF($AS$6:$AS$1005,AS198)&gt;1),"PAN repeated in this sheet (same client? put extra GSTINs in Other GSTINs); ","")&amp;IF(AND(BD198&gt;0,V198=""),"Financial year missing; ","")&amp;IF(AND(BD198=0,V198&lt;&gt;""),"Financial year given but no service is Yes; ","")&amp;IF(AND(W198="Yes",AZ198=""),"GST needs a GSTIN; ","")&amp;IF(AND(W198="Yes",X198=""),"GST return frequency missing; ","")&amp;IF(AND(Y198="Yes",TRIM(H198)=""),"TDS needs a TAN; ","")&amp;IF(AND(AA198="Yes",BC198&lt;&gt;"",BC198&lt;&gt;"company",BC198&lt;&gt;"llp"),"ROC is only for a company / LLP; ","")&amp;IF(AND(AA198="Yes",OR(BC198="company",BC198="llp"),TRIM(I198)=""),"ROC needs the CIN / LLPIN; ","")&amp;IF((TRIM(AF198)="")&lt;&gt;(TRIM(AG198)=""),"GST login needs both user ID and password; ","")&amp;IF((TRIM(AH198)="")&lt;&gt;(TRIM(AI198)=""),"Income-tax login needs both user ID and password; ","")&amp;IF((TRIM(AJ198)="")&lt;&gt;(TRIM(AK198)=""),"Income-tax login needs both user ID and password; ","")&amp;IF((TRIM(AL198)="")&lt;&gt;(TRIM(AM198)=""),"TRACES login needs both user ID and password; ","")&amp;IF((TRIM(AN198)="")&lt;&gt;(TRIM(AO198)=""),"MCA login needs both user ID and password; ","")&amp;IF((TRIM(AP198)="")&lt;&gt;(TRIM(AQ198)=""),"E-way bill login needs both user ID and password; ","")</f>
        <v/>
      </c>
    </row>
    <row r="199">
      <c r="A199" s="32" t="n"/>
      <c r="B199" s="33" t="n"/>
      <c r="C199" s="33" t="n"/>
      <c r="D199" s="33" t="n"/>
      <c r="E199" s="32" t="n"/>
      <c r="F199" s="32" t="n"/>
      <c r="G199" s="32" t="n"/>
      <c r="H199" s="32" t="n"/>
      <c r="I199" s="32" t="n"/>
      <c r="J199" s="34" t="n"/>
      <c r="K199" s="33" t="n"/>
      <c r="L199" s="32" t="n"/>
      <c r="M199" s="33" t="n"/>
      <c r="N199" s="33" t="n"/>
      <c r="O199" s="33" t="n"/>
      <c r="P199" s="32" t="n"/>
      <c r="Q199" s="33" t="n"/>
      <c r="R199" s="33" t="n"/>
      <c r="S199" s="33" t="n"/>
      <c r="T199" s="33" t="n"/>
      <c r="U199" s="32" t="n"/>
      <c r="V199" s="33" t="n"/>
      <c r="W199" s="33" t="n"/>
      <c r="X199" s="33" t="n"/>
      <c r="Y199" s="33" t="n"/>
      <c r="Z199" s="33" t="n"/>
      <c r="AA199" s="33" t="n"/>
      <c r="AB199" s="33" t="n"/>
      <c r="AC199" s="33" t="n"/>
      <c r="AD199" s="33" t="n"/>
      <c r="AE199" s="33" t="n"/>
      <c r="AF199" s="32" t="n"/>
      <c r="AG199" s="32" t="n"/>
      <c r="AH199" s="32" t="n"/>
      <c r="AI199" s="32" t="n"/>
      <c r="AJ199" s="32" t="n"/>
      <c r="AK199" s="32" t="n"/>
      <c r="AL199" s="32" t="n"/>
      <c r="AM199" s="32" t="n"/>
      <c r="AN199" s="32" t="n"/>
      <c r="AO199" s="32" t="n"/>
      <c r="AP199" s="32" t="n"/>
      <c r="AQ199" s="32" t="n"/>
      <c r="AR199" s="29">
        <f>IF(NOT(COUNTA(A199:AE199)&gt;0),"",IF(A199="","New client","Update"))</f>
        <v/>
      </c>
      <c r="AS199" s="29">
        <f>IF(BA199&lt;&gt;"",BA199,IF(LEN(AZ199)=15,MID(AZ199,3,10),""))</f>
        <v/>
      </c>
      <c r="AT199" s="29">
        <f>IF(BB199="","",BB199&amp;IF(D199="","  (guessed from PAN)",""))</f>
        <v/>
      </c>
      <c r="AU199" s="29">
        <f>IF(AZ199="","",IFERROR(INDEX(Lists!$L$2:$L$38,MATCH(LEFT(AZ199,2),Lists!$K$2:$K$38,0)),"Unknown code"))</f>
        <v/>
      </c>
      <c r="AV199" s="29">
        <f>IF(AZ199="","",IFERROR(IF(NOT(AND(LEN(AZ199)=15,ISNUMBER(MATCH(LEFT(AZ199,2),Lists!$K$2:$K$38,0)),SUMPRODUCT(--ISERROR(FIND(MID(MID(AZ199,3,10),{1,2,3,4,5,10},1),"ABCDEFGHIJKLMNOPQRSTUVWXYZ")))=0,SUMPRODUCT(--ISERROR(FIND(MID(MID(AZ199,3,10),{6,7,8,9},1),"0123456789")))=0,ISNUMBER(FIND(MID(AZ199,13,1),"123456789ABCDEFGHIJKLMNOPQRSTUVWXYZ")),MID(AZ199,14,1)="Z")),"Wrong format",IF(MID("0123456789ABCDEFGHIJKLMNOPQRSTUVWXYZ",MOD(36-MOD(SUMPRODUCT(INT((FIND(MID(AZ199,{1,2,3,4,5,6,7,8,9,10,11,12,13,14},1),"0123456789ABCDEFGHIJKLMNOPQRSTUVWXYZ")-1)*{1,2,1,2,1,2,1,2,1,2,1,2,1,2}/36)+MOD((FIND(MID(AZ199,{1,2,3,4,5,6,7,8,9,10,11,12,13,14},1),"0123456789ABCDEFGHIJKLMNOPQRSTUVWXYZ")-1)*{1,2,1,2,1,2,1,2,1,2,1,2,1,2},36)),36),36)+1,1)=MID(AZ199,15,1),"OK","Typo? check digit wrong")),"Wrong format"))</f>
        <v/>
      </c>
      <c r="AW199" s="29">
        <f>IF(BA199="","",IF(AND(LEN(BA199)=10,SUMPRODUCT(--ISERROR(FIND(MID(BA199,{1,2,3,4,5,10},1),"ABCDEFGHIJKLMNOPQRSTUVWXYZ")))=0,SUMPRODUCT(--ISERROR(FIND(MID(BA199,{6,7,8,9},1),"0123456789")))=0),"OK","Wrong format"))</f>
        <v/>
      </c>
      <c r="AX199" s="29">
        <f>IF(TRIM(H199)="","",IF(AND(LEN(UPPER(TRIM(H199)))=10,SUMPRODUCT(--ISERROR(FIND(MID(UPPER(TRIM(H199)),{1,2,3,4,10},1),"ABCDEFGHIJKLMNOPQRSTUVWXYZ")))=0,SUMPRODUCT(--ISERROR(FIND(MID(UPPER(TRIM(H199)),{5,6,7,8,9},1),"0123456789")))=0),"OK","Wrong format"))</f>
        <v/>
      </c>
      <c r="AY199" s="30">
        <f>IF(NOT(COUNTA(A199:AE199)&gt;0),"",IF(BE199&lt;&gt;"","✖ "&amp;LEFT(BE199,LEN(BE199)-2),IF(BD199&gt;0,"✔ Ready — client + "&amp;BD199&amp;" service(s)","✔ Ready — client only")))</f>
        <v/>
      </c>
      <c r="AZ199" s="31">
        <f>UPPER(SUBSTITUTE(TRIM(F199)," ",""))</f>
        <v/>
      </c>
      <c r="BA199" s="31">
        <f>UPPER(SUBSTITUTE(TRIM(E199)," ",""))</f>
        <v/>
      </c>
      <c r="BB199" s="31">
        <f>IF(D199&lt;&gt;"",D199,IFERROR(VLOOKUP(MID(AS199,4,1),Lists!$E$2:$F$8,2,FALSE),""))</f>
        <v/>
      </c>
      <c r="BC199" s="31">
        <f>IFERROR(VLOOKUP(BB199,Lists!$A$2:$C$12,3,FALSE),"")</f>
        <v/>
      </c>
      <c r="BD199" s="31">
        <f>COUNTIF(W199:AC199,"Yes")</f>
        <v/>
      </c>
      <c r="BE199" s="31">
        <f>IF(TRIM(B199)="","Legal name missing; ","")&amp;IF(AND(AV199&lt;&gt;"",AV199&lt;&gt;"OK"),"GSTIN: "&amp;AV199&amp;"; ","")&amp;IF(AND(AW199&lt;&gt;"",AW199&lt;&gt;"OK"),"PAN wrong format; ","")&amp;IF(AND(BA199&lt;&gt;"",LEN(AZ199)=15,MID(AZ199,3,10)&lt;&gt;BA199),"PAN does not match GSTIN; ","")&amp;IF(AND(AX199&lt;&gt;"",AX199&lt;&gt;"OK"),"TAN wrong format; ","")&amp;IF(AS199="","PAN missing; ","")&amp;IF(BB199="","Entity type missing; ","")&amp;IF(AND(AZ199&lt;&gt;"",COUNTIF($AZ$6:$AZ$1005,AZ199)&gt;1),"GSTIN repeated in this sheet; ","")&amp;IF(AND(AS199&lt;&gt;"",COUNTIF($AS$6:$AS$1005,AS199)&gt;1),"PAN repeated in this sheet (same client? put extra GSTINs in Other GSTINs); ","")&amp;IF(AND(BD199&gt;0,V199=""),"Financial year missing; ","")&amp;IF(AND(BD199=0,V199&lt;&gt;""),"Financial year given but no service is Yes; ","")&amp;IF(AND(W199="Yes",AZ199=""),"GST needs a GSTIN; ","")&amp;IF(AND(W199="Yes",X199=""),"GST return frequency missing; ","")&amp;IF(AND(Y199="Yes",TRIM(H199)=""),"TDS needs a TAN; ","")&amp;IF(AND(AA199="Yes",BC199&lt;&gt;"",BC199&lt;&gt;"company",BC199&lt;&gt;"llp"),"ROC is only for a company / LLP; ","")&amp;IF(AND(AA199="Yes",OR(BC199="company",BC199="llp"),TRIM(I199)=""),"ROC needs the CIN / LLPIN; ","")&amp;IF((TRIM(AF199)="")&lt;&gt;(TRIM(AG199)=""),"GST login needs both user ID and password; ","")&amp;IF((TRIM(AH199)="")&lt;&gt;(TRIM(AI199)=""),"Income-tax login needs both user ID and password; ","")&amp;IF((TRIM(AJ199)="")&lt;&gt;(TRIM(AK199)=""),"Income-tax login needs both user ID and password; ","")&amp;IF((TRIM(AL199)="")&lt;&gt;(TRIM(AM199)=""),"TRACES login needs both user ID and password; ","")&amp;IF((TRIM(AN199)="")&lt;&gt;(TRIM(AO199)=""),"MCA login needs both user ID and password; ","")&amp;IF((TRIM(AP199)="")&lt;&gt;(TRIM(AQ199)=""),"E-way bill login needs both user ID and password; ","")</f>
        <v/>
      </c>
    </row>
    <row r="200">
      <c r="A200" s="32" t="n"/>
      <c r="B200" s="33" t="n"/>
      <c r="C200" s="33" t="n"/>
      <c r="D200" s="33" t="n"/>
      <c r="E200" s="32" t="n"/>
      <c r="F200" s="32" t="n"/>
      <c r="G200" s="32" t="n"/>
      <c r="H200" s="32" t="n"/>
      <c r="I200" s="32" t="n"/>
      <c r="J200" s="34" t="n"/>
      <c r="K200" s="33" t="n"/>
      <c r="L200" s="32" t="n"/>
      <c r="M200" s="33" t="n"/>
      <c r="N200" s="33" t="n"/>
      <c r="O200" s="33" t="n"/>
      <c r="P200" s="32" t="n"/>
      <c r="Q200" s="33" t="n"/>
      <c r="R200" s="33" t="n"/>
      <c r="S200" s="33" t="n"/>
      <c r="T200" s="33" t="n"/>
      <c r="U200" s="32" t="n"/>
      <c r="V200" s="33" t="n"/>
      <c r="W200" s="33" t="n"/>
      <c r="X200" s="33" t="n"/>
      <c r="Y200" s="33" t="n"/>
      <c r="Z200" s="33" t="n"/>
      <c r="AA200" s="33" t="n"/>
      <c r="AB200" s="33" t="n"/>
      <c r="AC200" s="33" t="n"/>
      <c r="AD200" s="33" t="n"/>
      <c r="AE200" s="33" t="n"/>
      <c r="AF200" s="32" t="n"/>
      <c r="AG200" s="32" t="n"/>
      <c r="AH200" s="32" t="n"/>
      <c r="AI200" s="32" t="n"/>
      <c r="AJ200" s="32" t="n"/>
      <c r="AK200" s="32" t="n"/>
      <c r="AL200" s="32" t="n"/>
      <c r="AM200" s="32" t="n"/>
      <c r="AN200" s="32" t="n"/>
      <c r="AO200" s="32" t="n"/>
      <c r="AP200" s="32" t="n"/>
      <c r="AQ200" s="32" t="n"/>
      <c r="AR200" s="29">
        <f>IF(NOT(COUNTA(A200:AE200)&gt;0),"",IF(A200="","New client","Update"))</f>
        <v/>
      </c>
      <c r="AS200" s="29">
        <f>IF(BA200&lt;&gt;"",BA200,IF(LEN(AZ200)=15,MID(AZ200,3,10),""))</f>
        <v/>
      </c>
      <c r="AT200" s="29">
        <f>IF(BB200="","",BB200&amp;IF(D200="","  (guessed from PAN)",""))</f>
        <v/>
      </c>
      <c r="AU200" s="29">
        <f>IF(AZ200="","",IFERROR(INDEX(Lists!$L$2:$L$38,MATCH(LEFT(AZ200,2),Lists!$K$2:$K$38,0)),"Unknown code"))</f>
        <v/>
      </c>
      <c r="AV200" s="29">
        <f>IF(AZ200="","",IFERROR(IF(NOT(AND(LEN(AZ200)=15,ISNUMBER(MATCH(LEFT(AZ200,2),Lists!$K$2:$K$38,0)),SUMPRODUCT(--ISERROR(FIND(MID(MID(AZ200,3,10),{1,2,3,4,5,10},1),"ABCDEFGHIJKLMNOPQRSTUVWXYZ")))=0,SUMPRODUCT(--ISERROR(FIND(MID(MID(AZ200,3,10),{6,7,8,9},1),"0123456789")))=0,ISNUMBER(FIND(MID(AZ200,13,1),"123456789ABCDEFGHIJKLMNOPQRSTUVWXYZ")),MID(AZ200,14,1)="Z")),"Wrong format",IF(MID("0123456789ABCDEFGHIJKLMNOPQRSTUVWXYZ",MOD(36-MOD(SUMPRODUCT(INT((FIND(MID(AZ200,{1,2,3,4,5,6,7,8,9,10,11,12,13,14},1),"0123456789ABCDEFGHIJKLMNOPQRSTUVWXYZ")-1)*{1,2,1,2,1,2,1,2,1,2,1,2,1,2}/36)+MOD((FIND(MID(AZ200,{1,2,3,4,5,6,7,8,9,10,11,12,13,14},1),"0123456789ABCDEFGHIJKLMNOPQRSTUVWXYZ")-1)*{1,2,1,2,1,2,1,2,1,2,1,2,1,2},36)),36),36)+1,1)=MID(AZ200,15,1),"OK","Typo? check digit wrong")),"Wrong format"))</f>
        <v/>
      </c>
      <c r="AW200" s="29">
        <f>IF(BA200="","",IF(AND(LEN(BA200)=10,SUMPRODUCT(--ISERROR(FIND(MID(BA200,{1,2,3,4,5,10},1),"ABCDEFGHIJKLMNOPQRSTUVWXYZ")))=0,SUMPRODUCT(--ISERROR(FIND(MID(BA200,{6,7,8,9},1),"0123456789")))=0),"OK","Wrong format"))</f>
        <v/>
      </c>
      <c r="AX200" s="29">
        <f>IF(TRIM(H200)="","",IF(AND(LEN(UPPER(TRIM(H200)))=10,SUMPRODUCT(--ISERROR(FIND(MID(UPPER(TRIM(H200)),{1,2,3,4,10},1),"ABCDEFGHIJKLMNOPQRSTUVWXYZ")))=0,SUMPRODUCT(--ISERROR(FIND(MID(UPPER(TRIM(H200)),{5,6,7,8,9},1),"0123456789")))=0),"OK","Wrong format"))</f>
        <v/>
      </c>
      <c r="AY200" s="30">
        <f>IF(NOT(COUNTA(A200:AE200)&gt;0),"",IF(BE200&lt;&gt;"","✖ "&amp;LEFT(BE200,LEN(BE200)-2),IF(BD200&gt;0,"✔ Ready — client + "&amp;BD200&amp;" service(s)","✔ Ready — client only")))</f>
        <v/>
      </c>
      <c r="AZ200" s="31">
        <f>UPPER(SUBSTITUTE(TRIM(F200)," ",""))</f>
        <v/>
      </c>
      <c r="BA200" s="31">
        <f>UPPER(SUBSTITUTE(TRIM(E200)," ",""))</f>
        <v/>
      </c>
      <c r="BB200" s="31">
        <f>IF(D200&lt;&gt;"",D200,IFERROR(VLOOKUP(MID(AS200,4,1),Lists!$E$2:$F$8,2,FALSE),""))</f>
        <v/>
      </c>
      <c r="BC200" s="31">
        <f>IFERROR(VLOOKUP(BB200,Lists!$A$2:$C$12,3,FALSE),"")</f>
        <v/>
      </c>
      <c r="BD200" s="31">
        <f>COUNTIF(W200:AC200,"Yes")</f>
        <v/>
      </c>
      <c r="BE200" s="31">
        <f>IF(TRIM(B200)="","Legal name missing; ","")&amp;IF(AND(AV200&lt;&gt;"",AV200&lt;&gt;"OK"),"GSTIN: "&amp;AV200&amp;"; ","")&amp;IF(AND(AW200&lt;&gt;"",AW200&lt;&gt;"OK"),"PAN wrong format; ","")&amp;IF(AND(BA200&lt;&gt;"",LEN(AZ200)=15,MID(AZ200,3,10)&lt;&gt;BA200),"PAN does not match GSTIN; ","")&amp;IF(AND(AX200&lt;&gt;"",AX200&lt;&gt;"OK"),"TAN wrong format; ","")&amp;IF(AS200="","PAN missing; ","")&amp;IF(BB200="","Entity type missing; ","")&amp;IF(AND(AZ200&lt;&gt;"",COUNTIF($AZ$6:$AZ$1005,AZ200)&gt;1),"GSTIN repeated in this sheet; ","")&amp;IF(AND(AS200&lt;&gt;"",COUNTIF($AS$6:$AS$1005,AS200)&gt;1),"PAN repeated in this sheet (same client? put extra GSTINs in Other GSTINs); ","")&amp;IF(AND(BD200&gt;0,V200=""),"Financial year missing; ","")&amp;IF(AND(BD200=0,V200&lt;&gt;""),"Financial year given but no service is Yes; ","")&amp;IF(AND(W200="Yes",AZ200=""),"GST needs a GSTIN; ","")&amp;IF(AND(W200="Yes",X200=""),"GST return frequency missing; ","")&amp;IF(AND(Y200="Yes",TRIM(H200)=""),"TDS needs a TAN; ","")&amp;IF(AND(AA200="Yes",BC200&lt;&gt;"",BC200&lt;&gt;"company",BC200&lt;&gt;"llp"),"ROC is only for a company / LLP; ","")&amp;IF(AND(AA200="Yes",OR(BC200="company",BC200="llp"),TRIM(I200)=""),"ROC needs the CIN / LLPIN; ","")&amp;IF((TRIM(AF200)="")&lt;&gt;(TRIM(AG200)=""),"GST login needs both user ID and password; ","")&amp;IF((TRIM(AH200)="")&lt;&gt;(TRIM(AI200)=""),"Income-tax login needs both user ID and password; ","")&amp;IF((TRIM(AJ200)="")&lt;&gt;(TRIM(AK200)=""),"Income-tax login needs both user ID and password; ","")&amp;IF((TRIM(AL200)="")&lt;&gt;(TRIM(AM200)=""),"TRACES login needs both user ID and password; ","")&amp;IF((TRIM(AN200)="")&lt;&gt;(TRIM(AO200)=""),"MCA login needs both user ID and password; ","")&amp;IF((TRIM(AP200)="")&lt;&gt;(TRIM(AQ200)=""),"E-way bill login needs both user ID and password; ","")</f>
        <v/>
      </c>
    </row>
    <row r="201">
      <c r="A201" s="32" t="n"/>
      <c r="B201" s="33" t="n"/>
      <c r="C201" s="33" t="n"/>
      <c r="D201" s="33" t="n"/>
      <c r="E201" s="32" t="n"/>
      <c r="F201" s="32" t="n"/>
      <c r="G201" s="32" t="n"/>
      <c r="H201" s="32" t="n"/>
      <c r="I201" s="32" t="n"/>
      <c r="J201" s="34" t="n"/>
      <c r="K201" s="33" t="n"/>
      <c r="L201" s="32" t="n"/>
      <c r="M201" s="33" t="n"/>
      <c r="N201" s="33" t="n"/>
      <c r="O201" s="33" t="n"/>
      <c r="P201" s="32" t="n"/>
      <c r="Q201" s="33" t="n"/>
      <c r="R201" s="33" t="n"/>
      <c r="S201" s="33" t="n"/>
      <c r="T201" s="33" t="n"/>
      <c r="U201" s="32" t="n"/>
      <c r="V201" s="33" t="n"/>
      <c r="W201" s="33" t="n"/>
      <c r="X201" s="33" t="n"/>
      <c r="Y201" s="33" t="n"/>
      <c r="Z201" s="33" t="n"/>
      <c r="AA201" s="33" t="n"/>
      <c r="AB201" s="33" t="n"/>
      <c r="AC201" s="33" t="n"/>
      <c r="AD201" s="33" t="n"/>
      <c r="AE201" s="33" t="n"/>
      <c r="AF201" s="32" t="n"/>
      <c r="AG201" s="32" t="n"/>
      <c r="AH201" s="32" t="n"/>
      <c r="AI201" s="32" t="n"/>
      <c r="AJ201" s="32" t="n"/>
      <c r="AK201" s="32" t="n"/>
      <c r="AL201" s="32" t="n"/>
      <c r="AM201" s="32" t="n"/>
      <c r="AN201" s="32" t="n"/>
      <c r="AO201" s="32" t="n"/>
      <c r="AP201" s="32" t="n"/>
      <c r="AQ201" s="32" t="n"/>
      <c r="AR201" s="29">
        <f>IF(NOT(COUNTA(A201:AE201)&gt;0),"",IF(A201="","New client","Update"))</f>
        <v/>
      </c>
      <c r="AS201" s="29">
        <f>IF(BA201&lt;&gt;"",BA201,IF(LEN(AZ201)=15,MID(AZ201,3,10),""))</f>
        <v/>
      </c>
      <c r="AT201" s="29">
        <f>IF(BB201="","",BB201&amp;IF(D201="","  (guessed from PAN)",""))</f>
        <v/>
      </c>
      <c r="AU201" s="29">
        <f>IF(AZ201="","",IFERROR(INDEX(Lists!$L$2:$L$38,MATCH(LEFT(AZ201,2),Lists!$K$2:$K$38,0)),"Unknown code"))</f>
        <v/>
      </c>
      <c r="AV201" s="29">
        <f>IF(AZ201="","",IFERROR(IF(NOT(AND(LEN(AZ201)=15,ISNUMBER(MATCH(LEFT(AZ201,2),Lists!$K$2:$K$38,0)),SUMPRODUCT(--ISERROR(FIND(MID(MID(AZ201,3,10),{1,2,3,4,5,10},1),"ABCDEFGHIJKLMNOPQRSTUVWXYZ")))=0,SUMPRODUCT(--ISERROR(FIND(MID(MID(AZ201,3,10),{6,7,8,9},1),"0123456789")))=0,ISNUMBER(FIND(MID(AZ201,13,1),"123456789ABCDEFGHIJKLMNOPQRSTUVWXYZ")),MID(AZ201,14,1)="Z")),"Wrong format",IF(MID("0123456789ABCDEFGHIJKLMNOPQRSTUVWXYZ",MOD(36-MOD(SUMPRODUCT(INT((FIND(MID(AZ201,{1,2,3,4,5,6,7,8,9,10,11,12,13,14},1),"0123456789ABCDEFGHIJKLMNOPQRSTUVWXYZ")-1)*{1,2,1,2,1,2,1,2,1,2,1,2,1,2}/36)+MOD((FIND(MID(AZ201,{1,2,3,4,5,6,7,8,9,10,11,12,13,14},1),"0123456789ABCDEFGHIJKLMNOPQRSTUVWXYZ")-1)*{1,2,1,2,1,2,1,2,1,2,1,2,1,2},36)),36),36)+1,1)=MID(AZ201,15,1),"OK","Typo? check digit wrong")),"Wrong format"))</f>
        <v/>
      </c>
      <c r="AW201" s="29">
        <f>IF(BA201="","",IF(AND(LEN(BA201)=10,SUMPRODUCT(--ISERROR(FIND(MID(BA201,{1,2,3,4,5,10},1),"ABCDEFGHIJKLMNOPQRSTUVWXYZ")))=0,SUMPRODUCT(--ISERROR(FIND(MID(BA201,{6,7,8,9},1),"0123456789")))=0),"OK","Wrong format"))</f>
        <v/>
      </c>
      <c r="AX201" s="29">
        <f>IF(TRIM(H201)="","",IF(AND(LEN(UPPER(TRIM(H201)))=10,SUMPRODUCT(--ISERROR(FIND(MID(UPPER(TRIM(H201)),{1,2,3,4,10},1),"ABCDEFGHIJKLMNOPQRSTUVWXYZ")))=0,SUMPRODUCT(--ISERROR(FIND(MID(UPPER(TRIM(H201)),{5,6,7,8,9},1),"0123456789")))=0),"OK","Wrong format"))</f>
        <v/>
      </c>
      <c r="AY201" s="30">
        <f>IF(NOT(COUNTA(A201:AE201)&gt;0),"",IF(BE201&lt;&gt;"","✖ "&amp;LEFT(BE201,LEN(BE201)-2),IF(BD201&gt;0,"✔ Ready — client + "&amp;BD201&amp;" service(s)","✔ Ready — client only")))</f>
        <v/>
      </c>
      <c r="AZ201" s="31">
        <f>UPPER(SUBSTITUTE(TRIM(F201)," ",""))</f>
        <v/>
      </c>
      <c r="BA201" s="31">
        <f>UPPER(SUBSTITUTE(TRIM(E201)," ",""))</f>
        <v/>
      </c>
      <c r="BB201" s="31">
        <f>IF(D201&lt;&gt;"",D201,IFERROR(VLOOKUP(MID(AS201,4,1),Lists!$E$2:$F$8,2,FALSE),""))</f>
        <v/>
      </c>
      <c r="BC201" s="31">
        <f>IFERROR(VLOOKUP(BB201,Lists!$A$2:$C$12,3,FALSE),"")</f>
        <v/>
      </c>
      <c r="BD201" s="31">
        <f>COUNTIF(W201:AC201,"Yes")</f>
        <v/>
      </c>
      <c r="BE201" s="31">
        <f>IF(TRIM(B201)="","Legal name missing; ","")&amp;IF(AND(AV201&lt;&gt;"",AV201&lt;&gt;"OK"),"GSTIN: "&amp;AV201&amp;"; ","")&amp;IF(AND(AW201&lt;&gt;"",AW201&lt;&gt;"OK"),"PAN wrong format; ","")&amp;IF(AND(BA201&lt;&gt;"",LEN(AZ201)=15,MID(AZ201,3,10)&lt;&gt;BA201),"PAN does not match GSTIN; ","")&amp;IF(AND(AX201&lt;&gt;"",AX201&lt;&gt;"OK"),"TAN wrong format; ","")&amp;IF(AS201="","PAN missing; ","")&amp;IF(BB201="","Entity type missing; ","")&amp;IF(AND(AZ201&lt;&gt;"",COUNTIF($AZ$6:$AZ$1005,AZ201)&gt;1),"GSTIN repeated in this sheet; ","")&amp;IF(AND(AS201&lt;&gt;"",COUNTIF($AS$6:$AS$1005,AS201)&gt;1),"PAN repeated in this sheet (same client? put extra GSTINs in Other GSTINs); ","")&amp;IF(AND(BD201&gt;0,V201=""),"Financial year missing; ","")&amp;IF(AND(BD201=0,V201&lt;&gt;""),"Financial year given but no service is Yes; ","")&amp;IF(AND(W201="Yes",AZ201=""),"GST needs a GSTIN; ","")&amp;IF(AND(W201="Yes",X201=""),"GST return frequency missing; ","")&amp;IF(AND(Y201="Yes",TRIM(H201)=""),"TDS needs a TAN; ","")&amp;IF(AND(AA201="Yes",BC201&lt;&gt;"",BC201&lt;&gt;"company",BC201&lt;&gt;"llp"),"ROC is only for a company / LLP; ","")&amp;IF(AND(AA201="Yes",OR(BC201="company",BC201="llp"),TRIM(I201)=""),"ROC needs the CIN / LLPIN; ","")&amp;IF((TRIM(AF201)="")&lt;&gt;(TRIM(AG201)=""),"GST login needs both user ID and password; ","")&amp;IF((TRIM(AH201)="")&lt;&gt;(TRIM(AI201)=""),"Income-tax login needs both user ID and password; ","")&amp;IF((TRIM(AJ201)="")&lt;&gt;(TRIM(AK201)=""),"Income-tax login needs both user ID and password; ","")&amp;IF((TRIM(AL201)="")&lt;&gt;(TRIM(AM201)=""),"TRACES login needs both user ID and password; ","")&amp;IF((TRIM(AN201)="")&lt;&gt;(TRIM(AO201)=""),"MCA login needs both user ID and password; ","")&amp;IF((TRIM(AP201)="")&lt;&gt;(TRIM(AQ201)=""),"E-way bill login needs both user ID and password; ","")</f>
        <v/>
      </c>
    </row>
    <row r="202">
      <c r="A202" s="32" t="n"/>
      <c r="B202" s="33" t="n"/>
      <c r="C202" s="33" t="n"/>
      <c r="D202" s="33" t="n"/>
      <c r="E202" s="32" t="n"/>
      <c r="F202" s="32" t="n"/>
      <c r="G202" s="32" t="n"/>
      <c r="H202" s="32" t="n"/>
      <c r="I202" s="32" t="n"/>
      <c r="J202" s="34" t="n"/>
      <c r="K202" s="33" t="n"/>
      <c r="L202" s="32" t="n"/>
      <c r="M202" s="33" t="n"/>
      <c r="N202" s="33" t="n"/>
      <c r="O202" s="33" t="n"/>
      <c r="P202" s="32" t="n"/>
      <c r="Q202" s="33" t="n"/>
      <c r="R202" s="33" t="n"/>
      <c r="S202" s="33" t="n"/>
      <c r="T202" s="33" t="n"/>
      <c r="U202" s="32" t="n"/>
      <c r="V202" s="33" t="n"/>
      <c r="W202" s="33" t="n"/>
      <c r="X202" s="33" t="n"/>
      <c r="Y202" s="33" t="n"/>
      <c r="Z202" s="33" t="n"/>
      <c r="AA202" s="33" t="n"/>
      <c r="AB202" s="33" t="n"/>
      <c r="AC202" s="33" t="n"/>
      <c r="AD202" s="33" t="n"/>
      <c r="AE202" s="33" t="n"/>
      <c r="AF202" s="32" t="n"/>
      <c r="AG202" s="32" t="n"/>
      <c r="AH202" s="32" t="n"/>
      <c r="AI202" s="32" t="n"/>
      <c r="AJ202" s="32" t="n"/>
      <c r="AK202" s="32" t="n"/>
      <c r="AL202" s="32" t="n"/>
      <c r="AM202" s="32" t="n"/>
      <c r="AN202" s="32" t="n"/>
      <c r="AO202" s="32" t="n"/>
      <c r="AP202" s="32" t="n"/>
      <c r="AQ202" s="32" t="n"/>
      <c r="AR202" s="29">
        <f>IF(NOT(COUNTA(A202:AE202)&gt;0),"",IF(A202="","New client","Update"))</f>
        <v/>
      </c>
      <c r="AS202" s="29">
        <f>IF(BA202&lt;&gt;"",BA202,IF(LEN(AZ202)=15,MID(AZ202,3,10),""))</f>
        <v/>
      </c>
      <c r="AT202" s="29">
        <f>IF(BB202="","",BB202&amp;IF(D202="","  (guessed from PAN)",""))</f>
        <v/>
      </c>
      <c r="AU202" s="29">
        <f>IF(AZ202="","",IFERROR(INDEX(Lists!$L$2:$L$38,MATCH(LEFT(AZ202,2),Lists!$K$2:$K$38,0)),"Unknown code"))</f>
        <v/>
      </c>
      <c r="AV202" s="29">
        <f>IF(AZ202="","",IFERROR(IF(NOT(AND(LEN(AZ202)=15,ISNUMBER(MATCH(LEFT(AZ202,2),Lists!$K$2:$K$38,0)),SUMPRODUCT(--ISERROR(FIND(MID(MID(AZ202,3,10),{1,2,3,4,5,10},1),"ABCDEFGHIJKLMNOPQRSTUVWXYZ")))=0,SUMPRODUCT(--ISERROR(FIND(MID(MID(AZ202,3,10),{6,7,8,9},1),"0123456789")))=0,ISNUMBER(FIND(MID(AZ202,13,1),"123456789ABCDEFGHIJKLMNOPQRSTUVWXYZ")),MID(AZ202,14,1)="Z")),"Wrong format",IF(MID("0123456789ABCDEFGHIJKLMNOPQRSTUVWXYZ",MOD(36-MOD(SUMPRODUCT(INT((FIND(MID(AZ202,{1,2,3,4,5,6,7,8,9,10,11,12,13,14},1),"0123456789ABCDEFGHIJKLMNOPQRSTUVWXYZ")-1)*{1,2,1,2,1,2,1,2,1,2,1,2,1,2}/36)+MOD((FIND(MID(AZ202,{1,2,3,4,5,6,7,8,9,10,11,12,13,14},1),"0123456789ABCDEFGHIJKLMNOPQRSTUVWXYZ")-1)*{1,2,1,2,1,2,1,2,1,2,1,2,1,2},36)),36),36)+1,1)=MID(AZ202,15,1),"OK","Typo? check digit wrong")),"Wrong format"))</f>
        <v/>
      </c>
      <c r="AW202" s="29">
        <f>IF(BA202="","",IF(AND(LEN(BA202)=10,SUMPRODUCT(--ISERROR(FIND(MID(BA202,{1,2,3,4,5,10},1),"ABCDEFGHIJKLMNOPQRSTUVWXYZ")))=0,SUMPRODUCT(--ISERROR(FIND(MID(BA202,{6,7,8,9},1),"0123456789")))=0),"OK","Wrong format"))</f>
        <v/>
      </c>
      <c r="AX202" s="29">
        <f>IF(TRIM(H202)="","",IF(AND(LEN(UPPER(TRIM(H202)))=10,SUMPRODUCT(--ISERROR(FIND(MID(UPPER(TRIM(H202)),{1,2,3,4,10},1),"ABCDEFGHIJKLMNOPQRSTUVWXYZ")))=0,SUMPRODUCT(--ISERROR(FIND(MID(UPPER(TRIM(H202)),{5,6,7,8,9},1),"0123456789")))=0),"OK","Wrong format"))</f>
        <v/>
      </c>
      <c r="AY202" s="30">
        <f>IF(NOT(COUNTA(A202:AE202)&gt;0),"",IF(BE202&lt;&gt;"","✖ "&amp;LEFT(BE202,LEN(BE202)-2),IF(BD202&gt;0,"✔ Ready — client + "&amp;BD202&amp;" service(s)","✔ Ready — client only")))</f>
        <v/>
      </c>
      <c r="AZ202" s="31">
        <f>UPPER(SUBSTITUTE(TRIM(F202)," ",""))</f>
        <v/>
      </c>
      <c r="BA202" s="31">
        <f>UPPER(SUBSTITUTE(TRIM(E202)," ",""))</f>
        <v/>
      </c>
      <c r="BB202" s="31">
        <f>IF(D202&lt;&gt;"",D202,IFERROR(VLOOKUP(MID(AS202,4,1),Lists!$E$2:$F$8,2,FALSE),""))</f>
        <v/>
      </c>
      <c r="BC202" s="31">
        <f>IFERROR(VLOOKUP(BB202,Lists!$A$2:$C$12,3,FALSE),"")</f>
        <v/>
      </c>
      <c r="BD202" s="31">
        <f>COUNTIF(W202:AC202,"Yes")</f>
        <v/>
      </c>
      <c r="BE202" s="31">
        <f>IF(TRIM(B202)="","Legal name missing; ","")&amp;IF(AND(AV202&lt;&gt;"",AV202&lt;&gt;"OK"),"GSTIN: "&amp;AV202&amp;"; ","")&amp;IF(AND(AW202&lt;&gt;"",AW202&lt;&gt;"OK"),"PAN wrong format; ","")&amp;IF(AND(BA202&lt;&gt;"",LEN(AZ202)=15,MID(AZ202,3,10)&lt;&gt;BA202),"PAN does not match GSTIN; ","")&amp;IF(AND(AX202&lt;&gt;"",AX202&lt;&gt;"OK"),"TAN wrong format; ","")&amp;IF(AS202="","PAN missing; ","")&amp;IF(BB202="","Entity type missing; ","")&amp;IF(AND(AZ202&lt;&gt;"",COUNTIF($AZ$6:$AZ$1005,AZ202)&gt;1),"GSTIN repeated in this sheet; ","")&amp;IF(AND(AS202&lt;&gt;"",COUNTIF($AS$6:$AS$1005,AS202)&gt;1),"PAN repeated in this sheet (same client? put extra GSTINs in Other GSTINs); ","")&amp;IF(AND(BD202&gt;0,V202=""),"Financial year missing; ","")&amp;IF(AND(BD202=0,V202&lt;&gt;""),"Financial year given but no service is Yes; ","")&amp;IF(AND(W202="Yes",AZ202=""),"GST needs a GSTIN; ","")&amp;IF(AND(W202="Yes",X202=""),"GST return frequency missing; ","")&amp;IF(AND(Y202="Yes",TRIM(H202)=""),"TDS needs a TAN; ","")&amp;IF(AND(AA202="Yes",BC202&lt;&gt;"",BC202&lt;&gt;"company",BC202&lt;&gt;"llp"),"ROC is only for a company / LLP; ","")&amp;IF(AND(AA202="Yes",OR(BC202="company",BC202="llp"),TRIM(I202)=""),"ROC needs the CIN / LLPIN; ","")&amp;IF((TRIM(AF202)="")&lt;&gt;(TRIM(AG202)=""),"GST login needs both user ID and password; ","")&amp;IF((TRIM(AH202)="")&lt;&gt;(TRIM(AI202)=""),"Income-tax login needs both user ID and password; ","")&amp;IF((TRIM(AJ202)="")&lt;&gt;(TRIM(AK202)=""),"Income-tax login needs both user ID and password; ","")&amp;IF((TRIM(AL202)="")&lt;&gt;(TRIM(AM202)=""),"TRACES login needs both user ID and password; ","")&amp;IF((TRIM(AN202)="")&lt;&gt;(TRIM(AO202)=""),"MCA login needs both user ID and password; ","")&amp;IF((TRIM(AP202)="")&lt;&gt;(TRIM(AQ202)=""),"E-way bill login needs both user ID and password; ","")</f>
        <v/>
      </c>
    </row>
    <row r="203">
      <c r="A203" s="32" t="n"/>
      <c r="B203" s="33" t="n"/>
      <c r="C203" s="33" t="n"/>
      <c r="D203" s="33" t="n"/>
      <c r="E203" s="32" t="n"/>
      <c r="F203" s="32" t="n"/>
      <c r="G203" s="32" t="n"/>
      <c r="H203" s="32" t="n"/>
      <c r="I203" s="32" t="n"/>
      <c r="J203" s="34" t="n"/>
      <c r="K203" s="33" t="n"/>
      <c r="L203" s="32" t="n"/>
      <c r="M203" s="33" t="n"/>
      <c r="N203" s="33" t="n"/>
      <c r="O203" s="33" t="n"/>
      <c r="P203" s="32" t="n"/>
      <c r="Q203" s="33" t="n"/>
      <c r="R203" s="33" t="n"/>
      <c r="S203" s="33" t="n"/>
      <c r="T203" s="33" t="n"/>
      <c r="U203" s="32" t="n"/>
      <c r="V203" s="33" t="n"/>
      <c r="W203" s="33" t="n"/>
      <c r="X203" s="33" t="n"/>
      <c r="Y203" s="33" t="n"/>
      <c r="Z203" s="33" t="n"/>
      <c r="AA203" s="33" t="n"/>
      <c r="AB203" s="33" t="n"/>
      <c r="AC203" s="33" t="n"/>
      <c r="AD203" s="33" t="n"/>
      <c r="AE203" s="33" t="n"/>
      <c r="AF203" s="32" t="n"/>
      <c r="AG203" s="32" t="n"/>
      <c r="AH203" s="32" t="n"/>
      <c r="AI203" s="32" t="n"/>
      <c r="AJ203" s="32" t="n"/>
      <c r="AK203" s="32" t="n"/>
      <c r="AL203" s="32" t="n"/>
      <c r="AM203" s="32" t="n"/>
      <c r="AN203" s="32" t="n"/>
      <c r="AO203" s="32" t="n"/>
      <c r="AP203" s="32" t="n"/>
      <c r="AQ203" s="32" t="n"/>
      <c r="AR203" s="29">
        <f>IF(NOT(COUNTA(A203:AE203)&gt;0),"",IF(A203="","New client","Update"))</f>
        <v/>
      </c>
      <c r="AS203" s="29">
        <f>IF(BA203&lt;&gt;"",BA203,IF(LEN(AZ203)=15,MID(AZ203,3,10),""))</f>
        <v/>
      </c>
      <c r="AT203" s="29">
        <f>IF(BB203="","",BB203&amp;IF(D203="","  (guessed from PAN)",""))</f>
        <v/>
      </c>
      <c r="AU203" s="29">
        <f>IF(AZ203="","",IFERROR(INDEX(Lists!$L$2:$L$38,MATCH(LEFT(AZ203,2),Lists!$K$2:$K$38,0)),"Unknown code"))</f>
        <v/>
      </c>
      <c r="AV203" s="29">
        <f>IF(AZ203="","",IFERROR(IF(NOT(AND(LEN(AZ203)=15,ISNUMBER(MATCH(LEFT(AZ203,2),Lists!$K$2:$K$38,0)),SUMPRODUCT(--ISERROR(FIND(MID(MID(AZ203,3,10),{1,2,3,4,5,10},1),"ABCDEFGHIJKLMNOPQRSTUVWXYZ")))=0,SUMPRODUCT(--ISERROR(FIND(MID(MID(AZ203,3,10),{6,7,8,9},1),"0123456789")))=0,ISNUMBER(FIND(MID(AZ203,13,1),"123456789ABCDEFGHIJKLMNOPQRSTUVWXYZ")),MID(AZ203,14,1)="Z")),"Wrong format",IF(MID("0123456789ABCDEFGHIJKLMNOPQRSTUVWXYZ",MOD(36-MOD(SUMPRODUCT(INT((FIND(MID(AZ203,{1,2,3,4,5,6,7,8,9,10,11,12,13,14},1),"0123456789ABCDEFGHIJKLMNOPQRSTUVWXYZ")-1)*{1,2,1,2,1,2,1,2,1,2,1,2,1,2}/36)+MOD((FIND(MID(AZ203,{1,2,3,4,5,6,7,8,9,10,11,12,13,14},1),"0123456789ABCDEFGHIJKLMNOPQRSTUVWXYZ")-1)*{1,2,1,2,1,2,1,2,1,2,1,2,1,2},36)),36),36)+1,1)=MID(AZ203,15,1),"OK","Typo? check digit wrong")),"Wrong format"))</f>
        <v/>
      </c>
      <c r="AW203" s="29">
        <f>IF(BA203="","",IF(AND(LEN(BA203)=10,SUMPRODUCT(--ISERROR(FIND(MID(BA203,{1,2,3,4,5,10},1),"ABCDEFGHIJKLMNOPQRSTUVWXYZ")))=0,SUMPRODUCT(--ISERROR(FIND(MID(BA203,{6,7,8,9},1),"0123456789")))=0),"OK","Wrong format"))</f>
        <v/>
      </c>
      <c r="AX203" s="29">
        <f>IF(TRIM(H203)="","",IF(AND(LEN(UPPER(TRIM(H203)))=10,SUMPRODUCT(--ISERROR(FIND(MID(UPPER(TRIM(H203)),{1,2,3,4,10},1),"ABCDEFGHIJKLMNOPQRSTUVWXYZ")))=0,SUMPRODUCT(--ISERROR(FIND(MID(UPPER(TRIM(H203)),{5,6,7,8,9},1),"0123456789")))=0),"OK","Wrong format"))</f>
        <v/>
      </c>
      <c r="AY203" s="30">
        <f>IF(NOT(COUNTA(A203:AE203)&gt;0),"",IF(BE203&lt;&gt;"","✖ "&amp;LEFT(BE203,LEN(BE203)-2),IF(BD203&gt;0,"✔ Ready — client + "&amp;BD203&amp;" service(s)","✔ Ready — client only")))</f>
        <v/>
      </c>
      <c r="AZ203" s="31">
        <f>UPPER(SUBSTITUTE(TRIM(F203)," ",""))</f>
        <v/>
      </c>
      <c r="BA203" s="31">
        <f>UPPER(SUBSTITUTE(TRIM(E203)," ",""))</f>
        <v/>
      </c>
      <c r="BB203" s="31">
        <f>IF(D203&lt;&gt;"",D203,IFERROR(VLOOKUP(MID(AS203,4,1),Lists!$E$2:$F$8,2,FALSE),""))</f>
        <v/>
      </c>
      <c r="BC203" s="31">
        <f>IFERROR(VLOOKUP(BB203,Lists!$A$2:$C$12,3,FALSE),"")</f>
        <v/>
      </c>
      <c r="BD203" s="31">
        <f>COUNTIF(W203:AC203,"Yes")</f>
        <v/>
      </c>
      <c r="BE203" s="31">
        <f>IF(TRIM(B203)="","Legal name missing; ","")&amp;IF(AND(AV203&lt;&gt;"",AV203&lt;&gt;"OK"),"GSTIN: "&amp;AV203&amp;"; ","")&amp;IF(AND(AW203&lt;&gt;"",AW203&lt;&gt;"OK"),"PAN wrong format; ","")&amp;IF(AND(BA203&lt;&gt;"",LEN(AZ203)=15,MID(AZ203,3,10)&lt;&gt;BA203),"PAN does not match GSTIN; ","")&amp;IF(AND(AX203&lt;&gt;"",AX203&lt;&gt;"OK"),"TAN wrong format; ","")&amp;IF(AS203="","PAN missing; ","")&amp;IF(BB203="","Entity type missing; ","")&amp;IF(AND(AZ203&lt;&gt;"",COUNTIF($AZ$6:$AZ$1005,AZ203)&gt;1),"GSTIN repeated in this sheet; ","")&amp;IF(AND(AS203&lt;&gt;"",COUNTIF($AS$6:$AS$1005,AS203)&gt;1),"PAN repeated in this sheet (same client? put extra GSTINs in Other GSTINs); ","")&amp;IF(AND(BD203&gt;0,V203=""),"Financial year missing; ","")&amp;IF(AND(BD203=0,V203&lt;&gt;""),"Financial year given but no service is Yes; ","")&amp;IF(AND(W203="Yes",AZ203=""),"GST needs a GSTIN; ","")&amp;IF(AND(W203="Yes",X203=""),"GST return frequency missing; ","")&amp;IF(AND(Y203="Yes",TRIM(H203)=""),"TDS needs a TAN; ","")&amp;IF(AND(AA203="Yes",BC203&lt;&gt;"",BC203&lt;&gt;"company",BC203&lt;&gt;"llp"),"ROC is only for a company / LLP; ","")&amp;IF(AND(AA203="Yes",OR(BC203="company",BC203="llp"),TRIM(I203)=""),"ROC needs the CIN / LLPIN; ","")&amp;IF((TRIM(AF203)="")&lt;&gt;(TRIM(AG203)=""),"GST login needs both user ID and password; ","")&amp;IF((TRIM(AH203)="")&lt;&gt;(TRIM(AI203)=""),"Income-tax login needs both user ID and password; ","")&amp;IF((TRIM(AJ203)="")&lt;&gt;(TRIM(AK203)=""),"Income-tax login needs both user ID and password; ","")&amp;IF((TRIM(AL203)="")&lt;&gt;(TRIM(AM203)=""),"TRACES login needs both user ID and password; ","")&amp;IF((TRIM(AN203)="")&lt;&gt;(TRIM(AO203)=""),"MCA login needs both user ID and password; ","")&amp;IF((TRIM(AP203)="")&lt;&gt;(TRIM(AQ203)=""),"E-way bill login needs both user ID and password; ","")</f>
        <v/>
      </c>
    </row>
    <row r="204">
      <c r="A204" s="32" t="n"/>
      <c r="B204" s="33" t="n"/>
      <c r="C204" s="33" t="n"/>
      <c r="D204" s="33" t="n"/>
      <c r="E204" s="32" t="n"/>
      <c r="F204" s="32" t="n"/>
      <c r="G204" s="32" t="n"/>
      <c r="H204" s="32" t="n"/>
      <c r="I204" s="32" t="n"/>
      <c r="J204" s="34" t="n"/>
      <c r="K204" s="33" t="n"/>
      <c r="L204" s="32" t="n"/>
      <c r="M204" s="33" t="n"/>
      <c r="N204" s="33" t="n"/>
      <c r="O204" s="33" t="n"/>
      <c r="P204" s="32" t="n"/>
      <c r="Q204" s="33" t="n"/>
      <c r="R204" s="33" t="n"/>
      <c r="S204" s="33" t="n"/>
      <c r="T204" s="33" t="n"/>
      <c r="U204" s="32" t="n"/>
      <c r="V204" s="33" t="n"/>
      <c r="W204" s="33" t="n"/>
      <c r="X204" s="33" t="n"/>
      <c r="Y204" s="33" t="n"/>
      <c r="Z204" s="33" t="n"/>
      <c r="AA204" s="33" t="n"/>
      <c r="AB204" s="33" t="n"/>
      <c r="AC204" s="33" t="n"/>
      <c r="AD204" s="33" t="n"/>
      <c r="AE204" s="33" t="n"/>
      <c r="AF204" s="32" t="n"/>
      <c r="AG204" s="32" t="n"/>
      <c r="AH204" s="32" t="n"/>
      <c r="AI204" s="32" t="n"/>
      <c r="AJ204" s="32" t="n"/>
      <c r="AK204" s="32" t="n"/>
      <c r="AL204" s="32" t="n"/>
      <c r="AM204" s="32" t="n"/>
      <c r="AN204" s="32" t="n"/>
      <c r="AO204" s="32" t="n"/>
      <c r="AP204" s="32" t="n"/>
      <c r="AQ204" s="32" t="n"/>
      <c r="AR204" s="29">
        <f>IF(NOT(COUNTA(A204:AE204)&gt;0),"",IF(A204="","New client","Update"))</f>
        <v/>
      </c>
      <c r="AS204" s="29">
        <f>IF(BA204&lt;&gt;"",BA204,IF(LEN(AZ204)=15,MID(AZ204,3,10),""))</f>
        <v/>
      </c>
      <c r="AT204" s="29">
        <f>IF(BB204="","",BB204&amp;IF(D204="","  (guessed from PAN)",""))</f>
        <v/>
      </c>
      <c r="AU204" s="29">
        <f>IF(AZ204="","",IFERROR(INDEX(Lists!$L$2:$L$38,MATCH(LEFT(AZ204,2),Lists!$K$2:$K$38,0)),"Unknown code"))</f>
        <v/>
      </c>
      <c r="AV204" s="29">
        <f>IF(AZ204="","",IFERROR(IF(NOT(AND(LEN(AZ204)=15,ISNUMBER(MATCH(LEFT(AZ204,2),Lists!$K$2:$K$38,0)),SUMPRODUCT(--ISERROR(FIND(MID(MID(AZ204,3,10),{1,2,3,4,5,10},1),"ABCDEFGHIJKLMNOPQRSTUVWXYZ")))=0,SUMPRODUCT(--ISERROR(FIND(MID(MID(AZ204,3,10),{6,7,8,9},1),"0123456789")))=0,ISNUMBER(FIND(MID(AZ204,13,1),"123456789ABCDEFGHIJKLMNOPQRSTUVWXYZ")),MID(AZ204,14,1)="Z")),"Wrong format",IF(MID("0123456789ABCDEFGHIJKLMNOPQRSTUVWXYZ",MOD(36-MOD(SUMPRODUCT(INT((FIND(MID(AZ204,{1,2,3,4,5,6,7,8,9,10,11,12,13,14},1),"0123456789ABCDEFGHIJKLMNOPQRSTUVWXYZ")-1)*{1,2,1,2,1,2,1,2,1,2,1,2,1,2}/36)+MOD((FIND(MID(AZ204,{1,2,3,4,5,6,7,8,9,10,11,12,13,14},1),"0123456789ABCDEFGHIJKLMNOPQRSTUVWXYZ")-1)*{1,2,1,2,1,2,1,2,1,2,1,2,1,2},36)),36),36)+1,1)=MID(AZ204,15,1),"OK","Typo? check digit wrong")),"Wrong format"))</f>
        <v/>
      </c>
      <c r="AW204" s="29">
        <f>IF(BA204="","",IF(AND(LEN(BA204)=10,SUMPRODUCT(--ISERROR(FIND(MID(BA204,{1,2,3,4,5,10},1),"ABCDEFGHIJKLMNOPQRSTUVWXYZ")))=0,SUMPRODUCT(--ISERROR(FIND(MID(BA204,{6,7,8,9},1),"0123456789")))=0),"OK","Wrong format"))</f>
        <v/>
      </c>
      <c r="AX204" s="29">
        <f>IF(TRIM(H204)="","",IF(AND(LEN(UPPER(TRIM(H204)))=10,SUMPRODUCT(--ISERROR(FIND(MID(UPPER(TRIM(H204)),{1,2,3,4,10},1),"ABCDEFGHIJKLMNOPQRSTUVWXYZ")))=0,SUMPRODUCT(--ISERROR(FIND(MID(UPPER(TRIM(H204)),{5,6,7,8,9},1),"0123456789")))=0),"OK","Wrong format"))</f>
        <v/>
      </c>
      <c r="AY204" s="30">
        <f>IF(NOT(COUNTA(A204:AE204)&gt;0),"",IF(BE204&lt;&gt;"","✖ "&amp;LEFT(BE204,LEN(BE204)-2),IF(BD204&gt;0,"✔ Ready — client + "&amp;BD204&amp;" service(s)","✔ Ready — client only")))</f>
        <v/>
      </c>
      <c r="AZ204" s="31">
        <f>UPPER(SUBSTITUTE(TRIM(F204)," ",""))</f>
        <v/>
      </c>
      <c r="BA204" s="31">
        <f>UPPER(SUBSTITUTE(TRIM(E204)," ",""))</f>
        <v/>
      </c>
      <c r="BB204" s="31">
        <f>IF(D204&lt;&gt;"",D204,IFERROR(VLOOKUP(MID(AS204,4,1),Lists!$E$2:$F$8,2,FALSE),""))</f>
        <v/>
      </c>
      <c r="BC204" s="31">
        <f>IFERROR(VLOOKUP(BB204,Lists!$A$2:$C$12,3,FALSE),"")</f>
        <v/>
      </c>
      <c r="BD204" s="31">
        <f>COUNTIF(W204:AC204,"Yes")</f>
        <v/>
      </c>
      <c r="BE204" s="31">
        <f>IF(TRIM(B204)="","Legal name missing; ","")&amp;IF(AND(AV204&lt;&gt;"",AV204&lt;&gt;"OK"),"GSTIN: "&amp;AV204&amp;"; ","")&amp;IF(AND(AW204&lt;&gt;"",AW204&lt;&gt;"OK"),"PAN wrong format; ","")&amp;IF(AND(BA204&lt;&gt;"",LEN(AZ204)=15,MID(AZ204,3,10)&lt;&gt;BA204),"PAN does not match GSTIN; ","")&amp;IF(AND(AX204&lt;&gt;"",AX204&lt;&gt;"OK"),"TAN wrong format; ","")&amp;IF(AS204="","PAN missing; ","")&amp;IF(BB204="","Entity type missing; ","")&amp;IF(AND(AZ204&lt;&gt;"",COUNTIF($AZ$6:$AZ$1005,AZ204)&gt;1),"GSTIN repeated in this sheet; ","")&amp;IF(AND(AS204&lt;&gt;"",COUNTIF($AS$6:$AS$1005,AS204)&gt;1),"PAN repeated in this sheet (same client? put extra GSTINs in Other GSTINs); ","")&amp;IF(AND(BD204&gt;0,V204=""),"Financial year missing; ","")&amp;IF(AND(BD204=0,V204&lt;&gt;""),"Financial year given but no service is Yes; ","")&amp;IF(AND(W204="Yes",AZ204=""),"GST needs a GSTIN; ","")&amp;IF(AND(W204="Yes",X204=""),"GST return frequency missing; ","")&amp;IF(AND(Y204="Yes",TRIM(H204)=""),"TDS needs a TAN; ","")&amp;IF(AND(AA204="Yes",BC204&lt;&gt;"",BC204&lt;&gt;"company",BC204&lt;&gt;"llp"),"ROC is only for a company / LLP; ","")&amp;IF(AND(AA204="Yes",OR(BC204="company",BC204="llp"),TRIM(I204)=""),"ROC needs the CIN / LLPIN; ","")&amp;IF((TRIM(AF204)="")&lt;&gt;(TRIM(AG204)=""),"GST login needs both user ID and password; ","")&amp;IF((TRIM(AH204)="")&lt;&gt;(TRIM(AI204)=""),"Income-tax login needs both user ID and password; ","")&amp;IF((TRIM(AJ204)="")&lt;&gt;(TRIM(AK204)=""),"Income-tax login needs both user ID and password; ","")&amp;IF((TRIM(AL204)="")&lt;&gt;(TRIM(AM204)=""),"TRACES login needs both user ID and password; ","")&amp;IF((TRIM(AN204)="")&lt;&gt;(TRIM(AO204)=""),"MCA login needs both user ID and password; ","")&amp;IF((TRIM(AP204)="")&lt;&gt;(TRIM(AQ204)=""),"E-way bill login needs both user ID and password; ","")</f>
        <v/>
      </c>
    </row>
    <row r="205">
      <c r="A205" s="32" t="n"/>
      <c r="B205" s="33" t="n"/>
      <c r="C205" s="33" t="n"/>
      <c r="D205" s="33" t="n"/>
      <c r="E205" s="32" t="n"/>
      <c r="F205" s="32" t="n"/>
      <c r="G205" s="32" t="n"/>
      <c r="H205" s="32" t="n"/>
      <c r="I205" s="32" t="n"/>
      <c r="J205" s="34" t="n"/>
      <c r="K205" s="33" t="n"/>
      <c r="L205" s="32" t="n"/>
      <c r="M205" s="33" t="n"/>
      <c r="N205" s="33" t="n"/>
      <c r="O205" s="33" t="n"/>
      <c r="P205" s="32" t="n"/>
      <c r="Q205" s="33" t="n"/>
      <c r="R205" s="33" t="n"/>
      <c r="S205" s="33" t="n"/>
      <c r="T205" s="33" t="n"/>
      <c r="U205" s="32" t="n"/>
      <c r="V205" s="33" t="n"/>
      <c r="W205" s="33" t="n"/>
      <c r="X205" s="33" t="n"/>
      <c r="Y205" s="33" t="n"/>
      <c r="Z205" s="33" t="n"/>
      <c r="AA205" s="33" t="n"/>
      <c r="AB205" s="33" t="n"/>
      <c r="AC205" s="33" t="n"/>
      <c r="AD205" s="33" t="n"/>
      <c r="AE205" s="33" t="n"/>
      <c r="AF205" s="32" t="n"/>
      <c r="AG205" s="32" t="n"/>
      <c r="AH205" s="32" t="n"/>
      <c r="AI205" s="32" t="n"/>
      <c r="AJ205" s="32" t="n"/>
      <c r="AK205" s="32" t="n"/>
      <c r="AL205" s="32" t="n"/>
      <c r="AM205" s="32" t="n"/>
      <c r="AN205" s="32" t="n"/>
      <c r="AO205" s="32" t="n"/>
      <c r="AP205" s="32" t="n"/>
      <c r="AQ205" s="32" t="n"/>
      <c r="AR205" s="29">
        <f>IF(NOT(COUNTA(A205:AE205)&gt;0),"",IF(A205="","New client","Update"))</f>
        <v/>
      </c>
      <c r="AS205" s="29">
        <f>IF(BA205&lt;&gt;"",BA205,IF(LEN(AZ205)=15,MID(AZ205,3,10),""))</f>
        <v/>
      </c>
      <c r="AT205" s="29">
        <f>IF(BB205="","",BB205&amp;IF(D205="","  (guessed from PAN)",""))</f>
        <v/>
      </c>
      <c r="AU205" s="29">
        <f>IF(AZ205="","",IFERROR(INDEX(Lists!$L$2:$L$38,MATCH(LEFT(AZ205,2),Lists!$K$2:$K$38,0)),"Unknown code"))</f>
        <v/>
      </c>
      <c r="AV205" s="29">
        <f>IF(AZ205="","",IFERROR(IF(NOT(AND(LEN(AZ205)=15,ISNUMBER(MATCH(LEFT(AZ205,2),Lists!$K$2:$K$38,0)),SUMPRODUCT(--ISERROR(FIND(MID(MID(AZ205,3,10),{1,2,3,4,5,10},1),"ABCDEFGHIJKLMNOPQRSTUVWXYZ")))=0,SUMPRODUCT(--ISERROR(FIND(MID(MID(AZ205,3,10),{6,7,8,9},1),"0123456789")))=0,ISNUMBER(FIND(MID(AZ205,13,1),"123456789ABCDEFGHIJKLMNOPQRSTUVWXYZ")),MID(AZ205,14,1)="Z")),"Wrong format",IF(MID("0123456789ABCDEFGHIJKLMNOPQRSTUVWXYZ",MOD(36-MOD(SUMPRODUCT(INT((FIND(MID(AZ205,{1,2,3,4,5,6,7,8,9,10,11,12,13,14},1),"0123456789ABCDEFGHIJKLMNOPQRSTUVWXYZ")-1)*{1,2,1,2,1,2,1,2,1,2,1,2,1,2}/36)+MOD((FIND(MID(AZ205,{1,2,3,4,5,6,7,8,9,10,11,12,13,14},1),"0123456789ABCDEFGHIJKLMNOPQRSTUVWXYZ")-1)*{1,2,1,2,1,2,1,2,1,2,1,2,1,2},36)),36),36)+1,1)=MID(AZ205,15,1),"OK","Typo? check digit wrong")),"Wrong format"))</f>
        <v/>
      </c>
      <c r="AW205" s="29">
        <f>IF(BA205="","",IF(AND(LEN(BA205)=10,SUMPRODUCT(--ISERROR(FIND(MID(BA205,{1,2,3,4,5,10},1),"ABCDEFGHIJKLMNOPQRSTUVWXYZ")))=0,SUMPRODUCT(--ISERROR(FIND(MID(BA205,{6,7,8,9},1),"0123456789")))=0),"OK","Wrong format"))</f>
        <v/>
      </c>
      <c r="AX205" s="29">
        <f>IF(TRIM(H205)="","",IF(AND(LEN(UPPER(TRIM(H205)))=10,SUMPRODUCT(--ISERROR(FIND(MID(UPPER(TRIM(H205)),{1,2,3,4,10},1),"ABCDEFGHIJKLMNOPQRSTUVWXYZ")))=0,SUMPRODUCT(--ISERROR(FIND(MID(UPPER(TRIM(H205)),{5,6,7,8,9},1),"0123456789")))=0),"OK","Wrong format"))</f>
        <v/>
      </c>
      <c r="AY205" s="30">
        <f>IF(NOT(COUNTA(A205:AE205)&gt;0),"",IF(BE205&lt;&gt;"","✖ "&amp;LEFT(BE205,LEN(BE205)-2),IF(BD205&gt;0,"✔ Ready — client + "&amp;BD205&amp;" service(s)","✔ Ready — client only")))</f>
        <v/>
      </c>
      <c r="AZ205" s="31">
        <f>UPPER(SUBSTITUTE(TRIM(F205)," ",""))</f>
        <v/>
      </c>
      <c r="BA205" s="31">
        <f>UPPER(SUBSTITUTE(TRIM(E205)," ",""))</f>
        <v/>
      </c>
      <c r="BB205" s="31">
        <f>IF(D205&lt;&gt;"",D205,IFERROR(VLOOKUP(MID(AS205,4,1),Lists!$E$2:$F$8,2,FALSE),""))</f>
        <v/>
      </c>
      <c r="BC205" s="31">
        <f>IFERROR(VLOOKUP(BB205,Lists!$A$2:$C$12,3,FALSE),"")</f>
        <v/>
      </c>
      <c r="BD205" s="31">
        <f>COUNTIF(W205:AC205,"Yes")</f>
        <v/>
      </c>
      <c r="BE205" s="31">
        <f>IF(TRIM(B205)="","Legal name missing; ","")&amp;IF(AND(AV205&lt;&gt;"",AV205&lt;&gt;"OK"),"GSTIN: "&amp;AV205&amp;"; ","")&amp;IF(AND(AW205&lt;&gt;"",AW205&lt;&gt;"OK"),"PAN wrong format; ","")&amp;IF(AND(BA205&lt;&gt;"",LEN(AZ205)=15,MID(AZ205,3,10)&lt;&gt;BA205),"PAN does not match GSTIN; ","")&amp;IF(AND(AX205&lt;&gt;"",AX205&lt;&gt;"OK"),"TAN wrong format; ","")&amp;IF(AS205="","PAN missing; ","")&amp;IF(BB205="","Entity type missing; ","")&amp;IF(AND(AZ205&lt;&gt;"",COUNTIF($AZ$6:$AZ$1005,AZ205)&gt;1),"GSTIN repeated in this sheet; ","")&amp;IF(AND(AS205&lt;&gt;"",COUNTIF($AS$6:$AS$1005,AS205)&gt;1),"PAN repeated in this sheet (same client? put extra GSTINs in Other GSTINs); ","")&amp;IF(AND(BD205&gt;0,V205=""),"Financial year missing; ","")&amp;IF(AND(BD205=0,V205&lt;&gt;""),"Financial year given but no service is Yes; ","")&amp;IF(AND(W205="Yes",AZ205=""),"GST needs a GSTIN; ","")&amp;IF(AND(W205="Yes",X205=""),"GST return frequency missing; ","")&amp;IF(AND(Y205="Yes",TRIM(H205)=""),"TDS needs a TAN; ","")&amp;IF(AND(AA205="Yes",BC205&lt;&gt;"",BC205&lt;&gt;"company",BC205&lt;&gt;"llp"),"ROC is only for a company / LLP; ","")&amp;IF(AND(AA205="Yes",OR(BC205="company",BC205="llp"),TRIM(I205)=""),"ROC needs the CIN / LLPIN; ","")&amp;IF((TRIM(AF205)="")&lt;&gt;(TRIM(AG205)=""),"GST login needs both user ID and password; ","")&amp;IF((TRIM(AH205)="")&lt;&gt;(TRIM(AI205)=""),"Income-tax login needs both user ID and password; ","")&amp;IF((TRIM(AJ205)="")&lt;&gt;(TRIM(AK205)=""),"Income-tax login needs both user ID and password; ","")&amp;IF((TRIM(AL205)="")&lt;&gt;(TRIM(AM205)=""),"TRACES login needs both user ID and password; ","")&amp;IF((TRIM(AN205)="")&lt;&gt;(TRIM(AO205)=""),"MCA login needs both user ID and password; ","")&amp;IF((TRIM(AP205)="")&lt;&gt;(TRIM(AQ205)=""),"E-way bill login needs both user ID and password; ","")</f>
        <v/>
      </c>
    </row>
    <row r="206">
      <c r="A206" s="32" t="n"/>
      <c r="B206" s="33" t="n"/>
      <c r="C206" s="33" t="n"/>
      <c r="D206" s="33" t="n"/>
      <c r="E206" s="32" t="n"/>
      <c r="F206" s="32" t="n"/>
      <c r="G206" s="32" t="n"/>
      <c r="H206" s="32" t="n"/>
      <c r="I206" s="32" t="n"/>
      <c r="J206" s="34" t="n"/>
      <c r="K206" s="33" t="n"/>
      <c r="L206" s="32" t="n"/>
      <c r="M206" s="33" t="n"/>
      <c r="N206" s="33" t="n"/>
      <c r="O206" s="33" t="n"/>
      <c r="P206" s="32" t="n"/>
      <c r="Q206" s="33" t="n"/>
      <c r="R206" s="33" t="n"/>
      <c r="S206" s="33" t="n"/>
      <c r="T206" s="33" t="n"/>
      <c r="U206" s="32" t="n"/>
      <c r="V206" s="33" t="n"/>
      <c r="W206" s="33" t="n"/>
      <c r="X206" s="33" t="n"/>
      <c r="Y206" s="33" t="n"/>
      <c r="Z206" s="33" t="n"/>
      <c r="AA206" s="33" t="n"/>
      <c r="AB206" s="33" t="n"/>
      <c r="AC206" s="33" t="n"/>
      <c r="AD206" s="33" t="n"/>
      <c r="AE206" s="33" t="n"/>
      <c r="AF206" s="32" t="n"/>
      <c r="AG206" s="32" t="n"/>
      <c r="AH206" s="32" t="n"/>
      <c r="AI206" s="32" t="n"/>
      <c r="AJ206" s="32" t="n"/>
      <c r="AK206" s="32" t="n"/>
      <c r="AL206" s="32" t="n"/>
      <c r="AM206" s="32" t="n"/>
      <c r="AN206" s="32" t="n"/>
      <c r="AO206" s="32" t="n"/>
      <c r="AP206" s="32" t="n"/>
      <c r="AQ206" s="32" t="n"/>
      <c r="AR206" s="29">
        <f>IF(NOT(COUNTA(A206:AE206)&gt;0),"",IF(A206="","New client","Update"))</f>
        <v/>
      </c>
      <c r="AS206" s="29">
        <f>IF(BA206&lt;&gt;"",BA206,IF(LEN(AZ206)=15,MID(AZ206,3,10),""))</f>
        <v/>
      </c>
      <c r="AT206" s="29">
        <f>IF(BB206="","",BB206&amp;IF(D206="","  (guessed from PAN)",""))</f>
        <v/>
      </c>
      <c r="AU206" s="29">
        <f>IF(AZ206="","",IFERROR(INDEX(Lists!$L$2:$L$38,MATCH(LEFT(AZ206,2),Lists!$K$2:$K$38,0)),"Unknown code"))</f>
        <v/>
      </c>
      <c r="AV206" s="29">
        <f>IF(AZ206="","",IFERROR(IF(NOT(AND(LEN(AZ206)=15,ISNUMBER(MATCH(LEFT(AZ206,2),Lists!$K$2:$K$38,0)),SUMPRODUCT(--ISERROR(FIND(MID(MID(AZ206,3,10),{1,2,3,4,5,10},1),"ABCDEFGHIJKLMNOPQRSTUVWXYZ")))=0,SUMPRODUCT(--ISERROR(FIND(MID(MID(AZ206,3,10),{6,7,8,9},1),"0123456789")))=0,ISNUMBER(FIND(MID(AZ206,13,1),"123456789ABCDEFGHIJKLMNOPQRSTUVWXYZ")),MID(AZ206,14,1)="Z")),"Wrong format",IF(MID("0123456789ABCDEFGHIJKLMNOPQRSTUVWXYZ",MOD(36-MOD(SUMPRODUCT(INT((FIND(MID(AZ206,{1,2,3,4,5,6,7,8,9,10,11,12,13,14},1),"0123456789ABCDEFGHIJKLMNOPQRSTUVWXYZ")-1)*{1,2,1,2,1,2,1,2,1,2,1,2,1,2}/36)+MOD((FIND(MID(AZ206,{1,2,3,4,5,6,7,8,9,10,11,12,13,14},1),"0123456789ABCDEFGHIJKLMNOPQRSTUVWXYZ")-1)*{1,2,1,2,1,2,1,2,1,2,1,2,1,2},36)),36),36)+1,1)=MID(AZ206,15,1),"OK","Typo? check digit wrong")),"Wrong format"))</f>
        <v/>
      </c>
      <c r="AW206" s="29">
        <f>IF(BA206="","",IF(AND(LEN(BA206)=10,SUMPRODUCT(--ISERROR(FIND(MID(BA206,{1,2,3,4,5,10},1),"ABCDEFGHIJKLMNOPQRSTUVWXYZ")))=0,SUMPRODUCT(--ISERROR(FIND(MID(BA206,{6,7,8,9},1),"0123456789")))=0),"OK","Wrong format"))</f>
        <v/>
      </c>
      <c r="AX206" s="29">
        <f>IF(TRIM(H206)="","",IF(AND(LEN(UPPER(TRIM(H206)))=10,SUMPRODUCT(--ISERROR(FIND(MID(UPPER(TRIM(H206)),{1,2,3,4,10},1),"ABCDEFGHIJKLMNOPQRSTUVWXYZ")))=0,SUMPRODUCT(--ISERROR(FIND(MID(UPPER(TRIM(H206)),{5,6,7,8,9},1),"0123456789")))=0),"OK","Wrong format"))</f>
        <v/>
      </c>
      <c r="AY206" s="30">
        <f>IF(NOT(COUNTA(A206:AE206)&gt;0),"",IF(BE206&lt;&gt;"","✖ "&amp;LEFT(BE206,LEN(BE206)-2),IF(BD206&gt;0,"✔ Ready — client + "&amp;BD206&amp;" service(s)","✔ Ready — client only")))</f>
        <v/>
      </c>
      <c r="AZ206" s="31">
        <f>UPPER(SUBSTITUTE(TRIM(F206)," ",""))</f>
        <v/>
      </c>
      <c r="BA206" s="31">
        <f>UPPER(SUBSTITUTE(TRIM(E206)," ",""))</f>
        <v/>
      </c>
      <c r="BB206" s="31">
        <f>IF(D206&lt;&gt;"",D206,IFERROR(VLOOKUP(MID(AS206,4,1),Lists!$E$2:$F$8,2,FALSE),""))</f>
        <v/>
      </c>
      <c r="BC206" s="31">
        <f>IFERROR(VLOOKUP(BB206,Lists!$A$2:$C$12,3,FALSE),"")</f>
        <v/>
      </c>
      <c r="BD206" s="31">
        <f>COUNTIF(W206:AC206,"Yes")</f>
        <v/>
      </c>
      <c r="BE206" s="31">
        <f>IF(TRIM(B206)="","Legal name missing; ","")&amp;IF(AND(AV206&lt;&gt;"",AV206&lt;&gt;"OK"),"GSTIN: "&amp;AV206&amp;"; ","")&amp;IF(AND(AW206&lt;&gt;"",AW206&lt;&gt;"OK"),"PAN wrong format; ","")&amp;IF(AND(BA206&lt;&gt;"",LEN(AZ206)=15,MID(AZ206,3,10)&lt;&gt;BA206),"PAN does not match GSTIN; ","")&amp;IF(AND(AX206&lt;&gt;"",AX206&lt;&gt;"OK"),"TAN wrong format; ","")&amp;IF(AS206="","PAN missing; ","")&amp;IF(BB206="","Entity type missing; ","")&amp;IF(AND(AZ206&lt;&gt;"",COUNTIF($AZ$6:$AZ$1005,AZ206)&gt;1),"GSTIN repeated in this sheet; ","")&amp;IF(AND(AS206&lt;&gt;"",COUNTIF($AS$6:$AS$1005,AS206)&gt;1),"PAN repeated in this sheet (same client? put extra GSTINs in Other GSTINs); ","")&amp;IF(AND(BD206&gt;0,V206=""),"Financial year missing; ","")&amp;IF(AND(BD206=0,V206&lt;&gt;""),"Financial year given but no service is Yes; ","")&amp;IF(AND(W206="Yes",AZ206=""),"GST needs a GSTIN; ","")&amp;IF(AND(W206="Yes",X206=""),"GST return frequency missing; ","")&amp;IF(AND(Y206="Yes",TRIM(H206)=""),"TDS needs a TAN; ","")&amp;IF(AND(AA206="Yes",BC206&lt;&gt;"",BC206&lt;&gt;"company",BC206&lt;&gt;"llp"),"ROC is only for a company / LLP; ","")&amp;IF(AND(AA206="Yes",OR(BC206="company",BC206="llp"),TRIM(I206)=""),"ROC needs the CIN / LLPIN; ","")&amp;IF((TRIM(AF206)="")&lt;&gt;(TRIM(AG206)=""),"GST login needs both user ID and password; ","")&amp;IF((TRIM(AH206)="")&lt;&gt;(TRIM(AI206)=""),"Income-tax login needs both user ID and password; ","")&amp;IF((TRIM(AJ206)="")&lt;&gt;(TRIM(AK206)=""),"Income-tax login needs both user ID and password; ","")&amp;IF((TRIM(AL206)="")&lt;&gt;(TRIM(AM206)=""),"TRACES login needs both user ID and password; ","")&amp;IF((TRIM(AN206)="")&lt;&gt;(TRIM(AO206)=""),"MCA login needs both user ID and password; ","")&amp;IF((TRIM(AP206)="")&lt;&gt;(TRIM(AQ206)=""),"E-way bill login needs both user ID and password; ","")</f>
        <v/>
      </c>
    </row>
    <row r="207">
      <c r="A207" s="32" t="n"/>
      <c r="B207" s="33" t="n"/>
      <c r="C207" s="33" t="n"/>
      <c r="D207" s="33" t="n"/>
      <c r="E207" s="32" t="n"/>
      <c r="F207" s="32" t="n"/>
      <c r="G207" s="32" t="n"/>
      <c r="H207" s="32" t="n"/>
      <c r="I207" s="32" t="n"/>
      <c r="J207" s="34" t="n"/>
      <c r="K207" s="33" t="n"/>
      <c r="L207" s="32" t="n"/>
      <c r="M207" s="33" t="n"/>
      <c r="N207" s="33" t="n"/>
      <c r="O207" s="33" t="n"/>
      <c r="P207" s="32" t="n"/>
      <c r="Q207" s="33" t="n"/>
      <c r="R207" s="33" t="n"/>
      <c r="S207" s="33" t="n"/>
      <c r="T207" s="33" t="n"/>
      <c r="U207" s="32" t="n"/>
      <c r="V207" s="33" t="n"/>
      <c r="W207" s="33" t="n"/>
      <c r="X207" s="33" t="n"/>
      <c r="Y207" s="33" t="n"/>
      <c r="Z207" s="33" t="n"/>
      <c r="AA207" s="33" t="n"/>
      <c r="AB207" s="33" t="n"/>
      <c r="AC207" s="33" t="n"/>
      <c r="AD207" s="33" t="n"/>
      <c r="AE207" s="33" t="n"/>
      <c r="AF207" s="32" t="n"/>
      <c r="AG207" s="32" t="n"/>
      <c r="AH207" s="32" t="n"/>
      <c r="AI207" s="32" t="n"/>
      <c r="AJ207" s="32" t="n"/>
      <c r="AK207" s="32" t="n"/>
      <c r="AL207" s="32" t="n"/>
      <c r="AM207" s="32" t="n"/>
      <c r="AN207" s="32" t="n"/>
      <c r="AO207" s="32" t="n"/>
      <c r="AP207" s="32" t="n"/>
      <c r="AQ207" s="32" t="n"/>
      <c r="AR207" s="29">
        <f>IF(NOT(COUNTA(A207:AE207)&gt;0),"",IF(A207="","New client","Update"))</f>
        <v/>
      </c>
      <c r="AS207" s="29">
        <f>IF(BA207&lt;&gt;"",BA207,IF(LEN(AZ207)=15,MID(AZ207,3,10),""))</f>
        <v/>
      </c>
      <c r="AT207" s="29">
        <f>IF(BB207="","",BB207&amp;IF(D207="","  (guessed from PAN)",""))</f>
        <v/>
      </c>
      <c r="AU207" s="29">
        <f>IF(AZ207="","",IFERROR(INDEX(Lists!$L$2:$L$38,MATCH(LEFT(AZ207,2),Lists!$K$2:$K$38,0)),"Unknown code"))</f>
        <v/>
      </c>
      <c r="AV207" s="29">
        <f>IF(AZ207="","",IFERROR(IF(NOT(AND(LEN(AZ207)=15,ISNUMBER(MATCH(LEFT(AZ207,2),Lists!$K$2:$K$38,0)),SUMPRODUCT(--ISERROR(FIND(MID(MID(AZ207,3,10),{1,2,3,4,5,10},1),"ABCDEFGHIJKLMNOPQRSTUVWXYZ")))=0,SUMPRODUCT(--ISERROR(FIND(MID(MID(AZ207,3,10),{6,7,8,9},1),"0123456789")))=0,ISNUMBER(FIND(MID(AZ207,13,1),"123456789ABCDEFGHIJKLMNOPQRSTUVWXYZ")),MID(AZ207,14,1)="Z")),"Wrong format",IF(MID("0123456789ABCDEFGHIJKLMNOPQRSTUVWXYZ",MOD(36-MOD(SUMPRODUCT(INT((FIND(MID(AZ207,{1,2,3,4,5,6,7,8,9,10,11,12,13,14},1),"0123456789ABCDEFGHIJKLMNOPQRSTUVWXYZ")-1)*{1,2,1,2,1,2,1,2,1,2,1,2,1,2}/36)+MOD((FIND(MID(AZ207,{1,2,3,4,5,6,7,8,9,10,11,12,13,14},1),"0123456789ABCDEFGHIJKLMNOPQRSTUVWXYZ")-1)*{1,2,1,2,1,2,1,2,1,2,1,2,1,2},36)),36),36)+1,1)=MID(AZ207,15,1),"OK","Typo? check digit wrong")),"Wrong format"))</f>
        <v/>
      </c>
      <c r="AW207" s="29">
        <f>IF(BA207="","",IF(AND(LEN(BA207)=10,SUMPRODUCT(--ISERROR(FIND(MID(BA207,{1,2,3,4,5,10},1),"ABCDEFGHIJKLMNOPQRSTUVWXYZ")))=0,SUMPRODUCT(--ISERROR(FIND(MID(BA207,{6,7,8,9},1),"0123456789")))=0),"OK","Wrong format"))</f>
        <v/>
      </c>
      <c r="AX207" s="29">
        <f>IF(TRIM(H207)="","",IF(AND(LEN(UPPER(TRIM(H207)))=10,SUMPRODUCT(--ISERROR(FIND(MID(UPPER(TRIM(H207)),{1,2,3,4,10},1),"ABCDEFGHIJKLMNOPQRSTUVWXYZ")))=0,SUMPRODUCT(--ISERROR(FIND(MID(UPPER(TRIM(H207)),{5,6,7,8,9},1),"0123456789")))=0),"OK","Wrong format"))</f>
        <v/>
      </c>
      <c r="AY207" s="30">
        <f>IF(NOT(COUNTA(A207:AE207)&gt;0),"",IF(BE207&lt;&gt;"","✖ "&amp;LEFT(BE207,LEN(BE207)-2),IF(BD207&gt;0,"✔ Ready — client + "&amp;BD207&amp;" service(s)","✔ Ready — client only")))</f>
        <v/>
      </c>
      <c r="AZ207" s="31">
        <f>UPPER(SUBSTITUTE(TRIM(F207)," ",""))</f>
        <v/>
      </c>
      <c r="BA207" s="31">
        <f>UPPER(SUBSTITUTE(TRIM(E207)," ",""))</f>
        <v/>
      </c>
      <c r="BB207" s="31">
        <f>IF(D207&lt;&gt;"",D207,IFERROR(VLOOKUP(MID(AS207,4,1),Lists!$E$2:$F$8,2,FALSE),""))</f>
        <v/>
      </c>
      <c r="BC207" s="31">
        <f>IFERROR(VLOOKUP(BB207,Lists!$A$2:$C$12,3,FALSE),"")</f>
        <v/>
      </c>
      <c r="BD207" s="31">
        <f>COUNTIF(W207:AC207,"Yes")</f>
        <v/>
      </c>
      <c r="BE207" s="31">
        <f>IF(TRIM(B207)="","Legal name missing; ","")&amp;IF(AND(AV207&lt;&gt;"",AV207&lt;&gt;"OK"),"GSTIN: "&amp;AV207&amp;"; ","")&amp;IF(AND(AW207&lt;&gt;"",AW207&lt;&gt;"OK"),"PAN wrong format; ","")&amp;IF(AND(BA207&lt;&gt;"",LEN(AZ207)=15,MID(AZ207,3,10)&lt;&gt;BA207),"PAN does not match GSTIN; ","")&amp;IF(AND(AX207&lt;&gt;"",AX207&lt;&gt;"OK"),"TAN wrong format; ","")&amp;IF(AS207="","PAN missing; ","")&amp;IF(BB207="","Entity type missing; ","")&amp;IF(AND(AZ207&lt;&gt;"",COUNTIF($AZ$6:$AZ$1005,AZ207)&gt;1),"GSTIN repeated in this sheet; ","")&amp;IF(AND(AS207&lt;&gt;"",COUNTIF($AS$6:$AS$1005,AS207)&gt;1),"PAN repeated in this sheet (same client? put extra GSTINs in Other GSTINs); ","")&amp;IF(AND(BD207&gt;0,V207=""),"Financial year missing; ","")&amp;IF(AND(BD207=0,V207&lt;&gt;""),"Financial year given but no service is Yes; ","")&amp;IF(AND(W207="Yes",AZ207=""),"GST needs a GSTIN; ","")&amp;IF(AND(W207="Yes",X207=""),"GST return frequency missing; ","")&amp;IF(AND(Y207="Yes",TRIM(H207)=""),"TDS needs a TAN; ","")&amp;IF(AND(AA207="Yes",BC207&lt;&gt;"",BC207&lt;&gt;"company",BC207&lt;&gt;"llp"),"ROC is only for a company / LLP; ","")&amp;IF(AND(AA207="Yes",OR(BC207="company",BC207="llp"),TRIM(I207)=""),"ROC needs the CIN / LLPIN; ","")&amp;IF((TRIM(AF207)="")&lt;&gt;(TRIM(AG207)=""),"GST login needs both user ID and password; ","")&amp;IF((TRIM(AH207)="")&lt;&gt;(TRIM(AI207)=""),"Income-tax login needs both user ID and password; ","")&amp;IF((TRIM(AJ207)="")&lt;&gt;(TRIM(AK207)=""),"Income-tax login needs both user ID and password; ","")&amp;IF((TRIM(AL207)="")&lt;&gt;(TRIM(AM207)=""),"TRACES login needs both user ID and password; ","")&amp;IF((TRIM(AN207)="")&lt;&gt;(TRIM(AO207)=""),"MCA login needs both user ID and password; ","")&amp;IF((TRIM(AP207)="")&lt;&gt;(TRIM(AQ207)=""),"E-way bill login needs both user ID and password; ","")</f>
        <v/>
      </c>
    </row>
    <row r="208">
      <c r="A208" s="32" t="n"/>
      <c r="B208" s="33" t="n"/>
      <c r="C208" s="33" t="n"/>
      <c r="D208" s="33" t="n"/>
      <c r="E208" s="32" t="n"/>
      <c r="F208" s="32" t="n"/>
      <c r="G208" s="32" t="n"/>
      <c r="H208" s="32" t="n"/>
      <c r="I208" s="32" t="n"/>
      <c r="J208" s="34" t="n"/>
      <c r="K208" s="33" t="n"/>
      <c r="L208" s="32" t="n"/>
      <c r="M208" s="33" t="n"/>
      <c r="N208" s="33" t="n"/>
      <c r="O208" s="33" t="n"/>
      <c r="P208" s="32" t="n"/>
      <c r="Q208" s="33" t="n"/>
      <c r="R208" s="33" t="n"/>
      <c r="S208" s="33" t="n"/>
      <c r="T208" s="33" t="n"/>
      <c r="U208" s="32" t="n"/>
      <c r="V208" s="33" t="n"/>
      <c r="W208" s="33" t="n"/>
      <c r="X208" s="33" t="n"/>
      <c r="Y208" s="33" t="n"/>
      <c r="Z208" s="33" t="n"/>
      <c r="AA208" s="33" t="n"/>
      <c r="AB208" s="33" t="n"/>
      <c r="AC208" s="33" t="n"/>
      <c r="AD208" s="33" t="n"/>
      <c r="AE208" s="33" t="n"/>
      <c r="AF208" s="32" t="n"/>
      <c r="AG208" s="32" t="n"/>
      <c r="AH208" s="32" t="n"/>
      <c r="AI208" s="32" t="n"/>
      <c r="AJ208" s="32" t="n"/>
      <c r="AK208" s="32" t="n"/>
      <c r="AL208" s="32" t="n"/>
      <c r="AM208" s="32" t="n"/>
      <c r="AN208" s="32" t="n"/>
      <c r="AO208" s="32" t="n"/>
      <c r="AP208" s="32" t="n"/>
      <c r="AQ208" s="32" t="n"/>
      <c r="AR208" s="29">
        <f>IF(NOT(COUNTA(A208:AE208)&gt;0),"",IF(A208="","New client","Update"))</f>
        <v/>
      </c>
      <c r="AS208" s="29">
        <f>IF(BA208&lt;&gt;"",BA208,IF(LEN(AZ208)=15,MID(AZ208,3,10),""))</f>
        <v/>
      </c>
      <c r="AT208" s="29">
        <f>IF(BB208="","",BB208&amp;IF(D208="","  (guessed from PAN)",""))</f>
        <v/>
      </c>
      <c r="AU208" s="29">
        <f>IF(AZ208="","",IFERROR(INDEX(Lists!$L$2:$L$38,MATCH(LEFT(AZ208,2),Lists!$K$2:$K$38,0)),"Unknown code"))</f>
        <v/>
      </c>
      <c r="AV208" s="29">
        <f>IF(AZ208="","",IFERROR(IF(NOT(AND(LEN(AZ208)=15,ISNUMBER(MATCH(LEFT(AZ208,2),Lists!$K$2:$K$38,0)),SUMPRODUCT(--ISERROR(FIND(MID(MID(AZ208,3,10),{1,2,3,4,5,10},1),"ABCDEFGHIJKLMNOPQRSTUVWXYZ")))=0,SUMPRODUCT(--ISERROR(FIND(MID(MID(AZ208,3,10),{6,7,8,9},1),"0123456789")))=0,ISNUMBER(FIND(MID(AZ208,13,1),"123456789ABCDEFGHIJKLMNOPQRSTUVWXYZ")),MID(AZ208,14,1)="Z")),"Wrong format",IF(MID("0123456789ABCDEFGHIJKLMNOPQRSTUVWXYZ",MOD(36-MOD(SUMPRODUCT(INT((FIND(MID(AZ208,{1,2,3,4,5,6,7,8,9,10,11,12,13,14},1),"0123456789ABCDEFGHIJKLMNOPQRSTUVWXYZ")-1)*{1,2,1,2,1,2,1,2,1,2,1,2,1,2}/36)+MOD((FIND(MID(AZ208,{1,2,3,4,5,6,7,8,9,10,11,12,13,14},1),"0123456789ABCDEFGHIJKLMNOPQRSTUVWXYZ")-1)*{1,2,1,2,1,2,1,2,1,2,1,2,1,2},36)),36),36)+1,1)=MID(AZ208,15,1),"OK","Typo? check digit wrong")),"Wrong format"))</f>
        <v/>
      </c>
      <c r="AW208" s="29">
        <f>IF(BA208="","",IF(AND(LEN(BA208)=10,SUMPRODUCT(--ISERROR(FIND(MID(BA208,{1,2,3,4,5,10},1),"ABCDEFGHIJKLMNOPQRSTUVWXYZ")))=0,SUMPRODUCT(--ISERROR(FIND(MID(BA208,{6,7,8,9},1),"0123456789")))=0),"OK","Wrong format"))</f>
        <v/>
      </c>
      <c r="AX208" s="29">
        <f>IF(TRIM(H208)="","",IF(AND(LEN(UPPER(TRIM(H208)))=10,SUMPRODUCT(--ISERROR(FIND(MID(UPPER(TRIM(H208)),{1,2,3,4,10},1),"ABCDEFGHIJKLMNOPQRSTUVWXYZ")))=0,SUMPRODUCT(--ISERROR(FIND(MID(UPPER(TRIM(H208)),{5,6,7,8,9},1),"0123456789")))=0),"OK","Wrong format"))</f>
        <v/>
      </c>
      <c r="AY208" s="30">
        <f>IF(NOT(COUNTA(A208:AE208)&gt;0),"",IF(BE208&lt;&gt;"","✖ "&amp;LEFT(BE208,LEN(BE208)-2),IF(BD208&gt;0,"✔ Ready — client + "&amp;BD208&amp;" service(s)","✔ Ready — client only")))</f>
        <v/>
      </c>
      <c r="AZ208" s="31">
        <f>UPPER(SUBSTITUTE(TRIM(F208)," ",""))</f>
        <v/>
      </c>
      <c r="BA208" s="31">
        <f>UPPER(SUBSTITUTE(TRIM(E208)," ",""))</f>
        <v/>
      </c>
      <c r="BB208" s="31">
        <f>IF(D208&lt;&gt;"",D208,IFERROR(VLOOKUP(MID(AS208,4,1),Lists!$E$2:$F$8,2,FALSE),""))</f>
        <v/>
      </c>
      <c r="BC208" s="31">
        <f>IFERROR(VLOOKUP(BB208,Lists!$A$2:$C$12,3,FALSE),"")</f>
        <v/>
      </c>
      <c r="BD208" s="31">
        <f>COUNTIF(W208:AC208,"Yes")</f>
        <v/>
      </c>
      <c r="BE208" s="31">
        <f>IF(TRIM(B208)="","Legal name missing; ","")&amp;IF(AND(AV208&lt;&gt;"",AV208&lt;&gt;"OK"),"GSTIN: "&amp;AV208&amp;"; ","")&amp;IF(AND(AW208&lt;&gt;"",AW208&lt;&gt;"OK"),"PAN wrong format; ","")&amp;IF(AND(BA208&lt;&gt;"",LEN(AZ208)=15,MID(AZ208,3,10)&lt;&gt;BA208),"PAN does not match GSTIN; ","")&amp;IF(AND(AX208&lt;&gt;"",AX208&lt;&gt;"OK"),"TAN wrong format; ","")&amp;IF(AS208="","PAN missing; ","")&amp;IF(BB208="","Entity type missing; ","")&amp;IF(AND(AZ208&lt;&gt;"",COUNTIF($AZ$6:$AZ$1005,AZ208)&gt;1),"GSTIN repeated in this sheet; ","")&amp;IF(AND(AS208&lt;&gt;"",COUNTIF($AS$6:$AS$1005,AS208)&gt;1),"PAN repeated in this sheet (same client? put extra GSTINs in Other GSTINs); ","")&amp;IF(AND(BD208&gt;0,V208=""),"Financial year missing; ","")&amp;IF(AND(BD208=0,V208&lt;&gt;""),"Financial year given but no service is Yes; ","")&amp;IF(AND(W208="Yes",AZ208=""),"GST needs a GSTIN; ","")&amp;IF(AND(W208="Yes",X208=""),"GST return frequency missing; ","")&amp;IF(AND(Y208="Yes",TRIM(H208)=""),"TDS needs a TAN; ","")&amp;IF(AND(AA208="Yes",BC208&lt;&gt;"",BC208&lt;&gt;"company",BC208&lt;&gt;"llp"),"ROC is only for a company / LLP; ","")&amp;IF(AND(AA208="Yes",OR(BC208="company",BC208="llp"),TRIM(I208)=""),"ROC needs the CIN / LLPIN; ","")&amp;IF((TRIM(AF208)="")&lt;&gt;(TRIM(AG208)=""),"GST login needs both user ID and password; ","")&amp;IF((TRIM(AH208)="")&lt;&gt;(TRIM(AI208)=""),"Income-tax login needs both user ID and password; ","")&amp;IF((TRIM(AJ208)="")&lt;&gt;(TRIM(AK208)=""),"Income-tax login needs both user ID and password; ","")&amp;IF((TRIM(AL208)="")&lt;&gt;(TRIM(AM208)=""),"TRACES login needs both user ID and password; ","")&amp;IF((TRIM(AN208)="")&lt;&gt;(TRIM(AO208)=""),"MCA login needs both user ID and password; ","")&amp;IF((TRIM(AP208)="")&lt;&gt;(TRIM(AQ208)=""),"E-way bill login needs both user ID and password; ","")</f>
        <v/>
      </c>
    </row>
    <row r="209">
      <c r="A209" s="32" t="n"/>
      <c r="B209" s="33" t="n"/>
      <c r="C209" s="33" t="n"/>
      <c r="D209" s="33" t="n"/>
      <c r="E209" s="32" t="n"/>
      <c r="F209" s="32" t="n"/>
      <c r="G209" s="32" t="n"/>
      <c r="H209" s="32" t="n"/>
      <c r="I209" s="32" t="n"/>
      <c r="J209" s="34" t="n"/>
      <c r="K209" s="33" t="n"/>
      <c r="L209" s="32" t="n"/>
      <c r="M209" s="33" t="n"/>
      <c r="N209" s="33" t="n"/>
      <c r="O209" s="33" t="n"/>
      <c r="P209" s="32" t="n"/>
      <c r="Q209" s="33" t="n"/>
      <c r="R209" s="33" t="n"/>
      <c r="S209" s="33" t="n"/>
      <c r="T209" s="33" t="n"/>
      <c r="U209" s="32" t="n"/>
      <c r="V209" s="33" t="n"/>
      <c r="W209" s="33" t="n"/>
      <c r="X209" s="33" t="n"/>
      <c r="Y209" s="33" t="n"/>
      <c r="Z209" s="33" t="n"/>
      <c r="AA209" s="33" t="n"/>
      <c r="AB209" s="33" t="n"/>
      <c r="AC209" s="33" t="n"/>
      <c r="AD209" s="33" t="n"/>
      <c r="AE209" s="33" t="n"/>
      <c r="AF209" s="32" t="n"/>
      <c r="AG209" s="32" t="n"/>
      <c r="AH209" s="32" t="n"/>
      <c r="AI209" s="32" t="n"/>
      <c r="AJ209" s="32" t="n"/>
      <c r="AK209" s="32" t="n"/>
      <c r="AL209" s="32" t="n"/>
      <c r="AM209" s="32" t="n"/>
      <c r="AN209" s="32" t="n"/>
      <c r="AO209" s="32" t="n"/>
      <c r="AP209" s="32" t="n"/>
      <c r="AQ209" s="32" t="n"/>
      <c r="AR209" s="29">
        <f>IF(NOT(COUNTA(A209:AE209)&gt;0),"",IF(A209="","New client","Update"))</f>
        <v/>
      </c>
      <c r="AS209" s="29">
        <f>IF(BA209&lt;&gt;"",BA209,IF(LEN(AZ209)=15,MID(AZ209,3,10),""))</f>
        <v/>
      </c>
      <c r="AT209" s="29">
        <f>IF(BB209="","",BB209&amp;IF(D209="","  (guessed from PAN)",""))</f>
        <v/>
      </c>
      <c r="AU209" s="29">
        <f>IF(AZ209="","",IFERROR(INDEX(Lists!$L$2:$L$38,MATCH(LEFT(AZ209,2),Lists!$K$2:$K$38,0)),"Unknown code"))</f>
        <v/>
      </c>
      <c r="AV209" s="29">
        <f>IF(AZ209="","",IFERROR(IF(NOT(AND(LEN(AZ209)=15,ISNUMBER(MATCH(LEFT(AZ209,2),Lists!$K$2:$K$38,0)),SUMPRODUCT(--ISERROR(FIND(MID(MID(AZ209,3,10),{1,2,3,4,5,10},1),"ABCDEFGHIJKLMNOPQRSTUVWXYZ")))=0,SUMPRODUCT(--ISERROR(FIND(MID(MID(AZ209,3,10),{6,7,8,9},1),"0123456789")))=0,ISNUMBER(FIND(MID(AZ209,13,1),"123456789ABCDEFGHIJKLMNOPQRSTUVWXYZ")),MID(AZ209,14,1)="Z")),"Wrong format",IF(MID("0123456789ABCDEFGHIJKLMNOPQRSTUVWXYZ",MOD(36-MOD(SUMPRODUCT(INT((FIND(MID(AZ209,{1,2,3,4,5,6,7,8,9,10,11,12,13,14},1),"0123456789ABCDEFGHIJKLMNOPQRSTUVWXYZ")-1)*{1,2,1,2,1,2,1,2,1,2,1,2,1,2}/36)+MOD((FIND(MID(AZ209,{1,2,3,4,5,6,7,8,9,10,11,12,13,14},1),"0123456789ABCDEFGHIJKLMNOPQRSTUVWXYZ")-1)*{1,2,1,2,1,2,1,2,1,2,1,2,1,2},36)),36),36)+1,1)=MID(AZ209,15,1),"OK","Typo? check digit wrong")),"Wrong format"))</f>
        <v/>
      </c>
      <c r="AW209" s="29">
        <f>IF(BA209="","",IF(AND(LEN(BA209)=10,SUMPRODUCT(--ISERROR(FIND(MID(BA209,{1,2,3,4,5,10},1),"ABCDEFGHIJKLMNOPQRSTUVWXYZ")))=0,SUMPRODUCT(--ISERROR(FIND(MID(BA209,{6,7,8,9},1),"0123456789")))=0),"OK","Wrong format"))</f>
        <v/>
      </c>
      <c r="AX209" s="29">
        <f>IF(TRIM(H209)="","",IF(AND(LEN(UPPER(TRIM(H209)))=10,SUMPRODUCT(--ISERROR(FIND(MID(UPPER(TRIM(H209)),{1,2,3,4,10},1),"ABCDEFGHIJKLMNOPQRSTUVWXYZ")))=0,SUMPRODUCT(--ISERROR(FIND(MID(UPPER(TRIM(H209)),{5,6,7,8,9},1),"0123456789")))=0),"OK","Wrong format"))</f>
        <v/>
      </c>
      <c r="AY209" s="30">
        <f>IF(NOT(COUNTA(A209:AE209)&gt;0),"",IF(BE209&lt;&gt;"","✖ "&amp;LEFT(BE209,LEN(BE209)-2),IF(BD209&gt;0,"✔ Ready — client + "&amp;BD209&amp;" service(s)","✔ Ready — client only")))</f>
        <v/>
      </c>
      <c r="AZ209" s="31">
        <f>UPPER(SUBSTITUTE(TRIM(F209)," ",""))</f>
        <v/>
      </c>
      <c r="BA209" s="31">
        <f>UPPER(SUBSTITUTE(TRIM(E209)," ",""))</f>
        <v/>
      </c>
      <c r="BB209" s="31">
        <f>IF(D209&lt;&gt;"",D209,IFERROR(VLOOKUP(MID(AS209,4,1),Lists!$E$2:$F$8,2,FALSE),""))</f>
        <v/>
      </c>
      <c r="BC209" s="31">
        <f>IFERROR(VLOOKUP(BB209,Lists!$A$2:$C$12,3,FALSE),"")</f>
        <v/>
      </c>
      <c r="BD209" s="31">
        <f>COUNTIF(W209:AC209,"Yes")</f>
        <v/>
      </c>
      <c r="BE209" s="31">
        <f>IF(TRIM(B209)="","Legal name missing; ","")&amp;IF(AND(AV209&lt;&gt;"",AV209&lt;&gt;"OK"),"GSTIN: "&amp;AV209&amp;"; ","")&amp;IF(AND(AW209&lt;&gt;"",AW209&lt;&gt;"OK"),"PAN wrong format; ","")&amp;IF(AND(BA209&lt;&gt;"",LEN(AZ209)=15,MID(AZ209,3,10)&lt;&gt;BA209),"PAN does not match GSTIN; ","")&amp;IF(AND(AX209&lt;&gt;"",AX209&lt;&gt;"OK"),"TAN wrong format; ","")&amp;IF(AS209="","PAN missing; ","")&amp;IF(BB209="","Entity type missing; ","")&amp;IF(AND(AZ209&lt;&gt;"",COUNTIF($AZ$6:$AZ$1005,AZ209)&gt;1),"GSTIN repeated in this sheet; ","")&amp;IF(AND(AS209&lt;&gt;"",COUNTIF($AS$6:$AS$1005,AS209)&gt;1),"PAN repeated in this sheet (same client? put extra GSTINs in Other GSTINs); ","")&amp;IF(AND(BD209&gt;0,V209=""),"Financial year missing; ","")&amp;IF(AND(BD209=0,V209&lt;&gt;""),"Financial year given but no service is Yes; ","")&amp;IF(AND(W209="Yes",AZ209=""),"GST needs a GSTIN; ","")&amp;IF(AND(W209="Yes",X209=""),"GST return frequency missing; ","")&amp;IF(AND(Y209="Yes",TRIM(H209)=""),"TDS needs a TAN; ","")&amp;IF(AND(AA209="Yes",BC209&lt;&gt;"",BC209&lt;&gt;"company",BC209&lt;&gt;"llp"),"ROC is only for a company / LLP; ","")&amp;IF(AND(AA209="Yes",OR(BC209="company",BC209="llp"),TRIM(I209)=""),"ROC needs the CIN / LLPIN; ","")&amp;IF((TRIM(AF209)="")&lt;&gt;(TRIM(AG209)=""),"GST login needs both user ID and password; ","")&amp;IF((TRIM(AH209)="")&lt;&gt;(TRIM(AI209)=""),"Income-tax login needs both user ID and password; ","")&amp;IF((TRIM(AJ209)="")&lt;&gt;(TRIM(AK209)=""),"Income-tax login needs both user ID and password; ","")&amp;IF((TRIM(AL209)="")&lt;&gt;(TRIM(AM209)=""),"TRACES login needs both user ID and password; ","")&amp;IF((TRIM(AN209)="")&lt;&gt;(TRIM(AO209)=""),"MCA login needs both user ID and password; ","")&amp;IF((TRIM(AP209)="")&lt;&gt;(TRIM(AQ209)=""),"E-way bill login needs both user ID and password; ","")</f>
        <v/>
      </c>
    </row>
    <row r="210">
      <c r="A210" s="32" t="n"/>
      <c r="B210" s="33" t="n"/>
      <c r="C210" s="33" t="n"/>
      <c r="D210" s="33" t="n"/>
      <c r="E210" s="32" t="n"/>
      <c r="F210" s="32" t="n"/>
      <c r="G210" s="32" t="n"/>
      <c r="H210" s="32" t="n"/>
      <c r="I210" s="32" t="n"/>
      <c r="J210" s="34" t="n"/>
      <c r="K210" s="33" t="n"/>
      <c r="L210" s="32" t="n"/>
      <c r="M210" s="33" t="n"/>
      <c r="N210" s="33" t="n"/>
      <c r="O210" s="33" t="n"/>
      <c r="P210" s="32" t="n"/>
      <c r="Q210" s="33" t="n"/>
      <c r="R210" s="33" t="n"/>
      <c r="S210" s="33" t="n"/>
      <c r="T210" s="33" t="n"/>
      <c r="U210" s="32" t="n"/>
      <c r="V210" s="33" t="n"/>
      <c r="W210" s="33" t="n"/>
      <c r="X210" s="33" t="n"/>
      <c r="Y210" s="33" t="n"/>
      <c r="Z210" s="33" t="n"/>
      <c r="AA210" s="33" t="n"/>
      <c r="AB210" s="33" t="n"/>
      <c r="AC210" s="33" t="n"/>
      <c r="AD210" s="33" t="n"/>
      <c r="AE210" s="33" t="n"/>
      <c r="AF210" s="32" t="n"/>
      <c r="AG210" s="32" t="n"/>
      <c r="AH210" s="32" t="n"/>
      <c r="AI210" s="32" t="n"/>
      <c r="AJ210" s="32" t="n"/>
      <c r="AK210" s="32" t="n"/>
      <c r="AL210" s="32" t="n"/>
      <c r="AM210" s="32" t="n"/>
      <c r="AN210" s="32" t="n"/>
      <c r="AO210" s="32" t="n"/>
      <c r="AP210" s="32" t="n"/>
      <c r="AQ210" s="32" t="n"/>
      <c r="AR210" s="29">
        <f>IF(NOT(COUNTA(A210:AE210)&gt;0),"",IF(A210="","New client","Update"))</f>
        <v/>
      </c>
      <c r="AS210" s="29">
        <f>IF(BA210&lt;&gt;"",BA210,IF(LEN(AZ210)=15,MID(AZ210,3,10),""))</f>
        <v/>
      </c>
      <c r="AT210" s="29">
        <f>IF(BB210="","",BB210&amp;IF(D210="","  (guessed from PAN)",""))</f>
        <v/>
      </c>
      <c r="AU210" s="29">
        <f>IF(AZ210="","",IFERROR(INDEX(Lists!$L$2:$L$38,MATCH(LEFT(AZ210,2),Lists!$K$2:$K$38,0)),"Unknown code"))</f>
        <v/>
      </c>
      <c r="AV210" s="29">
        <f>IF(AZ210="","",IFERROR(IF(NOT(AND(LEN(AZ210)=15,ISNUMBER(MATCH(LEFT(AZ210,2),Lists!$K$2:$K$38,0)),SUMPRODUCT(--ISERROR(FIND(MID(MID(AZ210,3,10),{1,2,3,4,5,10},1),"ABCDEFGHIJKLMNOPQRSTUVWXYZ")))=0,SUMPRODUCT(--ISERROR(FIND(MID(MID(AZ210,3,10),{6,7,8,9},1),"0123456789")))=0,ISNUMBER(FIND(MID(AZ210,13,1),"123456789ABCDEFGHIJKLMNOPQRSTUVWXYZ")),MID(AZ210,14,1)="Z")),"Wrong format",IF(MID("0123456789ABCDEFGHIJKLMNOPQRSTUVWXYZ",MOD(36-MOD(SUMPRODUCT(INT((FIND(MID(AZ210,{1,2,3,4,5,6,7,8,9,10,11,12,13,14},1),"0123456789ABCDEFGHIJKLMNOPQRSTUVWXYZ")-1)*{1,2,1,2,1,2,1,2,1,2,1,2,1,2}/36)+MOD((FIND(MID(AZ210,{1,2,3,4,5,6,7,8,9,10,11,12,13,14},1),"0123456789ABCDEFGHIJKLMNOPQRSTUVWXYZ")-1)*{1,2,1,2,1,2,1,2,1,2,1,2,1,2},36)),36),36)+1,1)=MID(AZ210,15,1),"OK","Typo? check digit wrong")),"Wrong format"))</f>
        <v/>
      </c>
      <c r="AW210" s="29">
        <f>IF(BA210="","",IF(AND(LEN(BA210)=10,SUMPRODUCT(--ISERROR(FIND(MID(BA210,{1,2,3,4,5,10},1),"ABCDEFGHIJKLMNOPQRSTUVWXYZ")))=0,SUMPRODUCT(--ISERROR(FIND(MID(BA210,{6,7,8,9},1),"0123456789")))=0),"OK","Wrong format"))</f>
        <v/>
      </c>
      <c r="AX210" s="29">
        <f>IF(TRIM(H210)="","",IF(AND(LEN(UPPER(TRIM(H210)))=10,SUMPRODUCT(--ISERROR(FIND(MID(UPPER(TRIM(H210)),{1,2,3,4,10},1),"ABCDEFGHIJKLMNOPQRSTUVWXYZ")))=0,SUMPRODUCT(--ISERROR(FIND(MID(UPPER(TRIM(H210)),{5,6,7,8,9},1),"0123456789")))=0),"OK","Wrong format"))</f>
        <v/>
      </c>
      <c r="AY210" s="30">
        <f>IF(NOT(COUNTA(A210:AE210)&gt;0),"",IF(BE210&lt;&gt;"","✖ "&amp;LEFT(BE210,LEN(BE210)-2),IF(BD210&gt;0,"✔ Ready — client + "&amp;BD210&amp;" service(s)","✔ Ready — client only")))</f>
        <v/>
      </c>
      <c r="AZ210" s="31">
        <f>UPPER(SUBSTITUTE(TRIM(F210)," ",""))</f>
        <v/>
      </c>
      <c r="BA210" s="31">
        <f>UPPER(SUBSTITUTE(TRIM(E210)," ",""))</f>
        <v/>
      </c>
      <c r="BB210" s="31">
        <f>IF(D210&lt;&gt;"",D210,IFERROR(VLOOKUP(MID(AS210,4,1),Lists!$E$2:$F$8,2,FALSE),""))</f>
        <v/>
      </c>
      <c r="BC210" s="31">
        <f>IFERROR(VLOOKUP(BB210,Lists!$A$2:$C$12,3,FALSE),"")</f>
        <v/>
      </c>
      <c r="BD210" s="31">
        <f>COUNTIF(W210:AC210,"Yes")</f>
        <v/>
      </c>
      <c r="BE210" s="31">
        <f>IF(TRIM(B210)="","Legal name missing; ","")&amp;IF(AND(AV210&lt;&gt;"",AV210&lt;&gt;"OK"),"GSTIN: "&amp;AV210&amp;"; ","")&amp;IF(AND(AW210&lt;&gt;"",AW210&lt;&gt;"OK"),"PAN wrong format; ","")&amp;IF(AND(BA210&lt;&gt;"",LEN(AZ210)=15,MID(AZ210,3,10)&lt;&gt;BA210),"PAN does not match GSTIN; ","")&amp;IF(AND(AX210&lt;&gt;"",AX210&lt;&gt;"OK"),"TAN wrong format; ","")&amp;IF(AS210="","PAN missing; ","")&amp;IF(BB210="","Entity type missing; ","")&amp;IF(AND(AZ210&lt;&gt;"",COUNTIF($AZ$6:$AZ$1005,AZ210)&gt;1),"GSTIN repeated in this sheet; ","")&amp;IF(AND(AS210&lt;&gt;"",COUNTIF($AS$6:$AS$1005,AS210)&gt;1),"PAN repeated in this sheet (same client? put extra GSTINs in Other GSTINs); ","")&amp;IF(AND(BD210&gt;0,V210=""),"Financial year missing; ","")&amp;IF(AND(BD210=0,V210&lt;&gt;""),"Financial year given but no service is Yes; ","")&amp;IF(AND(W210="Yes",AZ210=""),"GST needs a GSTIN; ","")&amp;IF(AND(W210="Yes",X210=""),"GST return frequency missing; ","")&amp;IF(AND(Y210="Yes",TRIM(H210)=""),"TDS needs a TAN; ","")&amp;IF(AND(AA210="Yes",BC210&lt;&gt;"",BC210&lt;&gt;"company",BC210&lt;&gt;"llp"),"ROC is only for a company / LLP; ","")&amp;IF(AND(AA210="Yes",OR(BC210="company",BC210="llp"),TRIM(I210)=""),"ROC needs the CIN / LLPIN; ","")&amp;IF((TRIM(AF210)="")&lt;&gt;(TRIM(AG210)=""),"GST login needs both user ID and password; ","")&amp;IF((TRIM(AH210)="")&lt;&gt;(TRIM(AI210)=""),"Income-tax login needs both user ID and password; ","")&amp;IF((TRIM(AJ210)="")&lt;&gt;(TRIM(AK210)=""),"Income-tax login needs both user ID and password; ","")&amp;IF((TRIM(AL210)="")&lt;&gt;(TRIM(AM210)=""),"TRACES login needs both user ID and password; ","")&amp;IF((TRIM(AN210)="")&lt;&gt;(TRIM(AO210)=""),"MCA login needs both user ID and password; ","")&amp;IF((TRIM(AP210)="")&lt;&gt;(TRIM(AQ210)=""),"E-way bill login needs both user ID and password; ","")</f>
        <v/>
      </c>
    </row>
    <row r="211">
      <c r="A211" s="32" t="n"/>
      <c r="B211" s="33" t="n"/>
      <c r="C211" s="33" t="n"/>
      <c r="D211" s="33" t="n"/>
      <c r="E211" s="32" t="n"/>
      <c r="F211" s="32" t="n"/>
      <c r="G211" s="32" t="n"/>
      <c r="H211" s="32" t="n"/>
      <c r="I211" s="32" t="n"/>
      <c r="J211" s="34" t="n"/>
      <c r="K211" s="33" t="n"/>
      <c r="L211" s="32" t="n"/>
      <c r="M211" s="33" t="n"/>
      <c r="N211" s="33" t="n"/>
      <c r="O211" s="33" t="n"/>
      <c r="P211" s="32" t="n"/>
      <c r="Q211" s="33" t="n"/>
      <c r="R211" s="33" t="n"/>
      <c r="S211" s="33" t="n"/>
      <c r="T211" s="33" t="n"/>
      <c r="U211" s="32" t="n"/>
      <c r="V211" s="33" t="n"/>
      <c r="W211" s="33" t="n"/>
      <c r="X211" s="33" t="n"/>
      <c r="Y211" s="33" t="n"/>
      <c r="Z211" s="33" t="n"/>
      <c r="AA211" s="33" t="n"/>
      <c r="AB211" s="33" t="n"/>
      <c r="AC211" s="33" t="n"/>
      <c r="AD211" s="33" t="n"/>
      <c r="AE211" s="33" t="n"/>
      <c r="AF211" s="32" t="n"/>
      <c r="AG211" s="32" t="n"/>
      <c r="AH211" s="32" t="n"/>
      <c r="AI211" s="32" t="n"/>
      <c r="AJ211" s="32" t="n"/>
      <c r="AK211" s="32" t="n"/>
      <c r="AL211" s="32" t="n"/>
      <c r="AM211" s="32" t="n"/>
      <c r="AN211" s="32" t="n"/>
      <c r="AO211" s="32" t="n"/>
      <c r="AP211" s="32" t="n"/>
      <c r="AQ211" s="32" t="n"/>
      <c r="AR211" s="29">
        <f>IF(NOT(COUNTA(A211:AE211)&gt;0),"",IF(A211="","New client","Update"))</f>
        <v/>
      </c>
      <c r="AS211" s="29">
        <f>IF(BA211&lt;&gt;"",BA211,IF(LEN(AZ211)=15,MID(AZ211,3,10),""))</f>
        <v/>
      </c>
      <c r="AT211" s="29">
        <f>IF(BB211="","",BB211&amp;IF(D211="","  (guessed from PAN)",""))</f>
        <v/>
      </c>
      <c r="AU211" s="29">
        <f>IF(AZ211="","",IFERROR(INDEX(Lists!$L$2:$L$38,MATCH(LEFT(AZ211,2),Lists!$K$2:$K$38,0)),"Unknown code"))</f>
        <v/>
      </c>
      <c r="AV211" s="29">
        <f>IF(AZ211="","",IFERROR(IF(NOT(AND(LEN(AZ211)=15,ISNUMBER(MATCH(LEFT(AZ211,2),Lists!$K$2:$K$38,0)),SUMPRODUCT(--ISERROR(FIND(MID(MID(AZ211,3,10),{1,2,3,4,5,10},1),"ABCDEFGHIJKLMNOPQRSTUVWXYZ")))=0,SUMPRODUCT(--ISERROR(FIND(MID(MID(AZ211,3,10),{6,7,8,9},1),"0123456789")))=0,ISNUMBER(FIND(MID(AZ211,13,1),"123456789ABCDEFGHIJKLMNOPQRSTUVWXYZ")),MID(AZ211,14,1)="Z")),"Wrong format",IF(MID("0123456789ABCDEFGHIJKLMNOPQRSTUVWXYZ",MOD(36-MOD(SUMPRODUCT(INT((FIND(MID(AZ211,{1,2,3,4,5,6,7,8,9,10,11,12,13,14},1),"0123456789ABCDEFGHIJKLMNOPQRSTUVWXYZ")-1)*{1,2,1,2,1,2,1,2,1,2,1,2,1,2}/36)+MOD((FIND(MID(AZ211,{1,2,3,4,5,6,7,8,9,10,11,12,13,14},1),"0123456789ABCDEFGHIJKLMNOPQRSTUVWXYZ")-1)*{1,2,1,2,1,2,1,2,1,2,1,2,1,2},36)),36),36)+1,1)=MID(AZ211,15,1),"OK","Typo? check digit wrong")),"Wrong format"))</f>
        <v/>
      </c>
      <c r="AW211" s="29">
        <f>IF(BA211="","",IF(AND(LEN(BA211)=10,SUMPRODUCT(--ISERROR(FIND(MID(BA211,{1,2,3,4,5,10},1),"ABCDEFGHIJKLMNOPQRSTUVWXYZ")))=0,SUMPRODUCT(--ISERROR(FIND(MID(BA211,{6,7,8,9},1),"0123456789")))=0),"OK","Wrong format"))</f>
        <v/>
      </c>
      <c r="AX211" s="29">
        <f>IF(TRIM(H211)="","",IF(AND(LEN(UPPER(TRIM(H211)))=10,SUMPRODUCT(--ISERROR(FIND(MID(UPPER(TRIM(H211)),{1,2,3,4,10},1),"ABCDEFGHIJKLMNOPQRSTUVWXYZ")))=0,SUMPRODUCT(--ISERROR(FIND(MID(UPPER(TRIM(H211)),{5,6,7,8,9},1),"0123456789")))=0),"OK","Wrong format"))</f>
        <v/>
      </c>
      <c r="AY211" s="30">
        <f>IF(NOT(COUNTA(A211:AE211)&gt;0),"",IF(BE211&lt;&gt;"","✖ "&amp;LEFT(BE211,LEN(BE211)-2),IF(BD211&gt;0,"✔ Ready — client + "&amp;BD211&amp;" service(s)","✔ Ready — client only")))</f>
        <v/>
      </c>
      <c r="AZ211" s="31">
        <f>UPPER(SUBSTITUTE(TRIM(F211)," ",""))</f>
        <v/>
      </c>
      <c r="BA211" s="31">
        <f>UPPER(SUBSTITUTE(TRIM(E211)," ",""))</f>
        <v/>
      </c>
      <c r="BB211" s="31">
        <f>IF(D211&lt;&gt;"",D211,IFERROR(VLOOKUP(MID(AS211,4,1),Lists!$E$2:$F$8,2,FALSE),""))</f>
        <v/>
      </c>
      <c r="BC211" s="31">
        <f>IFERROR(VLOOKUP(BB211,Lists!$A$2:$C$12,3,FALSE),"")</f>
        <v/>
      </c>
      <c r="BD211" s="31">
        <f>COUNTIF(W211:AC211,"Yes")</f>
        <v/>
      </c>
      <c r="BE211" s="31">
        <f>IF(TRIM(B211)="","Legal name missing; ","")&amp;IF(AND(AV211&lt;&gt;"",AV211&lt;&gt;"OK"),"GSTIN: "&amp;AV211&amp;"; ","")&amp;IF(AND(AW211&lt;&gt;"",AW211&lt;&gt;"OK"),"PAN wrong format; ","")&amp;IF(AND(BA211&lt;&gt;"",LEN(AZ211)=15,MID(AZ211,3,10)&lt;&gt;BA211),"PAN does not match GSTIN; ","")&amp;IF(AND(AX211&lt;&gt;"",AX211&lt;&gt;"OK"),"TAN wrong format; ","")&amp;IF(AS211="","PAN missing; ","")&amp;IF(BB211="","Entity type missing; ","")&amp;IF(AND(AZ211&lt;&gt;"",COUNTIF($AZ$6:$AZ$1005,AZ211)&gt;1),"GSTIN repeated in this sheet; ","")&amp;IF(AND(AS211&lt;&gt;"",COUNTIF($AS$6:$AS$1005,AS211)&gt;1),"PAN repeated in this sheet (same client? put extra GSTINs in Other GSTINs); ","")&amp;IF(AND(BD211&gt;0,V211=""),"Financial year missing; ","")&amp;IF(AND(BD211=0,V211&lt;&gt;""),"Financial year given but no service is Yes; ","")&amp;IF(AND(W211="Yes",AZ211=""),"GST needs a GSTIN; ","")&amp;IF(AND(W211="Yes",X211=""),"GST return frequency missing; ","")&amp;IF(AND(Y211="Yes",TRIM(H211)=""),"TDS needs a TAN; ","")&amp;IF(AND(AA211="Yes",BC211&lt;&gt;"",BC211&lt;&gt;"company",BC211&lt;&gt;"llp"),"ROC is only for a company / LLP; ","")&amp;IF(AND(AA211="Yes",OR(BC211="company",BC211="llp"),TRIM(I211)=""),"ROC needs the CIN / LLPIN; ","")&amp;IF((TRIM(AF211)="")&lt;&gt;(TRIM(AG211)=""),"GST login needs both user ID and password; ","")&amp;IF((TRIM(AH211)="")&lt;&gt;(TRIM(AI211)=""),"Income-tax login needs both user ID and password; ","")&amp;IF((TRIM(AJ211)="")&lt;&gt;(TRIM(AK211)=""),"Income-tax login needs both user ID and password; ","")&amp;IF((TRIM(AL211)="")&lt;&gt;(TRIM(AM211)=""),"TRACES login needs both user ID and password; ","")&amp;IF((TRIM(AN211)="")&lt;&gt;(TRIM(AO211)=""),"MCA login needs both user ID and password; ","")&amp;IF((TRIM(AP211)="")&lt;&gt;(TRIM(AQ211)=""),"E-way bill login needs both user ID and password; ","")</f>
        <v/>
      </c>
    </row>
    <row r="212">
      <c r="A212" s="32" t="n"/>
      <c r="B212" s="33" t="n"/>
      <c r="C212" s="33" t="n"/>
      <c r="D212" s="33" t="n"/>
      <c r="E212" s="32" t="n"/>
      <c r="F212" s="32" t="n"/>
      <c r="G212" s="32" t="n"/>
      <c r="H212" s="32" t="n"/>
      <c r="I212" s="32" t="n"/>
      <c r="J212" s="34" t="n"/>
      <c r="K212" s="33" t="n"/>
      <c r="L212" s="32" t="n"/>
      <c r="M212" s="33" t="n"/>
      <c r="N212" s="33" t="n"/>
      <c r="O212" s="33" t="n"/>
      <c r="P212" s="32" t="n"/>
      <c r="Q212" s="33" t="n"/>
      <c r="R212" s="33" t="n"/>
      <c r="S212" s="33" t="n"/>
      <c r="T212" s="33" t="n"/>
      <c r="U212" s="32" t="n"/>
      <c r="V212" s="33" t="n"/>
      <c r="W212" s="33" t="n"/>
      <c r="X212" s="33" t="n"/>
      <c r="Y212" s="33" t="n"/>
      <c r="Z212" s="33" t="n"/>
      <c r="AA212" s="33" t="n"/>
      <c r="AB212" s="33" t="n"/>
      <c r="AC212" s="33" t="n"/>
      <c r="AD212" s="33" t="n"/>
      <c r="AE212" s="33" t="n"/>
      <c r="AF212" s="32" t="n"/>
      <c r="AG212" s="32" t="n"/>
      <c r="AH212" s="32" t="n"/>
      <c r="AI212" s="32" t="n"/>
      <c r="AJ212" s="32" t="n"/>
      <c r="AK212" s="32" t="n"/>
      <c r="AL212" s="32" t="n"/>
      <c r="AM212" s="32" t="n"/>
      <c r="AN212" s="32" t="n"/>
      <c r="AO212" s="32" t="n"/>
      <c r="AP212" s="32" t="n"/>
      <c r="AQ212" s="32" t="n"/>
      <c r="AR212" s="29">
        <f>IF(NOT(COUNTA(A212:AE212)&gt;0),"",IF(A212="","New client","Update"))</f>
        <v/>
      </c>
      <c r="AS212" s="29">
        <f>IF(BA212&lt;&gt;"",BA212,IF(LEN(AZ212)=15,MID(AZ212,3,10),""))</f>
        <v/>
      </c>
      <c r="AT212" s="29">
        <f>IF(BB212="","",BB212&amp;IF(D212="","  (guessed from PAN)",""))</f>
        <v/>
      </c>
      <c r="AU212" s="29">
        <f>IF(AZ212="","",IFERROR(INDEX(Lists!$L$2:$L$38,MATCH(LEFT(AZ212,2),Lists!$K$2:$K$38,0)),"Unknown code"))</f>
        <v/>
      </c>
      <c r="AV212" s="29">
        <f>IF(AZ212="","",IFERROR(IF(NOT(AND(LEN(AZ212)=15,ISNUMBER(MATCH(LEFT(AZ212,2),Lists!$K$2:$K$38,0)),SUMPRODUCT(--ISERROR(FIND(MID(MID(AZ212,3,10),{1,2,3,4,5,10},1),"ABCDEFGHIJKLMNOPQRSTUVWXYZ")))=0,SUMPRODUCT(--ISERROR(FIND(MID(MID(AZ212,3,10),{6,7,8,9},1),"0123456789")))=0,ISNUMBER(FIND(MID(AZ212,13,1),"123456789ABCDEFGHIJKLMNOPQRSTUVWXYZ")),MID(AZ212,14,1)="Z")),"Wrong format",IF(MID("0123456789ABCDEFGHIJKLMNOPQRSTUVWXYZ",MOD(36-MOD(SUMPRODUCT(INT((FIND(MID(AZ212,{1,2,3,4,5,6,7,8,9,10,11,12,13,14},1),"0123456789ABCDEFGHIJKLMNOPQRSTUVWXYZ")-1)*{1,2,1,2,1,2,1,2,1,2,1,2,1,2}/36)+MOD((FIND(MID(AZ212,{1,2,3,4,5,6,7,8,9,10,11,12,13,14},1),"0123456789ABCDEFGHIJKLMNOPQRSTUVWXYZ")-1)*{1,2,1,2,1,2,1,2,1,2,1,2,1,2},36)),36),36)+1,1)=MID(AZ212,15,1),"OK","Typo? check digit wrong")),"Wrong format"))</f>
        <v/>
      </c>
      <c r="AW212" s="29">
        <f>IF(BA212="","",IF(AND(LEN(BA212)=10,SUMPRODUCT(--ISERROR(FIND(MID(BA212,{1,2,3,4,5,10},1),"ABCDEFGHIJKLMNOPQRSTUVWXYZ")))=0,SUMPRODUCT(--ISERROR(FIND(MID(BA212,{6,7,8,9},1),"0123456789")))=0),"OK","Wrong format"))</f>
        <v/>
      </c>
      <c r="AX212" s="29">
        <f>IF(TRIM(H212)="","",IF(AND(LEN(UPPER(TRIM(H212)))=10,SUMPRODUCT(--ISERROR(FIND(MID(UPPER(TRIM(H212)),{1,2,3,4,10},1),"ABCDEFGHIJKLMNOPQRSTUVWXYZ")))=0,SUMPRODUCT(--ISERROR(FIND(MID(UPPER(TRIM(H212)),{5,6,7,8,9},1),"0123456789")))=0),"OK","Wrong format"))</f>
        <v/>
      </c>
      <c r="AY212" s="30">
        <f>IF(NOT(COUNTA(A212:AE212)&gt;0),"",IF(BE212&lt;&gt;"","✖ "&amp;LEFT(BE212,LEN(BE212)-2),IF(BD212&gt;0,"✔ Ready — client + "&amp;BD212&amp;" service(s)","✔ Ready — client only")))</f>
        <v/>
      </c>
      <c r="AZ212" s="31">
        <f>UPPER(SUBSTITUTE(TRIM(F212)," ",""))</f>
        <v/>
      </c>
      <c r="BA212" s="31">
        <f>UPPER(SUBSTITUTE(TRIM(E212)," ",""))</f>
        <v/>
      </c>
      <c r="BB212" s="31">
        <f>IF(D212&lt;&gt;"",D212,IFERROR(VLOOKUP(MID(AS212,4,1),Lists!$E$2:$F$8,2,FALSE),""))</f>
        <v/>
      </c>
      <c r="BC212" s="31">
        <f>IFERROR(VLOOKUP(BB212,Lists!$A$2:$C$12,3,FALSE),"")</f>
        <v/>
      </c>
      <c r="BD212" s="31">
        <f>COUNTIF(W212:AC212,"Yes")</f>
        <v/>
      </c>
      <c r="BE212" s="31">
        <f>IF(TRIM(B212)="","Legal name missing; ","")&amp;IF(AND(AV212&lt;&gt;"",AV212&lt;&gt;"OK"),"GSTIN: "&amp;AV212&amp;"; ","")&amp;IF(AND(AW212&lt;&gt;"",AW212&lt;&gt;"OK"),"PAN wrong format; ","")&amp;IF(AND(BA212&lt;&gt;"",LEN(AZ212)=15,MID(AZ212,3,10)&lt;&gt;BA212),"PAN does not match GSTIN; ","")&amp;IF(AND(AX212&lt;&gt;"",AX212&lt;&gt;"OK"),"TAN wrong format; ","")&amp;IF(AS212="","PAN missing; ","")&amp;IF(BB212="","Entity type missing; ","")&amp;IF(AND(AZ212&lt;&gt;"",COUNTIF($AZ$6:$AZ$1005,AZ212)&gt;1),"GSTIN repeated in this sheet; ","")&amp;IF(AND(AS212&lt;&gt;"",COUNTIF($AS$6:$AS$1005,AS212)&gt;1),"PAN repeated in this sheet (same client? put extra GSTINs in Other GSTINs); ","")&amp;IF(AND(BD212&gt;0,V212=""),"Financial year missing; ","")&amp;IF(AND(BD212=0,V212&lt;&gt;""),"Financial year given but no service is Yes; ","")&amp;IF(AND(W212="Yes",AZ212=""),"GST needs a GSTIN; ","")&amp;IF(AND(W212="Yes",X212=""),"GST return frequency missing; ","")&amp;IF(AND(Y212="Yes",TRIM(H212)=""),"TDS needs a TAN; ","")&amp;IF(AND(AA212="Yes",BC212&lt;&gt;"",BC212&lt;&gt;"company",BC212&lt;&gt;"llp"),"ROC is only for a company / LLP; ","")&amp;IF(AND(AA212="Yes",OR(BC212="company",BC212="llp"),TRIM(I212)=""),"ROC needs the CIN / LLPIN; ","")&amp;IF((TRIM(AF212)="")&lt;&gt;(TRIM(AG212)=""),"GST login needs both user ID and password; ","")&amp;IF((TRIM(AH212)="")&lt;&gt;(TRIM(AI212)=""),"Income-tax login needs both user ID and password; ","")&amp;IF((TRIM(AJ212)="")&lt;&gt;(TRIM(AK212)=""),"Income-tax login needs both user ID and password; ","")&amp;IF((TRIM(AL212)="")&lt;&gt;(TRIM(AM212)=""),"TRACES login needs both user ID and password; ","")&amp;IF((TRIM(AN212)="")&lt;&gt;(TRIM(AO212)=""),"MCA login needs both user ID and password; ","")&amp;IF((TRIM(AP212)="")&lt;&gt;(TRIM(AQ212)=""),"E-way bill login needs both user ID and password; ","")</f>
        <v/>
      </c>
    </row>
    <row r="213">
      <c r="A213" s="32" t="n"/>
      <c r="B213" s="33" t="n"/>
      <c r="C213" s="33" t="n"/>
      <c r="D213" s="33" t="n"/>
      <c r="E213" s="32" t="n"/>
      <c r="F213" s="32" t="n"/>
      <c r="G213" s="32" t="n"/>
      <c r="H213" s="32" t="n"/>
      <c r="I213" s="32" t="n"/>
      <c r="J213" s="34" t="n"/>
      <c r="K213" s="33" t="n"/>
      <c r="L213" s="32" t="n"/>
      <c r="M213" s="33" t="n"/>
      <c r="N213" s="33" t="n"/>
      <c r="O213" s="33" t="n"/>
      <c r="P213" s="32" t="n"/>
      <c r="Q213" s="33" t="n"/>
      <c r="R213" s="33" t="n"/>
      <c r="S213" s="33" t="n"/>
      <c r="T213" s="33" t="n"/>
      <c r="U213" s="32" t="n"/>
      <c r="V213" s="33" t="n"/>
      <c r="W213" s="33" t="n"/>
      <c r="X213" s="33" t="n"/>
      <c r="Y213" s="33" t="n"/>
      <c r="Z213" s="33" t="n"/>
      <c r="AA213" s="33" t="n"/>
      <c r="AB213" s="33" t="n"/>
      <c r="AC213" s="33" t="n"/>
      <c r="AD213" s="33" t="n"/>
      <c r="AE213" s="33" t="n"/>
      <c r="AF213" s="32" t="n"/>
      <c r="AG213" s="32" t="n"/>
      <c r="AH213" s="32" t="n"/>
      <c r="AI213" s="32" t="n"/>
      <c r="AJ213" s="32" t="n"/>
      <c r="AK213" s="32" t="n"/>
      <c r="AL213" s="32" t="n"/>
      <c r="AM213" s="32" t="n"/>
      <c r="AN213" s="32" t="n"/>
      <c r="AO213" s="32" t="n"/>
      <c r="AP213" s="32" t="n"/>
      <c r="AQ213" s="32" t="n"/>
      <c r="AR213" s="29">
        <f>IF(NOT(COUNTA(A213:AE213)&gt;0),"",IF(A213="","New client","Update"))</f>
        <v/>
      </c>
      <c r="AS213" s="29">
        <f>IF(BA213&lt;&gt;"",BA213,IF(LEN(AZ213)=15,MID(AZ213,3,10),""))</f>
        <v/>
      </c>
      <c r="AT213" s="29">
        <f>IF(BB213="","",BB213&amp;IF(D213="","  (guessed from PAN)",""))</f>
        <v/>
      </c>
      <c r="AU213" s="29">
        <f>IF(AZ213="","",IFERROR(INDEX(Lists!$L$2:$L$38,MATCH(LEFT(AZ213,2),Lists!$K$2:$K$38,0)),"Unknown code"))</f>
        <v/>
      </c>
      <c r="AV213" s="29">
        <f>IF(AZ213="","",IFERROR(IF(NOT(AND(LEN(AZ213)=15,ISNUMBER(MATCH(LEFT(AZ213,2),Lists!$K$2:$K$38,0)),SUMPRODUCT(--ISERROR(FIND(MID(MID(AZ213,3,10),{1,2,3,4,5,10},1),"ABCDEFGHIJKLMNOPQRSTUVWXYZ")))=0,SUMPRODUCT(--ISERROR(FIND(MID(MID(AZ213,3,10),{6,7,8,9},1),"0123456789")))=0,ISNUMBER(FIND(MID(AZ213,13,1),"123456789ABCDEFGHIJKLMNOPQRSTUVWXYZ")),MID(AZ213,14,1)="Z")),"Wrong format",IF(MID("0123456789ABCDEFGHIJKLMNOPQRSTUVWXYZ",MOD(36-MOD(SUMPRODUCT(INT((FIND(MID(AZ213,{1,2,3,4,5,6,7,8,9,10,11,12,13,14},1),"0123456789ABCDEFGHIJKLMNOPQRSTUVWXYZ")-1)*{1,2,1,2,1,2,1,2,1,2,1,2,1,2}/36)+MOD((FIND(MID(AZ213,{1,2,3,4,5,6,7,8,9,10,11,12,13,14},1),"0123456789ABCDEFGHIJKLMNOPQRSTUVWXYZ")-1)*{1,2,1,2,1,2,1,2,1,2,1,2,1,2},36)),36),36)+1,1)=MID(AZ213,15,1),"OK","Typo? check digit wrong")),"Wrong format"))</f>
        <v/>
      </c>
      <c r="AW213" s="29">
        <f>IF(BA213="","",IF(AND(LEN(BA213)=10,SUMPRODUCT(--ISERROR(FIND(MID(BA213,{1,2,3,4,5,10},1),"ABCDEFGHIJKLMNOPQRSTUVWXYZ")))=0,SUMPRODUCT(--ISERROR(FIND(MID(BA213,{6,7,8,9},1),"0123456789")))=0),"OK","Wrong format"))</f>
        <v/>
      </c>
      <c r="AX213" s="29">
        <f>IF(TRIM(H213)="","",IF(AND(LEN(UPPER(TRIM(H213)))=10,SUMPRODUCT(--ISERROR(FIND(MID(UPPER(TRIM(H213)),{1,2,3,4,10},1),"ABCDEFGHIJKLMNOPQRSTUVWXYZ")))=0,SUMPRODUCT(--ISERROR(FIND(MID(UPPER(TRIM(H213)),{5,6,7,8,9},1),"0123456789")))=0),"OK","Wrong format"))</f>
        <v/>
      </c>
      <c r="AY213" s="30">
        <f>IF(NOT(COUNTA(A213:AE213)&gt;0),"",IF(BE213&lt;&gt;"","✖ "&amp;LEFT(BE213,LEN(BE213)-2),IF(BD213&gt;0,"✔ Ready — client + "&amp;BD213&amp;" service(s)","✔ Ready — client only")))</f>
        <v/>
      </c>
      <c r="AZ213" s="31">
        <f>UPPER(SUBSTITUTE(TRIM(F213)," ",""))</f>
        <v/>
      </c>
      <c r="BA213" s="31">
        <f>UPPER(SUBSTITUTE(TRIM(E213)," ",""))</f>
        <v/>
      </c>
      <c r="BB213" s="31">
        <f>IF(D213&lt;&gt;"",D213,IFERROR(VLOOKUP(MID(AS213,4,1),Lists!$E$2:$F$8,2,FALSE),""))</f>
        <v/>
      </c>
      <c r="BC213" s="31">
        <f>IFERROR(VLOOKUP(BB213,Lists!$A$2:$C$12,3,FALSE),"")</f>
        <v/>
      </c>
      <c r="BD213" s="31">
        <f>COUNTIF(W213:AC213,"Yes")</f>
        <v/>
      </c>
      <c r="BE213" s="31">
        <f>IF(TRIM(B213)="","Legal name missing; ","")&amp;IF(AND(AV213&lt;&gt;"",AV213&lt;&gt;"OK"),"GSTIN: "&amp;AV213&amp;"; ","")&amp;IF(AND(AW213&lt;&gt;"",AW213&lt;&gt;"OK"),"PAN wrong format; ","")&amp;IF(AND(BA213&lt;&gt;"",LEN(AZ213)=15,MID(AZ213,3,10)&lt;&gt;BA213),"PAN does not match GSTIN; ","")&amp;IF(AND(AX213&lt;&gt;"",AX213&lt;&gt;"OK"),"TAN wrong format; ","")&amp;IF(AS213="","PAN missing; ","")&amp;IF(BB213="","Entity type missing; ","")&amp;IF(AND(AZ213&lt;&gt;"",COUNTIF($AZ$6:$AZ$1005,AZ213)&gt;1),"GSTIN repeated in this sheet; ","")&amp;IF(AND(AS213&lt;&gt;"",COUNTIF($AS$6:$AS$1005,AS213)&gt;1),"PAN repeated in this sheet (same client? put extra GSTINs in Other GSTINs); ","")&amp;IF(AND(BD213&gt;0,V213=""),"Financial year missing; ","")&amp;IF(AND(BD213=0,V213&lt;&gt;""),"Financial year given but no service is Yes; ","")&amp;IF(AND(W213="Yes",AZ213=""),"GST needs a GSTIN; ","")&amp;IF(AND(W213="Yes",X213=""),"GST return frequency missing; ","")&amp;IF(AND(Y213="Yes",TRIM(H213)=""),"TDS needs a TAN; ","")&amp;IF(AND(AA213="Yes",BC213&lt;&gt;"",BC213&lt;&gt;"company",BC213&lt;&gt;"llp"),"ROC is only for a company / LLP; ","")&amp;IF(AND(AA213="Yes",OR(BC213="company",BC213="llp"),TRIM(I213)=""),"ROC needs the CIN / LLPIN; ","")&amp;IF((TRIM(AF213)="")&lt;&gt;(TRIM(AG213)=""),"GST login needs both user ID and password; ","")&amp;IF((TRIM(AH213)="")&lt;&gt;(TRIM(AI213)=""),"Income-tax login needs both user ID and password; ","")&amp;IF((TRIM(AJ213)="")&lt;&gt;(TRIM(AK213)=""),"Income-tax login needs both user ID and password; ","")&amp;IF((TRIM(AL213)="")&lt;&gt;(TRIM(AM213)=""),"TRACES login needs both user ID and password; ","")&amp;IF((TRIM(AN213)="")&lt;&gt;(TRIM(AO213)=""),"MCA login needs both user ID and password; ","")&amp;IF((TRIM(AP213)="")&lt;&gt;(TRIM(AQ213)=""),"E-way bill login needs both user ID and password; ","")</f>
        <v/>
      </c>
    </row>
    <row r="214">
      <c r="A214" s="32" t="n"/>
      <c r="B214" s="33" t="n"/>
      <c r="C214" s="33" t="n"/>
      <c r="D214" s="33" t="n"/>
      <c r="E214" s="32" t="n"/>
      <c r="F214" s="32" t="n"/>
      <c r="G214" s="32" t="n"/>
      <c r="H214" s="32" t="n"/>
      <c r="I214" s="32" t="n"/>
      <c r="J214" s="34" t="n"/>
      <c r="K214" s="33" t="n"/>
      <c r="L214" s="32" t="n"/>
      <c r="M214" s="33" t="n"/>
      <c r="N214" s="33" t="n"/>
      <c r="O214" s="33" t="n"/>
      <c r="P214" s="32" t="n"/>
      <c r="Q214" s="33" t="n"/>
      <c r="R214" s="33" t="n"/>
      <c r="S214" s="33" t="n"/>
      <c r="T214" s="33" t="n"/>
      <c r="U214" s="32" t="n"/>
      <c r="V214" s="33" t="n"/>
      <c r="W214" s="33" t="n"/>
      <c r="X214" s="33" t="n"/>
      <c r="Y214" s="33" t="n"/>
      <c r="Z214" s="33" t="n"/>
      <c r="AA214" s="33" t="n"/>
      <c r="AB214" s="33" t="n"/>
      <c r="AC214" s="33" t="n"/>
      <c r="AD214" s="33" t="n"/>
      <c r="AE214" s="33" t="n"/>
      <c r="AF214" s="32" t="n"/>
      <c r="AG214" s="32" t="n"/>
      <c r="AH214" s="32" t="n"/>
      <c r="AI214" s="32" t="n"/>
      <c r="AJ214" s="32" t="n"/>
      <c r="AK214" s="32" t="n"/>
      <c r="AL214" s="32" t="n"/>
      <c r="AM214" s="32" t="n"/>
      <c r="AN214" s="32" t="n"/>
      <c r="AO214" s="32" t="n"/>
      <c r="AP214" s="32" t="n"/>
      <c r="AQ214" s="32" t="n"/>
      <c r="AR214" s="29">
        <f>IF(NOT(COUNTA(A214:AE214)&gt;0),"",IF(A214="","New client","Update"))</f>
        <v/>
      </c>
      <c r="AS214" s="29">
        <f>IF(BA214&lt;&gt;"",BA214,IF(LEN(AZ214)=15,MID(AZ214,3,10),""))</f>
        <v/>
      </c>
      <c r="AT214" s="29">
        <f>IF(BB214="","",BB214&amp;IF(D214="","  (guessed from PAN)",""))</f>
        <v/>
      </c>
      <c r="AU214" s="29">
        <f>IF(AZ214="","",IFERROR(INDEX(Lists!$L$2:$L$38,MATCH(LEFT(AZ214,2),Lists!$K$2:$K$38,0)),"Unknown code"))</f>
        <v/>
      </c>
      <c r="AV214" s="29">
        <f>IF(AZ214="","",IFERROR(IF(NOT(AND(LEN(AZ214)=15,ISNUMBER(MATCH(LEFT(AZ214,2),Lists!$K$2:$K$38,0)),SUMPRODUCT(--ISERROR(FIND(MID(MID(AZ214,3,10),{1,2,3,4,5,10},1),"ABCDEFGHIJKLMNOPQRSTUVWXYZ")))=0,SUMPRODUCT(--ISERROR(FIND(MID(MID(AZ214,3,10),{6,7,8,9},1),"0123456789")))=0,ISNUMBER(FIND(MID(AZ214,13,1),"123456789ABCDEFGHIJKLMNOPQRSTUVWXYZ")),MID(AZ214,14,1)="Z")),"Wrong format",IF(MID("0123456789ABCDEFGHIJKLMNOPQRSTUVWXYZ",MOD(36-MOD(SUMPRODUCT(INT((FIND(MID(AZ214,{1,2,3,4,5,6,7,8,9,10,11,12,13,14},1),"0123456789ABCDEFGHIJKLMNOPQRSTUVWXYZ")-1)*{1,2,1,2,1,2,1,2,1,2,1,2,1,2}/36)+MOD((FIND(MID(AZ214,{1,2,3,4,5,6,7,8,9,10,11,12,13,14},1),"0123456789ABCDEFGHIJKLMNOPQRSTUVWXYZ")-1)*{1,2,1,2,1,2,1,2,1,2,1,2,1,2},36)),36),36)+1,1)=MID(AZ214,15,1),"OK","Typo? check digit wrong")),"Wrong format"))</f>
        <v/>
      </c>
      <c r="AW214" s="29">
        <f>IF(BA214="","",IF(AND(LEN(BA214)=10,SUMPRODUCT(--ISERROR(FIND(MID(BA214,{1,2,3,4,5,10},1),"ABCDEFGHIJKLMNOPQRSTUVWXYZ")))=0,SUMPRODUCT(--ISERROR(FIND(MID(BA214,{6,7,8,9},1),"0123456789")))=0),"OK","Wrong format"))</f>
        <v/>
      </c>
      <c r="AX214" s="29">
        <f>IF(TRIM(H214)="","",IF(AND(LEN(UPPER(TRIM(H214)))=10,SUMPRODUCT(--ISERROR(FIND(MID(UPPER(TRIM(H214)),{1,2,3,4,10},1),"ABCDEFGHIJKLMNOPQRSTUVWXYZ")))=0,SUMPRODUCT(--ISERROR(FIND(MID(UPPER(TRIM(H214)),{5,6,7,8,9},1),"0123456789")))=0),"OK","Wrong format"))</f>
        <v/>
      </c>
      <c r="AY214" s="30">
        <f>IF(NOT(COUNTA(A214:AE214)&gt;0),"",IF(BE214&lt;&gt;"","✖ "&amp;LEFT(BE214,LEN(BE214)-2),IF(BD214&gt;0,"✔ Ready — client + "&amp;BD214&amp;" service(s)","✔ Ready — client only")))</f>
        <v/>
      </c>
      <c r="AZ214" s="31">
        <f>UPPER(SUBSTITUTE(TRIM(F214)," ",""))</f>
        <v/>
      </c>
      <c r="BA214" s="31">
        <f>UPPER(SUBSTITUTE(TRIM(E214)," ",""))</f>
        <v/>
      </c>
      <c r="BB214" s="31">
        <f>IF(D214&lt;&gt;"",D214,IFERROR(VLOOKUP(MID(AS214,4,1),Lists!$E$2:$F$8,2,FALSE),""))</f>
        <v/>
      </c>
      <c r="BC214" s="31">
        <f>IFERROR(VLOOKUP(BB214,Lists!$A$2:$C$12,3,FALSE),"")</f>
        <v/>
      </c>
      <c r="BD214" s="31">
        <f>COUNTIF(W214:AC214,"Yes")</f>
        <v/>
      </c>
      <c r="BE214" s="31">
        <f>IF(TRIM(B214)="","Legal name missing; ","")&amp;IF(AND(AV214&lt;&gt;"",AV214&lt;&gt;"OK"),"GSTIN: "&amp;AV214&amp;"; ","")&amp;IF(AND(AW214&lt;&gt;"",AW214&lt;&gt;"OK"),"PAN wrong format; ","")&amp;IF(AND(BA214&lt;&gt;"",LEN(AZ214)=15,MID(AZ214,3,10)&lt;&gt;BA214),"PAN does not match GSTIN; ","")&amp;IF(AND(AX214&lt;&gt;"",AX214&lt;&gt;"OK"),"TAN wrong format; ","")&amp;IF(AS214="","PAN missing; ","")&amp;IF(BB214="","Entity type missing; ","")&amp;IF(AND(AZ214&lt;&gt;"",COUNTIF($AZ$6:$AZ$1005,AZ214)&gt;1),"GSTIN repeated in this sheet; ","")&amp;IF(AND(AS214&lt;&gt;"",COUNTIF($AS$6:$AS$1005,AS214)&gt;1),"PAN repeated in this sheet (same client? put extra GSTINs in Other GSTINs); ","")&amp;IF(AND(BD214&gt;0,V214=""),"Financial year missing; ","")&amp;IF(AND(BD214=0,V214&lt;&gt;""),"Financial year given but no service is Yes; ","")&amp;IF(AND(W214="Yes",AZ214=""),"GST needs a GSTIN; ","")&amp;IF(AND(W214="Yes",X214=""),"GST return frequency missing; ","")&amp;IF(AND(Y214="Yes",TRIM(H214)=""),"TDS needs a TAN; ","")&amp;IF(AND(AA214="Yes",BC214&lt;&gt;"",BC214&lt;&gt;"company",BC214&lt;&gt;"llp"),"ROC is only for a company / LLP; ","")&amp;IF(AND(AA214="Yes",OR(BC214="company",BC214="llp"),TRIM(I214)=""),"ROC needs the CIN / LLPIN; ","")&amp;IF((TRIM(AF214)="")&lt;&gt;(TRIM(AG214)=""),"GST login needs both user ID and password; ","")&amp;IF((TRIM(AH214)="")&lt;&gt;(TRIM(AI214)=""),"Income-tax login needs both user ID and password; ","")&amp;IF((TRIM(AJ214)="")&lt;&gt;(TRIM(AK214)=""),"Income-tax login needs both user ID and password; ","")&amp;IF((TRIM(AL214)="")&lt;&gt;(TRIM(AM214)=""),"TRACES login needs both user ID and password; ","")&amp;IF((TRIM(AN214)="")&lt;&gt;(TRIM(AO214)=""),"MCA login needs both user ID and password; ","")&amp;IF((TRIM(AP214)="")&lt;&gt;(TRIM(AQ214)=""),"E-way bill login needs both user ID and password; ","")</f>
        <v/>
      </c>
    </row>
    <row r="215">
      <c r="A215" s="32" t="n"/>
      <c r="B215" s="33" t="n"/>
      <c r="C215" s="33" t="n"/>
      <c r="D215" s="33" t="n"/>
      <c r="E215" s="32" t="n"/>
      <c r="F215" s="32" t="n"/>
      <c r="G215" s="32" t="n"/>
      <c r="H215" s="32" t="n"/>
      <c r="I215" s="32" t="n"/>
      <c r="J215" s="34" t="n"/>
      <c r="K215" s="33" t="n"/>
      <c r="L215" s="32" t="n"/>
      <c r="M215" s="33" t="n"/>
      <c r="N215" s="33" t="n"/>
      <c r="O215" s="33" t="n"/>
      <c r="P215" s="32" t="n"/>
      <c r="Q215" s="33" t="n"/>
      <c r="R215" s="33" t="n"/>
      <c r="S215" s="33" t="n"/>
      <c r="T215" s="33" t="n"/>
      <c r="U215" s="32" t="n"/>
      <c r="V215" s="33" t="n"/>
      <c r="W215" s="33" t="n"/>
      <c r="X215" s="33" t="n"/>
      <c r="Y215" s="33" t="n"/>
      <c r="Z215" s="33" t="n"/>
      <c r="AA215" s="33" t="n"/>
      <c r="AB215" s="33" t="n"/>
      <c r="AC215" s="33" t="n"/>
      <c r="AD215" s="33" t="n"/>
      <c r="AE215" s="33" t="n"/>
      <c r="AF215" s="32" t="n"/>
      <c r="AG215" s="32" t="n"/>
      <c r="AH215" s="32" t="n"/>
      <c r="AI215" s="32" t="n"/>
      <c r="AJ215" s="32" t="n"/>
      <c r="AK215" s="32" t="n"/>
      <c r="AL215" s="32" t="n"/>
      <c r="AM215" s="32" t="n"/>
      <c r="AN215" s="32" t="n"/>
      <c r="AO215" s="32" t="n"/>
      <c r="AP215" s="32" t="n"/>
      <c r="AQ215" s="32" t="n"/>
      <c r="AR215" s="29">
        <f>IF(NOT(COUNTA(A215:AE215)&gt;0),"",IF(A215="","New client","Update"))</f>
        <v/>
      </c>
      <c r="AS215" s="29">
        <f>IF(BA215&lt;&gt;"",BA215,IF(LEN(AZ215)=15,MID(AZ215,3,10),""))</f>
        <v/>
      </c>
      <c r="AT215" s="29">
        <f>IF(BB215="","",BB215&amp;IF(D215="","  (guessed from PAN)",""))</f>
        <v/>
      </c>
      <c r="AU215" s="29">
        <f>IF(AZ215="","",IFERROR(INDEX(Lists!$L$2:$L$38,MATCH(LEFT(AZ215,2),Lists!$K$2:$K$38,0)),"Unknown code"))</f>
        <v/>
      </c>
      <c r="AV215" s="29">
        <f>IF(AZ215="","",IFERROR(IF(NOT(AND(LEN(AZ215)=15,ISNUMBER(MATCH(LEFT(AZ215,2),Lists!$K$2:$K$38,0)),SUMPRODUCT(--ISERROR(FIND(MID(MID(AZ215,3,10),{1,2,3,4,5,10},1),"ABCDEFGHIJKLMNOPQRSTUVWXYZ")))=0,SUMPRODUCT(--ISERROR(FIND(MID(MID(AZ215,3,10),{6,7,8,9},1),"0123456789")))=0,ISNUMBER(FIND(MID(AZ215,13,1),"123456789ABCDEFGHIJKLMNOPQRSTUVWXYZ")),MID(AZ215,14,1)="Z")),"Wrong format",IF(MID("0123456789ABCDEFGHIJKLMNOPQRSTUVWXYZ",MOD(36-MOD(SUMPRODUCT(INT((FIND(MID(AZ215,{1,2,3,4,5,6,7,8,9,10,11,12,13,14},1),"0123456789ABCDEFGHIJKLMNOPQRSTUVWXYZ")-1)*{1,2,1,2,1,2,1,2,1,2,1,2,1,2}/36)+MOD((FIND(MID(AZ215,{1,2,3,4,5,6,7,8,9,10,11,12,13,14},1),"0123456789ABCDEFGHIJKLMNOPQRSTUVWXYZ")-1)*{1,2,1,2,1,2,1,2,1,2,1,2,1,2},36)),36),36)+1,1)=MID(AZ215,15,1),"OK","Typo? check digit wrong")),"Wrong format"))</f>
        <v/>
      </c>
      <c r="AW215" s="29">
        <f>IF(BA215="","",IF(AND(LEN(BA215)=10,SUMPRODUCT(--ISERROR(FIND(MID(BA215,{1,2,3,4,5,10},1),"ABCDEFGHIJKLMNOPQRSTUVWXYZ")))=0,SUMPRODUCT(--ISERROR(FIND(MID(BA215,{6,7,8,9},1),"0123456789")))=0),"OK","Wrong format"))</f>
        <v/>
      </c>
      <c r="AX215" s="29">
        <f>IF(TRIM(H215)="","",IF(AND(LEN(UPPER(TRIM(H215)))=10,SUMPRODUCT(--ISERROR(FIND(MID(UPPER(TRIM(H215)),{1,2,3,4,10},1),"ABCDEFGHIJKLMNOPQRSTUVWXYZ")))=0,SUMPRODUCT(--ISERROR(FIND(MID(UPPER(TRIM(H215)),{5,6,7,8,9},1),"0123456789")))=0),"OK","Wrong format"))</f>
        <v/>
      </c>
      <c r="AY215" s="30">
        <f>IF(NOT(COUNTA(A215:AE215)&gt;0),"",IF(BE215&lt;&gt;"","✖ "&amp;LEFT(BE215,LEN(BE215)-2),IF(BD215&gt;0,"✔ Ready — client + "&amp;BD215&amp;" service(s)","✔ Ready — client only")))</f>
        <v/>
      </c>
      <c r="AZ215" s="31">
        <f>UPPER(SUBSTITUTE(TRIM(F215)," ",""))</f>
        <v/>
      </c>
      <c r="BA215" s="31">
        <f>UPPER(SUBSTITUTE(TRIM(E215)," ",""))</f>
        <v/>
      </c>
      <c r="BB215" s="31">
        <f>IF(D215&lt;&gt;"",D215,IFERROR(VLOOKUP(MID(AS215,4,1),Lists!$E$2:$F$8,2,FALSE),""))</f>
        <v/>
      </c>
      <c r="BC215" s="31">
        <f>IFERROR(VLOOKUP(BB215,Lists!$A$2:$C$12,3,FALSE),"")</f>
        <v/>
      </c>
      <c r="BD215" s="31">
        <f>COUNTIF(W215:AC215,"Yes")</f>
        <v/>
      </c>
      <c r="BE215" s="31">
        <f>IF(TRIM(B215)="","Legal name missing; ","")&amp;IF(AND(AV215&lt;&gt;"",AV215&lt;&gt;"OK"),"GSTIN: "&amp;AV215&amp;"; ","")&amp;IF(AND(AW215&lt;&gt;"",AW215&lt;&gt;"OK"),"PAN wrong format; ","")&amp;IF(AND(BA215&lt;&gt;"",LEN(AZ215)=15,MID(AZ215,3,10)&lt;&gt;BA215),"PAN does not match GSTIN; ","")&amp;IF(AND(AX215&lt;&gt;"",AX215&lt;&gt;"OK"),"TAN wrong format; ","")&amp;IF(AS215="","PAN missing; ","")&amp;IF(BB215="","Entity type missing; ","")&amp;IF(AND(AZ215&lt;&gt;"",COUNTIF($AZ$6:$AZ$1005,AZ215)&gt;1),"GSTIN repeated in this sheet; ","")&amp;IF(AND(AS215&lt;&gt;"",COUNTIF($AS$6:$AS$1005,AS215)&gt;1),"PAN repeated in this sheet (same client? put extra GSTINs in Other GSTINs); ","")&amp;IF(AND(BD215&gt;0,V215=""),"Financial year missing; ","")&amp;IF(AND(BD215=0,V215&lt;&gt;""),"Financial year given but no service is Yes; ","")&amp;IF(AND(W215="Yes",AZ215=""),"GST needs a GSTIN; ","")&amp;IF(AND(W215="Yes",X215=""),"GST return frequency missing; ","")&amp;IF(AND(Y215="Yes",TRIM(H215)=""),"TDS needs a TAN; ","")&amp;IF(AND(AA215="Yes",BC215&lt;&gt;"",BC215&lt;&gt;"company",BC215&lt;&gt;"llp"),"ROC is only for a company / LLP; ","")&amp;IF(AND(AA215="Yes",OR(BC215="company",BC215="llp"),TRIM(I215)=""),"ROC needs the CIN / LLPIN; ","")&amp;IF((TRIM(AF215)="")&lt;&gt;(TRIM(AG215)=""),"GST login needs both user ID and password; ","")&amp;IF((TRIM(AH215)="")&lt;&gt;(TRIM(AI215)=""),"Income-tax login needs both user ID and password; ","")&amp;IF((TRIM(AJ215)="")&lt;&gt;(TRIM(AK215)=""),"Income-tax login needs both user ID and password; ","")&amp;IF((TRIM(AL215)="")&lt;&gt;(TRIM(AM215)=""),"TRACES login needs both user ID and password; ","")&amp;IF((TRIM(AN215)="")&lt;&gt;(TRIM(AO215)=""),"MCA login needs both user ID and password; ","")&amp;IF((TRIM(AP215)="")&lt;&gt;(TRIM(AQ215)=""),"E-way bill login needs both user ID and password; ","")</f>
        <v/>
      </c>
    </row>
    <row r="216">
      <c r="A216" s="32" t="n"/>
      <c r="B216" s="33" t="n"/>
      <c r="C216" s="33" t="n"/>
      <c r="D216" s="33" t="n"/>
      <c r="E216" s="32" t="n"/>
      <c r="F216" s="32" t="n"/>
      <c r="G216" s="32" t="n"/>
      <c r="H216" s="32" t="n"/>
      <c r="I216" s="32" t="n"/>
      <c r="J216" s="34" t="n"/>
      <c r="K216" s="33" t="n"/>
      <c r="L216" s="32" t="n"/>
      <c r="M216" s="33" t="n"/>
      <c r="N216" s="33" t="n"/>
      <c r="O216" s="33" t="n"/>
      <c r="P216" s="32" t="n"/>
      <c r="Q216" s="33" t="n"/>
      <c r="R216" s="33" t="n"/>
      <c r="S216" s="33" t="n"/>
      <c r="T216" s="33" t="n"/>
      <c r="U216" s="32" t="n"/>
      <c r="V216" s="33" t="n"/>
      <c r="W216" s="33" t="n"/>
      <c r="X216" s="33" t="n"/>
      <c r="Y216" s="33" t="n"/>
      <c r="Z216" s="33" t="n"/>
      <c r="AA216" s="33" t="n"/>
      <c r="AB216" s="33" t="n"/>
      <c r="AC216" s="33" t="n"/>
      <c r="AD216" s="33" t="n"/>
      <c r="AE216" s="33" t="n"/>
      <c r="AF216" s="32" t="n"/>
      <c r="AG216" s="32" t="n"/>
      <c r="AH216" s="32" t="n"/>
      <c r="AI216" s="32" t="n"/>
      <c r="AJ216" s="32" t="n"/>
      <c r="AK216" s="32" t="n"/>
      <c r="AL216" s="32" t="n"/>
      <c r="AM216" s="32" t="n"/>
      <c r="AN216" s="32" t="n"/>
      <c r="AO216" s="32" t="n"/>
      <c r="AP216" s="32" t="n"/>
      <c r="AQ216" s="32" t="n"/>
      <c r="AR216" s="29">
        <f>IF(NOT(COUNTA(A216:AE216)&gt;0),"",IF(A216="","New client","Update"))</f>
        <v/>
      </c>
      <c r="AS216" s="29">
        <f>IF(BA216&lt;&gt;"",BA216,IF(LEN(AZ216)=15,MID(AZ216,3,10),""))</f>
        <v/>
      </c>
      <c r="AT216" s="29">
        <f>IF(BB216="","",BB216&amp;IF(D216="","  (guessed from PAN)",""))</f>
        <v/>
      </c>
      <c r="AU216" s="29">
        <f>IF(AZ216="","",IFERROR(INDEX(Lists!$L$2:$L$38,MATCH(LEFT(AZ216,2),Lists!$K$2:$K$38,0)),"Unknown code"))</f>
        <v/>
      </c>
      <c r="AV216" s="29">
        <f>IF(AZ216="","",IFERROR(IF(NOT(AND(LEN(AZ216)=15,ISNUMBER(MATCH(LEFT(AZ216,2),Lists!$K$2:$K$38,0)),SUMPRODUCT(--ISERROR(FIND(MID(MID(AZ216,3,10),{1,2,3,4,5,10},1),"ABCDEFGHIJKLMNOPQRSTUVWXYZ")))=0,SUMPRODUCT(--ISERROR(FIND(MID(MID(AZ216,3,10),{6,7,8,9},1),"0123456789")))=0,ISNUMBER(FIND(MID(AZ216,13,1),"123456789ABCDEFGHIJKLMNOPQRSTUVWXYZ")),MID(AZ216,14,1)="Z")),"Wrong format",IF(MID("0123456789ABCDEFGHIJKLMNOPQRSTUVWXYZ",MOD(36-MOD(SUMPRODUCT(INT((FIND(MID(AZ216,{1,2,3,4,5,6,7,8,9,10,11,12,13,14},1),"0123456789ABCDEFGHIJKLMNOPQRSTUVWXYZ")-1)*{1,2,1,2,1,2,1,2,1,2,1,2,1,2}/36)+MOD((FIND(MID(AZ216,{1,2,3,4,5,6,7,8,9,10,11,12,13,14},1),"0123456789ABCDEFGHIJKLMNOPQRSTUVWXYZ")-1)*{1,2,1,2,1,2,1,2,1,2,1,2,1,2},36)),36),36)+1,1)=MID(AZ216,15,1),"OK","Typo? check digit wrong")),"Wrong format"))</f>
        <v/>
      </c>
      <c r="AW216" s="29">
        <f>IF(BA216="","",IF(AND(LEN(BA216)=10,SUMPRODUCT(--ISERROR(FIND(MID(BA216,{1,2,3,4,5,10},1),"ABCDEFGHIJKLMNOPQRSTUVWXYZ")))=0,SUMPRODUCT(--ISERROR(FIND(MID(BA216,{6,7,8,9},1),"0123456789")))=0),"OK","Wrong format"))</f>
        <v/>
      </c>
      <c r="AX216" s="29">
        <f>IF(TRIM(H216)="","",IF(AND(LEN(UPPER(TRIM(H216)))=10,SUMPRODUCT(--ISERROR(FIND(MID(UPPER(TRIM(H216)),{1,2,3,4,10},1),"ABCDEFGHIJKLMNOPQRSTUVWXYZ")))=0,SUMPRODUCT(--ISERROR(FIND(MID(UPPER(TRIM(H216)),{5,6,7,8,9},1),"0123456789")))=0),"OK","Wrong format"))</f>
        <v/>
      </c>
      <c r="AY216" s="30">
        <f>IF(NOT(COUNTA(A216:AE216)&gt;0),"",IF(BE216&lt;&gt;"","✖ "&amp;LEFT(BE216,LEN(BE216)-2),IF(BD216&gt;0,"✔ Ready — client + "&amp;BD216&amp;" service(s)","✔ Ready — client only")))</f>
        <v/>
      </c>
      <c r="AZ216" s="31">
        <f>UPPER(SUBSTITUTE(TRIM(F216)," ",""))</f>
        <v/>
      </c>
      <c r="BA216" s="31">
        <f>UPPER(SUBSTITUTE(TRIM(E216)," ",""))</f>
        <v/>
      </c>
      <c r="BB216" s="31">
        <f>IF(D216&lt;&gt;"",D216,IFERROR(VLOOKUP(MID(AS216,4,1),Lists!$E$2:$F$8,2,FALSE),""))</f>
        <v/>
      </c>
      <c r="BC216" s="31">
        <f>IFERROR(VLOOKUP(BB216,Lists!$A$2:$C$12,3,FALSE),"")</f>
        <v/>
      </c>
      <c r="BD216" s="31">
        <f>COUNTIF(W216:AC216,"Yes")</f>
        <v/>
      </c>
      <c r="BE216" s="31">
        <f>IF(TRIM(B216)="","Legal name missing; ","")&amp;IF(AND(AV216&lt;&gt;"",AV216&lt;&gt;"OK"),"GSTIN: "&amp;AV216&amp;"; ","")&amp;IF(AND(AW216&lt;&gt;"",AW216&lt;&gt;"OK"),"PAN wrong format; ","")&amp;IF(AND(BA216&lt;&gt;"",LEN(AZ216)=15,MID(AZ216,3,10)&lt;&gt;BA216),"PAN does not match GSTIN; ","")&amp;IF(AND(AX216&lt;&gt;"",AX216&lt;&gt;"OK"),"TAN wrong format; ","")&amp;IF(AS216="","PAN missing; ","")&amp;IF(BB216="","Entity type missing; ","")&amp;IF(AND(AZ216&lt;&gt;"",COUNTIF($AZ$6:$AZ$1005,AZ216)&gt;1),"GSTIN repeated in this sheet; ","")&amp;IF(AND(AS216&lt;&gt;"",COUNTIF($AS$6:$AS$1005,AS216)&gt;1),"PAN repeated in this sheet (same client? put extra GSTINs in Other GSTINs); ","")&amp;IF(AND(BD216&gt;0,V216=""),"Financial year missing; ","")&amp;IF(AND(BD216=0,V216&lt;&gt;""),"Financial year given but no service is Yes; ","")&amp;IF(AND(W216="Yes",AZ216=""),"GST needs a GSTIN; ","")&amp;IF(AND(W216="Yes",X216=""),"GST return frequency missing; ","")&amp;IF(AND(Y216="Yes",TRIM(H216)=""),"TDS needs a TAN; ","")&amp;IF(AND(AA216="Yes",BC216&lt;&gt;"",BC216&lt;&gt;"company",BC216&lt;&gt;"llp"),"ROC is only for a company / LLP; ","")&amp;IF(AND(AA216="Yes",OR(BC216="company",BC216="llp"),TRIM(I216)=""),"ROC needs the CIN / LLPIN; ","")&amp;IF((TRIM(AF216)="")&lt;&gt;(TRIM(AG216)=""),"GST login needs both user ID and password; ","")&amp;IF((TRIM(AH216)="")&lt;&gt;(TRIM(AI216)=""),"Income-tax login needs both user ID and password; ","")&amp;IF((TRIM(AJ216)="")&lt;&gt;(TRIM(AK216)=""),"Income-tax login needs both user ID and password; ","")&amp;IF((TRIM(AL216)="")&lt;&gt;(TRIM(AM216)=""),"TRACES login needs both user ID and password; ","")&amp;IF((TRIM(AN216)="")&lt;&gt;(TRIM(AO216)=""),"MCA login needs both user ID and password; ","")&amp;IF((TRIM(AP216)="")&lt;&gt;(TRIM(AQ216)=""),"E-way bill login needs both user ID and password; ","")</f>
        <v/>
      </c>
    </row>
    <row r="217">
      <c r="A217" s="32" t="n"/>
      <c r="B217" s="33" t="n"/>
      <c r="C217" s="33" t="n"/>
      <c r="D217" s="33" t="n"/>
      <c r="E217" s="32" t="n"/>
      <c r="F217" s="32" t="n"/>
      <c r="G217" s="32" t="n"/>
      <c r="H217" s="32" t="n"/>
      <c r="I217" s="32" t="n"/>
      <c r="J217" s="34" t="n"/>
      <c r="K217" s="33" t="n"/>
      <c r="L217" s="32" t="n"/>
      <c r="M217" s="33" t="n"/>
      <c r="N217" s="33" t="n"/>
      <c r="O217" s="33" t="n"/>
      <c r="P217" s="32" t="n"/>
      <c r="Q217" s="33" t="n"/>
      <c r="R217" s="33" t="n"/>
      <c r="S217" s="33" t="n"/>
      <c r="T217" s="33" t="n"/>
      <c r="U217" s="32" t="n"/>
      <c r="V217" s="33" t="n"/>
      <c r="W217" s="33" t="n"/>
      <c r="X217" s="33" t="n"/>
      <c r="Y217" s="33" t="n"/>
      <c r="Z217" s="33" t="n"/>
      <c r="AA217" s="33" t="n"/>
      <c r="AB217" s="33" t="n"/>
      <c r="AC217" s="33" t="n"/>
      <c r="AD217" s="33" t="n"/>
      <c r="AE217" s="33" t="n"/>
      <c r="AF217" s="32" t="n"/>
      <c r="AG217" s="32" t="n"/>
      <c r="AH217" s="32" t="n"/>
      <c r="AI217" s="32" t="n"/>
      <c r="AJ217" s="32" t="n"/>
      <c r="AK217" s="32" t="n"/>
      <c r="AL217" s="32" t="n"/>
      <c r="AM217" s="32" t="n"/>
      <c r="AN217" s="32" t="n"/>
      <c r="AO217" s="32" t="n"/>
      <c r="AP217" s="32" t="n"/>
      <c r="AQ217" s="32" t="n"/>
      <c r="AR217" s="29">
        <f>IF(NOT(COUNTA(A217:AE217)&gt;0),"",IF(A217="","New client","Update"))</f>
        <v/>
      </c>
      <c r="AS217" s="29">
        <f>IF(BA217&lt;&gt;"",BA217,IF(LEN(AZ217)=15,MID(AZ217,3,10),""))</f>
        <v/>
      </c>
      <c r="AT217" s="29">
        <f>IF(BB217="","",BB217&amp;IF(D217="","  (guessed from PAN)",""))</f>
        <v/>
      </c>
      <c r="AU217" s="29">
        <f>IF(AZ217="","",IFERROR(INDEX(Lists!$L$2:$L$38,MATCH(LEFT(AZ217,2),Lists!$K$2:$K$38,0)),"Unknown code"))</f>
        <v/>
      </c>
      <c r="AV217" s="29">
        <f>IF(AZ217="","",IFERROR(IF(NOT(AND(LEN(AZ217)=15,ISNUMBER(MATCH(LEFT(AZ217,2),Lists!$K$2:$K$38,0)),SUMPRODUCT(--ISERROR(FIND(MID(MID(AZ217,3,10),{1,2,3,4,5,10},1),"ABCDEFGHIJKLMNOPQRSTUVWXYZ")))=0,SUMPRODUCT(--ISERROR(FIND(MID(MID(AZ217,3,10),{6,7,8,9},1),"0123456789")))=0,ISNUMBER(FIND(MID(AZ217,13,1),"123456789ABCDEFGHIJKLMNOPQRSTUVWXYZ")),MID(AZ217,14,1)="Z")),"Wrong format",IF(MID("0123456789ABCDEFGHIJKLMNOPQRSTUVWXYZ",MOD(36-MOD(SUMPRODUCT(INT((FIND(MID(AZ217,{1,2,3,4,5,6,7,8,9,10,11,12,13,14},1),"0123456789ABCDEFGHIJKLMNOPQRSTUVWXYZ")-1)*{1,2,1,2,1,2,1,2,1,2,1,2,1,2}/36)+MOD((FIND(MID(AZ217,{1,2,3,4,5,6,7,8,9,10,11,12,13,14},1),"0123456789ABCDEFGHIJKLMNOPQRSTUVWXYZ")-1)*{1,2,1,2,1,2,1,2,1,2,1,2,1,2},36)),36),36)+1,1)=MID(AZ217,15,1),"OK","Typo? check digit wrong")),"Wrong format"))</f>
        <v/>
      </c>
      <c r="AW217" s="29">
        <f>IF(BA217="","",IF(AND(LEN(BA217)=10,SUMPRODUCT(--ISERROR(FIND(MID(BA217,{1,2,3,4,5,10},1),"ABCDEFGHIJKLMNOPQRSTUVWXYZ")))=0,SUMPRODUCT(--ISERROR(FIND(MID(BA217,{6,7,8,9},1),"0123456789")))=0),"OK","Wrong format"))</f>
        <v/>
      </c>
      <c r="AX217" s="29">
        <f>IF(TRIM(H217)="","",IF(AND(LEN(UPPER(TRIM(H217)))=10,SUMPRODUCT(--ISERROR(FIND(MID(UPPER(TRIM(H217)),{1,2,3,4,10},1),"ABCDEFGHIJKLMNOPQRSTUVWXYZ")))=0,SUMPRODUCT(--ISERROR(FIND(MID(UPPER(TRIM(H217)),{5,6,7,8,9},1),"0123456789")))=0),"OK","Wrong format"))</f>
        <v/>
      </c>
      <c r="AY217" s="30">
        <f>IF(NOT(COUNTA(A217:AE217)&gt;0),"",IF(BE217&lt;&gt;"","✖ "&amp;LEFT(BE217,LEN(BE217)-2),IF(BD217&gt;0,"✔ Ready — client + "&amp;BD217&amp;" service(s)","✔ Ready — client only")))</f>
        <v/>
      </c>
      <c r="AZ217" s="31">
        <f>UPPER(SUBSTITUTE(TRIM(F217)," ",""))</f>
        <v/>
      </c>
      <c r="BA217" s="31">
        <f>UPPER(SUBSTITUTE(TRIM(E217)," ",""))</f>
        <v/>
      </c>
      <c r="BB217" s="31">
        <f>IF(D217&lt;&gt;"",D217,IFERROR(VLOOKUP(MID(AS217,4,1),Lists!$E$2:$F$8,2,FALSE),""))</f>
        <v/>
      </c>
      <c r="BC217" s="31">
        <f>IFERROR(VLOOKUP(BB217,Lists!$A$2:$C$12,3,FALSE),"")</f>
        <v/>
      </c>
      <c r="BD217" s="31">
        <f>COUNTIF(W217:AC217,"Yes")</f>
        <v/>
      </c>
      <c r="BE217" s="31">
        <f>IF(TRIM(B217)="","Legal name missing; ","")&amp;IF(AND(AV217&lt;&gt;"",AV217&lt;&gt;"OK"),"GSTIN: "&amp;AV217&amp;"; ","")&amp;IF(AND(AW217&lt;&gt;"",AW217&lt;&gt;"OK"),"PAN wrong format; ","")&amp;IF(AND(BA217&lt;&gt;"",LEN(AZ217)=15,MID(AZ217,3,10)&lt;&gt;BA217),"PAN does not match GSTIN; ","")&amp;IF(AND(AX217&lt;&gt;"",AX217&lt;&gt;"OK"),"TAN wrong format; ","")&amp;IF(AS217="","PAN missing; ","")&amp;IF(BB217="","Entity type missing; ","")&amp;IF(AND(AZ217&lt;&gt;"",COUNTIF($AZ$6:$AZ$1005,AZ217)&gt;1),"GSTIN repeated in this sheet; ","")&amp;IF(AND(AS217&lt;&gt;"",COUNTIF($AS$6:$AS$1005,AS217)&gt;1),"PAN repeated in this sheet (same client? put extra GSTINs in Other GSTINs); ","")&amp;IF(AND(BD217&gt;0,V217=""),"Financial year missing; ","")&amp;IF(AND(BD217=0,V217&lt;&gt;""),"Financial year given but no service is Yes; ","")&amp;IF(AND(W217="Yes",AZ217=""),"GST needs a GSTIN; ","")&amp;IF(AND(W217="Yes",X217=""),"GST return frequency missing; ","")&amp;IF(AND(Y217="Yes",TRIM(H217)=""),"TDS needs a TAN; ","")&amp;IF(AND(AA217="Yes",BC217&lt;&gt;"",BC217&lt;&gt;"company",BC217&lt;&gt;"llp"),"ROC is only for a company / LLP; ","")&amp;IF(AND(AA217="Yes",OR(BC217="company",BC217="llp"),TRIM(I217)=""),"ROC needs the CIN / LLPIN; ","")&amp;IF((TRIM(AF217)="")&lt;&gt;(TRIM(AG217)=""),"GST login needs both user ID and password; ","")&amp;IF((TRIM(AH217)="")&lt;&gt;(TRIM(AI217)=""),"Income-tax login needs both user ID and password; ","")&amp;IF((TRIM(AJ217)="")&lt;&gt;(TRIM(AK217)=""),"Income-tax login needs both user ID and password; ","")&amp;IF((TRIM(AL217)="")&lt;&gt;(TRIM(AM217)=""),"TRACES login needs both user ID and password; ","")&amp;IF((TRIM(AN217)="")&lt;&gt;(TRIM(AO217)=""),"MCA login needs both user ID and password; ","")&amp;IF((TRIM(AP217)="")&lt;&gt;(TRIM(AQ217)=""),"E-way bill login needs both user ID and password; ","")</f>
        <v/>
      </c>
    </row>
    <row r="218">
      <c r="A218" s="32" t="n"/>
      <c r="B218" s="33" t="n"/>
      <c r="C218" s="33" t="n"/>
      <c r="D218" s="33" t="n"/>
      <c r="E218" s="32" t="n"/>
      <c r="F218" s="32" t="n"/>
      <c r="G218" s="32" t="n"/>
      <c r="H218" s="32" t="n"/>
      <c r="I218" s="32" t="n"/>
      <c r="J218" s="34" t="n"/>
      <c r="K218" s="33" t="n"/>
      <c r="L218" s="32" t="n"/>
      <c r="M218" s="33" t="n"/>
      <c r="N218" s="33" t="n"/>
      <c r="O218" s="33" t="n"/>
      <c r="P218" s="32" t="n"/>
      <c r="Q218" s="33" t="n"/>
      <c r="R218" s="33" t="n"/>
      <c r="S218" s="33" t="n"/>
      <c r="T218" s="33" t="n"/>
      <c r="U218" s="32" t="n"/>
      <c r="V218" s="33" t="n"/>
      <c r="W218" s="33" t="n"/>
      <c r="X218" s="33" t="n"/>
      <c r="Y218" s="33" t="n"/>
      <c r="Z218" s="33" t="n"/>
      <c r="AA218" s="33" t="n"/>
      <c r="AB218" s="33" t="n"/>
      <c r="AC218" s="33" t="n"/>
      <c r="AD218" s="33" t="n"/>
      <c r="AE218" s="33" t="n"/>
      <c r="AF218" s="32" t="n"/>
      <c r="AG218" s="32" t="n"/>
      <c r="AH218" s="32" t="n"/>
      <c r="AI218" s="32" t="n"/>
      <c r="AJ218" s="32" t="n"/>
      <c r="AK218" s="32" t="n"/>
      <c r="AL218" s="32" t="n"/>
      <c r="AM218" s="32" t="n"/>
      <c r="AN218" s="32" t="n"/>
      <c r="AO218" s="32" t="n"/>
      <c r="AP218" s="32" t="n"/>
      <c r="AQ218" s="32" t="n"/>
      <c r="AR218" s="29">
        <f>IF(NOT(COUNTA(A218:AE218)&gt;0),"",IF(A218="","New client","Update"))</f>
        <v/>
      </c>
      <c r="AS218" s="29">
        <f>IF(BA218&lt;&gt;"",BA218,IF(LEN(AZ218)=15,MID(AZ218,3,10),""))</f>
        <v/>
      </c>
      <c r="AT218" s="29">
        <f>IF(BB218="","",BB218&amp;IF(D218="","  (guessed from PAN)",""))</f>
        <v/>
      </c>
      <c r="AU218" s="29">
        <f>IF(AZ218="","",IFERROR(INDEX(Lists!$L$2:$L$38,MATCH(LEFT(AZ218,2),Lists!$K$2:$K$38,0)),"Unknown code"))</f>
        <v/>
      </c>
      <c r="AV218" s="29">
        <f>IF(AZ218="","",IFERROR(IF(NOT(AND(LEN(AZ218)=15,ISNUMBER(MATCH(LEFT(AZ218,2),Lists!$K$2:$K$38,0)),SUMPRODUCT(--ISERROR(FIND(MID(MID(AZ218,3,10),{1,2,3,4,5,10},1),"ABCDEFGHIJKLMNOPQRSTUVWXYZ")))=0,SUMPRODUCT(--ISERROR(FIND(MID(MID(AZ218,3,10),{6,7,8,9},1),"0123456789")))=0,ISNUMBER(FIND(MID(AZ218,13,1),"123456789ABCDEFGHIJKLMNOPQRSTUVWXYZ")),MID(AZ218,14,1)="Z")),"Wrong format",IF(MID("0123456789ABCDEFGHIJKLMNOPQRSTUVWXYZ",MOD(36-MOD(SUMPRODUCT(INT((FIND(MID(AZ218,{1,2,3,4,5,6,7,8,9,10,11,12,13,14},1),"0123456789ABCDEFGHIJKLMNOPQRSTUVWXYZ")-1)*{1,2,1,2,1,2,1,2,1,2,1,2,1,2}/36)+MOD((FIND(MID(AZ218,{1,2,3,4,5,6,7,8,9,10,11,12,13,14},1),"0123456789ABCDEFGHIJKLMNOPQRSTUVWXYZ")-1)*{1,2,1,2,1,2,1,2,1,2,1,2,1,2},36)),36),36)+1,1)=MID(AZ218,15,1),"OK","Typo? check digit wrong")),"Wrong format"))</f>
        <v/>
      </c>
      <c r="AW218" s="29">
        <f>IF(BA218="","",IF(AND(LEN(BA218)=10,SUMPRODUCT(--ISERROR(FIND(MID(BA218,{1,2,3,4,5,10},1),"ABCDEFGHIJKLMNOPQRSTUVWXYZ")))=0,SUMPRODUCT(--ISERROR(FIND(MID(BA218,{6,7,8,9},1),"0123456789")))=0),"OK","Wrong format"))</f>
        <v/>
      </c>
      <c r="AX218" s="29">
        <f>IF(TRIM(H218)="","",IF(AND(LEN(UPPER(TRIM(H218)))=10,SUMPRODUCT(--ISERROR(FIND(MID(UPPER(TRIM(H218)),{1,2,3,4,10},1),"ABCDEFGHIJKLMNOPQRSTUVWXYZ")))=0,SUMPRODUCT(--ISERROR(FIND(MID(UPPER(TRIM(H218)),{5,6,7,8,9},1),"0123456789")))=0),"OK","Wrong format"))</f>
        <v/>
      </c>
      <c r="AY218" s="30">
        <f>IF(NOT(COUNTA(A218:AE218)&gt;0),"",IF(BE218&lt;&gt;"","✖ "&amp;LEFT(BE218,LEN(BE218)-2),IF(BD218&gt;0,"✔ Ready — client + "&amp;BD218&amp;" service(s)","✔ Ready — client only")))</f>
        <v/>
      </c>
      <c r="AZ218" s="31">
        <f>UPPER(SUBSTITUTE(TRIM(F218)," ",""))</f>
        <v/>
      </c>
      <c r="BA218" s="31">
        <f>UPPER(SUBSTITUTE(TRIM(E218)," ",""))</f>
        <v/>
      </c>
      <c r="BB218" s="31">
        <f>IF(D218&lt;&gt;"",D218,IFERROR(VLOOKUP(MID(AS218,4,1),Lists!$E$2:$F$8,2,FALSE),""))</f>
        <v/>
      </c>
      <c r="BC218" s="31">
        <f>IFERROR(VLOOKUP(BB218,Lists!$A$2:$C$12,3,FALSE),"")</f>
        <v/>
      </c>
      <c r="BD218" s="31">
        <f>COUNTIF(W218:AC218,"Yes")</f>
        <v/>
      </c>
      <c r="BE218" s="31">
        <f>IF(TRIM(B218)="","Legal name missing; ","")&amp;IF(AND(AV218&lt;&gt;"",AV218&lt;&gt;"OK"),"GSTIN: "&amp;AV218&amp;"; ","")&amp;IF(AND(AW218&lt;&gt;"",AW218&lt;&gt;"OK"),"PAN wrong format; ","")&amp;IF(AND(BA218&lt;&gt;"",LEN(AZ218)=15,MID(AZ218,3,10)&lt;&gt;BA218),"PAN does not match GSTIN; ","")&amp;IF(AND(AX218&lt;&gt;"",AX218&lt;&gt;"OK"),"TAN wrong format; ","")&amp;IF(AS218="","PAN missing; ","")&amp;IF(BB218="","Entity type missing; ","")&amp;IF(AND(AZ218&lt;&gt;"",COUNTIF($AZ$6:$AZ$1005,AZ218)&gt;1),"GSTIN repeated in this sheet; ","")&amp;IF(AND(AS218&lt;&gt;"",COUNTIF($AS$6:$AS$1005,AS218)&gt;1),"PAN repeated in this sheet (same client? put extra GSTINs in Other GSTINs); ","")&amp;IF(AND(BD218&gt;0,V218=""),"Financial year missing; ","")&amp;IF(AND(BD218=0,V218&lt;&gt;""),"Financial year given but no service is Yes; ","")&amp;IF(AND(W218="Yes",AZ218=""),"GST needs a GSTIN; ","")&amp;IF(AND(W218="Yes",X218=""),"GST return frequency missing; ","")&amp;IF(AND(Y218="Yes",TRIM(H218)=""),"TDS needs a TAN; ","")&amp;IF(AND(AA218="Yes",BC218&lt;&gt;"",BC218&lt;&gt;"company",BC218&lt;&gt;"llp"),"ROC is only for a company / LLP; ","")&amp;IF(AND(AA218="Yes",OR(BC218="company",BC218="llp"),TRIM(I218)=""),"ROC needs the CIN / LLPIN; ","")&amp;IF((TRIM(AF218)="")&lt;&gt;(TRIM(AG218)=""),"GST login needs both user ID and password; ","")&amp;IF((TRIM(AH218)="")&lt;&gt;(TRIM(AI218)=""),"Income-tax login needs both user ID and password; ","")&amp;IF((TRIM(AJ218)="")&lt;&gt;(TRIM(AK218)=""),"Income-tax login needs both user ID and password; ","")&amp;IF((TRIM(AL218)="")&lt;&gt;(TRIM(AM218)=""),"TRACES login needs both user ID and password; ","")&amp;IF((TRIM(AN218)="")&lt;&gt;(TRIM(AO218)=""),"MCA login needs both user ID and password; ","")&amp;IF((TRIM(AP218)="")&lt;&gt;(TRIM(AQ218)=""),"E-way bill login needs both user ID and password; ","")</f>
        <v/>
      </c>
    </row>
    <row r="219">
      <c r="A219" s="32" t="n"/>
      <c r="B219" s="33" t="n"/>
      <c r="C219" s="33" t="n"/>
      <c r="D219" s="33" t="n"/>
      <c r="E219" s="32" t="n"/>
      <c r="F219" s="32" t="n"/>
      <c r="G219" s="32" t="n"/>
      <c r="H219" s="32" t="n"/>
      <c r="I219" s="32" t="n"/>
      <c r="J219" s="34" t="n"/>
      <c r="K219" s="33" t="n"/>
      <c r="L219" s="32" t="n"/>
      <c r="M219" s="33" t="n"/>
      <c r="N219" s="33" t="n"/>
      <c r="O219" s="33" t="n"/>
      <c r="P219" s="32" t="n"/>
      <c r="Q219" s="33" t="n"/>
      <c r="R219" s="33" t="n"/>
      <c r="S219" s="33" t="n"/>
      <c r="T219" s="33" t="n"/>
      <c r="U219" s="32" t="n"/>
      <c r="V219" s="33" t="n"/>
      <c r="W219" s="33" t="n"/>
      <c r="X219" s="33" t="n"/>
      <c r="Y219" s="33" t="n"/>
      <c r="Z219" s="33" t="n"/>
      <c r="AA219" s="33" t="n"/>
      <c r="AB219" s="33" t="n"/>
      <c r="AC219" s="33" t="n"/>
      <c r="AD219" s="33" t="n"/>
      <c r="AE219" s="33" t="n"/>
      <c r="AF219" s="32" t="n"/>
      <c r="AG219" s="32" t="n"/>
      <c r="AH219" s="32" t="n"/>
      <c r="AI219" s="32" t="n"/>
      <c r="AJ219" s="32" t="n"/>
      <c r="AK219" s="32" t="n"/>
      <c r="AL219" s="32" t="n"/>
      <c r="AM219" s="32" t="n"/>
      <c r="AN219" s="32" t="n"/>
      <c r="AO219" s="32" t="n"/>
      <c r="AP219" s="32" t="n"/>
      <c r="AQ219" s="32" t="n"/>
      <c r="AR219" s="29">
        <f>IF(NOT(COUNTA(A219:AE219)&gt;0),"",IF(A219="","New client","Update"))</f>
        <v/>
      </c>
      <c r="AS219" s="29">
        <f>IF(BA219&lt;&gt;"",BA219,IF(LEN(AZ219)=15,MID(AZ219,3,10),""))</f>
        <v/>
      </c>
      <c r="AT219" s="29">
        <f>IF(BB219="","",BB219&amp;IF(D219="","  (guessed from PAN)",""))</f>
        <v/>
      </c>
      <c r="AU219" s="29">
        <f>IF(AZ219="","",IFERROR(INDEX(Lists!$L$2:$L$38,MATCH(LEFT(AZ219,2),Lists!$K$2:$K$38,0)),"Unknown code"))</f>
        <v/>
      </c>
      <c r="AV219" s="29">
        <f>IF(AZ219="","",IFERROR(IF(NOT(AND(LEN(AZ219)=15,ISNUMBER(MATCH(LEFT(AZ219,2),Lists!$K$2:$K$38,0)),SUMPRODUCT(--ISERROR(FIND(MID(MID(AZ219,3,10),{1,2,3,4,5,10},1),"ABCDEFGHIJKLMNOPQRSTUVWXYZ")))=0,SUMPRODUCT(--ISERROR(FIND(MID(MID(AZ219,3,10),{6,7,8,9},1),"0123456789")))=0,ISNUMBER(FIND(MID(AZ219,13,1),"123456789ABCDEFGHIJKLMNOPQRSTUVWXYZ")),MID(AZ219,14,1)="Z")),"Wrong format",IF(MID("0123456789ABCDEFGHIJKLMNOPQRSTUVWXYZ",MOD(36-MOD(SUMPRODUCT(INT((FIND(MID(AZ219,{1,2,3,4,5,6,7,8,9,10,11,12,13,14},1),"0123456789ABCDEFGHIJKLMNOPQRSTUVWXYZ")-1)*{1,2,1,2,1,2,1,2,1,2,1,2,1,2}/36)+MOD((FIND(MID(AZ219,{1,2,3,4,5,6,7,8,9,10,11,12,13,14},1),"0123456789ABCDEFGHIJKLMNOPQRSTUVWXYZ")-1)*{1,2,1,2,1,2,1,2,1,2,1,2,1,2},36)),36),36)+1,1)=MID(AZ219,15,1),"OK","Typo? check digit wrong")),"Wrong format"))</f>
        <v/>
      </c>
      <c r="AW219" s="29">
        <f>IF(BA219="","",IF(AND(LEN(BA219)=10,SUMPRODUCT(--ISERROR(FIND(MID(BA219,{1,2,3,4,5,10},1),"ABCDEFGHIJKLMNOPQRSTUVWXYZ")))=0,SUMPRODUCT(--ISERROR(FIND(MID(BA219,{6,7,8,9},1),"0123456789")))=0),"OK","Wrong format"))</f>
        <v/>
      </c>
      <c r="AX219" s="29">
        <f>IF(TRIM(H219)="","",IF(AND(LEN(UPPER(TRIM(H219)))=10,SUMPRODUCT(--ISERROR(FIND(MID(UPPER(TRIM(H219)),{1,2,3,4,10},1),"ABCDEFGHIJKLMNOPQRSTUVWXYZ")))=0,SUMPRODUCT(--ISERROR(FIND(MID(UPPER(TRIM(H219)),{5,6,7,8,9},1),"0123456789")))=0),"OK","Wrong format"))</f>
        <v/>
      </c>
      <c r="AY219" s="30">
        <f>IF(NOT(COUNTA(A219:AE219)&gt;0),"",IF(BE219&lt;&gt;"","✖ "&amp;LEFT(BE219,LEN(BE219)-2),IF(BD219&gt;0,"✔ Ready — client + "&amp;BD219&amp;" service(s)","✔ Ready — client only")))</f>
        <v/>
      </c>
      <c r="AZ219" s="31">
        <f>UPPER(SUBSTITUTE(TRIM(F219)," ",""))</f>
        <v/>
      </c>
      <c r="BA219" s="31">
        <f>UPPER(SUBSTITUTE(TRIM(E219)," ",""))</f>
        <v/>
      </c>
      <c r="BB219" s="31">
        <f>IF(D219&lt;&gt;"",D219,IFERROR(VLOOKUP(MID(AS219,4,1),Lists!$E$2:$F$8,2,FALSE),""))</f>
        <v/>
      </c>
      <c r="BC219" s="31">
        <f>IFERROR(VLOOKUP(BB219,Lists!$A$2:$C$12,3,FALSE),"")</f>
        <v/>
      </c>
      <c r="BD219" s="31">
        <f>COUNTIF(W219:AC219,"Yes")</f>
        <v/>
      </c>
      <c r="BE219" s="31">
        <f>IF(TRIM(B219)="","Legal name missing; ","")&amp;IF(AND(AV219&lt;&gt;"",AV219&lt;&gt;"OK"),"GSTIN: "&amp;AV219&amp;"; ","")&amp;IF(AND(AW219&lt;&gt;"",AW219&lt;&gt;"OK"),"PAN wrong format; ","")&amp;IF(AND(BA219&lt;&gt;"",LEN(AZ219)=15,MID(AZ219,3,10)&lt;&gt;BA219),"PAN does not match GSTIN; ","")&amp;IF(AND(AX219&lt;&gt;"",AX219&lt;&gt;"OK"),"TAN wrong format; ","")&amp;IF(AS219="","PAN missing; ","")&amp;IF(BB219="","Entity type missing; ","")&amp;IF(AND(AZ219&lt;&gt;"",COUNTIF($AZ$6:$AZ$1005,AZ219)&gt;1),"GSTIN repeated in this sheet; ","")&amp;IF(AND(AS219&lt;&gt;"",COUNTIF($AS$6:$AS$1005,AS219)&gt;1),"PAN repeated in this sheet (same client? put extra GSTINs in Other GSTINs); ","")&amp;IF(AND(BD219&gt;0,V219=""),"Financial year missing; ","")&amp;IF(AND(BD219=0,V219&lt;&gt;""),"Financial year given but no service is Yes; ","")&amp;IF(AND(W219="Yes",AZ219=""),"GST needs a GSTIN; ","")&amp;IF(AND(W219="Yes",X219=""),"GST return frequency missing; ","")&amp;IF(AND(Y219="Yes",TRIM(H219)=""),"TDS needs a TAN; ","")&amp;IF(AND(AA219="Yes",BC219&lt;&gt;"",BC219&lt;&gt;"company",BC219&lt;&gt;"llp"),"ROC is only for a company / LLP; ","")&amp;IF(AND(AA219="Yes",OR(BC219="company",BC219="llp"),TRIM(I219)=""),"ROC needs the CIN / LLPIN; ","")&amp;IF((TRIM(AF219)="")&lt;&gt;(TRIM(AG219)=""),"GST login needs both user ID and password; ","")&amp;IF((TRIM(AH219)="")&lt;&gt;(TRIM(AI219)=""),"Income-tax login needs both user ID and password; ","")&amp;IF((TRIM(AJ219)="")&lt;&gt;(TRIM(AK219)=""),"Income-tax login needs both user ID and password; ","")&amp;IF((TRIM(AL219)="")&lt;&gt;(TRIM(AM219)=""),"TRACES login needs both user ID and password; ","")&amp;IF((TRIM(AN219)="")&lt;&gt;(TRIM(AO219)=""),"MCA login needs both user ID and password; ","")&amp;IF((TRIM(AP219)="")&lt;&gt;(TRIM(AQ219)=""),"E-way bill login needs both user ID and password; ","")</f>
        <v/>
      </c>
    </row>
    <row r="220">
      <c r="A220" s="32" t="n"/>
      <c r="B220" s="33" t="n"/>
      <c r="C220" s="33" t="n"/>
      <c r="D220" s="33" t="n"/>
      <c r="E220" s="32" t="n"/>
      <c r="F220" s="32" t="n"/>
      <c r="G220" s="32" t="n"/>
      <c r="H220" s="32" t="n"/>
      <c r="I220" s="32" t="n"/>
      <c r="J220" s="34" t="n"/>
      <c r="K220" s="33" t="n"/>
      <c r="L220" s="32" t="n"/>
      <c r="M220" s="33" t="n"/>
      <c r="N220" s="33" t="n"/>
      <c r="O220" s="33" t="n"/>
      <c r="P220" s="32" t="n"/>
      <c r="Q220" s="33" t="n"/>
      <c r="R220" s="33" t="n"/>
      <c r="S220" s="33" t="n"/>
      <c r="T220" s="33" t="n"/>
      <c r="U220" s="32" t="n"/>
      <c r="V220" s="33" t="n"/>
      <c r="W220" s="33" t="n"/>
      <c r="X220" s="33" t="n"/>
      <c r="Y220" s="33" t="n"/>
      <c r="Z220" s="33" t="n"/>
      <c r="AA220" s="33" t="n"/>
      <c r="AB220" s="33" t="n"/>
      <c r="AC220" s="33" t="n"/>
      <c r="AD220" s="33" t="n"/>
      <c r="AE220" s="33" t="n"/>
      <c r="AF220" s="32" t="n"/>
      <c r="AG220" s="32" t="n"/>
      <c r="AH220" s="32" t="n"/>
      <c r="AI220" s="32" t="n"/>
      <c r="AJ220" s="32" t="n"/>
      <c r="AK220" s="32" t="n"/>
      <c r="AL220" s="32" t="n"/>
      <c r="AM220" s="32" t="n"/>
      <c r="AN220" s="32" t="n"/>
      <c r="AO220" s="32" t="n"/>
      <c r="AP220" s="32" t="n"/>
      <c r="AQ220" s="32" t="n"/>
      <c r="AR220" s="29">
        <f>IF(NOT(COUNTA(A220:AE220)&gt;0),"",IF(A220="","New client","Update"))</f>
        <v/>
      </c>
      <c r="AS220" s="29">
        <f>IF(BA220&lt;&gt;"",BA220,IF(LEN(AZ220)=15,MID(AZ220,3,10),""))</f>
        <v/>
      </c>
      <c r="AT220" s="29">
        <f>IF(BB220="","",BB220&amp;IF(D220="","  (guessed from PAN)",""))</f>
        <v/>
      </c>
      <c r="AU220" s="29">
        <f>IF(AZ220="","",IFERROR(INDEX(Lists!$L$2:$L$38,MATCH(LEFT(AZ220,2),Lists!$K$2:$K$38,0)),"Unknown code"))</f>
        <v/>
      </c>
      <c r="AV220" s="29">
        <f>IF(AZ220="","",IFERROR(IF(NOT(AND(LEN(AZ220)=15,ISNUMBER(MATCH(LEFT(AZ220,2),Lists!$K$2:$K$38,0)),SUMPRODUCT(--ISERROR(FIND(MID(MID(AZ220,3,10),{1,2,3,4,5,10},1),"ABCDEFGHIJKLMNOPQRSTUVWXYZ")))=0,SUMPRODUCT(--ISERROR(FIND(MID(MID(AZ220,3,10),{6,7,8,9},1),"0123456789")))=0,ISNUMBER(FIND(MID(AZ220,13,1),"123456789ABCDEFGHIJKLMNOPQRSTUVWXYZ")),MID(AZ220,14,1)="Z")),"Wrong format",IF(MID("0123456789ABCDEFGHIJKLMNOPQRSTUVWXYZ",MOD(36-MOD(SUMPRODUCT(INT((FIND(MID(AZ220,{1,2,3,4,5,6,7,8,9,10,11,12,13,14},1),"0123456789ABCDEFGHIJKLMNOPQRSTUVWXYZ")-1)*{1,2,1,2,1,2,1,2,1,2,1,2,1,2}/36)+MOD((FIND(MID(AZ220,{1,2,3,4,5,6,7,8,9,10,11,12,13,14},1),"0123456789ABCDEFGHIJKLMNOPQRSTUVWXYZ")-1)*{1,2,1,2,1,2,1,2,1,2,1,2,1,2},36)),36),36)+1,1)=MID(AZ220,15,1),"OK","Typo? check digit wrong")),"Wrong format"))</f>
        <v/>
      </c>
      <c r="AW220" s="29">
        <f>IF(BA220="","",IF(AND(LEN(BA220)=10,SUMPRODUCT(--ISERROR(FIND(MID(BA220,{1,2,3,4,5,10},1),"ABCDEFGHIJKLMNOPQRSTUVWXYZ")))=0,SUMPRODUCT(--ISERROR(FIND(MID(BA220,{6,7,8,9},1),"0123456789")))=0),"OK","Wrong format"))</f>
        <v/>
      </c>
      <c r="AX220" s="29">
        <f>IF(TRIM(H220)="","",IF(AND(LEN(UPPER(TRIM(H220)))=10,SUMPRODUCT(--ISERROR(FIND(MID(UPPER(TRIM(H220)),{1,2,3,4,10},1),"ABCDEFGHIJKLMNOPQRSTUVWXYZ")))=0,SUMPRODUCT(--ISERROR(FIND(MID(UPPER(TRIM(H220)),{5,6,7,8,9},1),"0123456789")))=0),"OK","Wrong format"))</f>
        <v/>
      </c>
      <c r="AY220" s="30">
        <f>IF(NOT(COUNTA(A220:AE220)&gt;0),"",IF(BE220&lt;&gt;"","✖ "&amp;LEFT(BE220,LEN(BE220)-2),IF(BD220&gt;0,"✔ Ready — client + "&amp;BD220&amp;" service(s)","✔ Ready — client only")))</f>
        <v/>
      </c>
      <c r="AZ220" s="31">
        <f>UPPER(SUBSTITUTE(TRIM(F220)," ",""))</f>
        <v/>
      </c>
      <c r="BA220" s="31">
        <f>UPPER(SUBSTITUTE(TRIM(E220)," ",""))</f>
        <v/>
      </c>
      <c r="BB220" s="31">
        <f>IF(D220&lt;&gt;"",D220,IFERROR(VLOOKUP(MID(AS220,4,1),Lists!$E$2:$F$8,2,FALSE),""))</f>
        <v/>
      </c>
      <c r="BC220" s="31">
        <f>IFERROR(VLOOKUP(BB220,Lists!$A$2:$C$12,3,FALSE),"")</f>
        <v/>
      </c>
      <c r="BD220" s="31">
        <f>COUNTIF(W220:AC220,"Yes")</f>
        <v/>
      </c>
      <c r="BE220" s="31">
        <f>IF(TRIM(B220)="","Legal name missing; ","")&amp;IF(AND(AV220&lt;&gt;"",AV220&lt;&gt;"OK"),"GSTIN: "&amp;AV220&amp;"; ","")&amp;IF(AND(AW220&lt;&gt;"",AW220&lt;&gt;"OK"),"PAN wrong format; ","")&amp;IF(AND(BA220&lt;&gt;"",LEN(AZ220)=15,MID(AZ220,3,10)&lt;&gt;BA220),"PAN does not match GSTIN; ","")&amp;IF(AND(AX220&lt;&gt;"",AX220&lt;&gt;"OK"),"TAN wrong format; ","")&amp;IF(AS220="","PAN missing; ","")&amp;IF(BB220="","Entity type missing; ","")&amp;IF(AND(AZ220&lt;&gt;"",COUNTIF($AZ$6:$AZ$1005,AZ220)&gt;1),"GSTIN repeated in this sheet; ","")&amp;IF(AND(AS220&lt;&gt;"",COUNTIF($AS$6:$AS$1005,AS220)&gt;1),"PAN repeated in this sheet (same client? put extra GSTINs in Other GSTINs); ","")&amp;IF(AND(BD220&gt;0,V220=""),"Financial year missing; ","")&amp;IF(AND(BD220=0,V220&lt;&gt;""),"Financial year given but no service is Yes; ","")&amp;IF(AND(W220="Yes",AZ220=""),"GST needs a GSTIN; ","")&amp;IF(AND(W220="Yes",X220=""),"GST return frequency missing; ","")&amp;IF(AND(Y220="Yes",TRIM(H220)=""),"TDS needs a TAN; ","")&amp;IF(AND(AA220="Yes",BC220&lt;&gt;"",BC220&lt;&gt;"company",BC220&lt;&gt;"llp"),"ROC is only for a company / LLP; ","")&amp;IF(AND(AA220="Yes",OR(BC220="company",BC220="llp"),TRIM(I220)=""),"ROC needs the CIN / LLPIN; ","")&amp;IF((TRIM(AF220)="")&lt;&gt;(TRIM(AG220)=""),"GST login needs both user ID and password; ","")&amp;IF((TRIM(AH220)="")&lt;&gt;(TRIM(AI220)=""),"Income-tax login needs both user ID and password; ","")&amp;IF((TRIM(AJ220)="")&lt;&gt;(TRIM(AK220)=""),"Income-tax login needs both user ID and password; ","")&amp;IF((TRIM(AL220)="")&lt;&gt;(TRIM(AM220)=""),"TRACES login needs both user ID and password; ","")&amp;IF((TRIM(AN220)="")&lt;&gt;(TRIM(AO220)=""),"MCA login needs both user ID and password; ","")&amp;IF((TRIM(AP220)="")&lt;&gt;(TRIM(AQ220)=""),"E-way bill login needs both user ID and password; ","")</f>
        <v/>
      </c>
    </row>
    <row r="221">
      <c r="A221" s="32" t="n"/>
      <c r="B221" s="33" t="n"/>
      <c r="C221" s="33" t="n"/>
      <c r="D221" s="33" t="n"/>
      <c r="E221" s="32" t="n"/>
      <c r="F221" s="32" t="n"/>
      <c r="G221" s="32" t="n"/>
      <c r="H221" s="32" t="n"/>
      <c r="I221" s="32" t="n"/>
      <c r="J221" s="34" t="n"/>
      <c r="K221" s="33" t="n"/>
      <c r="L221" s="32" t="n"/>
      <c r="M221" s="33" t="n"/>
      <c r="N221" s="33" t="n"/>
      <c r="O221" s="33" t="n"/>
      <c r="P221" s="32" t="n"/>
      <c r="Q221" s="33" t="n"/>
      <c r="R221" s="33" t="n"/>
      <c r="S221" s="33" t="n"/>
      <c r="T221" s="33" t="n"/>
      <c r="U221" s="32" t="n"/>
      <c r="V221" s="33" t="n"/>
      <c r="W221" s="33" t="n"/>
      <c r="X221" s="33" t="n"/>
      <c r="Y221" s="33" t="n"/>
      <c r="Z221" s="33" t="n"/>
      <c r="AA221" s="33" t="n"/>
      <c r="AB221" s="33" t="n"/>
      <c r="AC221" s="33" t="n"/>
      <c r="AD221" s="33" t="n"/>
      <c r="AE221" s="33" t="n"/>
      <c r="AF221" s="32" t="n"/>
      <c r="AG221" s="32" t="n"/>
      <c r="AH221" s="32" t="n"/>
      <c r="AI221" s="32" t="n"/>
      <c r="AJ221" s="32" t="n"/>
      <c r="AK221" s="32" t="n"/>
      <c r="AL221" s="32" t="n"/>
      <c r="AM221" s="32" t="n"/>
      <c r="AN221" s="32" t="n"/>
      <c r="AO221" s="32" t="n"/>
      <c r="AP221" s="32" t="n"/>
      <c r="AQ221" s="32" t="n"/>
      <c r="AR221" s="29">
        <f>IF(NOT(COUNTA(A221:AE221)&gt;0),"",IF(A221="","New client","Update"))</f>
        <v/>
      </c>
      <c r="AS221" s="29">
        <f>IF(BA221&lt;&gt;"",BA221,IF(LEN(AZ221)=15,MID(AZ221,3,10),""))</f>
        <v/>
      </c>
      <c r="AT221" s="29">
        <f>IF(BB221="","",BB221&amp;IF(D221="","  (guessed from PAN)",""))</f>
        <v/>
      </c>
      <c r="AU221" s="29">
        <f>IF(AZ221="","",IFERROR(INDEX(Lists!$L$2:$L$38,MATCH(LEFT(AZ221,2),Lists!$K$2:$K$38,0)),"Unknown code"))</f>
        <v/>
      </c>
      <c r="AV221" s="29">
        <f>IF(AZ221="","",IFERROR(IF(NOT(AND(LEN(AZ221)=15,ISNUMBER(MATCH(LEFT(AZ221,2),Lists!$K$2:$K$38,0)),SUMPRODUCT(--ISERROR(FIND(MID(MID(AZ221,3,10),{1,2,3,4,5,10},1),"ABCDEFGHIJKLMNOPQRSTUVWXYZ")))=0,SUMPRODUCT(--ISERROR(FIND(MID(MID(AZ221,3,10),{6,7,8,9},1),"0123456789")))=0,ISNUMBER(FIND(MID(AZ221,13,1),"123456789ABCDEFGHIJKLMNOPQRSTUVWXYZ")),MID(AZ221,14,1)="Z")),"Wrong format",IF(MID("0123456789ABCDEFGHIJKLMNOPQRSTUVWXYZ",MOD(36-MOD(SUMPRODUCT(INT((FIND(MID(AZ221,{1,2,3,4,5,6,7,8,9,10,11,12,13,14},1),"0123456789ABCDEFGHIJKLMNOPQRSTUVWXYZ")-1)*{1,2,1,2,1,2,1,2,1,2,1,2,1,2}/36)+MOD((FIND(MID(AZ221,{1,2,3,4,5,6,7,8,9,10,11,12,13,14},1),"0123456789ABCDEFGHIJKLMNOPQRSTUVWXYZ")-1)*{1,2,1,2,1,2,1,2,1,2,1,2,1,2},36)),36),36)+1,1)=MID(AZ221,15,1),"OK","Typo? check digit wrong")),"Wrong format"))</f>
        <v/>
      </c>
      <c r="AW221" s="29">
        <f>IF(BA221="","",IF(AND(LEN(BA221)=10,SUMPRODUCT(--ISERROR(FIND(MID(BA221,{1,2,3,4,5,10},1),"ABCDEFGHIJKLMNOPQRSTUVWXYZ")))=0,SUMPRODUCT(--ISERROR(FIND(MID(BA221,{6,7,8,9},1),"0123456789")))=0),"OK","Wrong format"))</f>
        <v/>
      </c>
      <c r="AX221" s="29">
        <f>IF(TRIM(H221)="","",IF(AND(LEN(UPPER(TRIM(H221)))=10,SUMPRODUCT(--ISERROR(FIND(MID(UPPER(TRIM(H221)),{1,2,3,4,10},1),"ABCDEFGHIJKLMNOPQRSTUVWXYZ")))=0,SUMPRODUCT(--ISERROR(FIND(MID(UPPER(TRIM(H221)),{5,6,7,8,9},1),"0123456789")))=0),"OK","Wrong format"))</f>
        <v/>
      </c>
      <c r="AY221" s="30">
        <f>IF(NOT(COUNTA(A221:AE221)&gt;0),"",IF(BE221&lt;&gt;"","✖ "&amp;LEFT(BE221,LEN(BE221)-2),IF(BD221&gt;0,"✔ Ready — client + "&amp;BD221&amp;" service(s)","✔ Ready — client only")))</f>
        <v/>
      </c>
      <c r="AZ221" s="31">
        <f>UPPER(SUBSTITUTE(TRIM(F221)," ",""))</f>
        <v/>
      </c>
      <c r="BA221" s="31">
        <f>UPPER(SUBSTITUTE(TRIM(E221)," ",""))</f>
        <v/>
      </c>
      <c r="BB221" s="31">
        <f>IF(D221&lt;&gt;"",D221,IFERROR(VLOOKUP(MID(AS221,4,1),Lists!$E$2:$F$8,2,FALSE),""))</f>
        <v/>
      </c>
      <c r="BC221" s="31">
        <f>IFERROR(VLOOKUP(BB221,Lists!$A$2:$C$12,3,FALSE),"")</f>
        <v/>
      </c>
      <c r="BD221" s="31">
        <f>COUNTIF(W221:AC221,"Yes")</f>
        <v/>
      </c>
      <c r="BE221" s="31">
        <f>IF(TRIM(B221)="","Legal name missing; ","")&amp;IF(AND(AV221&lt;&gt;"",AV221&lt;&gt;"OK"),"GSTIN: "&amp;AV221&amp;"; ","")&amp;IF(AND(AW221&lt;&gt;"",AW221&lt;&gt;"OK"),"PAN wrong format; ","")&amp;IF(AND(BA221&lt;&gt;"",LEN(AZ221)=15,MID(AZ221,3,10)&lt;&gt;BA221),"PAN does not match GSTIN; ","")&amp;IF(AND(AX221&lt;&gt;"",AX221&lt;&gt;"OK"),"TAN wrong format; ","")&amp;IF(AS221="","PAN missing; ","")&amp;IF(BB221="","Entity type missing; ","")&amp;IF(AND(AZ221&lt;&gt;"",COUNTIF($AZ$6:$AZ$1005,AZ221)&gt;1),"GSTIN repeated in this sheet; ","")&amp;IF(AND(AS221&lt;&gt;"",COUNTIF($AS$6:$AS$1005,AS221)&gt;1),"PAN repeated in this sheet (same client? put extra GSTINs in Other GSTINs); ","")&amp;IF(AND(BD221&gt;0,V221=""),"Financial year missing; ","")&amp;IF(AND(BD221=0,V221&lt;&gt;""),"Financial year given but no service is Yes; ","")&amp;IF(AND(W221="Yes",AZ221=""),"GST needs a GSTIN; ","")&amp;IF(AND(W221="Yes",X221=""),"GST return frequency missing; ","")&amp;IF(AND(Y221="Yes",TRIM(H221)=""),"TDS needs a TAN; ","")&amp;IF(AND(AA221="Yes",BC221&lt;&gt;"",BC221&lt;&gt;"company",BC221&lt;&gt;"llp"),"ROC is only for a company / LLP; ","")&amp;IF(AND(AA221="Yes",OR(BC221="company",BC221="llp"),TRIM(I221)=""),"ROC needs the CIN / LLPIN; ","")&amp;IF((TRIM(AF221)="")&lt;&gt;(TRIM(AG221)=""),"GST login needs both user ID and password; ","")&amp;IF((TRIM(AH221)="")&lt;&gt;(TRIM(AI221)=""),"Income-tax login needs both user ID and password; ","")&amp;IF((TRIM(AJ221)="")&lt;&gt;(TRIM(AK221)=""),"Income-tax login needs both user ID and password; ","")&amp;IF((TRIM(AL221)="")&lt;&gt;(TRIM(AM221)=""),"TRACES login needs both user ID and password; ","")&amp;IF((TRIM(AN221)="")&lt;&gt;(TRIM(AO221)=""),"MCA login needs both user ID and password; ","")&amp;IF((TRIM(AP221)="")&lt;&gt;(TRIM(AQ221)=""),"E-way bill login needs both user ID and password; ","")</f>
        <v/>
      </c>
    </row>
    <row r="222">
      <c r="A222" s="32" t="n"/>
      <c r="B222" s="33" t="n"/>
      <c r="C222" s="33" t="n"/>
      <c r="D222" s="33" t="n"/>
      <c r="E222" s="32" t="n"/>
      <c r="F222" s="32" t="n"/>
      <c r="G222" s="32" t="n"/>
      <c r="H222" s="32" t="n"/>
      <c r="I222" s="32" t="n"/>
      <c r="J222" s="34" t="n"/>
      <c r="K222" s="33" t="n"/>
      <c r="L222" s="32" t="n"/>
      <c r="M222" s="33" t="n"/>
      <c r="N222" s="33" t="n"/>
      <c r="O222" s="33" t="n"/>
      <c r="P222" s="32" t="n"/>
      <c r="Q222" s="33" t="n"/>
      <c r="R222" s="33" t="n"/>
      <c r="S222" s="33" t="n"/>
      <c r="T222" s="33" t="n"/>
      <c r="U222" s="32" t="n"/>
      <c r="V222" s="33" t="n"/>
      <c r="W222" s="33" t="n"/>
      <c r="X222" s="33" t="n"/>
      <c r="Y222" s="33" t="n"/>
      <c r="Z222" s="33" t="n"/>
      <c r="AA222" s="33" t="n"/>
      <c r="AB222" s="33" t="n"/>
      <c r="AC222" s="33" t="n"/>
      <c r="AD222" s="33" t="n"/>
      <c r="AE222" s="33" t="n"/>
      <c r="AF222" s="32" t="n"/>
      <c r="AG222" s="32" t="n"/>
      <c r="AH222" s="32" t="n"/>
      <c r="AI222" s="32" t="n"/>
      <c r="AJ222" s="32" t="n"/>
      <c r="AK222" s="32" t="n"/>
      <c r="AL222" s="32" t="n"/>
      <c r="AM222" s="32" t="n"/>
      <c r="AN222" s="32" t="n"/>
      <c r="AO222" s="32" t="n"/>
      <c r="AP222" s="32" t="n"/>
      <c r="AQ222" s="32" t="n"/>
      <c r="AR222" s="29">
        <f>IF(NOT(COUNTA(A222:AE222)&gt;0),"",IF(A222="","New client","Update"))</f>
        <v/>
      </c>
      <c r="AS222" s="29">
        <f>IF(BA222&lt;&gt;"",BA222,IF(LEN(AZ222)=15,MID(AZ222,3,10),""))</f>
        <v/>
      </c>
      <c r="AT222" s="29">
        <f>IF(BB222="","",BB222&amp;IF(D222="","  (guessed from PAN)",""))</f>
        <v/>
      </c>
      <c r="AU222" s="29">
        <f>IF(AZ222="","",IFERROR(INDEX(Lists!$L$2:$L$38,MATCH(LEFT(AZ222,2),Lists!$K$2:$K$38,0)),"Unknown code"))</f>
        <v/>
      </c>
      <c r="AV222" s="29">
        <f>IF(AZ222="","",IFERROR(IF(NOT(AND(LEN(AZ222)=15,ISNUMBER(MATCH(LEFT(AZ222,2),Lists!$K$2:$K$38,0)),SUMPRODUCT(--ISERROR(FIND(MID(MID(AZ222,3,10),{1,2,3,4,5,10},1),"ABCDEFGHIJKLMNOPQRSTUVWXYZ")))=0,SUMPRODUCT(--ISERROR(FIND(MID(MID(AZ222,3,10),{6,7,8,9},1),"0123456789")))=0,ISNUMBER(FIND(MID(AZ222,13,1),"123456789ABCDEFGHIJKLMNOPQRSTUVWXYZ")),MID(AZ222,14,1)="Z")),"Wrong format",IF(MID("0123456789ABCDEFGHIJKLMNOPQRSTUVWXYZ",MOD(36-MOD(SUMPRODUCT(INT((FIND(MID(AZ222,{1,2,3,4,5,6,7,8,9,10,11,12,13,14},1),"0123456789ABCDEFGHIJKLMNOPQRSTUVWXYZ")-1)*{1,2,1,2,1,2,1,2,1,2,1,2,1,2}/36)+MOD((FIND(MID(AZ222,{1,2,3,4,5,6,7,8,9,10,11,12,13,14},1),"0123456789ABCDEFGHIJKLMNOPQRSTUVWXYZ")-1)*{1,2,1,2,1,2,1,2,1,2,1,2,1,2},36)),36),36)+1,1)=MID(AZ222,15,1),"OK","Typo? check digit wrong")),"Wrong format"))</f>
        <v/>
      </c>
      <c r="AW222" s="29">
        <f>IF(BA222="","",IF(AND(LEN(BA222)=10,SUMPRODUCT(--ISERROR(FIND(MID(BA222,{1,2,3,4,5,10},1),"ABCDEFGHIJKLMNOPQRSTUVWXYZ")))=0,SUMPRODUCT(--ISERROR(FIND(MID(BA222,{6,7,8,9},1),"0123456789")))=0),"OK","Wrong format"))</f>
        <v/>
      </c>
      <c r="AX222" s="29">
        <f>IF(TRIM(H222)="","",IF(AND(LEN(UPPER(TRIM(H222)))=10,SUMPRODUCT(--ISERROR(FIND(MID(UPPER(TRIM(H222)),{1,2,3,4,10},1),"ABCDEFGHIJKLMNOPQRSTUVWXYZ")))=0,SUMPRODUCT(--ISERROR(FIND(MID(UPPER(TRIM(H222)),{5,6,7,8,9},1),"0123456789")))=0),"OK","Wrong format"))</f>
        <v/>
      </c>
      <c r="AY222" s="30">
        <f>IF(NOT(COUNTA(A222:AE222)&gt;0),"",IF(BE222&lt;&gt;"","✖ "&amp;LEFT(BE222,LEN(BE222)-2),IF(BD222&gt;0,"✔ Ready — client + "&amp;BD222&amp;" service(s)","✔ Ready — client only")))</f>
        <v/>
      </c>
      <c r="AZ222" s="31">
        <f>UPPER(SUBSTITUTE(TRIM(F222)," ",""))</f>
        <v/>
      </c>
      <c r="BA222" s="31">
        <f>UPPER(SUBSTITUTE(TRIM(E222)," ",""))</f>
        <v/>
      </c>
      <c r="BB222" s="31">
        <f>IF(D222&lt;&gt;"",D222,IFERROR(VLOOKUP(MID(AS222,4,1),Lists!$E$2:$F$8,2,FALSE),""))</f>
        <v/>
      </c>
      <c r="BC222" s="31">
        <f>IFERROR(VLOOKUP(BB222,Lists!$A$2:$C$12,3,FALSE),"")</f>
        <v/>
      </c>
      <c r="BD222" s="31">
        <f>COUNTIF(W222:AC222,"Yes")</f>
        <v/>
      </c>
      <c r="BE222" s="31">
        <f>IF(TRIM(B222)="","Legal name missing; ","")&amp;IF(AND(AV222&lt;&gt;"",AV222&lt;&gt;"OK"),"GSTIN: "&amp;AV222&amp;"; ","")&amp;IF(AND(AW222&lt;&gt;"",AW222&lt;&gt;"OK"),"PAN wrong format; ","")&amp;IF(AND(BA222&lt;&gt;"",LEN(AZ222)=15,MID(AZ222,3,10)&lt;&gt;BA222),"PAN does not match GSTIN; ","")&amp;IF(AND(AX222&lt;&gt;"",AX222&lt;&gt;"OK"),"TAN wrong format; ","")&amp;IF(AS222="","PAN missing; ","")&amp;IF(BB222="","Entity type missing; ","")&amp;IF(AND(AZ222&lt;&gt;"",COUNTIF($AZ$6:$AZ$1005,AZ222)&gt;1),"GSTIN repeated in this sheet; ","")&amp;IF(AND(AS222&lt;&gt;"",COUNTIF($AS$6:$AS$1005,AS222)&gt;1),"PAN repeated in this sheet (same client? put extra GSTINs in Other GSTINs); ","")&amp;IF(AND(BD222&gt;0,V222=""),"Financial year missing; ","")&amp;IF(AND(BD222=0,V222&lt;&gt;""),"Financial year given but no service is Yes; ","")&amp;IF(AND(W222="Yes",AZ222=""),"GST needs a GSTIN; ","")&amp;IF(AND(W222="Yes",X222=""),"GST return frequency missing; ","")&amp;IF(AND(Y222="Yes",TRIM(H222)=""),"TDS needs a TAN; ","")&amp;IF(AND(AA222="Yes",BC222&lt;&gt;"",BC222&lt;&gt;"company",BC222&lt;&gt;"llp"),"ROC is only for a company / LLP; ","")&amp;IF(AND(AA222="Yes",OR(BC222="company",BC222="llp"),TRIM(I222)=""),"ROC needs the CIN / LLPIN; ","")&amp;IF((TRIM(AF222)="")&lt;&gt;(TRIM(AG222)=""),"GST login needs both user ID and password; ","")&amp;IF((TRIM(AH222)="")&lt;&gt;(TRIM(AI222)=""),"Income-tax login needs both user ID and password; ","")&amp;IF((TRIM(AJ222)="")&lt;&gt;(TRIM(AK222)=""),"Income-tax login needs both user ID and password; ","")&amp;IF((TRIM(AL222)="")&lt;&gt;(TRIM(AM222)=""),"TRACES login needs both user ID and password; ","")&amp;IF((TRIM(AN222)="")&lt;&gt;(TRIM(AO222)=""),"MCA login needs both user ID and password; ","")&amp;IF((TRIM(AP222)="")&lt;&gt;(TRIM(AQ222)=""),"E-way bill login needs both user ID and password; ","")</f>
        <v/>
      </c>
    </row>
    <row r="223">
      <c r="A223" s="32" t="n"/>
      <c r="B223" s="33" t="n"/>
      <c r="C223" s="33" t="n"/>
      <c r="D223" s="33" t="n"/>
      <c r="E223" s="32" t="n"/>
      <c r="F223" s="32" t="n"/>
      <c r="G223" s="32" t="n"/>
      <c r="H223" s="32" t="n"/>
      <c r="I223" s="32" t="n"/>
      <c r="J223" s="34" t="n"/>
      <c r="K223" s="33" t="n"/>
      <c r="L223" s="32" t="n"/>
      <c r="M223" s="33" t="n"/>
      <c r="N223" s="33" t="n"/>
      <c r="O223" s="33" t="n"/>
      <c r="P223" s="32" t="n"/>
      <c r="Q223" s="33" t="n"/>
      <c r="R223" s="33" t="n"/>
      <c r="S223" s="33" t="n"/>
      <c r="T223" s="33" t="n"/>
      <c r="U223" s="32" t="n"/>
      <c r="V223" s="33" t="n"/>
      <c r="W223" s="33" t="n"/>
      <c r="X223" s="33" t="n"/>
      <c r="Y223" s="33" t="n"/>
      <c r="Z223" s="33" t="n"/>
      <c r="AA223" s="33" t="n"/>
      <c r="AB223" s="33" t="n"/>
      <c r="AC223" s="33" t="n"/>
      <c r="AD223" s="33" t="n"/>
      <c r="AE223" s="33" t="n"/>
      <c r="AF223" s="32" t="n"/>
      <c r="AG223" s="32" t="n"/>
      <c r="AH223" s="32" t="n"/>
      <c r="AI223" s="32" t="n"/>
      <c r="AJ223" s="32" t="n"/>
      <c r="AK223" s="32" t="n"/>
      <c r="AL223" s="32" t="n"/>
      <c r="AM223" s="32" t="n"/>
      <c r="AN223" s="32" t="n"/>
      <c r="AO223" s="32" t="n"/>
      <c r="AP223" s="32" t="n"/>
      <c r="AQ223" s="32" t="n"/>
      <c r="AR223" s="29">
        <f>IF(NOT(COUNTA(A223:AE223)&gt;0),"",IF(A223="","New client","Update"))</f>
        <v/>
      </c>
      <c r="AS223" s="29">
        <f>IF(BA223&lt;&gt;"",BA223,IF(LEN(AZ223)=15,MID(AZ223,3,10),""))</f>
        <v/>
      </c>
      <c r="AT223" s="29">
        <f>IF(BB223="","",BB223&amp;IF(D223="","  (guessed from PAN)",""))</f>
        <v/>
      </c>
      <c r="AU223" s="29">
        <f>IF(AZ223="","",IFERROR(INDEX(Lists!$L$2:$L$38,MATCH(LEFT(AZ223,2),Lists!$K$2:$K$38,0)),"Unknown code"))</f>
        <v/>
      </c>
      <c r="AV223" s="29">
        <f>IF(AZ223="","",IFERROR(IF(NOT(AND(LEN(AZ223)=15,ISNUMBER(MATCH(LEFT(AZ223,2),Lists!$K$2:$K$38,0)),SUMPRODUCT(--ISERROR(FIND(MID(MID(AZ223,3,10),{1,2,3,4,5,10},1),"ABCDEFGHIJKLMNOPQRSTUVWXYZ")))=0,SUMPRODUCT(--ISERROR(FIND(MID(MID(AZ223,3,10),{6,7,8,9},1),"0123456789")))=0,ISNUMBER(FIND(MID(AZ223,13,1),"123456789ABCDEFGHIJKLMNOPQRSTUVWXYZ")),MID(AZ223,14,1)="Z")),"Wrong format",IF(MID("0123456789ABCDEFGHIJKLMNOPQRSTUVWXYZ",MOD(36-MOD(SUMPRODUCT(INT((FIND(MID(AZ223,{1,2,3,4,5,6,7,8,9,10,11,12,13,14},1),"0123456789ABCDEFGHIJKLMNOPQRSTUVWXYZ")-1)*{1,2,1,2,1,2,1,2,1,2,1,2,1,2}/36)+MOD((FIND(MID(AZ223,{1,2,3,4,5,6,7,8,9,10,11,12,13,14},1),"0123456789ABCDEFGHIJKLMNOPQRSTUVWXYZ")-1)*{1,2,1,2,1,2,1,2,1,2,1,2,1,2},36)),36),36)+1,1)=MID(AZ223,15,1),"OK","Typo? check digit wrong")),"Wrong format"))</f>
        <v/>
      </c>
      <c r="AW223" s="29">
        <f>IF(BA223="","",IF(AND(LEN(BA223)=10,SUMPRODUCT(--ISERROR(FIND(MID(BA223,{1,2,3,4,5,10},1),"ABCDEFGHIJKLMNOPQRSTUVWXYZ")))=0,SUMPRODUCT(--ISERROR(FIND(MID(BA223,{6,7,8,9},1),"0123456789")))=0),"OK","Wrong format"))</f>
        <v/>
      </c>
      <c r="AX223" s="29">
        <f>IF(TRIM(H223)="","",IF(AND(LEN(UPPER(TRIM(H223)))=10,SUMPRODUCT(--ISERROR(FIND(MID(UPPER(TRIM(H223)),{1,2,3,4,10},1),"ABCDEFGHIJKLMNOPQRSTUVWXYZ")))=0,SUMPRODUCT(--ISERROR(FIND(MID(UPPER(TRIM(H223)),{5,6,7,8,9},1),"0123456789")))=0),"OK","Wrong format"))</f>
        <v/>
      </c>
      <c r="AY223" s="30">
        <f>IF(NOT(COUNTA(A223:AE223)&gt;0),"",IF(BE223&lt;&gt;"","✖ "&amp;LEFT(BE223,LEN(BE223)-2),IF(BD223&gt;0,"✔ Ready — client + "&amp;BD223&amp;" service(s)","✔ Ready — client only")))</f>
        <v/>
      </c>
      <c r="AZ223" s="31">
        <f>UPPER(SUBSTITUTE(TRIM(F223)," ",""))</f>
        <v/>
      </c>
      <c r="BA223" s="31">
        <f>UPPER(SUBSTITUTE(TRIM(E223)," ",""))</f>
        <v/>
      </c>
      <c r="BB223" s="31">
        <f>IF(D223&lt;&gt;"",D223,IFERROR(VLOOKUP(MID(AS223,4,1),Lists!$E$2:$F$8,2,FALSE),""))</f>
        <v/>
      </c>
      <c r="BC223" s="31">
        <f>IFERROR(VLOOKUP(BB223,Lists!$A$2:$C$12,3,FALSE),"")</f>
        <v/>
      </c>
      <c r="BD223" s="31">
        <f>COUNTIF(W223:AC223,"Yes")</f>
        <v/>
      </c>
      <c r="BE223" s="31">
        <f>IF(TRIM(B223)="","Legal name missing; ","")&amp;IF(AND(AV223&lt;&gt;"",AV223&lt;&gt;"OK"),"GSTIN: "&amp;AV223&amp;"; ","")&amp;IF(AND(AW223&lt;&gt;"",AW223&lt;&gt;"OK"),"PAN wrong format; ","")&amp;IF(AND(BA223&lt;&gt;"",LEN(AZ223)=15,MID(AZ223,3,10)&lt;&gt;BA223),"PAN does not match GSTIN; ","")&amp;IF(AND(AX223&lt;&gt;"",AX223&lt;&gt;"OK"),"TAN wrong format; ","")&amp;IF(AS223="","PAN missing; ","")&amp;IF(BB223="","Entity type missing; ","")&amp;IF(AND(AZ223&lt;&gt;"",COUNTIF($AZ$6:$AZ$1005,AZ223)&gt;1),"GSTIN repeated in this sheet; ","")&amp;IF(AND(AS223&lt;&gt;"",COUNTIF($AS$6:$AS$1005,AS223)&gt;1),"PAN repeated in this sheet (same client? put extra GSTINs in Other GSTINs); ","")&amp;IF(AND(BD223&gt;0,V223=""),"Financial year missing; ","")&amp;IF(AND(BD223=0,V223&lt;&gt;""),"Financial year given but no service is Yes; ","")&amp;IF(AND(W223="Yes",AZ223=""),"GST needs a GSTIN; ","")&amp;IF(AND(W223="Yes",X223=""),"GST return frequency missing; ","")&amp;IF(AND(Y223="Yes",TRIM(H223)=""),"TDS needs a TAN; ","")&amp;IF(AND(AA223="Yes",BC223&lt;&gt;"",BC223&lt;&gt;"company",BC223&lt;&gt;"llp"),"ROC is only for a company / LLP; ","")&amp;IF(AND(AA223="Yes",OR(BC223="company",BC223="llp"),TRIM(I223)=""),"ROC needs the CIN / LLPIN; ","")&amp;IF((TRIM(AF223)="")&lt;&gt;(TRIM(AG223)=""),"GST login needs both user ID and password; ","")&amp;IF((TRIM(AH223)="")&lt;&gt;(TRIM(AI223)=""),"Income-tax login needs both user ID and password; ","")&amp;IF((TRIM(AJ223)="")&lt;&gt;(TRIM(AK223)=""),"Income-tax login needs both user ID and password; ","")&amp;IF((TRIM(AL223)="")&lt;&gt;(TRIM(AM223)=""),"TRACES login needs both user ID and password; ","")&amp;IF((TRIM(AN223)="")&lt;&gt;(TRIM(AO223)=""),"MCA login needs both user ID and password; ","")&amp;IF((TRIM(AP223)="")&lt;&gt;(TRIM(AQ223)=""),"E-way bill login needs both user ID and password; ","")</f>
        <v/>
      </c>
    </row>
    <row r="224">
      <c r="A224" s="32" t="n"/>
      <c r="B224" s="33" t="n"/>
      <c r="C224" s="33" t="n"/>
      <c r="D224" s="33" t="n"/>
      <c r="E224" s="32" t="n"/>
      <c r="F224" s="32" t="n"/>
      <c r="G224" s="32" t="n"/>
      <c r="H224" s="32" t="n"/>
      <c r="I224" s="32" t="n"/>
      <c r="J224" s="34" t="n"/>
      <c r="K224" s="33" t="n"/>
      <c r="L224" s="32" t="n"/>
      <c r="M224" s="33" t="n"/>
      <c r="N224" s="33" t="n"/>
      <c r="O224" s="33" t="n"/>
      <c r="P224" s="32" t="n"/>
      <c r="Q224" s="33" t="n"/>
      <c r="R224" s="33" t="n"/>
      <c r="S224" s="33" t="n"/>
      <c r="T224" s="33" t="n"/>
      <c r="U224" s="32" t="n"/>
      <c r="V224" s="33" t="n"/>
      <c r="W224" s="33" t="n"/>
      <c r="X224" s="33" t="n"/>
      <c r="Y224" s="33" t="n"/>
      <c r="Z224" s="33" t="n"/>
      <c r="AA224" s="33" t="n"/>
      <c r="AB224" s="33" t="n"/>
      <c r="AC224" s="33" t="n"/>
      <c r="AD224" s="33" t="n"/>
      <c r="AE224" s="33" t="n"/>
      <c r="AF224" s="32" t="n"/>
      <c r="AG224" s="32" t="n"/>
      <c r="AH224" s="32" t="n"/>
      <c r="AI224" s="32" t="n"/>
      <c r="AJ224" s="32" t="n"/>
      <c r="AK224" s="32" t="n"/>
      <c r="AL224" s="32" t="n"/>
      <c r="AM224" s="32" t="n"/>
      <c r="AN224" s="32" t="n"/>
      <c r="AO224" s="32" t="n"/>
      <c r="AP224" s="32" t="n"/>
      <c r="AQ224" s="32" t="n"/>
      <c r="AR224" s="29">
        <f>IF(NOT(COUNTA(A224:AE224)&gt;0),"",IF(A224="","New client","Update"))</f>
        <v/>
      </c>
      <c r="AS224" s="29">
        <f>IF(BA224&lt;&gt;"",BA224,IF(LEN(AZ224)=15,MID(AZ224,3,10),""))</f>
        <v/>
      </c>
      <c r="AT224" s="29">
        <f>IF(BB224="","",BB224&amp;IF(D224="","  (guessed from PAN)",""))</f>
        <v/>
      </c>
      <c r="AU224" s="29">
        <f>IF(AZ224="","",IFERROR(INDEX(Lists!$L$2:$L$38,MATCH(LEFT(AZ224,2),Lists!$K$2:$K$38,0)),"Unknown code"))</f>
        <v/>
      </c>
      <c r="AV224" s="29">
        <f>IF(AZ224="","",IFERROR(IF(NOT(AND(LEN(AZ224)=15,ISNUMBER(MATCH(LEFT(AZ224,2),Lists!$K$2:$K$38,0)),SUMPRODUCT(--ISERROR(FIND(MID(MID(AZ224,3,10),{1,2,3,4,5,10},1),"ABCDEFGHIJKLMNOPQRSTUVWXYZ")))=0,SUMPRODUCT(--ISERROR(FIND(MID(MID(AZ224,3,10),{6,7,8,9},1),"0123456789")))=0,ISNUMBER(FIND(MID(AZ224,13,1),"123456789ABCDEFGHIJKLMNOPQRSTUVWXYZ")),MID(AZ224,14,1)="Z")),"Wrong format",IF(MID("0123456789ABCDEFGHIJKLMNOPQRSTUVWXYZ",MOD(36-MOD(SUMPRODUCT(INT((FIND(MID(AZ224,{1,2,3,4,5,6,7,8,9,10,11,12,13,14},1),"0123456789ABCDEFGHIJKLMNOPQRSTUVWXYZ")-1)*{1,2,1,2,1,2,1,2,1,2,1,2,1,2}/36)+MOD((FIND(MID(AZ224,{1,2,3,4,5,6,7,8,9,10,11,12,13,14},1),"0123456789ABCDEFGHIJKLMNOPQRSTUVWXYZ")-1)*{1,2,1,2,1,2,1,2,1,2,1,2,1,2},36)),36),36)+1,1)=MID(AZ224,15,1),"OK","Typo? check digit wrong")),"Wrong format"))</f>
        <v/>
      </c>
      <c r="AW224" s="29">
        <f>IF(BA224="","",IF(AND(LEN(BA224)=10,SUMPRODUCT(--ISERROR(FIND(MID(BA224,{1,2,3,4,5,10},1),"ABCDEFGHIJKLMNOPQRSTUVWXYZ")))=0,SUMPRODUCT(--ISERROR(FIND(MID(BA224,{6,7,8,9},1),"0123456789")))=0),"OK","Wrong format"))</f>
        <v/>
      </c>
      <c r="AX224" s="29">
        <f>IF(TRIM(H224)="","",IF(AND(LEN(UPPER(TRIM(H224)))=10,SUMPRODUCT(--ISERROR(FIND(MID(UPPER(TRIM(H224)),{1,2,3,4,10},1),"ABCDEFGHIJKLMNOPQRSTUVWXYZ")))=0,SUMPRODUCT(--ISERROR(FIND(MID(UPPER(TRIM(H224)),{5,6,7,8,9},1),"0123456789")))=0),"OK","Wrong format"))</f>
        <v/>
      </c>
      <c r="AY224" s="30">
        <f>IF(NOT(COUNTA(A224:AE224)&gt;0),"",IF(BE224&lt;&gt;"","✖ "&amp;LEFT(BE224,LEN(BE224)-2),IF(BD224&gt;0,"✔ Ready — client + "&amp;BD224&amp;" service(s)","✔ Ready — client only")))</f>
        <v/>
      </c>
      <c r="AZ224" s="31">
        <f>UPPER(SUBSTITUTE(TRIM(F224)," ",""))</f>
        <v/>
      </c>
      <c r="BA224" s="31">
        <f>UPPER(SUBSTITUTE(TRIM(E224)," ",""))</f>
        <v/>
      </c>
      <c r="BB224" s="31">
        <f>IF(D224&lt;&gt;"",D224,IFERROR(VLOOKUP(MID(AS224,4,1),Lists!$E$2:$F$8,2,FALSE),""))</f>
        <v/>
      </c>
      <c r="BC224" s="31">
        <f>IFERROR(VLOOKUP(BB224,Lists!$A$2:$C$12,3,FALSE),"")</f>
        <v/>
      </c>
      <c r="BD224" s="31">
        <f>COUNTIF(W224:AC224,"Yes")</f>
        <v/>
      </c>
      <c r="BE224" s="31">
        <f>IF(TRIM(B224)="","Legal name missing; ","")&amp;IF(AND(AV224&lt;&gt;"",AV224&lt;&gt;"OK"),"GSTIN: "&amp;AV224&amp;"; ","")&amp;IF(AND(AW224&lt;&gt;"",AW224&lt;&gt;"OK"),"PAN wrong format; ","")&amp;IF(AND(BA224&lt;&gt;"",LEN(AZ224)=15,MID(AZ224,3,10)&lt;&gt;BA224),"PAN does not match GSTIN; ","")&amp;IF(AND(AX224&lt;&gt;"",AX224&lt;&gt;"OK"),"TAN wrong format; ","")&amp;IF(AS224="","PAN missing; ","")&amp;IF(BB224="","Entity type missing; ","")&amp;IF(AND(AZ224&lt;&gt;"",COUNTIF($AZ$6:$AZ$1005,AZ224)&gt;1),"GSTIN repeated in this sheet; ","")&amp;IF(AND(AS224&lt;&gt;"",COUNTIF($AS$6:$AS$1005,AS224)&gt;1),"PAN repeated in this sheet (same client? put extra GSTINs in Other GSTINs); ","")&amp;IF(AND(BD224&gt;0,V224=""),"Financial year missing; ","")&amp;IF(AND(BD224=0,V224&lt;&gt;""),"Financial year given but no service is Yes; ","")&amp;IF(AND(W224="Yes",AZ224=""),"GST needs a GSTIN; ","")&amp;IF(AND(W224="Yes",X224=""),"GST return frequency missing; ","")&amp;IF(AND(Y224="Yes",TRIM(H224)=""),"TDS needs a TAN; ","")&amp;IF(AND(AA224="Yes",BC224&lt;&gt;"",BC224&lt;&gt;"company",BC224&lt;&gt;"llp"),"ROC is only for a company / LLP; ","")&amp;IF(AND(AA224="Yes",OR(BC224="company",BC224="llp"),TRIM(I224)=""),"ROC needs the CIN / LLPIN; ","")&amp;IF((TRIM(AF224)="")&lt;&gt;(TRIM(AG224)=""),"GST login needs both user ID and password; ","")&amp;IF((TRIM(AH224)="")&lt;&gt;(TRIM(AI224)=""),"Income-tax login needs both user ID and password; ","")&amp;IF((TRIM(AJ224)="")&lt;&gt;(TRIM(AK224)=""),"Income-tax login needs both user ID and password; ","")&amp;IF((TRIM(AL224)="")&lt;&gt;(TRIM(AM224)=""),"TRACES login needs both user ID and password; ","")&amp;IF((TRIM(AN224)="")&lt;&gt;(TRIM(AO224)=""),"MCA login needs both user ID and password; ","")&amp;IF((TRIM(AP224)="")&lt;&gt;(TRIM(AQ224)=""),"E-way bill login needs both user ID and password; ","")</f>
        <v/>
      </c>
    </row>
    <row r="225">
      <c r="A225" s="32" t="n"/>
      <c r="B225" s="33" t="n"/>
      <c r="C225" s="33" t="n"/>
      <c r="D225" s="33" t="n"/>
      <c r="E225" s="32" t="n"/>
      <c r="F225" s="32" t="n"/>
      <c r="G225" s="32" t="n"/>
      <c r="H225" s="32" t="n"/>
      <c r="I225" s="32" t="n"/>
      <c r="J225" s="34" t="n"/>
      <c r="K225" s="33" t="n"/>
      <c r="L225" s="32" t="n"/>
      <c r="M225" s="33" t="n"/>
      <c r="N225" s="33" t="n"/>
      <c r="O225" s="33" t="n"/>
      <c r="P225" s="32" t="n"/>
      <c r="Q225" s="33" t="n"/>
      <c r="R225" s="33" t="n"/>
      <c r="S225" s="33" t="n"/>
      <c r="T225" s="33" t="n"/>
      <c r="U225" s="32" t="n"/>
      <c r="V225" s="33" t="n"/>
      <c r="W225" s="33" t="n"/>
      <c r="X225" s="33" t="n"/>
      <c r="Y225" s="33" t="n"/>
      <c r="Z225" s="33" t="n"/>
      <c r="AA225" s="33" t="n"/>
      <c r="AB225" s="33" t="n"/>
      <c r="AC225" s="33" t="n"/>
      <c r="AD225" s="33" t="n"/>
      <c r="AE225" s="33" t="n"/>
      <c r="AF225" s="32" t="n"/>
      <c r="AG225" s="32" t="n"/>
      <c r="AH225" s="32" t="n"/>
      <c r="AI225" s="32" t="n"/>
      <c r="AJ225" s="32" t="n"/>
      <c r="AK225" s="32" t="n"/>
      <c r="AL225" s="32" t="n"/>
      <c r="AM225" s="32" t="n"/>
      <c r="AN225" s="32" t="n"/>
      <c r="AO225" s="32" t="n"/>
      <c r="AP225" s="32" t="n"/>
      <c r="AQ225" s="32" t="n"/>
      <c r="AR225" s="29">
        <f>IF(NOT(COUNTA(A225:AE225)&gt;0),"",IF(A225="","New client","Update"))</f>
        <v/>
      </c>
      <c r="AS225" s="29">
        <f>IF(BA225&lt;&gt;"",BA225,IF(LEN(AZ225)=15,MID(AZ225,3,10),""))</f>
        <v/>
      </c>
      <c r="AT225" s="29">
        <f>IF(BB225="","",BB225&amp;IF(D225="","  (guessed from PAN)",""))</f>
        <v/>
      </c>
      <c r="AU225" s="29">
        <f>IF(AZ225="","",IFERROR(INDEX(Lists!$L$2:$L$38,MATCH(LEFT(AZ225,2),Lists!$K$2:$K$38,0)),"Unknown code"))</f>
        <v/>
      </c>
      <c r="AV225" s="29">
        <f>IF(AZ225="","",IFERROR(IF(NOT(AND(LEN(AZ225)=15,ISNUMBER(MATCH(LEFT(AZ225,2),Lists!$K$2:$K$38,0)),SUMPRODUCT(--ISERROR(FIND(MID(MID(AZ225,3,10),{1,2,3,4,5,10},1),"ABCDEFGHIJKLMNOPQRSTUVWXYZ")))=0,SUMPRODUCT(--ISERROR(FIND(MID(MID(AZ225,3,10),{6,7,8,9},1),"0123456789")))=0,ISNUMBER(FIND(MID(AZ225,13,1),"123456789ABCDEFGHIJKLMNOPQRSTUVWXYZ")),MID(AZ225,14,1)="Z")),"Wrong format",IF(MID("0123456789ABCDEFGHIJKLMNOPQRSTUVWXYZ",MOD(36-MOD(SUMPRODUCT(INT((FIND(MID(AZ225,{1,2,3,4,5,6,7,8,9,10,11,12,13,14},1),"0123456789ABCDEFGHIJKLMNOPQRSTUVWXYZ")-1)*{1,2,1,2,1,2,1,2,1,2,1,2,1,2}/36)+MOD((FIND(MID(AZ225,{1,2,3,4,5,6,7,8,9,10,11,12,13,14},1),"0123456789ABCDEFGHIJKLMNOPQRSTUVWXYZ")-1)*{1,2,1,2,1,2,1,2,1,2,1,2,1,2},36)),36),36)+1,1)=MID(AZ225,15,1),"OK","Typo? check digit wrong")),"Wrong format"))</f>
        <v/>
      </c>
      <c r="AW225" s="29">
        <f>IF(BA225="","",IF(AND(LEN(BA225)=10,SUMPRODUCT(--ISERROR(FIND(MID(BA225,{1,2,3,4,5,10},1),"ABCDEFGHIJKLMNOPQRSTUVWXYZ")))=0,SUMPRODUCT(--ISERROR(FIND(MID(BA225,{6,7,8,9},1),"0123456789")))=0),"OK","Wrong format"))</f>
        <v/>
      </c>
      <c r="AX225" s="29">
        <f>IF(TRIM(H225)="","",IF(AND(LEN(UPPER(TRIM(H225)))=10,SUMPRODUCT(--ISERROR(FIND(MID(UPPER(TRIM(H225)),{1,2,3,4,10},1),"ABCDEFGHIJKLMNOPQRSTUVWXYZ")))=0,SUMPRODUCT(--ISERROR(FIND(MID(UPPER(TRIM(H225)),{5,6,7,8,9},1),"0123456789")))=0),"OK","Wrong format"))</f>
        <v/>
      </c>
      <c r="AY225" s="30">
        <f>IF(NOT(COUNTA(A225:AE225)&gt;0),"",IF(BE225&lt;&gt;"","✖ "&amp;LEFT(BE225,LEN(BE225)-2),IF(BD225&gt;0,"✔ Ready — client + "&amp;BD225&amp;" service(s)","✔ Ready — client only")))</f>
        <v/>
      </c>
      <c r="AZ225" s="31">
        <f>UPPER(SUBSTITUTE(TRIM(F225)," ",""))</f>
        <v/>
      </c>
      <c r="BA225" s="31">
        <f>UPPER(SUBSTITUTE(TRIM(E225)," ",""))</f>
        <v/>
      </c>
      <c r="BB225" s="31">
        <f>IF(D225&lt;&gt;"",D225,IFERROR(VLOOKUP(MID(AS225,4,1),Lists!$E$2:$F$8,2,FALSE),""))</f>
        <v/>
      </c>
      <c r="BC225" s="31">
        <f>IFERROR(VLOOKUP(BB225,Lists!$A$2:$C$12,3,FALSE),"")</f>
        <v/>
      </c>
      <c r="BD225" s="31">
        <f>COUNTIF(W225:AC225,"Yes")</f>
        <v/>
      </c>
      <c r="BE225" s="31">
        <f>IF(TRIM(B225)="","Legal name missing; ","")&amp;IF(AND(AV225&lt;&gt;"",AV225&lt;&gt;"OK"),"GSTIN: "&amp;AV225&amp;"; ","")&amp;IF(AND(AW225&lt;&gt;"",AW225&lt;&gt;"OK"),"PAN wrong format; ","")&amp;IF(AND(BA225&lt;&gt;"",LEN(AZ225)=15,MID(AZ225,3,10)&lt;&gt;BA225),"PAN does not match GSTIN; ","")&amp;IF(AND(AX225&lt;&gt;"",AX225&lt;&gt;"OK"),"TAN wrong format; ","")&amp;IF(AS225="","PAN missing; ","")&amp;IF(BB225="","Entity type missing; ","")&amp;IF(AND(AZ225&lt;&gt;"",COUNTIF($AZ$6:$AZ$1005,AZ225)&gt;1),"GSTIN repeated in this sheet; ","")&amp;IF(AND(AS225&lt;&gt;"",COUNTIF($AS$6:$AS$1005,AS225)&gt;1),"PAN repeated in this sheet (same client? put extra GSTINs in Other GSTINs); ","")&amp;IF(AND(BD225&gt;0,V225=""),"Financial year missing; ","")&amp;IF(AND(BD225=0,V225&lt;&gt;""),"Financial year given but no service is Yes; ","")&amp;IF(AND(W225="Yes",AZ225=""),"GST needs a GSTIN; ","")&amp;IF(AND(W225="Yes",X225=""),"GST return frequency missing; ","")&amp;IF(AND(Y225="Yes",TRIM(H225)=""),"TDS needs a TAN; ","")&amp;IF(AND(AA225="Yes",BC225&lt;&gt;"",BC225&lt;&gt;"company",BC225&lt;&gt;"llp"),"ROC is only for a company / LLP; ","")&amp;IF(AND(AA225="Yes",OR(BC225="company",BC225="llp"),TRIM(I225)=""),"ROC needs the CIN / LLPIN; ","")&amp;IF((TRIM(AF225)="")&lt;&gt;(TRIM(AG225)=""),"GST login needs both user ID and password; ","")&amp;IF((TRIM(AH225)="")&lt;&gt;(TRIM(AI225)=""),"Income-tax login needs both user ID and password; ","")&amp;IF((TRIM(AJ225)="")&lt;&gt;(TRIM(AK225)=""),"Income-tax login needs both user ID and password; ","")&amp;IF((TRIM(AL225)="")&lt;&gt;(TRIM(AM225)=""),"TRACES login needs both user ID and password; ","")&amp;IF((TRIM(AN225)="")&lt;&gt;(TRIM(AO225)=""),"MCA login needs both user ID and password; ","")&amp;IF((TRIM(AP225)="")&lt;&gt;(TRIM(AQ225)=""),"E-way bill login needs both user ID and password; ","")</f>
        <v/>
      </c>
    </row>
    <row r="226">
      <c r="A226" s="32" t="n"/>
      <c r="B226" s="33" t="n"/>
      <c r="C226" s="33" t="n"/>
      <c r="D226" s="33" t="n"/>
      <c r="E226" s="32" t="n"/>
      <c r="F226" s="32" t="n"/>
      <c r="G226" s="32" t="n"/>
      <c r="H226" s="32" t="n"/>
      <c r="I226" s="32" t="n"/>
      <c r="J226" s="34" t="n"/>
      <c r="K226" s="33" t="n"/>
      <c r="L226" s="32" t="n"/>
      <c r="M226" s="33" t="n"/>
      <c r="N226" s="33" t="n"/>
      <c r="O226" s="33" t="n"/>
      <c r="P226" s="32" t="n"/>
      <c r="Q226" s="33" t="n"/>
      <c r="R226" s="33" t="n"/>
      <c r="S226" s="33" t="n"/>
      <c r="T226" s="33" t="n"/>
      <c r="U226" s="32" t="n"/>
      <c r="V226" s="33" t="n"/>
      <c r="W226" s="33" t="n"/>
      <c r="X226" s="33" t="n"/>
      <c r="Y226" s="33" t="n"/>
      <c r="Z226" s="33" t="n"/>
      <c r="AA226" s="33" t="n"/>
      <c r="AB226" s="33" t="n"/>
      <c r="AC226" s="33" t="n"/>
      <c r="AD226" s="33" t="n"/>
      <c r="AE226" s="33" t="n"/>
      <c r="AF226" s="32" t="n"/>
      <c r="AG226" s="32" t="n"/>
      <c r="AH226" s="32" t="n"/>
      <c r="AI226" s="32" t="n"/>
      <c r="AJ226" s="32" t="n"/>
      <c r="AK226" s="32" t="n"/>
      <c r="AL226" s="32" t="n"/>
      <c r="AM226" s="32" t="n"/>
      <c r="AN226" s="32" t="n"/>
      <c r="AO226" s="32" t="n"/>
      <c r="AP226" s="32" t="n"/>
      <c r="AQ226" s="32" t="n"/>
      <c r="AR226" s="29">
        <f>IF(NOT(COUNTA(A226:AE226)&gt;0),"",IF(A226="","New client","Update"))</f>
        <v/>
      </c>
      <c r="AS226" s="29">
        <f>IF(BA226&lt;&gt;"",BA226,IF(LEN(AZ226)=15,MID(AZ226,3,10),""))</f>
        <v/>
      </c>
      <c r="AT226" s="29">
        <f>IF(BB226="","",BB226&amp;IF(D226="","  (guessed from PAN)",""))</f>
        <v/>
      </c>
      <c r="AU226" s="29">
        <f>IF(AZ226="","",IFERROR(INDEX(Lists!$L$2:$L$38,MATCH(LEFT(AZ226,2),Lists!$K$2:$K$38,0)),"Unknown code"))</f>
        <v/>
      </c>
      <c r="AV226" s="29">
        <f>IF(AZ226="","",IFERROR(IF(NOT(AND(LEN(AZ226)=15,ISNUMBER(MATCH(LEFT(AZ226,2),Lists!$K$2:$K$38,0)),SUMPRODUCT(--ISERROR(FIND(MID(MID(AZ226,3,10),{1,2,3,4,5,10},1),"ABCDEFGHIJKLMNOPQRSTUVWXYZ")))=0,SUMPRODUCT(--ISERROR(FIND(MID(MID(AZ226,3,10),{6,7,8,9},1),"0123456789")))=0,ISNUMBER(FIND(MID(AZ226,13,1),"123456789ABCDEFGHIJKLMNOPQRSTUVWXYZ")),MID(AZ226,14,1)="Z")),"Wrong format",IF(MID("0123456789ABCDEFGHIJKLMNOPQRSTUVWXYZ",MOD(36-MOD(SUMPRODUCT(INT((FIND(MID(AZ226,{1,2,3,4,5,6,7,8,9,10,11,12,13,14},1),"0123456789ABCDEFGHIJKLMNOPQRSTUVWXYZ")-1)*{1,2,1,2,1,2,1,2,1,2,1,2,1,2}/36)+MOD((FIND(MID(AZ226,{1,2,3,4,5,6,7,8,9,10,11,12,13,14},1),"0123456789ABCDEFGHIJKLMNOPQRSTUVWXYZ")-1)*{1,2,1,2,1,2,1,2,1,2,1,2,1,2},36)),36),36)+1,1)=MID(AZ226,15,1),"OK","Typo? check digit wrong")),"Wrong format"))</f>
        <v/>
      </c>
      <c r="AW226" s="29">
        <f>IF(BA226="","",IF(AND(LEN(BA226)=10,SUMPRODUCT(--ISERROR(FIND(MID(BA226,{1,2,3,4,5,10},1),"ABCDEFGHIJKLMNOPQRSTUVWXYZ")))=0,SUMPRODUCT(--ISERROR(FIND(MID(BA226,{6,7,8,9},1),"0123456789")))=0),"OK","Wrong format"))</f>
        <v/>
      </c>
      <c r="AX226" s="29">
        <f>IF(TRIM(H226)="","",IF(AND(LEN(UPPER(TRIM(H226)))=10,SUMPRODUCT(--ISERROR(FIND(MID(UPPER(TRIM(H226)),{1,2,3,4,10},1),"ABCDEFGHIJKLMNOPQRSTUVWXYZ")))=0,SUMPRODUCT(--ISERROR(FIND(MID(UPPER(TRIM(H226)),{5,6,7,8,9},1),"0123456789")))=0),"OK","Wrong format"))</f>
        <v/>
      </c>
      <c r="AY226" s="30">
        <f>IF(NOT(COUNTA(A226:AE226)&gt;0),"",IF(BE226&lt;&gt;"","✖ "&amp;LEFT(BE226,LEN(BE226)-2),IF(BD226&gt;0,"✔ Ready — client + "&amp;BD226&amp;" service(s)","✔ Ready — client only")))</f>
        <v/>
      </c>
      <c r="AZ226" s="31">
        <f>UPPER(SUBSTITUTE(TRIM(F226)," ",""))</f>
        <v/>
      </c>
      <c r="BA226" s="31">
        <f>UPPER(SUBSTITUTE(TRIM(E226)," ",""))</f>
        <v/>
      </c>
      <c r="BB226" s="31">
        <f>IF(D226&lt;&gt;"",D226,IFERROR(VLOOKUP(MID(AS226,4,1),Lists!$E$2:$F$8,2,FALSE),""))</f>
        <v/>
      </c>
      <c r="BC226" s="31">
        <f>IFERROR(VLOOKUP(BB226,Lists!$A$2:$C$12,3,FALSE),"")</f>
        <v/>
      </c>
      <c r="BD226" s="31">
        <f>COUNTIF(W226:AC226,"Yes")</f>
        <v/>
      </c>
      <c r="BE226" s="31">
        <f>IF(TRIM(B226)="","Legal name missing; ","")&amp;IF(AND(AV226&lt;&gt;"",AV226&lt;&gt;"OK"),"GSTIN: "&amp;AV226&amp;"; ","")&amp;IF(AND(AW226&lt;&gt;"",AW226&lt;&gt;"OK"),"PAN wrong format; ","")&amp;IF(AND(BA226&lt;&gt;"",LEN(AZ226)=15,MID(AZ226,3,10)&lt;&gt;BA226),"PAN does not match GSTIN; ","")&amp;IF(AND(AX226&lt;&gt;"",AX226&lt;&gt;"OK"),"TAN wrong format; ","")&amp;IF(AS226="","PAN missing; ","")&amp;IF(BB226="","Entity type missing; ","")&amp;IF(AND(AZ226&lt;&gt;"",COUNTIF($AZ$6:$AZ$1005,AZ226)&gt;1),"GSTIN repeated in this sheet; ","")&amp;IF(AND(AS226&lt;&gt;"",COUNTIF($AS$6:$AS$1005,AS226)&gt;1),"PAN repeated in this sheet (same client? put extra GSTINs in Other GSTINs); ","")&amp;IF(AND(BD226&gt;0,V226=""),"Financial year missing; ","")&amp;IF(AND(BD226=0,V226&lt;&gt;""),"Financial year given but no service is Yes; ","")&amp;IF(AND(W226="Yes",AZ226=""),"GST needs a GSTIN; ","")&amp;IF(AND(W226="Yes",X226=""),"GST return frequency missing; ","")&amp;IF(AND(Y226="Yes",TRIM(H226)=""),"TDS needs a TAN; ","")&amp;IF(AND(AA226="Yes",BC226&lt;&gt;"",BC226&lt;&gt;"company",BC226&lt;&gt;"llp"),"ROC is only for a company / LLP; ","")&amp;IF(AND(AA226="Yes",OR(BC226="company",BC226="llp"),TRIM(I226)=""),"ROC needs the CIN / LLPIN; ","")&amp;IF((TRIM(AF226)="")&lt;&gt;(TRIM(AG226)=""),"GST login needs both user ID and password; ","")&amp;IF((TRIM(AH226)="")&lt;&gt;(TRIM(AI226)=""),"Income-tax login needs both user ID and password; ","")&amp;IF((TRIM(AJ226)="")&lt;&gt;(TRIM(AK226)=""),"Income-tax login needs both user ID and password; ","")&amp;IF((TRIM(AL226)="")&lt;&gt;(TRIM(AM226)=""),"TRACES login needs both user ID and password; ","")&amp;IF((TRIM(AN226)="")&lt;&gt;(TRIM(AO226)=""),"MCA login needs both user ID and password; ","")&amp;IF((TRIM(AP226)="")&lt;&gt;(TRIM(AQ226)=""),"E-way bill login needs both user ID and password; ","")</f>
        <v/>
      </c>
    </row>
    <row r="227">
      <c r="A227" s="32" t="n"/>
      <c r="B227" s="33" t="n"/>
      <c r="C227" s="33" t="n"/>
      <c r="D227" s="33" t="n"/>
      <c r="E227" s="32" t="n"/>
      <c r="F227" s="32" t="n"/>
      <c r="G227" s="32" t="n"/>
      <c r="H227" s="32" t="n"/>
      <c r="I227" s="32" t="n"/>
      <c r="J227" s="34" t="n"/>
      <c r="K227" s="33" t="n"/>
      <c r="L227" s="32" t="n"/>
      <c r="M227" s="33" t="n"/>
      <c r="N227" s="33" t="n"/>
      <c r="O227" s="33" t="n"/>
      <c r="P227" s="32" t="n"/>
      <c r="Q227" s="33" t="n"/>
      <c r="R227" s="33" t="n"/>
      <c r="S227" s="33" t="n"/>
      <c r="T227" s="33" t="n"/>
      <c r="U227" s="32" t="n"/>
      <c r="V227" s="33" t="n"/>
      <c r="W227" s="33" t="n"/>
      <c r="X227" s="33" t="n"/>
      <c r="Y227" s="33" t="n"/>
      <c r="Z227" s="33" t="n"/>
      <c r="AA227" s="33" t="n"/>
      <c r="AB227" s="33" t="n"/>
      <c r="AC227" s="33" t="n"/>
      <c r="AD227" s="33" t="n"/>
      <c r="AE227" s="33" t="n"/>
      <c r="AF227" s="32" t="n"/>
      <c r="AG227" s="32" t="n"/>
      <c r="AH227" s="32" t="n"/>
      <c r="AI227" s="32" t="n"/>
      <c r="AJ227" s="32" t="n"/>
      <c r="AK227" s="32" t="n"/>
      <c r="AL227" s="32" t="n"/>
      <c r="AM227" s="32" t="n"/>
      <c r="AN227" s="32" t="n"/>
      <c r="AO227" s="32" t="n"/>
      <c r="AP227" s="32" t="n"/>
      <c r="AQ227" s="32" t="n"/>
      <c r="AR227" s="29">
        <f>IF(NOT(COUNTA(A227:AE227)&gt;0),"",IF(A227="","New client","Update"))</f>
        <v/>
      </c>
      <c r="AS227" s="29">
        <f>IF(BA227&lt;&gt;"",BA227,IF(LEN(AZ227)=15,MID(AZ227,3,10),""))</f>
        <v/>
      </c>
      <c r="AT227" s="29">
        <f>IF(BB227="","",BB227&amp;IF(D227="","  (guessed from PAN)",""))</f>
        <v/>
      </c>
      <c r="AU227" s="29">
        <f>IF(AZ227="","",IFERROR(INDEX(Lists!$L$2:$L$38,MATCH(LEFT(AZ227,2),Lists!$K$2:$K$38,0)),"Unknown code"))</f>
        <v/>
      </c>
      <c r="AV227" s="29">
        <f>IF(AZ227="","",IFERROR(IF(NOT(AND(LEN(AZ227)=15,ISNUMBER(MATCH(LEFT(AZ227,2),Lists!$K$2:$K$38,0)),SUMPRODUCT(--ISERROR(FIND(MID(MID(AZ227,3,10),{1,2,3,4,5,10},1),"ABCDEFGHIJKLMNOPQRSTUVWXYZ")))=0,SUMPRODUCT(--ISERROR(FIND(MID(MID(AZ227,3,10),{6,7,8,9},1),"0123456789")))=0,ISNUMBER(FIND(MID(AZ227,13,1),"123456789ABCDEFGHIJKLMNOPQRSTUVWXYZ")),MID(AZ227,14,1)="Z")),"Wrong format",IF(MID("0123456789ABCDEFGHIJKLMNOPQRSTUVWXYZ",MOD(36-MOD(SUMPRODUCT(INT((FIND(MID(AZ227,{1,2,3,4,5,6,7,8,9,10,11,12,13,14},1),"0123456789ABCDEFGHIJKLMNOPQRSTUVWXYZ")-1)*{1,2,1,2,1,2,1,2,1,2,1,2,1,2}/36)+MOD((FIND(MID(AZ227,{1,2,3,4,5,6,7,8,9,10,11,12,13,14},1),"0123456789ABCDEFGHIJKLMNOPQRSTUVWXYZ")-1)*{1,2,1,2,1,2,1,2,1,2,1,2,1,2},36)),36),36)+1,1)=MID(AZ227,15,1),"OK","Typo? check digit wrong")),"Wrong format"))</f>
        <v/>
      </c>
      <c r="AW227" s="29">
        <f>IF(BA227="","",IF(AND(LEN(BA227)=10,SUMPRODUCT(--ISERROR(FIND(MID(BA227,{1,2,3,4,5,10},1),"ABCDEFGHIJKLMNOPQRSTUVWXYZ")))=0,SUMPRODUCT(--ISERROR(FIND(MID(BA227,{6,7,8,9},1),"0123456789")))=0),"OK","Wrong format"))</f>
        <v/>
      </c>
      <c r="AX227" s="29">
        <f>IF(TRIM(H227)="","",IF(AND(LEN(UPPER(TRIM(H227)))=10,SUMPRODUCT(--ISERROR(FIND(MID(UPPER(TRIM(H227)),{1,2,3,4,10},1),"ABCDEFGHIJKLMNOPQRSTUVWXYZ")))=0,SUMPRODUCT(--ISERROR(FIND(MID(UPPER(TRIM(H227)),{5,6,7,8,9},1),"0123456789")))=0),"OK","Wrong format"))</f>
        <v/>
      </c>
      <c r="AY227" s="30">
        <f>IF(NOT(COUNTA(A227:AE227)&gt;0),"",IF(BE227&lt;&gt;"","✖ "&amp;LEFT(BE227,LEN(BE227)-2),IF(BD227&gt;0,"✔ Ready — client + "&amp;BD227&amp;" service(s)","✔ Ready — client only")))</f>
        <v/>
      </c>
      <c r="AZ227" s="31">
        <f>UPPER(SUBSTITUTE(TRIM(F227)," ",""))</f>
        <v/>
      </c>
      <c r="BA227" s="31">
        <f>UPPER(SUBSTITUTE(TRIM(E227)," ",""))</f>
        <v/>
      </c>
      <c r="BB227" s="31">
        <f>IF(D227&lt;&gt;"",D227,IFERROR(VLOOKUP(MID(AS227,4,1),Lists!$E$2:$F$8,2,FALSE),""))</f>
        <v/>
      </c>
      <c r="BC227" s="31">
        <f>IFERROR(VLOOKUP(BB227,Lists!$A$2:$C$12,3,FALSE),"")</f>
        <v/>
      </c>
      <c r="BD227" s="31">
        <f>COUNTIF(W227:AC227,"Yes")</f>
        <v/>
      </c>
      <c r="BE227" s="31">
        <f>IF(TRIM(B227)="","Legal name missing; ","")&amp;IF(AND(AV227&lt;&gt;"",AV227&lt;&gt;"OK"),"GSTIN: "&amp;AV227&amp;"; ","")&amp;IF(AND(AW227&lt;&gt;"",AW227&lt;&gt;"OK"),"PAN wrong format; ","")&amp;IF(AND(BA227&lt;&gt;"",LEN(AZ227)=15,MID(AZ227,3,10)&lt;&gt;BA227),"PAN does not match GSTIN; ","")&amp;IF(AND(AX227&lt;&gt;"",AX227&lt;&gt;"OK"),"TAN wrong format; ","")&amp;IF(AS227="","PAN missing; ","")&amp;IF(BB227="","Entity type missing; ","")&amp;IF(AND(AZ227&lt;&gt;"",COUNTIF($AZ$6:$AZ$1005,AZ227)&gt;1),"GSTIN repeated in this sheet; ","")&amp;IF(AND(AS227&lt;&gt;"",COUNTIF($AS$6:$AS$1005,AS227)&gt;1),"PAN repeated in this sheet (same client? put extra GSTINs in Other GSTINs); ","")&amp;IF(AND(BD227&gt;0,V227=""),"Financial year missing; ","")&amp;IF(AND(BD227=0,V227&lt;&gt;""),"Financial year given but no service is Yes; ","")&amp;IF(AND(W227="Yes",AZ227=""),"GST needs a GSTIN; ","")&amp;IF(AND(W227="Yes",X227=""),"GST return frequency missing; ","")&amp;IF(AND(Y227="Yes",TRIM(H227)=""),"TDS needs a TAN; ","")&amp;IF(AND(AA227="Yes",BC227&lt;&gt;"",BC227&lt;&gt;"company",BC227&lt;&gt;"llp"),"ROC is only for a company / LLP; ","")&amp;IF(AND(AA227="Yes",OR(BC227="company",BC227="llp"),TRIM(I227)=""),"ROC needs the CIN / LLPIN; ","")&amp;IF((TRIM(AF227)="")&lt;&gt;(TRIM(AG227)=""),"GST login needs both user ID and password; ","")&amp;IF((TRIM(AH227)="")&lt;&gt;(TRIM(AI227)=""),"Income-tax login needs both user ID and password; ","")&amp;IF((TRIM(AJ227)="")&lt;&gt;(TRIM(AK227)=""),"Income-tax login needs both user ID and password; ","")&amp;IF((TRIM(AL227)="")&lt;&gt;(TRIM(AM227)=""),"TRACES login needs both user ID and password; ","")&amp;IF((TRIM(AN227)="")&lt;&gt;(TRIM(AO227)=""),"MCA login needs both user ID and password; ","")&amp;IF((TRIM(AP227)="")&lt;&gt;(TRIM(AQ227)=""),"E-way bill login needs both user ID and password; ","")</f>
        <v/>
      </c>
    </row>
    <row r="228">
      <c r="A228" s="32" t="n"/>
      <c r="B228" s="33" t="n"/>
      <c r="C228" s="33" t="n"/>
      <c r="D228" s="33" t="n"/>
      <c r="E228" s="32" t="n"/>
      <c r="F228" s="32" t="n"/>
      <c r="G228" s="32" t="n"/>
      <c r="H228" s="32" t="n"/>
      <c r="I228" s="32" t="n"/>
      <c r="J228" s="34" t="n"/>
      <c r="K228" s="33" t="n"/>
      <c r="L228" s="32" t="n"/>
      <c r="M228" s="33" t="n"/>
      <c r="N228" s="33" t="n"/>
      <c r="O228" s="33" t="n"/>
      <c r="P228" s="32" t="n"/>
      <c r="Q228" s="33" t="n"/>
      <c r="R228" s="33" t="n"/>
      <c r="S228" s="33" t="n"/>
      <c r="T228" s="33" t="n"/>
      <c r="U228" s="32" t="n"/>
      <c r="V228" s="33" t="n"/>
      <c r="W228" s="33" t="n"/>
      <c r="X228" s="33" t="n"/>
      <c r="Y228" s="33" t="n"/>
      <c r="Z228" s="33" t="n"/>
      <c r="AA228" s="33" t="n"/>
      <c r="AB228" s="33" t="n"/>
      <c r="AC228" s="33" t="n"/>
      <c r="AD228" s="33" t="n"/>
      <c r="AE228" s="33" t="n"/>
      <c r="AF228" s="32" t="n"/>
      <c r="AG228" s="32" t="n"/>
      <c r="AH228" s="32" t="n"/>
      <c r="AI228" s="32" t="n"/>
      <c r="AJ228" s="32" t="n"/>
      <c r="AK228" s="32" t="n"/>
      <c r="AL228" s="32" t="n"/>
      <c r="AM228" s="32" t="n"/>
      <c r="AN228" s="32" t="n"/>
      <c r="AO228" s="32" t="n"/>
      <c r="AP228" s="32" t="n"/>
      <c r="AQ228" s="32" t="n"/>
      <c r="AR228" s="29">
        <f>IF(NOT(COUNTA(A228:AE228)&gt;0),"",IF(A228="","New client","Update"))</f>
        <v/>
      </c>
      <c r="AS228" s="29">
        <f>IF(BA228&lt;&gt;"",BA228,IF(LEN(AZ228)=15,MID(AZ228,3,10),""))</f>
        <v/>
      </c>
      <c r="AT228" s="29">
        <f>IF(BB228="","",BB228&amp;IF(D228="","  (guessed from PAN)",""))</f>
        <v/>
      </c>
      <c r="AU228" s="29">
        <f>IF(AZ228="","",IFERROR(INDEX(Lists!$L$2:$L$38,MATCH(LEFT(AZ228,2),Lists!$K$2:$K$38,0)),"Unknown code"))</f>
        <v/>
      </c>
      <c r="AV228" s="29">
        <f>IF(AZ228="","",IFERROR(IF(NOT(AND(LEN(AZ228)=15,ISNUMBER(MATCH(LEFT(AZ228,2),Lists!$K$2:$K$38,0)),SUMPRODUCT(--ISERROR(FIND(MID(MID(AZ228,3,10),{1,2,3,4,5,10},1),"ABCDEFGHIJKLMNOPQRSTUVWXYZ")))=0,SUMPRODUCT(--ISERROR(FIND(MID(MID(AZ228,3,10),{6,7,8,9},1),"0123456789")))=0,ISNUMBER(FIND(MID(AZ228,13,1),"123456789ABCDEFGHIJKLMNOPQRSTUVWXYZ")),MID(AZ228,14,1)="Z")),"Wrong format",IF(MID("0123456789ABCDEFGHIJKLMNOPQRSTUVWXYZ",MOD(36-MOD(SUMPRODUCT(INT((FIND(MID(AZ228,{1,2,3,4,5,6,7,8,9,10,11,12,13,14},1),"0123456789ABCDEFGHIJKLMNOPQRSTUVWXYZ")-1)*{1,2,1,2,1,2,1,2,1,2,1,2,1,2}/36)+MOD((FIND(MID(AZ228,{1,2,3,4,5,6,7,8,9,10,11,12,13,14},1),"0123456789ABCDEFGHIJKLMNOPQRSTUVWXYZ")-1)*{1,2,1,2,1,2,1,2,1,2,1,2,1,2},36)),36),36)+1,1)=MID(AZ228,15,1),"OK","Typo? check digit wrong")),"Wrong format"))</f>
        <v/>
      </c>
      <c r="AW228" s="29">
        <f>IF(BA228="","",IF(AND(LEN(BA228)=10,SUMPRODUCT(--ISERROR(FIND(MID(BA228,{1,2,3,4,5,10},1),"ABCDEFGHIJKLMNOPQRSTUVWXYZ")))=0,SUMPRODUCT(--ISERROR(FIND(MID(BA228,{6,7,8,9},1),"0123456789")))=0),"OK","Wrong format"))</f>
        <v/>
      </c>
      <c r="AX228" s="29">
        <f>IF(TRIM(H228)="","",IF(AND(LEN(UPPER(TRIM(H228)))=10,SUMPRODUCT(--ISERROR(FIND(MID(UPPER(TRIM(H228)),{1,2,3,4,10},1),"ABCDEFGHIJKLMNOPQRSTUVWXYZ")))=0,SUMPRODUCT(--ISERROR(FIND(MID(UPPER(TRIM(H228)),{5,6,7,8,9},1),"0123456789")))=0),"OK","Wrong format"))</f>
        <v/>
      </c>
      <c r="AY228" s="30">
        <f>IF(NOT(COUNTA(A228:AE228)&gt;0),"",IF(BE228&lt;&gt;"","✖ "&amp;LEFT(BE228,LEN(BE228)-2),IF(BD228&gt;0,"✔ Ready — client + "&amp;BD228&amp;" service(s)","✔ Ready — client only")))</f>
        <v/>
      </c>
      <c r="AZ228" s="31">
        <f>UPPER(SUBSTITUTE(TRIM(F228)," ",""))</f>
        <v/>
      </c>
      <c r="BA228" s="31">
        <f>UPPER(SUBSTITUTE(TRIM(E228)," ",""))</f>
        <v/>
      </c>
      <c r="BB228" s="31">
        <f>IF(D228&lt;&gt;"",D228,IFERROR(VLOOKUP(MID(AS228,4,1),Lists!$E$2:$F$8,2,FALSE),""))</f>
        <v/>
      </c>
      <c r="BC228" s="31">
        <f>IFERROR(VLOOKUP(BB228,Lists!$A$2:$C$12,3,FALSE),"")</f>
        <v/>
      </c>
      <c r="BD228" s="31">
        <f>COUNTIF(W228:AC228,"Yes")</f>
        <v/>
      </c>
      <c r="BE228" s="31">
        <f>IF(TRIM(B228)="","Legal name missing; ","")&amp;IF(AND(AV228&lt;&gt;"",AV228&lt;&gt;"OK"),"GSTIN: "&amp;AV228&amp;"; ","")&amp;IF(AND(AW228&lt;&gt;"",AW228&lt;&gt;"OK"),"PAN wrong format; ","")&amp;IF(AND(BA228&lt;&gt;"",LEN(AZ228)=15,MID(AZ228,3,10)&lt;&gt;BA228),"PAN does not match GSTIN; ","")&amp;IF(AND(AX228&lt;&gt;"",AX228&lt;&gt;"OK"),"TAN wrong format; ","")&amp;IF(AS228="","PAN missing; ","")&amp;IF(BB228="","Entity type missing; ","")&amp;IF(AND(AZ228&lt;&gt;"",COUNTIF($AZ$6:$AZ$1005,AZ228)&gt;1),"GSTIN repeated in this sheet; ","")&amp;IF(AND(AS228&lt;&gt;"",COUNTIF($AS$6:$AS$1005,AS228)&gt;1),"PAN repeated in this sheet (same client? put extra GSTINs in Other GSTINs); ","")&amp;IF(AND(BD228&gt;0,V228=""),"Financial year missing; ","")&amp;IF(AND(BD228=0,V228&lt;&gt;""),"Financial year given but no service is Yes; ","")&amp;IF(AND(W228="Yes",AZ228=""),"GST needs a GSTIN; ","")&amp;IF(AND(W228="Yes",X228=""),"GST return frequency missing; ","")&amp;IF(AND(Y228="Yes",TRIM(H228)=""),"TDS needs a TAN; ","")&amp;IF(AND(AA228="Yes",BC228&lt;&gt;"",BC228&lt;&gt;"company",BC228&lt;&gt;"llp"),"ROC is only for a company / LLP; ","")&amp;IF(AND(AA228="Yes",OR(BC228="company",BC228="llp"),TRIM(I228)=""),"ROC needs the CIN / LLPIN; ","")&amp;IF((TRIM(AF228)="")&lt;&gt;(TRIM(AG228)=""),"GST login needs both user ID and password; ","")&amp;IF((TRIM(AH228)="")&lt;&gt;(TRIM(AI228)=""),"Income-tax login needs both user ID and password; ","")&amp;IF((TRIM(AJ228)="")&lt;&gt;(TRIM(AK228)=""),"Income-tax login needs both user ID and password; ","")&amp;IF((TRIM(AL228)="")&lt;&gt;(TRIM(AM228)=""),"TRACES login needs both user ID and password; ","")&amp;IF((TRIM(AN228)="")&lt;&gt;(TRIM(AO228)=""),"MCA login needs both user ID and password; ","")&amp;IF((TRIM(AP228)="")&lt;&gt;(TRIM(AQ228)=""),"E-way bill login needs both user ID and password; ","")</f>
        <v/>
      </c>
    </row>
    <row r="229">
      <c r="A229" s="32" t="n"/>
      <c r="B229" s="33" t="n"/>
      <c r="C229" s="33" t="n"/>
      <c r="D229" s="33" t="n"/>
      <c r="E229" s="32" t="n"/>
      <c r="F229" s="32" t="n"/>
      <c r="G229" s="32" t="n"/>
      <c r="H229" s="32" t="n"/>
      <c r="I229" s="32" t="n"/>
      <c r="J229" s="34" t="n"/>
      <c r="K229" s="33" t="n"/>
      <c r="L229" s="32" t="n"/>
      <c r="M229" s="33" t="n"/>
      <c r="N229" s="33" t="n"/>
      <c r="O229" s="33" t="n"/>
      <c r="P229" s="32" t="n"/>
      <c r="Q229" s="33" t="n"/>
      <c r="R229" s="33" t="n"/>
      <c r="S229" s="33" t="n"/>
      <c r="T229" s="33" t="n"/>
      <c r="U229" s="32" t="n"/>
      <c r="V229" s="33" t="n"/>
      <c r="W229" s="33" t="n"/>
      <c r="X229" s="33" t="n"/>
      <c r="Y229" s="33" t="n"/>
      <c r="Z229" s="33" t="n"/>
      <c r="AA229" s="33" t="n"/>
      <c r="AB229" s="33" t="n"/>
      <c r="AC229" s="33" t="n"/>
      <c r="AD229" s="33" t="n"/>
      <c r="AE229" s="33" t="n"/>
      <c r="AF229" s="32" t="n"/>
      <c r="AG229" s="32" t="n"/>
      <c r="AH229" s="32" t="n"/>
      <c r="AI229" s="32" t="n"/>
      <c r="AJ229" s="32" t="n"/>
      <c r="AK229" s="32" t="n"/>
      <c r="AL229" s="32" t="n"/>
      <c r="AM229" s="32" t="n"/>
      <c r="AN229" s="32" t="n"/>
      <c r="AO229" s="32" t="n"/>
      <c r="AP229" s="32" t="n"/>
      <c r="AQ229" s="32" t="n"/>
      <c r="AR229" s="29">
        <f>IF(NOT(COUNTA(A229:AE229)&gt;0),"",IF(A229="","New client","Update"))</f>
        <v/>
      </c>
      <c r="AS229" s="29">
        <f>IF(BA229&lt;&gt;"",BA229,IF(LEN(AZ229)=15,MID(AZ229,3,10),""))</f>
        <v/>
      </c>
      <c r="AT229" s="29">
        <f>IF(BB229="","",BB229&amp;IF(D229="","  (guessed from PAN)",""))</f>
        <v/>
      </c>
      <c r="AU229" s="29">
        <f>IF(AZ229="","",IFERROR(INDEX(Lists!$L$2:$L$38,MATCH(LEFT(AZ229,2),Lists!$K$2:$K$38,0)),"Unknown code"))</f>
        <v/>
      </c>
      <c r="AV229" s="29">
        <f>IF(AZ229="","",IFERROR(IF(NOT(AND(LEN(AZ229)=15,ISNUMBER(MATCH(LEFT(AZ229,2),Lists!$K$2:$K$38,0)),SUMPRODUCT(--ISERROR(FIND(MID(MID(AZ229,3,10),{1,2,3,4,5,10},1),"ABCDEFGHIJKLMNOPQRSTUVWXYZ")))=0,SUMPRODUCT(--ISERROR(FIND(MID(MID(AZ229,3,10),{6,7,8,9},1),"0123456789")))=0,ISNUMBER(FIND(MID(AZ229,13,1),"123456789ABCDEFGHIJKLMNOPQRSTUVWXYZ")),MID(AZ229,14,1)="Z")),"Wrong format",IF(MID("0123456789ABCDEFGHIJKLMNOPQRSTUVWXYZ",MOD(36-MOD(SUMPRODUCT(INT((FIND(MID(AZ229,{1,2,3,4,5,6,7,8,9,10,11,12,13,14},1),"0123456789ABCDEFGHIJKLMNOPQRSTUVWXYZ")-1)*{1,2,1,2,1,2,1,2,1,2,1,2,1,2}/36)+MOD((FIND(MID(AZ229,{1,2,3,4,5,6,7,8,9,10,11,12,13,14},1),"0123456789ABCDEFGHIJKLMNOPQRSTUVWXYZ")-1)*{1,2,1,2,1,2,1,2,1,2,1,2,1,2},36)),36),36)+1,1)=MID(AZ229,15,1),"OK","Typo? check digit wrong")),"Wrong format"))</f>
        <v/>
      </c>
      <c r="AW229" s="29">
        <f>IF(BA229="","",IF(AND(LEN(BA229)=10,SUMPRODUCT(--ISERROR(FIND(MID(BA229,{1,2,3,4,5,10},1),"ABCDEFGHIJKLMNOPQRSTUVWXYZ")))=0,SUMPRODUCT(--ISERROR(FIND(MID(BA229,{6,7,8,9},1),"0123456789")))=0),"OK","Wrong format"))</f>
        <v/>
      </c>
      <c r="AX229" s="29">
        <f>IF(TRIM(H229)="","",IF(AND(LEN(UPPER(TRIM(H229)))=10,SUMPRODUCT(--ISERROR(FIND(MID(UPPER(TRIM(H229)),{1,2,3,4,10},1),"ABCDEFGHIJKLMNOPQRSTUVWXYZ")))=0,SUMPRODUCT(--ISERROR(FIND(MID(UPPER(TRIM(H229)),{5,6,7,8,9},1),"0123456789")))=0),"OK","Wrong format"))</f>
        <v/>
      </c>
      <c r="AY229" s="30">
        <f>IF(NOT(COUNTA(A229:AE229)&gt;0),"",IF(BE229&lt;&gt;"","✖ "&amp;LEFT(BE229,LEN(BE229)-2),IF(BD229&gt;0,"✔ Ready — client + "&amp;BD229&amp;" service(s)","✔ Ready — client only")))</f>
        <v/>
      </c>
      <c r="AZ229" s="31">
        <f>UPPER(SUBSTITUTE(TRIM(F229)," ",""))</f>
        <v/>
      </c>
      <c r="BA229" s="31">
        <f>UPPER(SUBSTITUTE(TRIM(E229)," ",""))</f>
        <v/>
      </c>
      <c r="BB229" s="31">
        <f>IF(D229&lt;&gt;"",D229,IFERROR(VLOOKUP(MID(AS229,4,1),Lists!$E$2:$F$8,2,FALSE),""))</f>
        <v/>
      </c>
      <c r="BC229" s="31">
        <f>IFERROR(VLOOKUP(BB229,Lists!$A$2:$C$12,3,FALSE),"")</f>
        <v/>
      </c>
      <c r="BD229" s="31">
        <f>COUNTIF(W229:AC229,"Yes")</f>
        <v/>
      </c>
      <c r="BE229" s="31">
        <f>IF(TRIM(B229)="","Legal name missing; ","")&amp;IF(AND(AV229&lt;&gt;"",AV229&lt;&gt;"OK"),"GSTIN: "&amp;AV229&amp;"; ","")&amp;IF(AND(AW229&lt;&gt;"",AW229&lt;&gt;"OK"),"PAN wrong format; ","")&amp;IF(AND(BA229&lt;&gt;"",LEN(AZ229)=15,MID(AZ229,3,10)&lt;&gt;BA229),"PAN does not match GSTIN; ","")&amp;IF(AND(AX229&lt;&gt;"",AX229&lt;&gt;"OK"),"TAN wrong format; ","")&amp;IF(AS229="","PAN missing; ","")&amp;IF(BB229="","Entity type missing; ","")&amp;IF(AND(AZ229&lt;&gt;"",COUNTIF($AZ$6:$AZ$1005,AZ229)&gt;1),"GSTIN repeated in this sheet; ","")&amp;IF(AND(AS229&lt;&gt;"",COUNTIF($AS$6:$AS$1005,AS229)&gt;1),"PAN repeated in this sheet (same client? put extra GSTINs in Other GSTINs); ","")&amp;IF(AND(BD229&gt;0,V229=""),"Financial year missing; ","")&amp;IF(AND(BD229=0,V229&lt;&gt;""),"Financial year given but no service is Yes; ","")&amp;IF(AND(W229="Yes",AZ229=""),"GST needs a GSTIN; ","")&amp;IF(AND(W229="Yes",X229=""),"GST return frequency missing; ","")&amp;IF(AND(Y229="Yes",TRIM(H229)=""),"TDS needs a TAN; ","")&amp;IF(AND(AA229="Yes",BC229&lt;&gt;"",BC229&lt;&gt;"company",BC229&lt;&gt;"llp"),"ROC is only for a company / LLP; ","")&amp;IF(AND(AA229="Yes",OR(BC229="company",BC229="llp"),TRIM(I229)=""),"ROC needs the CIN / LLPIN; ","")&amp;IF((TRIM(AF229)="")&lt;&gt;(TRIM(AG229)=""),"GST login needs both user ID and password; ","")&amp;IF((TRIM(AH229)="")&lt;&gt;(TRIM(AI229)=""),"Income-tax login needs both user ID and password; ","")&amp;IF((TRIM(AJ229)="")&lt;&gt;(TRIM(AK229)=""),"Income-tax login needs both user ID and password; ","")&amp;IF((TRIM(AL229)="")&lt;&gt;(TRIM(AM229)=""),"TRACES login needs both user ID and password; ","")&amp;IF((TRIM(AN229)="")&lt;&gt;(TRIM(AO229)=""),"MCA login needs both user ID and password; ","")&amp;IF((TRIM(AP229)="")&lt;&gt;(TRIM(AQ229)=""),"E-way bill login needs both user ID and password; ","")</f>
        <v/>
      </c>
    </row>
    <row r="230">
      <c r="A230" s="32" t="n"/>
      <c r="B230" s="33" t="n"/>
      <c r="C230" s="33" t="n"/>
      <c r="D230" s="33" t="n"/>
      <c r="E230" s="32" t="n"/>
      <c r="F230" s="32" t="n"/>
      <c r="G230" s="32" t="n"/>
      <c r="H230" s="32" t="n"/>
      <c r="I230" s="32" t="n"/>
      <c r="J230" s="34" t="n"/>
      <c r="K230" s="33" t="n"/>
      <c r="L230" s="32" t="n"/>
      <c r="M230" s="33" t="n"/>
      <c r="N230" s="33" t="n"/>
      <c r="O230" s="33" t="n"/>
      <c r="P230" s="32" t="n"/>
      <c r="Q230" s="33" t="n"/>
      <c r="R230" s="33" t="n"/>
      <c r="S230" s="33" t="n"/>
      <c r="T230" s="33" t="n"/>
      <c r="U230" s="32" t="n"/>
      <c r="V230" s="33" t="n"/>
      <c r="W230" s="33" t="n"/>
      <c r="X230" s="33" t="n"/>
      <c r="Y230" s="33" t="n"/>
      <c r="Z230" s="33" t="n"/>
      <c r="AA230" s="33" t="n"/>
      <c r="AB230" s="33" t="n"/>
      <c r="AC230" s="33" t="n"/>
      <c r="AD230" s="33" t="n"/>
      <c r="AE230" s="33" t="n"/>
      <c r="AF230" s="32" t="n"/>
      <c r="AG230" s="32" t="n"/>
      <c r="AH230" s="32" t="n"/>
      <c r="AI230" s="32" t="n"/>
      <c r="AJ230" s="32" t="n"/>
      <c r="AK230" s="32" t="n"/>
      <c r="AL230" s="32" t="n"/>
      <c r="AM230" s="32" t="n"/>
      <c r="AN230" s="32" t="n"/>
      <c r="AO230" s="32" t="n"/>
      <c r="AP230" s="32" t="n"/>
      <c r="AQ230" s="32" t="n"/>
      <c r="AR230" s="29">
        <f>IF(NOT(COUNTA(A230:AE230)&gt;0),"",IF(A230="","New client","Update"))</f>
        <v/>
      </c>
      <c r="AS230" s="29">
        <f>IF(BA230&lt;&gt;"",BA230,IF(LEN(AZ230)=15,MID(AZ230,3,10),""))</f>
        <v/>
      </c>
      <c r="AT230" s="29">
        <f>IF(BB230="","",BB230&amp;IF(D230="","  (guessed from PAN)",""))</f>
        <v/>
      </c>
      <c r="AU230" s="29">
        <f>IF(AZ230="","",IFERROR(INDEX(Lists!$L$2:$L$38,MATCH(LEFT(AZ230,2),Lists!$K$2:$K$38,0)),"Unknown code"))</f>
        <v/>
      </c>
      <c r="AV230" s="29">
        <f>IF(AZ230="","",IFERROR(IF(NOT(AND(LEN(AZ230)=15,ISNUMBER(MATCH(LEFT(AZ230,2),Lists!$K$2:$K$38,0)),SUMPRODUCT(--ISERROR(FIND(MID(MID(AZ230,3,10),{1,2,3,4,5,10},1),"ABCDEFGHIJKLMNOPQRSTUVWXYZ")))=0,SUMPRODUCT(--ISERROR(FIND(MID(MID(AZ230,3,10),{6,7,8,9},1),"0123456789")))=0,ISNUMBER(FIND(MID(AZ230,13,1),"123456789ABCDEFGHIJKLMNOPQRSTUVWXYZ")),MID(AZ230,14,1)="Z")),"Wrong format",IF(MID("0123456789ABCDEFGHIJKLMNOPQRSTUVWXYZ",MOD(36-MOD(SUMPRODUCT(INT((FIND(MID(AZ230,{1,2,3,4,5,6,7,8,9,10,11,12,13,14},1),"0123456789ABCDEFGHIJKLMNOPQRSTUVWXYZ")-1)*{1,2,1,2,1,2,1,2,1,2,1,2,1,2}/36)+MOD((FIND(MID(AZ230,{1,2,3,4,5,6,7,8,9,10,11,12,13,14},1),"0123456789ABCDEFGHIJKLMNOPQRSTUVWXYZ")-1)*{1,2,1,2,1,2,1,2,1,2,1,2,1,2},36)),36),36)+1,1)=MID(AZ230,15,1),"OK","Typo? check digit wrong")),"Wrong format"))</f>
        <v/>
      </c>
      <c r="AW230" s="29">
        <f>IF(BA230="","",IF(AND(LEN(BA230)=10,SUMPRODUCT(--ISERROR(FIND(MID(BA230,{1,2,3,4,5,10},1),"ABCDEFGHIJKLMNOPQRSTUVWXYZ")))=0,SUMPRODUCT(--ISERROR(FIND(MID(BA230,{6,7,8,9},1),"0123456789")))=0),"OK","Wrong format"))</f>
        <v/>
      </c>
      <c r="AX230" s="29">
        <f>IF(TRIM(H230)="","",IF(AND(LEN(UPPER(TRIM(H230)))=10,SUMPRODUCT(--ISERROR(FIND(MID(UPPER(TRIM(H230)),{1,2,3,4,10},1),"ABCDEFGHIJKLMNOPQRSTUVWXYZ")))=0,SUMPRODUCT(--ISERROR(FIND(MID(UPPER(TRIM(H230)),{5,6,7,8,9},1),"0123456789")))=0),"OK","Wrong format"))</f>
        <v/>
      </c>
      <c r="AY230" s="30">
        <f>IF(NOT(COUNTA(A230:AE230)&gt;0),"",IF(BE230&lt;&gt;"","✖ "&amp;LEFT(BE230,LEN(BE230)-2),IF(BD230&gt;0,"✔ Ready — client + "&amp;BD230&amp;" service(s)","✔ Ready — client only")))</f>
        <v/>
      </c>
      <c r="AZ230" s="31">
        <f>UPPER(SUBSTITUTE(TRIM(F230)," ",""))</f>
        <v/>
      </c>
      <c r="BA230" s="31">
        <f>UPPER(SUBSTITUTE(TRIM(E230)," ",""))</f>
        <v/>
      </c>
      <c r="BB230" s="31">
        <f>IF(D230&lt;&gt;"",D230,IFERROR(VLOOKUP(MID(AS230,4,1),Lists!$E$2:$F$8,2,FALSE),""))</f>
        <v/>
      </c>
      <c r="BC230" s="31">
        <f>IFERROR(VLOOKUP(BB230,Lists!$A$2:$C$12,3,FALSE),"")</f>
        <v/>
      </c>
      <c r="BD230" s="31">
        <f>COUNTIF(W230:AC230,"Yes")</f>
        <v/>
      </c>
      <c r="BE230" s="31">
        <f>IF(TRIM(B230)="","Legal name missing; ","")&amp;IF(AND(AV230&lt;&gt;"",AV230&lt;&gt;"OK"),"GSTIN: "&amp;AV230&amp;"; ","")&amp;IF(AND(AW230&lt;&gt;"",AW230&lt;&gt;"OK"),"PAN wrong format; ","")&amp;IF(AND(BA230&lt;&gt;"",LEN(AZ230)=15,MID(AZ230,3,10)&lt;&gt;BA230),"PAN does not match GSTIN; ","")&amp;IF(AND(AX230&lt;&gt;"",AX230&lt;&gt;"OK"),"TAN wrong format; ","")&amp;IF(AS230="","PAN missing; ","")&amp;IF(BB230="","Entity type missing; ","")&amp;IF(AND(AZ230&lt;&gt;"",COUNTIF($AZ$6:$AZ$1005,AZ230)&gt;1),"GSTIN repeated in this sheet; ","")&amp;IF(AND(AS230&lt;&gt;"",COUNTIF($AS$6:$AS$1005,AS230)&gt;1),"PAN repeated in this sheet (same client? put extra GSTINs in Other GSTINs); ","")&amp;IF(AND(BD230&gt;0,V230=""),"Financial year missing; ","")&amp;IF(AND(BD230=0,V230&lt;&gt;""),"Financial year given but no service is Yes; ","")&amp;IF(AND(W230="Yes",AZ230=""),"GST needs a GSTIN; ","")&amp;IF(AND(W230="Yes",X230=""),"GST return frequency missing; ","")&amp;IF(AND(Y230="Yes",TRIM(H230)=""),"TDS needs a TAN; ","")&amp;IF(AND(AA230="Yes",BC230&lt;&gt;"",BC230&lt;&gt;"company",BC230&lt;&gt;"llp"),"ROC is only for a company / LLP; ","")&amp;IF(AND(AA230="Yes",OR(BC230="company",BC230="llp"),TRIM(I230)=""),"ROC needs the CIN / LLPIN; ","")&amp;IF((TRIM(AF230)="")&lt;&gt;(TRIM(AG230)=""),"GST login needs both user ID and password; ","")&amp;IF((TRIM(AH230)="")&lt;&gt;(TRIM(AI230)=""),"Income-tax login needs both user ID and password; ","")&amp;IF((TRIM(AJ230)="")&lt;&gt;(TRIM(AK230)=""),"Income-tax login needs both user ID and password; ","")&amp;IF((TRIM(AL230)="")&lt;&gt;(TRIM(AM230)=""),"TRACES login needs both user ID and password; ","")&amp;IF((TRIM(AN230)="")&lt;&gt;(TRIM(AO230)=""),"MCA login needs both user ID and password; ","")&amp;IF((TRIM(AP230)="")&lt;&gt;(TRIM(AQ230)=""),"E-way bill login needs both user ID and password; ","")</f>
        <v/>
      </c>
    </row>
    <row r="231">
      <c r="A231" s="32" t="n"/>
      <c r="B231" s="33" t="n"/>
      <c r="C231" s="33" t="n"/>
      <c r="D231" s="33" t="n"/>
      <c r="E231" s="32" t="n"/>
      <c r="F231" s="32" t="n"/>
      <c r="G231" s="32" t="n"/>
      <c r="H231" s="32" t="n"/>
      <c r="I231" s="32" t="n"/>
      <c r="J231" s="34" t="n"/>
      <c r="K231" s="33" t="n"/>
      <c r="L231" s="32" t="n"/>
      <c r="M231" s="33" t="n"/>
      <c r="N231" s="33" t="n"/>
      <c r="O231" s="33" t="n"/>
      <c r="P231" s="32" t="n"/>
      <c r="Q231" s="33" t="n"/>
      <c r="R231" s="33" t="n"/>
      <c r="S231" s="33" t="n"/>
      <c r="T231" s="33" t="n"/>
      <c r="U231" s="32" t="n"/>
      <c r="V231" s="33" t="n"/>
      <c r="W231" s="33" t="n"/>
      <c r="X231" s="33" t="n"/>
      <c r="Y231" s="33" t="n"/>
      <c r="Z231" s="33" t="n"/>
      <c r="AA231" s="33" t="n"/>
      <c r="AB231" s="33" t="n"/>
      <c r="AC231" s="33" t="n"/>
      <c r="AD231" s="33" t="n"/>
      <c r="AE231" s="33" t="n"/>
      <c r="AF231" s="32" t="n"/>
      <c r="AG231" s="32" t="n"/>
      <c r="AH231" s="32" t="n"/>
      <c r="AI231" s="32" t="n"/>
      <c r="AJ231" s="32" t="n"/>
      <c r="AK231" s="32" t="n"/>
      <c r="AL231" s="32" t="n"/>
      <c r="AM231" s="32" t="n"/>
      <c r="AN231" s="32" t="n"/>
      <c r="AO231" s="32" t="n"/>
      <c r="AP231" s="32" t="n"/>
      <c r="AQ231" s="32" t="n"/>
      <c r="AR231" s="29">
        <f>IF(NOT(COUNTA(A231:AE231)&gt;0),"",IF(A231="","New client","Update"))</f>
        <v/>
      </c>
      <c r="AS231" s="29">
        <f>IF(BA231&lt;&gt;"",BA231,IF(LEN(AZ231)=15,MID(AZ231,3,10),""))</f>
        <v/>
      </c>
      <c r="AT231" s="29">
        <f>IF(BB231="","",BB231&amp;IF(D231="","  (guessed from PAN)",""))</f>
        <v/>
      </c>
      <c r="AU231" s="29">
        <f>IF(AZ231="","",IFERROR(INDEX(Lists!$L$2:$L$38,MATCH(LEFT(AZ231,2),Lists!$K$2:$K$38,0)),"Unknown code"))</f>
        <v/>
      </c>
      <c r="AV231" s="29">
        <f>IF(AZ231="","",IFERROR(IF(NOT(AND(LEN(AZ231)=15,ISNUMBER(MATCH(LEFT(AZ231,2),Lists!$K$2:$K$38,0)),SUMPRODUCT(--ISERROR(FIND(MID(MID(AZ231,3,10),{1,2,3,4,5,10},1),"ABCDEFGHIJKLMNOPQRSTUVWXYZ")))=0,SUMPRODUCT(--ISERROR(FIND(MID(MID(AZ231,3,10),{6,7,8,9},1),"0123456789")))=0,ISNUMBER(FIND(MID(AZ231,13,1),"123456789ABCDEFGHIJKLMNOPQRSTUVWXYZ")),MID(AZ231,14,1)="Z")),"Wrong format",IF(MID("0123456789ABCDEFGHIJKLMNOPQRSTUVWXYZ",MOD(36-MOD(SUMPRODUCT(INT((FIND(MID(AZ231,{1,2,3,4,5,6,7,8,9,10,11,12,13,14},1),"0123456789ABCDEFGHIJKLMNOPQRSTUVWXYZ")-1)*{1,2,1,2,1,2,1,2,1,2,1,2,1,2}/36)+MOD((FIND(MID(AZ231,{1,2,3,4,5,6,7,8,9,10,11,12,13,14},1),"0123456789ABCDEFGHIJKLMNOPQRSTUVWXYZ")-1)*{1,2,1,2,1,2,1,2,1,2,1,2,1,2},36)),36),36)+1,1)=MID(AZ231,15,1),"OK","Typo? check digit wrong")),"Wrong format"))</f>
        <v/>
      </c>
      <c r="AW231" s="29">
        <f>IF(BA231="","",IF(AND(LEN(BA231)=10,SUMPRODUCT(--ISERROR(FIND(MID(BA231,{1,2,3,4,5,10},1),"ABCDEFGHIJKLMNOPQRSTUVWXYZ")))=0,SUMPRODUCT(--ISERROR(FIND(MID(BA231,{6,7,8,9},1),"0123456789")))=0),"OK","Wrong format"))</f>
        <v/>
      </c>
      <c r="AX231" s="29">
        <f>IF(TRIM(H231)="","",IF(AND(LEN(UPPER(TRIM(H231)))=10,SUMPRODUCT(--ISERROR(FIND(MID(UPPER(TRIM(H231)),{1,2,3,4,10},1),"ABCDEFGHIJKLMNOPQRSTUVWXYZ")))=0,SUMPRODUCT(--ISERROR(FIND(MID(UPPER(TRIM(H231)),{5,6,7,8,9},1),"0123456789")))=0),"OK","Wrong format"))</f>
        <v/>
      </c>
      <c r="AY231" s="30">
        <f>IF(NOT(COUNTA(A231:AE231)&gt;0),"",IF(BE231&lt;&gt;"","✖ "&amp;LEFT(BE231,LEN(BE231)-2),IF(BD231&gt;0,"✔ Ready — client + "&amp;BD231&amp;" service(s)","✔ Ready — client only")))</f>
        <v/>
      </c>
      <c r="AZ231" s="31">
        <f>UPPER(SUBSTITUTE(TRIM(F231)," ",""))</f>
        <v/>
      </c>
      <c r="BA231" s="31">
        <f>UPPER(SUBSTITUTE(TRIM(E231)," ",""))</f>
        <v/>
      </c>
      <c r="BB231" s="31">
        <f>IF(D231&lt;&gt;"",D231,IFERROR(VLOOKUP(MID(AS231,4,1),Lists!$E$2:$F$8,2,FALSE),""))</f>
        <v/>
      </c>
      <c r="BC231" s="31">
        <f>IFERROR(VLOOKUP(BB231,Lists!$A$2:$C$12,3,FALSE),"")</f>
        <v/>
      </c>
      <c r="BD231" s="31">
        <f>COUNTIF(W231:AC231,"Yes")</f>
        <v/>
      </c>
      <c r="BE231" s="31">
        <f>IF(TRIM(B231)="","Legal name missing; ","")&amp;IF(AND(AV231&lt;&gt;"",AV231&lt;&gt;"OK"),"GSTIN: "&amp;AV231&amp;"; ","")&amp;IF(AND(AW231&lt;&gt;"",AW231&lt;&gt;"OK"),"PAN wrong format; ","")&amp;IF(AND(BA231&lt;&gt;"",LEN(AZ231)=15,MID(AZ231,3,10)&lt;&gt;BA231),"PAN does not match GSTIN; ","")&amp;IF(AND(AX231&lt;&gt;"",AX231&lt;&gt;"OK"),"TAN wrong format; ","")&amp;IF(AS231="","PAN missing; ","")&amp;IF(BB231="","Entity type missing; ","")&amp;IF(AND(AZ231&lt;&gt;"",COUNTIF($AZ$6:$AZ$1005,AZ231)&gt;1),"GSTIN repeated in this sheet; ","")&amp;IF(AND(AS231&lt;&gt;"",COUNTIF($AS$6:$AS$1005,AS231)&gt;1),"PAN repeated in this sheet (same client? put extra GSTINs in Other GSTINs); ","")&amp;IF(AND(BD231&gt;0,V231=""),"Financial year missing; ","")&amp;IF(AND(BD231=0,V231&lt;&gt;""),"Financial year given but no service is Yes; ","")&amp;IF(AND(W231="Yes",AZ231=""),"GST needs a GSTIN; ","")&amp;IF(AND(W231="Yes",X231=""),"GST return frequency missing; ","")&amp;IF(AND(Y231="Yes",TRIM(H231)=""),"TDS needs a TAN; ","")&amp;IF(AND(AA231="Yes",BC231&lt;&gt;"",BC231&lt;&gt;"company",BC231&lt;&gt;"llp"),"ROC is only for a company / LLP; ","")&amp;IF(AND(AA231="Yes",OR(BC231="company",BC231="llp"),TRIM(I231)=""),"ROC needs the CIN / LLPIN; ","")&amp;IF((TRIM(AF231)="")&lt;&gt;(TRIM(AG231)=""),"GST login needs both user ID and password; ","")&amp;IF((TRIM(AH231)="")&lt;&gt;(TRIM(AI231)=""),"Income-tax login needs both user ID and password; ","")&amp;IF((TRIM(AJ231)="")&lt;&gt;(TRIM(AK231)=""),"Income-tax login needs both user ID and password; ","")&amp;IF((TRIM(AL231)="")&lt;&gt;(TRIM(AM231)=""),"TRACES login needs both user ID and password; ","")&amp;IF((TRIM(AN231)="")&lt;&gt;(TRIM(AO231)=""),"MCA login needs both user ID and password; ","")&amp;IF((TRIM(AP231)="")&lt;&gt;(TRIM(AQ231)=""),"E-way bill login needs both user ID and password; ","")</f>
        <v/>
      </c>
    </row>
    <row r="232">
      <c r="A232" s="32" t="n"/>
      <c r="B232" s="33" t="n"/>
      <c r="C232" s="33" t="n"/>
      <c r="D232" s="33" t="n"/>
      <c r="E232" s="32" t="n"/>
      <c r="F232" s="32" t="n"/>
      <c r="G232" s="32" t="n"/>
      <c r="H232" s="32" t="n"/>
      <c r="I232" s="32" t="n"/>
      <c r="J232" s="34" t="n"/>
      <c r="K232" s="33" t="n"/>
      <c r="L232" s="32" t="n"/>
      <c r="M232" s="33" t="n"/>
      <c r="N232" s="33" t="n"/>
      <c r="O232" s="33" t="n"/>
      <c r="P232" s="32" t="n"/>
      <c r="Q232" s="33" t="n"/>
      <c r="R232" s="33" t="n"/>
      <c r="S232" s="33" t="n"/>
      <c r="T232" s="33" t="n"/>
      <c r="U232" s="32" t="n"/>
      <c r="V232" s="33" t="n"/>
      <c r="W232" s="33" t="n"/>
      <c r="X232" s="33" t="n"/>
      <c r="Y232" s="33" t="n"/>
      <c r="Z232" s="33" t="n"/>
      <c r="AA232" s="33" t="n"/>
      <c r="AB232" s="33" t="n"/>
      <c r="AC232" s="33" t="n"/>
      <c r="AD232" s="33" t="n"/>
      <c r="AE232" s="33" t="n"/>
      <c r="AF232" s="32" t="n"/>
      <c r="AG232" s="32" t="n"/>
      <c r="AH232" s="32" t="n"/>
      <c r="AI232" s="32" t="n"/>
      <c r="AJ232" s="32" t="n"/>
      <c r="AK232" s="32" t="n"/>
      <c r="AL232" s="32" t="n"/>
      <c r="AM232" s="32" t="n"/>
      <c r="AN232" s="32" t="n"/>
      <c r="AO232" s="32" t="n"/>
      <c r="AP232" s="32" t="n"/>
      <c r="AQ232" s="32" t="n"/>
      <c r="AR232" s="29">
        <f>IF(NOT(COUNTA(A232:AE232)&gt;0),"",IF(A232="","New client","Update"))</f>
        <v/>
      </c>
      <c r="AS232" s="29">
        <f>IF(BA232&lt;&gt;"",BA232,IF(LEN(AZ232)=15,MID(AZ232,3,10),""))</f>
        <v/>
      </c>
      <c r="AT232" s="29">
        <f>IF(BB232="","",BB232&amp;IF(D232="","  (guessed from PAN)",""))</f>
        <v/>
      </c>
      <c r="AU232" s="29">
        <f>IF(AZ232="","",IFERROR(INDEX(Lists!$L$2:$L$38,MATCH(LEFT(AZ232,2),Lists!$K$2:$K$38,0)),"Unknown code"))</f>
        <v/>
      </c>
      <c r="AV232" s="29">
        <f>IF(AZ232="","",IFERROR(IF(NOT(AND(LEN(AZ232)=15,ISNUMBER(MATCH(LEFT(AZ232,2),Lists!$K$2:$K$38,0)),SUMPRODUCT(--ISERROR(FIND(MID(MID(AZ232,3,10),{1,2,3,4,5,10},1),"ABCDEFGHIJKLMNOPQRSTUVWXYZ")))=0,SUMPRODUCT(--ISERROR(FIND(MID(MID(AZ232,3,10),{6,7,8,9},1),"0123456789")))=0,ISNUMBER(FIND(MID(AZ232,13,1),"123456789ABCDEFGHIJKLMNOPQRSTUVWXYZ")),MID(AZ232,14,1)="Z")),"Wrong format",IF(MID("0123456789ABCDEFGHIJKLMNOPQRSTUVWXYZ",MOD(36-MOD(SUMPRODUCT(INT((FIND(MID(AZ232,{1,2,3,4,5,6,7,8,9,10,11,12,13,14},1),"0123456789ABCDEFGHIJKLMNOPQRSTUVWXYZ")-1)*{1,2,1,2,1,2,1,2,1,2,1,2,1,2}/36)+MOD((FIND(MID(AZ232,{1,2,3,4,5,6,7,8,9,10,11,12,13,14},1),"0123456789ABCDEFGHIJKLMNOPQRSTUVWXYZ")-1)*{1,2,1,2,1,2,1,2,1,2,1,2,1,2},36)),36),36)+1,1)=MID(AZ232,15,1),"OK","Typo? check digit wrong")),"Wrong format"))</f>
        <v/>
      </c>
      <c r="AW232" s="29">
        <f>IF(BA232="","",IF(AND(LEN(BA232)=10,SUMPRODUCT(--ISERROR(FIND(MID(BA232,{1,2,3,4,5,10},1),"ABCDEFGHIJKLMNOPQRSTUVWXYZ")))=0,SUMPRODUCT(--ISERROR(FIND(MID(BA232,{6,7,8,9},1),"0123456789")))=0),"OK","Wrong format"))</f>
        <v/>
      </c>
      <c r="AX232" s="29">
        <f>IF(TRIM(H232)="","",IF(AND(LEN(UPPER(TRIM(H232)))=10,SUMPRODUCT(--ISERROR(FIND(MID(UPPER(TRIM(H232)),{1,2,3,4,10},1),"ABCDEFGHIJKLMNOPQRSTUVWXYZ")))=0,SUMPRODUCT(--ISERROR(FIND(MID(UPPER(TRIM(H232)),{5,6,7,8,9},1),"0123456789")))=0),"OK","Wrong format"))</f>
        <v/>
      </c>
      <c r="AY232" s="30">
        <f>IF(NOT(COUNTA(A232:AE232)&gt;0),"",IF(BE232&lt;&gt;"","✖ "&amp;LEFT(BE232,LEN(BE232)-2),IF(BD232&gt;0,"✔ Ready — client + "&amp;BD232&amp;" service(s)","✔ Ready — client only")))</f>
        <v/>
      </c>
      <c r="AZ232" s="31">
        <f>UPPER(SUBSTITUTE(TRIM(F232)," ",""))</f>
        <v/>
      </c>
      <c r="BA232" s="31">
        <f>UPPER(SUBSTITUTE(TRIM(E232)," ",""))</f>
        <v/>
      </c>
      <c r="BB232" s="31">
        <f>IF(D232&lt;&gt;"",D232,IFERROR(VLOOKUP(MID(AS232,4,1),Lists!$E$2:$F$8,2,FALSE),""))</f>
        <v/>
      </c>
      <c r="BC232" s="31">
        <f>IFERROR(VLOOKUP(BB232,Lists!$A$2:$C$12,3,FALSE),"")</f>
        <v/>
      </c>
      <c r="BD232" s="31">
        <f>COUNTIF(W232:AC232,"Yes")</f>
        <v/>
      </c>
      <c r="BE232" s="31">
        <f>IF(TRIM(B232)="","Legal name missing; ","")&amp;IF(AND(AV232&lt;&gt;"",AV232&lt;&gt;"OK"),"GSTIN: "&amp;AV232&amp;"; ","")&amp;IF(AND(AW232&lt;&gt;"",AW232&lt;&gt;"OK"),"PAN wrong format; ","")&amp;IF(AND(BA232&lt;&gt;"",LEN(AZ232)=15,MID(AZ232,3,10)&lt;&gt;BA232),"PAN does not match GSTIN; ","")&amp;IF(AND(AX232&lt;&gt;"",AX232&lt;&gt;"OK"),"TAN wrong format; ","")&amp;IF(AS232="","PAN missing; ","")&amp;IF(BB232="","Entity type missing; ","")&amp;IF(AND(AZ232&lt;&gt;"",COUNTIF($AZ$6:$AZ$1005,AZ232)&gt;1),"GSTIN repeated in this sheet; ","")&amp;IF(AND(AS232&lt;&gt;"",COUNTIF($AS$6:$AS$1005,AS232)&gt;1),"PAN repeated in this sheet (same client? put extra GSTINs in Other GSTINs); ","")&amp;IF(AND(BD232&gt;0,V232=""),"Financial year missing; ","")&amp;IF(AND(BD232=0,V232&lt;&gt;""),"Financial year given but no service is Yes; ","")&amp;IF(AND(W232="Yes",AZ232=""),"GST needs a GSTIN; ","")&amp;IF(AND(W232="Yes",X232=""),"GST return frequency missing; ","")&amp;IF(AND(Y232="Yes",TRIM(H232)=""),"TDS needs a TAN; ","")&amp;IF(AND(AA232="Yes",BC232&lt;&gt;"",BC232&lt;&gt;"company",BC232&lt;&gt;"llp"),"ROC is only for a company / LLP; ","")&amp;IF(AND(AA232="Yes",OR(BC232="company",BC232="llp"),TRIM(I232)=""),"ROC needs the CIN / LLPIN; ","")&amp;IF((TRIM(AF232)="")&lt;&gt;(TRIM(AG232)=""),"GST login needs both user ID and password; ","")&amp;IF((TRIM(AH232)="")&lt;&gt;(TRIM(AI232)=""),"Income-tax login needs both user ID and password; ","")&amp;IF((TRIM(AJ232)="")&lt;&gt;(TRIM(AK232)=""),"Income-tax login needs both user ID and password; ","")&amp;IF((TRIM(AL232)="")&lt;&gt;(TRIM(AM232)=""),"TRACES login needs both user ID and password; ","")&amp;IF((TRIM(AN232)="")&lt;&gt;(TRIM(AO232)=""),"MCA login needs both user ID and password; ","")&amp;IF((TRIM(AP232)="")&lt;&gt;(TRIM(AQ232)=""),"E-way bill login needs both user ID and password; ","")</f>
        <v/>
      </c>
    </row>
    <row r="233">
      <c r="A233" s="32" t="n"/>
      <c r="B233" s="33" t="n"/>
      <c r="C233" s="33" t="n"/>
      <c r="D233" s="33" t="n"/>
      <c r="E233" s="32" t="n"/>
      <c r="F233" s="32" t="n"/>
      <c r="G233" s="32" t="n"/>
      <c r="H233" s="32" t="n"/>
      <c r="I233" s="32" t="n"/>
      <c r="J233" s="34" t="n"/>
      <c r="K233" s="33" t="n"/>
      <c r="L233" s="32" t="n"/>
      <c r="M233" s="33" t="n"/>
      <c r="N233" s="33" t="n"/>
      <c r="O233" s="33" t="n"/>
      <c r="P233" s="32" t="n"/>
      <c r="Q233" s="33" t="n"/>
      <c r="R233" s="33" t="n"/>
      <c r="S233" s="33" t="n"/>
      <c r="T233" s="33" t="n"/>
      <c r="U233" s="32" t="n"/>
      <c r="V233" s="33" t="n"/>
      <c r="W233" s="33" t="n"/>
      <c r="X233" s="33" t="n"/>
      <c r="Y233" s="33" t="n"/>
      <c r="Z233" s="33" t="n"/>
      <c r="AA233" s="33" t="n"/>
      <c r="AB233" s="33" t="n"/>
      <c r="AC233" s="33" t="n"/>
      <c r="AD233" s="33" t="n"/>
      <c r="AE233" s="33" t="n"/>
      <c r="AF233" s="32" t="n"/>
      <c r="AG233" s="32" t="n"/>
      <c r="AH233" s="32" t="n"/>
      <c r="AI233" s="32" t="n"/>
      <c r="AJ233" s="32" t="n"/>
      <c r="AK233" s="32" t="n"/>
      <c r="AL233" s="32" t="n"/>
      <c r="AM233" s="32" t="n"/>
      <c r="AN233" s="32" t="n"/>
      <c r="AO233" s="32" t="n"/>
      <c r="AP233" s="32" t="n"/>
      <c r="AQ233" s="32" t="n"/>
      <c r="AR233" s="29">
        <f>IF(NOT(COUNTA(A233:AE233)&gt;0),"",IF(A233="","New client","Update"))</f>
        <v/>
      </c>
      <c r="AS233" s="29">
        <f>IF(BA233&lt;&gt;"",BA233,IF(LEN(AZ233)=15,MID(AZ233,3,10),""))</f>
        <v/>
      </c>
      <c r="AT233" s="29">
        <f>IF(BB233="","",BB233&amp;IF(D233="","  (guessed from PAN)",""))</f>
        <v/>
      </c>
      <c r="AU233" s="29">
        <f>IF(AZ233="","",IFERROR(INDEX(Lists!$L$2:$L$38,MATCH(LEFT(AZ233,2),Lists!$K$2:$K$38,0)),"Unknown code"))</f>
        <v/>
      </c>
      <c r="AV233" s="29">
        <f>IF(AZ233="","",IFERROR(IF(NOT(AND(LEN(AZ233)=15,ISNUMBER(MATCH(LEFT(AZ233,2),Lists!$K$2:$K$38,0)),SUMPRODUCT(--ISERROR(FIND(MID(MID(AZ233,3,10),{1,2,3,4,5,10},1),"ABCDEFGHIJKLMNOPQRSTUVWXYZ")))=0,SUMPRODUCT(--ISERROR(FIND(MID(MID(AZ233,3,10),{6,7,8,9},1),"0123456789")))=0,ISNUMBER(FIND(MID(AZ233,13,1),"123456789ABCDEFGHIJKLMNOPQRSTUVWXYZ")),MID(AZ233,14,1)="Z")),"Wrong format",IF(MID("0123456789ABCDEFGHIJKLMNOPQRSTUVWXYZ",MOD(36-MOD(SUMPRODUCT(INT((FIND(MID(AZ233,{1,2,3,4,5,6,7,8,9,10,11,12,13,14},1),"0123456789ABCDEFGHIJKLMNOPQRSTUVWXYZ")-1)*{1,2,1,2,1,2,1,2,1,2,1,2,1,2}/36)+MOD((FIND(MID(AZ233,{1,2,3,4,5,6,7,8,9,10,11,12,13,14},1),"0123456789ABCDEFGHIJKLMNOPQRSTUVWXYZ")-1)*{1,2,1,2,1,2,1,2,1,2,1,2,1,2},36)),36),36)+1,1)=MID(AZ233,15,1),"OK","Typo? check digit wrong")),"Wrong format"))</f>
        <v/>
      </c>
      <c r="AW233" s="29">
        <f>IF(BA233="","",IF(AND(LEN(BA233)=10,SUMPRODUCT(--ISERROR(FIND(MID(BA233,{1,2,3,4,5,10},1),"ABCDEFGHIJKLMNOPQRSTUVWXYZ")))=0,SUMPRODUCT(--ISERROR(FIND(MID(BA233,{6,7,8,9},1),"0123456789")))=0),"OK","Wrong format"))</f>
        <v/>
      </c>
      <c r="AX233" s="29">
        <f>IF(TRIM(H233)="","",IF(AND(LEN(UPPER(TRIM(H233)))=10,SUMPRODUCT(--ISERROR(FIND(MID(UPPER(TRIM(H233)),{1,2,3,4,10},1),"ABCDEFGHIJKLMNOPQRSTUVWXYZ")))=0,SUMPRODUCT(--ISERROR(FIND(MID(UPPER(TRIM(H233)),{5,6,7,8,9},1),"0123456789")))=0),"OK","Wrong format"))</f>
        <v/>
      </c>
      <c r="AY233" s="30">
        <f>IF(NOT(COUNTA(A233:AE233)&gt;0),"",IF(BE233&lt;&gt;"","✖ "&amp;LEFT(BE233,LEN(BE233)-2),IF(BD233&gt;0,"✔ Ready — client + "&amp;BD233&amp;" service(s)","✔ Ready — client only")))</f>
        <v/>
      </c>
      <c r="AZ233" s="31">
        <f>UPPER(SUBSTITUTE(TRIM(F233)," ",""))</f>
        <v/>
      </c>
      <c r="BA233" s="31">
        <f>UPPER(SUBSTITUTE(TRIM(E233)," ",""))</f>
        <v/>
      </c>
      <c r="BB233" s="31">
        <f>IF(D233&lt;&gt;"",D233,IFERROR(VLOOKUP(MID(AS233,4,1),Lists!$E$2:$F$8,2,FALSE),""))</f>
        <v/>
      </c>
      <c r="BC233" s="31">
        <f>IFERROR(VLOOKUP(BB233,Lists!$A$2:$C$12,3,FALSE),"")</f>
        <v/>
      </c>
      <c r="BD233" s="31">
        <f>COUNTIF(W233:AC233,"Yes")</f>
        <v/>
      </c>
      <c r="BE233" s="31">
        <f>IF(TRIM(B233)="","Legal name missing; ","")&amp;IF(AND(AV233&lt;&gt;"",AV233&lt;&gt;"OK"),"GSTIN: "&amp;AV233&amp;"; ","")&amp;IF(AND(AW233&lt;&gt;"",AW233&lt;&gt;"OK"),"PAN wrong format; ","")&amp;IF(AND(BA233&lt;&gt;"",LEN(AZ233)=15,MID(AZ233,3,10)&lt;&gt;BA233),"PAN does not match GSTIN; ","")&amp;IF(AND(AX233&lt;&gt;"",AX233&lt;&gt;"OK"),"TAN wrong format; ","")&amp;IF(AS233="","PAN missing; ","")&amp;IF(BB233="","Entity type missing; ","")&amp;IF(AND(AZ233&lt;&gt;"",COUNTIF($AZ$6:$AZ$1005,AZ233)&gt;1),"GSTIN repeated in this sheet; ","")&amp;IF(AND(AS233&lt;&gt;"",COUNTIF($AS$6:$AS$1005,AS233)&gt;1),"PAN repeated in this sheet (same client? put extra GSTINs in Other GSTINs); ","")&amp;IF(AND(BD233&gt;0,V233=""),"Financial year missing; ","")&amp;IF(AND(BD233=0,V233&lt;&gt;""),"Financial year given but no service is Yes; ","")&amp;IF(AND(W233="Yes",AZ233=""),"GST needs a GSTIN; ","")&amp;IF(AND(W233="Yes",X233=""),"GST return frequency missing; ","")&amp;IF(AND(Y233="Yes",TRIM(H233)=""),"TDS needs a TAN; ","")&amp;IF(AND(AA233="Yes",BC233&lt;&gt;"",BC233&lt;&gt;"company",BC233&lt;&gt;"llp"),"ROC is only for a company / LLP; ","")&amp;IF(AND(AA233="Yes",OR(BC233="company",BC233="llp"),TRIM(I233)=""),"ROC needs the CIN / LLPIN; ","")&amp;IF((TRIM(AF233)="")&lt;&gt;(TRIM(AG233)=""),"GST login needs both user ID and password; ","")&amp;IF((TRIM(AH233)="")&lt;&gt;(TRIM(AI233)=""),"Income-tax login needs both user ID and password; ","")&amp;IF((TRIM(AJ233)="")&lt;&gt;(TRIM(AK233)=""),"Income-tax login needs both user ID and password; ","")&amp;IF((TRIM(AL233)="")&lt;&gt;(TRIM(AM233)=""),"TRACES login needs both user ID and password; ","")&amp;IF((TRIM(AN233)="")&lt;&gt;(TRIM(AO233)=""),"MCA login needs both user ID and password; ","")&amp;IF((TRIM(AP233)="")&lt;&gt;(TRIM(AQ233)=""),"E-way bill login needs both user ID and password; ","")</f>
        <v/>
      </c>
    </row>
    <row r="234">
      <c r="A234" s="32" t="n"/>
      <c r="B234" s="33" t="n"/>
      <c r="C234" s="33" t="n"/>
      <c r="D234" s="33" t="n"/>
      <c r="E234" s="32" t="n"/>
      <c r="F234" s="32" t="n"/>
      <c r="G234" s="32" t="n"/>
      <c r="H234" s="32" t="n"/>
      <c r="I234" s="32" t="n"/>
      <c r="J234" s="34" t="n"/>
      <c r="K234" s="33" t="n"/>
      <c r="L234" s="32" t="n"/>
      <c r="M234" s="33" t="n"/>
      <c r="N234" s="33" t="n"/>
      <c r="O234" s="33" t="n"/>
      <c r="P234" s="32" t="n"/>
      <c r="Q234" s="33" t="n"/>
      <c r="R234" s="33" t="n"/>
      <c r="S234" s="33" t="n"/>
      <c r="T234" s="33" t="n"/>
      <c r="U234" s="32" t="n"/>
      <c r="V234" s="33" t="n"/>
      <c r="W234" s="33" t="n"/>
      <c r="X234" s="33" t="n"/>
      <c r="Y234" s="33" t="n"/>
      <c r="Z234" s="33" t="n"/>
      <c r="AA234" s="33" t="n"/>
      <c r="AB234" s="33" t="n"/>
      <c r="AC234" s="33" t="n"/>
      <c r="AD234" s="33" t="n"/>
      <c r="AE234" s="33" t="n"/>
      <c r="AF234" s="32" t="n"/>
      <c r="AG234" s="32" t="n"/>
      <c r="AH234" s="32" t="n"/>
      <c r="AI234" s="32" t="n"/>
      <c r="AJ234" s="32" t="n"/>
      <c r="AK234" s="32" t="n"/>
      <c r="AL234" s="32" t="n"/>
      <c r="AM234" s="32" t="n"/>
      <c r="AN234" s="32" t="n"/>
      <c r="AO234" s="32" t="n"/>
      <c r="AP234" s="32" t="n"/>
      <c r="AQ234" s="32" t="n"/>
      <c r="AR234" s="29">
        <f>IF(NOT(COUNTA(A234:AE234)&gt;0),"",IF(A234="","New client","Update"))</f>
        <v/>
      </c>
      <c r="AS234" s="29">
        <f>IF(BA234&lt;&gt;"",BA234,IF(LEN(AZ234)=15,MID(AZ234,3,10),""))</f>
        <v/>
      </c>
      <c r="AT234" s="29">
        <f>IF(BB234="","",BB234&amp;IF(D234="","  (guessed from PAN)",""))</f>
        <v/>
      </c>
      <c r="AU234" s="29">
        <f>IF(AZ234="","",IFERROR(INDEX(Lists!$L$2:$L$38,MATCH(LEFT(AZ234,2),Lists!$K$2:$K$38,0)),"Unknown code"))</f>
        <v/>
      </c>
      <c r="AV234" s="29">
        <f>IF(AZ234="","",IFERROR(IF(NOT(AND(LEN(AZ234)=15,ISNUMBER(MATCH(LEFT(AZ234,2),Lists!$K$2:$K$38,0)),SUMPRODUCT(--ISERROR(FIND(MID(MID(AZ234,3,10),{1,2,3,4,5,10},1),"ABCDEFGHIJKLMNOPQRSTUVWXYZ")))=0,SUMPRODUCT(--ISERROR(FIND(MID(MID(AZ234,3,10),{6,7,8,9},1),"0123456789")))=0,ISNUMBER(FIND(MID(AZ234,13,1),"123456789ABCDEFGHIJKLMNOPQRSTUVWXYZ")),MID(AZ234,14,1)="Z")),"Wrong format",IF(MID("0123456789ABCDEFGHIJKLMNOPQRSTUVWXYZ",MOD(36-MOD(SUMPRODUCT(INT((FIND(MID(AZ234,{1,2,3,4,5,6,7,8,9,10,11,12,13,14},1),"0123456789ABCDEFGHIJKLMNOPQRSTUVWXYZ")-1)*{1,2,1,2,1,2,1,2,1,2,1,2,1,2}/36)+MOD((FIND(MID(AZ234,{1,2,3,4,5,6,7,8,9,10,11,12,13,14},1),"0123456789ABCDEFGHIJKLMNOPQRSTUVWXYZ")-1)*{1,2,1,2,1,2,1,2,1,2,1,2,1,2},36)),36),36)+1,1)=MID(AZ234,15,1),"OK","Typo? check digit wrong")),"Wrong format"))</f>
        <v/>
      </c>
      <c r="AW234" s="29">
        <f>IF(BA234="","",IF(AND(LEN(BA234)=10,SUMPRODUCT(--ISERROR(FIND(MID(BA234,{1,2,3,4,5,10},1),"ABCDEFGHIJKLMNOPQRSTUVWXYZ")))=0,SUMPRODUCT(--ISERROR(FIND(MID(BA234,{6,7,8,9},1),"0123456789")))=0),"OK","Wrong format"))</f>
        <v/>
      </c>
      <c r="AX234" s="29">
        <f>IF(TRIM(H234)="","",IF(AND(LEN(UPPER(TRIM(H234)))=10,SUMPRODUCT(--ISERROR(FIND(MID(UPPER(TRIM(H234)),{1,2,3,4,10},1),"ABCDEFGHIJKLMNOPQRSTUVWXYZ")))=0,SUMPRODUCT(--ISERROR(FIND(MID(UPPER(TRIM(H234)),{5,6,7,8,9},1),"0123456789")))=0),"OK","Wrong format"))</f>
        <v/>
      </c>
      <c r="AY234" s="30">
        <f>IF(NOT(COUNTA(A234:AE234)&gt;0),"",IF(BE234&lt;&gt;"","✖ "&amp;LEFT(BE234,LEN(BE234)-2),IF(BD234&gt;0,"✔ Ready — client + "&amp;BD234&amp;" service(s)","✔ Ready — client only")))</f>
        <v/>
      </c>
      <c r="AZ234" s="31">
        <f>UPPER(SUBSTITUTE(TRIM(F234)," ",""))</f>
        <v/>
      </c>
      <c r="BA234" s="31">
        <f>UPPER(SUBSTITUTE(TRIM(E234)," ",""))</f>
        <v/>
      </c>
      <c r="BB234" s="31">
        <f>IF(D234&lt;&gt;"",D234,IFERROR(VLOOKUP(MID(AS234,4,1),Lists!$E$2:$F$8,2,FALSE),""))</f>
        <v/>
      </c>
      <c r="BC234" s="31">
        <f>IFERROR(VLOOKUP(BB234,Lists!$A$2:$C$12,3,FALSE),"")</f>
        <v/>
      </c>
      <c r="BD234" s="31">
        <f>COUNTIF(W234:AC234,"Yes")</f>
        <v/>
      </c>
      <c r="BE234" s="31">
        <f>IF(TRIM(B234)="","Legal name missing; ","")&amp;IF(AND(AV234&lt;&gt;"",AV234&lt;&gt;"OK"),"GSTIN: "&amp;AV234&amp;"; ","")&amp;IF(AND(AW234&lt;&gt;"",AW234&lt;&gt;"OK"),"PAN wrong format; ","")&amp;IF(AND(BA234&lt;&gt;"",LEN(AZ234)=15,MID(AZ234,3,10)&lt;&gt;BA234),"PAN does not match GSTIN; ","")&amp;IF(AND(AX234&lt;&gt;"",AX234&lt;&gt;"OK"),"TAN wrong format; ","")&amp;IF(AS234="","PAN missing; ","")&amp;IF(BB234="","Entity type missing; ","")&amp;IF(AND(AZ234&lt;&gt;"",COUNTIF($AZ$6:$AZ$1005,AZ234)&gt;1),"GSTIN repeated in this sheet; ","")&amp;IF(AND(AS234&lt;&gt;"",COUNTIF($AS$6:$AS$1005,AS234)&gt;1),"PAN repeated in this sheet (same client? put extra GSTINs in Other GSTINs); ","")&amp;IF(AND(BD234&gt;0,V234=""),"Financial year missing; ","")&amp;IF(AND(BD234=0,V234&lt;&gt;""),"Financial year given but no service is Yes; ","")&amp;IF(AND(W234="Yes",AZ234=""),"GST needs a GSTIN; ","")&amp;IF(AND(W234="Yes",X234=""),"GST return frequency missing; ","")&amp;IF(AND(Y234="Yes",TRIM(H234)=""),"TDS needs a TAN; ","")&amp;IF(AND(AA234="Yes",BC234&lt;&gt;"",BC234&lt;&gt;"company",BC234&lt;&gt;"llp"),"ROC is only for a company / LLP; ","")&amp;IF(AND(AA234="Yes",OR(BC234="company",BC234="llp"),TRIM(I234)=""),"ROC needs the CIN / LLPIN; ","")&amp;IF((TRIM(AF234)="")&lt;&gt;(TRIM(AG234)=""),"GST login needs both user ID and password; ","")&amp;IF((TRIM(AH234)="")&lt;&gt;(TRIM(AI234)=""),"Income-tax login needs both user ID and password; ","")&amp;IF((TRIM(AJ234)="")&lt;&gt;(TRIM(AK234)=""),"Income-tax login needs both user ID and password; ","")&amp;IF((TRIM(AL234)="")&lt;&gt;(TRIM(AM234)=""),"TRACES login needs both user ID and password; ","")&amp;IF((TRIM(AN234)="")&lt;&gt;(TRIM(AO234)=""),"MCA login needs both user ID and password; ","")&amp;IF((TRIM(AP234)="")&lt;&gt;(TRIM(AQ234)=""),"E-way bill login needs both user ID and password; ","")</f>
        <v/>
      </c>
    </row>
    <row r="235">
      <c r="A235" s="32" t="n"/>
      <c r="B235" s="33" t="n"/>
      <c r="C235" s="33" t="n"/>
      <c r="D235" s="33" t="n"/>
      <c r="E235" s="32" t="n"/>
      <c r="F235" s="32" t="n"/>
      <c r="G235" s="32" t="n"/>
      <c r="H235" s="32" t="n"/>
      <c r="I235" s="32" t="n"/>
      <c r="J235" s="34" t="n"/>
      <c r="K235" s="33" t="n"/>
      <c r="L235" s="32" t="n"/>
      <c r="M235" s="33" t="n"/>
      <c r="N235" s="33" t="n"/>
      <c r="O235" s="33" t="n"/>
      <c r="P235" s="32" t="n"/>
      <c r="Q235" s="33" t="n"/>
      <c r="R235" s="33" t="n"/>
      <c r="S235" s="33" t="n"/>
      <c r="T235" s="33" t="n"/>
      <c r="U235" s="32" t="n"/>
      <c r="V235" s="33" t="n"/>
      <c r="W235" s="33" t="n"/>
      <c r="X235" s="33" t="n"/>
      <c r="Y235" s="33" t="n"/>
      <c r="Z235" s="33" t="n"/>
      <c r="AA235" s="33" t="n"/>
      <c r="AB235" s="33" t="n"/>
      <c r="AC235" s="33" t="n"/>
      <c r="AD235" s="33" t="n"/>
      <c r="AE235" s="33" t="n"/>
      <c r="AF235" s="32" t="n"/>
      <c r="AG235" s="32" t="n"/>
      <c r="AH235" s="32" t="n"/>
      <c r="AI235" s="32" t="n"/>
      <c r="AJ235" s="32" t="n"/>
      <c r="AK235" s="32" t="n"/>
      <c r="AL235" s="32" t="n"/>
      <c r="AM235" s="32" t="n"/>
      <c r="AN235" s="32" t="n"/>
      <c r="AO235" s="32" t="n"/>
      <c r="AP235" s="32" t="n"/>
      <c r="AQ235" s="32" t="n"/>
      <c r="AR235" s="29">
        <f>IF(NOT(COUNTA(A235:AE235)&gt;0),"",IF(A235="","New client","Update"))</f>
        <v/>
      </c>
      <c r="AS235" s="29">
        <f>IF(BA235&lt;&gt;"",BA235,IF(LEN(AZ235)=15,MID(AZ235,3,10),""))</f>
        <v/>
      </c>
      <c r="AT235" s="29">
        <f>IF(BB235="","",BB235&amp;IF(D235="","  (guessed from PAN)",""))</f>
        <v/>
      </c>
      <c r="AU235" s="29">
        <f>IF(AZ235="","",IFERROR(INDEX(Lists!$L$2:$L$38,MATCH(LEFT(AZ235,2),Lists!$K$2:$K$38,0)),"Unknown code"))</f>
        <v/>
      </c>
      <c r="AV235" s="29">
        <f>IF(AZ235="","",IFERROR(IF(NOT(AND(LEN(AZ235)=15,ISNUMBER(MATCH(LEFT(AZ235,2),Lists!$K$2:$K$38,0)),SUMPRODUCT(--ISERROR(FIND(MID(MID(AZ235,3,10),{1,2,3,4,5,10},1),"ABCDEFGHIJKLMNOPQRSTUVWXYZ")))=0,SUMPRODUCT(--ISERROR(FIND(MID(MID(AZ235,3,10),{6,7,8,9},1),"0123456789")))=0,ISNUMBER(FIND(MID(AZ235,13,1),"123456789ABCDEFGHIJKLMNOPQRSTUVWXYZ")),MID(AZ235,14,1)="Z")),"Wrong format",IF(MID("0123456789ABCDEFGHIJKLMNOPQRSTUVWXYZ",MOD(36-MOD(SUMPRODUCT(INT((FIND(MID(AZ235,{1,2,3,4,5,6,7,8,9,10,11,12,13,14},1),"0123456789ABCDEFGHIJKLMNOPQRSTUVWXYZ")-1)*{1,2,1,2,1,2,1,2,1,2,1,2,1,2}/36)+MOD((FIND(MID(AZ235,{1,2,3,4,5,6,7,8,9,10,11,12,13,14},1),"0123456789ABCDEFGHIJKLMNOPQRSTUVWXYZ")-1)*{1,2,1,2,1,2,1,2,1,2,1,2,1,2},36)),36),36)+1,1)=MID(AZ235,15,1),"OK","Typo? check digit wrong")),"Wrong format"))</f>
        <v/>
      </c>
      <c r="AW235" s="29">
        <f>IF(BA235="","",IF(AND(LEN(BA235)=10,SUMPRODUCT(--ISERROR(FIND(MID(BA235,{1,2,3,4,5,10},1),"ABCDEFGHIJKLMNOPQRSTUVWXYZ")))=0,SUMPRODUCT(--ISERROR(FIND(MID(BA235,{6,7,8,9},1),"0123456789")))=0),"OK","Wrong format"))</f>
        <v/>
      </c>
      <c r="AX235" s="29">
        <f>IF(TRIM(H235)="","",IF(AND(LEN(UPPER(TRIM(H235)))=10,SUMPRODUCT(--ISERROR(FIND(MID(UPPER(TRIM(H235)),{1,2,3,4,10},1),"ABCDEFGHIJKLMNOPQRSTUVWXYZ")))=0,SUMPRODUCT(--ISERROR(FIND(MID(UPPER(TRIM(H235)),{5,6,7,8,9},1),"0123456789")))=0),"OK","Wrong format"))</f>
        <v/>
      </c>
      <c r="AY235" s="30">
        <f>IF(NOT(COUNTA(A235:AE235)&gt;0),"",IF(BE235&lt;&gt;"","✖ "&amp;LEFT(BE235,LEN(BE235)-2),IF(BD235&gt;0,"✔ Ready — client + "&amp;BD235&amp;" service(s)","✔ Ready — client only")))</f>
        <v/>
      </c>
      <c r="AZ235" s="31">
        <f>UPPER(SUBSTITUTE(TRIM(F235)," ",""))</f>
        <v/>
      </c>
      <c r="BA235" s="31">
        <f>UPPER(SUBSTITUTE(TRIM(E235)," ",""))</f>
        <v/>
      </c>
      <c r="BB235" s="31">
        <f>IF(D235&lt;&gt;"",D235,IFERROR(VLOOKUP(MID(AS235,4,1),Lists!$E$2:$F$8,2,FALSE),""))</f>
        <v/>
      </c>
      <c r="BC235" s="31">
        <f>IFERROR(VLOOKUP(BB235,Lists!$A$2:$C$12,3,FALSE),"")</f>
        <v/>
      </c>
      <c r="BD235" s="31">
        <f>COUNTIF(W235:AC235,"Yes")</f>
        <v/>
      </c>
      <c r="BE235" s="31">
        <f>IF(TRIM(B235)="","Legal name missing; ","")&amp;IF(AND(AV235&lt;&gt;"",AV235&lt;&gt;"OK"),"GSTIN: "&amp;AV235&amp;"; ","")&amp;IF(AND(AW235&lt;&gt;"",AW235&lt;&gt;"OK"),"PAN wrong format; ","")&amp;IF(AND(BA235&lt;&gt;"",LEN(AZ235)=15,MID(AZ235,3,10)&lt;&gt;BA235),"PAN does not match GSTIN; ","")&amp;IF(AND(AX235&lt;&gt;"",AX235&lt;&gt;"OK"),"TAN wrong format; ","")&amp;IF(AS235="","PAN missing; ","")&amp;IF(BB235="","Entity type missing; ","")&amp;IF(AND(AZ235&lt;&gt;"",COUNTIF($AZ$6:$AZ$1005,AZ235)&gt;1),"GSTIN repeated in this sheet; ","")&amp;IF(AND(AS235&lt;&gt;"",COUNTIF($AS$6:$AS$1005,AS235)&gt;1),"PAN repeated in this sheet (same client? put extra GSTINs in Other GSTINs); ","")&amp;IF(AND(BD235&gt;0,V235=""),"Financial year missing; ","")&amp;IF(AND(BD235=0,V235&lt;&gt;""),"Financial year given but no service is Yes; ","")&amp;IF(AND(W235="Yes",AZ235=""),"GST needs a GSTIN; ","")&amp;IF(AND(W235="Yes",X235=""),"GST return frequency missing; ","")&amp;IF(AND(Y235="Yes",TRIM(H235)=""),"TDS needs a TAN; ","")&amp;IF(AND(AA235="Yes",BC235&lt;&gt;"",BC235&lt;&gt;"company",BC235&lt;&gt;"llp"),"ROC is only for a company / LLP; ","")&amp;IF(AND(AA235="Yes",OR(BC235="company",BC235="llp"),TRIM(I235)=""),"ROC needs the CIN / LLPIN; ","")&amp;IF((TRIM(AF235)="")&lt;&gt;(TRIM(AG235)=""),"GST login needs both user ID and password; ","")&amp;IF((TRIM(AH235)="")&lt;&gt;(TRIM(AI235)=""),"Income-tax login needs both user ID and password; ","")&amp;IF((TRIM(AJ235)="")&lt;&gt;(TRIM(AK235)=""),"Income-tax login needs both user ID and password; ","")&amp;IF((TRIM(AL235)="")&lt;&gt;(TRIM(AM235)=""),"TRACES login needs both user ID and password; ","")&amp;IF((TRIM(AN235)="")&lt;&gt;(TRIM(AO235)=""),"MCA login needs both user ID and password; ","")&amp;IF((TRIM(AP235)="")&lt;&gt;(TRIM(AQ235)=""),"E-way bill login needs both user ID and password; ","")</f>
        <v/>
      </c>
    </row>
    <row r="236">
      <c r="A236" s="32" t="n"/>
      <c r="B236" s="33" t="n"/>
      <c r="C236" s="33" t="n"/>
      <c r="D236" s="33" t="n"/>
      <c r="E236" s="32" t="n"/>
      <c r="F236" s="32" t="n"/>
      <c r="G236" s="32" t="n"/>
      <c r="H236" s="32" t="n"/>
      <c r="I236" s="32" t="n"/>
      <c r="J236" s="34" t="n"/>
      <c r="K236" s="33" t="n"/>
      <c r="L236" s="32" t="n"/>
      <c r="M236" s="33" t="n"/>
      <c r="N236" s="33" t="n"/>
      <c r="O236" s="33" t="n"/>
      <c r="P236" s="32" t="n"/>
      <c r="Q236" s="33" t="n"/>
      <c r="R236" s="33" t="n"/>
      <c r="S236" s="33" t="n"/>
      <c r="T236" s="33" t="n"/>
      <c r="U236" s="32" t="n"/>
      <c r="V236" s="33" t="n"/>
      <c r="W236" s="33" t="n"/>
      <c r="X236" s="33" t="n"/>
      <c r="Y236" s="33" t="n"/>
      <c r="Z236" s="33" t="n"/>
      <c r="AA236" s="33" t="n"/>
      <c r="AB236" s="33" t="n"/>
      <c r="AC236" s="33" t="n"/>
      <c r="AD236" s="33" t="n"/>
      <c r="AE236" s="33" t="n"/>
      <c r="AF236" s="32" t="n"/>
      <c r="AG236" s="32" t="n"/>
      <c r="AH236" s="32" t="n"/>
      <c r="AI236" s="32" t="n"/>
      <c r="AJ236" s="32" t="n"/>
      <c r="AK236" s="32" t="n"/>
      <c r="AL236" s="32" t="n"/>
      <c r="AM236" s="32" t="n"/>
      <c r="AN236" s="32" t="n"/>
      <c r="AO236" s="32" t="n"/>
      <c r="AP236" s="32" t="n"/>
      <c r="AQ236" s="32" t="n"/>
      <c r="AR236" s="29">
        <f>IF(NOT(COUNTA(A236:AE236)&gt;0),"",IF(A236="","New client","Update"))</f>
        <v/>
      </c>
      <c r="AS236" s="29">
        <f>IF(BA236&lt;&gt;"",BA236,IF(LEN(AZ236)=15,MID(AZ236,3,10),""))</f>
        <v/>
      </c>
      <c r="AT236" s="29">
        <f>IF(BB236="","",BB236&amp;IF(D236="","  (guessed from PAN)",""))</f>
        <v/>
      </c>
      <c r="AU236" s="29">
        <f>IF(AZ236="","",IFERROR(INDEX(Lists!$L$2:$L$38,MATCH(LEFT(AZ236,2),Lists!$K$2:$K$38,0)),"Unknown code"))</f>
        <v/>
      </c>
      <c r="AV236" s="29">
        <f>IF(AZ236="","",IFERROR(IF(NOT(AND(LEN(AZ236)=15,ISNUMBER(MATCH(LEFT(AZ236,2),Lists!$K$2:$K$38,0)),SUMPRODUCT(--ISERROR(FIND(MID(MID(AZ236,3,10),{1,2,3,4,5,10},1),"ABCDEFGHIJKLMNOPQRSTUVWXYZ")))=0,SUMPRODUCT(--ISERROR(FIND(MID(MID(AZ236,3,10),{6,7,8,9},1),"0123456789")))=0,ISNUMBER(FIND(MID(AZ236,13,1),"123456789ABCDEFGHIJKLMNOPQRSTUVWXYZ")),MID(AZ236,14,1)="Z")),"Wrong format",IF(MID("0123456789ABCDEFGHIJKLMNOPQRSTUVWXYZ",MOD(36-MOD(SUMPRODUCT(INT((FIND(MID(AZ236,{1,2,3,4,5,6,7,8,9,10,11,12,13,14},1),"0123456789ABCDEFGHIJKLMNOPQRSTUVWXYZ")-1)*{1,2,1,2,1,2,1,2,1,2,1,2,1,2}/36)+MOD((FIND(MID(AZ236,{1,2,3,4,5,6,7,8,9,10,11,12,13,14},1),"0123456789ABCDEFGHIJKLMNOPQRSTUVWXYZ")-1)*{1,2,1,2,1,2,1,2,1,2,1,2,1,2},36)),36),36)+1,1)=MID(AZ236,15,1),"OK","Typo? check digit wrong")),"Wrong format"))</f>
        <v/>
      </c>
      <c r="AW236" s="29">
        <f>IF(BA236="","",IF(AND(LEN(BA236)=10,SUMPRODUCT(--ISERROR(FIND(MID(BA236,{1,2,3,4,5,10},1),"ABCDEFGHIJKLMNOPQRSTUVWXYZ")))=0,SUMPRODUCT(--ISERROR(FIND(MID(BA236,{6,7,8,9},1),"0123456789")))=0),"OK","Wrong format"))</f>
        <v/>
      </c>
      <c r="AX236" s="29">
        <f>IF(TRIM(H236)="","",IF(AND(LEN(UPPER(TRIM(H236)))=10,SUMPRODUCT(--ISERROR(FIND(MID(UPPER(TRIM(H236)),{1,2,3,4,10},1),"ABCDEFGHIJKLMNOPQRSTUVWXYZ")))=0,SUMPRODUCT(--ISERROR(FIND(MID(UPPER(TRIM(H236)),{5,6,7,8,9},1),"0123456789")))=0),"OK","Wrong format"))</f>
        <v/>
      </c>
      <c r="AY236" s="30">
        <f>IF(NOT(COUNTA(A236:AE236)&gt;0),"",IF(BE236&lt;&gt;"","✖ "&amp;LEFT(BE236,LEN(BE236)-2),IF(BD236&gt;0,"✔ Ready — client + "&amp;BD236&amp;" service(s)","✔ Ready — client only")))</f>
        <v/>
      </c>
      <c r="AZ236" s="31">
        <f>UPPER(SUBSTITUTE(TRIM(F236)," ",""))</f>
        <v/>
      </c>
      <c r="BA236" s="31">
        <f>UPPER(SUBSTITUTE(TRIM(E236)," ",""))</f>
        <v/>
      </c>
      <c r="BB236" s="31">
        <f>IF(D236&lt;&gt;"",D236,IFERROR(VLOOKUP(MID(AS236,4,1),Lists!$E$2:$F$8,2,FALSE),""))</f>
        <v/>
      </c>
      <c r="BC236" s="31">
        <f>IFERROR(VLOOKUP(BB236,Lists!$A$2:$C$12,3,FALSE),"")</f>
        <v/>
      </c>
      <c r="BD236" s="31">
        <f>COUNTIF(W236:AC236,"Yes")</f>
        <v/>
      </c>
      <c r="BE236" s="31">
        <f>IF(TRIM(B236)="","Legal name missing; ","")&amp;IF(AND(AV236&lt;&gt;"",AV236&lt;&gt;"OK"),"GSTIN: "&amp;AV236&amp;"; ","")&amp;IF(AND(AW236&lt;&gt;"",AW236&lt;&gt;"OK"),"PAN wrong format; ","")&amp;IF(AND(BA236&lt;&gt;"",LEN(AZ236)=15,MID(AZ236,3,10)&lt;&gt;BA236),"PAN does not match GSTIN; ","")&amp;IF(AND(AX236&lt;&gt;"",AX236&lt;&gt;"OK"),"TAN wrong format; ","")&amp;IF(AS236="","PAN missing; ","")&amp;IF(BB236="","Entity type missing; ","")&amp;IF(AND(AZ236&lt;&gt;"",COUNTIF($AZ$6:$AZ$1005,AZ236)&gt;1),"GSTIN repeated in this sheet; ","")&amp;IF(AND(AS236&lt;&gt;"",COUNTIF($AS$6:$AS$1005,AS236)&gt;1),"PAN repeated in this sheet (same client? put extra GSTINs in Other GSTINs); ","")&amp;IF(AND(BD236&gt;0,V236=""),"Financial year missing; ","")&amp;IF(AND(BD236=0,V236&lt;&gt;""),"Financial year given but no service is Yes; ","")&amp;IF(AND(W236="Yes",AZ236=""),"GST needs a GSTIN; ","")&amp;IF(AND(W236="Yes",X236=""),"GST return frequency missing; ","")&amp;IF(AND(Y236="Yes",TRIM(H236)=""),"TDS needs a TAN; ","")&amp;IF(AND(AA236="Yes",BC236&lt;&gt;"",BC236&lt;&gt;"company",BC236&lt;&gt;"llp"),"ROC is only for a company / LLP; ","")&amp;IF(AND(AA236="Yes",OR(BC236="company",BC236="llp"),TRIM(I236)=""),"ROC needs the CIN / LLPIN; ","")&amp;IF((TRIM(AF236)="")&lt;&gt;(TRIM(AG236)=""),"GST login needs both user ID and password; ","")&amp;IF((TRIM(AH236)="")&lt;&gt;(TRIM(AI236)=""),"Income-tax login needs both user ID and password; ","")&amp;IF((TRIM(AJ236)="")&lt;&gt;(TRIM(AK236)=""),"Income-tax login needs both user ID and password; ","")&amp;IF((TRIM(AL236)="")&lt;&gt;(TRIM(AM236)=""),"TRACES login needs both user ID and password; ","")&amp;IF((TRIM(AN236)="")&lt;&gt;(TRIM(AO236)=""),"MCA login needs both user ID and password; ","")&amp;IF((TRIM(AP236)="")&lt;&gt;(TRIM(AQ236)=""),"E-way bill login needs both user ID and password; ","")</f>
        <v/>
      </c>
    </row>
    <row r="237">
      <c r="A237" s="32" t="n"/>
      <c r="B237" s="33" t="n"/>
      <c r="C237" s="33" t="n"/>
      <c r="D237" s="33" t="n"/>
      <c r="E237" s="32" t="n"/>
      <c r="F237" s="32" t="n"/>
      <c r="G237" s="32" t="n"/>
      <c r="H237" s="32" t="n"/>
      <c r="I237" s="32" t="n"/>
      <c r="J237" s="34" t="n"/>
      <c r="K237" s="33" t="n"/>
      <c r="L237" s="32" t="n"/>
      <c r="M237" s="33" t="n"/>
      <c r="N237" s="33" t="n"/>
      <c r="O237" s="33" t="n"/>
      <c r="P237" s="32" t="n"/>
      <c r="Q237" s="33" t="n"/>
      <c r="R237" s="33" t="n"/>
      <c r="S237" s="33" t="n"/>
      <c r="T237" s="33" t="n"/>
      <c r="U237" s="32" t="n"/>
      <c r="V237" s="33" t="n"/>
      <c r="W237" s="33" t="n"/>
      <c r="X237" s="33" t="n"/>
      <c r="Y237" s="33" t="n"/>
      <c r="Z237" s="33" t="n"/>
      <c r="AA237" s="33" t="n"/>
      <c r="AB237" s="33" t="n"/>
      <c r="AC237" s="33" t="n"/>
      <c r="AD237" s="33" t="n"/>
      <c r="AE237" s="33" t="n"/>
      <c r="AF237" s="32" t="n"/>
      <c r="AG237" s="32" t="n"/>
      <c r="AH237" s="32" t="n"/>
      <c r="AI237" s="32" t="n"/>
      <c r="AJ237" s="32" t="n"/>
      <c r="AK237" s="32" t="n"/>
      <c r="AL237" s="32" t="n"/>
      <c r="AM237" s="32" t="n"/>
      <c r="AN237" s="32" t="n"/>
      <c r="AO237" s="32" t="n"/>
      <c r="AP237" s="32" t="n"/>
      <c r="AQ237" s="32" t="n"/>
      <c r="AR237" s="29">
        <f>IF(NOT(COUNTA(A237:AE237)&gt;0),"",IF(A237="","New client","Update"))</f>
        <v/>
      </c>
      <c r="AS237" s="29">
        <f>IF(BA237&lt;&gt;"",BA237,IF(LEN(AZ237)=15,MID(AZ237,3,10),""))</f>
        <v/>
      </c>
      <c r="AT237" s="29">
        <f>IF(BB237="","",BB237&amp;IF(D237="","  (guessed from PAN)",""))</f>
        <v/>
      </c>
      <c r="AU237" s="29">
        <f>IF(AZ237="","",IFERROR(INDEX(Lists!$L$2:$L$38,MATCH(LEFT(AZ237,2),Lists!$K$2:$K$38,0)),"Unknown code"))</f>
        <v/>
      </c>
      <c r="AV237" s="29">
        <f>IF(AZ237="","",IFERROR(IF(NOT(AND(LEN(AZ237)=15,ISNUMBER(MATCH(LEFT(AZ237,2),Lists!$K$2:$K$38,0)),SUMPRODUCT(--ISERROR(FIND(MID(MID(AZ237,3,10),{1,2,3,4,5,10},1),"ABCDEFGHIJKLMNOPQRSTUVWXYZ")))=0,SUMPRODUCT(--ISERROR(FIND(MID(MID(AZ237,3,10),{6,7,8,9},1),"0123456789")))=0,ISNUMBER(FIND(MID(AZ237,13,1),"123456789ABCDEFGHIJKLMNOPQRSTUVWXYZ")),MID(AZ237,14,1)="Z")),"Wrong format",IF(MID("0123456789ABCDEFGHIJKLMNOPQRSTUVWXYZ",MOD(36-MOD(SUMPRODUCT(INT((FIND(MID(AZ237,{1,2,3,4,5,6,7,8,9,10,11,12,13,14},1),"0123456789ABCDEFGHIJKLMNOPQRSTUVWXYZ")-1)*{1,2,1,2,1,2,1,2,1,2,1,2,1,2}/36)+MOD((FIND(MID(AZ237,{1,2,3,4,5,6,7,8,9,10,11,12,13,14},1),"0123456789ABCDEFGHIJKLMNOPQRSTUVWXYZ")-1)*{1,2,1,2,1,2,1,2,1,2,1,2,1,2},36)),36),36)+1,1)=MID(AZ237,15,1),"OK","Typo? check digit wrong")),"Wrong format"))</f>
        <v/>
      </c>
      <c r="AW237" s="29">
        <f>IF(BA237="","",IF(AND(LEN(BA237)=10,SUMPRODUCT(--ISERROR(FIND(MID(BA237,{1,2,3,4,5,10},1),"ABCDEFGHIJKLMNOPQRSTUVWXYZ")))=0,SUMPRODUCT(--ISERROR(FIND(MID(BA237,{6,7,8,9},1),"0123456789")))=0),"OK","Wrong format"))</f>
        <v/>
      </c>
      <c r="AX237" s="29">
        <f>IF(TRIM(H237)="","",IF(AND(LEN(UPPER(TRIM(H237)))=10,SUMPRODUCT(--ISERROR(FIND(MID(UPPER(TRIM(H237)),{1,2,3,4,10},1),"ABCDEFGHIJKLMNOPQRSTUVWXYZ")))=0,SUMPRODUCT(--ISERROR(FIND(MID(UPPER(TRIM(H237)),{5,6,7,8,9},1),"0123456789")))=0),"OK","Wrong format"))</f>
        <v/>
      </c>
      <c r="AY237" s="30">
        <f>IF(NOT(COUNTA(A237:AE237)&gt;0),"",IF(BE237&lt;&gt;"","✖ "&amp;LEFT(BE237,LEN(BE237)-2),IF(BD237&gt;0,"✔ Ready — client + "&amp;BD237&amp;" service(s)","✔ Ready — client only")))</f>
        <v/>
      </c>
      <c r="AZ237" s="31">
        <f>UPPER(SUBSTITUTE(TRIM(F237)," ",""))</f>
        <v/>
      </c>
      <c r="BA237" s="31">
        <f>UPPER(SUBSTITUTE(TRIM(E237)," ",""))</f>
        <v/>
      </c>
      <c r="BB237" s="31">
        <f>IF(D237&lt;&gt;"",D237,IFERROR(VLOOKUP(MID(AS237,4,1),Lists!$E$2:$F$8,2,FALSE),""))</f>
        <v/>
      </c>
      <c r="BC237" s="31">
        <f>IFERROR(VLOOKUP(BB237,Lists!$A$2:$C$12,3,FALSE),"")</f>
        <v/>
      </c>
      <c r="BD237" s="31">
        <f>COUNTIF(W237:AC237,"Yes")</f>
        <v/>
      </c>
      <c r="BE237" s="31">
        <f>IF(TRIM(B237)="","Legal name missing; ","")&amp;IF(AND(AV237&lt;&gt;"",AV237&lt;&gt;"OK"),"GSTIN: "&amp;AV237&amp;"; ","")&amp;IF(AND(AW237&lt;&gt;"",AW237&lt;&gt;"OK"),"PAN wrong format; ","")&amp;IF(AND(BA237&lt;&gt;"",LEN(AZ237)=15,MID(AZ237,3,10)&lt;&gt;BA237),"PAN does not match GSTIN; ","")&amp;IF(AND(AX237&lt;&gt;"",AX237&lt;&gt;"OK"),"TAN wrong format; ","")&amp;IF(AS237="","PAN missing; ","")&amp;IF(BB237="","Entity type missing; ","")&amp;IF(AND(AZ237&lt;&gt;"",COUNTIF($AZ$6:$AZ$1005,AZ237)&gt;1),"GSTIN repeated in this sheet; ","")&amp;IF(AND(AS237&lt;&gt;"",COUNTIF($AS$6:$AS$1005,AS237)&gt;1),"PAN repeated in this sheet (same client? put extra GSTINs in Other GSTINs); ","")&amp;IF(AND(BD237&gt;0,V237=""),"Financial year missing; ","")&amp;IF(AND(BD237=0,V237&lt;&gt;""),"Financial year given but no service is Yes; ","")&amp;IF(AND(W237="Yes",AZ237=""),"GST needs a GSTIN; ","")&amp;IF(AND(W237="Yes",X237=""),"GST return frequency missing; ","")&amp;IF(AND(Y237="Yes",TRIM(H237)=""),"TDS needs a TAN; ","")&amp;IF(AND(AA237="Yes",BC237&lt;&gt;"",BC237&lt;&gt;"company",BC237&lt;&gt;"llp"),"ROC is only for a company / LLP; ","")&amp;IF(AND(AA237="Yes",OR(BC237="company",BC237="llp"),TRIM(I237)=""),"ROC needs the CIN / LLPIN; ","")&amp;IF((TRIM(AF237)="")&lt;&gt;(TRIM(AG237)=""),"GST login needs both user ID and password; ","")&amp;IF((TRIM(AH237)="")&lt;&gt;(TRIM(AI237)=""),"Income-tax login needs both user ID and password; ","")&amp;IF((TRIM(AJ237)="")&lt;&gt;(TRIM(AK237)=""),"Income-tax login needs both user ID and password; ","")&amp;IF((TRIM(AL237)="")&lt;&gt;(TRIM(AM237)=""),"TRACES login needs both user ID and password; ","")&amp;IF((TRIM(AN237)="")&lt;&gt;(TRIM(AO237)=""),"MCA login needs both user ID and password; ","")&amp;IF((TRIM(AP237)="")&lt;&gt;(TRIM(AQ237)=""),"E-way bill login needs both user ID and password; ","")</f>
        <v/>
      </c>
    </row>
    <row r="238">
      <c r="A238" s="32" t="n"/>
      <c r="B238" s="33" t="n"/>
      <c r="C238" s="33" t="n"/>
      <c r="D238" s="33" t="n"/>
      <c r="E238" s="32" t="n"/>
      <c r="F238" s="32" t="n"/>
      <c r="G238" s="32" t="n"/>
      <c r="H238" s="32" t="n"/>
      <c r="I238" s="32" t="n"/>
      <c r="J238" s="34" t="n"/>
      <c r="K238" s="33" t="n"/>
      <c r="L238" s="32" t="n"/>
      <c r="M238" s="33" t="n"/>
      <c r="N238" s="33" t="n"/>
      <c r="O238" s="33" t="n"/>
      <c r="P238" s="32" t="n"/>
      <c r="Q238" s="33" t="n"/>
      <c r="R238" s="33" t="n"/>
      <c r="S238" s="33" t="n"/>
      <c r="T238" s="33" t="n"/>
      <c r="U238" s="32" t="n"/>
      <c r="V238" s="33" t="n"/>
      <c r="W238" s="33" t="n"/>
      <c r="X238" s="33" t="n"/>
      <c r="Y238" s="33" t="n"/>
      <c r="Z238" s="33" t="n"/>
      <c r="AA238" s="33" t="n"/>
      <c r="AB238" s="33" t="n"/>
      <c r="AC238" s="33" t="n"/>
      <c r="AD238" s="33" t="n"/>
      <c r="AE238" s="33" t="n"/>
      <c r="AF238" s="32" t="n"/>
      <c r="AG238" s="32" t="n"/>
      <c r="AH238" s="32" t="n"/>
      <c r="AI238" s="32" t="n"/>
      <c r="AJ238" s="32" t="n"/>
      <c r="AK238" s="32" t="n"/>
      <c r="AL238" s="32" t="n"/>
      <c r="AM238" s="32" t="n"/>
      <c r="AN238" s="32" t="n"/>
      <c r="AO238" s="32" t="n"/>
      <c r="AP238" s="32" t="n"/>
      <c r="AQ238" s="32" t="n"/>
      <c r="AR238" s="29">
        <f>IF(NOT(COUNTA(A238:AE238)&gt;0),"",IF(A238="","New client","Update"))</f>
        <v/>
      </c>
      <c r="AS238" s="29">
        <f>IF(BA238&lt;&gt;"",BA238,IF(LEN(AZ238)=15,MID(AZ238,3,10),""))</f>
        <v/>
      </c>
      <c r="AT238" s="29">
        <f>IF(BB238="","",BB238&amp;IF(D238="","  (guessed from PAN)",""))</f>
        <v/>
      </c>
      <c r="AU238" s="29">
        <f>IF(AZ238="","",IFERROR(INDEX(Lists!$L$2:$L$38,MATCH(LEFT(AZ238,2),Lists!$K$2:$K$38,0)),"Unknown code"))</f>
        <v/>
      </c>
      <c r="AV238" s="29">
        <f>IF(AZ238="","",IFERROR(IF(NOT(AND(LEN(AZ238)=15,ISNUMBER(MATCH(LEFT(AZ238,2),Lists!$K$2:$K$38,0)),SUMPRODUCT(--ISERROR(FIND(MID(MID(AZ238,3,10),{1,2,3,4,5,10},1),"ABCDEFGHIJKLMNOPQRSTUVWXYZ")))=0,SUMPRODUCT(--ISERROR(FIND(MID(MID(AZ238,3,10),{6,7,8,9},1),"0123456789")))=0,ISNUMBER(FIND(MID(AZ238,13,1),"123456789ABCDEFGHIJKLMNOPQRSTUVWXYZ")),MID(AZ238,14,1)="Z")),"Wrong format",IF(MID("0123456789ABCDEFGHIJKLMNOPQRSTUVWXYZ",MOD(36-MOD(SUMPRODUCT(INT((FIND(MID(AZ238,{1,2,3,4,5,6,7,8,9,10,11,12,13,14},1),"0123456789ABCDEFGHIJKLMNOPQRSTUVWXYZ")-1)*{1,2,1,2,1,2,1,2,1,2,1,2,1,2}/36)+MOD((FIND(MID(AZ238,{1,2,3,4,5,6,7,8,9,10,11,12,13,14},1),"0123456789ABCDEFGHIJKLMNOPQRSTUVWXYZ")-1)*{1,2,1,2,1,2,1,2,1,2,1,2,1,2},36)),36),36)+1,1)=MID(AZ238,15,1),"OK","Typo? check digit wrong")),"Wrong format"))</f>
        <v/>
      </c>
      <c r="AW238" s="29">
        <f>IF(BA238="","",IF(AND(LEN(BA238)=10,SUMPRODUCT(--ISERROR(FIND(MID(BA238,{1,2,3,4,5,10},1),"ABCDEFGHIJKLMNOPQRSTUVWXYZ")))=0,SUMPRODUCT(--ISERROR(FIND(MID(BA238,{6,7,8,9},1),"0123456789")))=0),"OK","Wrong format"))</f>
        <v/>
      </c>
      <c r="AX238" s="29">
        <f>IF(TRIM(H238)="","",IF(AND(LEN(UPPER(TRIM(H238)))=10,SUMPRODUCT(--ISERROR(FIND(MID(UPPER(TRIM(H238)),{1,2,3,4,10},1),"ABCDEFGHIJKLMNOPQRSTUVWXYZ")))=0,SUMPRODUCT(--ISERROR(FIND(MID(UPPER(TRIM(H238)),{5,6,7,8,9},1),"0123456789")))=0),"OK","Wrong format"))</f>
        <v/>
      </c>
      <c r="AY238" s="30">
        <f>IF(NOT(COUNTA(A238:AE238)&gt;0),"",IF(BE238&lt;&gt;"","✖ "&amp;LEFT(BE238,LEN(BE238)-2),IF(BD238&gt;0,"✔ Ready — client + "&amp;BD238&amp;" service(s)","✔ Ready — client only")))</f>
        <v/>
      </c>
      <c r="AZ238" s="31">
        <f>UPPER(SUBSTITUTE(TRIM(F238)," ",""))</f>
        <v/>
      </c>
      <c r="BA238" s="31">
        <f>UPPER(SUBSTITUTE(TRIM(E238)," ",""))</f>
        <v/>
      </c>
      <c r="BB238" s="31">
        <f>IF(D238&lt;&gt;"",D238,IFERROR(VLOOKUP(MID(AS238,4,1),Lists!$E$2:$F$8,2,FALSE),""))</f>
        <v/>
      </c>
      <c r="BC238" s="31">
        <f>IFERROR(VLOOKUP(BB238,Lists!$A$2:$C$12,3,FALSE),"")</f>
        <v/>
      </c>
      <c r="BD238" s="31">
        <f>COUNTIF(W238:AC238,"Yes")</f>
        <v/>
      </c>
      <c r="BE238" s="31">
        <f>IF(TRIM(B238)="","Legal name missing; ","")&amp;IF(AND(AV238&lt;&gt;"",AV238&lt;&gt;"OK"),"GSTIN: "&amp;AV238&amp;"; ","")&amp;IF(AND(AW238&lt;&gt;"",AW238&lt;&gt;"OK"),"PAN wrong format; ","")&amp;IF(AND(BA238&lt;&gt;"",LEN(AZ238)=15,MID(AZ238,3,10)&lt;&gt;BA238),"PAN does not match GSTIN; ","")&amp;IF(AND(AX238&lt;&gt;"",AX238&lt;&gt;"OK"),"TAN wrong format; ","")&amp;IF(AS238="","PAN missing; ","")&amp;IF(BB238="","Entity type missing; ","")&amp;IF(AND(AZ238&lt;&gt;"",COUNTIF($AZ$6:$AZ$1005,AZ238)&gt;1),"GSTIN repeated in this sheet; ","")&amp;IF(AND(AS238&lt;&gt;"",COUNTIF($AS$6:$AS$1005,AS238)&gt;1),"PAN repeated in this sheet (same client? put extra GSTINs in Other GSTINs); ","")&amp;IF(AND(BD238&gt;0,V238=""),"Financial year missing; ","")&amp;IF(AND(BD238=0,V238&lt;&gt;""),"Financial year given but no service is Yes; ","")&amp;IF(AND(W238="Yes",AZ238=""),"GST needs a GSTIN; ","")&amp;IF(AND(W238="Yes",X238=""),"GST return frequency missing; ","")&amp;IF(AND(Y238="Yes",TRIM(H238)=""),"TDS needs a TAN; ","")&amp;IF(AND(AA238="Yes",BC238&lt;&gt;"",BC238&lt;&gt;"company",BC238&lt;&gt;"llp"),"ROC is only for a company / LLP; ","")&amp;IF(AND(AA238="Yes",OR(BC238="company",BC238="llp"),TRIM(I238)=""),"ROC needs the CIN / LLPIN; ","")&amp;IF((TRIM(AF238)="")&lt;&gt;(TRIM(AG238)=""),"GST login needs both user ID and password; ","")&amp;IF((TRIM(AH238)="")&lt;&gt;(TRIM(AI238)=""),"Income-tax login needs both user ID and password; ","")&amp;IF((TRIM(AJ238)="")&lt;&gt;(TRIM(AK238)=""),"Income-tax login needs both user ID and password; ","")&amp;IF((TRIM(AL238)="")&lt;&gt;(TRIM(AM238)=""),"TRACES login needs both user ID and password; ","")&amp;IF((TRIM(AN238)="")&lt;&gt;(TRIM(AO238)=""),"MCA login needs both user ID and password; ","")&amp;IF((TRIM(AP238)="")&lt;&gt;(TRIM(AQ238)=""),"E-way bill login needs both user ID and password; ","")</f>
        <v/>
      </c>
    </row>
    <row r="239">
      <c r="A239" s="32" t="n"/>
      <c r="B239" s="33" t="n"/>
      <c r="C239" s="33" t="n"/>
      <c r="D239" s="33" t="n"/>
      <c r="E239" s="32" t="n"/>
      <c r="F239" s="32" t="n"/>
      <c r="G239" s="32" t="n"/>
      <c r="H239" s="32" t="n"/>
      <c r="I239" s="32" t="n"/>
      <c r="J239" s="34" t="n"/>
      <c r="K239" s="33" t="n"/>
      <c r="L239" s="32" t="n"/>
      <c r="M239" s="33" t="n"/>
      <c r="N239" s="33" t="n"/>
      <c r="O239" s="33" t="n"/>
      <c r="P239" s="32" t="n"/>
      <c r="Q239" s="33" t="n"/>
      <c r="R239" s="33" t="n"/>
      <c r="S239" s="33" t="n"/>
      <c r="T239" s="33" t="n"/>
      <c r="U239" s="32" t="n"/>
      <c r="V239" s="33" t="n"/>
      <c r="W239" s="33" t="n"/>
      <c r="X239" s="33" t="n"/>
      <c r="Y239" s="33" t="n"/>
      <c r="Z239" s="33" t="n"/>
      <c r="AA239" s="33" t="n"/>
      <c r="AB239" s="33" t="n"/>
      <c r="AC239" s="33" t="n"/>
      <c r="AD239" s="33" t="n"/>
      <c r="AE239" s="33" t="n"/>
      <c r="AF239" s="32" t="n"/>
      <c r="AG239" s="32" t="n"/>
      <c r="AH239" s="32" t="n"/>
      <c r="AI239" s="32" t="n"/>
      <c r="AJ239" s="32" t="n"/>
      <c r="AK239" s="32" t="n"/>
      <c r="AL239" s="32" t="n"/>
      <c r="AM239" s="32" t="n"/>
      <c r="AN239" s="32" t="n"/>
      <c r="AO239" s="32" t="n"/>
      <c r="AP239" s="32" t="n"/>
      <c r="AQ239" s="32" t="n"/>
      <c r="AR239" s="29">
        <f>IF(NOT(COUNTA(A239:AE239)&gt;0),"",IF(A239="","New client","Update"))</f>
        <v/>
      </c>
      <c r="AS239" s="29">
        <f>IF(BA239&lt;&gt;"",BA239,IF(LEN(AZ239)=15,MID(AZ239,3,10),""))</f>
        <v/>
      </c>
      <c r="AT239" s="29">
        <f>IF(BB239="","",BB239&amp;IF(D239="","  (guessed from PAN)",""))</f>
        <v/>
      </c>
      <c r="AU239" s="29">
        <f>IF(AZ239="","",IFERROR(INDEX(Lists!$L$2:$L$38,MATCH(LEFT(AZ239,2),Lists!$K$2:$K$38,0)),"Unknown code"))</f>
        <v/>
      </c>
      <c r="AV239" s="29">
        <f>IF(AZ239="","",IFERROR(IF(NOT(AND(LEN(AZ239)=15,ISNUMBER(MATCH(LEFT(AZ239,2),Lists!$K$2:$K$38,0)),SUMPRODUCT(--ISERROR(FIND(MID(MID(AZ239,3,10),{1,2,3,4,5,10},1),"ABCDEFGHIJKLMNOPQRSTUVWXYZ")))=0,SUMPRODUCT(--ISERROR(FIND(MID(MID(AZ239,3,10),{6,7,8,9},1),"0123456789")))=0,ISNUMBER(FIND(MID(AZ239,13,1),"123456789ABCDEFGHIJKLMNOPQRSTUVWXYZ")),MID(AZ239,14,1)="Z")),"Wrong format",IF(MID("0123456789ABCDEFGHIJKLMNOPQRSTUVWXYZ",MOD(36-MOD(SUMPRODUCT(INT((FIND(MID(AZ239,{1,2,3,4,5,6,7,8,9,10,11,12,13,14},1),"0123456789ABCDEFGHIJKLMNOPQRSTUVWXYZ")-1)*{1,2,1,2,1,2,1,2,1,2,1,2,1,2}/36)+MOD((FIND(MID(AZ239,{1,2,3,4,5,6,7,8,9,10,11,12,13,14},1),"0123456789ABCDEFGHIJKLMNOPQRSTUVWXYZ")-1)*{1,2,1,2,1,2,1,2,1,2,1,2,1,2},36)),36),36)+1,1)=MID(AZ239,15,1),"OK","Typo? check digit wrong")),"Wrong format"))</f>
        <v/>
      </c>
      <c r="AW239" s="29">
        <f>IF(BA239="","",IF(AND(LEN(BA239)=10,SUMPRODUCT(--ISERROR(FIND(MID(BA239,{1,2,3,4,5,10},1),"ABCDEFGHIJKLMNOPQRSTUVWXYZ")))=0,SUMPRODUCT(--ISERROR(FIND(MID(BA239,{6,7,8,9},1),"0123456789")))=0),"OK","Wrong format"))</f>
        <v/>
      </c>
      <c r="AX239" s="29">
        <f>IF(TRIM(H239)="","",IF(AND(LEN(UPPER(TRIM(H239)))=10,SUMPRODUCT(--ISERROR(FIND(MID(UPPER(TRIM(H239)),{1,2,3,4,10},1),"ABCDEFGHIJKLMNOPQRSTUVWXYZ")))=0,SUMPRODUCT(--ISERROR(FIND(MID(UPPER(TRIM(H239)),{5,6,7,8,9},1),"0123456789")))=0),"OK","Wrong format"))</f>
        <v/>
      </c>
      <c r="AY239" s="30">
        <f>IF(NOT(COUNTA(A239:AE239)&gt;0),"",IF(BE239&lt;&gt;"","✖ "&amp;LEFT(BE239,LEN(BE239)-2),IF(BD239&gt;0,"✔ Ready — client + "&amp;BD239&amp;" service(s)","✔ Ready — client only")))</f>
        <v/>
      </c>
      <c r="AZ239" s="31">
        <f>UPPER(SUBSTITUTE(TRIM(F239)," ",""))</f>
        <v/>
      </c>
      <c r="BA239" s="31">
        <f>UPPER(SUBSTITUTE(TRIM(E239)," ",""))</f>
        <v/>
      </c>
      <c r="BB239" s="31">
        <f>IF(D239&lt;&gt;"",D239,IFERROR(VLOOKUP(MID(AS239,4,1),Lists!$E$2:$F$8,2,FALSE),""))</f>
        <v/>
      </c>
      <c r="BC239" s="31">
        <f>IFERROR(VLOOKUP(BB239,Lists!$A$2:$C$12,3,FALSE),"")</f>
        <v/>
      </c>
      <c r="BD239" s="31">
        <f>COUNTIF(W239:AC239,"Yes")</f>
        <v/>
      </c>
      <c r="BE239" s="31">
        <f>IF(TRIM(B239)="","Legal name missing; ","")&amp;IF(AND(AV239&lt;&gt;"",AV239&lt;&gt;"OK"),"GSTIN: "&amp;AV239&amp;"; ","")&amp;IF(AND(AW239&lt;&gt;"",AW239&lt;&gt;"OK"),"PAN wrong format; ","")&amp;IF(AND(BA239&lt;&gt;"",LEN(AZ239)=15,MID(AZ239,3,10)&lt;&gt;BA239),"PAN does not match GSTIN; ","")&amp;IF(AND(AX239&lt;&gt;"",AX239&lt;&gt;"OK"),"TAN wrong format; ","")&amp;IF(AS239="","PAN missing; ","")&amp;IF(BB239="","Entity type missing; ","")&amp;IF(AND(AZ239&lt;&gt;"",COUNTIF($AZ$6:$AZ$1005,AZ239)&gt;1),"GSTIN repeated in this sheet; ","")&amp;IF(AND(AS239&lt;&gt;"",COUNTIF($AS$6:$AS$1005,AS239)&gt;1),"PAN repeated in this sheet (same client? put extra GSTINs in Other GSTINs); ","")&amp;IF(AND(BD239&gt;0,V239=""),"Financial year missing; ","")&amp;IF(AND(BD239=0,V239&lt;&gt;""),"Financial year given but no service is Yes; ","")&amp;IF(AND(W239="Yes",AZ239=""),"GST needs a GSTIN; ","")&amp;IF(AND(W239="Yes",X239=""),"GST return frequency missing; ","")&amp;IF(AND(Y239="Yes",TRIM(H239)=""),"TDS needs a TAN; ","")&amp;IF(AND(AA239="Yes",BC239&lt;&gt;"",BC239&lt;&gt;"company",BC239&lt;&gt;"llp"),"ROC is only for a company / LLP; ","")&amp;IF(AND(AA239="Yes",OR(BC239="company",BC239="llp"),TRIM(I239)=""),"ROC needs the CIN / LLPIN; ","")&amp;IF((TRIM(AF239)="")&lt;&gt;(TRIM(AG239)=""),"GST login needs both user ID and password; ","")&amp;IF((TRIM(AH239)="")&lt;&gt;(TRIM(AI239)=""),"Income-tax login needs both user ID and password; ","")&amp;IF((TRIM(AJ239)="")&lt;&gt;(TRIM(AK239)=""),"Income-tax login needs both user ID and password; ","")&amp;IF((TRIM(AL239)="")&lt;&gt;(TRIM(AM239)=""),"TRACES login needs both user ID and password; ","")&amp;IF((TRIM(AN239)="")&lt;&gt;(TRIM(AO239)=""),"MCA login needs both user ID and password; ","")&amp;IF((TRIM(AP239)="")&lt;&gt;(TRIM(AQ239)=""),"E-way bill login needs both user ID and password; ","")</f>
        <v/>
      </c>
    </row>
    <row r="240">
      <c r="A240" s="32" t="n"/>
      <c r="B240" s="33" t="n"/>
      <c r="C240" s="33" t="n"/>
      <c r="D240" s="33" t="n"/>
      <c r="E240" s="32" t="n"/>
      <c r="F240" s="32" t="n"/>
      <c r="G240" s="32" t="n"/>
      <c r="H240" s="32" t="n"/>
      <c r="I240" s="32" t="n"/>
      <c r="J240" s="34" t="n"/>
      <c r="K240" s="33" t="n"/>
      <c r="L240" s="32" t="n"/>
      <c r="M240" s="33" t="n"/>
      <c r="N240" s="33" t="n"/>
      <c r="O240" s="33" t="n"/>
      <c r="P240" s="32" t="n"/>
      <c r="Q240" s="33" t="n"/>
      <c r="R240" s="33" t="n"/>
      <c r="S240" s="33" t="n"/>
      <c r="T240" s="33" t="n"/>
      <c r="U240" s="32" t="n"/>
      <c r="V240" s="33" t="n"/>
      <c r="W240" s="33" t="n"/>
      <c r="X240" s="33" t="n"/>
      <c r="Y240" s="33" t="n"/>
      <c r="Z240" s="33" t="n"/>
      <c r="AA240" s="33" t="n"/>
      <c r="AB240" s="33" t="n"/>
      <c r="AC240" s="33" t="n"/>
      <c r="AD240" s="33" t="n"/>
      <c r="AE240" s="33" t="n"/>
      <c r="AF240" s="32" t="n"/>
      <c r="AG240" s="32" t="n"/>
      <c r="AH240" s="32" t="n"/>
      <c r="AI240" s="32" t="n"/>
      <c r="AJ240" s="32" t="n"/>
      <c r="AK240" s="32" t="n"/>
      <c r="AL240" s="32" t="n"/>
      <c r="AM240" s="32" t="n"/>
      <c r="AN240" s="32" t="n"/>
      <c r="AO240" s="32" t="n"/>
      <c r="AP240" s="32" t="n"/>
      <c r="AQ240" s="32" t="n"/>
      <c r="AR240" s="29">
        <f>IF(NOT(COUNTA(A240:AE240)&gt;0),"",IF(A240="","New client","Update"))</f>
        <v/>
      </c>
      <c r="AS240" s="29">
        <f>IF(BA240&lt;&gt;"",BA240,IF(LEN(AZ240)=15,MID(AZ240,3,10),""))</f>
        <v/>
      </c>
      <c r="AT240" s="29">
        <f>IF(BB240="","",BB240&amp;IF(D240="","  (guessed from PAN)",""))</f>
        <v/>
      </c>
      <c r="AU240" s="29">
        <f>IF(AZ240="","",IFERROR(INDEX(Lists!$L$2:$L$38,MATCH(LEFT(AZ240,2),Lists!$K$2:$K$38,0)),"Unknown code"))</f>
        <v/>
      </c>
      <c r="AV240" s="29">
        <f>IF(AZ240="","",IFERROR(IF(NOT(AND(LEN(AZ240)=15,ISNUMBER(MATCH(LEFT(AZ240,2),Lists!$K$2:$K$38,0)),SUMPRODUCT(--ISERROR(FIND(MID(MID(AZ240,3,10),{1,2,3,4,5,10},1),"ABCDEFGHIJKLMNOPQRSTUVWXYZ")))=0,SUMPRODUCT(--ISERROR(FIND(MID(MID(AZ240,3,10),{6,7,8,9},1),"0123456789")))=0,ISNUMBER(FIND(MID(AZ240,13,1),"123456789ABCDEFGHIJKLMNOPQRSTUVWXYZ")),MID(AZ240,14,1)="Z")),"Wrong format",IF(MID("0123456789ABCDEFGHIJKLMNOPQRSTUVWXYZ",MOD(36-MOD(SUMPRODUCT(INT((FIND(MID(AZ240,{1,2,3,4,5,6,7,8,9,10,11,12,13,14},1),"0123456789ABCDEFGHIJKLMNOPQRSTUVWXYZ")-1)*{1,2,1,2,1,2,1,2,1,2,1,2,1,2}/36)+MOD((FIND(MID(AZ240,{1,2,3,4,5,6,7,8,9,10,11,12,13,14},1),"0123456789ABCDEFGHIJKLMNOPQRSTUVWXYZ")-1)*{1,2,1,2,1,2,1,2,1,2,1,2,1,2},36)),36),36)+1,1)=MID(AZ240,15,1),"OK","Typo? check digit wrong")),"Wrong format"))</f>
        <v/>
      </c>
      <c r="AW240" s="29">
        <f>IF(BA240="","",IF(AND(LEN(BA240)=10,SUMPRODUCT(--ISERROR(FIND(MID(BA240,{1,2,3,4,5,10},1),"ABCDEFGHIJKLMNOPQRSTUVWXYZ")))=0,SUMPRODUCT(--ISERROR(FIND(MID(BA240,{6,7,8,9},1),"0123456789")))=0),"OK","Wrong format"))</f>
        <v/>
      </c>
      <c r="AX240" s="29">
        <f>IF(TRIM(H240)="","",IF(AND(LEN(UPPER(TRIM(H240)))=10,SUMPRODUCT(--ISERROR(FIND(MID(UPPER(TRIM(H240)),{1,2,3,4,10},1),"ABCDEFGHIJKLMNOPQRSTUVWXYZ")))=0,SUMPRODUCT(--ISERROR(FIND(MID(UPPER(TRIM(H240)),{5,6,7,8,9},1),"0123456789")))=0),"OK","Wrong format"))</f>
        <v/>
      </c>
      <c r="AY240" s="30">
        <f>IF(NOT(COUNTA(A240:AE240)&gt;0),"",IF(BE240&lt;&gt;"","✖ "&amp;LEFT(BE240,LEN(BE240)-2),IF(BD240&gt;0,"✔ Ready — client + "&amp;BD240&amp;" service(s)","✔ Ready — client only")))</f>
        <v/>
      </c>
      <c r="AZ240" s="31">
        <f>UPPER(SUBSTITUTE(TRIM(F240)," ",""))</f>
        <v/>
      </c>
      <c r="BA240" s="31">
        <f>UPPER(SUBSTITUTE(TRIM(E240)," ",""))</f>
        <v/>
      </c>
      <c r="BB240" s="31">
        <f>IF(D240&lt;&gt;"",D240,IFERROR(VLOOKUP(MID(AS240,4,1),Lists!$E$2:$F$8,2,FALSE),""))</f>
        <v/>
      </c>
      <c r="BC240" s="31">
        <f>IFERROR(VLOOKUP(BB240,Lists!$A$2:$C$12,3,FALSE),"")</f>
        <v/>
      </c>
      <c r="BD240" s="31">
        <f>COUNTIF(W240:AC240,"Yes")</f>
        <v/>
      </c>
      <c r="BE240" s="31">
        <f>IF(TRIM(B240)="","Legal name missing; ","")&amp;IF(AND(AV240&lt;&gt;"",AV240&lt;&gt;"OK"),"GSTIN: "&amp;AV240&amp;"; ","")&amp;IF(AND(AW240&lt;&gt;"",AW240&lt;&gt;"OK"),"PAN wrong format; ","")&amp;IF(AND(BA240&lt;&gt;"",LEN(AZ240)=15,MID(AZ240,3,10)&lt;&gt;BA240),"PAN does not match GSTIN; ","")&amp;IF(AND(AX240&lt;&gt;"",AX240&lt;&gt;"OK"),"TAN wrong format; ","")&amp;IF(AS240="","PAN missing; ","")&amp;IF(BB240="","Entity type missing; ","")&amp;IF(AND(AZ240&lt;&gt;"",COUNTIF($AZ$6:$AZ$1005,AZ240)&gt;1),"GSTIN repeated in this sheet; ","")&amp;IF(AND(AS240&lt;&gt;"",COUNTIF($AS$6:$AS$1005,AS240)&gt;1),"PAN repeated in this sheet (same client? put extra GSTINs in Other GSTINs); ","")&amp;IF(AND(BD240&gt;0,V240=""),"Financial year missing; ","")&amp;IF(AND(BD240=0,V240&lt;&gt;""),"Financial year given but no service is Yes; ","")&amp;IF(AND(W240="Yes",AZ240=""),"GST needs a GSTIN; ","")&amp;IF(AND(W240="Yes",X240=""),"GST return frequency missing; ","")&amp;IF(AND(Y240="Yes",TRIM(H240)=""),"TDS needs a TAN; ","")&amp;IF(AND(AA240="Yes",BC240&lt;&gt;"",BC240&lt;&gt;"company",BC240&lt;&gt;"llp"),"ROC is only for a company / LLP; ","")&amp;IF(AND(AA240="Yes",OR(BC240="company",BC240="llp"),TRIM(I240)=""),"ROC needs the CIN / LLPIN; ","")&amp;IF((TRIM(AF240)="")&lt;&gt;(TRIM(AG240)=""),"GST login needs both user ID and password; ","")&amp;IF((TRIM(AH240)="")&lt;&gt;(TRIM(AI240)=""),"Income-tax login needs both user ID and password; ","")&amp;IF((TRIM(AJ240)="")&lt;&gt;(TRIM(AK240)=""),"Income-tax login needs both user ID and password; ","")&amp;IF((TRIM(AL240)="")&lt;&gt;(TRIM(AM240)=""),"TRACES login needs both user ID and password; ","")&amp;IF((TRIM(AN240)="")&lt;&gt;(TRIM(AO240)=""),"MCA login needs both user ID and password; ","")&amp;IF((TRIM(AP240)="")&lt;&gt;(TRIM(AQ240)=""),"E-way bill login needs both user ID and password; ","")</f>
        <v/>
      </c>
    </row>
    <row r="241">
      <c r="A241" s="32" t="n"/>
      <c r="B241" s="33" t="n"/>
      <c r="C241" s="33" t="n"/>
      <c r="D241" s="33" t="n"/>
      <c r="E241" s="32" t="n"/>
      <c r="F241" s="32" t="n"/>
      <c r="G241" s="32" t="n"/>
      <c r="H241" s="32" t="n"/>
      <c r="I241" s="32" t="n"/>
      <c r="J241" s="34" t="n"/>
      <c r="K241" s="33" t="n"/>
      <c r="L241" s="32" t="n"/>
      <c r="M241" s="33" t="n"/>
      <c r="N241" s="33" t="n"/>
      <c r="O241" s="33" t="n"/>
      <c r="P241" s="32" t="n"/>
      <c r="Q241" s="33" t="n"/>
      <c r="R241" s="33" t="n"/>
      <c r="S241" s="33" t="n"/>
      <c r="T241" s="33" t="n"/>
      <c r="U241" s="32" t="n"/>
      <c r="V241" s="33" t="n"/>
      <c r="W241" s="33" t="n"/>
      <c r="X241" s="33" t="n"/>
      <c r="Y241" s="33" t="n"/>
      <c r="Z241" s="33" t="n"/>
      <c r="AA241" s="33" t="n"/>
      <c r="AB241" s="33" t="n"/>
      <c r="AC241" s="33" t="n"/>
      <c r="AD241" s="33" t="n"/>
      <c r="AE241" s="33" t="n"/>
      <c r="AF241" s="32" t="n"/>
      <c r="AG241" s="32" t="n"/>
      <c r="AH241" s="32" t="n"/>
      <c r="AI241" s="32" t="n"/>
      <c r="AJ241" s="32" t="n"/>
      <c r="AK241" s="32" t="n"/>
      <c r="AL241" s="32" t="n"/>
      <c r="AM241" s="32" t="n"/>
      <c r="AN241" s="32" t="n"/>
      <c r="AO241" s="32" t="n"/>
      <c r="AP241" s="32" t="n"/>
      <c r="AQ241" s="32" t="n"/>
      <c r="AR241" s="29">
        <f>IF(NOT(COUNTA(A241:AE241)&gt;0),"",IF(A241="","New client","Update"))</f>
        <v/>
      </c>
      <c r="AS241" s="29">
        <f>IF(BA241&lt;&gt;"",BA241,IF(LEN(AZ241)=15,MID(AZ241,3,10),""))</f>
        <v/>
      </c>
      <c r="AT241" s="29">
        <f>IF(BB241="","",BB241&amp;IF(D241="","  (guessed from PAN)",""))</f>
        <v/>
      </c>
      <c r="AU241" s="29">
        <f>IF(AZ241="","",IFERROR(INDEX(Lists!$L$2:$L$38,MATCH(LEFT(AZ241,2),Lists!$K$2:$K$38,0)),"Unknown code"))</f>
        <v/>
      </c>
      <c r="AV241" s="29">
        <f>IF(AZ241="","",IFERROR(IF(NOT(AND(LEN(AZ241)=15,ISNUMBER(MATCH(LEFT(AZ241,2),Lists!$K$2:$K$38,0)),SUMPRODUCT(--ISERROR(FIND(MID(MID(AZ241,3,10),{1,2,3,4,5,10},1),"ABCDEFGHIJKLMNOPQRSTUVWXYZ")))=0,SUMPRODUCT(--ISERROR(FIND(MID(MID(AZ241,3,10),{6,7,8,9},1),"0123456789")))=0,ISNUMBER(FIND(MID(AZ241,13,1),"123456789ABCDEFGHIJKLMNOPQRSTUVWXYZ")),MID(AZ241,14,1)="Z")),"Wrong format",IF(MID("0123456789ABCDEFGHIJKLMNOPQRSTUVWXYZ",MOD(36-MOD(SUMPRODUCT(INT((FIND(MID(AZ241,{1,2,3,4,5,6,7,8,9,10,11,12,13,14},1),"0123456789ABCDEFGHIJKLMNOPQRSTUVWXYZ")-1)*{1,2,1,2,1,2,1,2,1,2,1,2,1,2}/36)+MOD((FIND(MID(AZ241,{1,2,3,4,5,6,7,8,9,10,11,12,13,14},1),"0123456789ABCDEFGHIJKLMNOPQRSTUVWXYZ")-1)*{1,2,1,2,1,2,1,2,1,2,1,2,1,2},36)),36),36)+1,1)=MID(AZ241,15,1),"OK","Typo? check digit wrong")),"Wrong format"))</f>
        <v/>
      </c>
      <c r="AW241" s="29">
        <f>IF(BA241="","",IF(AND(LEN(BA241)=10,SUMPRODUCT(--ISERROR(FIND(MID(BA241,{1,2,3,4,5,10},1),"ABCDEFGHIJKLMNOPQRSTUVWXYZ")))=0,SUMPRODUCT(--ISERROR(FIND(MID(BA241,{6,7,8,9},1),"0123456789")))=0),"OK","Wrong format"))</f>
        <v/>
      </c>
      <c r="AX241" s="29">
        <f>IF(TRIM(H241)="","",IF(AND(LEN(UPPER(TRIM(H241)))=10,SUMPRODUCT(--ISERROR(FIND(MID(UPPER(TRIM(H241)),{1,2,3,4,10},1),"ABCDEFGHIJKLMNOPQRSTUVWXYZ")))=0,SUMPRODUCT(--ISERROR(FIND(MID(UPPER(TRIM(H241)),{5,6,7,8,9},1),"0123456789")))=0),"OK","Wrong format"))</f>
        <v/>
      </c>
      <c r="AY241" s="30">
        <f>IF(NOT(COUNTA(A241:AE241)&gt;0),"",IF(BE241&lt;&gt;"","✖ "&amp;LEFT(BE241,LEN(BE241)-2),IF(BD241&gt;0,"✔ Ready — client + "&amp;BD241&amp;" service(s)","✔ Ready — client only")))</f>
        <v/>
      </c>
      <c r="AZ241" s="31">
        <f>UPPER(SUBSTITUTE(TRIM(F241)," ",""))</f>
        <v/>
      </c>
      <c r="BA241" s="31">
        <f>UPPER(SUBSTITUTE(TRIM(E241)," ",""))</f>
        <v/>
      </c>
      <c r="BB241" s="31">
        <f>IF(D241&lt;&gt;"",D241,IFERROR(VLOOKUP(MID(AS241,4,1),Lists!$E$2:$F$8,2,FALSE),""))</f>
        <v/>
      </c>
      <c r="BC241" s="31">
        <f>IFERROR(VLOOKUP(BB241,Lists!$A$2:$C$12,3,FALSE),"")</f>
        <v/>
      </c>
      <c r="BD241" s="31">
        <f>COUNTIF(W241:AC241,"Yes")</f>
        <v/>
      </c>
      <c r="BE241" s="31">
        <f>IF(TRIM(B241)="","Legal name missing; ","")&amp;IF(AND(AV241&lt;&gt;"",AV241&lt;&gt;"OK"),"GSTIN: "&amp;AV241&amp;"; ","")&amp;IF(AND(AW241&lt;&gt;"",AW241&lt;&gt;"OK"),"PAN wrong format; ","")&amp;IF(AND(BA241&lt;&gt;"",LEN(AZ241)=15,MID(AZ241,3,10)&lt;&gt;BA241),"PAN does not match GSTIN; ","")&amp;IF(AND(AX241&lt;&gt;"",AX241&lt;&gt;"OK"),"TAN wrong format; ","")&amp;IF(AS241="","PAN missing; ","")&amp;IF(BB241="","Entity type missing; ","")&amp;IF(AND(AZ241&lt;&gt;"",COUNTIF($AZ$6:$AZ$1005,AZ241)&gt;1),"GSTIN repeated in this sheet; ","")&amp;IF(AND(AS241&lt;&gt;"",COUNTIF($AS$6:$AS$1005,AS241)&gt;1),"PAN repeated in this sheet (same client? put extra GSTINs in Other GSTINs); ","")&amp;IF(AND(BD241&gt;0,V241=""),"Financial year missing; ","")&amp;IF(AND(BD241=0,V241&lt;&gt;""),"Financial year given but no service is Yes; ","")&amp;IF(AND(W241="Yes",AZ241=""),"GST needs a GSTIN; ","")&amp;IF(AND(W241="Yes",X241=""),"GST return frequency missing; ","")&amp;IF(AND(Y241="Yes",TRIM(H241)=""),"TDS needs a TAN; ","")&amp;IF(AND(AA241="Yes",BC241&lt;&gt;"",BC241&lt;&gt;"company",BC241&lt;&gt;"llp"),"ROC is only for a company / LLP; ","")&amp;IF(AND(AA241="Yes",OR(BC241="company",BC241="llp"),TRIM(I241)=""),"ROC needs the CIN / LLPIN; ","")&amp;IF((TRIM(AF241)="")&lt;&gt;(TRIM(AG241)=""),"GST login needs both user ID and password; ","")&amp;IF((TRIM(AH241)="")&lt;&gt;(TRIM(AI241)=""),"Income-tax login needs both user ID and password; ","")&amp;IF((TRIM(AJ241)="")&lt;&gt;(TRIM(AK241)=""),"Income-tax login needs both user ID and password; ","")&amp;IF((TRIM(AL241)="")&lt;&gt;(TRIM(AM241)=""),"TRACES login needs both user ID and password; ","")&amp;IF((TRIM(AN241)="")&lt;&gt;(TRIM(AO241)=""),"MCA login needs both user ID and password; ","")&amp;IF((TRIM(AP241)="")&lt;&gt;(TRIM(AQ241)=""),"E-way bill login needs both user ID and password; ","")</f>
        <v/>
      </c>
    </row>
    <row r="242">
      <c r="A242" s="32" t="n"/>
      <c r="B242" s="33" t="n"/>
      <c r="C242" s="33" t="n"/>
      <c r="D242" s="33" t="n"/>
      <c r="E242" s="32" t="n"/>
      <c r="F242" s="32" t="n"/>
      <c r="G242" s="32" t="n"/>
      <c r="H242" s="32" t="n"/>
      <c r="I242" s="32" t="n"/>
      <c r="J242" s="34" t="n"/>
      <c r="K242" s="33" t="n"/>
      <c r="L242" s="32" t="n"/>
      <c r="M242" s="33" t="n"/>
      <c r="N242" s="33" t="n"/>
      <c r="O242" s="33" t="n"/>
      <c r="P242" s="32" t="n"/>
      <c r="Q242" s="33" t="n"/>
      <c r="R242" s="33" t="n"/>
      <c r="S242" s="33" t="n"/>
      <c r="T242" s="33" t="n"/>
      <c r="U242" s="32" t="n"/>
      <c r="V242" s="33" t="n"/>
      <c r="W242" s="33" t="n"/>
      <c r="X242" s="33" t="n"/>
      <c r="Y242" s="33" t="n"/>
      <c r="Z242" s="33" t="n"/>
      <c r="AA242" s="33" t="n"/>
      <c r="AB242" s="33" t="n"/>
      <c r="AC242" s="33" t="n"/>
      <c r="AD242" s="33" t="n"/>
      <c r="AE242" s="33" t="n"/>
      <c r="AF242" s="32" t="n"/>
      <c r="AG242" s="32" t="n"/>
      <c r="AH242" s="32" t="n"/>
      <c r="AI242" s="32" t="n"/>
      <c r="AJ242" s="32" t="n"/>
      <c r="AK242" s="32" t="n"/>
      <c r="AL242" s="32" t="n"/>
      <c r="AM242" s="32" t="n"/>
      <c r="AN242" s="32" t="n"/>
      <c r="AO242" s="32" t="n"/>
      <c r="AP242" s="32" t="n"/>
      <c r="AQ242" s="32" t="n"/>
      <c r="AR242" s="29">
        <f>IF(NOT(COUNTA(A242:AE242)&gt;0),"",IF(A242="","New client","Update"))</f>
        <v/>
      </c>
      <c r="AS242" s="29">
        <f>IF(BA242&lt;&gt;"",BA242,IF(LEN(AZ242)=15,MID(AZ242,3,10),""))</f>
        <v/>
      </c>
      <c r="AT242" s="29">
        <f>IF(BB242="","",BB242&amp;IF(D242="","  (guessed from PAN)",""))</f>
        <v/>
      </c>
      <c r="AU242" s="29">
        <f>IF(AZ242="","",IFERROR(INDEX(Lists!$L$2:$L$38,MATCH(LEFT(AZ242,2),Lists!$K$2:$K$38,0)),"Unknown code"))</f>
        <v/>
      </c>
      <c r="AV242" s="29">
        <f>IF(AZ242="","",IFERROR(IF(NOT(AND(LEN(AZ242)=15,ISNUMBER(MATCH(LEFT(AZ242,2),Lists!$K$2:$K$38,0)),SUMPRODUCT(--ISERROR(FIND(MID(MID(AZ242,3,10),{1,2,3,4,5,10},1),"ABCDEFGHIJKLMNOPQRSTUVWXYZ")))=0,SUMPRODUCT(--ISERROR(FIND(MID(MID(AZ242,3,10),{6,7,8,9},1),"0123456789")))=0,ISNUMBER(FIND(MID(AZ242,13,1),"123456789ABCDEFGHIJKLMNOPQRSTUVWXYZ")),MID(AZ242,14,1)="Z")),"Wrong format",IF(MID("0123456789ABCDEFGHIJKLMNOPQRSTUVWXYZ",MOD(36-MOD(SUMPRODUCT(INT((FIND(MID(AZ242,{1,2,3,4,5,6,7,8,9,10,11,12,13,14},1),"0123456789ABCDEFGHIJKLMNOPQRSTUVWXYZ")-1)*{1,2,1,2,1,2,1,2,1,2,1,2,1,2}/36)+MOD((FIND(MID(AZ242,{1,2,3,4,5,6,7,8,9,10,11,12,13,14},1),"0123456789ABCDEFGHIJKLMNOPQRSTUVWXYZ")-1)*{1,2,1,2,1,2,1,2,1,2,1,2,1,2},36)),36),36)+1,1)=MID(AZ242,15,1),"OK","Typo? check digit wrong")),"Wrong format"))</f>
        <v/>
      </c>
      <c r="AW242" s="29">
        <f>IF(BA242="","",IF(AND(LEN(BA242)=10,SUMPRODUCT(--ISERROR(FIND(MID(BA242,{1,2,3,4,5,10},1),"ABCDEFGHIJKLMNOPQRSTUVWXYZ")))=0,SUMPRODUCT(--ISERROR(FIND(MID(BA242,{6,7,8,9},1),"0123456789")))=0),"OK","Wrong format"))</f>
        <v/>
      </c>
      <c r="AX242" s="29">
        <f>IF(TRIM(H242)="","",IF(AND(LEN(UPPER(TRIM(H242)))=10,SUMPRODUCT(--ISERROR(FIND(MID(UPPER(TRIM(H242)),{1,2,3,4,10},1),"ABCDEFGHIJKLMNOPQRSTUVWXYZ")))=0,SUMPRODUCT(--ISERROR(FIND(MID(UPPER(TRIM(H242)),{5,6,7,8,9},1),"0123456789")))=0),"OK","Wrong format"))</f>
        <v/>
      </c>
      <c r="AY242" s="30">
        <f>IF(NOT(COUNTA(A242:AE242)&gt;0),"",IF(BE242&lt;&gt;"","✖ "&amp;LEFT(BE242,LEN(BE242)-2),IF(BD242&gt;0,"✔ Ready — client + "&amp;BD242&amp;" service(s)","✔ Ready — client only")))</f>
        <v/>
      </c>
      <c r="AZ242" s="31">
        <f>UPPER(SUBSTITUTE(TRIM(F242)," ",""))</f>
        <v/>
      </c>
      <c r="BA242" s="31">
        <f>UPPER(SUBSTITUTE(TRIM(E242)," ",""))</f>
        <v/>
      </c>
      <c r="BB242" s="31">
        <f>IF(D242&lt;&gt;"",D242,IFERROR(VLOOKUP(MID(AS242,4,1),Lists!$E$2:$F$8,2,FALSE),""))</f>
        <v/>
      </c>
      <c r="BC242" s="31">
        <f>IFERROR(VLOOKUP(BB242,Lists!$A$2:$C$12,3,FALSE),"")</f>
        <v/>
      </c>
      <c r="BD242" s="31">
        <f>COUNTIF(W242:AC242,"Yes")</f>
        <v/>
      </c>
      <c r="BE242" s="31">
        <f>IF(TRIM(B242)="","Legal name missing; ","")&amp;IF(AND(AV242&lt;&gt;"",AV242&lt;&gt;"OK"),"GSTIN: "&amp;AV242&amp;"; ","")&amp;IF(AND(AW242&lt;&gt;"",AW242&lt;&gt;"OK"),"PAN wrong format; ","")&amp;IF(AND(BA242&lt;&gt;"",LEN(AZ242)=15,MID(AZ242,3,10)&lt;&gt;BA242),"PAN does not match GSTIN; ","")&amp;IF(AND(AX242&lt;&gt;"",AX242&lt;&gt;"OK"),"TAN wrong format; ","")&amp;IF(AS242="","PAN missing; ","")&amp;IF(BB242="","Entity type missing; ","")&amp;IF(AND(AZ242&lt;&gt;"",COUNTIF($AZ$6:$AZ$1005,AZ242)&gt;1),"GSTIN repeated in this sheet; ","")&amp;IF(AND(AS242&lt;&gt;"",COUNTIF($AS$6:$AS$1005,AS242)&gt;1),"PAN repeated in this sheet (same client? put extra GSTINs in Other GSTINs); ","")&amp;IF(AND(BD242&gt;0,V242=""),"Financial year missing; ","")&amp;IF(AND(BD242=0,V242&lt;&gt;""),"Financial year given but no service is Yes; ","")&amp;IF(AND(W242="Yes",AZ242=""),"GST needs a GSTIN; ","")&amp;IF(AND(W242="Yes",X242=""),"GST return frequency missing; ","")&amp;IF(AND(Y242="Yes",TRIM(H242)=""),"TDS needs a TAN; ","")&amp;IF(AND(AA242="Yes",BC242&lt;&gt;"",BC242&lt;&gt;"company",BC242&lt;&gt;"llp"),"ROC is only for a company / LLP; ","")&amp;IF(AND(AA242="Yes",OR(BC242="company",BC242="llp"),TRIM(I242)=""),"ROC needs the CIN / LLPIN; ","")&amp;IF((TRIM(AF242)="")&lt;&gt;(TRIM(AG242)=""),"GST login needs both user ID and password; ","")&amp;IF((TRIM(AH242)="")&lt;&gt;(TRIM(AI242)=""),"Income-tax login needs both user ID and password; ","")&amp;IF((TRIM(AJ242)="")&lt;&gt;(TRIM(AK242)=""),"Income-tax login needs both user ID and password; ","")&amp;IF((TRIM(AL242)="")&lt;&gt;(TRIM(AM242)=""),"TRACES login needs both user ID and password; ","")&amp;IF((TRIM(AN242)="")&lt;&gt;(TRIM(AO242)=""),"MCA login needs both user ID and password; ","")&amp;IF((TRIM(AP242)="")&lt;&gt;(TRIM(AQ242)=""),"E-way bill login needs both user ID and password; ","")</f>
        <v/>
      </c>
    </row>
    <row r="243">
      <c r="A243" s="32" t="n"/>
      <c r="B243" s="33" t="n"/>
      <c r="C243" s="33" t="n"/>
      <c r="D243" s="33" t="n"/>
      <c r="E243" s="32" t="n"/>
      <c r="F243" s="32" t="n"/>
      <c r="G243" s="32" t="n"/>
      <c r="H243" s="32" t="n"/>
      <c r="I243" s="32" t="n"/>
      <c r="J243" s="34" t="n"/>
      <c r="K243" s="33" t="n"/>
      <c r="L243" s="32" t="n"/>
      <c r="M243" s="33" t="n"/>
      <c r="N243" s="33" t="n"/>
      <c r="O243" s="33" t="n"/>
      <c r="P243" s="32" t="n"/>
      <c r="Q243" s="33" t="n"/>
      <c r="R243" s="33" t="n"/>
      <c r="S243" s="33" t="n"/>
      <c r="T243" s="33" t="n"/>
      <c r="U243" s="32" t="n"/>
      <c r="V243" s="33" t="n"/>
      <c r="W243" s="33" t="n"/>
      <c r="X243" s="33" t="n"/>
      <c r="Y243" s="33" t="n"/>
      <c r="Z243" s="33" t="n"/>
      <c r="AA243" s="33" t="n"/>
      <c r="AB243" s="33" t="n"/>
      <c r="AC243" s="33" t="n"/>
      <c r="AD243" s="33" t="n"/>
      <c r="AE243" s="33" t="n"/>
      <c r="AF243" s="32" t="n"/>
      <c r="AG243" s="32" t="n"/>
      <c r="AH243" s="32" t="n"/>
      <c r="AI243" s="32" t="n"/>
      <c r="AJ243" s="32" t="n"/>
      <c r="AK243" s="32" t="n"/>
      <c r="AL243" s="32" t="n"/>
      <c r="AM243" s="32" t="n"/>
      <c r="AN243" s="32" t="n"/>
      <c r="AO243" s="32" t="n"/>
      <c r="AP243" s="32" t="n"/>
      <c r="AQ243" s="32" t="n"/>
      <c r="AR243" s="29">
        <f>IF(NOT(COUNTA(A243:AE243)&gt;0),"",IF(A243="","New client","Update"))</f>
        <v/>
      </c>
      <c r="AS243" s="29">
        <f>IF(BA243&lt;&gt;"",BA243,IF(LEN(AZ243)=15,MID(AZ243,3,10),""))</f>
        <v/>
      </c>
      <c r="AT243" s="29">
        <f>IF(BB243="","",BB243&amp;IF(D243="","  (guessed from PAN)",""))</f>
        <v/>
      </c>
      <c r="AU243" s="29">
        <f>IF(AZ243="","",IFERROR(INDEX(Lists!$L$2:$L$38,MATCH(LEFT(AZ243,2),Lists!$K$2:$K$38,0)),"Unknown code"))</f>
        <v/>
      </c>
      <c r="AV243" s="29">
        <f>IF(AZ243="","",IFERROR(IF(NOT(AND(LEN(AZ243)=15,ISNUMBER(MATCH(LEFT(AZ243,2),Lists!$K$2:$K$38,0)),SUMPRODUCT(--ISERROR(FIND(MID(MID(AZ243,3,10),{1,2,3,4,5,10},1),"ABCDEFGHIJKLMNOPQRSTUVWXYZ")))=0,SUMPRODUCT(--ISERROR(FIND(MID(MID(AZ243,3,10),{6,7,8,9},1),"0123456789")))=0,ISNUMBER(FIND(MID(AZ243,13,1),"123456789ABCDEFGHIJKLMNOPQRSTUVWXYZ")),MID(AZ243,14,1)="Z")),"Wrong format",IF(MID("0123456789ABCDEFGHIJKLMNOPQRSTUVWXYZ",MOD(36-MOD(SUMPRODUCT(INT((FIND(MID(AZ243,{1,2,3,4,5,6,7,8,9,10,11,12,13,14},1),"0123456789ABCDEFGHIJKLMNOPQRSTUVWXYZ")-1)*{1,2,1,2,1,2,1,2,1,2,1,2,1,2}/36)+MOD((FIND(MID(AZ243,{1,2,3,4,5,6,7,8,9,10,11,12,13,14},1),"0123456789ABCDEFGHIJKLMNOPQRSTUVWXYZ")-1)*{1,2,1,2,1,2,1,2,1,2,1,2,1,2},36)),36),36)+1,1)=MID(AZ243,15,1),"OK","Typo? check digit wrong")),"Wrong format"))</f>
        <v/>
      </c>
      <c r="AW243" s="29">
        <f>IF(BA243="","",IF(AND(LEN(BA243)=10,SUMPRODUCT(--ISERROR(FIND(MID(BA243,{1,2,3,4,5,10},1),"ABCDEFGHIJKLMNOPQRSTUVWXYZ")))=0,SUMPRODUCT(--ISERROR(FIND(MID(BA243,{6,7,8,9},1),"0123456789")))=0),"OK","Wrong format"))</f>
        <v/>
      </c>
      <c r="AX243" s="29">
        <f>IF(TRIM(H243)="","",IF(AND(LEN(UPPER(TRIM(H243)))=10,SUMPRODUCT(--ISERROR(FIND(MID(UPPER(TRIM(H243)),{1,2,3,4,10},1),"ABCDEFGHIJKLMNOPQRSTUVWXYZ")))=0,SUMPRODUCT(--ISERROR(FIND(MID(UPPER(TRIM(H243)),{5,6,7,8,9},1),"0123456789")))=0),"OK","Wrong format"))</f>
        <v/>
      </c>
      <c r="AY243" s="30">
        <f>IF(NOT(COUNTA(A243:AE243)&gt;0),"",IF(BE243&lt;&gt;"","✖ "&amp;LEFT(BE243,LEN(BE243)-2),IF(BD243&gt;0,"✔ Ready — client + "&amp;BD243&amp;" service(s)","✔ Ready — client only")))</f>
        <v/>
      </c>
      <c r="AZ243" s="31">
        <f>UPPER(SUBSTITUTE(TRIM(F243)," ",""))</f>
        <v/>
      </c>
      <c r="BA243" s="31">
        <f>UPPER(SUBSTITUTE(TRIM(E243)," ",""))</f>
        <v/>
      </c>
      <c r="BB243" s="31">
        <f>IF(D243&lt;&gt;"",D243,IFERROR(VLOOKUP(MID(AS243,4,1),Lists!$E$2:$F$8,2,FALSE),""))</f>
        <v/>
      </c>
      <c r="BC243" s="31">
        <f>IFERROR(VLOOKUP(BB243,Lists!$A$2:$C$12,3,FALSE),"")</f>
        <v/>
      </c>
      <c r="BD243" s="31">
        <f>COUNTIF(W243:AC243,"Yes")</f>
        <v/>
      </c>
      <c r="BE243" s="31">
        <f>IF(TRIM(B243)="","Legal name missing; ","")&amp;IF(AND(AV243&lt;&gt;"",AV243&lt;&gt;"OK"),"GSTIN: "&amp;AV243&amp;"; ","")&amp;IF(AND(AW243&lt;&gt;"",AW243&lt;&gt;"OK"),"PAN wrong format; ","")&amp;IF(AND(BA243&lt;&gt;"",LEN(AZ243)=15,MID(AZ243,3,10)&lt;&gt;BA243),"PAN does not match GSTIN; ","")&amp;IF(AND(AX243&lt;&gt;"",AX243&lt;&gt;"OK"),"TAN wrong format; ","")&amp;IF(AS243="","PAN missing; ","")&amp;IF(BB243="","Entity type missing; ","")&amp;IF(AND(AZ243&lt;&gt;"",COUNTIF($AZ$6:$AZ$1005,AZ243)&gt;1),"GSTIN repeated in this sheet; ","")&amp;IF(AND(AS243&lt;&gt;"",COUNTIF($AS$6:$AS$1005,AS243)&gt;1),"PAN repeated in this sheet (same client? put extra GSTINs in Other GSTINs); ","")&amp;IF(AND(BD243&gt;0,V243=""),"Financial year missing; ","")&amp;IF(AND(BD243=0,V243&lt;&gt;""),"Financial year given but no service is Yes; ","")&amp;IF(AND(W243="Yes",AZ243=""),"GST needs a GSTIN; ","")&amp;IF(AND(W243="Yes",X243=""),"GST return frequency missing; ","")&amp;IF(AND(Y243="Yes",TRIM(H243)=""),"TDS needs a TAN; ","")&amp;IF(AND(AA243="Yes",BC243&lt;&gt;"",BC243&lt;&gt;"company",BC243&lt;&gt;"llp"),"ROC is only for a company / LLP; ","")&amp;IF(AND(AA243="Yes",OR(BC243="company",BC243="llp"),TRIM(I243)=""),"ROC needs the CIN / LLPIN; ","")&amp;IF((TRIM(AF243)="")&lt;&gt;(TRIM(AG243)=""),"GST login needs both user ID and password; ","")&amp;IF((TRIM(AH243)="")&lt;&gt;(TRIM(AI243)=""),"Income-tax login needs both user ID and password; ","")&amp;IF((TRIM(AJ243)="")&lt;&gt;(TRIM(AK243)=""),"Income-tax login needs both user ID and password; ","")&amp;IF((TRIM(AL243)="")&lt;&gt;(TRIM(AM243)=""),"TRACES login needs both user ID and password; ","")&amp;IF((TRIM(AN243)="")&lt;&gt;(TRIM(AO243)=""),"MCA login needs both user ID and password; ","")&amp;IF((TRIM(AP243)="")&lt;&gt;(TRIM(AQ243)=""),"E-way bill login needs both user ID and password; ","")</f>
        <v/>
      </c>
    </row>
    <row r="244">
      <c r="A244" s="32" t="n"/>
      <c r="B244" s="33" t="n"/>
      <c r="C244" s="33" t="n"/>
      <c r="D244" s="33" t="n"/>
      <c r="E244" s="32" t="n"/>
      <c r="F244" s="32" t="n"/>
      <c r="G244" s="32" t="n"/>
      <c r="H244" s="32" t="n"/>
      <c r="I244" s="32" t="n"/>
      <c r="J244" s="34" t="n"/>
      <c r="K244" s="33" t="n"/>
      <c r="L244" s="32" t="n"/>
      <c r="M244" s="33" t="n"/>
      <c r="N244" s="33" t="n"/>
      <c r="O244" s="33" t="n"/>
      <c r="P244" s="32" t="n"/>
      <c r="Q244" s="33" t="n"/>
      <c r="R244" s="33" t="n"/>
      <c r="S244" s="33" t="n"/>
      <c r="T244" s="33" t="n"/>
      <c r="U244" s="32" t="n"/>
      <c r="V244" s="33" t="n"/>
      <c r="W244" s="33" t="n"/>
      <c r="X244" s="33" t="n"/>
      <c r="Y244" s="33" t="n"/>
      <c r="Z244" s="33" t="n"/>
      <c r="AA244" s="33" t="n"/>
      <c r="AB244" s="33" t="n"/>
      <c r="AC244" s="33" t="n"/>
      <c r="AD244" s="33" t="n"/>
      <c r="AE244" s="33" t="n"/>
      <c r="AF244" s="32" t="n"/>
      <c r="AG244" s="32" t="n"/>
      <c r="AH244" s="32" t="n"/>
      <c r="AI244" s="32" t="n"/>
      <c r="AJ244" s="32" t="n"/>
      <c r="AK244" s="32" t="n"/>
      <c r="AL244" s="32" t="n"/>
      <c r="AM244" s="32" t="n"/>
      <c r="AN244" s="32" t="n"/>
      <c r="AO244" s="32" t="n"/>
      <c r="AP244" s="32" t="n"/>
      <c r="AQ244" s="32" t="n"/>
      <c r="AR244" s="29">
        <f>IF(NOT(COUNTA(A244:AE244)&gt;0),"",IF(A244="","New client","Update"))</f>
        <v/>
      </c>
      <c r="AS244" s="29">
        <f>IF(BA244&lt;&gt;"",BA244,IF(LEN(AZ244)=15,MID(AZ244,3,10),""))</f>
        <v/>
      </c>
      <c r="AT244" s="29">
        <f>IF(BB244="","",BB244&amp;IF(D244="","  (guessed from PAN)",""))</f>
        <v/>
      </c>
      <c r="AU244" s="29">
        <f>IF(AZ244="","",IFERROR(INDEX(Lists!$L$2:$L$38,MATCH(LEFT(AZ244,2),Lists!$K$2:$K$38,0)),"Unknown code"))</f>
        <v/>
      </c>
      <c r="AV244" s="29">
        <f>IF(AZ244="","",IFERROR(IF(NOT(AND(LEN(AZ244)=15,ISNUMBER(MATCH(LEFT(AZ244,2),Lists!$K$2:$K$38,0)),SUMPRODUCT(--ISERROR(FIND(MID(MID(AZ244,3,10),{1,2,3,4,5,10},1),"ABCDEFGHIJKLMNOPQRSTUVWXYZ")))=0,SUMPRODUCT(--ISERROR(FIND(MID(MID(AZ244,3,10),{6,7,8,9},1),"0123456789")))=0,ISNUMBER(FIND(MID(AZ244,13,1),"123456789ABCDEFGHIJKLMNOPQRSTUVWXYZ")),MID(AZ244,14,1)="Z")),"Wrong format",IF(MID("0123456789ABCDEFGHIJKLMNOPQRSTUVWXYZ",MOD(36-MOD(SUMPRODUCT(INT((FIND(MID(AZ244,{1,2,3,4,5,6,7,8,9,10,11,12,13,14},1),"0123456789ABCDEFGHIJKLMNOPQRSTUVWXYZ")-1)*{1,2,1,2,1,2,1,2,1,2,1,2,1,2}/36)+MOD((FIND(MID(AZ244,{1,2,3,4,5,6,7,8,9,10,11,12,13,14},1),"0123456789ABCDEFGHIJKLMNOPQRSTUVWXYZ")-1)*{1,2,1,2,1,2,1,2,1,2,1,2,1,2},36)),36),36)+1,1)=MID(AZ244,15,1),"OK","Typo? check digit wrong")),"Wrong format"))</f>
        <v/>
      </c>
      <c r="AW244" s="29">
        <f>IF(BA244="","",IF(AND(LEN(BA244)=10,SUMPRODUCT(--ISERROR(FIND(MID(BA244,{1,2,3,4,5,10},1),"ABCDEFGHIJKLMNOPQRSTUVWXYZ")))=0,SUMPRODUCT(--ISERROR(FIND(MID(BA244,{6,7,8,9},1),"0123456789")))=0),"OK","Wrong format"))</f>
        <v/>
      </c>
      <c r="AX244" s="29">
        <f>IF(TRIM(H244)="","",IF(AND(LEN(UPPER(TRIM(H244)))=10,SUMPRODUCT(--ISERROR(FIND(MID(UPPER(TRIM(H244)),{1,2,3,4,10},1),"ABCDEFGHIJKLMNOPQRSTUVWXYZ")))=0,SUMPRODUCT(--ISERROR(FIND(MID(UPPER(TRIM(H244)),{5,6,7,8,9},1),"0123456789")))=0),"OK","Wrong format"))</f>
        <v/>
      </c>
      <c r="AY244" s="30">
        <f>IF(NOT(COUNTA(A244:AE244)&gt;0),"",IF(BE244&lt;&gt;"","✖ "&amp;LEFT(BE244,LEN(BE244)-2),IF(BD244&gt;0,"✔ Ready — client + "&amp;BD244&amp;" service(s)","✔ Ready — client only")))</f>
        <v/>
      </c>
      <c r="AZ244" s="31">
        <f>UPPER(SUBSTITUTE(TRIM(F244)," ",""))</f>
        <v/>
      </c>
      <c r="BA244" s="31">
        <f>UPPER(SUBSTITUTE(TRIM(E244)," ",""))</f>
        <v/>
      </c>
      <c r="BB244" s="31">
        <f>IF(D244&lt;&gt;"",D244,IFERROR(VLOOKUP(MID(AS244,4,1),Lists!$E$2:$F$8,2,FALSE),""))</f>
        <v/>
      </c>
      <c r="BC244" s="31">
        <f>IFERROR(VLOOKUP(BB244,Lists!$A$2:$C$12,3,FALSE),"")</f>
        <v/>
      </c>
      <c r="BD244" s="31">
        <f>COUNTIF(W244:AC244,"Yes")</f>
        <v/>
      </c>
      <c r="BE244" s="31">
        <f>IF(TRIM(B244)="","Legal name missing; ","")&amp;IF(AND(AV244&lt;&gt;"",AV244&lt;&gt;"OK"),"GSTIN: "&amp;AV244&amp;"; ","")&amp;IF(AND(AW244&lt;&gt;"",AW244&lt;&gt;"OK"),"PAN wrong format; ","")&amp;IF(AND(BA244&lt;&gt;"",LEN(AZ244)=15,MID(AZ244,3,10)&lt;&gt;BA244),"PAN does not match GSTIN; ","")&amp;IF(AND(AX244&lt;&gt;"",AX244&lt;&gt;"OK"),"TAN wrong format; ","")&amp;IF(AS244="","PAN missing; ","")&amp;IF(BB244="","Entity type missing; ","")&amp;IF(AND(AZ244&lt;&gt;"",COUNTIF($AZ$6:$AZ$1005,AZ244)&gt;1),"GSTIN repeated in this sheet; ","")&amp;IF(AND(AS244&lt;&gt;"",COUNTIF($AS$6:$AS$1005,AS244)&gt;1),"PAN repeated in this sheet (same client? put extra GSTINs in Other GSTINs); ","")&amp;IF(AND(BD244&gt;0,V244=""),"Financial year missing; ","")&amp;IF(AND(BD244=0,V244&lt;&gt;""),"Financial year given but no service is Yes; ","")&amp;IF(AND(W244="Yes",AZ244=""),"GST needs a GSTIN; ","")&amp;IF(AND(W244="Yes",X244=""),"GST return frequency missing; ","")&amp;IF(AND(Y244="Yes",TRIM(H244)=""),"TDS needs a TAN; ","")&amp;IF(AND(AA244="Yes",BC244&lt;&gt;"",BC244&lt;&gt;"company",BC244&lt;&gt;"llp"),"ROC is only for a company / LLP; ","")&amp;IF(AND(AA244="Yes",OR(BC244="company",BC244="llp"),TRIM(I244)=""),"ROC needs the CIN / LLPIN; ","")&amp;IF((TRIM(AF244)="")&lt;&gt;(TRIM(AG244)=""),"GST login needs both user ID and password; ","")&amp;IF((TRIM(AH244)="")&lt;&gt;(TRIM(AI244)=""),"Income-tax login needs both user ID and password; ","")&amp;IF((TRIM(AJ244)="")&lt;&gt;(TRIM(AK244)=""),"Income-tax login needs both user ID and password; ","")&amp;IF((TRIM(AL244)="")&lt;&gt;(TRIM(AM244)=""),"TRACES login needs both user ID and password; ","")&amp;IF((TRIM(AN244)="")&lt;&gt;(TRIM(AO244)=""),"MCA login needs both user ID and password; ","")&amp;IF((TRIM(AP244)="")&lt;&gt;(TRIM(AQ244)=""),"E-way bill login needs both user ID and password; ","")</f>
        <v/>
      </c>
    </row>
    <row r="245">
      <c r="A245" s="32" t="n"/>
      <c r="B245" s="33" t="n"/>
      <c r="C245" s="33" t="n"/>
      <c r="D245" s="33" t="n"/>
      <c r="E245" s="32" t="n"/>
      <c r="F245" s="32" t="n"/>
      <c r="G245" s="32" t="n"/>
      <c r="H245" s="32" t="n"/>
      <c r="I245" s="32" t="n"/>
      <c r="J245" s="34" t="n"/>
      <c r="K245" s="33" t="n"/>
      <c r="L245" s="32" t="n"/>
      <c r="M245" s="33" t="n"/>
      <c r="N245" s="33" t="n"/>
      <c r="O245" s="33" t="n"/>
      <c r="P245" s="32" t="n"/>
      <c r="Q245" s="33" t="n"/>
      <c r="R245" s="33" t="n"/>
      <c r="S245" s="33" t="n"/>
      <c r="T245" s="33" t="n"/>
      <c r="U245" s="32" t="n"/>
      <c r="V245" s="33" t="n"/>
      <c r="W245" s="33" t="n"/>
      <c r="X245" s="33" t="n"/>
      <c r="Y245" s="33" t="n"/>
      <c r="Z245" s="33" t="n"/>
      <c r="AA245" s="33" t="n"/>
      <c r="AB245" s="33" t="n"/>
      <c r="AC245" s="33" t="n"/>
      <c r="AD245" s="33" t="n"/>
      <c r="AE245" s="33" t="n"/>
      <c r="AF245" s="32" t="n"/>
      <c r="AG245" s="32" t="n"/>
      <c r="AH245" s="32" t="n"/>
      <c r="AI245" s="32" t="n"/>
      <c r="AJ245" s="32" t="n"/>
      <c r="AK245" s="32" t="n"/>
      <c r="AL245" s="32" t="n"/>
      <c r="AM245" s="32" t="n"/>
      <c r="AN245" s="32" t="n"/>
      <c r="AO245" s="32" t="n"/>
      <c r="AP245" s="32" t="n"/>
      <c r="AQ245" s="32" t="n"/>
      <c r="AR245" s="29">
        <f>IF(NOT(COUNTA(A245:AE245)&gt;0),"",IF(A245="","New client","Update"))</f>
        <v/>
      </c>
      <c r="AS245" s="29">
        <f>IF(BA245&lt;&gt;"",BA245,IF(LEN(AZ245)=15,MID(AZ245,3,10),""))</f>
        <v/>
      </c>
      <c r="AT245" s="29">
        <f>IF(BB245="","",BB245&amp;IF(D245="","  (guessed from PAN)",""))</f>
        <v/>
      </c>
      <c r="AU245" s="29">
        <f>IF(AZ245="","",IFERROR(INDEX(Lists!$L$2:$L$38,MATCH(LEFT(AZ245,2),Lists!$K$2:$K$38,0)),"Unknown code"))</f>
        <v/>
      </c>
      <c r="AV245" s="29">
        <f>IF(AZ245="","",IFERROR(IF(NOT(AND(LEN(AZ245)=15,ISNUMBER(MATCH(LEFT(AZ245,2),Lists!$K$2:$K$38,0)),SUMPRODUCT(--ISERROR(FIND(MID(MID(AZ245,3,10),{1,2,3,4,5,10},1),"ABCDEFGHIJKLMNOPQRSTUVWXYZ")))=0,SUMPRODUCT(--ISERROR(FIND(MID(MID(AZ245,3,10),{6,7,8,9},1),"0123456789")))=0,ISNUMBER(FIND(MID(AZ245,13,1),"123456789ABCDEFGHIJKLMNOPQRSTUVWXYZ")),MID(AZ245,14,1)="Z")),"Wrong format",IF(MID("0123456789ABCDEFGHIJKLMNOPQRSTUVWXYZ",MOD(36-MOD(SUMPRODUCT(INT((FIND(MID(AZ245,{1,2,3,4,5,6,7,8,9,10,11,12,13,14},1),"0123456789ABCDEFGHIJKLMNOPQRSTUVWXYZ")-1)*{1,2,1,2,1,2,1,2,1,2,1,2,1,2}/36)+MOD((FIND(MID(AZ245,{1,2,3,4,5,6,7,8,9,10,11,12,13,14},1),"0123456789ABCDEFGHIJKLMNOPQRSTUVWXYZ")-1)*{1,2,1,2,1,2,1,2,1,2,1,2,1,2},36)),36),36)+1,1)=MID(AZ245,15,1),"OK","Typo? check digit wrong")),"Wrong format"))</f>
        <v/>
      </c>
      <c r="AW245" s="29">
        <f>IF(BA245="","",IF(AND(LEN(BA245)=10,SUMPRODUCT(--ISERROR(FIND(MID(BA245,{1,2,3,4,5,10},1),"ABCDEFGHIJKLMNOPQRSTUVWXYZ")))=0,SUMPRODUCT(--ISERROR(FIND(MID(BA245,{6,7,8,9},1),"0123456789")))=0),"OK","Wrong format"))</f>
        <v/>
      </c>
      <c r="AX245" s="29">
        <f>IF(TRIM(H245)="","",IF(AND(LEN(UPPER(TRIM(H245)))=10,SUMPRODUCT(--ISERROR(FIND(MID(UPPER(TRIM(H245)),{1,2,3,4,10},1),"ABCDEFGHIJKLMNOPQRSTUVWXYZ")))=0,SUMPRODUCT(--ISERROR(FIND(MID(UPPER(TRIM(H245)),{5,6,7,8,9},1),"0123456789")))=0),"OK","Wrong format"))</f>
        <v/>
      </c>
      <c r="AY245" s="30">
        <f>IF(NOT(COUNTA(A245:AE245)&gt;0),"",IF(BE245&lt;&gt;"","✖ "&amp;LEFT(BE245,LEN(BE245)-2),IF(BD245&gt;0,"✔ Ready — client + "&amp;BD245&amp;" service(s)","✔ Ready — client only")))</f>
        <v/>
      </c>
      <c r="AZ245" s="31">
        <f>UPPER(SUBSTITUTE(TRIM(F245)," ",""))</f>
        <v/>
      </c>
      <c r="BA245" s="31">
        <f>UPPER(SUBSTITUTE(TRIM(E245)," ",""))</f>
        <v/>
      </c>
      <c r="BB245" s="31">
        <f>IF(D245&lt;&gt;"",D245,IFERROR(VLOOKUP(MID(AS245,4,1),Lists!$E$2:$F$8,2,FALSE),""))</f>
        <v/>
      </c>
      <c r="BC245" s="31">
        <f>IFERROR(VLOOKUP(BB245,Lists!$A$2:$C$12,3,FALSE),"")</f>
        <v/>
      </c>
      <c r="BD245" s="31">
        <f>COUNTIF(W245:AC245,"Yes")</f>
        <v/>
      </c>
      <c r="BE245" s="31">
        <f>IF(TRIM(B245)="","Legal name missing; ","")&amp;IF(AND(AV245&lt;&gt;"",AV245&lt;&gt;"OK"),"GSTIN: "&amp;AV245&amp;"; ","")&amp;IF(AND(AW245&lt;&gt;"",AW245&lt;&gt;"OK"),"PAN wrong format; ","")&amp;IF(AND(BA245&lt;&gt;"",LEN(AZ245)=15,MID(AZ245,3,10)&lt;&gt;BA245),"PAN does not match GSTIN; ","")&amp;IF(AND(AX245&lt;&gt;"",AX245&lt;&gt;"OK"),"TAN wrong format; ","")&amp;IF(AS245="","PAN missing; ","")&amp;IF(BB245="","Entity type missing; ","")&amp;IF(AND(AZ245&lt;&gt;"",COUNTIF($AZ$6:$AZ$1005,AZ245)&gt;1),"GSTIN repeated in this sheet; ","")&amp;IF(AND(AS245&lt;&gt;"",COUNTIF($AS$6:$AS$1005,AS245)&gt;1),"PAN repeated in this sheet (same client? put extra GSTINs in Other GSTINs); ","")&amp;IF(AND(BD245&gt;0,V245=""),"Financial year missing; ","")&amp;IF(AND(BD245=0,V245&lt;&gt;""),"Financial year given but no service is Yes; ","")&amp;IF(AND(W245="Yes",AZ245=""),"GST needs a GSTIN; ","")&amp;IF(AND(W245="Yes",X245=""),"GST return frequency missing; ","")&amp;IF(AND(Y245="Yes",TRIM(H245)=""),"TDS needs a TAN; ","")&amp;IF(AND(AA245="Yes",BC245&lt;&gt;"",BC245&lt;&gt;"company",BC245&lt;&gt;"llp"),"ROC is only for a company / LLP; ","")&amp;IF(AND(AA245="Yes",OR(BC245="company",BC245="llp"),TRIM(I245)=""),"ROC needs the CIN / LLPIN; ","")&amp;IF((TRIM(AF245)="")&lt;&gt;(TRIM(AG245)=""),"GST login needs both user ID and password; ","")&amp;IF((TRIM(AH245)="")&lt;&gt;(TRIM(AI245)=""),"Income-tax login needs both user ID and password; ","")&amp;IF((TRIM(AJ245)="")&lt;&gt;(TRIM(AK245)=""),"Income-tax login needs both user ID and password; ","")&amp;IF((TRIM(AL245)="")&lt;&gt;(TRIM(AM245)=""),"TRACES login needs both user ID and password; ","")&amp;IF((TRIM(AN245)="")&lt;&gt;(TRIM(AO245)=""),"MCA login needs both user ID and password; ","")&amp;IF((TRIM(AP245)="")&lt;&gt;(TRIM(AQ245)=""),"E-way bill login needs both user ID and password; ","")</f>
        <v/>
      </c>
    </row>
    <row r="246">
      <c r="A246" s="32" t="n"/>
      <c r="B246" s="33" t="n"/>
      <c r="C246" s="33" t="n"/>
      <c r="D246" s="33" t="n"/>
      <c r="E246" s="32" t="n"/>
      <c r="F246" s="32" t="n"/>
      <c r="G246" s="32" t="n"/>
      <c r="H246" s="32" t="n"/>
      <c r="I246" s="32" t="n"/>
      <c r="J246" s="34" t="n"/>
      <c r="K246" s="33" t="n"/>
      <c r="L246" s="32" t="n"/>
      <c r="M246" s="33" t="n"/>
      <c r="N246" s="33" t="n"/>
      <c r="O246" s="33" t="n"/>
      <c r="P246" s="32" t="n"/>
      <c r="Q246" s="33" t="n"/>
      <c r="R246" s="33" t="n"/>
      <c r="S246" s="33" t="n"/>
      <c r="T246" s="33" t="n"/>
      <c r="U246" s="32" t="n"/>
      <c r="V246" s="33" t="n"/>
      <c r="W246" s="33" t="n"/>
      <c r="X246" s="33" t="n"/>
      <c r="Y246" s="33" t="n"/>
      <c r="Z246" s="33" t="n"/>
      <c r="AA246" s="33" t="n"/>
      <c r="AB246" s="33" t="n"/>
      <c r="AC246" s="33" t="n"/>
      <c r="AD246" s="33" t="n"/>
      <c r="AE246" s="33" t="n"/>
      <c r="AF246" s="32" t="n"/>
      <c r="AG246" s="32" t="n"/>
      <c r="AH246" s="32" t="n"/>
      <c r="AI246" s="32" t="n"/>
      <c r="AJ246" s="32" t="n"/>
      <c r="AK246" s="32" t="n"/>
      <c r="AL246" s="32" t="n"/>
      <c r="AM246" s="32" t="n"/>
      <c r="AN246" s="32" t="n"/>
      <c r="AO246" s="32" t="n"/>
      <c r="AP246" s="32" t="n"/>
      <c r="AQ246" s="32" t="n"/>
      <c r="AR246" s="29">
        <f>IF(NOT(COUNTA(A246:AE246)&gt;0),"",IF(A246="","New client","Update"))</f>
        <v/>
      </c>
      <c r="AS246" s="29">
        <f>IF(BA246&lt;&gt;"",BA246,IF(LEN(AZ246)=15,MID(AZ246,3,10),""))</f>
        <v/>
      </c>
      <c r="AT246" s="29">
        <f>IF(BB246="","",BB246&amp;IF(D246="","  (guessed from PAN)",""))</f>
        <v/>
      </c>
      <c r="AU246" s="29">
        <f>IF(AZ246="","",IFERROR(INDEX(Lists!$L$2:$L$38,MATCH(LEFT(AZ246,2),Lists!$K$2:$K$38,0)),"Unknown code"))</f>
        <v/>
      </c>
      <c r="AV246" s="29">
        <f>IF(AZ246="","",IFERROR(IF(NOT(AND(LEN(AZ246)=15,ISNUMBER(MATCH(LEFT(AZ246,2),Lists!$K$2:$K$38,0)),SUMPRODUCT(--ISERROR(FIND(MID(MID(AZ246,3,10),{1,2,3,4,5,10},1),"ABCDEFGHIJKLMNOPQRSTUVWXYZ")))=0,SUMPRODUCT(--ISERROR(FIND(MID(MID(AZ246,3,10),{6,7,8,9},1),"0123456789")))=0,ISNUMBER(FIND(MID(AZ246,13,1),"123456789ABCDEFGHIJKLMNOPQRSTUVWXYZ")),MID(AZ246,14,1)="Z")),"Wrong format",IF(MID("0123456789ABCDEFGHIJKLMNOPQRSTUVWXYZ",MOD(36-MOD(SUMPRODUCT(INT((FIND(MID(AZ246,{1,2,3,4,5,6,7,8,9,10,11,12,13,14},1),"0123456789ABCDEFGHIJKLMNOPQRSTUVWXYZ")-1)*{1,2,1,2,1,2,1,2,1,2,1,2,1,2}/36)+MOD((FIND(MID(AZ246,{1,2,3,4,5,6,7,8,9,10,11,12,13,14},1),"0123456789ABCDEFGHIJKLMNOPQRSTUVWXYZ")-1)*{1,2,1,2,1,2,1,2,1,2,1,2,1,2},36)),36),36)+1,1)=MID(AZ246,15,1),"OK","Typo? check digit wrong")),"Wrong format"))</f>
        <v/>
      </c>
      <c r="AW246" s="29">
        <f>IF(BA246="","",IF(AND(LEN(BA246)=10,SUMPRODUCT(--ISERROR(FIND(MID(BA246,{1,2,3,4,5,10},1),"ABCDEFGHIJKLMNOPQRSTUVWXYZ")))=0,SUMPRODUCT(--ISERROR(FIND(MID(BA246,{6,7,8,9},1),"0123456789")))=0),"OK","Wrong format"))</f>
        <v/>
      </c>
      <c r="AX246" s="29">
        <f>IF(TRIM(H246)="","",IF(AND(LEN(UPPER(TRIM(H246)))=10,SUMPRODUCT(--ISERROR(FIND(MID(UPPER(TRIM(H246)),{1,2,3,4,10},1),"ABCDEFGHIJKLMNOPQRSTUVWXYZ")))=0,SUMPRODUCT(--ISERROR(FIND(MID(UPPER(TRIM(H246)),{5,6,7,8,9},1),"0123456789")))=0),"OK","Wrong format"))</f>
        <v/>
      </c>
      <c r="AY246" s="30">
        <f>IF(NOT(COUNTA(A246:AE246)&gt;0),"",IF(BE246&lt;&gt;"","✖ "&amp;LEFT(BE246,LEN(BE246)-2),IF(BD246&gt;0,"✔ Ready — client + "&amp;BD246&amp;" service(s)","✔ Ready — client only")))</f>
        <v/>
      </c>
      <c r="AZ246" s="31">
        <f>UPPER(SUBSTITUTE(TRIM(F246)," ",""))</f>
        <v/>
      </c>
      <c r="BA246" s="31">
        <f>UPPER(SUBSTITUTE(TRIM(E246)," ",""))</f>
        <v/>
      </c>
      <c r="BB246" s="31">
        <f>IF(D246&lt;&gt;"",D246,IFERROR(VLOOKUP(MID(AS246,4,1),Lists!$E$2:$F$8,2,FALSE),""))</f>
        <v/>
      </c>
      <c r="BC246" s="31">
        <f>IFERROR(VLOOKUP(BB246,Lists!$A$2:$C$12,3,FALSE),"")</f>
        <v/>
      </c>
      <c r="BD246" s="31">
        <f>COUNTIF(W246:AC246,"Yes")</f>
        <v/>
      </c>
      <c r="BE246" s="31">
        <f>IF(TRIM(B246)="","Legal name missing; ","")&amp;IF(AND(AV246&lt;&gt;"",AV246&lt;&gt;"OK"),"GSTIN: "&amp;AV246&amp;"; ","")&amp;IF(AND(AW246&lt;&gt;"",AW246&lt;&gt;"OK"),"PAN wrong format; ","")&amp;IF(AND(BA246&lt;&gt;"",LEN(AZ246)=15,MID(AZ246,3,10)&lt;&gt;BA246),"PAN does not match GSTIN; ","")&amp;IF(AND(AX246&lt;&gt;"",AX246&lt;&gt;"OK"),"TAN wrong format; ","")&amp;IF(AS246="","PAN missing; ","")&amp;IF(BB246="","Entity type missing; ","")&amp;IF(AND(AZ246&lt;&gt;"",COUNTIF($AZ$6:$AZ$1005,AZ246)&gt;1),"GSTIN repeated in this sheet; ","")&amp;IF(AND(AS246&lt;&gt;"",COUNTIF($AS$6:$AS$1005,AS246)&gt;1),"PAN repeated in this sheet (same client? put extra GSTINs in Other GSTINs); ","")&amp;IF(AND(BD246&gt;0,V246=""),"Financial year missing; ","")&amp;IF(AND(BD246=0,V246&lt;&gt;""),"Financial year given but no service is Yes; ","")&amp;IF(AND(W246="Yes",AZ246=""),"GST needs a GSTIN; ","")&amp;IF(AND(W246="Yes",X246=""),"GST return frequency missing; ","")&amp;IF(AND(Y246="Yes",TRIM(H246)=""),"TDS needs a TAN; ","")&amp;IF(AND(AA246="Yes",BC246&lt;&gt;"",BC246&lt;&gt;"company",BC246&lt;&gt;"llp"),"ROC is only for a company / LLP; ","")&amp;IF(AND(AA246="Yes",OR(BC246="company",BC246="llp"),TRIM(I246)=""),"ROC needs the CIN / LLPIN; ","")&amp;IF((TRIM(AF246)="")&lt;&gt;(TRIM(AG246)=""),"GST login needs both user ID and password; ","")&amp;IF((TRIM(AH246)="")&lt;&gt;(TRIM(AI246)=""),"Income-tax login needs both user ID and password; ","")&amp;IF((TRIM(AJ246)="")&lt;&gt;(TRIM(AK246)=""),"Income-tax login needs both user ID and password; ","")&amp;IF((TRIM(AL246)="")&lt;&gt;(TRIM(AM246)=""),"TRACES login needs both user ID and password; ","")&amp;IF((TRIM(AN246)="")&lt;&gt;(TRIM(AO246)=""),"MCA login needs both user ID and password; ","")&amp;IF((TRIM(AP246)="")&lt;&gt;(TRIM(AQ246)=""),"E-way bill login needs both user ID and password; ","")</f>
        <v/>
      </c>
    </row>
    <row r="247">
      <c r="A247" s="32" t="n"/>
      <c r="B247" s="33" t="n"/>
      <c r="C247" s="33" t="n"/>
      <c r="D247" s="33" t="n"/>
      <c r="E247" s="32" t="n"/>
      <c r="F247" s="32" t="n"/>
      <c r="G247" s="32" t="n"/>
      <c r="H247" s="32" t="n"/>
      <c r="I247" s="32" t="n"/>
      <c r="J247" s="34" t="n"/>
      <c r="K247" s="33" t="n"/>
      <c r="L247" s="32" t="n"/>
      <c r="M247" s="33" t="n"/>
      <c r="N247" s="33" t="n"/>
      <c r="O247" s="33" t="n"/>
      <c r="P247" s="32" t="n"/>
      <c r="Q247" s="33" t="n"/>
      <c r="R247" s="33" t="n"/>
      <c r="S247" s="33" t="n"/>
      <c r="T247" s="33" t="n"/>
      <c r="U247" s="32" t="n"/>
      <c r="V247" s="33" t="n"/>
      <c r="W247" s="33" t="n"/>
      <c r="X247" s="33" t="n"/>
      <c r="Y247" s="33" t="n"/>
      <c r="Z247" s="33" t="n"/>
      <c r="AA247" s="33" t="n"/>
      <c r="AB247" s="33" t="n"/>
      <c r="AC247" s="33" t="n"/>
      <c r="AD247" s="33" t="n"/>
      <c r="AE247" s="33" t="n"/>
      <c r="AF247" s="32" t="n"/>
      <c r="AG247" s="32" t="n"/>
      <c r="AH247" s="32" t="n"/>
      <c r="AI247" s="32" t="n"/>
      <c r="AJ247" s="32" t="n"/>
      <c r="AK247" s="32" t="n"/>
      <c r="AL247" s="32" t="n"/>
      <c r="AM247" s="32" t="n"/>
      <c r="AN247" s="32" t="n"/>
      <c r="AO247" s="32" t="n"/>
      <c r="AP247" s="32" t="n"/>
      <c r="AQ247" s="32" t="n"/>
      <c r="AR247" s="29">
        <f>IF(NOT(COUNTA(A247:AE247)&gt;0),"",IF(A247="","New client","Update"))</f>
        <v/>
      </c>
      <c r="AS247" s="29">
        <f>IF(BA247&lt;&gt;"",BA247,IF(LEN(AZ247)=15,MID(AZ247,3,10),""))</f>
        <v/>
      </c>
      <c r="AT247" s="29">
        <f>IF(BB247="","",BB247&amp;IF(D247="","  (guessed from PAN)",""))</f>
        <v/>
      </c>
      <c r="AU247" s="29">
        <f>IF(AZ247="","",IFERROR(INDEX(Lists!$L$2:$L$38,MATCH(LEFT(AZ247,2),Lists!$K$2:$K$38,0)),"Unknown code"))</f>
        <v/>
      </c>
      <c r="AV247" s="29">
        <f>IF(AZ247="","",IFERROR(IF(NOT(AND(LEN(AZ247)=15,ISNUMBER(MATCH(LEFT(AZ247,2),Lists!$K$2:$K$38,0)),SUMPRODUCT(--ISERROR(FIND(MID(MID(AZ247,3,10),{1,2,3,4,5,10},1),"ABCDEFGHIJKLMNOPQRSTUVWXYZ")))=0,SUMPRODUCT(--ISERROR(FIND(MID(MID(AZ247,3,10),{6,7,8,9},1),"0123456789")))=0,ISNUMBER(FIND(MID(AZ247,13,1),"123456789ABCDEFGHIJKLMNOPQRSTUVWXYZ")),MID(AZ247,14,1)="Z")),"Wrong format",IF(MID("0123456789ABCDEFGHIJKLMNOPQRSTUVWXYZ",MOD(36-MOD(SUMPRODUCT(INT((FIND(MID(AZ247,{1,2,3,4,5,6,7,8,9,10,11,12,13,14},1),"0123456789ABCDEFGHIJKLMNOPQRSTUVWXYZ")-1)*{1,2,1,2,1,2,1,2,1,2,1,2,1,2}/36)+MOD((FIND(MID(AZ247,{1,2,3,4,5,6,7,8,9,10,11,12,13,14},1),"0123456789ABCDEFGHIJKLMNOPQRSTUVWXYZ")-1)*{1,2,1,2,1,2,1,2,1,2,1,2,1,2},36)),36),36)+1,1)=MID(AZ247,15,1),"OK","Typo? check digit wrong")),"Wrong format"))</f>
        <v/>
      </c>
      <c r="AW247" s="29">
        <f>IF(BA247="","",IF(AND(LEN(BA247)=10,SUMPRODUCT(--ISERROR(FIND(MID(BA247,{1,2,3,4,5,10},1),"ABCDEFGHIJKLMNOPQRSTUVWXYZ")))=0,SUMPRODUCT(--ISERROR(FIND(MID(BA247,{6,7,8,9},1),"0123456789")))=0),"OK","Wrong format"))</f>
        <v/>
      </c>
      <c r="AX247" s="29">
        <f>IF(TRIM(H247)="","",IF(AND(LEN(UPPER(TRIM(H247)))=10,SUMPRODUCT(--ISERROR(FIND(MID(UPPER(TRIM(H247)),{1,2,3,4,10},1),"ABCDEFGHIJKLMNOPQRSTUVWXYZ")))=0,SUMPRODUCT(--ISERROR(FIND(MID(UPPER(TRIM(H247)),{5,6,7,8,9},1),"0123456789")))=0),"OK","Wrong format"))</f>
        <v/>
      </c>
      <c r="AY247" s="30">
        <f>IF(NOT(COUNTA(A247:AE247)&gt;0),"",IF(BE247&lt;&gt;"","✖ "&amp;LEFT(BE247,LEN(BE247)-2),IF(BD247&gt;0,"✔ Ready — client + "&amp;BD247&amp;" service(s)","✔ Ready — client only")))</f>
        <v/>
      </c>
      <c r="AZ247" s="31">
        <f>UPPER(SUBSTITUTE(TRIM(F247)," ",""))</f>
        <v/>
      </c>
      <c r="BA247" s="31">
        <f>UPPER(SUBSTITUTE(TRIM(E247)," ",""))</f>
        <v/>
      </c>
      <c r="BB247" s="31">
        <f>IF(D247&lt;&gt;"",D247,IFERROR(VLOOKUP(MID(AS247,4,1),Lists!$E$2:$F$8,2,FALSE),""))</f>
        <v/>
      </c>
      <c r="BC247" s="31">
        <f>IFERROR(VLOOKUP(BB247,Lists!$A$2:$C$12,3,FALSE),"")</f>
        <v/>
      </c>
      <c r="BD247" s="31">
        <f>COUNTIF(W247:AC247,"Yes")</f>
        <v/>
      </c>
      <c r="BE247" s="31">
        <f>IF(TRIM(B247)="","Legal name missing; ","")&amp;IF(AND(AV247&lt;&gt;"",AV247&lt;&gt;"OK"),"GSTIN: "&amp;AV247&amp;"; ","")&amp;IF(AND(AW247&lt;&gt;"",AW247&lt;&gt;"OK"),"PAN wrong format; ","")&amp;IF(AND(BA247&lt;&gt;"",LEN(AZ247)=15,MID(AZ247,3,10)&lt;&gt;BA247),"PAN does not match GSTIN; ","")&amp;IF(AND(AX247&lt;&gt;"",AX247&lt;&gt;"OK"),"TAN wrong format; ","")&amp;IF(AS247="","PAN missing; ","")&amp;IF(BB247="","Entity type missing; ","")&amp;IF(AND(AZ247&lt;&gt;"",COUNTIF($AZ$6:$AZ$1005,AZ247)&gt;1),"GSTIN repeated in this sheet; ","")&amp;IF(AND(AS247&lt;&gt;"",COUNTIF($AS$6:$AS$1005,AS247)&gt;1),"PAN repeated in this sheet (same client? put extra GSTINs in Other GSTINs); ","")&amp;IF(AND(BD247&gt;0,V247=""),"Financial year missing; ","")&amp;IF(AND(BD247=0,V247&lt;&gt;""),"Financial year given but no service is Yes; ","")&amp;IF(AND(W247="Yes",AZ247=""),"GST needs a GSTIN; ","")&amp;IF(AND(W247="Yes",X247=""),"GST return frequency missing; ","")&amp;IF(AND(Y247="Yes",TRIM(H247)=""),"TDS needs a TAN; ","")&amp;IF(AND(AA247="Yes",BC247&lt;&gt;"",BC247&lt;&gt;"company",BC247&lt;&gt;"llp"),"ROC is only for a company / LLP; ","")&amp;IF(AND(AA247="Yes",OR(BC247="company",BC247="llp"),TRIM(I247)=""),"ROC needs the CIN / LLPIN; ","")&amp;IF((TRIM(AF247)="")&lt;&gt;(TRIM(AG247)=""),"GST login needs both user ID and password; ","")&amp;IF((TRIM(AH247)="")&lt;&gt;(TRIM(AI247)=""),"Income-tax login needs both user ID and password; ","")&amp;IF((TRIM(AJ247)="")&lt;&gt;(TRIM(AK247)=""),"Income-tax login needs both user ID and password; ","")&amp;IF((TRIM(AL247)="")&lt;&gt;(TRIM(AM247)=""),"TRACES login needs both user ID and password; ","")&amp;IF((TRIM(AN247)="")&lt;&gt;(TRIM(AO247)=""),"MCA login needs both user ID and password; ","")&amp;IF((TRIM(AP247)="")&lt;&gt;(TRIM(AQ247)=""),"E-way bill login needs both user ID and password; ","")</f>
        <v/>
      </c>
    </row>
    <row r="248">
      <c r="A248" s="32" t="n"/>
      <c r="B248" s="33" t="n"/>
      <c r="C248" s="33" t="n"/>
      <c r="D248" s="33" t="n"/>
      <c r="E248" s="32" t="n"/>
      <c r="F248" s="32" t="n"/>
      <c r="G248" s="32" t="n"/>
      <c r="H248" s="32" t="n"/>
      <c r="I248" s="32" t="n"/>
      <c r="J248" s="34" t="n"/>
      <c r="K248" s="33" t="n"/>
      <c r="L248" s="32" t="n"/>
      <c r="M248" s="33" t="n"/>
      <c r="N248" s="33" t="n"/>
      <c r="O248" s="33" t="n"/>
      <c r="P248" s="32" t="n"/>
      <c r="Q248" s="33" t="n"/>
      <c r="R248" s="33" t="n"/>
      <c r="S248" s="33" t="n"/>
      <c r="T248" s="33" t="n"/>
      <c r="U248" s="32" t="n"/>
      <c r="V248" s="33" t="n"/>
      <c r="W248" s="33" t="n"/>
      <c r="X248" s="33" t="n"/>
      <c r="Y248" s="33" t="n"/>
      <c r="Z248" s="33" t="n"/>
      <c r="AA248" s="33" t="n"/>
      <c r="AB248" s="33" t="n"/>
      <c r="AC248" s="33" t="n"/>
      <c r="AD248" s="33" t="n"/>
      <c r="AE248" s="33" t="n"/>
      <c r="AF248" s="32" t="n"/>
      <c r="AG248" s="32" t="n"/>
      <c r="AH248" s="32" t="n"/>
      <c r="AI248" s="32" t="n"/>
      <c r="AJ248" s="32" t="n"/>
      <c r="AK248" s="32" t="n"/>
      <c r="AL248" s="32" t="n"/>
      <c r="AM248" s="32" t="n"/>
      <c r="AN248" s="32" t="n"/>
      <c r="AO248" s="32" t="n"/>
      <c r="AP248" s="32" t="n"/>
      <c r="AQ248" s="32" t="n"/>
      <c r="AR248" s="29">
        <f>IF(NOT(COUNTA(A248:AE248)&gt;0),"",IF(A248="","New client","Update"))</f>
        <v/>
      </c>
      <c r="AS248" s="29">
        <f>IF(BA248&lt;&gt;"",BA248,IF(LEN(AZ248)=15,MID(AZ248,3,10),""))</f>
        <v/>
      </c>
      <c r="AT248" s="29">
        <f>IF(BB248="","",BB248&amp;IF(D248="","  (guessed from PAN)",""))</f>
        <v/>
      </c>
      <c r="AU248" s="29">
        <f>IF(AZ248="","",IFERROR(INDEX(Lists!$L$2:$L$38,MATCH(LEFT(AZ248,2),Lists!$K$2:$K$38,0)),"Unknown code"))</f>
        <v/>
      </c>
      <c r="AV248" s="29">
        <f>IF(AZ248="","",IFERROR(IF(NOT(AND(LEN(AZ248)=15,ISNUMBER(MATCH(LEFT(AZ248,2),Lists!$K$2:$K$38,0)),SUMPRODUCT(--ISERROR(FIND(MID(MID(AZ248,3,10),{1,2,3,4,5,10},1),"ABCDEFGHIJKLMNOPQRSTUVWXYZ")))=0,SUMPRODUCT(--ISERROR(FIND(MID(MID(AZ248,3,10),{6,7,8,9},1),"0123456789")))=0,ISNUMBER(FIND(MID(AZ248,13,1),"123456789ABCDEFGHIJKLMNOPQRSTUVWXYZ")),MID(AZ248,14,1)="Z")),"Wrong format",IF(MID("0123456789ABCDEFGHIJKLMNOPQRSTUVWXYZ",MOD(36-MOD(SUMPRODUCT(INT((FIND(MID(AZ248,{1,2,3,4,5,6,7,8,9,10,11,12,13,14},1),"0123456789ABCDEFGHIJKLMNOPQRSTUVWXYZ")-1)*{1,2,1,2,1,2,1,2,1,2,1,2,1,2}/36)+MOD((FIND(MID(AZ248,{1,2,3,4,5,6,7,8,9,10,11,12,13,14},1),"0123456789ABCDEFGHIJKLMNOPQRSTUVWXYZ")-1)*{1,2,1,2,1,2,1,2,1,2,1,2,1,2},36)),36),36)+1,1)=MID(AZ248,15,1),"OK","Typo? check digit wrong")),"Wrong format"))</f>
        <v/>
      </c>
      <c r="AW248" s="29">
        <f>IF(BA248="","",IF(AND(LEN(BA248)=10,SUMPRODUCT(--ISERROR(FIND(MID(BA248,{1,2,3,4,5,10},1),"ABCDEFGHIJKLMNOPQRSTUVWXYZ")))=0,SUMPRODUCT(--ISERROR(FIND(MID(BA248,{6,7,8,9},1),"0123456789")))=0),"OK","Wrong format"))</f>
        <v/>
      </c>
      <c r="AX248" s="29">
        <f>IF(TRIM(H248)="","",IF(AND(LEN(UPPER(TRIM(H248)))=10,SUMPRODUCT(--ISERROR(FIND(MID(UPPER(TRIM(H248)),{1,2,3,4,10},1),"ABCDEFGHIJKLMNOPQRSTUVWXYZ")))=0,SUMPRODUCT(--ISERROR(FIND(MID(UPPER(TRIM(H248)),{5,6,7,8,9},1),"0123456789")))=0),"OK","Wrong format"))</f>
        <v/>
      </c>
      <c r="AY248" s="30">
        <f>IF(NOT(COUNTA(A248:AE248)&gt;0),"",IF(BE248&lt;&gt;"","✖ "&amp;LEFT(BE248,LEN(BE248)-2),IF(BD248&gt;0,"✔ Ready — client + "&amp;BD248&amp;" service(s)","✔ Ready — client only")))</f>
        <v/>
      </c>
      <c r="AZ248" s="31">
        <f>UPPER(SUBSTITUTE(TRIM(F248)," ",""))</f>
        <v/>
      </c>
      <c r="BA248" s="31">
        <f>UPPER(SUBSTITUTE(TRIM(E248)," ",""))</f>
        <v/>
      </c>
      <c r="BB248" s="31">
        <f>IF(D248&lt;&gt;"",D248,IFERROR(VLOOKUP(MID(AS248,4,1),Lists!$E$2:$F$8,2,FALSE),""))</f>
        <v/>
      </c>
      <c r="BC248" s="31">
        <f>IFERROR(VLOOKUP(BB248,Lists!$A$2:$C$12,3,FALSE),"")</f>
        <v/>
      </c>
      <c r="BD248" s="31">
        <f>COUNTIF(W248:AC248,"Yes")</f>
        <v/>
      </c>
      <c r="BE248" s="31">
        <f>IF(TRIM(B248)="","Legal name missing; ","")&amp;IF(AND(AV248&lt;&gt;"",AV248&lt;&gt;"OK"),"GSTIN: "&amp;AV248&amp;"; ","")&amp;IF(AND(AW248&lt;&gt;"",AW248&lt;&gt;"OK"),"PAN wrong format; ","")&amp;IF(AND(BA248&lt;&gt;"",LEN(AZ248)=15,MID(AZ248,3,10)&lt;&gt;BA248),"PAN does not match GSTIN; ","")&amp;IF(AND(AX248&lt;&gt;"",AX248&lt;&gt;"OK"),"TAN wrong format; ","")&amp;IF(AS248="","PAN missing; ","")&amp;IF(BB248="","Entity type missing; ","")&amp;IF(AND(AZ248&lt;&gt;"",COUNTIF($AZ$6:$AZ$1005,AZ248)&gt;1),"GSTIN repeated in this sheet; ","")&amp;IF(AND(AS248&lt;&gt;"",COUNTIF($AS$6:$AS$1005,AS248)&gt;1),"PAN repeated in this sheet (same client? put extra GSTINs in Other GSTINs); ","")&amp;IF(AND(BD248&gt;0,V248=""),"Financial year missing; ","")&amp;IF(AND(BD248=0,V248&lt;&gt;""),"Financial year given but no service is Yes; ","")&amp;IF(AND(W248="Yes",AZ248=""),"GST needs a GSTIN; ","")&amp;IF(AND(W248="Yes",X248=""),"GST return frequency missing; ","")&amp;IF(AND(Y248="Yes",TRIM(H248)=""),"TDS needs a TAN; ","")&amp;IF(AND(AA248="Yes",BC248&lt;&gt;"",BC248&lt;&gt;"company",BC248&lt;&gt;"llp"),"ROC is only for a company / LLP; ","")&amp;IF(AND(AA248="Yes",OR(BC248="company",BC248="llp"),TRIM(I248)=""),"ROC needs the CIN / LLPIN; ","")&amp;IF((TRIM(AF248)="")&lt;&gt;(TRIM(AG248)=""),"GST login needs both user ID and password; ","")&amp;IF((TRIM(AH248)="")&lt;&gt;(TRIM(AI248)=""),"Income-tax login needs both user ID and password; ","")&amp;IF((TRIM(AJ248)="")&lt;&gt;(TRIM(AK248)=""),"Income-tax login needs both user ID and password; ","")&amp;IF((TRIM(AL248)="")&lt;&gt;(TRIM(AM248)=""),"TRACES login needs both user ID and password; ","")&amp;IF((TRIM(AN248)="")&lt;&gt;(TRIM(AO248)=""),"MCA login needs both user ID and password; ","")&amp;IF((TRIM(AP248)="")&lt;&gt;(TRIM(AQ248)=""),"E-way bill login needs both user ID and password; ","")</f>
        <v/>
      </c>
    </row>
    <row r="249">
      <c r="A249" s="32" t="n"/>
      <c r="B249" s="33" t="n"/>
      <c r="C249" s="33" t="n"/>
      <c r="D249" s="33" t="n"/>
      <c r="E249" s="32" t="n"/>
      <c r="F249" s="32" t="n"/>
      <c r="G249" s="32" t="n"/>
      <c r="H249" s="32" t="n"/>
      <c r="I249" s="32" t="n"/>
      <c r="J249" s="34" t="n"/>
      <c r="K249" s="33" t="n"/>
      <c r="L249" s="32" t="n"/>
      <c r="M249" s="33" t="n"/>
      <c r="N249" s="33" t="n"/>
      <c r="O249" s="33" t="n"/>
      <c r="P249" s="32" t="n"/>
      <c r="Q249" s="33" t="n"/>
      <c r="R249" s="33" t="n"/>
      <c r="S249" s="33" t="n"/>
      <c r="T249" s="33" t="n"/>
      <c r="U249" s="32" t="n"/>
      <c r="V249" s="33" t="n"/>
      <c r="W249" s="33" t="n"/>
      <c r="X249" s="33" t="n"/>
      <c r="Y249" s="33" t="n"/>
      <c r="Z249" s="33" t="n"/>
      <c r="AA249" s="33" t="n"/>
      <c r="AB249" s="33" t="n"/>
      <c r="AC249" s="33" t="n"/>
      <c r="AD249" s="33" t="n"/>
      <c r="AE249" s="33" t="n"/>
      <c r="AF249" s="32" t="n"/>
      <c r="AG249" s="32" t="n"/>
      <c r="AH249" s="32" t="n"/>
      <c r="AI249" s="32" t="n"/>
      <c r="AJ249" s="32" t="n"/>
      <c r="AK249" s="32" t="n"/>
      <c r="AL249" s="32" t="n"/>
      <c r="AM249" s="32" t="n"/>
      <c r="AN249" s="32" t="n"/>
      <c r="AO249" s="32" t="n"/>
      <c r="AP249" s="32" t="n"/>
      <c r="AQ249" s="32" t="n"/>
      <c r="AR249" s="29">
        <f>IF(NOT(COUNTA(A249:AE249)&gt;0),"",IF(A249="","New client","Update"))</f>
        <v/>
      </c>
      <c r="AS249" s="29">
        <f>IF(BA249&lt;&gt;"",BA249,IF(LEN(AZ249)=15,MID(AZ249,3,10),""))</f>
        <v/>
      </c>
      <c r="AT249" s="29">
        <f>IF(BB249="","",BB249&amp;IF(D249="","  (guessed from PAN)",""))</f>
        <v/>
      </c>
      <c r="AU249" s="29">
        <f>IF(AZ249="","",IFERROR(INDEX(Lists!$L$2:$L$38,MATCH(LEFT(AZ249,2),Lists!$K$2:$K$38,0)),"Unknown code"))</f>
        <v/>
      </c>
      <c r="AV249" s="29">
        <f>IF(AZ249="","",IFERROR(IF(NOT(AND(LEN(AZ249)=15,ISNUMBER(MATCH(LEFT(AZ249,2),Lists!$K$2:$K$38,0)),SUMPRODUCT(--ISERROR(FIND(MID(MID(AZ249,3,10),{1,2,3,4,5,10},1),"ABCDEFGHIJKLMNOPQRSTUVWXYZ")))=0,SUMPRODUCT(--ISERROR(FIND(MID(MID(AZ249,3,10),{6,7,8,9},1),"0123456789")))=0,ISNUMBER(FIND(MID(AZ249,13,1),"123456789ABCDEFGHIJKLMNOPQRSTUVWXYZ")),MID(AZ249,14,1)="Z")),"Wrong format",IF(MID("0123456789ABCDEFGHIJKLMNOPQRSTUVWXYZ",MOD(36-MOD(SUMPRODUCT(INT((FIND(MID(AZ249,{1,2,3,4,5,6,7,8,9,10,11,12,13,14},1),"0123456789ABCDEFGHIJKLMNOPQRSTUVWXYZ")-1)*{1,2,1,2,1,2,1,2,1,2,1,2,1,2}/36)+MOD((FIND(MID(AZ249,{1,2,3,4,5,6,7,8,9,10,11,12,13,14},1),"0123456789ABCDEFGHIJKLMNOPQRSTUVWXYZ")-1)*{1,2,1,2,1,2,1,2,1,2,1,2,1,2},36)),36),36)+1,1)=MID(AZ249,15,1),"OK","Typo? check digit wrong")),"Wrong format"))</f>
        <v/>
      </c>
      <c r="AW249" s="29">
        <f>IF(BA249="","",IF(AND(LEN(BA249)=10,SUMPRODUCT(--ISERROR(FIND(MID(BA249,{1,2,3,4,5,10},1),"ABCDEFGHIJKLMNOPQRSTUVWXYZ")))=0,SUMPRODUCT(--ISERROR(FIND(MID(BA249,{6,7,8,9},1),"0123456789")))=0),"OK","Wrong format"))</f>
        <v/>
      </c>
      <c r="AX249" s="29">
        <f>IF(TRIM(H249)="","",IF(AND(LEN(UPPER(TRIM(H249)))=10,SUMPRODUCT(--ISERROR(FIND(MID(UPPER(TRIM(H249)),{1,2,3,4,10},1),"ABCDEFGHIJKLMNOPQRSTUVWXYZ")))=0,SUMPRODUCT(--ISERROR(FIND(MID(UPPER(TRIM(H249)),{5,6,7,8,9},1),"0123456789")))=0),"OK","Wrong format"))</f>
        <v/>
      </c>
      <c r="AY249" s="30">
        <f>IF(NOT(COUNTA(A249:AE249)&gt;0),"",IF(BE249&lt;&gt;"","✖ "&amp;LEFT(BE249,LEN(BE249)-2),IF(BD249&gt;0,"✔ Ready — client + "&amp;BD249&amp;" service(s)","✔ Ready — client only")))</f>
        <v/>
      </c>
      <c r="AZ249" s="31">
        <f>UPPER(SUBSTITUTE(TRIM(F249)," ",""))</f>
        <v/>
      </c>
      <c r="BA249" s="31">
        <f>UPPER(SUBSTITUTE(TRIM(E249)," ",""))</f>
        <v/>
      </c>
      <c r="BB249" s="31">
        <f>IF(D249&lt;&gt;"",D249,IFERROR(VLOOKUP(MID(AS249,4,1),Lists!$E$2:$F$8,2,FALSE),""))</f>
        <v/>
      </c>
      <c r="BC249" s="31">
        <f>IFERROR(VLOOKUP(BB249,Lists!$A$2:$C$12,3,FALSE),"")</f>
        <v/>
      </c>
      <c r="BD249" s="31">
        <f>COUNTIF(W249:AC249,"Yes")</f>
        <v/>
      </c>
      <c r="BE249" s="31">
        <f>IF(TRIM(B249)="","Legal name missing; ","")&amp;IF(AND(AV249&lt;&gt;"",AV249&lt;&gt;"OK"),"GSTIN: "&amp;AV249&amp;"; ","")&amp;IF(AND(AW249&lt;&gt;"",AW249&lt;&gt;"OK"),"PAN wrong format; ","")&amp;IF(AND(BA249&lt;&gt;"",LEN(AZ249)=15,MID(AZ249,3,10)&lt;&gt;BA249),"PAN does not match GSTIN; ","")&amp;IF(AND(AX249&lt;&gt;"",AX249&lt;&gt;"OK"),"TAN wrong format; ","")&amp;IF(AS249="","PAN missing; ","")&amp;IF(BB249="","Entity type missing; ","")&amp;IF(AND(AZ249&lt;&gt;"",COUNTIF($AZ$6:$AZ$1005,AZ249)&gt;1),"GSTIN repeated in this sheet; ","")&amp;IF(AND(AS249&lt;&gt;"",COUNTIF($AS$6:$AS$1005,AS249)&gt;1),"PAN repeated in this sheet (same client? put extra GSTINs in Other GSTINs); ","")&amp;IF(AND(BD249&gt;0,V249=""),"Financial year missing; ","")&amp;IF(AND(BD249=0,V249&lt;&gt;""),"Financial year given but no service is Yes; ","")&amp;IF(AND(W249="Yes",AZ249=""),"GST needs a GSTIN; ","")&amp;IF(AND(W249="Yes",X249=""),"GST return frequency missing; ","")&amp;IF(AND(Y249="Yes",TRIM(H249)=""),"TDS needs a TAN; ","")&amp;IF(AND(AA249="Yes",BC249&lt;&gt;"",BC249&lt;&gt;"company",BC249&lt;&gt;"llp"),"ROC is only for a company / LLP; ","")&amp;IF(AND(AA249="Yes",OR(BC249="company",BC249="llp"),TRIM(I249)=""),"ROC needs the CIN / LLPIN; ","")&amp;IF((TRIM(AF249)="")&lt;&gt;(TRIM(AG249)=""),"GST login needs both user ID and password; ","")&amp;IF((TRIM(AH249)="")&lt;&gt;(TRIM(AI249)=""),"Income-tax login needs both user ID and password; ","")&amp;IF((TRIM(AJ249)="")&lt;&gt;(TRIM(AK249)=""),"Income-tax login needs both user ID and password; ","")&amp;IF((TRIM(AL249)="")&lt;&gt;(TRIM(AM249)=""),"TRACES login needs both user ID and password; ","")&amp;IF((TRIM(AN249)="")&lt;&gt;(TRIM(AO249)=""),"MCA login needs both user ID and password; ","")&amp;IF((TRIM(AP249)="")&lt;&gt;(TRIM(AQ249)=""),"E-way bill login needs both user ID and password; ","")</f>
        <v/>
      </c>
    </row>
    <row r="250">
      <c r="A250" s="32" t="n"/>
      <c r="B250" s="33" t="n"/>
      <c r="C250" s="33" t="n"/>
      <c r="D250" s="33" t="n"/>
      <c r="E250" s="32" t="n"/>
      <c r="F250" s="32" t="n"/>
      <c r="G250" s="32" t="n"/>
      <c r="H250" s="32" t="n"/>
      <c r="I250" s="32" t="n"/>
      <c r="J250" s="34" t="n"/>
      <c r="K250" s="33" t="n"/>
      <c r="L250" s="32" t="n"/>
      <c r="M250" s="33" t="n"/>
      <c r="N250" s="33" t="n"/>
      <c r="O250" s="33" t="n"/>
      <c r="P250" s="32" t="n"/>
      <c r="Q250" s="33" t="n"/>
      <c r="R250" s="33" t="n"/>
      <c r="S250" s="33" t="n"/>
      <c r="T250" s="33" t="n"/>
      <c r="U250" s="32" t="n"/>
      <c r="V250" s="33" t="n"/>
      <c r="W250" s="33" t="n"/>
      <c r="X250" s="33" t="n"/>
      <c r="Y250" s="33" t="n"/>
      <c r="Z250" s="33" t="n"/>
      <c r="AA250" s="33" t="n"/>
      <c r="AB250" s="33" t="n"/>
      <c r="AC250" s="33" t="n"/>
      <c r="AD250" s="33" t="n"/>
      <c r="AE250" s="33" t="n"/>
      <c r="AF250" s="32" t="n"/>
      <c r="AG250" s="32" t="n"/>
      <c r="AH250" s="32" t="n"/>
      <c r="AI250" s="32" t="n"/>
      <c r="AJ250" s="32" t="n"/>
      <c r="AK250" s="32" t="n"/>
      <c r="AL250" s="32" t="n"/>
      <c r="AM250" s="32" t="n"/>
      <c r="AN250" s="32" t="n"/>
      <c r="AO250" s="32" t="n"/>
      <c r="AP250" s="32" t="n"/>
      <c r="AQ250" s="32" t="n"/>
      <c r="AR250" s="29">
        <f>IF(NOT(COUNTA(A250:AE250)&gt;0),"",IF(A250="","New client","Update"))</f>
        <v/>
      </c>
      <c r="AS250" s="29">
        <f>IF(BA250&lt;&gt;"",BA250,IF(LEN(AZ250)=15,MID(AZ250,3,10),""))</f>
        <v/>
      </c>
      <c r="AT250" s="29">
        <f>IF(BB250="","",BB250&amp;IF(D250="","  (guessed from PAN)",""))</f>
        <v/>
      </c>
      <c r="AU250" s="29">
        <f>IF(AZ250="","",IFERROR(INDEX(Lists!$L$2:$L$38,MATCH(LEFT(AZ250,2),Lists!$K$2:$K$38,0)),"Unknown code"))</f>
        <v/>
      </c>
      <c r="AV250" s="29">
        <f>IF(AZ250="","",IFERROR(IF(NOT(AND(LEN(AZ250)=15,ISNUMBER(MATCH(LEFT(AZ250,2),Lists!$K$2:$K$38,0)),SUMPRODUCT(--ISERROR(FIND(MID(MID(AZ250,3,10),{1,2,3,4,5,10},1),"ABCDEFGHIJKLMNOPQRSTUVWXYZ")))=0,SUMPRODUCT(--ISERROR(FIND(MID(MID(AZ250,3,10),{6,7,8,9},1),"0123456789")))=0,ISNUMBER(FIND(MID(AZ250,13,1),"123456789ABCDEFGHIJKLMNOPQRSTUVWXYZ")),MID(AZ250,14,1)="Z")),"Wrong format",IF(MID("0123456789ABCDEFGHIJKLMNOPQRSTUVWXYZ",MOD(36-MOD(SUMPRODUCT(INT((FIND(MID(AZ250,{1,2,3,4,5,6,7,8,9,10,11,12,13,14},1),"0123456789ABCDEFGHIJKLMNOPQRSTUVWXYZ")-1)*{1,2,1,2,1,2,1,2,1,2,1,2,1,2}/36)+MOD((FIND(MID(AZ250,{1,2,3,4,5,6,7,8,9,10,11,12,13,14},1),"0123456789ABCDEFGHIJKLMNOPQRSTUVWXYZ")-1)*{1,2,1,2,1,2,1,2,1,2,1,2,1,2},36)),36),36)+1,1)=MID(AZ250,15,1),"OK","Typo? check digit wrong")),"Wrong format"))</f>
        <v/>
      </c>
      <c r="AW250" s="29">
        <f>IF(BA250="","",IF(AND(LEN(BA250)=10,SUMPRODUCT(--ISERROR(FIND(MID(BA250,{1,2,3,4,5,10},1),"ABCDEFGHIJKLMNOPQRSTUVWXYZ")))=0,SUMPRODUCT(--ISERROR(FIND(MID(BA250,{6,7,8,9},1),"0123456789")))=0),"OK","Wrong format"))</f>
        <v/>
      </c>
      <c r="AX250" s="29">
        <f>IF(TRIM(H250)="","",IF(AND(LEN(UPPER(TRIM(H250)))=10,SUMPRODUCT(--ISERROR(FIND(MID(UPPER(TRIM(H250)),{1,2,3,4,10},1),"ABCDEFGHIJKLMNOPQRSTUVWXYZ")))=0,SUMPRODUCT(--ISERROR(FIND(MID(UPPER(TRIM(H250)),{5,6,7,8,9},1),"0123456789")))=0),"OK","Wrong format"))</f>
        <v/>
      </c>
      <c r="AY250" s="30">
        <f>IF(NOT(COUNTA(A250:AE250)&gt;0),"",IF(BE250&lt;&gt;"","✖ "&amp;LEFT(BE250,LEN(BE250)-2),IF(BD250&gt;0,"✔ Ready — client + "&amp;BD250&amp;" service(s)","✔ Ready — client only")))</f>
        <v/>
      </c>
      <c r="AZ250" s="31">
        <f>UPPER(SUBSTITUTE(TRIM(F250)," ",""))</f>
        <v/>
      </c>
      <c r="BA250" s="31">
        <f>UPPER(SUBSTITUTE(TRIM(E250)," ",""))</f>
        <v/>
      </c>
      <c r="BB250" s="31">
        <f>IF(D250&lt;&gt;"",D250,IFERROR(VLOOKUP(MID(AS250,4,1),Lists!$E$2:$F$8,2,FALSE),""))</f>
        <v/>
      </c>
      <c r="BC250" s="31">
        <f>IFERROR(VLOOKUP(BB250,Lists!$A$2:$C$12,3,FALSE),"")</f>
        <v/>
      </c>
      <c r="BD250" s="31">
        <f>COUNTIF(W250:AC250,"Yes")</f>
        <v/>
      </c>
      <c r="BE250" s="31">
        <f>IF(TRIM(B250)="","Legal name missing; ","")&amp;IF(AND(AV250&lt;&gt;"",AV250&lt;&gt;"OK"),"GSTIN: "&amp;AV250&amp;"; ","")&amp;IF(AND(AW250&lt;&gt;"",AW250&lt;&gt;"OK"),"PAN wrong format; ","")&amp;IF(AND(BA250&lt;&gt;"",LEN(AZ250)=15,MID(AZ250,3,10)&lt;&gt;BA250),"PAN does not match GSTIN; ","")&amp;IF(AND(AX250&lt;&gt;"",AX250&lt;&gt;"OK"),"TAN wrong format; ","")&amp;IF(AS250="","PAN missing; ","")&amp;IF(BB250="","Entity type missing; ","")&amp;IF(AND(AZ250&lt;&gt;"",COUNTIF($AZ$6:$AZ$1005,AZ250)&gt;1),"GSTIN repeated in this sheet; ","")&amp;IF(AND(AS250&lt;&gt;"",COUNTIF($AS$6:$AS$1005,AS250)&gt;1),"PAN repeated in this sheet (same client? put extra GSTINs in Other GSTINs); ","")&amp;IF(AND(BD250&gt;0,V250=""),"Financial year missing; ","")&amp;IF(AND(BD250=0,V250&lt;&gt;""),"Financial year given but no service is Yes; ","")&amp;IF(AND(W250="Yes",AZ250=""),"GST needs a GSTIN; ","")&amp;IF(AND(W250="Yes",X250=""),"GST return frequency missing; ","")&amp;IF(AND(Y250="Yes",TRIM(H250)=""),"TDS needs a TAN; ","")&amp;IF(AND(AA250="Yes",BC250&lt;&gt;"",BC250&lt;&gt;"company",BC250&lt;&gt;"llp"),"ROC is only for a company / LLP; ","")&amp;IF(AND(AA250="Yes",OR(BC250="company",BC250="llp"),TRIM(I250)=""),"ROC needs the CIN / LLPIN; ","")&amp;IF((TRIM(AF250)="")&lt;&gt;(TRIM(AG250)=""),"GST login needs both user ID and password; ","")&amp;IF((TRIM(AH250)="")&lt;&gt;(TRIM(AI250)=""),"Income-tax login needs both user ID and password; ","")&amp;IF((TRIM(AJ250)="")&lt;&gt;(TRIM(AK250)=""),"Income-tax login needs both user ID and password; ","")&amp;IF((TRIM(AL250)="")&lt;&gt;(TRIM(AM250)=""),"TRACES login needs both user ID and password; ","")&amp;IF((TRIM(AN250)="")&lt;&gt;(TRIM(AO250)=""),"MCA login needs both user ID and password; ","")&amp;IF((TRIM(AP250)="")&lt;&gt;(TRIM(AQ250)=""),"E-way bill login needs both user ID and password; ","")</f>
        <v/>
      </c>
    </row>
    <row r="251">
      <c r="A251" s="32" t="n"/>
      <c r="B251" s="33" t="n"/>
      <c r="C251" s="33" t="n"/>
      <c r="D251" s="33" t="n"/>
      <c r="E251" s="32" t="n"/>
      <c r="F251" s="32" t="n"/>
      <c r="G251" s="32" t="n"/>
      <c r="H251" s="32" t="n"/>
      <c r="I251" s="32" t="n"/>
      <c r="J251" s="34" t="n"/>
      <c r="K251" s="33" t="n"/>
      <c r="L251" s="32" t="n"/>
      <c r="M251" s="33" t="n"/>
      <c r="N251" s="33" t="n"/>
      <c r="O251" s="33" t="n"/>
      <c r="P251" s="32" t="n"/>
      <c r="Q251" s="33" t="n"/>
      <c r="R251" s="33" t="n"/>
      <c r="S251" s="33" t="n"/>
      <c r="T251" s="33" t="n"/>
      <c r="U251" s="32" t="n"/>
      <c r="V251" s="33" t="n"/>
      <c r="W251" s="33" t="n"/>
      <c r="X251" s="33" t="n"/>
      <c r="Y251" s="33" t="n"/>
      <c r="Z251" s="33" t="n"/>
      <c r="AA251" s="33" t="n"/>
      <c r="AB251" s="33" t="n"/>
      <c r="AC251" s="33" t="n"/>
      <c r="AD251" s="33" t="n"/>
      <c r="AE251" s="33" t="n"/>
      <c r="AF251" s="32" t="n"/>
      <c r="AG251" s="32" t="n"/>
      <c r="AH251" s="32" t="n"/>
      <c r="AI251" s="32" t="n"/>
      <c r="AJ251" s="32" t="n"/>
      <c r="AK251" s="32" t="n"/>
      <c r="AL251" s="32" t="n"/>
      <c r="AM251" s="32" t="n"/>
      <c r="AN251" s="32" t="n"/>
      <c r="AO251" s="32" t="n"/>
      <c r="AP251" s="32" t="n"/>
      <c r="AQ251" s="32" t="n"/>
      <c r="AR251" s="29">
        <f>IF(NOT(COUNTA(A251:AE251)&gt;0),"",IF(A251="","New client","Update"))</f>
        <v/>
      </c>
      <c r="AS251" s="29">
        <f>IF(BA251&lt;&gt;"",BA251,IF(LEN(AZ251)=15,MID(AZ251,3,10),""))</f>
        <v/>
      </c>
      <c r="AT251" s="29">
        <f>IF(BB251="","",BB251&amp;IF(D251="","  (guessed from PAN)",""))</f>
        <v/>
      </c>
      <c r="AU251" s="29">
        <f>IF(AZ251="","",IFERROR(INDEX(Lists!$L$2:$L$38,MATCH(LEFT(AZ251,2),Lists!$K$2:$K$38,0)),"Unknown code"))</f>
        <v/>
      </c>
      <c r="AV251" s="29">
        <f>IF(AZ251="","",IFERROR(IF(NOT(AND(LEN(AZ251)=15,ISNUMBER(MATCH(LEFT(AZ251,2),Lists!$K$2:$K$38,0)),SUMPRODUCT(--ISERROR(FIND(MID(MID(AZ251,3,10),{1,2,3,4,5,10},1),"ABCDEFGHIJKLMNOPQRSTUVWXYZ")))=0,SUMPRODUCT(--ISERROR(FIND(MID(MID(AZ251,3,10),{6,7,8,9},1),"0123456789")))=0,ISNUMBER(FIND(MID(AZ251,13,1),"123456789ABCDEFGHIJKLMNOPQRSTUVWXYZ")),MID(AZ251,14,1)="Z")),"Wrong format",IF(MID("0123456789ABCDEFGHIJKLMNOPQRSTUVWXYZ",MOD(36-MOD(SUMPRODUCT(INT((FIND(MID(AZ251,{1,2,3,4,5,6,7,8,9,10,11,12,13,14},1),"0123456789ABCDEFGHIJKLMNOPQRSTUVWXYZ")-1)*{1,2,1,2,1,2,1,2,1,2,1,2,1,2}/36)+MOD((FIND(MID(AZ251,{1,2,3,4,5,6,7,8,9,10,11,12,13,14},1),"0123456789ABCDEFGHIJKLMNOPQRSTUVWXYZ")-1)*{1,2,1,2,1,2,1,2,1,2,1,2,1,2},36)),36),36)+1,1)=MID(AZ251,15,1),"OK","Typo? check digit wrong")),"Wrong format"))</f>
        <v/>
      </c>
      <c r="AW251" s="29">
        <f>IF(BA251="","",IF(AND(LEN(BA251)=10,SUMPRODUCT(--ISERROR(FIND(MID(BA251,{1,2,3,4,5,10},1),"ABCDEFGHIJKLMNOPQRSTUVWXYZ")))=0,SUMPRODUCT(--ISERROR(FIND(MID(BA251,{6,7,8,9},1),"0123456789")))=0),"OK","Wrong format"))</f>
        <v/>
      </c>
      <c r="AX251" s="29">
        <f>IF(TRIM(H251)="","",IF(AND(LEN(UPPER(TRIM(H251)))=10,SUMPRODUCT(--ISERROR(FIND(MID(UPPER(TRIM(H251)),{1,2,3,4,10},1),"ABCDEFGHIJKLMNOPQRSTUVWXYZ")))=0,SUMPRODUCT(--ISERROR(FIND(MID(UPPER(TRIM(H251)),{5,6,7,8,9},1),"0123456789")))=0),"OK","Wrong format"))</f>
        <v/>
      </c>
      <c r="AY251" s="30">
        <f>IF(NOT(COUNTA(A251:AE251)&gt;0),"",IF(BE251&lt;&gt;"","✖ "&amp;LEFT(BE251,LEN(BE251)-2),IF(BD251&gt;0,"✔ Ready — client + "&amp;BD251&amp;" service(s)","✔ Ready — client only")))</f>
        <v/>
      </c>
      <c r="AZ251" s="31">
        <f>UPPER(SUBSTITUTE(TRIM(F251)," ",""))</f>
        <v/>
      </c>
      <c r="BA251" s="31">
        <f>UPPER(SUBSTITUTE(TRIM(E251)," ",""))</f>
        <v/>
      </c>
      <c r="BB251" s="31">
        <f>IF(D251&lt;&gt;"",D251,IFERROR(VLOOKUP(MID(AS251,4,1),Lists!$E$2:$F$8,2,FALSE),""))</f>
        <v/>
      </c>
      <c r="BC251" s="31">
        <f>IFERROR(VLOOKUP(BB251,Lists!$A$2:$C$12,3,FALSE),"")</f>
        <v/>
      </c>
      <c r="BD251" s="31">
        <f>COUNTIF(W251:AC251,"Yes")</f>
        <v/>
      </c>
      <c r="BE251" s="31">
        <f>IF(TRIM(B251)="","Legal name missing; ","")&amp;IF(AND(AV251&lt;&gt;"",AV251&lt;&gt;"OK"),"GSTIN: "&amp;AV251&amp;"; ","")&amp;IF(AND(AW251&lt;&gt;"",AW251&lt;&gt;"OK"),"PAN wrong format; ","")&amp;IF(AND(BA251&lt;&gt;"",LEN(AZ251)=15,MID(AZ251,3,10)&lt;&gt;BA251),"PAN does not match GSTIN; ","")&amp;IF(AND(AX251&lt;&gt;"",AX251&lt;&gt;"OK"),"TAN wrong format; ","")&amp;IF(AS251="","PAN missing; ","")&amp;IF(BB251="","Entity type missing; ","")&amp;IF(AND(AZ251&lt;&gt;"",COUNTIF($AZ$6:$AZ$1005,AZ251)&gt;1),"GSTIN repeated in this sheet; ","")&amp;IF(AND(AS251&lt;&gt;"",COUNTIF($AS$6:$AS$1005,AS251)&gt;1),"PAN repeated in this sheet (same client? put extra GSTINs in Other GSTINs); ","")&amp;IF(AND(BD251&gt;0,V251=""),"Financial year missing; ","")&amp;IF(AND(BD251=0,V251&lt;&gt;""),"Financial year given but no service is Yes; ","")&amp;IF(AND(W251="Yes",AZ251=""),"GST needs a GSTIN; ","")&amp;IF(AND(W251="Yes",X251=""),"GST return frequency missing; ","")&amp;IF(AND(Y251="Yes",TRIM(H251)=""),"TDS needs a TAN; ","")&amp;IF(AND(AA251="Yes",BC251&lt;&gt;"",BC251&lt;&gt;"company",BC251&lt;&gt;"llp"),"ROC is only for a company / LLP; ","")&amp;IF(AND(AA251="Yes",OR(BC251="company",BC251="llp"),TRIM(I251)=""),"ROC needs the CIN / LLPIN; ","")&amp;IF((TRIM(AF251)="")&lt;&gt;(TRIM(AG251)=""),"GST login needs both user ID and password; ","")&amp;IF((TRIM(AH251)="")&lt;&gt;(TRIM(AI251)=""),"Income-tax login needs both user ID and password; ","")&amp;IF((TRIM(AJ251)="")&lt;&gt;(TRIM(AK251)=""),"Income-tax login needs both user ID and password; ","")&amp;IF((TRIM(AL251)="")&lt;&gt;(TRIM(AM251)=""),"TRACES login needs both user ID and password; ","")&amp;IF((TRIM(AN251)="")&lt;&gt;(TRIM(AO251)=""),"MCA login needs both user ID and password; ","")&amp;IF((TRIM(AP251)="")&lt;&gt;(TRIM(AQ251)=""),"E-way bill login needs both user ID and password; ","")</f>
        <v/>
      </c>
    </row>
    <row r="252">
      <c r="A252" s="32" t="n"/>
      <c r="B252" s="33" t="n"/>
      <c r="C252" s="33" t="n"/>
      <c r="D252" s="33" t="n"/>
      <c r="E252" s="32" t="n"/>
      <c r="F252" s="32" t="n"/>
      <c r="G252" s="32" t="n"/>
      <c r="H252" s="32" t="n"/>
      <c r="I252" s="32" t="n"/>
      <c r="J252" s="34" t="n"/>
      <c r="K252" s="33" t="n"/>
      <c r="L252" s="32" t="n"/>
      <c r="M252" s="33" t="n"/>
      <c r="N252" s="33" t="n"/>
      <c r="O252" s="33" t="n"/>
      <c r="P252" s="32" t="n"/>
      <c r="Q252" s="33" t="n"/>
      <c r="R252" s="33" t="n"/>
      <c r="S252" s="33" t="n"/>
      <c r="T252" s="33" t="n"/>
      <c r="U252" s="32" t="n"/>
      <c r="V252" s="33" t="n"/>
      <c r="W252" s="33" t="n"/>
      <c r="X252" s="33" t="n"/>
      <c r="Y252" s="33" t="n"/>
      <c r="Z252" s="33" t="n"/>
      <c r="AA252" s="33" t="n"/>
      <c r="AB252" s="33" t="n"/>
      <c r="AC252" s="33" t="n"/>
      <c r="AD252" s="33" t="n"/>
      <c r="AE252" s="33" t="n"/>
      <c r="AF252" s="32" t="n"/>
      <c r="AG252" s="32" t="n"/>
      <c r="AH252" s="32" t="n"/>
      <c r="AI252" s="32" t="n"/>
      <c r="AJ252" s="32" t="n"/>
      <c r="AK252" s="32" t="n"/>
      <c r="AL252" s="32" t="n"/>
      <c r="AM252" s="32" t="n"/>
      <c r="AN252" s="32" t="n"/>
      <c r="AO252" s="32" t="n"/>
      <c r="AP252" s="32" t="n"/>
      <c r="AQ252" s="32" t="n"/>
      <c r="AR252" s="29">
        <f>IF(NOT(COUNTA(A252:AE252)&gt;0),"",IF(A252="","New client","Update"))</f>
        <v/>
      </c>
      <c r="AS252" s="29">
        <f>IF(BA252&lt;&gt;"",BA252,IF(LEN(AZ252)=15,MID(AZ252,3,10),""))</f>
        <v/>
      </c>
      <c r="AT252" s="29">
        <f>IF(BB252="","",BB252&amp;IF(D252="","  (guessed from PAN)",""))</f>
        <v/>
      </c>
      <c r="AU252" s="29">
        <f>IF(AZ252="","",IFERROR(INDEX(Lists!$L$2:$L$38,MATCH(LEFT(AZ252,2),Lists!$K$2:$K$38,0)),"Unknown code"))</f>
        <v/>
      </c>
      <c r="AV252" s="29">
        <f>IF(AZ252="","",IFERROR(IF(NOT(AND(LEN(AZ252)=15,ISNUMBER(MATCH(LEFT(AZ252,2),Lists!$K$2:$K$38,0)),SUMPRODUCT(--ISERROR(FIND(MID(MID(AZ252,3,10),{1,2,3,4,5,10},1),"ABCDEFGHIJKLMNOPQRSTUVWXYZ")))=0,SUMPRODUCT(--ISERROR(FIND(MID(MID(AZ252,3,10),{6,7,8,9},1),"0123456789")))=0,ISNUMBER(FIND(MID(AZ252,13,1),"123456789ABCDEFGHIJKLMNOPQRSTUVWXYZ")),MID(AZ252,14,1)="Z")),"Wrong format",IF(MID("0123456789ABCDEFGHIJKLMNOPQRSTUVWXYZ",MOD(36-MOD(SUMPRODUCT(INT((FIND(MID(AZ252,{1,2,3,4,5,6,7,8,9,10,11,12,13,14},1),"0123456789ABCDEFGHIJKLMNOPQRSTUVWXYZ")-1)*{1,2,1,2,1,2,1,2,1,2,1,2,1,2}/36)+MOD((FIND(MID(AZ252,{1,2,3,4,5,6,7,8,9,10,11,12,13,14},1),"0123456789ABCDEFGHIJKLMNOPQRSTUVWXYZ")-1)*{1,2,1,2,1,2,1,2,1,2,1,2,1,2},36)),36),36)+1,1)=MID(AZ252,15,1),"OK","Typo? check digit wrong")),"Wrong format"))</f>
        <v/>
      </c>
      <c r="AW252" s="29">
        <f>IF(BA252="","",IF(AND(LEN(BA252)=10,SUMPRODUCT(--ISERROR(FIND(MID(BA252,{1,2,3,4,5,10},1),"ABCDEFGHIJKLMNOPQRSTUVWXYZ")))=0,SUMPRODUCT(--ISERROR(FIND(MID(BA252,{6,7,8,9},1),"0123456789")))=0),"OK","Wrong format"))</f>
        <v/>
      </c>
      <c r="AX252" s="29">
        <f>IF(TRIM(H252)="","",IF(AND(LEN(UPPER(TRIM(H252)))=10,SUMPRODUCT(--ISERROR(FIND(MID(UPPER(TRIM(H252)),{1,2,3,4,10},1),"ABCDEFGHIJKLMNOPQRSTUVWXYZ")))=0,SUMPRODUCT(--ISERROR(FIND(MID(UPPER(TRIM(H252)),{5,6,7,8,9},1),"0123456789")))=0),"OK","Wrong format"))</f>
        <v/>
      </c>
      <c r="AY252" s="30">
        <f>IF(NOT(COUNTA(A252:AE252)&gt;0),"",IF(BE252&lt;&gt;"","✖ "&amp;LEFT(BE252,LEN(BE252)-2),IF(BD252&gt;0,"✔ Ready — client + "&amp;BD252&amp;" service(s)","✔ Ready — client only")))</f>
        <v/>
      </c>
      <c r="AZ252" s="31">
        <f>UPPER(SUBSTITUTE(TRIM(F252)," ",""))</f>
        <v/>
      </c>
      <c r="BA252" s="31">
        <f>UPPER(SUBSTITUTE(TRIM(E252)," ",""))</f>
        <v/>
      </c>
      <c r="BB252" s="31">
        <f>IF(D252&lt;&gt;"",D252,IFERROR(VLOOKUP(MID(AS252,4,1),Lists!$E$2:$F$8,2,FALSE),""))</f>
        <v/>
      </c>
      <c r="BC252" s="31">
        <f>IFERROR(VLOOKUP(BB252,Lists!$A$2:$C$12,3,FALSE),"")</f>
        <v/>
      </c>
      <c r="BD252" s="31">
        <f>COUNTIF(W252:AC252,"Yes")</f>
        <v/>
      </c>
      <c r="BE252" s="31">
        <f>IF(TRIM(B252)="","Legal name missing; ","")&amp;IF(AND(AV252&lt;&gt;"",AV252&lt;&gt;"OK"),"GSTIN: "&amp;AV252&amp;"; ","")&amp;IF(AND(AW252&lt;&gt;"",AW252&lt;&gt;"OK"),"PAN wrong format; ","")&amp;IF(AND(BA252&lt;&gt;"",LEN(AZ252)=15,MID(AZ252,3,10)&lt;&gt;BA252),"PAN does not match GSTIN; ","")&amp;IF(AND(AX252&lt;&gt;"",AX252&lt;&gt;"OK"),"TAN wrong format; ","")&amp;IF(AS252="","PAN missing; ","")&amp;IF(BB252="","Entity type missing; ","")&amp;IF(AND(AZ252&lt;&gt;"",COUNTIF($AZ$6:$AZ$1005,AZ252)&gt;1),"GSTIN repeated in this sheet; ","")&amp;IF(AND(AS252&lt;&gt;"",COUNTIF($AS$6:$AS$1005,AS252)&gt;1),"PAN repeated in this sheet (same client? put extra GSTINs in Other GSTINs); ","")&amp;IF(AND(BD252&gt;0,V252=""),"Financial year missing; ","")&amp;IF(AND(BD252=0,V252&lt;&gt;""),"Financial year given but no service is Yes; ","")&amp;IF(AND(W252="Yes",AZ252=""),"GST needs a GSTIN; ","")&amp;IF(AND(W252="Yes",X252=""),"GST return frequency missing; ","")&amp;IF(AND(Y252="Yes",TRIM(H252)=""),"TDS needs a TAN; ","")&amp;IF(AND(AA252="Yes",BC252&lt;&gt;"",BC252&lt;&gt;"company",BC252&lt;&gt;"llp"),"ROC is only for a company / LLP; ","")&amp;IF(AND(AA252="Yes",OR(BC252="company",BC252="llp"),TRIM(I252)=""),"ROC needs the CIN / LLPIN; ","")&amp;IF((TRIM(AF252)="")&lt;&gt;(TRIM(AG252)=""),"GST login needs both user ID and password; ","")&amp;IF((TRIM(AH252)="")&lt;&gt;(TRIM(AI252)=""),"Income-tax login needs both user ID and password; ","")&amp;IF((TRIM(AJ252)="")&lt;&gt;(TRIM(AK252)=""),"Income-tax login needs both user ID and password; ","")&amp;IF((TRIM(AL252)="")&lt;&gt;(TRIM(AM252)=""),"TRACES login needs both user ID and password; ","")&amp;IF((TRIM(AN252)="")&lt;&gt;(TRIM(AO252)=""),"MCA login needs both user ID and password; ","")&amp;IF((TRIM(AP252)="")&lt;&gt;(TRIM(AQ252)=""),"E-way bill login needs both user ID and password; ","")</f>
        <v/>
      </c>
    </row>
    <row r="253">
      <c r="A253" s="32" t="n"/>
      <c r="B253" s="33" t="n"/>
      <c r="C253" s="33" t="n"/>
      <c r="D253" s="33" t="n"/>
      <c r="E253" s="32" t="n"/>
      <c r="F253" s="32" t="n"/>
      <c r="G253" s="32" t="n"/>
      <c r="H253" s="32" t="n"/>
      <c r="I253" s="32" t="n"/>
      <c r="J253" s="34" t="n"/>
      <c r="K253" s="33" t="n"/>
      <c r="L253" s="32" t="n"/>
      <c r="M253" s="33" t="n"/>
      <c r="N253" s="33" t="n"/>
      <c r="O253" s="33" t="n"/>
      <c r="P253" s="32" t="n"/>
      <c r="Q253" s="33" t="n"/>
      <c r="R253" s="33" t="n"/>
      <c r="S253" s="33" t="n"/>
      <c r="T253" s="33" t="n"/>
      <c r="U253" s="32" t="n"/>
      <c r="V253" s="33" t="n"/>
      <c r="W253" s="33" t="n"/>
      <c r="X253" s="33" t="n"/>
      <c r="Y253" s="33" t="n"/>
      <c r="Z253" s="33" t="n"/>
      <c r="AA253" s="33" t="n"/>
      <c r="AB253" s="33" t="n"/>
      <c r="AC253" s="33" t="n"/>
      <c r="AD253" s="33" t="n"/>
      <c r="AE253" s="33" t="n"/>
      <c r="AF253" s="32" t="n"/>
      <c r="AG253" s="32" t="n"/>
      <c r="AH253" s="32" t="n"/>
      <c r="AI253" s="32" t="n"/>
      <c r="AJ253" s="32" t="n"/>
      <c r="AK253" s="32" t="n"/>
      <c r="AL253" s="32" t="n"/>
      <c r="AM253" s="32" t="n"/>
      <c r="AN253" s="32" t="n"/>
      <c r="AO253" s="32" t="n"/>
      <c r="AP253" s="32" t="n"/>
      <c r="AQ253" s="32" t="n"/>
      <c r="AR253" s="29">
        <f>IF(NOT(COUNTA(A253:AE253)&gt;0),"",IF(A253="","New client","Update"))</f>
        <v/>
      </c>
      <c r="AS253" s="29">
        <f>IF(BA253&lt;&gt;"",BA253,IF(LEN(AZ253)=15,MID(AZ253,3,10),""))</f>
        <v/>
      </c>
      <c r="AT253" s="29">
        <f>IF(BB253="","",BB253&amp;IF(D253="","  (guessed from PAN)",""))</f>
        <v/>
      </c>
      <c r="AU253" s="29">
        <f>IF(AZ253="","",IFERROR(INDEX(Lists!$L$2:$L$38,MATCH(LEFT(AZ253,2),Lists!$K$2:$K$38,0)),"Unknown code"))</f>
        <v/>
      </c>
      <c r="AV253" s="29">
        <f>IF(AZ253="","",IFERROR(IF(NOT(AND(LEN(AZ253)=15,ISNUMBER(MATCH(LEFT(AZ253,2),Lists!$K$2:$K$38,0)),SUMPRODUCT(--ISERROR(FIND(MID(MID(AZ253,3,10),{1,2,3,4,5,10},1),"ABCDEFGHIJKLMNOPQRSTUVWXYZ")))=0,SUMPRODUCT(--ISERROR(FIND(MID(MID(AZ253,3,10),{6,7,8,9},1),"0123456789")))=0,ISNUMBER(FIND(MID(AZ253,13,1),"123456789ABCDEFGHIJKLMNOPQRSTUVWXYZ")),MID(AZ253,14,1)="Z")),"Wrong format",IF(MID("0123456789ABCDEFGHIJKLMNOPQRSTUVWXYZ",MOD(36-MOD(SUMPRODUCT(INT((FIND(MID(AZ253,{1,2,3,4,5,6,7,8,9,10,11,12,13,14},1),"0123456789ABCDEFGHIJKLMNOPQRSTUVWXYZ")-1)*{1,2,1,2,1,2,1,2,1,2,1,2,1,2}/36)+MOD((FIND(MID(AZ253,{1,2,3,4,5,6,7,8,9,10,11,12,13,14},1),"0123456789ABCDEFGHIJKLMNOPQRSTUVWXYZ")-1)*{1,2,1,2,1,2,1,2,1,2,1,2,1,2},36)),36),36)+1,1)=MID(AZ253,15,1),"OK","Typo? check digit wrong")),"Wrong format"))</f>
        <v/>
      </c>
      <c r="AW253" s="29">
        <f>IF(BA253="","",IF(AND(LEN(BA253)=10,SUMPRODUCT(--ISERROR(FIND(MID(BA253,{1,2,3,4,5,10},1),"ABCDEFGHIJKLMNOPQRSTUVWXYZ")))=0,SUMPRODUCT(--ISERROR(FIND(MID(BA253,{6,7,8,9},1),"0123456789")))=0),"OK","Wrong format"))</f>
        <v/>
      </c>
      <c r="AX253" s="29">
        <f>IF(TRIM(H253)="","",IF(AND(LEN(UPPER(TRIM(H253)))=10,SUMPRODUCT(--ISERROR(FIND(MID(UPPER(TRIM(H253)),{1,2,3,4,10},1),"ABCDEFGHIJKLMNOPQRSTUVWXYZ")))=0,SUMPRODUCT(--ISERROR(FIND(MID(UPPER(TRIM(H253)),{5,6,7,8,9},1),"0123456789")))=0),"OK","Wrong format"))</f>
        <v/>
      </c>
      <c r="AY253" s="30">
        <f>IF(NOT(COUNTA(A253:AE253)&gt;0),"",IF(BE253&lt;&gt;"","✖ "&amp;LEFT(BE253,LEN(BE253)-2),IF(BD253&gt;0,"✔ Ready — client + "&amp;BD253&amp;" service(s)","✔ Ready — client only")))</f>
        <v/>
      </c>
      <c r="AZ253" s="31">
        <f>UPPER(SUBSTITUTE(TRIM(F253)," ",""))</f>
        <v/>
      </c>
      <c r="BA253" s="31">
        <f>UPPER(SUBSTITUTE(TRIM(E253)," ",""))</f>
        <v/>
      </c>
      <c r="BB253" s="31">
        <f>IF(D253&lt;&gt;"",D253,IFERROR(VLOOKUP(MID(AS253,4,1),Lists!$E$2:$F$8,2,FALSE),""))</f>
        <v/>
      </c>
      <c r="BC253" s="31">
        <f>IFERROR(VLOOKUP(BB253,Lists!$A$2:$C$12,3,FALSE),"")</f>
        <v/>
      </c>
      <c r="BD253" s="31">
        <f>COUNTIF(W253:AC253,"Yes")</f>
        <v/>
      </c>
      <c r="BE253" s="31">
        <f>IF(TRIM(B253)="","Legal name missing; ","")&amp;IF(AND(AV253&lt;&gt;"",AV253&lt;&gt;"OK"),"GSTIN: "&amp;AV253&amp;"; ","")&amp;IF(AND(AW253&lt;&gt;"",AW253&lt;&gt;"OK"),"PAN wrong format; ","")&amp;IF(AND(BA253&lt;&gt;"",LEN(AZ253)=15,MID(AZ253,3,10)&lt;&gt;BA253),"PAN does not match GSTIN; ","")&amp;IF(AND(AX253&lt;&gt;"",AX253&lt;&gt;"OK"),"TAN wrong format; ","")&amp;IF(AS253="","PAN missing; ","")&amp;IF(BB253="","Entity type missing; ","")&amp;IF(AND(AZ253&lt;&gt;"",COUNTIF($AZ$6:$AZ$1005,AZ253)&gt;1),"GSTIN repeated in this sheet; ","")&amp;IF(AND(AS253&lt;&gt;"",COUNTIF($AS$6:$AS$1005,AS253)&gt;1),"PAN repeated in this sheet (same client? put extra GSTINs in Other GSTINs); ","")&amp;IF(AND(BD253&gt;0,V253=""),"Financial year missing; ","")&amp;IF(AND(BD253=0,V253&lt;&gt;""),"Financial year given but no service is Yes; ","")&amp;IF(AND(W253="Yes",AZ253=""),"GST needs a GSTIN; ","")&amp;IF(AND(W253="Yes",X253=""),"GST return frequency missing; ","")&amp;IF(AND(Y253="Yes",TRIM(H253)=""),"TDS needs a TAN; ","")&amp;IF(AND(AA253="Yes",BC253&lt;&gt;"",BC253&lt;&gt;"company",BC253&lt;&gt;"llp"),"ROC is only for a company / LLP; ","")&amp;IF(AND(AA253="Yes",OR(BC253="company",BC253="llp"),TRIM(I253)=""),"ROC needs the CIN / LLPIN; ","")&amp;IF((TRIM(AF253)="")&lt;&gt;(TRIM(AG253)=""),"GST login needs both user ID and password; ","")&amp;IF((TRIM(AH253)="")&lt;&gt;(TRIM(AI253)=""),"Income-tax login needs both user ID and password; ","")&amp;IF((TRIM(AJ253)="")&lt;&gt;(TRIM(AK253)=""),"Income-tax login needs both user ID and password; ","")&amp;IF((TRIM(AL253)="")&lt;&gt;(TRIM(AM253)=""),"TRACES login needs both user ID and password; ","")&amp;IF((TRIM(AN253)="")&lt;&gt;(TRIM(AO253)=""),"MCA login needs both user ID and password; ","")&amp;IF((TRIM(AP253)="")&lt;&gt;(TRIM(AQ253)=""),"E-way bill login needs both user ID and password; ","")</f>
        <v/>
      </c>
    </row>
    <row r="254">
      <c r="A254" s="32" t="n"/>
      <c r="B254" s="33" t="n"/>
      <c r="C254" s="33" t="n"/>
      <c r="D254" s="33" t="n"/>
      <c r="E254" s="32" t="n"/>
      <c r="F254" s="32" t="n"/>
      <c r="G254" s="32" t="n"/>
      <c r="H254" s="32" t="n"/>
      <c r="I254" s="32" t="n"/>
      <c r="J254" s="34" t="n"/>
      <c r="K254" s="33" t="n"/>
      <c r="L254" s="32" t="n"/>
      <c r="M254" s="33" t="n"/>
      <c r="N254" s="33" t="n"/>
      <c r="O254" s="33" t="n"/>
      <c r="P254" s="32" t="n"/>
      <c r="Q254" s="33" t="n"/>
      <c r="R254" s="33" t="n"/>
      <c r="S254" s="33" t="n"/>
      <c r="T254" s="33" t="n"/>
      <c r="U254" s="32" t="n"/>
      <c r="V254" s="33" t="n"/>
      <c r="W254" s="33" t="n"/>
      <c r="X254" s="33" t="n"/>
      <c r="Y254" s="33" t="n"/>
      <c r="Z254" s="33" t="n"/>
      <c r="AA254" s="33" t="n"/>
      <c r="AB254" s="33" t="n"/>
      <c r="AC254" s="33" t="n"/>
      <c r="AD254" s="33" t="n"/>
      <c r="AE254" s="33" t="n"/>
      <c r="AF254" s="32" t="n"/>
      <c r="AG254" s="32" t="n"/>
      <c r="AH254" s="32" t="n"/>
      <c r="AI254" s="32" t="n"/>
      <c r="AJ254" s="32" t="n"/>
      <c r="AK254" s="32" t="n"/>
      <c r="AL254" s="32" t="n"/>
      <c r="AM254" s="32" t="n"/>
      <c r="AN254" s="32" t="n"/>
      <c r="AO254" s="32" t="n"/>
      <c r="AP254" s="32" t="n"/>
      <c r="AQ254" s="32" t="n"/>
      <c r="AR254" s="29">
        <f>IF(NOT(COUNTA(A254:AE254)&gt;0),"",IF(A254="","New client","Update"))</f>
        <v/>
      </c>
      <c r="AS254" s="29">
        <f>IF(BA254&lt;&gt;"",BA254,IF(LEN(AZ254)=15,MID(AZ254,3,10),""))</f>
        <v/>
      </c>
      <c r="AT254" s="29">
        <f>IF(BB254="","",BB254&amp;IF(D254="","  (guessed from PAN)",""))</f>
        <v/>
      </c>
      <c r="AU254" s="29">
        <f>IF(AZ254="","",IFERROR(INDEX(Lists!$L$2:$L$38,MATCH(LEFT(AZ254,2),Lists!$K$2:$K$38,0)),"Unknown code"))</f>
        <v/>
      </c>
      <c r="AV254" s="29">
        <f>IF(AZ254="","",IFERROR(IF(NOT(AND(LEN(AZ254)=15,ISNUMBER(MATCH(LEFT(AZ254,2),Lists!$K$2:$K$38,0)),SUMPRODUCT(--ISERROR(FIND(MID(MID(AZ254,3,10),{1,2,3,4,5,10},1),"ABCDEFGHIJKLMNOPQRSTUVWXYZ")))=0,SUMPRODUCT(--ISERROR(FIND(MID(MID(AZ254,3,10),{6,7,8,9},1),"0123456789")))=0,ISNUMBER(FIND(MID(AZ254,13,1),"123456789ABCDEFGHIJKLMNOPQRSTUVWXYZ")),MID(AZ254,14,1)="Z")),"Wrong format",IF(MID("0123456789ABCDEFGHIJKLMNOPQRSTUVWXYZ",MOD(36-MOD(SUMPRODUCT(INT((FIND(MID(AZ254,{1,2,3,4,5,6,7,8,9,10,11,12,13,14},1),"0123456789ABCDEFGHIJKLMNOPQRSTUVWXYZ")-1)*{1,2,1,2,1,2,1,2,1,2,1,2,1,2}/36)+MOD((FIND(MID(AZ254,{1,2,3,4,5,6,7,8,9,10,11,12,13,14},1),"0123456789ABCDEFGHIJKLMNOPQRSTUVWXYZ")-1)*{1,2,1,2,1,2,1,2,1,2,1,2,1,2},36)),36),36)+1,1)=MID(AZ254,15,1),"OK","Typo? check digit wrong")),"Wrong format"))</f>
        <v/>
      </c>
      <c r="AW254" s="29">
        <f>IF(BA254="","",IF(AND(LEN(BA254)=10,SUMPRODUCT(--ISERROR(FIND(MID(BA254,{1,2,3,4,5,10},1),"ABCDEFGHIJKLMNOPQRSTUVWXYZ")))=0,SUMPRODUCT(--ISERROR(FIND(MID(BA254,{6,7,8,9},1),"0123456789")))=0),"OK","Wrong format"))</f>
        <v/>
      </c>
      <c r="AX254" s="29">
        <f>IF(TRIM(H254)="","",IF(AND(LEN(UPPER(TRIM(H254)))=10,SUMPRODUCT(--ISERROR(FIND(MID(UPPER(TRIM(H254)),{1,2,3,4,10},1),"ABCDEFGHIJKLMNOPQRSTUVWXYZ")))=0,SUMPRODUCT(--ISERROR(FIND(MID(UPPER(TRIM(H254)),{5,6,7,8,9},1),"0123456789")))=0),"OK","Wrong format"))</f>
        <v/>
      </c>
      <c r="AY254" s="30">
        <f>IF(NOT(COUNTA(A254:AE254)&gt;0),"",IF(BE254&lt;&gt;"","✖ "&amp;LEFT(BE254,LEN(BE254)-2),IF(BD254&gt;0,"✔ Ready — client + "&amp;BD254&amp;" service(s)","✔ Ready — client only")))</f>
        <v/>
      </c>
      <c r="AZ254" s="31">
        <f>UPPER(SUBSTITUTE(TRIM(F254)," ",""))</f>
        <v/>
      </c>
      <c r="BA254" s="31">
        <f>UPPER(SUBSTITUTE(TRIM(E254)," ",""))</f>
        <v/>
      </c>
      <c r="BB254" s="31">
        <f>IF(D254&lt;&gt;"",D254,IFERROR(VLOOKUP(MID(AS254,4,1),Lists!$E$2:$F$8,2,FALSE),""))</f>
        <v/>
      </c>
      <c r="BC254" s="31">
        <f>IFERROR(VLOOKUP(BB254,Lists!$A$2:$C$12,3,FALSE),"")</f>
        <v/>
      </c>
      <c r="BD254" s="31">
        <f>COUNTIF(W254:AC254,"Yes")</f>
        <v/>
      </c>
      <c r="BE254" s="31">
        <f>IF(TRIM(B254)="","Legal name missing; ","")&amp;IF(AND(AV254&lt;&gt;"",AV254&lt;&gt;"OK"),"GSTIN: "&amp;AV254&amp;"; ","")&amp;IF(AND(AW254&lt;&gt;"",AW254&lt;&gt;"OK"),"PAN wrong format; ","")&amp;IF(AND(BA254&lt;&gt;"",LEN(AZ254)=15,MID(AZ254,3,10)&lt;&gt;BA254),"PAN does not match GSTIN; ","")&amp;IF(AND(AX254&lt;&gt;"",AX254&lt;&gt;"OK"),"TAN wrong format; ","")&amp;IF(AS254="","PAN missing; ","")&amp;IF(BB254="","Entity type missing; ","")&amp;IF(AND(AZ254&lt;&gt;"",COUNTIF($AZ$6:$AZ$1005,AZ254)&gt;1),"GSTIN repeated in this sheet; ","")&amp;IF(AND(AS254&lt;&gt;"",COUNTIF($AS$6:$AS$1005,AS254)&gt;1),"PAN repeated in this sheet (same client? put extra GSTINs in Other GSTINs); ","")&amp;IF(AND(BD254&gt;0,V254=""),"Financial year missing; ","")&amp;IF(AND(BD254=0,V254&lt;&gt;""),"Financial year given but no service is Yes; ","")&amp;IF(AND(W254="Yes",AZ254=""),"GST needs a GSTIN; ","")&amp;IF(AND(W254="Yes",X254=""),"GST return frequency missing; ","")&amp;IF(AND(Y254="Yes",TRIM(H254)=""),"TDS needs a TAN; ","")&amp;IF(AND(AA254="Yes",BC254&lt;&gt;"",BC254&lt;&gt;"company",BC254&lt;&gt;"llp"),"ROC is only for a company / LLP; ","")&amp;IF(AND(AA254="Yes",OR(BC254="company",BC254="llp"),TRIM(I254)=""),"ROC needs the CIN / LLPIN; ","")&amp;IF((TRIM(AF254)="")&lt;&gt;(TRIM(AG254)=""),"GST login needs both user ID and password; ","")&amp;IF((TRIM(AH254)="")&lt;&gt;(TRIM(AI254)=""),"Income-tax login needs both user ID and password; ","")&amp;IF((TRIM(AJ254)="")&lt;&gt;(TRIM(AK254)=""),"Income-tax login needs both user ID and password; ","")&amp;IF((TRIM(AL254)="")&lt;&gt;(TRIM(AM254)=""),"TRACES login needs both user ID and password; ","")&amp;IF((TRIM(AN254)="")&lt;&gt;(TRIM(AO254)=""),"MCA login needs both user ID and password; ","")&amp;IF((TRIM(AP254)="")&lt;&gt;(TRIM(AQ254)=""),"E-way bill login needs both user ID and password; ","")</f>
        <v/>
      </c>
    </row>
    <row r="255">
      <c r="A255" s="32" t="n"/>
      <c r="B255" s="33" t="n"/>
      <c r="C255" s="33" t="n"/>
      <c r="D255" s="33" t="n"/>
      <c r="E255" s="32" t="n"/>
      <c r="F255" s="32" t="n"/>
      <c r="G255" s="32" t="n"/>
      <c r="H255" s="32" t="n"/>
      <c r="I255" s="32" t="n"/>
      <c r="J255" s="34" t="n"/>
      <c r="K255" s="33" t="n"/>
      <c r="L255" s="32" t="n"/>
      <c r="M255" s="33" t="n"/>
      <c r="N255" s="33" t="n"/>
      <c r="O255" s="33" t="n"/>
      <c r="P255" s="32" t="n"/>
      <c r="Q255" s="33" t="n"/>
      <c r="R255" s="33" t="n"/>
      <c r="S255" s="33" t="n"/>
      <c r="T255" s="33" t="n"/>
      <c r="U255" s="32" t="n"/>
      <c r="V255" s="33" t="n"/>
      <c r="W255" s="33" t="n"/>
      <c r="X255" s="33" t="n"/>
      <c r="Y255" s="33" t="n"/>
      <c r="Z255" s="33" t="n"/>
      <c r="AA255" s="33" t="n"/>
      <c r="AB255" s="33" t="n"/>
      <c r="AC255" s="33" t="n"/>
      <c r="AD255" s="33" t="n"/>
      <c r="AE255" s="33" t="n"/>
      <c r="AF255" s="32" t="n"/>
      <c r="AG255" s="32" t="n"/>
      <c r="AH255" s="32" t="n"/>
      <c r="AI255" s="32" t="n"/>
      <c r="AJ255" s="32" t="n"/>
      <c r="AK255" s="32" t="n"/>
      <c r="AL255" s="32" t="n"/>
      <c r="AM255" s="32" t="n"/>
      <c r="AN255" s="32" t="n"/>
      <c r="AO255" s="32" t="n"/>
      <c r="AP255" s="32" t="n"/>
      <c r="AQ255" s="32" t="n"/>
      <c r="AR255" s="29">
        <f>IF(NOT(COUNTA(A255:AE255)&gt;0),"",IF(A255="","New client","Update"))</f>
        <v/>
      </c>
      <c r="AS255" s="29">
        <f>IF(BA255&lt;&gt;"",BA255,IF(LEN(AZ255)=15,MID(AZ255,3,10),""))</f>
        <v/>
      </c>
      <c r="AT255" s="29">
        <f>IF(BB255="","",BB255&amp;IF(D255="","  (guessed from PAN)",""))</f>
        <v/>
      </c>
      <c r="AU255" s="29">
        <f>IF(AZ255="","",IFERROR(INDEX(Lists!$L$2:$L$38,MATCH(LEFT(AZ255,2),Lists!$K$2:$K$38,0)),"Unknown code"))</f>
        <v/>
      </c>
      <c r="AV255" s="29">
        <f>IF(AZ255="","",IFERROR(IF(NOT(AND(LEN(AZ255)=15,ISNUMBER(MATCH(LEFT(AZ255,2),Lists!$K$2:$K$38,0)),SUMPRODUCT(--ISERROR(FIND(MID(MID(AZ255,3,10),{1,2,3,4,5,10},1),"ABCDEFGHIJKLMNOPQRSTUVWXYZ")))=0,SUMPRODUCT(--ISERROR(FIND(MID(MID(AZ255,3,10),{6,7,8,9},1),"0123456789")))=0,ISNUMBER(FIND(MID(AZ255,13,1),"123456789ABCDEFGHIJKLMNOPQRSTUVWXYZ")),MID(AZ255,14,1)="Z")),"Wrong format",IF(MID("0123456789ABCDEFGHIJKLMNOPQRSTUVWXYZ",MOD(36-MOD(SUMPRODUCT(INT((FIND(MID(AZ255,{1,2,3,4,5,6,7,8,9,10,11,12,13,14},1),"0123456789ABCDEFGHIJKLMNOPQRSTUVWXYZ")-1)*{1,2,1,2,1,2,1,2,1,2,1,2,1,2}/36)+MOD((FIND(MID(AZ255,{1,2,3,4,5,6,7,8,9,10,11,12,13,14},1),"0123456789ABCDEFGHIJKLMNOPQRSTUVWXYZ")-1)*{1,2,1,2,1,2,1,2,1,2,1,2,1,2},36)),36),36)+1,1)=MID(AZ255,15,1),"OK","Typo? check digit wrong")),"Wrong format"))</f>
        <v/>
      </c>
      <c r="AW255" s="29">
        <f>IF(BA255="","",IF(AND(LEN(BA255)=10,SUMPRODUCT(--ISERROR(FIND(MID(BA255,{1,2,3,4,5,10},1),"ABCDEFGHIJKLMNOPQRSTUVWXYZ")))=0,SUMPRODUCT(--ISERROR(FIND(MID(BA255,{6,7,8,9},1),"0123456789")))=0),"OK","Wrong format"))</f>
        <v/>
      </c>
      <c r="AX255" s="29">
        <f>IF(TRIM(H255)="","",IF(AND(LEN(UPPER(TRIM(H255)))=10,SUMPRODUCT(--ISERROR(FIND(MID(UPPER(TRIM(H255)),{1,2,3,4,10},1),"ABCDEFGHIJKLMNOPQRSTUVWXYZ")))=0,SUMPRODUCT(--ISERROR(FIND(MID(UPPER(TRIM(H255)),{5,6,7,8,9},1),"0123456789")))=0),"OK","Wrong format"))</f>
        <v/>
      </c>
      <c r="AY255" s="30">
        <f>IF(NOT(COUNTA(A255:AE255)&gt;0),"",IF(BE255&lt;&gt;"","✖ "&amp;LEFT(BE255,LEN(BE255)-2),IF(BD255&gt;0,"✔ Ready — client + "&amp;BD255&amp;" service(s)","✔ Ready — client only")))</f>
        <v/>
      </c>
      <c r="AZ255" s="31">
        <f>UPPER(SUBSTITUTE(TRIM(F255)," ",""))</f>
        <v/>
      </c>
      <c r="BA255" s="31">
        <f>UPPER(SUBSTITUTE(TRIM(E255)," ",""))</f>
        <v/>
      </c>
      <c r="BB255" s="31">
        <f>IF(D255&lt;&gt;"",D255,IFERROR(VLOOKUP(MID(AS255,4,1),Lists!$E$2:$F$8,2,FALSE),""))</f>
        <v/>
      </c>
      <c r="BC255" s="31">
        <f>IFERROR(VLOOKUP(BB255,Lists!$A$2:$C$12,3,FALSE),"")</f>
        <v/>
      </c>
      <c r="BD255" s="31">
        <f>COUNTIF(W255:AC255,"Yes")</f>
        <v/>
      </c>
      <c r="BE255" s="31">
        <f>IF(TRIM(B255)="","Legal name missing; ","")&amp;IF(AND(AV255&lt;&gt;"",AV255&lt;&gt;"OK"),"GSTIN: "&amp;AV255&amp;"; ","")&amp;IF(AND(AW255&lt;&gt;"",AW255&lt;&gt;"OK"),"PAN wrong format; ","")&amp;IF(AND(BA255&lt;&gt;"",LEN(AZ255)=15,MID(AZ255,3,10)&lt;&gt;BA255),"PAN does not match GSTIN; ","")&amp;IF(AND(AX255&lt;&gt;"",AX255&lt;&gt;"OK"),"TAN wrong format; ","")&amp;IF(AS255="","PAN missing; ","")&amp;IF(BB255="","Entity type missing; ","")&amp;IF(AND(AZ255&lt;&gt;"",COUNTIF($AZ$6:$AZ$1005,AZ255)&gt;1),"GSTIN repeated in this sheet; ","")&amp;IF(AND(AS255&lt;&gt;"",COUNTIF($AS$6:$AS$1005,AS255)&gt;1),"PAN repeated in this sheet (same client? put extra GSTINs in Other GSTINs); ","")&amp;IF(AND(BD255&gt;0,V255=""),"Financial year missing; ","")&amp;IF(AND(BD255=0,V255&lt;&gt;""),"Financial year given but no service is Yes; ","")&amp;IF(AND(W255="Yes",AZ255=""),"GST needs a GSTIN; ","")&amp;IF(AND(W255="Yes",X255=""),"GST return frequency missing; ","")&amp;IF(AND(Y255="Yes",TRIM(H255)=""),"TDS needs a TAN; ","")&amp;IF(AND(AA255="Yes",BC255&lt;&gt;"",BC255&lt;&gt;"company",BC255&lt;&gt;"llp"),"ROC is only for a company / LLP; ","")&amp;IF(AND(AA255="Yes",OR(BC255="company",BC255="llp"),TRIM(I255)=""),"ROC needs the CIN / LLPIN; ","")&amp;IF((TRIM(AF255)="")&lt;&gt;(TRIM(AG255)=""),"GST login needs both user ID and password; ","")&amp;IF((TRIM(AH255)="")&lt;&gt;(TRIM(AI255)=""),"Income-tax login needs both user ID and password; ","")&amp;IF((TRIM(AJ255)="")&lt;&gt;(TRIM(AK255)=""),"Income-tax login needs both user ID and password; ","")&amp;IF((TRIM(AL255)="")&lt;&gt;(TRIM(AM255)=""),"TRACES login needs both user ID and password; ","")&amp;IF((TRIM(AN255)="")&lt;&gt;(TRIM(AO255)=""),"MCA login needs both user ID and password; ","")&amp;IF((TRIM(AP255)="")&lt;&gt;(TRIM(AQ255)=""),"E-way bill login needs both user ID and password; ","")</f>
        <v/>
      </c>
    </row>
    <row r="256">
      <c r="A256" s="32" t="n"/>
      <c r="B256" s="33" t="n"/>
      <c r="C256" s="33" t="n"/>
      <c r="D256" s="33" t="n"/>
      <c r="E256" s="32" t="n"/>
      <c r="F256" s="32" t="n"/>
      <c r="G256" s="32" t="n"/>
      <c r="H256" s="32" t="n"/>
      <c r="I256" s="32" t="n"/>
      <c r="J256" s="34" t="n"/>
      <c r="K256" s="33" t="n"/>
      <c r="L256" s="32" t="n"/>
      <c r="M256" s="33" t="n"/>
      <c r="N256" s="33" t="n"/>
      <c r="O256" s="33" t="n"/>
      <c r="P256" s="32" t="n"/>
      <c r="Q256" s="33" t="n"/>
      <c r="R256" s="33" t="n"/>
      <c r="S256" s="33" t="n"/>
      <c r="T256" s="33" t="n"/>
      <c r="U256" s="32" t="n"/>
      <c r="V256" s="33" t="n"/>
      <c r="W256" s="33" t="n"/>
      <c r="X256" s="33" t="n"/>
      <c r="Y256" s="33" t="n"/>
      <c r="Z256" s="33" t="n"/>
      <c r="AA256" s="33" t="n"/>
      <c r="AB256" s="33" t="n"/>
      <c r="AC256" s="33" t="n"/>
      <c r="AD256" s="33" t="n"/>
      <c r="AE256" s="33" t="n"/>
      <c r="AF256" s="32" t="n"/>
      <c r="AG256" s="32" t="n"/>
      <c r="AH256" s="32" t="n"/>
      <c r="AI256" s="32" t="n"/>
      <c r="AJ256" s="32" t="n"/>
      <c r="AK256" s="32" t="n"/>
      <c r="AL256" s="32" t="n"/>
      <c r="AM256" s="32" t="n"/>
      <c r="AN256" s="32" t="n"/>
      <c r="AO256" s="32" t="n"/>
      <c r="AP256" s="32" t="n"/>
      <c r="AQ256" s="32" t="n"/>
      <c r="AR256" s="29">
        <f>IF(NOT(COUNTA(A256:AE256)&gt;0),"",IF(A256="","New client","Update"))</f>
        <v/>
      </c>
      <c r="AS256" s="29">
        <f>IF(BA256&lt;&gt;"",BA256,IF(LEN(AZ256)=15,MID(AZ256,3,10),""))</f>
        <v/>
      </c>
      <c r="AT256" s="29">
        <f>IF(BB256="","",BB256&amp;IF(D256="","  (guessed from PAN)",""))</f>
        <v/>
      </c>
      <c r="AU256" s="29">
        <f>IF(AZ256="","",IFERROR(INDEX(Lists!$L$2:$L$38,MATCH(LEFT(AZ256,2),Lists!$K$2:$K$38,0)),"Unknown code"))</f>
        <v/>
      </c>
      <c r="AV256" s="29">
        <f>IF(AZ256="","",IFERROR(IF(NOT(AND(LEN(AZ256)=15,ISNUMBER(MATCH(LEFT(AZ256,2),Lists!$K$2:$K$38,0)),SUMPRODUCT(--ISERROR(FIND(MID(MID(AZ256,3,10),{1,2,3,4,5,10},1),"ABCDEFGHIJKLMNOPQRSTUVWXYZ")))=0,SUMPRODUCT(--ISERROR(FIND(MID(MID(AZ256,3,10),{6,7,8,9},1),"0123456789")))=0,ISNUMBER(FIND(MID(AZ256,13,1),"123456789ABCDEFGHIJKLMNOPQRSTUVWXYZ")),MID(AZ256,14,1)="Z")),"Wrong format",IF(MID("0123456789ABCDEFGHIJKLMNOPQRSTUVWXYZ",MOD(36-MOD(SUMPRODUCT(INT((FIND(MID(AZ256,{1,2,3,4,5,6,7,8,9,10,11,12,13,14},1),"0123456789ABCDEFGHIJKLMNOPQRSTUVWXYZ")-1)*{1,2,1,2,1,2,1,2,1,2,1,2,1,2}/36)+MOD((FIND(MID(AZ256,{1,2,3,4,5,6,7,8,9,10,11,12,13,14},1),"0123456789ABCDEFGHIJKLMNOPQRSTUVWXYZ")-1)*{1,2,1,2,1,2,1,2,1,2,1,2,1,2},36)),36),36)+1,1)=MID(AZ256,15,1),"OK","Typo? check digit wrong")),"Wrong format"))</f>
        <v/>
      </c>
      <c r="AW256" s="29">
        <f>IF(BA256="","",IF(AND(LEN(BA256)=10,SUMPRODUCT(--ISERROR(FIND(MID(BA256,{1,2,3,4,5,10},1),"ABCDEFGHIJKLMNOPQRSTUVWXYZ")))=0,SUMPRODUCT(--ISERROR(FIND(MID(BA256,{6,7,8,9},1),"0123456789")))=0),"OK","Wrong format"))</f>
        <v/>
      </c>
      <c r="AX256" s="29">
        <f>IF(TRIM(H256)="","",IF(AND(LEN(UPPER(TRIM(H256)))=10,SUMPRODUCT(--ISERROR(FIND(MID(UPPER(TRIM(H256)),{1,2,3,4,10},1),"ABCDEFGHIJKLMNOPQRSTUVWXYZ")))=0,SUMPRODUCT(--ISERROR(FIND(MID(UPPER(TRIM(H256)),{5,6,7,8,9},1),"0123456789")))=0),"OK","Wrong format"))</f>
        <v/>
      </c>
      <c r="AY256" s="30">
        <f>IF(NOT(COUNTA(A256:AE256)&gt;0),"",IF(BE256&lt;&gt;"","✖ "&amp;LEFT(BE256,LEN(BE256)-2),IF(BD256&gt;0,"✔ Ready — client + "&amp;BD256&amp;" service(s)","✔ Ready — client only")))</f>
        <v/>
      </c>
      <c r="AZ256" s="31">
        <f>UPPER(SUBSTITUTE(TRIM(F256)," ",""))</f>
        <v/>
      </c>
      <c r="BA256" s="31">
        <f>UPPER(SUBSTITUTE(TRIM(E256)," ",""))</f>
        <v/>
      </c>
      <c r="BB256" s="31">
        <f>IF(D256&lt;&gt;"",D256,IFERROR(VLOOKUP(MID(AS256,4,1),Lists!$E$2:$F$8,2,FALSE),""))</f>
        <v/>
      </c>
      <c r="BC256" s="31">
        <f>IFERROR(VLOOKUP(BB256,Lists!$A$2:$C$12,3,FALSE),"")</f>
        <v/>
      </c>
      <c r="BD256" s="31">
        <f>COUNTIF(W256:AC256,"Yes")</f>
        <v/>
      </c>
      <c r="BE256" s="31">
        <f>IF(TRIM(B256)="","Legal name missing; ","")&amp;IF(AND(AV256&lt;&gt;"",AV256&lt;&gt;"OK"),"GSTIN: "&amp;AV256&amp;"; ","")&amp;IF(AND(AW256&lt;&gt;"",AW256&lt;&gt;"OK"),"PAN wrong format; ","")&amp;IF(AND(BA256&lt;&gt;"",LEN(AZ256)=15,MID(AZ256,3,10)&lt;&gt;BA256),"PAN does not match GSTIN; ","")&amp;IF(AND(AX256&lt;&gt;"",AX256&lt;&gt;"OK"),"TAN wrong format; ","")&amp;IF(AS256="","PAN missing; ","")&amp;IF(BB256="","Entity type missing; ","")&amp;IF(AND(AZ256&lt;&gt;"",COUNTIF($AZ$6:$AZ$1005,AZ256)&gt;1),"GSTIN repeated in this sheet; ","")&amp;IF(AND(AS256&lt;&gt;"",COUNTIF($AS$6:$AS$1005,AS256)&gt;1),"PAN repeated in this sheet (same client? put extra GSTINs in Other GSTINs); ","")&amp;IF(AND(BD256&gt;0,V256=""),"Financial year missing; ","")&amp;IF(AND(BD256=0,V256&lt;&gt;""),"Financial year given but no service is Yes; ","")&amp;IF(AND(W256="Yes",AZ256=""),"GST needs a GSTIN; ","")&amp;IF(AND(W256="Yes",X256=""),"GST return frequency missing; ","")&amp;IF(AND(Y256="Yes",TRIM(H256)=""),"TDS needs a TAN; ","")&amp;IF(AND(AA256="Yes",BC256&lt;&gt;"",BC256&lt;&gt;"company",BC256&lt;&gt;"llp"),"ROC is only for a company / LLP; ","")&amp;IF(AND(AA256="Yes",OR(BC256="company",BC256="llp"),TRIM(I256)=""),"ROC needs the CIN / LLPIN; ","")&amp;IF((TRIM(AF256)="")&lt;&gt;(TRIM(AG256)=""),"GST login needs both user ID and password; ","")&amp;IF((TRIM(AH256)="")&lt;&gt;(TRIM(AI256)=""),"Income-tax login needs both user ID and password; ","")&amp;IF((TRIM(AJ256)="")&lt;&gt;(TRIM(AK256)=""),"Income-tax login needs both user ID and password; ","")&amp;IF((TRIM(AL256)="")&lt;&gt;(TRIM(AM256)=""),"TRACES login needs both user ID and password; ","")&amp;IF((TRIM(AN256)="")&lt;&gt;(TRIM(AO256)=""),"MCA login needs both user ID and password; ","")&amp;IF((TRIM(AP256)="")&lt;&gt;(TRIM(AQ256)=""),"E-way bill login needs both user ID and password; ","")</f>
        <v/>
      </c>
    </row>
    <row r="257">
      <c r="A257" s="32" t="n"/>
      <c r="B257" s="33" t="n"/>
      <c r="C257" s="33" t="n"/>
      <c r="D257" s="33" t="n"/>
      <c r="E257" s="32" t="n"/>
      <c r="F257" s="32" t="n"/>
      <c r="G257" s="32" t="n"/>
      <c r="H257" s="32" t="n"/>
      <c r="I257" s="32" t="n"/>
      <c r="J257" s="34" t="n"/>
      <c r="K257" s="33" t="n"/>
      <c r="L257" s="32" t="n"/>
      <c r="M257" s="33" t="n"/>
      <c r="N257" s="33" t="n"/>
      <c r="O257" s="33" t="n"/>
      <c r="P257" s="32" t="n"/>
      <c r="Q257" s="33" t="n"/>
      <c r="R257" s="33" t="n"/>
      <c r="S257" s="33" t="n"/>
      <c r="T257" s="33" t="n"/>
      <c r="U257" s="32" t="n"/>
      <c r="V257" s="33" t="n"/>
      <c r="W257" s="33" t="n"/>
      <c r="X257" s="33" t="n"/>
      <c r="Y257" s="33" t="n"/>
      <c r="Z257" s="33" t="n"/>
      <c r="AA257" s="33" t="n"/>
      <c r="AB257" s="33" t="n"/>
      <c r="AC257" s="33" t="n"/>
      <c r="AD257" s="33" t="n"/>
      <c r="AE257" s="33" t="n"/>
      <c r="AF257" s="32" t="n"/>
      <c r="AG257" s="32" t="n"/>
      <c r="AH257" s="32" t="n"/>
      <c r="AI257" s="32" t="n"/>
      <c r="AJ257" s="32" t="n"/>
      <c r="AK257" s="32" t="n"/>
      <c r="AL257" s="32" t="n"/>
      <c r="AM257" s="32" t="n"/>
      <c r="AN257" s="32" t="n"/>
      <c r="AO257" s="32" t="n"/>
      <c r="AP257" s="32" t="n"/>
      <c r="AQ257" s="32" t="n"/>
      <c r="AR257" s="29">
        <f>IF(NOT(COUNTA(A257:AE257)&gt;0),"",IF(A257="","New client","Update"))</f>
        <v/>
      </c>
      <c r="AS257" s="29">
        <f>IF(BA257&lt;&gt;"",BA257,IF(LEN(AZ257)=15,MID(AZ257,3,10),""))</f>
        <v/>
      </c>
      <c r="AT257" s="29">
        <f>IF(BB257="","",BB257&amp;IF(D257="","  (guessed from PAN)",""))</f>
        <v/>
      </c>
      <c r="AU257" s="29">
        <f>IF(AZ257="","",IFERROR(INDEX(Lists!$L$2:$L$38,MATCH(LEFT(AZ257,2),Lists!$K$2:$K$38,0)),"Unknown code"))</f>
        <v/>
      </c>
      <c r="AV257" s="29">
        <f>IF(AZ257="","",IFERROR(IF(NOT(AND(LEN(AZ257)=15,ISNUMBER(MATCH(LEFT(AZ257,2),Lists!$K$2:$K$38,0)),SUMPRODUCT(--ISERROR(FIND(MID(MID(AZ257,3,10),{1,2,3,4,5,10},1),"ABCDEFGHIJKLMNOPQRSTUVWXYZ")))=0,SUMPRODUCT(--ISERROR(FIND(MID(MID(AZ257,3,10),{6,7,8,9},1),"0123456789")))=0,ISNUMBER(FIND(MID(AZ257,13,1),"123456789ABCDEFGHIJKLMNOPQRSTUVWXYZ")),MID(AZ257,14,1)="Z")),"Wrong format",IF(MID("0123456789ABCDEFGHIJKLMNOPQRSTUVWXYZ",MOD(36-MOD(SUMPRODUCT(INT((FIND(MID(AZ257,{1,2,3,4,5,6,7,8,9,10,11,12,13,14},1),"0123456789ABCDEFGHIJKLMNOPQRSTUVWXYZ")-1)*{1,2,1,2,1,2,1,2,1,2,1,2,1,2}/36)+MOD((FIND(MID(AZ257,{1,2,3,4,5,6,7,8,9,10,11,12,13,14},1),"0123456789ABCDEFGHIJKLMNOPQRSTUVWXYZ")-1)*{1,2,1,2,1,2,1,2,1,2,1,2,1,2},36)),36),36)+1,1)=MID(AZ257,15,1),"OK","Typo? check digit wrong")),"Wrong format"))</f>
        <v/>
      </c>
      <c r="AW257" s="29">
        <f>IF(BA257="","",IF(AND(LEN(BA257)=10,SUMPRODUCT(--ISERROR(FIND(MID(BA257,{1,2,3,4,5,10},1),"ABCDEFGHIJKLMNOPQRSTUVWXYZ")))=0,SUMPRODUCT(--ISERROR(FIND(MID(BA257,{6,7,8,9},1),"0123456789")))=0),"OK","Wrong format"))</f>
        <v/>
      </c>
      <c r="AX257" s="29">
        <f>IF(TRIM(H257)="","",IF(AND(LEN(UPPER(TRIM(H257)))=10,SUMPRODUCT(--ISERROR(FIND(MID(UPPER(TRIM(H257)),{1,2,3,4,10},1),"ABCDEFGHIJKLMNOPQRSTUVWXYZ")))=0,SUMPRODUCT(--ISERROR(FIND(MID(UPPER(TRIM(H257)),{5,6,7,8,9},1),"0123456789")))=0),"OK","Wrong format"))</f>
        <v/>
      </c>
      <c r="AY257" s="30">
        <f>IF(NOT(COUNTA(A257:AE257)&gt;0),"",IF(BE257&lt;&gt;"","✖ "&amp;LEFT(BE257,LEN(BE257)-2),IF(BD257&gt;0,"✔ Ready — client + "&amp;BD257&amp;" service(s)","✔ Ready — client only")))</f>
        <v/>
      </c>
      <c r="AZ257" s="31">
        <f>UPPER(SUBSTITUTE(TRIM(F257)," ",""))</f>
        <v/>
      </c>
      <c r="BA257" s="31">
        <f>UPPER(SUBSTITUTE(TRIM(E257)," ",""))</f>
        <v/>
      </c>
      <c r="BB257" s="31">
        <f>IF(D257&lt;&gt;"",D257,IFERROR(VLOOKUP(MID(AS257,4,1),Lists!$E$2:$F$8,2,FALSE),""))</f>
        <v/>
      </c>
      <c r="BC257" s="31">
        <f>IFERROR(VLOOKUP(BB257,Lists!$A$2:$C$12,3,FALSE),"")</f>
        <v/>
      </c>
      <c r="BD257" s="31">
        <f>COUNTIF(W257:AC257,"Yes")</f>
        <v/>
      </c>
      <c r="BE257" s="31">
        <f>IF(TRIM(B257)="","Legal name missing; ","")&amp;IF(AND(AV257&lt;&gt;"",AV257&lt;&gt;"OK"),"GSTIN: "&amp;AV257&amp;"; ","")&amp;IF(AND(AW257&lt;&gt;"",AW257&lt;&gt;"OK"),"PAN wrong format; ","")&amp;IF(AND(BA257&lt;&gt;"",LEN(AZ257)=15,MID(AZ257,3,10)&lt;&gt;BA257),"PAN does not match GSTIN; ","")&amp;IF(AND(AX257&lt;&gt;"",AX257&lt;&gt;"OK"),"TAN wrong format; ","")&amp;IF(AS257="","PAN missing; ","")&amp;IF(BB257="","Entity type missing; ","")&amp;IF(AND(AZ257&lt;&gt;"",COUNTIF($AZ$6:$AZ$1005,AZ257)&gt;1),"GSTIN repeated in this sheet; ","")&amp;IF(AND(AS257&lt;&gt;"",COUNTIF($AS$6:$AS$1005,AS257)&gt;1),"PAN repeated in this sheet (same client? put extra GSTINs in Other GSTINs); ","")&amp;IF(AND(BD257&gt;0,V257=""),"Financial year missing; ","")&amp;IF(AND(BD257=0,V257&lt;&gt;""),"Financial year given but no service is Yes; ","")&amp;IF(AND(W257="Yes",AZ257=""),"GST needs a GSTIN; ","")&amp;IF(AND(W257="Yes",X257=""),"GST return frequency missing; ","")&amp;IF(AND(Y257="Yes",TRIM(H257)=""),"TDS needs a TAN; ","")&amp;IF(AND(AA257="Yes",BC257&lt;&gt;"",BC257&lt;&gt;"company",BC257&lt;&gt;"llp"),"ROC is only for a company / LLP; ","")&amp;IF(AND(AA257="Yes",OR(BC257="company",BC257="llp"),TRIM(I257)=""),"ROC needs the CIN / LLPIN; ","")&amp;IF((TRIM(AF257)="")&lt;&gt;(TRIM(AG257)=""),"GST login needs both user ID and password; ","")&amp;IF((TRIM(AH257)="")&lt;&gt;(TRIM(AI257)=""),"Income-tax login needs both user ID and password; ","")&amp;IF((TRIM(AJ257)="")&lt;&gt;(TRIM(AK257)=""),"Income-tax login needs both user ID and password; ","")&amp;IF((TRIM(AL257)="")&lt;&gt;(TRIM(AM257)=""),"TRACES login needs both user ID and password; ","")&amp;IF((TRIM(AN257)="")&lt;&gt;(TRIM(AO257)=""),"MCA login needs both user ID and password; ","")&amp;IF((TRIM(AP257)="")&lt;&gt;(TRIM(AQ257)=""),"E-way bill login needs both user ID and password; ","")</f>
        <v/>
      </c>
    </row>
    <row r="258">
      <c r="A258" s="32" t="n"/>
      <c r="B258" s="33" t="n"/>
      <c r="C258" s="33" t="n"/>
      <c r="D258" s="33" t="n"/>
      <c r="E258" s="32" t="n"/>
      <c r="F258" s="32" t="n"/>
      <c r="G258" s="32" t="n"/>
      <c r="H258" s="32" t="n"/>
      <c r="I258" s="32" t="n"/>
      <c r="J258" s="34" t="n"/>
      <c r="K258" s="33" t="n"/>
      <c r="L258" s="32" t="n"/>
      <c r="M258" s="33" t="n"/>
      <c r="N258" s="33" t="n"/>
      <c r="O258" s="33" t="n"/>
      <c r="P258" s="32" t="n"/>
      <c r="Q258" s="33" t="n"/>
      <c r="R258" s="33" t="n"/>
      <c r="S258" s="33" t="n"/>
      <c r="T258" s="33" t="n"/>
      <c r="U258" s="32" t="n"/>
      <c r="V258" s="33" t="n"/>
      <c r="W258" s="33" t="n"/>
      <c r="X258" s="33" t="n"/>
      <c r="Y258" s="33" t="n"/>
      <c r="Z258" s="33" t="n"/>
      <c r="AA258" s="33" t="n"/>
      <c r="AB258" s="33" t="n"/>
      <c r="AC258" s="33" t="n"/>
      <c r="AD258" s="33" t="n"/>
      <c r="AE258" s="33" t="n"/>
      <c r="AF258" s="32" t="n"/>
      <c r="AG258" s="32" t="n"/>
      <c r="AH258" s="32" t="n"/>
      <c r="AI258" s="32" t="n"/>
      <c r="AJ258" s="32" t="n"/>
      <c r="AK258" s="32" t="n"/>
      <c r="AL258" s="32" t="n"/>
      <c r="AM258" s="32" t="n"/>
      <c r="AN258" s="32" t="n"/>
      <c r="AO258" s="32" t="n"/>
      <c r="AP258" s="32" t="n"/>
      <c r="AQ258" s="32" t="n"/>
      <c r="AR258" s="29">
        <f>IF(NOT(COUNTA(A258:AE258)&gt;0),"",IF(A258="","New client","Update"))</f>
        <v/>
      </c>
      <c r="AS258" s="29">
        <f>IF(BA258&lt;&gt;"",BA258,IF(LEN(AZ258)=15,MID(AZ258,3,10),""))</f>
        <v/>
      </c>
      <c r="AT258" s="29">
        <f>IF(BB258="","",BB258&amp;IF(D258="","  (guessed from PAN)",""))</f>
        <v/>
      </c>
      <c r="AU258" s="29">
        <f>IF(AZ258="","",IFERROR(INDEX(Lists!$L$2:$L$38,MATCH(LEFT(AZ258,2),Lists!$K$2:$K$38,0)),"Unknown code"))</f>
        <v/>
      </c>
      <c r="AV258" s="29">
        <f>IF(AZ258="","",IFERROR(IF(NOT(AND(LEN(AZ258)=15,ISNUMBER(MATCH(LEFT(AZ258,2),Lists!$K$2:$K$38,0)),SUMPRODUCT(--ISERROR(FIND(MID(MID(AZ258,3,10),{1,2,3,4,5,10},1),"ABCDEFGHIJKLMNOPQRSTUVWXYZ")))=0,SUMPRODUCT(--ISERROR(FIND(MID(MID(AZ258,3,10),{6,7,8,9},1),"0123456789")))=0,ISNUMBER(FIND(MID(AZ258,13,1),"123456789ABCDEFGHIJKLMNOPQRSTUVWXYZ")),MID(AZ258,14,1)="Z")),"Wrong format",IF(MID("0123456789ABCDEFGHIJKLMNOPQRSTUVWXYZ",MOD(36-MOD(SUMPRODUCT(INT((FIND(MID(AZ258,{1,2,3,4,5,6,7,8,9,10,11,12,13,14},1),"0123456789ABCDEFGHIJKLMNOPQRSTUVWXYZ")-1)*{1,2,1,2,1,2,1,2,1,2,1,2,1,2}/36)+MOD((FIND(MID(AZ258,{1,2,3,4,5,6,7,8,9,10,11,12,13,14},1),"0123456789ABCDEFGHIJKLMNOPQRSTUVWXYZ")-1)*{1,2,1,2,1,2,1,2,1,2,1,2,1,2},36)),36),36)+1,1)=MID(AZ258,15,1),"OK","Typo? check digit wrong")),"Wrong format"))</f>
        <v/>
      </c>
      <c r="AW258" s="29">
        <f>IF(BA258="","",IF(AND(LEN(BA258)=10,SUMPRODUCT(--ISERROR(FIND(MID(BA258,{1,2,3,4,5,10},1),"ABCDEFGHIJKLMNOPQRSTUVWXYZ")))=0,SUMPRODUCT(--ISERROR(FIND(MID(BA258,{6,7,8,9},1),"0123456789")))=0),"OK","Wrong format"))</f>
        <v/>
      </c>
      <c r="AX258" s="29">
        <f>IF(TRIM(H258)="","",IF(AND(LEN(UPPER(TRIM(H258)))=10,SUMPRODUCT(--ISERROR(FIND(MID(UPPER(TRIM(H258)),{1,2,3,4,10},1),"ABCDEFGHIJKLMNOPQRSTUVWXYZ")))=0,SUMPRODUCT(--ISERROR(FIND(MID(UPPER(TRIM(H258)),{5,6,7,8,9},1),"0123456789")))=0),"OK","Wrong format"))</f>
        <v/>
      </c>
      <c r="AY258" s="30">
        <f>IF(NOT(COUNTA(A258:AE258)&gt;0),"",IF(BE258&lt;&gt;"","✖ "&amp;LEFT(BE258,LEN(BE258)-2),IF(BD258&gt;0,"✔ Ready — client + "&amp;BD258&amp;" service(s)","✔ Ready — client only")))</f>
        <v/>
      </c>
      <c r="AZ258" s="31">
        <f>UPPER(SUBSTITUTE(TRIM(F258)," ",""))</f>
        <v/>
      </c>
      <c r="BA258" s="31">
        <f>UPPER(SUBSTITUTE(TRIM(E258)," ",""))</f>
        <v/>
      </c>
      <c r="BB258" s="31">
        <f>IF(D258&lt;&gt;"",D258,IFERROR(VLOOKUP(MID(AS258,4,1),Lists!$E$2:$F$8,2,FALSE),""))</f>
        <v/>
      </c>
      <c r="BC258" s="31">
        <f>IFERROR(VLOOKUP(BB258,Lists!$A$2:$C$12,3,FALSE),"")</f>
        <v/>
      </c>
      <c r="BD258" s="31">
        <f>COUNTIF(W258:AC258,"Yes")</f>
        <v/>
      </c>
      <c r="BE258" s="31">
        <f>IF(TRIM(B258)="","Legal name missing; ","")&amp;IF(AND(AV258&lt;&gt;"",AV258&lt;&gt;"OK"),"GSTIN: "&amp;AV258&amp;"; ","")&amp;IF(AND(AW258&lt;&gt;"",AW258&lt;&gt;"OK"),"PAN wrong format; ","")&amp;IF(AND(BA258&lt;&gt;"",LEN(AZ258)=15,MID(AZ258,3,10)&lt;&gt;BA258),"PAN does not match GSTIN; ","")&amp;IF(AND(AX258&lt;&gt;"",AX258&lt;&gt;"OK"),"TAN wrong format; ","")&amp;IF(AS258="","PAN missing; ","")&amp;IF(BB258="","Entity type missing; ","")&amp;IF(AND(AZ258&lt;&gt;"",COUNTIF($AZ$6:$AZ$1005,AZ258)&gt;1),"GSTIN repeated in this sheet; ","")&amp;IF(AND(AS258&lt;&gt;"",COUNTIF($AS$6:$AS$1005,AS258)&gt;1),"PAN repeated in this sheet (same client? put extra GSTINs in Other GSTINs); ","")&amp;IF(AND(BD258&gt;0,V258=""),"Financial year missing; ","")&amp;IF(AND(BD258=0,V258&lt;&gt;""),"Financial year given but no service is Yes; ","")&amp;IF(AND(W258="Yes",AZ258=""),"GST needs a GSTIN; ","")&amp;IF(AND(W258="Yes",X258=""),"GST return frequency missing; ","")&amp;IF(AND(Y258="Yes",TRIM(H258)=""),"TDS needs a TAN; ","")&amp;IF(AND(AA258="Yes",BC258&lt;&gt;"",BC258&lt;&gt;"company",BC258&lt;&gt;"llp"),"ROC is only for a company / LLP; ","")&amp;IF(AND(AA258="Yes",OR(BC258="company",BC258="llp"),TRIM(I258)=""),"ROC needs the CIN / LLPIN; ","")&amp;IF((TRIM(AF258)="")&lt;&gt;(TRIM(AG258)=""),"GST login needs both user ID and password; ","")&amp;IF((TRIM(AH258)="")&lt;&gt;(TRIM(AI258)=""),"Income-tax login needs both user ID and password; ","")&amp;IF((TRIM(AJ258)="")&lt;&gt;(TRIM(AK258)=""),"Income-tax login needs both user ID and password; ","")&amp;IF((TRIM(AL258)="")&lt;&gt;(TRIM(AM258)=""),"TRACES login needs both user ID and password; ","")&amp;IF((TRIM(AN258)="")&lt;&gt;(TRIM(AO258)=""),"MCA login needs both user ID and password; ","")&amp;IF((TRIM(AP258)="")&lt;&gt;(TRIM(AQ258)=""),"E-way bill login needs both user ID and password; ","")</f>
        <v/>
      </c>
    </row>
    <row r="259">
      <c r="A259" s="32" t="n"/>
      <c r="B259" s="33" t="n"/>
      <c r="C259" s="33" t="n"/>
      <c r="D259" s="33" t="n"/>
      <c r="E259" s="32" t="n"/>
      <c r="F259" s="32" t="n"/>
      <c r="G259" s="32" t="n"/>
      <c r="H259" s="32" t="n"/>
      <c r="I259" s="32" t="n"/>
      <c r="J259" s="34" t="n"/>
      <c r="K259" s="33" t="n"/>
      <c r="L259" s="32" t="n"/>
      <c r="M259" s="33" t="n"/>
      <c r="N259" s="33" t="n"/>
      <c r="O259" s="33" t="n"/>
      <c r="P259" s="32" t="n"/>
      <c r="Q259" s="33" t="n"/>
      <c r="R259" s="33" t="n"/>
      <c r="S259" s="33" t="n"/>
      <c r="T259" s="33" t="n"/>
      <c r="U259" s="32" t="n"/>
      <c r="V259" s="33" t="n"/>
      <c r="W259" s="33" t="n"/>
      <c r="X259" s="33" t="n"/>
      <c r="Y259" s="33" t="n"/>
      <c r="Z259" s="33" t="n"/>
      <c r="AA259" s="33" t="n"/>
      <c r="AB259" s="33" t="n"/>
      <c r="AC259" s="33" t="n"/>
      <c r="AD259" s="33" t="n"/>
      <c r="AE259" s="33" t="n"/>
      <c r="AF259" s="32" t="n"/>
      <c r="AG259" s="32" t="n"/>
      <c r="AH259" s="32" t="n"/>
      <c r="AI259" s="32" t="n"/>
      <c r="AJ259" s="32" t="n"/>
      <c r="AK259" s="32" t="n"/>
      <c r="AL259" s="32" t="n"/>
      <c r="AM259" s="32" t="n"/>
      <c r="AN259" s="32" t="n"/>
      <c r="AO259" s="32" t="n"/>
      <c r="AP259" s="32" t="n"/>
      <c r="AQ259" s="32" t="n"/>
      <c r="AR259" s="29">
        <f>IF(NOT(COUNTA(A259:AE259)&gt;0),"",IF(A259="","New client","Update"))</f>
        <v/>
      </c>
      <c r="AS259" s="29">
        <f>IF(BA259&lt;&gt;"",BA259,IF(LEN(AZ259)=15,MID(AZ259,3,10),""))</f>
        <v/>
      </c>
      <c r="AT259" s="29">
        <f>IF(BB259="","",BB259&amp;IF(D259="","  (guessed from PAN)",""))</f>
        <v/>
      </c>
      <c r="AU259" s="29">
        <f>IF(AZ259="","",IFERROR(INDEX(Lists!$L$2:$L$38,MATCH(LEFT(AZ259,2),Lists!$K$2:$K$38,0)),"Unknown code"))</f>
        <v/>
      </c>
      <c r="AV259" s="29">
        <f>IF(AZ259="","",IFERROR(IF(NOT(AND(LEN(AZ259)=15,ISNUMBER(MATCH(LEFT(AZ259,2),Lists!$K$2:$K$38,0)),SUMPRODUCT(--ISERROR(FIND(MID(MID(AZ259,3,10),{1,2,3,4,5,10},1),"ABCDEFGHIJKLMNOPQRSTUVWXYZ")))=0,SUMPRODUCT(--ISERROR(FIND(MID(MID(AZ259,3,10),{6,7,8,9},1),"0123456789")))=0,ISNUMBER(FIND(MID(AZ259,13,1),"123456789ABCDEFGHIJKLMNOPQRSTUVWXYZ")),MID(AZ259,14,1)="Z")),"Wrong format",IF(MID("0123456789ABCDEFGHIJKLMNOPQRSTUVWXYZ",MOD(36-MOD(SUMPRODUCT(INT((FIND(MID(AZ259,{1,2,3,4,5,6,7,8,9,10,11,12,13,14},1),"0123456789ABCDEFGHIJKLMNOPQRSTUVWXYZ")-1)*{1,2,1,2,1,2,1,2,1,2,1,2,1,2}/36)+MOD((FIND(MID(AZ259,{1,2,3,4,5,6,7,8,9,10,11,12,13,14},1),"0123456789ABCDEFGHIJKLMNOPQRSTUVWXYZ")-1)*{1,2,1,2,1,2,1,2,1,2,1,2,1,2},36)),36),36)+1,1)=MID(AZ259,15,1),"OK","Typo? check digit wrong")),"Wrong format"))</f>
        <v/>
      </c>
      <c r="AW259" s="29">
        <f>IF(BA259="","",IF(AND(LEN(BA259)=10,SUMPRODUCT(--ISERROR(FIND(MID(BA259,{1,2,3,4,5,10},1),"ABCDEFGHIJKLMNOPQRSTUVWXYZ")))=0,SUMPRODUCT(--ISERROR(FIND(MID(BA259,{6,7,8,9},1),"0123456789")))=0),"OK","Wrong format"))</f>
        <v/>
      </c>
      <c r="AX259" s="29">
        <f>IF(TRIM(H259)="","",IF(AND(LEN(UPPER(TRIM(H259)))=10,SUMPRODUCT(--ISERROR(FIND(MID(UPPER(TRIM(H259)),{1,2,3,4,10},1),"ABCDEFGHIJKLMNOPQRSTUVWXYZ")))=0,SUMPRODUCT(--ISERROR(FIND(MID(UPPER(TRIM(H259)),{5,6,7,8,9},1),"0123456789")))=0),"OK","Wrong format"))</f>
        <v/>
      </c>
      <c r="AY259" s="30">
        <f>IF(NOT(COUNTA(A259:AE259)&gt;0),"",IF(BE259&lt;&gt;"","✖ "&amp;LEFT(BE259,LEN(BE259)-2),IF(BD259&gt;0,"✔ Ready — client + "&amp;BD259&amp;" service(s)","✔ Ready — client only")))</f>
        <v/>
      </c>
      <c r="AZ259" s="31">
        <f>UPPER(SUBSTITUTE(TRIM(F259)," ",""))</f>
        <v/>
      </c>
      <c r="BA259" s="31">
        <f>UPPER(SUBSTITUTE(TRIM(E259)," ",""))</f>
        <v/>
      </c>
      <c r="BB259" s="31">
        <f>IF(D259&lt;&gt;"",D259,IFERROR(VLOOKUP(MID(AS259,4,1),Lists!$E$2:$F$8,2,FALSE),""))</f>
        <v/>
      </c>
      <c r="BC259" s="31">
        <f>IFERROR(VLOOKUP(BB259,Lists!$A$2:$C$12,3,FALSE),"")</f>
        <v/>
      </c>
      <c r="BD259" s="31">
        <f>COUNTIF(W259:AC259,"Yes")</f>
        <v/>
      </c>
      <c r="BE259" s="31">
        <f>IF(TRIM(B259)="","Legal name missing; ","")&amp;IF(AND(AV259&lt;&gt;"",AV259&lt;&gt;"OK"),"GSTIN: "&amp;AV259&amp;"; ","")&amp;IF(AND(AW259&lt;&gt;"",AW259&lt;&gt;"OK"),"PAN wrong format; ","")&amp;IF(AND(BA259&lt;&gt;"",LEN(AZ259)=15,MID(AZ259,3,10)&lt;&gt;BA259),"PAN does not match GSTIN; ","")&amp;IF(AND(AX259&lt;&gt;"",AX259&lt;&gt;"OK"),"TAN wrong format; ","")&amp;IF(AS259="","PAN missing; ","")&amp;IF(BB259="","Entity type missing; ","")&amp;IF(AND(AZ259&lt;&gt;"",COUNTIF($AZ$6:$AZ$1005,AZ259)&gt;1),"GSTIN repeated in this sheet; ","")&amp;IF(AND(AS259&lt;&gt;"",COUNTIF($AS$6:$AS$1005,AS259)&gt;1),"PAN repeated in this sheet (same client? put extra GSTINs in Other GSTINs); ","")&amp;IF(AND(BD259&gt;0,V259=""),"Financial year missing; ","")&amp;IF(AND(BD259=0,V259&lt;&gt;""),"Financial year given but no service is Yes; ","")&amp;IF(AND(W259="Yes",AZ259=""),"GST needs a GSTIN; ","")&amp;IF(AND(W259="Yes",X259=""),"GST return frequency missing; ","")&amp;IF(AND(Y259="Yes",TRIM(H259)=""),"TDS needs a TAN; ","")&amp;IF(AND(AA259="Yes",BC259&lt;&gt;"",BC259&lt;&gt;"company",BC259&lt;&gt;"llp"),"ROC is only for a company / LLP; ","")&amp;IF(AND(AA259="Yes",OR(BC259="company",BC259="llp"),TRIM(I259)=""),"ROC needs the CIN / LLPIN; ","")&amp;IF((TRIM(AF259)="")&lt;&gt;(TRIM(AG259)=""),"GST login needs both user ID and password; ","")&amp;IF((TRIM(AH259)="")&lt;&gt;(TRIM(AI259)=""),"Income-tax login needs both user ID and password; ","")&amp;IF((TRIM(AJ259)="")&lt;&gt;(TRIM(AK259)=""),"Income-tax login needs both user ID and password; ","")&amp;IF((TRIM(AL259)="")&lt;&gt;(TRIM(AM259)=""),"TRACES login needs both user ID and password; ","")&amp;IF((TRIM(AN259)="")&lt;&gt;(TRIM(AO259)=""),"MCA login needs both user ID and password; ","")&amp;IF((TRIM(AP259)="")&lt;&gt;(TRIM(AQ259)=""),"E-way bill login needs both user ID and password; ","")</f>
        <v/>
      </c>
    </row>
    <row r="260">
      <c r="A260" s="32" t="n"/>
      <c r="B260" s="33" t="n"/>
      <c r="C260" s="33" t="n"/>
      <c r="D260" s="33" t="n"/>
      <c r="E260" s="32" t="n"/>
      <c r="F260" s="32" t="n"/>
      <c r="G260" s="32" t="n"/>
      <c r="H260" s="32" t="n"/>
      <c r="I260" s="32" t="n"/>
      <c r="J260" s="34" t="n"/>
      <c r="K260" s="33" t="n"/>
      <c r="L260" s="32" t="n"/>
      <c r="M260" s="33" t="n"/>
      <c r="N260" s="33" t="n"/>
      <c r="O260" s="33" t="n"/>
      <c r="P260" s="32" t="n"/>
      <c r="Q260" s="33" t="n"/>
      <c r="R260" s="33" t="n"/>
      <c r="S260" s="33" t="n"/>
      <c r="T260" s="33" t="n"/>
      <c r="U260" s="32" t="n"/>
      <c r="V260" s="33" t="n"/>
      <c r="W260" s="33" t="n"/>
      <c r="X260" s="33" t="n"/>
      <c r="Y260" s="33" t="n"/>
      <c r="Z260" s="33" t="n"/>
      <c r="AA260" s="33" t="n"/>
      <c r="AB260" s="33" t="n"/>
      <c r="AC260" s="33" t="n"/>
      <c r="AD260" s="33" t="n"/>
      <c r="AE260" s="33" t="n"/>
      <c r="AF260" s="32" t="n"/>
      <c r="AG260" s="32" t="n"/>
      <c r="AH260" s="32" t="n"/>
      <c r="AI260" s="32" t="n"/>
      <c r="AJ260" s="32" t="n"/>
      <c r="AK260" s="32" t="n"/>
      <c r="AL260" s="32" t="n"/>
      <c r="AM260" s="32" t="n"/>
      <c r="AN260" s="32" t="n"/>
      <c r="AO260" s="32" t="n"/>
      <c r="AP260" s="32" t="n"/>
      <c r="AQ260" s="32" t="n"/>
      <c r="AR260" s="29">
        <f>IF(NOT(COUNTA(A260:AE260)&gt;0),"",IF(A260="","New client","Update"))</f>
        <v/>
      </c>
      <c r="AS260" s="29">
        <f>IF(BA260&lt;&gt;"",BA260,IF(LEN(AZ260)=15,MID(AZ260,3,10),""))</f>
        <v/>
      </c>
      <c r="AT260" s="29">
        <f>IF(BB260="","",BB260&amp;IF(D260="","  (guessed from PAN)",""))</f>
        <v/>
      </c>
      <c r="AU260" s="29">
        <f>IF(AZ260="","",IFERROR(INDEX(Lists!$L$2:$L$38,MATCH(LEFT(AZ260,2),Lists!$K$2:$K$38,0)),"Unknown code"))</f>
        <v/>
      </c>
      <c r="AV260" s="29">
        <f>IF(AZ260="","",IFERROR(IF(NOT(AND(LEN(AZ260)=15,ISNUMBER(MATCH(LEFT(AZ260,2),Lists!$K$2:$K$38,0)),SUMPRODUCT(--ISERROR(FIND(MID(MID(AZ260,3,10),{1,2,3,4,5,10},1),"ABCDEFGHIJKLMNOPQRSTUVWXYZ")))=0,SUMPRODUCT(--ISERROR(FIND(MID(MID(AZ260,3,10),{6,7,8,9},1),"0123456789")))=0,ISNUMBER(FIND(MID(AZ260,13,1),"123456789ABCDEFGHIJKLMNOPQRSTUVWXYZ")),MID(AZ260,14,1)="Z")),"Wrong format",IF(MID("0123456789ABCDEFGHIJKLMNOPQRSTUVWXYZ",MOD(36-MOD(SUMPRODUCT(INT((FIND(MID(AZ260,{1,2,3,4,5,6,7,8,9,10,11,12,13,14},1),"0123456789ABCDEFGHIJKLMNOPQRSTUVWXYZ")-1)*{1,2,1,2,1,2,1,2,1,2,1,2,1,2}/36)+MOD((FIND(MID(AZ260,{1,2,3,4,5,6,7,8,9,10,11,12,13,14},1),"0123456789ABCDEFGHIJKLMNOPQRSTUVWXYZ")-1)*{1,2,1,2,1,2,1,2,1,2,1,2,1,2},36)),36),36)+1,1)=MID(AZ260,15,1),"OK","Typo? check digit wrong")),"Wrong format"))</f>
        <v/>
      </c>
      <c r="AW260" s="29">
        <f>IF(BA260="","",IF(AND(LEN(BA260)=10,SUMPRODUCT(--ISERROR(FIND(MID(BA260,{1,2,3,4,5,10},1),"ABCDEFGHIJKLMNOPQRSTUVWXYZ")))=0,SUMPRODUCT(--ISERROR(FIND(MID(BA260,{6,7,8,9},1),"0123456789")))=0),"OK","Wrong format"))</f>
        <v/>
      </c>
      <c r="AX260" s="29">
        <f>IF(TRIM(H260)="","",IF(AND(LEN(UPPER(TRIM(H260)))=10,SUMPRODUCT(--ISERROR(FIND(MID(UPPER(TRIM(H260)),{1,2,3,4,10},1),"ABCDEFGHIJKLMNOPQRSTUVWXYZ")))=0,SUMPRODUCT(--ISERROR(FIND(MID(UPPER(TRIM(H260)),{5,6,7,8,9},1),"0123456789")))=0),"OK","Wrong format"))</f>
        <v/>
      </c>
      <c r="AY260" s="30">
        <f>IF(NOT(COUNTA(A260:AE260)&gt;0),"",IF(BE260&lt;&gt;"","✖ "&amp;LEFT(BE260,LEN(BE260)-2),IF(BD260&gt;0,"✔ Ready — client + "&amp;BD260&amp;" service(s)","✔ Ready — client only")))</f>
        <v/>
      </c>
      <c r="AZ260" s="31">
        <f>UPPER(SUBSTITUTE(TRIM(F260)," ",""))</f>
        <v/>
      </c>
      <c r="BA260" s="31">
        <f>UPPER(SUBSTITUTE(TRIM(E260)," ",""))</f>
        <v/>
      </c>
      <c r="BB260" s="31">
        <f>IF(D260&lt;&gt;"",D260,IFERROR(VLOOKUP(MID(AS260,4,1),Lists!$E$2:$F$8,2,FALSE),""))</f>
        <v/>
      </c>
      <c r="BC260" s="31">
        <f>IFERROR(VLOOKUP(BB260,Lists!$A$2:$C$12,3,FALSE),"")</f>
        <v/>
      </c>
      <c r="BD260" s="31">
        <f>COUNTIF(W260:AC260,"Yes")</f>
        <v/>
      </c>
      <c r="BE260" s="31">
        <f>IF(TRIM(B260)="","Legal name missing; ","")&amp;IF(AND(AV260&lt;&gt;"",AV260&lt;&gt;"OK"),"GSTIN: "&amp;AV260&amp;"; ","")&amp;IF(AND(AW260&lt;&gt;"",AW260&lt;&gt;"OK"),"PAN wrong format; ","")&amp;IF(AND(BA260&lt;&gt;"",LEN(AZ260)=15,MID(AZ260,3,10)&lt;&gt;BA260),"PAN does not match GSTIN; ","")&amp;IF(AND(AX260&lt;&gt;"",AX260&lt;&gt;"OK"),"TAN wrong format; ","")&amp;IF(AS260="","PAN missing; ","")&amp;IF(BB260="","Entity type missing; ","")&amp;IF(AND(AZ260&lt;&gt;"",COUNTIF($AZ$6:$AZ$1005,AZ260)&gt;1),"GSTIN repeated in this sheet; ","")&amp;IF(AND(AS260&lt;&gt;"",COUNTIF($AS$6:$AS$1005,AS260)&gt;1),"PAN repeated in this sheet (same client? put extra GSTINs in Other GSTINs); ","")&amp;IF(AND(BD260&gt;0,V260=""),"Financial year missing; ","")&amp;IF(AND(BD260=0,V260&lt;&gt;""),"Financial year given but no service is Yes; ","")&amp;IF(AND(W260="Yes",AZ260=""),"GST needs a GSTIN; ","")&amp;IF(AND(W260="Yes",X260=""),"GST return frequency missing; ","")&amp;IF(AND(Y260="Yes",TRIM(H260)=""),"TDS needs a TAN; ","")&amp;IF(AND(AA260="Yes",BC260&lt;&gt;"",BC260&lt;&gt;"company",BC260&lt;&gt;"llp"),"ROC is only for a company / LLP; ","")&amp;IF(AND(AA260="Yes",OR(BC260="company",BC260="llp"),TRIM(I260)=""),"ROC needs the CIN / LLPIN; ","")&amp;IF((TRIM(AF260)="")&lt;&gt;(TRIM(AG260)=""),"GST login needs both user ID and password; ","")&amp;IF((TRIM(AH260)="")&lt;&gt;(TRIM(AI260)=""),"Income-tax login needs both user ID and password; ","")&amp;IF((TRIM(AJ260)="")&lt;&gt;(TRIM(AK260)=""),"Income-tax login needs both user ID and password; ","")&amp;IF((TRIM(AL260)="")&lt;&gt;(TRIM(AM260)=""),"TRACES login needs both user ID and password; ","")&amp;IF((TRIM(AN260)="")&lt;&gt;(TRIM(AO260)=""),"MCA login needs both user ID and password; ","")&amp;IF((TRIM(AP260)="")&lt;&gt;(TRIM(AQ260)=""),"E-way bill login needs both user ID and password; ","")</f>
        <v/>
      </c>
    </row>
    <row r="261">
      <c r="A261" s="32" t="n"/>
      <c r="B261" s="33" t="n"/>
      <c r="C261" s="33" t="n"/>
      <c r="D261" s="33" t="n"/>
      <c r="E261" s="32" t="n"/>
      <c r="F261" s="32" t="n"/>
      <c r="G261" s="32" t="n"/>
      <c r="H261" s="32" t="n"/>
      <c r="I261" s="32" t="n"/>
      <c r="J261" s="34" t="n"/>
      <c r="K261" s="33" t="n"/>
      <c r="L261" s="32" t="n"/>
      <c r="M261" s="33" t="n"/>
      <c r="N261" s="33" t="n"/>
      <c r="O261" s="33" t="n"/>
      <c r="P261" s="32" t="n"/>
      <c r="Q261" s="33" t="n"/>
      <c r="R261" s="33" t="n"/>
      <c r="S261" s="33" t="n"/>
      <c r="T261" s="33" t="n"/>
      <c r="U261" s="32" t="n"/>
      <c r="V261" s="33" t="n"/>
      <c r="W261" s="33" t="n"/>
      <c r="X261" s="33" t="n"/>
      <c r="Y261" s="33" t="n"/>
      <c r="Z261" s="33" t="n"/>
      <c r="AA261" s="33" t="n"/>
      <c r="AB261" s="33" t="n"/>
      <c r="AC261" s="33" t="n"/>
      <c r="AD261" s="33" t="n"/>
      <c r="AE261" s="33" t="n"/>
      <c r="AF261" s="32" t="n"/>
      <c r="AG261" s="32" t="n"/>
      <c r="AH261" s="32" t="n"/>
      <c r="AI261" s="32" t="n"/>
      <c r="AJ261" s="32" t="n"/>
      <c r="AK261" s="32" t="n"/>
      <c r="AL261" s="32" t="n"/>
      <c r="AM261" s="32" t="n"/>
      <c r="AN261" s="32" t="n"/>
      <c r="AO261" s="32" t="n"/>
      <c r="AP261" s="32" t="n"/>
      <c r="AQ261" s="32" t="n"/>
      <c r="AR261" s="29">
        <f>IF(NOT(COUNTA(A261:AE261)&gt;0),"",IF(A261="","New client","Update"))</f>
        <v/>
      </c>
      <c r="AS261" s="29">
        <f>IF(BA261&lt;&gt;"",BA261,IF(LEN(AZ261)=15,MID(AZ261,3,10),""))</f>
        <v/>
      </c>
      <c r="AT261" s="29">
        <f>IF(BB261="","",BB261&amp;IF(D261="","  (guessed from PAN)",""))</f>
        <v/>
      </c>
      <c r="AU261" s="29">
        <f>IF(AZ261="","",IFERROR(INDEX(Lists!$L$2:$L$38,MATCH(LEFT(AZ261,2),Lists!$K$2:$K$38,0)),"Unknown code"))</f>
        <v/>
      </c>
      <c r="AV261" s="29">
        <f>IF(AZ261="","",IFERROR(IF(NOT(AND(LEN(AZ261)=15,ISNUMBER(MATCH(LEFT(AZ261,2),Lists!$K$2:$K$38,0)),SUMPRODUCT(--ISERROR(FIND(MID(MID(AZ261,3,10),{1,2,3,4,5,10},1),"ABCDEFGHIJKLMNOPQRSTUVWXYZ")))=0,SUMPRODUCT(--ISERROR(FIND(MID(MID(AZ261,3,10),{6,7,8,9},1),"0123456789")))=0,ISNUMBER(FIND(MID(AZ261,13,1),"123456789ABCDEFGHIJKLMNOPQRSTUVWXYZ")),MID(AZ261,14,1)="Z")),"Wrong format",IF(MID("0123456789ABCDEFGHIJKLMNOPQRSTUVWXYZ",MOD(36-MOD(SUMPRODUCT(INT((FIND(MID(AZ261,{1,2,3,4,5,6,7,8,9,10,11,12,13,14},1),"0123456789ABCDEFGHIJKLMNOPQRSTUVWXYZ")-1)*{1,2,1,2,1,2,1,2,1,2,1,2,1,2}/36)+MOD((FIND(MID(AZ261,{1,2,3,4,5,6,7,8,9,10,11,12,13,14},1),"0123456789ABCDEFGHIJKLMNOPQRSTUVWXYZ")-1)*{1,2,1,2,1,2,1,2,1,2,1,2,1,2},36)),36),36)+1,1)=MID(AZ261,15,1),"OK","Typo? check digit wrong")),"Wrong format"))</f>
        <v/>
      </c>
      <c r="AW261" s="29">
        <f>IF(BA261="","",IF(AND(LEN(BA261)=10,SUMPRODUCT(--ISERROR(FIND(MID(BA261,{1,2,3,4,5,10},1),"ABCDEFGHIJKLMNOPQRSTUVWXYZ")))=0,SUMPRODUCT(--ISERROR(FIND(MID(BA261,{6,7,8,9},1),"0123456789")))=0),"OK","Wrong format"))</f>
        <v/>
      </c>
      <c r="AX261" s="29">
        <f>IF(TRIM(H261)="","",IF(AND(LEN(UPPER(TRIM(H261)))=10,SUMPRODUCT(--ISERROR(FIND(MID(UPPER(TRIM(H261)),{1,2,3,4,10},1),"ABCDEFGHIJKLMNOPQRSTUVWXYZ")))=0,SUMPRODUCT(--ISERROR(FIND(MID(UPPER(TRIM(H261)),{5,6,7,8,9},1),"0123456789")))=0),"OK","Wrong format"))</f>
        <v/>
      </c>
      <c r="AY261" s="30">
        <f>IF(NOT(COUNTA(A261:AE261)&gt;0),"",IF(BE261&lt;&gt;"","✖ "&amp;LEFT(BE261,LEN(BE261)-2),IF(BD261&gt;0,"✔ Ready — client + "&amp;BD261&amp;" service(s)","✔ Ready — client only")))</f>
        <v/>
      </c>
      <c r="AZ261" s="31">
        <f>UPPER(SUBSTITUTE(TRIM(F261)," ",""))</f>
        <v/>
      </c>
      <c r="BA261" s="31">
        <f>UPPER(SUBSTITUTE(TRIM(E261)," ",""))</f>
        <v/>
      </c>
      <c r="BB261" s="31">
        <f>IF(D261&lt;&gt;"",D261,IFERROR(VLOOKUP(MID(AS261,4,1),Lists!$E$2:$F$8,2,FALSE),""))</f>
        <v/>
      </c>
      <c r="BC261" s="31">
        <f>IFERROR(VLOOKUP(BB261,Lists!$A$2:$C$12,3,FALSE),"")</f>
        <v/>
      </c>
      <c r="BD261" s="31">
        <f>COUNTIF(W261:AC261,"Yes")</f>
        <v/>
      </c>
      <c r="BE261" s="31">
        <f>IF(TRIM(B261)="","Legal name missing; ","")&amp;IF(AND(AV261&lt;&gt;"",AV261&lt;&gt;"OK"),"GSTIN: "&amp;AV261&amp;"; ","")&amp;IF(AND(AW261&lt;&gt;"",AW261&lt;&gt;"OK"),"PAN wrong format; ","")&amp;IF(AND(BA261&lt;&gt;"",LEN(AZ261)=15,MID(AZ261,3,10)&lt;&gt;BA261),"PAN does not match GSTIN; ","")&amp;IF(AND(AX261&lt;&gt;"",AX261&lt;&gt;"OK"),"TAN wrong format; ","")&amp;IF(AS261="","PAN missing; ","")&amp;IF(BB261="","Entity type missing; ","")&amp;IF(AND(AZ261&lt;&gt;"",COUNTIF($AZ$6:$AZ$1005,AZ261)&gt;1),"GSTIN repeated in this sheet; ","")&amp;IF(AND(AS261&lt;&gt;"",COUNTIF($AS$6:$AS$1005,AS261)&gt;1),"PAN repeated in this sheet (same client? put extra GSTINs in Other GSTINs); ","")&amp;IF(AND(BD261&gt;0,V261=""),"Financial year missing; ","")&amp;IF(AND(BD261=0,V261&lt;&gt;""),"Financial year given but no service is Yes; ","")&amp;IF(AND(W261="Yes",AZ261=""),"GST needs a GSTIN; ","")&amp;IF(AND(W261="Yes",X261=""),"GST return frequency missing; ","")&amp;IF(AND(Y261="Yes",TRIM(H261)=""),"TDS needs a TAN; ","")&amp;IF(AND(AA261="Yes",BC261&lt;&gt;"",BC261&lt;&gt;"company",BC261&lt;&gt;"llp"),"ROC is only for a company / LLP; ","")&amp;IF(AND(AA261="Yes",OR(BC261="company",BC261="llp"),TRIM(I261)=""),"ROC needs the CIN / LLPIN; ","")&amp;IF((TRIM(AF261)="")&lt;&gt;(TRIM(AG261)=""),"GST login needs both user ID and password; ","")&amp;IF((TRIM(AH261)="")&lt;&gt;(TRIM(AI261)=""),"Income-tax login needs both user ID and password; ","")&amp;IF((TRIM(AJ261)="")&lt;&gt;(TRIM(AK261)=""),"Income-tax login needs both user ID and password; ","")&amp;IF((TRIM(AL261)="")&lt;&gt;(TRIM(AM261)=""),"TRACES login needs both user ID and password; ","")&amp;IF((TRIM(AN261)="")&lt;&gt;(TRIM(AO261)=""),"MCA login needs both user ID and password; ","")&amp;IF((TRIM(AP261)="")&lt;&gt;(TRIM(AQ261)=""),"E-way bill login needs both user ID and password; ","")</f>
        <v/>
      </c>
    </row>
    <row r="262">
      <c r="A262" s="32" t="n"/>
      <c r="B262" s="33" t="n"/>
      <c r="C262" s="33" t="n"/>
      <c r="D262" s="33" t="n"/>
      <c r="E262" s="32" t="n"/>
      <c r="F262" s="32" t="n"/>
      <c r="G262" s="32" t="n"/>
      <c r="H262" s="32" t="n"/>
      <c r="I262" s="32" t="n"/>
      <c r="J262" s="34" t="n"/>
      <c r="K262" s="33" t="n"/>
      <c r="L262" s="32" t="n"/>
      <c r="M262" s="33" t="n"/>
      <c r="N262" s="33" t="n"/>
      <c r="O262" s="33" t="n"/>
      <c r="P262" s="32" t="n"/>
      <c r="Q262" s="33" t="n"/>
      <c r="R262" s="33" t="n"/>
      <c r="S262" s="33" t="n"/>
      <c r="T262" s="33" t="n"/>
      <c r="U262" s="32" t="n"/>
      <c r="V262" s="33" t="n"/>
      <c r="W262" s="33" t="n"/>
      <c r="X262" s="33" t="n"/>
      <c r="Y262" s="33" t="n"/>
      <c r="Z262" s="33" t="n"/>
      <c r="AA262" s="33" t="n"/>
      <c r="AB262" s="33" t="n"/>
      <c r="AC262" s="33" t="n"/>
      <c r="AD262" s="33" t="n"/>
      <c r="AE262" s="33" t="n"/>
      <c r="AF262" s="32" t="n"/>
      <c r="AG262" s="32" t="n"/>
      <c r="AH262" s="32" t="n"/>
      <c r="AI262" s="32" t="n"/>
      <c r="AJ262" s="32" t="n"/>
      <c r="AK262" s="32" t="n"/>
      <c r="AL262" s="32" t="n"/>
      <c r="AM262" s="32" t="n"/>
      <c r="AN262" s="32" t="n"/>
      <c r="AO262" s="32" t="n"/>
      <c r="AP262" s="32" t="n"/>
      <c r="AQ262" s="32" t="n"/>
      <c r="AR262" s="29">
        <f>IF(NOT(COUNTA(A262:AE262)&gt;0),"",IF(A262="","New client","Update"))</f>
        <v/>
      </c>
      <c r="AS262" s="29">
        <f>IF(BA262&lt;&gt;"",BA262,IF(LEN(AZ262)=15,MID(AZ262,3,10),""))</f>
        <v/>
      </c>
      <c r="AT262" s="29">
        <f>IF(BB262="","",BB262&amp;IF(D262="","  (guessed from PAN)",""))</f>
        <v/>
      </c>
      <c r="AU262" s="29">
        <f>IF(AZ262="","",IFERROR(INDEX(Lists!$L$2:$L$38,MATCH(LEFT(AZ262,2),Lists!$K$2:$K$38,0)),"Unknown code"))</f>
        <v/>
      </c>
      <c r="AV262" s="29">
        <f>IF(AZ262="","",IFERROR(IF(NOT(AND(LEN(AZ262)=15,ISNUMBER(MATCH(LEFT(AZ262,2),Lists!$K$2:$K$38,0)),SUMPRODUCT(--ISERROR(FIND(MID(MID(AZ262,3,10),{1,2,3,4,5,10},1),"ABCDEFGHIJKLMNOPQRSTUVWXYZ")))=0,SUMPRODUCT(--ISERROR(FIND(MID(MID(AZ262,3,10),{6,7,8,9},1),"0123456789")))=0,ISNUMBER(FIND(MID(AZ262,13,1),"123456789ABCDEFGHIJKLMNOPQRSTUVWXYZ")),MID(AZ262,14,1)="Z")),"Wrong format",IF(MID("0123456789ABCDEFGHIJKLMNOPQRSTUVWXYZ",MOD(36-MOD(SUMPRODUCT(INT((FIND(MID(AZ262,{1,2,3,4,5,6,7,8,9,10,11,12,13,14},1),"0123456789ABCDEFGHIJKLMNOPQRSTUVWXYZ")-1)*{1,2,1,2,1,2,1,2,1,2,1,2,1,2}/36)+MOD((FIND(MID(AZ262,{1,2,3,4,5,6,7,8,9,10,11,12,13,14},1),"0123456789ABCDEFGHIJKLMNOPQRSTUVWXYZ")-1)*{1,2,1,2,1,2,1,2,1,2,1,2,1,2},36)),36),36)+1,1)=MID(AZ262,15,1),"OK","Typo? check digit wrong")),"Wrong format"))</f>
        <v/>
      </c>
      <c r="AW262" s="29">
        <f>IF(BA262="","",IF(AND(LEN(BA262)=10,SUMPRODUCT(--ISERROR(FIND(MID(BA262,{1,2,3,4,5,10},1),"ABCDEFGHIJKLMNOPQRSTUVWXYZ")))=0,SUMPRODUCT(--ISERROR(FIND(MID(BA262,{6,7,8,9},1),"0123456789")))=0),"OK","Wrong format"))</f>
        <v/>
      </c>
      <c r="AX262" s="29">
        <f>IF(TRIM(H262)="","",IF(AND(LEN(UPPER(TRIM(H262)))=10,SUMPRODUCT(--ISERROR(FIND(MID(UPPER(TRIM(H262)),{1,2,3,4,10},1),"ABCDEFGHIJKLMNOPQRSTUVWXYZ")))=0,SUMPRODUCT(--ISERROR(FIND(MID(UPPER(TRIM(H262)),{5,6,7,8,9},1),"0123456789")))=0),"OK","Wrong format"))</f>
        <v/>
      </c>
      <c r="AY262" s="30">
        <f>IF(NOT(COUNTA(A262:AE262)&gt;0),"",IF(BE262&lt;&gt;"","✖ "&amp;LEFT(BE262,LEN(BE262)-2),IF(BD262&gt;0,"✔ Ready — client + "&amp;BD262&amp;" service(s)","✔ Ready — client only")))</f>
        <v/>
      </c>
      <c r="AZ262" s="31">
        <f>UPPER(SUBSTITUTE(TRIM(F262)," ",""))</f>
        <v/>
      </c>
      <c r="BA262" s="31">
        <f>UPPER(SUBSTITUTE(TRIM(E262)," ",""))</f>
        <v/>
      </c>
      <c r="BB262" s="31">
        <f>IF(D262&lt;&gt;"",D262,IFERROR(VLOOKUP(MID(AS262,4,1),Lists!$E$2:$F$8,2,FALSE),""))</f>
        <v/>
      </c>
      <c r="BC262" s="31">
        <f>IFERROR(VLOOKUP(BB262,Lists!$A$2:$C$12,3,FALSE),"")</f>
        <v/>
      </c>
      <c r="BD262" s="31">
        <f>COUNTIF(W262:AC262,"Yes")</f>
        <v/>
      </c>
      <c r="BE262" s="31">
        <f>IF(TRIM(B262)="","Legal name missing; ","")&amp;IF(AND(AV262&lt;&gt;"",AV262&lt;&gt;"OK"),"GSTIN: "&amp;AV262&amp;"; ","")&amp;IF(AND(AW262&lt;&gt;"",AW262&lt;&gt;"OK"),"PAN wrong format; ","")&amp;IF(AND(BA262&lt;&gt;"",LEN(AZ262)=15,MID(AZ262,3,10)&lt;&gt;BA262),"PAN does not match GSTIN; ","")&amp;IF(AND(AX262&lt;&gt;"",AX262&lt;&gt;"OK"),"TAN wrong format; ","")&amp;IF(AS262="","PAN missing; ","")&amp;IF(BB262="","Entity type missing; ","")&amp;IF(AND(AZ262&lt;&gt;"",COUNTIF($AZ$6:$AZ$1005,AZ262)&gt;1),"GSTIN repeated in this sheet; ","")&amp;IF(AND(AS262&lt;&gt;"",COUNTIF($AS$6:$AS$1005,AS262)&gt;1),"PAN repeated in this sheet (same client? put extra GSTINs in Other GSTINs); ","")&amp;IF(AND(BD262&gt;0,V262=""),"Financial year missing; ","")&amp;IF(AND(BD262=0,V262&lt;&gt;""),"Financial year given but no service is Yes; ","")&amp;IF(AND(W262="Yes",AZ262=""),"GST needs a GSTIN; ","")&amp;IF(AND(W262="Yes",X262=""),"GST return frequency missing; ","")&amp;IF(AND(Y262="Yes",TRIM(H262)=""),"TDS needs a TAN; ","")&amp;IF(AND(AA262="Yes",BC262&lt;&gt;"",BC262&lt;&gt;"company",BC262&lt;&gt;"llp"),"ROC is only for a company / LLP; ","")&amp;IF(AND(AA262="Yes",OR(BC262="company",BC262="llp"),TRIM(I262)=""),"ROC needs the CIN / LLPIN; ","")&amp;IF((TRIM(AF262)="")&lt;&gt;(TRIM(AG262)=""),"GST login needs both user ID and password; ","")&amp;IF((TRIM(AH262)="")&lt;&gt;(TRIM(AI262)=""),"Income-tax login needs both user ID and password; ","")&amp;IF((TRIM(AJ262)="")&lt;&gt;(TRIM(AK262)=""),"Income-tax login needs both user ID and password; ","")&amp;IF((TRIM(AL262)="")&lt;&gt;(TRIM(AM262)=""),"TRACES login needs both user ID and password; ","")&amp;IF((TRIM(AN262)="")&lt;&gt;(TRIM(AO262)=""),"MCA login needs both user ID and password; ","")&amp;IF((TRIM(AP262)="")&lt;&gt;(TRIM(AQ262)=""),"E-way bill login needs both user ID and password; ","")</f>
        <v/>
      </c>
    </row>
    <row r="263">
      <c r="A263" s="32" t="n"/>
      <c r="B263" s="33" t="n"/>
      <c r="C263" s="33" t="n"/>
      <c r="D263" s="33" t="n"/>
      <c r="E263" s="32" t="n"/>
      <c r="F263" s="32" t="n"/>
      <c r="G263" s="32" t="n"/>
      <c r="H263" s="32" t="n"/>
      <c r="I263" s="32" t="n"/>
      <c r="J263" s="34" t="n"/>
      <c r="K263" s="33" t="n"/>
      <c r="L263" s="32" t="n"/>
      <c r="M263" s="33" t="n"/>
      <c r="N263" s="33" t="n"/>
      <c r="O263" s="33" t="n"/>
      <c r="P263" s="32" t="n"/>
      <c r="Q263" s="33" t="n"/>
      <c r="R263" s="33" t="n"/>
      <c r="S263" s="33" t="n"/>
      <c r="T263" s="33" t="n"/>
      <c r="U263" s="32" t="n"/>
      <c r="V263" s="33" t="n"/>
      <c r="W263" s="33" t="n"/>
      <c r="X263" s="33" t="n"/>
      <c r="Y263" s="33" t="n"/>
      <c r="Z263" s="33" t="n"/>
      <c r="AA263" s="33" t="n"/>
      <c r="AB263" s="33" t="n"/>
      <c r="AC263" s="33" t="n"/>
      <c r="AD263" s="33" t="n"/>
      <c r="AE263" s="33" t="n"/>
      <c r="AF263" s="32" t="n"/>
      <c r="AG263" s="32" t="n"/>
      <c r="AH263" s="32" t="n"/>
      <c r="AI263" s="32" t="n"/>
      <c r="AJ263" s="32" t="n"/>
      <c r="AK263" s="32" t="n"/>
      <c r="AL263" s="32" t="n"/>
      <c r="AM263" s="32" t="n"/>
      <c r="AN263" s="32" t="n"/>
      <c r="AO263" s="32" t="n"/>
      <c r="AP263" s="32" t="n"/>
      <c r="AQ263" s="32" t="n"/>
      <c r="AR263" s="29">
        <f>IF(NOT(COUNTA(A263:AE263)&gt;0),"",IF(A263="","New client","Update"))</f>
        <v/>
      </c>
      <c r="AS263" s="29">
        <f>IF(BA263&lt;&gt;"",BA263,IF(LEN(AZ263)=15,MID(AZ263,3,10),""))</f>
        <v/>
      </c>
      <c r="AT263" s="29">
        <f>IF(BB263="","",BB263&amp;IF(D263="","  (guessed from PAN)",""))</f>
        <v/>
      </c>
      <c r="AU263" s="29">
        <f>IF(AZ263="","",IFERROR(INDEX(Lists!$L$2:$L$38,MATCH(LEFT(AZ263,2),Lists!$K$2:$K$38,0)),"Unknown code"))</f>
        <v/>
      </c>
      <c r="AV263" s="29">
        <f>IF(AZ263="","",IFERROR(IF(NOT(AND(LEN(AZ263)=15,ISNUMBER(MATCH(LEFT(AZ263,2),Lists!$K$2:$K$38,0)),SUMPRODUCT(--ISERROR(FIND(MID(MID(AZ263,3,10),{1,2,3,4,5,10},1),"ABCDEFGHIJKLMNOPQRSTUVWXYZ")))=0,SUMPRODUCT(--ISERROR(FIND(MID(MID(AZ263,3,10),{6,7,8,9},1),"0123456789")))=0,ISNUMBER(FIND(MID(AZ263,13,1),"123456789ABCDEFGHIJKLMNOPQRSTUVWXYZ")),MID(AZ263,14,1)="Z")),"Wrong format",IF(MID("0123456789ABCDEFGHIJKLMNOPQRSTUVWXYZ",MOD(36-MOD(SUMPRODUCT(INT((FIND(MID(AZ263,{1,2,3,4,5,6,7,8,9,10,11,12,13,14},1),"0123456789ABCDEFGHIJKLMNOPQRSTUVWXYZ")-1)*{1,2,1,2,1,2,1,2,1,2,1,2,1,2}/36)+MOD((FIND(MID(AZ263,{1,2,3,4,5,6,7,8,9,10,11,12,13,14},1),"0123456789ABCDEFGHIJKLMNOPQRSTUVWXYZ")-1)*{1,2,1,2,1,2,1,2,1,2,1,2,1,2},36)),36),36)+1,1)=MID(AZ263,15,1),"OK","Typo? check digit wrong")),"Wrong format"))</f>
        <v/>
      </c>
      <c r="AW263" s="29">
        <f>IF(BA263="","",IF(AND(LEN(BA263)=10,SUMPRODUCT(--ISERROR(FIND(MID(BA263,{1,2,3,4,5,10},1),"ABCDEFGHIJKLMNOPQRSTUVWXYZ")))=0,SUMPRODUCT(--ISERROR(FIND(MID(BA263,{6,7,8,9},1),"0123456789")))=0),"OK","Wrong format"))</f>
        <v/>
      </c>
      <c r="AX263" s="29">
        <f>IF(TRIM(H263)="","",IF(AND(LEN(UPPER(TRIM(H263)))=10,SUMPRODUCT(--ISERROR(FIND(MID(UPPER(TRIM(H263)),{1,2,3,4,10},1),"ABCDEFGHIJKLMNOPQRSTUVWXYZ")))=0,SUMPRODUCT(--ISERROR(FIND(MID(UPPER(TRIM(H263)),{5,6,7,8,9},1),"0123456789")))=0),"OK","Wrong format"))</f>
        <v/>
      </c>
      <c r="AY263" s="30">
        <f>IF(NOT(COUNTA(A263:AE263)&gt;0),"",IF(BE263&lt;&gt;"","✖ "&amp;LEFT(BE263,LEN(BE263)-2),IF(BD263&gt;0,"✔ Ready — client + "&amp;BD263&amp;" service(s)","✔ Ready — client only")))</f>
        <v/>
      </c>
      <c r="AZ263" s="31">
        <f>UPPER(SUBSTITUTE(TRIM(F263)," ",""))</f>
        <v/>
      </c>
      <c r="BA263" s="31">
        <f>UPPER(SUBSTITUTE(TRIM(E263)," ",""))</f>
        <v/>
      </c>
      <c r="BB263" s="31">
        <f>IF(D263&lt;&gt;"",D263,IFERROR(VLOOKUP(MID(AS263,4,1),Lists!$E$2:$F$8,2,FALSE),""))</f>
        <v/>
      </c>
      <c r="BC263" s="31">
        <f>IFERROR(VLOOKUP(BB263,Lists!$A$2:$C$12,3,FALSE),"")</f>
        <v/>
      </c>
      <c r="BD263" s="31">
        <f>COUNTIF(W263:AC263,"Yes")</f>
        <v/>
      </c>
      <c r="BE263" s="31">
        <f>IF(TRIM(B263)="","Legal name missing; ","")&amp;IF(AND(AV263&lt;&gt;"",AV263&lt;&gt;"OK"),"GSTIN: "&amp;AV263&amp;"; ","")&amp;IF(AND(AW263&lt;&gt;"",AW263&lt;&gt;"OK"),"PAN wrong format; ","")&amp;IF(AND(BA263&lt;&gt;"",LEN(AZ263)=15,MID(AZ263,3,10)&lt;&gt;BA263),"PAN does not match GSTIN; ","")&amp;IF(AND(AX263&lt;&gt;"",AX263&lt;&gt;"OK"),"TAN wrong format; ","")&amp;IF(AS263="","PAN missing; ","")&amp;IF(BB263="","Entity type missing; ","")&amp;IF(AND(AZ263&lt;&gt;"",COUNTIF($AZ$6:$AZ$1005,AZ263)&gt;1),"GSTIN repeated in this sheet; ","")&amp;IF(AND(AS263&lt;&gt;"",COUNTIF($AS$6:$AS$1005,AS263)&gt;1),"PAN repeated in this sheet (same client? put extra GSTINs in Other GSTINs); ","")&amp;IF(AND(BD263&gt;0,V263=""),"Financial year missing; ","")&amp;IF(AND(BD263=0,V263&lt;&gt;""),"Financial year given but no service is Yes; ","")&amp;IF(AND(W263="Yes",AZ263=""),"GST needs a GSTIN; ","")&amp;IF(AND(W263="Yes",X263=""),"GST return frequency missing; ","")&amp;IF(AND(Y263="Yes",TRIM(H263)=""),"TDS needs a TAN; ","")&amp;IF(AND(AA263="Yes",BC263&lt;&gt;"",BC263&lt;&gt;"company",BC263&lt;&gt;"llp"),"ROC is only for a company / LLP; ","")&amp;IF(AND(AA263="Yes",OR(BC263="company",BC263="llp"),TRIM(I263)=""),"ROC needs the CIN / LLPIN; ","")&amp;IF((TRIM(AF263)="")&lt;&gt;(TRIM(AG263)=""),"GST login needs both user ID and password; ","")&amp;IF((TRIM(AH263)="")&lt;&gt;(TRIM(AI263)=""),"Income-tax login needs both user ID and password; ","")&amp;IF((TRIM(AJ263)="")&lt;&gt;(TRIM(AK263)=""),"Income-tax login needs both user ID and password; ","")&amp;IF((TRIM(AL263)="")&lt;&gt;(TRIM(AM263)=""),"TRACES login needs both user ID and password; ","")&amp;IF((TRIM(AN263)="")&lt;&gt;(TRIM(AO263)=""),"MCA login needs both user ID and password; ","")&amp;IF((TRIM(AP263)="")&lt;&gt;(TRIM(AQ263)=""),"E-way bill login needs both user ID and password; ","")</f>
        <v/>
      </c>
    </row>
    <row r="264">
      <c r="A264" s="32" t="n"/>
      <c r="B264" s="33" t="n"/>
      <c r="C264" s="33" t="n"/>
      <c r="D264" s="33" t="n"/>
      <c r="E264" s="32" t="n"/>
      <c r="F264" s="32" t="n"/>
      <c r="G264" s="32" t="n"/>
      <c r="H264" s="32" t="n"/>
      <c r="I264" s="32" t="n"/>
      <c r="J264" s="34" t="n"/>
      <c r="K264" s="33" t="n"/>
      <c r="L264" s="32" t="n"/>
      <c r="M264" s="33" t="n"/>
      <c r="N264" s="33" t="n"/>
      <c r="O264" s="33" t="n"/>
      <c r="P264" s="32" t="n"/>
      <c r="Q264" s="33" t="n"/>
      <c r="R264" s="33" t="n"/>
      <c r="S264" s="33" t="n"/>
      <c r="T264" s="33" t="n"/>
      <c r="U264" s="32" t="n"/>
      <c r="V264" s="33" t="n"/>
      <c r="W264" s="33" t="n"/>
      <c r="X264" s="33" t="n"/>
      <c r="Y264" s="33" t="n"/>
      <c r="Z264" s="33" t="n"/>
      <c r="AA264" s="33" t="n"/>
      <c r="AB264" s="33" t="n"/>
      <c r="AC264" s="33" t="n"/>
      <c r="AD264" s="33" t="n"/>
      <c r="AE264" s="33" t="n"/>
      <c r="AF264" s="32" t="n"/>
      <c r="AG264" s="32" t="n"/>
      <c r="AH264" s="32" t="n"/>
      <c r="AI264" s="32" t="n"/>
      <c r="AJ264" s="32" t="n"/>
      <c r="AK264" s="32" t="n"/>
      <c r="AL264" s="32" t="n"/>
      <c r="AM264" s="32" t="n"/>
      <c r="AN264" s="32" t="n"/>
      <c r="AO264" s="32" t="n"/>
      <c r="AP264" s="32" t="n"/>
      <c r="AQ264" s="32" t="n"/>
      <c r="AR264" s="29">
        <f>IF(NOT(COUNTA(A264:AE264)&gt;0),"",IF(A264="","New client","Update"))</f>
        <v/>
      </c>
      <c r="AS264" s="29">
        <f>IF(BA264&lt;&gt;"",BA264,IF(LEN(AZ264)=15,MID(AZ264,3,10),""))</f>
        <v/>
      </c>
      <c r="AT264" s="29">
        <f>IF(BB264="","",BB264&amp;IF(D264="","  (guessed from PAN)",""))</f>
        <v/>
      </c>
      <c r="AU264" s="29">
        <f>IF(AZ264="","",IFERROR(INDEX(Lists!$L$2:$L$38,MATCH(LEFT(AZ264,2),Lists!$K$2:$K$38,0)),"Unknown code"))</f>
        <v/>
      </c>
      <c r="AV264" s="29">
        <f>IF(AZ264="","",IFERROR(IF(NOT(AND(LEN(AZ264)=15,ISNUMBER(MATCH(LEFT(AZ264,2),Lists!$K$2:$K$38,0)),SUMPRODUCT(--ISERROR(FIND(MID(MID(AZ264,3,10),{1,2,3,4,5,10},1),"ABCDEFGHIJKLMNOPQRSTUVWXYZ")))=0,SUMPRODUCT(--ISERROR(FIND(MID(MID(AZ264,3,10),{6,7,8,9},1),"0123456789")))=0,ISNUMBER(FIND(MID(AZ264,13,1),"123456789ABCDEFGHIJKLMNOPQRSTUVWXYZ")),MID(AZ264,14,1)="Z")),"Wrong format",IF(MID("0123456789ABCDEFGHIJKLMNOPQRSTUVWXYZ",MOD(36-MOD(SUMPRODUCT(INT((FIND(MID(AZ264,{1,2,3,4,5,6,7,8,9,10,11,12,13,14},1),"0123456789ABCDEFGHIJKLMNOPQRSTUVWXYZ")-1)*{1,2,1,2,1,2,1,2,1,2,1,2,1,2}/36)+MOD((FIND(MID(AZ264,{1,2,3,4,5,6,7,8,9,10,11,12,13,14},1),"0123456789ABCDEFGHIJKLMNOPQRSTUVWXYZ")-1)*{1,2,1,2,1,2,1,2,1,2,1,2,1,2},36)),36),36)+1,1)=MID(AZ264,15,1),"OK","Typo? check digit wrong")),"Wrong format"))</f>
        <v/>
      </c>
      <c r="AW264" s="29">
        <f>IF(BA264="","",IF(AND(LEN(BA264)=10,SUMPRODUCT(--ISERROR(FIND(MID(BA264,{1,2,3,4,5,10},1),"ABCDEFGHIJKLMNOPQRSTUVWXYZ")))=0,SUMPRODUCT(--ISERROR(FIND(MID(BA264,{6,7,8,9},1),"0123456789")))=0),"OK","Wrong format"))</f>
        <v/>
      </c>
      <c r="AX264" s="29">
        <f>IF(TRIM(H264)="","",IF(AND(LEN(UPPER(TRIM(H264)))=10,SUMPRODUCT(--ISERROR(FIND(MID(UPPER(TRIM(H264)),{1,2,3,4,10},1),"ABCDEFGHIJKLMNOPQRSTUVWXYZ")))=0,SUMPRODUCT(--ISERROR(FIND(MID(UPPER(TRIM(H264)),{5,6,7,8,9},1),"0123456789")))=0),"OK","Wrong format"))</f>
        <v/>
      </c>
      <c r="AY264" s="30">
        <f>IF(NOT(COUNTA(A264:AE264)&gt;0),"",IF(BE264&lt;&gt;"","✖ "&amp;LEFT(BE264,LEN(BE264)-2),IF(BD264&gt;0,"✔ Ready — client + "&amp;BD264&amp;" service(s)","✔ Ready — client only")))</f>
        <v/>
      </c>
      <c r="AZ264" s="31">
        <f>UPPER(SUBSTITUTE(TRIM(F264)," ",""))</f>
        <v/>
      </c>
      <c r="BA264" s="31">
        <f>UPPER(SUBSTITUTE(TRIM(E264)," ",""))</f>
        <v/>
      </c>
      <c r="BB264" s="31">
        <f>IF(D264&lt;&gt;"",D264,IFERROR(VLOOKUP(MID(AS264,4,1),Lists!$E$2:$F$8,2,FALSE),""))</f>
        <v/>
      </c>
      <c r="BC264" s="31">
        <f>IFERROR(VLOOKUP(BB264,Lists!$A$2:$C$12,3,FALSE),"")</f>
        <v/>
      </c>
      <c r="BD264" s="31">
        <f>COUNTIF(W264:AC264,"Yes")</f>
        <v/>
      </c>
      <c r="BE264" s="31">
        <f>IF(TRIM(B264)="","Legal name missing; ","")&amp;IF(AND(AV264&lt;&gt;"",AV264&lt;&gt;"OK"),"GSTIN: "&amp;AV264&amp;"; ","")&amp;IF(AND(AW264&lt;&gt;"",AW264&lt;&gt;"OK"),"PAN wrong format; ","")&amp;IF(AND(BA264&lt;&gt;"",LEN(AZ264)=15,MID(AZ264,3,10)&lt;&gt;BA264),"PAN does not match GSTIN; ","")&amp;IF(AND(AX264&lt;&gt;"",AX264&lt;&gt;"OK"),"TAN wrong format; ","")&amp;IF(AS264="","PAN missing; ","")&amp;IF(BB264="","Entity type missing; ","")&amp;IF(AND(AZ264&lt;&gt;"",COUNTIF($AZ$6:$AZ$1005,AZ264)&gt;1),"GSTIN repeated in this sheet; ","")&amp;IF(AND(AS264&lt;&gt;"",COUNTIF($AS$6:$AS$1005,AS264)&gt;1),"PAN repeated in this sheet (same client? put extra GSTINs in Other GSTINs); ","")&amp;IF(AND(BD264&gt;0,V264=""),"Financial year missing; ","")&amp;IF(AND(BD264=0,V264&lt;&gt;""),"Financial year given but no service is Yes; ","")&amp;IF(AND(W264="Yes",AZ264=""),"GST needs a GSTIN; ","")&amp;IF(AND(W264="Yes",X264=""),"GST return frequency missing; ","")&amp;IF(AND(Y264="Yes",TRIM(H264)=""),"TDS needs a TAN; ","")&amp;IF(AND(AA264="Yes",BC264&lt;&gt;"",BC264&lt;&gt;"company",BC264&lt;&gt;"llp"),"ROC is only for a company / LLP; ","")&amp;IF(AND(AA264="Yes",OR(BC264="company",BC264="llp"),TRIM(I264)=""),"ROC needs the CIN / LLPIN; ","")&amp;IF((TRIM(AF264)="")&lt;&gt;(TRIM(AG264)=""),"GST login needs both user ID and password; ","")&amp;IF((TRIM(AH264)="")&lt;&gt;(TRIM(AI264)=""),"Income-tax login needs both user ID and password; ","")&amp;IF((TRIM(AJ264)="")&lt;&gt;(TRIM(AK264)=""),"Income-tax login needs both user ID and password; ","")&amp;IF((TRIM(AL264)="")&lt;&gt;(TRIM(AM264)=""),"TRACES login needs both user ID and password; ","")&amp;IF((TRIM(AN264)="")&lt;&gt;(TRIM(AO264)=""),"MCA login needs both user ID and password; ","")&amp;IF((TRIM(AP264)="")&lt;&gt;(TRIM(AQ264)=""),"E-way bill login needs both user ID and password; ","")</f>
        <v/>
      </c>
    </row>
    <row r="265">
      <c r="A265" s="32" t="n"/>
      <c r="B265" s="33" t="n"/>
      <c r="C265" s="33" t="n"/>
      <c r="D265" s="33" t="n"/>
      <c r="E265" s="32" t="n"/>
      <c r="F265" s="32" t="n"/>
      <c r="G265" s="32" t="n"/>
      <c r="H265" s="32" t="n"/>
      <c r="I265" s="32" t="n"/>
      <c r="J265" s="34" t="n"/>
      <c r="K265" s="33" t="n"/>
      <c r="L265" s="32" t="n"/>
      <c r="M265" s="33" t="n"/>
      <c r="N265" s="33" t="n"/>
      <c r="O265" s="33" t="n"/>
      <c r="P265" s="32" t="n"/>
      <c r="Q265" s="33" t="n"/>
      <c r="R265" s="33" t="n"/>
      <c r="S265" s="33" t="n"/>
      <c r="T265" s="33" t="n"/>
      <c r="U265" s="32" t="n"/>
      <c r="V265" s="33" t="n"/>
      <c r="W265" s="33" t="n"/>
      <c r="X265" s="33" t="n"/>
      <c r="Y265" s="33" t="n"/>
      <c r="Z265" s="33" t="n"/>
      <c r="AA265" s="33" t="n"/>
      <c r="AB265" s="33" t="n"/>
      <c r="AC265" s="33" t="n"/>
      <c r="AD265" s="33" t="n"/>
      <c r="AE265" s="33" t="n"/>
      <c r="AF265" s="32" t="n"/>
      <c r="AG265" s="32" t="n"/>
      <c r="AH265" s="32" t="n"/>
      <c r="AI265" s="32" t="n"/>
      <c r="AJ265" s="32" t="n"/>
      <c r="AK265" s="32" t="n"/>
      <c r="AL265" s="32" t="n"/>
      <c r="AM265" s="32" t="n"/>
      <c r="AN265" s="32" t="n"/>
      <c r="AO265" s="32" t="n"/>
      <c r="AP265" s="32" t="n"/>
      <c r="AQ265" s="32" t="n"/>
      <c r="AR265" s="29">
        <f>IF(NOT(COUNTA(A265:AE265)&gt;0),"",IF(A265="","New client","Update"))</f>
        <v/>
      </c>
      <c r="AS265" s="29">
        <f>IF(BA265&lt;&gt;"",BA265,IF(LEN(AZ265)=15,MID(AZ265,3,10),""))</f>
        <v/>
      </c>
      <c r="AT265" s="29">
        <f>IF(BB265="","",BB265&amp;IF(D265="","  (guessed from PAN)",""))</f>
        <v/>
      </c>
      <c r="AU265" s="29">
        <f>IF(AZ265="","",IFERROR(INDEX(Lists!$L$2:$L$38,MATCH(LEFT(AZ265,2),Lists!$K$2:$K$38,0)),"Unknown code"))</f>
        <v/>
      </c>
      <c r="AV265" s="29">
        <f>IF(AZ265="","",IFERROR(IF(NOT(AND(LEN(AZ265)=15,ISNUMBER(MATCH(LEFT(AZ265,2),Lists!$K$2:$K$38,0)),SUMPRODUCT(--ISERROR(FIND(MID(MID(AZ265,3,10),{1,2,3,4,5,10},1),"ABCDEFGHIJKLMNOPQRSTUVWXYZ")))=0,SUMPRODUCT(--ISERROR(FIND(MID(MID(AZ265,3,10),{6,7,8,9},1),"0123456789")))=0,ISNUMBER(FIND(MID(AZ265,13,1),"123456789ABCDEFGHIJKLMNOPQRSTUVWXYZ")),MID(AZ265,14,1)="Z")),"Wrong format",IF(MID("0123456789ABCDEFGHIJKLMNOPQRSTUVWXYZ",MOD(36-MOD(SUMPRODUCT(INT((FIND(MID(AZ265,{1,2,3,4,5,6,7,8,9,10,11,12,13,14},1),"0123456789ABCDEFGHIJKLMNOPQRSTUVWXYZ")-1)*{1,2,1,2,1,2,1,2,1,2,1,2,1,2}/36)+MOD((FIND(MID(AZ265,{1,2,3,4,5,6,7,8,9,10,11,12,13,14},1),"0123456789ABCDEFGHIJKLMNOPQRSTUVWXYZ")-1)*{1,2,1,2,1,2,1,2,1,2,1,2,1,2},36)),36),36)+1,1)=MID(AZ265,15,1),"OK","Typo? check digit wrong")),"Wrong format"))</f>
        <v/>
      </c>
      <c r="AW265" s="29">
        <f>IF(BA265="","",IF(AND(LEN(BA265)=10,SUMPRODUCT(--ISERROR(FIND(MID(BA265,{1,2,3,4,5,10},1),"ABCDEFGHIJKLMNOPQRSTUVWXYZ")))=0,SUMPRODUCT(--ISERROR(FIND(MID(BA265,{6,7,8,9},1),"0123456789")))=0),"OK","Wrong format"))</f>
        <v/>
      </c>
      <c r="AX265" s="29">
        <f>IF(TRIM(H265)="","",IF(AND(LEN(UPPER(TRIM(H265)))=10,SUMPRODUCT(--ISERROR(FIND(MID(UPPER(TRIM(H265)),{1,2,3,4,10},1),"ABCDEFGHIJKLMNOPQRSTUVWXYZ")))=0,SUMPRODUCT(--ISERROR(FIND(MID(UPPER(TRIM(H265)),{5,6,7,8,9},1),"0123456789")))=0),"OK","Wrong format"))</f>
        <v/>
      </c>
      <c r="AY265" s="30">
        <f>IF(NOT(COUNTA(A265:AE265)&gt;0),"",IF(BE265&lt;&gt;"","✖ "&amp;LEFT(BE265,LEN(BE265)-2),IF(BD265&gt;0,"✔ Ready — client + "&amp;BD265&amp;" service(s)","✔ Ready — client only")))</f>
        <v/>
      </c>
      <c r="AZ265" s="31">
        <f>UPPER(SUBSTITUTE(TRIM(F265)," ",""))</f>
        <v/>
      </c>
      <c r="BA265" s="31">
        <f>UPPER(SUBSTITUTE(TRIM(E265)," ",""))</f>
        <v/>
      </c>
      <c r="BB265" s="31">
        <f>IF(D265&lt;&gt;"",D265,IFERROR(VLOOKUP(MID(AS265,4,1),Lists!$E$2:$F$8,2,FALSE),""))</f>
        <v/>
      </c>
      <c r="BC265" s="31">
        <f>IFERROR(VLOOKUP(BB265,Lists!$A$2:$C$12,3,FALSE),"")</f>
        <v/>
      </c>
      <c r="BD265" s="31">
        <f>COUNTIF(W265:AC265,"Yes")</f>
        <v/>
      </c>
      <c r="BE265" s="31">
        <f>IF(TRIM(B265)="","Legal name missing; ","")&amp;IF(AND(AV265&lt;&gt;"",AV265&lt;&gt;"OK"),"GSTIN: "&amp;AV265&amp;"; ","")&amp;IF(AND(AW265&lt;&gt;"",AW265&lt;&gt;"OK"),"PAN wrong format; ","")&amp;IF(AND(BA265&lt;&gt;"",LEN(AZ265)=15,MID(AZ265,3,10)&lt;&gt;BA265),"PAN does not match GSTIN; ","")&amp;IF(AND(AX265&lt;&gt;"",AX265&lt;&gt;"OK"),"TAN wrong format; ","")&amp;IF(AS265="","PAN missing; ","")&amp;IF(BB265="","Entity type missing; ","")&amp;IF(AND(AZ265&lt;&gt;"",COUNTIF($AZ$6:$AZ$1005,AZ265)&gt;1),"GSTIN repeated in this sheet; ","")&amp;IF(AND(AS265&lt;&gt;"",COUNTIF($AS$6:$AS$1005,AS265)&gt;1),"PAN repeated in this sheet (same client? put extra GSTINs in Other GSTINs); ","")&amp;IF(AND(BD265&gt;0,V265=""),"Financial year missing; ","")&amp;IF(AND(BD265=0,V265&lt;&gt;""),"Financial year given but no service is Yes; ","")&amp;IF(AND(W265="Yes",AZ265=""),"GST needs a GSTIN; ","")&amp;IF(AND(W265="Yes",X265=""),"GST return frequency missing; ","")&amp;IF(AND(Y265="Yes",TRIM(H265)=""),"TDS needs a TAN; ","")&amp;IF(AND(AA265="Yes",BC265&lt;&gt;"",BC265&lt;&gt;"company",BC265&lt;&gt;"llp"),"ROC is only for a company / LLP; ","")&amp;IF(AND(AA265="Yes",OR(BC265="company",BC265="llp"),TRIM(I265)=""),"ROC needs the CIN / LLPIN; ","")&amp;IF((TRIM(AF265)="")&lt;&gt;(TRIM(AG265)=""),"GST login needs both user ID and password; ","")&amp;IF((TRIM(AH265)="")&lt;&gt;(TRIM(AI265)=""),"Income-tax login needs both user ID and password; ","")&amp;IF((TRIM(AJ265)="")&lt;&gt;(TRIM(AK265)=""),"Income-tax login needs both user ID and password; ","")&amp;IF((TRIM(AL265)="")&lt;&gt;(TRIM(AM265)=""),"TRACES login needs both user ID and password; ","")&amp;IF((TRIM(AN265)="")&lt;&gt;(TRIM(AO265)=""),"MCA login needs both user ID and password; ","")&amp;IF((TRIM(AP265)="")&lt;&gt;(TRIM(AQ265)=""),"E-way bill login needs both user ID and password; ","")</f>
        <v/>
      </c>
    </row>
    <row r="266">
      <c r="A266" s="32" t="n"/>
      <c r="B266" s="33" t="n"/>
      <c r="C266" s="33" t="n"/>
      <c r="D266" s="33" t="n"/>
      <c r="E266" s="32" t="n"/>
      <c r="F266" s="32" t="n"/>
      <c r="G266" s="32" t="n"/>
      <c r="H266" s="32" t="n"/>
      <c r="I266" s="32" t="n"/>
      <c r="J266" s="34" t="n"/>
      <c r="K266" s="33" t="n"/>
      <c r="L266" s="32" t="n"/>
      <c r="M266" s="33" t="n"/>
      <c r="N266" s="33" t="n"/>
      <c r="O266" s="33" t="n"/>
      <c r="P266" s="32" t="n"/>
      <c r="Q266" s="33" t="n"/>
      <c r="R266" s="33" t="n"/>
      <c r="S266" s="33" t="n"/>
      <c r="T266" s="33" t="n"/>
      <c r="U266" s="32" t="n"/>
      <c r="V266" s="33" t="n"/>
      <c r="W266" s="33" t="n"/>
      <c r="X266" s="33" t="n"/>
      <c r="Y266" s="33" t="n"/>
      <c r="Z266" s="33" t="n"/>
      <c r="AA266" s="33" t="n"/>
      <c r="AB266" s="33" t="n"/>
      <c r="AC266" s="33" t="n"/>
      <c r="AD266" s="33" t="n"/>
      <c r="AE266" s="33" t="n"/>
      <c r="AF266" s="32" t="n"/>
      <c r="AG266" s="32" t="n"/>
      <c r="AH266" s="32" t="n"/>
      <c r="AI266" s="32" t="n"/>
      <c r="AJ266" s="32" t="n"/>
      <c r="AK266" s="32" t="n"/>
      <c r="AL266" s="32" t="n"/>
      <c r="AM266" s="32" t="n"/>
      <c r="AN266" s="32" t="n"/>
      <c r="AO266" s="32" t="n"/>
      <c r="AP266" s="32" t="n"/>
      <c r="AQ266" s="32" t="n"/>
      <c r="AR266" s="29">
        <f>IF(NOT(COUNTA(A266:AE266)&gt;0),"",IF(A266="","New client","Update"))</f>
        <v/>
      </c>
      <c r="AS266" s="29">
        <f>IF(BA266&lt;&gt;"",BA266,IF(LEN(AZ266)=15,MID(AZ266,3,10),""))</f>
        <v/>
      </c>
      <c r="AT266" s="29">
        <f>IF(BB266="","",BB266&amp;IF(D266="","  (guessed from PAN)",""))</f>
        <v/>
      </c>
      <c r="AU266" s="29">
        <f>IF(AZ266="","",IFERROR(INDEX(Lists!$L$2:$L$38,MATCH(LEFT(AZ266,2),Lists!$K$2:$K$38,0)),"Unknown code"))</f>
        <v/>
      </c>
      <c r="AV266" s="29">
        <f>IF(AZ266="","",IFERROR(IF(NOT(AND(LEN(AZ266)=15,ISNUMBER(MATCH(LEFT(AZ266,2),Lists!$K$2:$K$38,0)),SUMPRODUCT(--ISERROR(FIND(MID(MID(AZ266,3,10),{1,2,3,4,5,10},1),"ABCDEFGHIJKLMNOPQRSTUVWXYZ")))=0,SUMPRODUCT(--ISERROR(FIND(MID(MID(AZ266,3,10),{6,7,8,9},1),"0123456789")))=0,ISNUMBER(FIND(MID(AZ266,13,1),"123456789ABCDEFGHIJKLMNOPQRSTUVWXYZ")),MID(AZ266,14,1)="Z")),"Wrong format",IF(MID("0123456789ABCDEFGHIJKLMNOPQRSTUVWXYZ",MOD(36-MOD(SUMPRODUCT(INT((FIND(MID(AZ266,{1,2,3,4,5,6,7,8,9,10,11,12,13,14},1),"0123456789ABCDEFGHIJKLMNOPQRSTUVWXYZ")-1)*{1,2,1,2,1,2,1,2,1,2,1,2,1,2}/36)+MOD((FIND(MID(AZ266,{1,2,3,4,5,6,7,8,9,10,11,12,13,14},1),"0123456789ABCDEFGHIJKLMNOPQRSTUVWXYZ")-1)*{1,2,1,2,1,2,1,2,1,2,1,2,1,2},36)),36),36)+1,1)=MID(AZ266,15,1),"OK","Typo? check digit wrong")),"Wrong format"))</f>
        <v/>
      </c>
      <c r="AW266" s="29">
        <f>IF(BA266="","",IF(AND(LEN(BA266)=10,SUMPRODUCT(--ISERROR(FIND(MID(BA266,{1,2,3,4,5,10},1),"ABCDEFGHIJKLMNOPQRSTUVWXYZ")))=0,SUMPRODUCT(--ISERROR(FIND(MID(BA266,{6,7,8,9},1),"0123456789")))=0),"OK","Wrong format"))</f>
        <v/>
      </c>
      <c r="AX266" s="29">
        <f>IF(TRIM(H266)="","",IF(AND(LEN(UPPER(TRIM(H266)))=10,SUMPRODUCT(--ISERROR(FIND(MID(UPPER(TRIM(H266)),{1,2,3,4,10},1),"ABCDEFGHIJKLMNOPQRSTUVWXYZ")))=0,SUMPRODUCT(--ISERROR(FIND(MID(UPPER(TRIM(H266)),{5,6,7,8,9},1),"0123456789")))=0),"OK","Wrong format"))</f>
        <v/>
      </c>
      <c r="AY266" s="30">
        <f>IF(NOT(COUNTA(A266:AE266)&gt;0),"",IF(BE266&lt;&gt;"","✖ "&amp;LEFT(BE266,LEN(BE266)-2),IF(BD266&gt;0,"✔ Ready — client + "&amp;BD266&amp;" service(s)","✔ Ready — client only")))</f>
        <v/>
      </c>
      <c r="AZ266" s="31">
        <f>UPPER(SUBSTITUTE(TRIM(F266)," ",""))</f>
        <v/>
      </c>
      <c r="BA266" s="31">
        <f>UPPER(SUBSTITUTE(TRIM(E266)," ",""))</f>
        <v/>
      </c>
      <c r="BB266" s="31">
        <f>IF(D266&lt;&gt;"",D266,IFERROR(VLOOKUP(MID(AS266,4,1),Lists!$E$2:$F$8,2,FALSE),""))</f>
        <v/>
      </c>
      <c r="BC266" s="31">
        <f>IFERROR(VLOOKUP(BB266,Lists!$A$2:$C$12,3,FALSE),"")</f>
        <v/>
      </c>
      <c r="BD266" s="31">
        <f>COUNTIF(W266:AC266,"Yes")</f>
        <v/>
      </c>
      <c r="BE266" s="31">
        <f>IF(TRIM(B266)="","Legal name missing; ","")&amp;IF(AND(AV266&lt;&gt;"",AV266&lt;&gt;"OK"),"GSTIN: "&amp;AV266&amp;"; ","")&amp;IF(AND(AW266&lt;&gt;"",AW266&lt;&gt;"OK"),"PAN wrong format; ","")&amp;IF(AND(BA266&lt;&gt;"",LEN(AZ266)=15,MID(AZ266,3,10)&lt;&gt;BA266),"PAN does not match GSTIN; ","")&amp;IF(AND(AX266&lt;&gt;"",AX266&lt;&gt;"OK"),"TAN wrong format; ","")&amp;IF(AS266="","PAN missing; ","")&amp;IF(BB266="","Entity type missing; ","")&amp;IF(AND(AZ266&lt;&gt;"",COUNTIF($AZ$6:$AZ$1005,AZ266)&gt;1),"GSTIN repeated in this sheet; ","")&amp;IF(AND(AS266&lt;&gt;"",COUNTIF($AS$6:$AS$1005,AS266)&gt;1),"PAN repeated in this sheet (same client? put extra GSTINs in Other GSTINs); ","")&amp;IF(AND(BD266&gt;0,V266=""),"Financial year missing; ","")&amp;IF(AND(BD266=0,V266&lt;&gt;""),"Financial year given but no service is Yes; ","")&amp;IF(AND(W266="Yes",AZ266=""),"GST needs a GSTIN; ","")&amp;IF(AND(W266="Yes",X266=""),"GST return frequency missing; ","")&amp;IF(AND(Y266="Yes",TRIM(H266)=""),"TDS needs a TAN; ","")&amp;IF(AND(AA266="Yes",BC266&lt;&gt;"",BC266&lt;&gt;"company",BC266&lt;&gt;"llp"),"ROC is only for a company / LLP; ","")&amp;IF(AND(AA266="Yes",OR(BC266="company",BC266="llp"),TRIM(I266)=""),"ROC needs the CIN / LLPIN; ","")&amp;IF((TRIM(AF266)="")&lt;&gt;(TRIM(AG266)=""),"GST login needs both user ID and password; ","")&amp;IF((TRIM(AH266)="")&lt;&gt;(TRIM(AI266)=""),"Income-tax login needs both user ID and password; ","")&amp;IF((TRIM(AJ266)="")&lt;&gt;(TRIM(AK266)=""),"Income-tax login needs both user ID and password; ","")&amp;IF((TRIM(AL266)="")&lt;&gt;(TRIM(AM266)=""),"TRACES login needs both user ID and password; ","")&amp;IF((TRIM(AN266)="")&lt;&gt;(TRIM(AO266)=""),"MCA login needs both user ID and password; ","")&amp;IF((TRIM(AP266)="")&lt;&gt;(TRIM(AQ266)=""),"E-way bill login needs both user ID and password; ","")</f>
        <v/>
      </c>
    </row>
    <row r="267">
      <c r="A267" s="32" t="n"/>
      <c r="B267" s="33" t="n"/>
      <c r="C267" s="33" t="n"/>
      <c r="D267" s="33" t="n"/>
      <c r="E267" s="32" t="n"/>
      <c r="F267" s="32" t="n"/>
      <c r="G267" s="32" t="n"/>
      <c r="H267" s="32" t="n"/>
      <c r="I267" s="32" t="n"/>
      <c r="J267" s="34" t="n"/>
      <c r="K267" s="33" t="n"/>
      <c r="L267" s="32" t="n"/>
      <c r="M267" s="33" t="n"/>
      <c r="N267" s="33" t="n"/>
      <c r="O267" s="33" t="n"/>
      <c r="P267" s="32" t="n"/>
      <c r="Q267" s="33" t="n"/>
      <c r="R267" s="33" t="n"/>
      <c r="S267" s="33" t="n"/>
      <c r="T267" s="33" t="n"/>
      <c r="U267" s="32" t="n"/>
      <c r="V267" s="33" t="n"/>
      <c r="W267" s="33" t="n"/>
      <c r="X267" s="33" t="n"/>
      <c r="Y267" s="33" t="n"/>
      <c r="Z267" s="33" t="n"/>
      <c r="AA267" s="33" t="n"/>
      <c r="AB267" s="33" t="n"/>
      <c r="AC267" s="33" t="n"/>
      <c r="AD267" s="33" t="n"/>
      <c r="AE267" s="33" t="n"/>
      <c r="AF267" s="32" t="n"/>
      <c r="AG267" s="32" t="n"/>
      <c r="AH267" s="32" t="n"/>
      <c r="AI267" s="32" t="n"/>
      <c r="AJ267" s="32" t="n"/>
      <c r="AK267" s="32" t="n"/>
      <c r="AL267" s="32" t="n"/>
      <c r="AM267" s="32" t="n"/>
      <c r="AN267" s="32" t="n"/>
      <c r="AO267" s="32" t="n"/>
      <c r="AP267" s="32" t="n"/>
      <c r="AQ267" s="32" t="n"/>
      <c r="AR267" s="29">
        <f>IF(NOT(COUNTA(A267:AE267)&gt;0),"",IF(A267="","New client","Update"))</f>
        <v/>
      </c>
      <c r="AS267" s="29">
        <f>IF(BA267&lt;&gt;"",BA267,IF(LEN(AZ267)=15,MID(AZ267,3,10),""))</f>
        <v/>
      </c>
      <c r="AT267" s="29">
        <f>IF(BB267="","",BB267&amp;IF(D267="","  (guessed from PAN)",""))</f>
        <v/>
      </c>
      <c r="AU267" s="29">
        <f>IF(AZ267="","",IFERROR(INDEX(Lists!$L$2:$L$38,MATCH(LEFT(AZ267,2),Lists!$K$2:$K$38,0)),"Unknown code"))</f>
        <v/>
      </c>
      <c r="AV267" s="29">
        <f>IF(AZ267="","",IFERROR(IF(NOT(AND(LEN(AZ267)=15,ISNUMBER(MATCH(LEFT(AZ267,2),Lists!$K$2:$K$38,0)),SUMPRODUCT(--ISERROR(FIND(MID(MID(AZ267,3,10),{1,2,3,4,5,10},1),"ABCDEFGHIJKLMNOPQRSTUVWXYZ")))=0,SUMPRODUCT(--ISERROR(FIND(MID(MID(AZ267,3,10),{6,7,8,9},1),"0123456789")))=0,ISNUMBER(FIND(MID(AZ267,13,1),"123456789ABCDEFGHIJKLMNOPQRSTUVWXYZ")),MID(AZ267,14,1)="Z")),"Wrong format",IF(MID("0123456789ABCDEFGHIJKLMNOPQRSTUVWXYZ",MOD(36-MOD(SUMPRODUCT(INT((FIND(MID(AZ267,{1,2,3,4,5,6,7,8,9,10,11,12,13,14},1),"0123456789ABCDEFGHIJKLMNOPQRSTUVWXYZ")-1)*{1,2,1,2,1,2,1,2,1,2,1,2,1,2}/36)+MOD((FIND(MID(AZ267,{1,2,3,4,5,6,7,8,9,10,11,12,13,14},1),"0123456789ABCDEFGHIJKLMNOPQRSTUVWXYZ")-1)*{1,2,1,2,1,2,1,2,1,2,1,2,1,2},36)),36),36)+1,1)=MID(AZ267,15,1),"OK","Typo? check digit wrong")),"Wrong format"))</f>
        <v/>
      </c>
      <c r="AW267" s="29">
        <f>IF(BA267="","",IF(AND(LEN(BA267)=10,SUMPRODUCT(--ISERROR(FIND(MID(BA267,{1,2,3,4,5,10},1),"ABCDEFGHIJKLMNOPQRSTUVWXYZ")))=0,SUMPRODUCT(--ISERROR(FIND(MID(BA267,{6,7,8,9},1),"0123456789")))=0),"OK","Wrong format"))</f>
        <v/>
      </c>
      <c r="AX267" s="29">
        <f>IF(TRIM(H267)="","",IF(AND(LEN(UPPER(TRIM(H267)))=10,SUMPRODUCT(--ISERROR(FIND(MID(UPPER(TRIM(H267)),{1,2,3,4,10},1),"ABCDEFGHIJKLMNOPQRSTUVWXYZ")))=0,SUMPRODUCT(--ISERROR(FIND(MID(UPPER(TRIM(H267)),{5,6,7,8,9},1),"0123456789")))=0),"OK","Wrong format"))</f>
        <v/>
      </c>
      <c r="AY267" s="30">
        <f>IF(NOT(COUNTA(A267:AE267)&gt;0),"",IF(BE267&lt;&gt;"","✖ "&amp;LEFT(BE267,LEN(BE267)-2),IF(BD267&gt;0,"✔ Ready — client + "&amp;BD267&amp;" service(s)","✔ Ready — client only")))</f>
        <v/>
      </c>
      <c r="AZ267" s="31">
        <f>UPPER(SUBSTITUTE(TRIM(F267)," ",""))</f>
        <v/>
      </c>
      <c r="BA267" s="31">
        <f>UPPER(SUBSTITUTE(TRIM(E267)," ",""))</f>
        <v/>
      </c>
      <c r="BB267" s="31">
        <f>IF(D267&lt;&gt;"",D267,IFERROR(VLOOKUP(MID(AS267,4,1),Lists!$E$2:$F$8,2,FALSE),""))</f>
        <v/>
      </c>
      <c r="BC267" s="31">
        <f>IFERROR(VLOOKUP(BB267,Lists!$A$2:$C$12,3,FALSE),"")</f>
        <v/>
      </c>
      <c r="BD267" s="31">
        <f>COUNTIF(W267:AC267,"Yes")</f>
        <v/>
      </c>
      <c r="BE267" s="31">
        <f>IF(TRIM(B267)="","Legal name missing; ","")&amp;IF(AND(AV267&lt;&gt;"",AV267&lt;&gt;"OK"),"GSTIN: "&amp;AV267&amp;"; ","")&amp;IF(AND(AW267&lt;&gt;"",AW267&lt;&gt;"OK"),"PAN wrong format; ","")&amp;IF(AND(BA267&lt;&gt;"",LEN(AZ267)=15,MID(AZ267,3,10)&lt;&gt;BA267),"PAN does not match GSTIN; ","")&amp;IF(AND(AX267&lt;&gt;"",AX267&lt;&gt;"OK"),"TAN wrong format; ","")&amp;IF(AS267="","PAN missing; ","")&amp;IF(BB267="","Entity type missing; ","")&amp;IF(AND(AZ267&lt;&gt;"",COUNTIF($AZ$6:$AZ$1005,AZ267)&gt;1),"GSTIN repeated in this sheet; ","")&amp;IF(AND(AS267&lt;&gt;"",COUNTIF($AS$6:$AS$1005,AS267)&gt;1),"PAN repeated in this sheet (same client? put extra GSTINs in Other GSTINs); ","")&amp;IF(AND(BD267&gt;0,V267=""),"Financial year missing; ","")&amp;IF(AND(BD267=0,V267&lt;&gt;""),"Financial year given but no service is Yes; ","")&amp;IF(AND(W267="Yes",AZ267=""),"GST needs a GSTIN; ","")&amp;IF(AND(W267="Yes",X267=""),"GST return frequency missing; ","")&amp;IF(AND(Y267="Yes",TRIM(H267)=""),"TDS needs a TAN; ","")&amp;IF(AND(AA267="Yes",BC267&lt;&gt;"",BC267&lt;&gt;"company",BC267&lt;&gt;"llp"),"ROC is only for a company / LLP; ","")&amp;IF(AND(AA267="Yes",OR(BC267="company",BC267="llp"),TRIM(I267)=""),"ROC needs the CIN / LLPIN; ","")&amp;IF((TRIM(AF267)="")&lt;&gt;(TRIM(AG267)=""),"GST login needs both user ID and password; ","")&amp;IF((TRIM(AH267)="")&lt;&gt;(TRIM(AI267)=""),"Income-tax login needs both user ID and password; ","")&amp;IF((TRIM(AJ267)="")&lt;&gt;(TRIM(AK267)=""),"Income-tax login needs both user ID and password; ","")&amp;IF((TRIM(AL267)="")&lt;&gt;(TRIM(AM267)=""),"TRACES login needs both user ID and password; ","")&amp;IF((TRIM(AN267)="")&lt;&gt;(TRIM(AO267)=""),"MCA login needs both user ID and password; ","")&amp;IF((TRIM(AP267)="")&lt;&gt;(TRIM(AQ267)=""),"E-way bill login needs both user ID and password; ","")</f>
        <v/>
      </c>
    </row>
    <row r="268">
      <c r="A268" s="32" t="n"/>
      <c r="B268" s="33" t="n"/>
      <c r="C268" s="33" t="n"/>
      <c r="D268" s="33" t="n"/>
      <c r="E268" s="32" t="n"/>
      <c r="F268" s="32" t="n"/>
      <c r="G268" s="32" t="n"/>
      <c r="H268" s="32" t="n"/>
      <c r="I268" s="32" t="n"/>
      <c r="J268" s="34" t="n"/>
      <c r="K268" s="33" t="n"/>
      <c r="L268" s="32" t="n"/>
      <c r="M268" s="33" t="n"/>
      <c r="N268" s="33" t="n"/>
      <c r="O268" s="33" t="n"/>
      <c r="P268" s="32" t="n"/>
      <c r="Q268" s="33" t="n"/>
      <c r="R268" s="33" t="n"/>
      <c r="S268" s="33" t="n"/>
      <c r="T268" s="33" t="n"/>
      <c r="U268" s="32" t="n"/>
      <c r="V268" s="33" t="n"/>
      <c r="W268" s="33" t="n"/>
      <c r="X268" s="33" t="n"/>
      <c r="Y268" s="33" t="n"/>
      <c r="Z268" s="33" t="n"/>
      <c r="AA268" s="33" t="n"/>
      <c r="AB268" s="33" t="n"/>
      <c r="AC268" s="33" t="n"/>
      <c r="AD268" s="33" t="n"/>
      <c r="AE268" s="33" t="n"/>
      <c r="AF268" s="32" t="n"/>
      <c r="AG268" s="32" t="n"/>
      <c r="AH268" s="32" t="n"/>
      <c r="AI268" s="32" t="n"/>
      <c r="AJ268" s="32" t="n"/>
      <c r="AK268" s="32" t="n"/>
      <c r="AL268" s="32" t="n"/>
      <c r="AM268" s="32" t="n"/>
      <c r="AN268" s="32" t="n"/>
      <c r="AO268" s="32" t="n"/>
      <c r="AP268" s="32" t="n"/>
      <c r="AQ268" s="32" t="n"/>
      <c r="AR268" s="29">
        <f>IF(NOT(COUNTA(A268:AE268)&gt;0),"",IF(A268="","New client","Update"))</f>
        <v/>
      </c>
      <c r="AS268" s="29">
        <f>IF(BA268&lt;&gt;"",BA268,IF(LEN(AZ268)=15,MID(AZ268,3,10),""))</f>
        <v/>
      </c>
      <c r="AT268" s="29">
        <f>IF(BB268="","",BB268&amp;IF(D268="","  (guessed from PAN)",""))</f>
        <v/>
      </c>
      <c r="AU268" s="29">
        <f>IF(AZ268="","",IFERROR(INDEX(Lists!$L$2:$L$38,MATCH(LEFT(AZ268,2),Lists!$K$2:$K$38,0)),"Unknown code"))</f>
        <v/>
      </c>
      <c r="AV268" s="29">
        <f>IF(AZ268="","",IFERROR(IF(NOT(AND(LEN(AZ268)=15,ISNUMBER(MATCH(LEFT(AZ268,2),Lists!$K$2:$K$38,0)),SUMPRODUCT(--ISERROR(FIND(MID(MID(AZ268,3,10),{1,2,3,4,5,10},1),"ABCDEFGHIJKLMNOPQRSTUVWXYZ")))=0,SUMPRODUCT(--ISERROR(FIND(MID(MID(AZ268,3,10),{6,7,8,9},1),"0123456789")))=0,ISNUMBER(FIND(MID(AZ268,13,1),"123456789ABCDEFGHIJKLMNOPQRSTUVWXYZ")),MID(AZ268,14,1)="Z")),"Wrong format",IF(MID("0123456789ABCDEFGHIJKLMNOPQRSTUVWXYZ",MOD(36-MOD(SUMPRODUCT(INT((FIND(MID(AZ268,{1,2,3,4,5,6,7,8,9,10,11,12,13,14},1),"0123456789ABCDEFGHIJKLMNOPQRSTUVWXYZ")-1)*{1,2,1,2,1,2,1,2,1,2,1,2,1,2}/36)+MOD((FIND(MID(AZ268,{1,2,3,4,5,6,7,8,9,10,11,12,13,14},1),"0123456789ABCDEFGHIJKLMNOPQRSTUVWXYZ")-1)*{1,2,1,2,1,2,1,2,1,2,1,2,1,2},36)),36),36)+1,1)=MID(AZ268,15,1),"OK","Typo? check digit wrong")),"Wrong format"))</f>
        <v/>
      </c>
      <c r="AW268" s="29">
        <f>IF(BA268="","",IF(AND(LEN(BA268)=10,SUMPRODUCT(--ISERROR(FIND(MID(BA268,{1,2,3,4,5,10},1),"ABCDEFGHIJKLMNOPQRSTUVWXYZ")))=0,SUMPRODUCT(--ISERROR(FIND(MID(BA268,{6,7,8,9},1),"0123456789")))=0),"OK","Wrong format"))</f>
        <v/>
      </c>
      <c r="AX268" s="29">
        <f>IF(TRIM(H268)="","",IF(AND(LEN(UPPER(TRIM(H268)))=10,SUMPRODUCT(--ISERROR(FIND(MID(UPPER(TRIM(H268)),{1,2,3,4,10},1),"ABCDEFGHIJKLMNOPQRSTUVWXYZ")))=0,SUMPRODUCT(--ISERROR(FIND(MID(UPPER(TRIM(H268)),{5,6,7,8,9},1),"0123456789")))=0),"OK","Wrong format"))</f>
        <v/>
      </c>
      <c r="AY268" s="30">
        <f>IF(NOT(COUNTA(A268:AE268)&gt;0),"",IF(BE268&lt;&gt;"","✖ "&amp;LEFT(BE268,LEN(BE268)-2),IF(BD268&gt;0,"✔ Ready — client + "&amp;BD268&amp;" service(s)","✔ Ready — client only")))</f>
        <v/>
      </c>
      <c r="AZ268" s="31">
        <f>UPPER(SUBSTITUTE(TRIM(F268)," ",""))</f>
        <v/>
      </c>
      <c r="BA268" s="31">
        <f>UPPER(SUBSTITUTE(TRIM(E268)," ",""))</f>
        <v/>
      </c>
      <c r="BB268" s="31">
        <f>IF(D268&lt;&gt;"",D268,IFERROR(VLOOKUP(MID(AS268,4,1),Lists!$E$2:$F$8,2,FALSE),""))</f>
        <v/>
      </c>
      <c r="BC268" s="31">
        <f>IFERROR(VLOOKUP(BB268,Lists!$A$2:$C$12,3,FALSE),"")</f>
        <v/>
      </c>
      <c r="BD268" s="31">
        <f>COUNTIF(W268:AC268,"Yes")</f>
        <v/>
      </c>
      <c r="BE268" s="31">
        <f>IF(TRIM(B268)="","Legal name missing; ","")&amp;IF(AND(AV268&lt;&gt;"",AV268&lt;&gt;"OK"),"GSTIN: "&amp;AV268&amp;"; ","")&amp;IF(AND(AW268&lt;&gt;"",AW268&lt;&gt;"OK"),"PAN wrong format; ","")&amp;IF(AND(BA268&lt;&gt;"",LEN(AZ268)=15,MID(AZ268,3,10)&lt;&gt;BA268),"PAN does not match GSTIN; ","")&amp;IF(AND(AX268&lt;&gt;"",AX268&lt;&gt;"OK"),"TAN wrong format; ","")&amp;IF(AS268="","PAN missing; ","")&amp;IF(BB268="","Entity type missing; ","")&amp;IF(AND(AZ268&lt;&gt;"",COUNTIF($AZ$6:$AZ$1005,AZ268)&gt;1),"GSTIN repeated in this sheet; ","")&amp;IF(AND(AS268&lt;&gt;"",COUNTIF($AS$6:$AS$1005,AS268)&gt;1),"PAN repeated in this sheet (same client? put extra GSTINs in Other GSTINs); ","")&amp;IF(AND(BD268&gt;0,V268=""),"Financial year missing; ","")&amp;IF(AND(BD268=0,V268&lt;&gt;""),"Financial year given but no service is Yes; ","")&amp;IF(AND(W268="Yes",AZ268=""),"GST needs a GSTIN; ","")&amp;IF(AND(W268="Yes",X268=""),"GST return frequency missing; ","")&amp;IF(AND(Y268="Yes",TRIM(H268)=""),"TDS needs a TAN; ","")&amp;IF(AND(AA268="Yes",BC268&lt;&gt;"",BC268&lt;&gt;"company",BC268&lt;&gt;"llp"),"ROC is only for a company / LLP; ","")&amp;IF(AND(AA268="Yes",OR(BC268="company",BC268="llp"),TRIM(I268)=""),"ROC needs the CIN / LLPIN; ","")&amp;IF((TRIM(AF268)="")&lt;&gt;(TRIM(AG268)=""),"GST login needs both user ID and password; ","")&amp;IF((TRIM(AH268)="")&lt;&gt;(TRIM(AI268)=""),"Income-tax login needs both user ID and password; ","")&amp;IF((TRIM(AJ268)="")&lt;&gt;(TRIM(AK268)=""),"Income-tax login needs both user ID and password; ","")&amp;IF((TRIM(AL268)="")&lt;&gt;(TRIM(AM268)=""),"TRACES login needs both user ID and password; ","")&amp;IF((TRIM(AN268)="")&lt;&gt;(TRIM(AO268)=""),"MCA login needs both user ID and password; ","")&amp;IF((TRIM(AP268)="")&lt;&gt;(TRIM(AQ268)=""),"E-way bill login needs both user ID and password; ","")</f>
        <v/>
      </c>
    </row>
    <row r="269">
      <c r="A269" s="32" t="n"/>
      <c r="B269" s="33" t="n"/>
      <c r="C269" s="33" t="n"/>
      <c r="D269" s="33" t="n"/>
      <c r="E269" s="32" t="n"/>
      <c r="F269" s="32" t="n"/>
      <c r="G269" s="32" t="n"/>
      <c r="H269" s="32" t="n"/>
      <c r="I269" s="32" t="n"/>
      <c r="J269" s="34" t="n"/>
      <c r="K269" s="33" t="n"/>
      <c r="L269" s="32" t="n"/>
      <c r="M269" s="33" t="n"/>
      <c r="N269" s="33" t="n"/>
      <c r="O269" s="33" t="n"/>
      <c r="P269" s="32" t="n"/>
      <c r="Q269" s="33" t="n"/>
      <c r="R269" s="33" t="n"/>
      <c r="S269" s="33" t="n"/>
      <c r="T269" s="33" t="n"/>
      <c r="U269" s="32" t="n"/>
      <c r="V269" s="33" t="n"/>
      <c r="W269" s="33" t="n"/>
      <c r="X269" s="33" t="n"/>
      <c r="Y269" s="33" t="n"/>
      <c r="Z269" s="33" t="n"/>
      <c r="AA269" s="33" t="n"/>
      <c r="AB269" s="33" t="n"/>
      <c r="AC269" s="33" t="n"/>
      <c r="AD269" s="33" t="n"/>
      <c r="AE269" s="33" t="n"/>
      <c r="AF269" s="32" t="n"/>
      <c r="AG269" s="32" t="n"/>
      <c r="AH269" s="32" t="n"/>
      <c r="AI269" s="32" t="n"/>
      <c r="AJ269" s="32" t="n"/>
      <c r="AK269" s="32" t="n"/>
      <c r="AL269" s="32" t="n"/>
      <c r="AM269" s="32" t="n"/>
      <c r="AN269" s="32" t="n"/>
      <c r="AO269" s="32" t="n"/>
      <c r="AP269" s="32" t="n"/>
      <c r="AQ269" s="32" t="n"/>
      <c r="AR269" s="29">
        <f>IF(NOT(COUNTA(A269:AE269)&gt;0),"",IF(A269="","New client","Update"))</f>
        <v/>
      </c>
      <c r="AS269" s="29">
        <f>IF(BA269&lt;&gt;"",BA269,IF(LEN(AZ269)=15,MID(AZ269,3,10),""))</f>
        <v/>
      </c>
      <c r="AT269" s="29">
        <f>IF(BB269="","",BB269&amp;IF(D269="","  (guessed from PAN)",""))</f>
        <v/>
      </c>
      <c r="AU269" s="29">
        <f>IF(AZ269="","",IFERROR(INDEX(Lists!$L$2:$L$38,MATCH(LEFT(AZ269,2),Lists!$K$2:$K$38,0)),"Unknown code"))</f>
        <v/>
      </c>
      <c r="AV269" s="29">
        <f>IF(AZ269="","",IFERROR(IF(NOT(AND(LEN(AZ269)=15,ISNUMBER(MATCH(LEFT(AZ269,2),Lists!$K$2:$K$38,0)),SUMPRODUCT(--ISERROR(FIND(MID(MID(AZ269,3,10),{1,2,3,4,5,10},1),"ABCDEFGHIJKLMNOPQRSTUVWXYZ")))=0,SUMPRODUCT(--ISERROR(FIND(MID(MID(AZ269,3,10),{6,7,8,9},1),"0123456789")))=0,ISNUMBER(FIND(MID(AZ269,13,1),"123456789ABCDEFGHIJKLMNOPQRSTUVWXYZ")),MID(AZ269,14,1)="Z")),"Wrong format",IF(MID("0123456789ABCDEFGHIJKLMNOPQRSTUVWXYZ",MOD(36-MOD(SUMPRODUCT(INT((FIND(MID(AZ269,{1,2,3,4,5,6,7,8,9,10,11,12,13,14},1),"0123456789ABCDEFGHIJKLMNOPQRSTUVWXYZ")-1)*{1,2,1,2,1,2,1,2,1,2,1,2,1,2}/36)+MOD((FIND(MID(AZ269,{1,2,3,4,5,6,7,8,9,10,11,12,13,14},1),"0123456789ABCDEFGHIJKLMNOPQRSTUVWXYZ")-1)*{1,2,1,2,1,2,1,2,1,2,1,2,1,2},36)),36),36)+1,1)=MID(AZ269,15,1),"OK","Typo? check digit wrong")),"Wrong format"))</f>
        <v/>
      </c>
      <c r="AW269" s="29">
        <f>IF(BA269="","",IF(AND(LEN(BA269)=10,SUMPRODUCT(--ISERROR(FIND(MID(BA269,{1,2,3,4,5,10},1),"ABCDEFGHIJKLMNOPQRSTUVWXYZ")))=0,SUMPRODUCT(--ISERROR(FIND(MID(BA269,{6,7,8,9},1),"0123456789")))=0),"OK","Wrong format"))</f>
        <v/>
      </c>
      <c r="AX269" s="29">
        <f>IF(TRIM(H269)="","",IF(AND(LEN(UPPER(TRIM(H269)))=10,SUMPRODUCT(--ISERROR(FIND(MID(UPPER(TRIM(H269)),{1,2,3,4,10},1),"ABCDEFGHIJKLMNOPQRSTUVWXYZ")))=0,SUMPRODUCT(--ISERROR(FIND(MID(UPPER(TRIM(H269)),{5,6,7,8,9},1),"0123456789")))=0),"OK","Wrong format"))</f>
        <v/>
      </c>
      <c r="AY269" s="30">
        <f>IF(NOT(COUNTA(A269:AE269)&gt;0),"",IF(BE269&lt;&gt;"","✖ "&amp;LEFT(BE269,LEN(BE269)-2),IF(BD269&gt;0,"✔ Ready — client + "&amp;BD269&amp;" service(s)","✔ Ready — client only")))</f>
        <v/>
      </c>
      <c r="AZ269" s="31">
        <f>UPPER(SUBSTITUTE(TRIM(F269)," ",""))</f>
        <v/>
      </c>
      <c r="BA269" s="31">
        <f>UPPER(SUBSTITUTE(TRIM(E269)," ",""))</f>
        <v/>
      </c>
      <c r="BB269" s="31">
        <f>IF(D269&lt;&gt;"",D269,IFERROR(VLOOKUP(MID(AS269,4,1),Lists!$E$2:$F$8,2,FALSE),""))</f>
        <v/>
      </c>
      <c r="BC269" s="31">
        <f>IFERROR(VLOOKUP(BB269,Lists!$A$2:$C$12,3,FALSE),"")</f>
        <v/>
      </c>
      <c r="BD269" s="31">
        <f>COUNTIF(W269:AC269,"Yes")</f>
        <v/>
      </c>
      <c r="BE269" s="31">
        <f>IF(TRIM(B269)="","Legal name missing; ","")&amp;IF(AND(AV269&lt;&gt;"",AV269&lt;&gt;"OK"),"GSTIN: "&amp;AV269&amp;"; ","")&amp;IF(AND(AW269&lt;&gt;"",AW269&lt;&gt;"OK"),"PAN wrong format; ","")&amp;IF(AND(BA269&lt;&gt;"",LEN(AZ269)=15,MID(AZ269,3,10)&lt;&gt;BA269),"PAN does not match GSTIN; ","")&amp;IF(AND(AX269&lt;&gt;"",AX269&lt;&gt;"OK"),"TAN wrong format; ","")&amp;IF(AS269="","PAN missing; ","")&amp;IF(BB269="","Entity type missing; ","")&amp;IF(AND(AZ269&lt;&gt;"",COUNTIF($AZ$6:$AZ$1005,AZ269)&gt;1),"GSTIN repeated in this sheet; ","")&amp;IF(AND(AS269&lt;&gt;"",COUNTIF($AS$6:$AS$1005,AS269)&gt;1),"PAN repeated in this sheet (same client? put extra GSTINs in Other GSTINs); ","")&amp;IF(AND(BD269&gt;0,V269=""),"Financial year missing; ","")&amp;IF(AND(BD269=0,V269&lt;&gt;""),"Financial year given but no service is Yes; ","")&amp;IF(AND(W269="Yes",AZ269=""),"GST needs a GSTIN; ","")&amp;IF(AND(W269="Yes",X269=""),"GST return frequency missing; ","")&amp;IF(AND(Y269="Yes",TRIM(H269)=""),"TDS needs a TAN; ","")&amp;IF(AND(AA269="Yes",BC269&lt;&gt;"",BC269&lt;&gt;"company",BC269&lt;&gt;"llp"),"ROC is only for a company / LLP; ","")&amp;IF(AND(AA269="Yes",OR(BC269="company",BC269="llp"),TRIM(I269)=""),"ROC needs the CIN / LLPIN; ","")&amp;IF((TRIM(AF269)="")&lt;&gt;(TRIM(AG269)=""),"GST login needs both user ID and password; ","")&amp;IF((TRIM(AH269)="")&lt;&gt;(TRIM(AI269)=""),"Income-tax login needs both user ID and password; ","")&amp;IF((TRIM(AJ269)="")&lt;&gt;(TRIM(AK269)=""),"Income-tax login needs both user ID and password; ","")&amp;IF((TRIM(AL269)="")&lt;&gt;(TRIM(AM269)=""),"TRACES login needs both user ID and password; ","")&amp;IF((TRIM(AN269)="")&lt;&gt;(TRIM(AO269)=""),"MCA login needs both user ID and password; ","")&amp;IF((TRIM(AP269)="")&lt;&gt;(TRIM(AQ269)=""),"E-way bill login needs both user ID and password; ","")</f>
        <v/>
      </c>
    </row>
    <row r="270">
      <c r="A270" s="32" t="n"/>
      <c r="B270" s="33" t="n"/>
      <c r="C270" s="33" t="n"/>
      <c r="D270" s="33" t="n"/>
      <c r="E270" s="32" t="n"/>
      <c r="F270" s="32" t="n"/>
      <c r="G270" s="32" t="n"/>
      <c r="H270" s="32" t="n"/>
      <c r="I270" s="32" t="n"/>
      <c r="J270" s="34" t="n"/>
      <c r="K270" s="33" t="n"/>
      <c r="L270" s="32" t="n"/>
      <c r="M270" s="33" t="n"/>
      <c r="N270" s="33" t="n"/>
      <c r="O270" s="33" t="n"/>
      <c r="P270" s="32" t="n"/>
      <c r="Q270" s="33" t="n"/>
      <c r="R270" s="33" t="n"/>
      <c r="S270" s="33" t="n"/>
      <c r="T270" s="33" t="n"/>
      <c r="U270" s="32" t="n"/>
      <c r="V270" s="33" t="n"/>
      <c r="W270" s="33" t="n"/>
      <c r="X270" s="33" t="n"/>
      <c r="Y270" s="33" t="n"/>
      <c r="Z270" s="33" t="n"/>
      <c r="AA270" s="33" t="n"/>
      <c r="AB270" s="33" t="n"/>
      <c r="AC270" s="33" t="n"/>
      <c r="AD270" s="33" t="n"/>
      <c r="AE270" s="33" t="n"/>
      <c r="AF270" s="32" t="n"/>
      <c r="AG270" s="32" t="n"/>
      <c r="AH270" s="32" t="n"/>
      <c r="AI270" s="32" t="n"/>
      <c r="AJ270" s="32" t="n"/>
      <c r="AK270" s="32" t="n"/>
      <c r="AL270" s="32" t="n"/>
      <c r="AM270" s="32" t="n"/>
      <c r="AN270" s="32" t="n"/>
      <c r="AO270" s="32" t="n"/>
      <c r="AP270" s="32" t="n"/>
      <c r="AQ270" s="32" t="n"/>
      <c r="AR270" s="29">
        <f>IF(NOT(COUNTA(A270:AE270)&gt;0),"",IF(A270="","New client","Update"))</f>
        <v/>
      </c>
      <c r="AS270" s="29">
        <f>IF(BA270&lt;&gt;"",BA270,IF(LEN(AZ270)=15,MID(AZ270,3,10),""))</f>
        <v/>
      </c>
      <c r="AT270" s="29">
        <f>IF(BB270="","",BB270&amp;IF(D270="","  (guessed from PAN)",""))</f>
        <v/>
      </c>
      <c r="AU270" s="29">
        <f>IF(AZ270="","",IFERROR(INDEX(Lists!$L$2:$L$38,MATCH(LEFT(AZ270,2),Lists!$K$2:$K$38,0)),"Unknown code"))</f>
        <v/>
      </c>
      <c r="AV270" s="29">
        <f>IF(AZ270="","",IFERROR(IF(NOT(AND(LEN(AZ270)=15,ISNUMBER(MATCH(LEFT(AZ270,2),Lists!$K$2:$K$38,0)),SUMPRODUCT(--ISERROR(FIND(MID(MID(AZ270,3,10),{1,2,3,4,5,10},1),"ABCDEFGHIJKLMNOPQRSTUVWXYZ")))=0,SUMPRODUCT(--ISERROR(FIND(MID(MID(AZ270,3,10),{6,7,8,9},1),"0123456789")))=0,ISNUMBER(FIND(MID(AZ270,13,1),"123456789ABCDEFGHIJKLMNOPQRSTUVWXYZ")),MID(AZ270,14,1)="Z")),"Wrong format",IF(MID("0123456789ABCDEFGHIJKLMNOPQRSTUVWXYZ",MOD(36-MOD(SUMPRODUCT(INT((FIND(MID(AZ270,{1,2,3,4,5,6,7,8,9,10,11,12,13,14},1),"0123456789ABCDEFGHIJKLMNOPQRSTUVWXYZ")-1)*{1,2,1,2,1,2,1,2,1,2,1,2,1,2}/36)+MOD((FIND(MID(AZ270,{1,2,3,4,5,6,7,8,9,10,11,12,13,14},1),"0123456789ABCDEFGHIJKLMNOPQRSTUVWXYZ")-1)*{1,2,1,2,1,2,1,2,1,2,1,2,1,2},36)),36),36)+1,1)=MID(AZ270,15,1),"OK","Typo? check digit wrong")),"Wrong format"))</f>
        <v/>
      </c>
      <c r="AW270" s="29">
        <f>IF(BA270="","",IF(AND(LEN(BA270)=10,SUMPRODUCT(--ISERROR(FIND(MID(BA270,{1,2,3,4,5,10},1),"ABCDEFGHIJKLMNOPQRSTUVWXYZ")))=0,SUMPRODUCT(--ISERROR(FIND(MID(BA270,{6,7,8,9},1),"0123456789")))=0),"OK","Wrong format"))</f>
        <v/>
      </c>
      <c r="AX270" s="29">
        <f>IF(TRIM(H270)="","",IF(AND(LEN(UPPER(TRIM(H270)))=10,SUMPRODUCT(--ISERROR(FIND(MID(UPPER(TRIM(H270)),{1,2,3,4,10},1),"ABCDEFGHIJKLMNOPQRSTUVWXYZ")))=0,SUMPRODUCT(--ISERROR(FIND(MID(UPPER(TRIM(H270)),{5,6,7,8,9},1),"0123456789")))=0),"OK","Wrong format"))</f>
        <v/>
      </c>
      <c r="AY270" s="30">
        <f>IF(NOT(COUNTA(A270:AE270)&gt;0),"",IF(BE270&lt;&gt;"","✖ "&amp;LEFT(BE270,LEN(BE270)-2),IF(BD270&gt;0,"✔ Ready — client + "&amp;BD270&amp;" service(s)","✔ Ready — client only")))</f>
        <v/>
      </c>
      <c r="AZ270" s="31">
        <f>UPPER(SUBSTITUTE(TRIM(F270)," ",""))</f>
        <v/>
      </c>
      <c r="BA270" s="31">
        <f>UPPER(SUBSTITUTE(TRIM(E270)," ",""))</f>
        <v/>
      </c>
      <c r="BB270" s="31">
        <f>IF(D270&lt;&gt;"",D270,IFERROR(VLOOKUP(MID(AS270,4,1),Lists!$E$2:$F$8,2,FALSE),""))</f>
        <v/>
      </c>
      <c r="BC270" s="31">
        <f>IFERROR(VLOOKUP(BB270,Lists!$A$2:$C$12,3,FALSE),"")</f>
        <v/>
      </c>
      <c r="BD270" s="31">
        <f>COUNTIF(W270:AC270,"Yes")</f>
        <v/>
      </c>
      <c r="BE270" s="31">
        <f>IF(TRIM(B270)="","Legal name missing; ","")&amp;IF(AND(AV270&lt;&gt;"",AV270&lt;&gt;"OK"),"GSTIN: "&amp;AV270&amp;"; ","")&amp;IF(AND(AW270&lt;&gt;"",AW270&lt;&gt;"OK"),"PAN wrong format; ","")&amp;IF(AND(BA270&lt;&gt;"",LEN(AZ270)=15,MID(AZ270,3,10)&lt;&gt;BA270),"PAN does not match GSTIN; ","")&amp;IF(AND(AX270&lt;&gt;"",AX270&lt;&gt;"OK"),"TAN wrong format; ","")&amp;IF(AS270="","PAN missing; ","")&amp;IF(BB270="","Entity type missing; ","")&amp;IF(AND(AZ270&lt;&gt;"",COUNTIF($AZ$6:$AZ$1005,AZ270)&gt;1),"GSTIN repeated in this sheet; ","")&amp;IF(AND(AS270&lt;&gt;"",COUNTIF($AS$6:$AS$1005,AS270)&gt;1),"PAN repeated in this sheet (same client? put extra GSTINs in Other GSTINs); ","")&amp;IF(AND(BD270&gt;0,V270=""),"Financial year missing; ","")&amp;IF(AND(BD270=0,V270&lt;&gt;""),"Financial year given but no service is Yes; ","")&amp;IF(AND(W270="Yes",AZ270=""),"GST needs a GSTIN; ","")&amp;IF(AND(W270="Yes",X270=""),"GST return frequency missing; ","")&amp;IF(AND(Y270="Yes",TRIM(H270)=""),"TDS needs a TAN; ","")&amp;IF(AND(AA270="Yes",BC270&lt;&gt;"",BC270&lt;&gt;"company",BC270&lt;&gt;"llp"),"ROC is only for a company / LLP; ","")&amp;IF(AND(AA270="Yes",OR(BC270="company",BC270="llp"),TRIM(I270)=""),"ROC needs the CIN / LLPIN; ","")&amp;IF((TRIM(AF270)="")&lt;&gt;(TRIM(AG270)=""),"GST login needs both user ID and password; ","")&amp;IF((TRIM(AH270)="")&lt;&gt;(TRIM(AI270)=""),"Income-tax login needs both user ID and password; ","")&amp;IF((TRIM(AJ270)="")&lt;&gt;(TRIM(AK270)=""),"Income-tax login needs both user ID and password; ","")&amp;IF((TRIM(AL270)="")&lt;&gt;(TRIM(AM270)=""),"TRACES login needs both user ID and password; ","")&amp;IF((TRIM(AN270)="")&lt;&gt;(TRIM(AO270)=""),"MCA login needs both user ID and password; ","")&amp;IF((TRIM(AP270)="")&lt;&gt;(TRIM(AQ270)=""),"E-way bill login needs both user ID and password; ","")</f>
        <v/>
      </c>
    </row>
    <row r="271">
      <c r="A271" s="32" t="n"/>
      <c r="B271" s="33" t="n"/>
      <c r="C271" s="33" t="n"/>
      <c r="D271" s="33" t="n"/>
      <c r="E271" s="32" t="n"/>
      <c r="F271" s="32" t="n"/>
      <c r="G271" s="32" t="n"/>
      <c r="H271" s="32" t="n"/>
      <c r="I271" s="32" t="n"/>
      <c r="J271" s="34" t="n"/>
      <c r="K271" s="33" t="n"/>
      <c r="L271" s="32" t="n"/>
      <c r="M271" s="33" t="n"/>
      <c r="N271" s="33" t="n"/>
      <c r="O271" s="33" t="n"/>
      <c r="P271" s="32" t="n"/>
      <c r="Q271" s="33" t="n"/>
      <c r="R271" s="33" t="n"/>
      <c r="S271" s="33" t="n"/>
      <c r="T271" s="33" t="n"/>
      <c r="U271" s="32" t="n"/>
      <c r="V271" s="33" t="n"/>
      <c r="W271" s="33" t="n"/>
      <c r="X271" s="33" t="n"/>
      <c r="Y271" s="33" t="n"/>
      <c r="Z271" s="33" t="n"/>
      <c r="AA271" s="33" t="n"/>
      <c r="AB271" s="33" t="n"/>
      <c r="AC271" s="33" t="n"/>
      <c r="AD271" s="33" t="n"/>
      <c r="AE271" s="33" t="n"/>
      <c r="AF271" s="32" t="n"/>
      <c r="AG271" s="32" t="n"/>
      <c r="AH271" s="32" t="n"/>
      <c r="AI271" s="32" t="n"/>
      <c r="AJ271" s="32" t="n"/>
      <c r="AK271" s="32" t="n"/>
      <c r="AL271" s="32" t="n"/>
      <c r="AM271" s="32" t="n"/>
      <c r="AN271" s="32" t="n"/>
      <c r="AO271" s="32" t="n"/>
      <c r="AP271" s="32" t="n"/>
      <c r="AQ271" s="32" t="n"/>
      <c r="AR271" s="29">
        <f>IF(NOT(COUNTA(A271:AE271)&gt;0),"",IF(A271="","New client","Update"))</f>
        <v/>
      </c>
      <c r="AS271" s="29">
        <f>IF(BA271&lt;&gt;"",BA271,IF(LEN(AZ271)=15,MID(AZ271,3,10),""))</f>
        <v/>
      </c>
      <c r="AT271" s="29">
        <f>IF(BB271="","",BB271&amp;IF(D271="","  (guessed from PAN)",""))</f>
        <v/>
      </c>
      <c r="AU271" s="29">
        <f>IF(AZ271="","",IFERROR(INDEX(Lists!$L$2:$L$38,MATCH(LEFT(AZ271,2),Lists!$K$2:$K$38,0)),"Unknown code"))</f>
        <v/>
      </c>
      <c r="AV271" s="29">
        <f>IF(AZ271="","",IFERROR(IF(NOT(AND(LEN(AZ271)=15,ISNUMBER(MATCH(LEFT(AZ271,2),Lists!$K$2:$K$38,0)),SUMPRODUCT(--ISERROR(FIND(MID(MID(AZ271,3,10),{1,2,3,4,5,10},1),"ABCDEFGHIJKLMNOPQRSTUVWXYZ")))=0,SUMPRODUCT(--ISERROR(FIND(MID(MID(AZ271,3,10),{6,7,8,9},1),"0123456789")))=0,ISNUMBER(FIND(MID(AZ271,13,1),"123456789ABCDEFGHIJKLMNOPQRSTUVWXYZ")),MID(AZ271,14,1)="Z")),"Wrong format",IF(MID("0123456789ABCDEFGHIJKLMNOPQRSTUVWXYZ",MOD(36-MOD(SUMPRODUCT(INT((FIND(MID(AZ271,{1,2,3,4,5,6,7,8,9,10,11,12,13,14},1),"0123456789ABCDEFGHIJKLMNOPQRSTUVWXYZ")-1)*{1,2,1,2,1,2,1,2,1,2,1,2,1,2}/36)+MOD((FIND(MID(AZ271,{1,2,3,4,5,6,7,8,9,10,11,12,13,14},1),"0123456789ABCDEFGHIJKLMNOPQRSTUVWXYZ")-1)*{1,2,1,2,1,2,1,2,1,2,1,2,1,2},36)),36),36)+1,1)=MID(AZ271,15,1),"OK","Typo? check digit wrong")),"Wrong format"))</f>
        <v/>
      </c>
      <c r="AW271" s="29">
        <f>IF(BA271="","",IF(AND(LEN(BA271)=10,SUMPRODUCT(--ISERROR(FIND(MID(BA271,{1,2,3,4,5,10},1),"ABCDEFGHIJKLMNOPQRSTUVWXYZ")))=0,SUMPRODUCT(--ISERROR(FIND(MID(BA271,{6,7,8,9},1),"0123456789")))=0),"OK","Wrong format"))</f>
        <v/>
      </c>
      <c r="AX271" s="29">
        <f>IF(TRIM(H271)="","",IF(AND(LEN(UPPER(TRIM(H271)))=10,SUMPRODUCT(--ISERROR(FIND(MID(UPPER(TRIM(H271)),{1,2,3,4,10},1),"ABCDEFGHIJKLMNOPQRSTUVWXYZ")))=0,SUMPRODUCT(--ISERROR(FIND(MID(UPPER(TRIM(H271)),{5,6,7,8,9},1),"0123456789")))=0),"OK","Wrong format"))</f>
        <v/>
      </c>
      <c r="AY271" s="30">
        <f>IF(NOT(COUNTA(A271:AE271)&gt;0),"",IF(BE271&lt;&gt;"","✖ "&amp;LEFT(BE271,LEN(BE271)-2),IF(BD271&gt;0,"✔ Ready — client + "&amp;BD271&amp;" service(s)","✔ Ready — client only")))</f>
        <v/>
      </c>
      <c r="AZ271" s="31">
        <f>UPPER(SUBSTITUTE(TRIM(F271)," ",""))</f>
        <v/>
      </c>
      <c r="BA271" s="31">
        <f>UPPER(SUBSTITUTE(TRIM(E271)," ",""))</f>
        <v/>
      </c>
      <c r="BB271" s="31">
        <f>IF(D271&lt;&gt;"",D271,IFERROR(VLOOKUP(MID(AS271,4,1),Lists!$E$2:$F$8,2,FALSE),""))</f>
        <v/>
      </c>
      <c r="BC271" s="31">
        <f>IFERROR(VLOOKUP(BB271,Lists!$A$2:$C$12,3,FALSE),"")</f>
        <v/>
      </c>
      <c r="BD271" s="31">
        <f>COUNTIF(W271:AC271,"Yes")</f>
        <v/>
      </c>
      <c r="BE271" s="31">
        <f>IF(TRIM(B271)="","Legal name missing; ","")&amp;IF(AND(AV271&lt;&gt;"",AV271&lt;&gt;"OK"),"GSTIN: "&amp;AV271&amp;"; ","")&amp;IF(AND(AW271&lt;&gt;"",AW271&lt;&gt;"OK"),"PAN wrong format; ","")&amp;IF(AND(BA271&lt;&gt;"",LEN(AZ271)=15,MID(AZ271,3,10)&lt;&gt;BA271),"PAN does not match GSTIN; ","")&amp;IF(AND(AX271&lt;&gt;"",AX271&lt;&gt;"OK"),"TAN wrong format; ","")&amp;IF(AS271="","PAN missing; ","")&amp;IF(BB271="","Entity type missing; ","")&amp;IF(AND(AZ271&lt;&gt;"",COUNTIF($AZ$6:$AZ$1005,AZ271)&gt;1),"GSTIN repeated in this sheet; ","")&amp;IF(AND(AS271&lt;&gt;"",COUNTIF($AS$6:$AS$1005,AS271)&gt;1),"PAN repeated in this sheet (same client? put extra GSTINs in Other GSTINs); ","")&amp;IF(AND(BD271&gt;0,V271=""),"Financial year missing; ","")&amp;IF(AND(BD271=0,V271&lt;&gt;""),"Financial year given but no service is Yes; ","")&amp;IF(AND(W271="Yes",AZ271=""),"GST needs a GSTIN; ","")&amp;IF(AND(W271="Yes",X271=""),"GST return frequency missing; ","")&amp;IF(AND(Y271="Yes",TRIM(H271)=""),"TDS needs a TAN; ","")&amp;IF(AND(AA271="Yes",BC271&lt;&gt;"",BC271&lt;&gt;"company",BC271&lt;&gt;"llp"),"ROC is only for a company / LLP; ","")&amp;IF(AND(AA271="Yes",OR(BC271="company",BC271="llp"),TRIM(I271)=""),"ROC needs the CIN / LLPIN; ","")&amp;IF((TRIM(AF271)="")&lt;&gt;(TRIM(AG271)=""),"GST login needs both user ID and password; ","")&amp;IF((TRIM(AH271)="")&lt;&gt;(TRIM(AI271)=""),"Income-tax login needs both user ID and password; ","")&amp;IF((TRIM(AJ271)="")&lt;&gt;(TRIM(AK271)=""),"Income-tax login needs both user ID and password; ","")&amp;IF((TRIM(AL271)="")&lt;&gt;(TRIM(AM271)=""),"TRACES login needs both user ID and password; ","")&amp;IF((TRIM(AN271)="")&lt;&gt;(TRIM(AO271)=""),"MCA login needs both user ID and password; ","")&amp;IF((TRIM(AP271)="")&lt;&gt;(TRIM(AQ271)=""),"E-way bill login needs both user ID and password; ","")</f>
        <v/>
      </c>
    </row>
    <row r="272">
      <c r="A272" s="32" t="n"/>
      <c r="B272" s="33" t="n"/>
      <c r="C272" s="33" t="n"/>
      <c r="D272" s="33" t="n"/>
      <c r="E272" s="32" t="n"/>
      <c r="F272" s="32" t="n"/>
      <c r="G272" s="32" t="n"/>
      <c r="H272" s="32" t="n"/>
      <c r="I272" s="32" t="n"/>
      <c r="J272" s="34" t="n"/>
      <c r="K272" s="33" t="n"/>
      <c r="L272" s="32" t="n"/>
      <c r="M272" s="33" t="n"/>
      <c r="N272" s="33" t="n"/>
      <c r="O272" s="33" t="n"/>
      <c r="P272" s="32" t="n"/>
      <c r="Q272" s="33" t="n"/>
      <c r="R272" s="33" t="n"/>
      <c r="S272" s="33" t="n"/>
      <c r="T272" s="33" t="n"/>
      <c r="U272" s="32" t="n"/>
      <c r="V272" s="33" t="n"/>
      <c r="W272" s="33" t="n"/>
      <c r="X272" s="33" t="n"/>
      <c r="Y272" s="33" t="n"/>
      <c r="Z272" s="33" t="n"/>
      <c r="AA272" s="33" t="n"/>
      <c r="AB272" s="33" t="n"/>
      <c r="AC272" s="33" t="n"/>
      <c r="AD272" s="33" t="n"/>
      <c r="AE272" s="33" t="n"/>
      <c r="AF272" s="32" t="n"/>
      <c r="AG272" s="32" t="n"/>
      <c r="AH272" s="32" t="n"/>
      <c r="AI272" s="32" t="n"/>
      <c r="AJ272" s="32" t="n"/>
      <c r="AK272" s="32" t="n"/>
      <c r="AL272" s="32" t="n"/>
      <c r="AM272" s="32" t="n"/>
      <c r="AN272" s="32" t="n"/>
      <c r="AO272" s="32" t="n"/>
      <c r="AP272" s="32" t="n"/>
      <c r="AQ272" s="32" t="n"/>
      <c r="AR272" s="29">
        <f>IF(NOT(COUNTA(A272:AE272)&gt;0),"",IF(A272="","New client","Update"))</f>
        <v/>
      </c>
      <c r="AS272" s="29">
        <f>IF(BA272&lt;&gt;"",BA272,IF(LEN(AZ272)=15,MID(AZ272,3,10),""))</f>
        <v/>
      </c>
      <c r="AT272" s="29">
        <f>IF(BB272="","",BB272&amp;IF(D272="","  (guessed from PAN)",""))</f>
        <v/>
      </c>
      <c r="AU272" s="29">
        <f>IF(AZ272="","",IFERROR(INDEX(Lists!$L$2:$L$38,MATCH(LEFT(AZ272,2),Lists!$K$2:$K$38,0)),"Unknown code"))</f>
        <v/>
      </c>
      <c r="AV272" s="29">
        <f>IF(AZ272="","",IFERROR(IF(NOT(AND(LEN(AZ272)=15,ISNUMBER(MATCH(LEFT(AZ272,2),Lists!$K$2:$K$38,0)),SUMPRODUCT(--ISERROR(FIND(MID(MID(AZ272,3,10),{1,2,3,4,5,10},1),"ABCDEFGHIJKLMNOPQRSTUVWXYZ")))=0,SUMPRODUCT(--ISERROR(FIND(MID(MID(AZ272,3,10),{6,7,8,9},1),"0123456789")))=0,ISNUMBER(FIND(MID(AZ272,13,1),"123456789ABCDEFGHIJKLMNOPQRSTUVWXYZ")),MID(AZ272,14,1)="Z")),"Wrong format",IF(MID("0123456789ABCDEFGHIJKLMNOPQRSTUVWXYZ",MOD(36-MOD(SUMPRODUCT(INT((FIND(MID(AZ272,{1,2,3,4,5,6,7,8,9,10,11,12,13,14},1),"0123456789ABCDEFGHIJKLMNOPQRSTUVWXYZ")-1)*{1,2,1,2,1,2,1,2,1,2,1,2,1,2}/36)+MOD((FIND(MID(AZ272,{1,2,3,4,5,6,7,8,9,10,11,12,13,14},1),"0123456789ABCDEFGHIJKLMNOPQRSTUVWXYZ")-1)*{1,2,1,2,1,2,1,2,1,2,1,2,1,2},36)),36),36)+1,1)=MID(AZ272,15,1),"OK","Typo? check digit wrong")),"Wrong format"))</f>
        <v/>
      </c>
      <c r="AW272" s="29">
        <f>IF(BA272="","",IF(AND(LEN(BA272)=10,SUMPRODUCT(--ISERROR(FIND(MID(BA272,{1,2,3,4,5,10},1),"ABCDEFGHIJKLMNOPQRSTUVWXYZ")))=0,SUMPRODUCT(--ISERROR(FIND(MID(BA272,{6,7,8,9},1),"0123456789")))=0),"OK","Wrong format"))</f>
        <v/>
      </c>
      <c r="AX272" s="29">
        <f>IF(TRIM(H272)="","",IF(AND(LEN(UPPER(TRIM(H272)))=10,SUMPRODUCT(--ISERROR(FIND(MID(UPPER(TRIM(H272)),{1,2,3,4,10},1),"ABCDEFGHIJKLMNOPQRSTUVWXYZ")))=0,SUMPRODUCT(--ISERROR(FIND(MID(UPPER(TRIM(H272)),{5,6,7,8,9},1),"0123456789")))=0),"OK","Wrong format"))</f>
        <v/>
      </c>
      <c r="AY272" s="30">
        <f>IF(NOT(COUNTA(A272:AE272)&gt;0),"",IF(BE272&lt;&gt;"","✖ "&amp;LEFT(BE272,LEN(BE272)-2),IF(BD272&gt;0,"✔ Ready — client + "&amp;BD272&amp;" service(s)","✔ Ready — client only")))</f>
        <v/>
      </c>
      <c r="AZ272" s="31">
        <f>UPPER(SUBSTITUTE(TRIM(F272)," ",""))</f>
        <v/>
      </c>
      <c r="BA272" s="31">
        <f>UPPER(SUBSTITUTE(TRIM(E272)," ",""))</f>
        <v/>
      </c>
      <c r="BB272" s="31">
        <f>IF(D272&lt;&gt;"",D272,IFERROR(VLOOKUP(MID(AS272,4,1),Lists!$E$2:$F$8,2,FALSE),""))</f>
        <v/>
      </c>
      <c r="BC272" s="31">
        <f>IFERROR(VLOOKUP(BB272,Lists!$A$2:$C$12,3,FALSE),"")</f>
        <v/>
      </c>
      <c r="BD272" s="31">
        <f>COUNTIF(W272:AC272,"Yes")</f>
        <v/>
      </c>
      <c r="BE272" s="31">
        <f>IF(TRIM(B272)="","Legal name missing; ","")&amp;IF(AND(AV272&lt;&gt;"",AV272&lt;&gt;"OK"),"GSTIN: "&amp;AV272&amp;"; ","")&amp;IF(AND(AW272&lt;&gt;"",AW272&lt;&gt;"OK"),"PAN wrong format; ","")&amp;IF(AND(BA272&lt;&gt;"",LEN(AZ272)=15,MID(AZ272,3,10)&lt;&gt;BA272),"PAN does not match GSTIN; ","")&amp;IF(AND(AX272&lt;&gt;"",AX272&lt;&gt;"OK"),"TAN wrong format; ","")&amp;IF(AS272="","PAN missing; ","")&amp;IF(BB272="","Entity type missing; ","")&amp;IF(AND(AZ272&lt;&gt;"",COUNTIF($AZ$6:$AZ$1005,AZ272)&gt;1),"GSTIN repeated in this sheet; ","")&amp;IF(AND(AS272&lt;&gt;"",COUNTIF($AS$6:$AS$1005,AS272)&gt;1),"PAN repeated in this sheet (same client? put extra GSTINs in Other GSTINs); ","")&amp;IF(AND(BD272&gt;0,V272=""),"Financial year missing; ","")&amp;IF(AND(BD272=0,V272&lt;&gt;""),"Financial year given but no service is Yes; ","")&amp;IF(AND(W272="Yes",AZ272=""),"GST needs a GSTIN; ","")&amp;IF(AND(W272="Yes",X272=""),"GST return frequency missing; ","")&amp;IF(AND(Y272="Yes",TRIM(H272)=""),"TDS needs a TAN; ","")&amp;IF(AND(AA272="Yes",BC272&lt;&gt;"",BC272&lt;&gt;"company",BC272&lt;&gt;"llp"),"ROC is only for a company / LLP; ","")&amp;IF(AND(AA272="Yes",OR(BC272="company",BC272="llp"),TRIM(I272)=""),"ROC needs the CIN / LLPIN; ","")&amp;IF((TRIM(AF272)="")&lt;&gt;(TRIM(AG272)=""),"GST login needs both user ID and password; ","")&amp;IF((TRIM(AH272)="")&lt;&gt;(TRIM(AI272)=""),"Income-tax login needs both user ID and password; ","")&amp;IF((TRIM(AJ272)="")&lt;&gt;(TRIM(AK272)=""),"Income-tax login needs both user ID and password; ","")&amp;IF((TRIM(AL272)="")&lt;&gt;(TRIM(AM272)=""),"TRACES login needs both user ID and password; ","")&amp;IF((TRIM(AN272)="")&lt;&gt;(TRIM(AO272)=""),"MCA login needs both user ID and password; ","")&amp;IF((TRIM(AP272)="")&lt;&gt;(TRIM(AQ272)=""),"E-way bill login needs both user ID and password; ","")</f>
        <v/>
      </c>
    </row>
    <row r="273">
      <c r="A273" s="32" t="n"/>
      <c r="B273" s="33" t="n"/>
      <c r="C273" s="33" t="n"/>
      <c r="D273" s="33" t="n"/>
      <c r="E273" s="32" t="n"/>
      <c r="F273" s="32" t="n"/>
      <c r="G273" s="32" t="n"/>
      <c r="H273" s="32" t="n"/>
      <c r="I273" s="32" t="n"/>
      <c r="J273" s="34" t="n"/>
      <c r="K273" s="33" t="n"/>
      <c r="L273" s="32" t="n"/>
      <c r="M273" s="33" t="n"/>
      <c r="N273" s="33" t="n"/>
      <c r="O273" s="33" t="n"/>
      <c r="P273" s="32" t="n"/>
      <c r="Q273" s="33" t="n"/>
      <c r="R273" s="33" t="n"/>
      <c r="S273" s="33" t="n"/>
      <c r="T273" s="33" t="n"/>
      <c r="U273" s="32" t="n"/>
      <c r="V273" s="33" t="n"/>
      <c r="W273" s="33" t="n"/>
      <c r="X273" s="33" t="n"/>
      <c r="Y273" s="33" t="n"/>
      <c r="Z273" s="33" t="n"/>
      <c r="AA273" s="33" t="n"/>
      <c r="AB273" s="33" t="n"/>
      <c r="AC273" s="33" t="n"/>
      <c r="AD273" s="33" t="n"/>
      <c r="AE273" s="33" t="n"/>
      <c r="AF273" s="32" t="n"/>
      <c r="AG273" s="32" t="n"/>
      <c r="AH273" s="32" t="n"/>
      <c r="AI273" s="32" t="n"/>
      <c r="AJ273" s="32" t="n"/>
      <c r="AK273" s="32" t="n"/>
      <c r="AL273" s="32" t="n"/>
      <c r="AM273" s="32" t="n"/>
      <c r="AN273" s="32" t="n"/>
      <c r="AO273" s="32" t="n"/>
      <c r="AP273" s="32" t="n"/>
      <c r="AQ273" s="32" t="n"/>
      <c r="AR273" s="29">
        <f>IF(NOT(COUNTA(A273:AE273)&gt;0),"",IF(A273="","New client","Update"))</f>
        <v/>
      </c>
      <c r="AS273" s="29">
        <f>IF(BA273&lt;&gt;"",BA273,IF(LEN(AZ273)=15,MID(AZ273,3,10),""))</f>
        <v/>
      </c>
      <c r="AT273" s="29">
        <f>IF(BB273="","",BB273&amp;IF(D273="","  (guessed from PAN)",""))</f>
        <v/>
      </c>
      <c r="AU273" s="29">
        <f>IF(AZ273="","",IFERROR(INDEX(Lists!$L$2:$L$38,MATCH(LEFT(AZ273,2),Lists!$K$2:$K$38,0)),"Unknown code"))</f>
        <v/>
      </c>
      <c r="AV273" s="29">
        <f>IF(AZ273="","",IFERROR(IF(NOT(AND(LEN(AZ273)=15,ISNUMBER(MATCH(LEFT(AZ273,2),Lists!$K$2:$K$38,0)),SUMPRODUCT(--ISERROR(FIND(MID(MID(AZ273,3,10),{1,2,3,4,5,10},1),"ABCDEFGHIJKLMNOPQRSTUVWXYZ")))=0,SUMPRODUCT(--ISERROR(FIND(MID(MID(AZ273,3,10),{6,7,8,9},1),"0123456789")))=0,ISNUMBER(FIND(MID(AZ273,13,1),"123456789ABCDEFGHIJKLMNOPQRSTUVWXYZ")),MID(AZ273,14,1)="Z")),"Wrong format",IF(MID("0123456789ABCDEFGHIJKLMNOPQRSTUVWXYZ",MOD(36-MOD(SUMPRODUCT(INT((FIND(MID(AZ273,{1,2,3,4,5,6,7,8,9,10,11,12,13,14},1),"0123456789ABCDEFGHIJKLMNOPQRSTUVWXYZ")-1)*{1,2,1,2,1,2,1,2,1,2,1,2,1,2}/36)+MOD((FIND(MID(AZ273,{1,2,3,4,5,6,7,8,9,10,11,12,13,14},1),"0123456789ABCDEFGHIJKLMNOPQRSTUVWXYZ")-1)*{1,2,1,2,1,2,1,2,1,2,1,2,1,2},36)),36),36)+1,1)=MID(AZ273,15,1),"OK","Typo? check digit wrong")),"Wrong format"))</f>
        <v/>
      </c>
      <c r="AW273" s="29">
        <f>IF(BA273="","",IF(AND(LEN(BA273)=10,SUMPRODUCT(--ISERROR(FIND(MID(BA273,{1,2,3,4,5,10},1),"ABCDEFGHIJKLMNOPQRSTUVWXYZ")))=0,SUMPRODUCT(--ISERROR(FIND(MID(BA273,{6,7,8,9},1),"0123456789")))=0),"OK","Wrong format"))</f>
        <v/>
      </c>
      <c r="AX273" s="29">
        <f>IF(TRIM(H273)="","",IF(AND(LEN(UPPER(TRIM(H273)))=10,SUMPRODUCT(--ISERROR(FIND(MID(UPPER(TRIM(H273)),{1,2,3,4,10},1),"ABCDEFGHIJKLMNOPQRSTUVWXYZ")))=0,SUMPRODUCT(--ISERROR(FIND(MID(UPPER(TRIM(H273)),{5,6,7,8,9},1),"0123456789")))=0),"OK","Wrong format"))</f>
        <v/>
      </c>
      <c r="AY273" s="30">
        <f>IF(NOT(COUNTA(A273:AE273)&gt;0),"",IF(BE273&lt;&gt;"","✖ "&amp;LEFT(BE273,LEN(BE273)-2),IF(BD273&gt;0,"✔ Ready — client + "&amp;BD273&amp;" service(s)","✔ Ready — client only")))</f>
        <v/>
      </c>
      <c r="AZ273" s="31">
        <f>UPPER(SUBSTITUTE(TRIM(F273)," ",""))</f>
        <v/>
      </c>
      <c r="BA273" s="31">
        <f>UPPER(SUBSTITUTE(TRIM(E273)," ",""))</f>
        <v/>
      </c>
      <c r="BB273" s="31">
        <f>IF(D273&lt;&gt;"",D273,IFERROR(VLOOKUP(MID(AS273,4,1),Lists!$E$2:$F$8,2,FALSE),""))</f>
        <v/>
      </c>
      <c r="BC273" s="31">
        <f>IFERROR(VLOOKUP(BB273,Lists!$A$2:$C$12,3,FALSE),"")</f>
        <v/>
      </c>
      <c r="BD273" s="31">
        <f>COUNTIF(W273:AC273,"Yes")</f>
        <v/>
      </c>
      <c r="BE273" s="31">
        <f>IF(TRIM(B273)="","Legal name missing; ","")&amp;IF(AND(AV273&lt;&gt;"",AV273&lt;&gt;"OK"),"GSTIN: "&amp;AV273&amp;"; ","")&amp;IF(AND(AW273&lt;&gt;"",AW273&lt;&gt;"OK"),"PAN wrong format; ","")&amp;IF(AND(BA273&lt;&gt;"",LEN(AZ273)=15,MID(AZ273,3,10)&lt;&gt;BA273),"PAN does not match GSTIN; ","")&amp;IF(AND(AX273&lt;&gt;"",AX273&lt;&gt;"OK"),"TAN wrong format; ","")&amp;IF(AS273="","PAN missing; ","")&amp;IF(BB273="","Entity type missing; ","")&amp;IF(AND(AZ273&lt;&gt;"",COUNTIF($AZ$6:$AZ$1005,AZ273)&gt;1),"GSTIN repeated in this sheet; ","")&amp;IF(AND(AS273&lt;&gt;"",COUNTIF($AS$6:$AS$1005,AS273)&gt;1),"PAN repeated in this sheet (same client? put extra GSTINs in Other GSTINs); ","")&amp;IF(AND(BD273&gt;0,V273=""),"Financial year missing; ","")&amp;IF(AND(BD273=0,V273&lt;&gt;""),"Financial year given but no service is Yes; ","")&amp;IF(AND(W273="Yes",AZ273=""),"GST needs a GSTIN; ","")&amp;IF(AND(W273="Yes",X273=""),"GST return frequency missing; ","")&amp;IF(AND(Y273="Yes",TRIM(H273)=""),"TDS needs a TAN; ","")&amp;IF(AND(AA273="Yes",BC273&lt;&gt;"",BC273&lt;&gt;"company",BC273&lt;&gt;"llp"),"ROC is only for a company / LLP; ","")&amp;IF(AND(AA273="Yes",OR(BC273="company",BC273="llp"),TRIM(I273)=""),"ROC needs the CIN / LLPIN; ","")&amp;IF((TRIM(AF273)="")&lt;&gt;(TRIM(AG273)=""),"GST login needs both user ID and password; ","")&amp;IF((TRIM(AH273)="")&lt;&gt;(TRIM(AI273)=""),"Income-tax login needs both user ID and password; ","")&amp;IF((TRIM(AJ273)="")&lt;&gt;(TRIM(AK273)=""),"Income-tax login needs both user ID and password; ","")&amp;IF((TRIM(AL273)="")&lt;&gt;(TRIM(AM273)=""),"TRACES login needs both user ID and password; ","")&amp;IF((TRIM(AN273)="")&lt;&gt;(TRIM(AO273)=""),"MCA login needs both user ID and password; ","")&amp;IF((TRIM(AP273)="")&lt;&gt;(TRIM(AQ273)=""),"E-way bill login needs both user ID and password; ","")</f>
        <v/>
      </c>
    </row>
    <row r="274">
      <c r="A274" s="32" t="n"/>
      <c r="B274" s="33" t="n"/>
      <c r="C274" s="33" t="n"/>
      <c r="D274" s="33" t="n"/>
      <c r="E274" s="32" t="n"/>
      <c r="F274" s="32" t="n"/>
      <c r="G274" s="32" t="n"/>
      <c r="H274" s="32" t="n"/>
      <c r="I274" s="32" t="n"/>
      <c r="J274" s="34" t="n"/>
      <c r="K274" s="33" t="n"/>
      <c r="L274" s="32" t="n"/>
      <c r="M274" s="33" t="n"/>
      <c r="N274" s="33" t="n"/>
      <c r="O274" s="33" t="n"/>
      <c r="P274" s="32" t="n"/>
      <c r="Q274" s="33" t="n"/>
      <c r="R274" s="33" t="n"/>
      <c r="S274" s="33" t="n"/>
      <c r="T274" s="33" t="n"/>
      <c r="U274" s="32" t="n"/>
      <c r="V274" s="33" t="n"/>
      <c r="W274" s="33" t="n"/>
      <c r="X274" s="33" t="n"/>
      <c r="Y274" s="33" t="n"/>
      <c r="Z274" s="33" t="n"/>
      <c r="AA274" s="33" t="n"/>
      <c r="AB274" s="33" t="n"/>
      <c r="AC274" s="33" t="n"/>
      <c r="AD274" s="33" t="n"/>
      <c r="AE274" s="33" t="n"/>
      <c r="AF274" s="32" t="n"/>
      <c r="AG274" s="32" t="n"/>
      <c r="AH274" s="32" t="n"/>
      <c r="AI274" s="32" t="n"/>
      <c r="AJ274" s="32" t="n"/>
      <c r="AK274" s="32" t="n"/>
      <c r="AL274" s="32" t="n"/>
      <c r="AM274" s="32" t="n"/>
      <c r="AN274" s="32" t="n"/>
      <c r="AO274" s="32" t="n"/>
      <c r="AP274" s="32" t="n"/>
      <c r="AQ274" s="32" t="n"/>
      <c r="AR274" s="29">
        <f>IF(NOT(COUNTA(A274:AE274)&gt;0),"",IF(A274="","New client","Update"))</f>
        <v/>
      </c>
      <c r="AS274" s="29">
        <f>IF(BA274&lt;&gt;"",BA274,IF(LEN(AZ274)=15,MID(AZ274,3,10),""))</f>
        <v/>
      </c>
      <c r="AT274" s="29">
        <f>IF(BB274="","",BB274&amp;IF(D274="","  (guessed from PAN)",""))</f>
        <v/>
      </c>
      <c r="AU274" s="29">
        <f>IF(AZ274="","",IFERROR(INDEX(Lists!$L$2:$L$38,MATCH(LEFT(AZ274,2),Lists!$K$2:$K$38,0)),"Unknown code"))</f>
        <v/>
      </c>
      <c r="AV274" s="29">
        <f>IF(AZ274="","",IFERROR(IF(NOT(AND(LEN(AZ274)=15,ISNUMBER(MATCH(LEFT(AZ274,2),Lists!$K$2:$K$38,0)),SUMPRODUCT(--ISERROR(FIND(MID(MID(AZ274,3,10),{1,2,3,4,5,10},1),"ABCDEFGHIJKLMNOPQRSTUVWXYZ")))=0,SUMPRODUCT(--ISERROR(FIND(MID(MID(AZ274,3,10),{6,7,8,9},1),"0123456789")))=0,ISNUMBER(FIND(MID(AZ274,13,1),"123456789ABCDEFGHIJKLMNOPQRSTUVWXYZ")),MID(AZ274,14,1)="Z")),"Wrong format",IF(MID("0123456789ABCDEFGHIJKLMNOPQRSTUVWXYZ",MOD(36-MOD(SUMPRODUCT(INT((FIND(MID(AZ274,{1,2,3,4,5,6,7,8,9,10,11,12,13,14},1),"0123456789ABCDEFGHIJKLMNOPQRSTUVWXYZ")-1)*{1,2,1,2,1,2,1,2,1,2,1,2,1,2}/36)+MOD((FIND(MID(AZ274,{1,2,3,4,5,6,7,8,9,10,11,12,13,14},1),"0123456789ABCDEFGHIJKLMNOPQRSTUVWXYZ")-1)*{1,2,1,2,1,2,1,2,1,2,1,2,1,2},36)),36),36)+1,1)=MID(AZ274,15,1),"OK","Typo? check digit wrong")),"Wrong format"))</f>
        <v/>
      </c>
      <c r="AW274" s="29">
        <f>IF(BA274="","",IF(AND(LEN(BA274)=10,SUMPRODUCT(--ISERROR(FIND(MID(BA274,{1,2,3,4,5,10},1),"ABCDEFGHIJKLMNOPQRSTUVWXYZ")))=0,SUMPRODUCT(--ISERROR(FIND(MID(BA274,{6,7,8,9},1),"0123456789")))=0),"OK","Wrong format"))</f>
        <v/>
      </c>
      <c r="AX274" s="29">
        <f>IF(TRIM(H274)="","",IF(AND(LEN(UPPER(TRIM(H274)))=10,SUMPRODUCT(--ISERROR(FIND(MID(UPPER(TRIM(H274)),{1,2,3,4,10},1),"ABCDEFGHIJKLMNOPQRSTUVWXYZ")))=0,SUMPRODUCT(--ISERROR(FIND(MID(UPPER(TRIM(H274)),{5,6,7,8,9},1),"0123456789")))=0),"OK","Wrong format"))</f>
        <v/>
      </c>
      <c r="AY274" s="30">
        <f>IF(NOT(COUNTA(A274:AE274)&gt;0),"",IF(BE274&lt;&gt;"","✖ "&amp;LEFT(BE274,LEN(BE274)-2),IF(BD274&gt;0,"✔ Ready — client + "&amp;BD274&amp;" service(s)","✔ Ready — client only")))</f>
        <v/>
      </c>
      <c r="AZ274" s="31">
        <f>UPPER(SUBSTITUTE(TRIM(F274)," ",""))</f>
        <v/>
      </c>
      <c r="BA274" s="31">
        <f>UPPER(SUBSTITUTE(TRIM(E274)," ",""))</f>
        <v/>
      </c>
      <c r="BB274" s="31">
        <f>IF(D274&lt;&gt;"",D274,IFERROR(VLOOKUP(MID(AS274,4,1),Lists!$E$2:$F$8,2,FALSE),""))</f>
        <v/>
      </c>
      <c r="BC274" s="31">
        <f>IFERROR(VLOOKUP(BB274,Lists!$A$2:$C$12,3,FALSE),"")</f>
        <v/>
      </c>
      <c r="BD274" s="31">
        <f>COUNTIF(W274:AC274,"Yes")</f>
        <v/>
      </c>
      <c r="BE274" s="31">
        <f>IF(TRIM(B274)="","Legal name missing; ","")&amp;IF(AND(AV274&lt;&gt;"",AV274&lt;&gt;"OK"),"GSTIN: "&amp;AV274&amp;"; ","")&amp;IF(AND(AW274&lt;&gt;"",AW274&lt;&gt;"OK"),"PAN wrong format; ","")&amp;IF(AND(BA274&lt;&gt;"",LEN(AZ274)=15,MID(AZ274,3,10)&lt;&gt;BA274),"PAN does not match GSTIN; ","")&amp;IF(AND(AX274&lt;&gt;"",AX274&lt;&gt;"OK"),"TAN wrong format; ","")&amp;IF(AS274="","PAN missing; ","")&amp;IF(BB274="","Entity type missing; ","")&amp;IF(AND(AZ274&lt;&gt;"",COUNTIF($AZ$6:$AZ$1005,AZ274)&gt;1),"GSTIN repeated in this sheet; ","")&amp;IF(AND(AS274&lt;&gt;"",COUNTIF($AS$6:$AS$1005,AS274)&gt;1),"PAN repeated in this sheet (same client? put extra GSTINs in Other GSTINs); ","")&amp;IF(AND(BD274&gt;0,V274=""),"Financial year missing; ","")&amp;IF(AND(BD274=0,V274&lt;&gt;""),"Financial year given but no service is Yes; ","")&amp;IF(AND(W274="Yes",AZ274=""),"GST needs a GSTIN; ","")&amp;IF(AND(W274="Yes",X274=""),"GST return frequency missing; ","")&amp;IF(AND(Y274="Yes",TRIM(H274)=""),"TDS needs a TAN; ","")&amp;IF(AND(AA274="Yes",BC274&lt;&gt;"",BC274&lt;&gt;"company",BC274&lt;&gt;"llp"),"ROC is only for a company / LLP; ","")&amp;IF(AND(AA274="Yes",OR(BC274="company",BC274="llp"),TRIM(I274)=""),"ROC needs the CIN / LLPIN; ","")&amp;IF((TRIM(AF274)="")&lt;&gt;(TRIM(AG274)=""),"GST login needs both user ID and password; ","")&amp;IF((TRIM(AH274)="")&lt;&gt;(TRIM(AI274)=""),"Income-tax login needs both user ID and password; ","")&amp;IF((TRIM(AJ274)="")&lt;&gt;(TRIM(AK274)=""),"Income-tax login needs both user ID and password; ","")&amp;IF((TRIM(AL274)="")&lt;&gt;(TRIM(AM274)=""),"TRACES login needs both user ID and password; ","")&amp;IF((TRIM(AN274)="")&lt;&gt;(TRIM(AO274)=""),"MCA login needs both user ID and password; ","")&amp;IF((TRIM(AP274)="")&lt;&gt;(TRIM(AQ274)=""),"E-way bill login needs both user ID and password; ","")</f>
        <v/>
      </c>
    </row>
    <row r="275">
      <c r="A275" s="32" t="n"/>
      <c r="B275" s="33" t="n"/>
      <c r="C275" s="33" t="n"/>
      <c r="D275" s="33" t="n"/>
      <c r="E275" s="32" t="n"/>
      <c r="F275" s="32" t="n"/>
      <c r="G275" s="32" t="n"/>
      <c r="H275" s="32" t="n"/>
      <c r="I275" s="32" t="n"/>
      <c r="J275" s="34" t="n"/>
      <c r="K275" s="33" t="n"/>
      <c r="L275" s="32" t="n"/>
      <c r="M275" s="33" t="n"/>
      <c r="N275" s="33" t="n"/>
      <c r="O275" s="33" t="n"/>
      <c r="P275" s="32" t="n"/>
      <c r="Q275" s="33" t="n"/>
      <c r="R275" s="33" t="n"/>
      <c r="S275" s="33" t="n"/>
      <c r="T275" s="33" t="n"/>
      <c r="U275" s="32" t="n"/>
      <c r="V275" s="33" t="n"/>
      <c r="W275" s="33" t="n"/>
      <c r="X275" s="33" t="n"/>
      <c r="Y275" s="33" t="n"/>
      <c r="Z275" s="33" t="n"/>
      <c r="AA275" s="33" t="n"/>
      <c r="AB275" s="33" t="n"/>
      <c r="AC275" s="33" t="n"/>
      <c r="AD275" s="33" t="n"/>
      <c r="AE275" s="33" t="n"/>
      <c r="AF275" s="32" t="n"/>
      <c r="AG275" s="32" t="n"/>
      <c r="AH275" s="32" t="n"/>
      <c r="AI275" s="32" t="n"/>
      <c r="AJ275" s="32" t="n"/>
      <c r="AK275" s="32" t="n"/>
      <c r="AL275" s="32" t="n"/>
      <c r="AM275" s="32" t="n"/>
      <c r="AN275" s="32" t="n"/>
      <c r="AO275" s="32" t="n"/>
      <c r="AP275" s="32" t="n"/>
      <c r="AQ275" s="32" t="n"/>
      <c r="AR275" s="29">
        <f>IF(NOT(COUNTA(A275:AE275)&gt;0),"",IF(A275="","New client","Update"))</f>
        <v/>
      </c>
      <c r="AS275" s="29">
        <f>IF(BA275&lt;&gt;"",BA275,IF(LEN(AZ275)=15,MID(AZ275,3,10),""))</f>
        <v/>
      </c>
      <c r="AT275" s="29">
        <f>IF(BB275="","",BB275&amp;IF(D275="","  (guessed from PAN)",""))</f>
        <v/>
      </c>
      <c r="AU275" s="29">
        <f>IF(AZ275="","",IFERROR(INDEX(Lists!$L$2:$L$38,MATCH(LEFT(AZ275,2),Lists!$K$2:$K$38,0)),"Unknown code"))</f>
        <v/>
      </c>
      <c r="AV275" s="29">
        <f>IF(AZ275="","",IFERROR(IF(NOT(AND(LEN(AZ275)=15,ISNUMBER(MATCH(LEFT(AZ275,2),Lists!$K$2:$K$38,0)),SUMPRODUCT(--ISERROR(FIND(MID(MID(AZ275,3,10),{1,2,3,4,5,10},1),"ABCDEFGHIJKLMNOPQRSTUVWXYZ")))=0,SUMPRODUCT(--ISERROR(FIND(MID(MID(AZ275,3,10),{6,7,8,9},1),"0123456789")))=0,ISNUMBER(FIND(MID(AZ275,13,1),"123456789ABCDEFGHIJKLMNOPQRSTUVWXYZ")),MID(AZ275,14,1)="Z")),"Wrong format",IF(MID("0123456789ABCDEFGHIJKLMNOPQRSTUVWXYZ",MOD(36-MOD(SUMPRODUCT(INT((FIND(MID(AZ275,{1,2,3,4,5,6,7,8,9,10,11,12,13,14},1),"0123456789ABCDEFGHIJKLMNOPQRSTUVWXYZ")-1)*{1,2,1,2,1,2,1,2,1,2,1,2,1,2}/36)+MOD((FIND(MID(AZ275,{1,2,3,4,5,6,7,8,9,10,11,12,13,14},1),"0123456789ABCDEFGHIJKLMNOPQRSTUVWXYZ")-1)*{1,2,1,2,1,2,1,2,1,2,1,2,1,2},36)),36),36)+1,1)=MID(AZ275,15,1),"OK","Typo? check digit wrong")),"Wrong format"))</f>
        <v/>
      </c>
      <c r="AW275" s="29">
        <f>IF(BA275="","",IF(AND(LEN(BA275)=10,SUMPRODUCT(--ISERROR(FIND(MID(BA275,{1,2,3,4,5,10},1),"ABCDEFGHIJKLMNOPQRSTUVWXYZ")))=0,SUMPRODUCT(--ISERROR(FIND(MID(BA275,{6,7,8,9},1),"0123456789")))=0),"OK","Wrong format"))</f>
        <v/>
      </c>
      <c r="AX275" s="29">
        <f>IF(TRIM(H275)="","",IF(AND(LEN(UPPER(TRIM(H275)))=10,SUMPRODUCT(--ISERROR(FIND(MID(UPPER(TRIM(H275)),{1,2,3,4,10},1),"ABCDEFGHIJKLMNOPQRSTUVWXYZ")))=0,SUMPRODUCT(--ISERROR(FIND(MID(UPPER(TRIM(H275)),{5,6,7,8,9},1),"0123456789")))=0),"OK","Wrong format"))</f>
        <v/>
      </c>
      <c r="AY275" s="30">
        <f>IF(NOT(COUNTA(A275:AE275)&gt;0),"",IF(BE275&lt;&gt;"","✖ "&amp;LEFT(BE275,LEN(BE275)-2),IF(BD275&gt;0,"✔ Ready — client + "&amp;BD275&amp;" service(s)","✔ Ready — client only")))</f>
        <v/>
      </c>
      <c r="AZ275" s="31">
        <f>UPPER(SUBSTITUTE(TRIM(F275)," ",""))</f>
        <v/>
      </c>
      <c r="BA275" s="31">
        <f>UPPER(SUBSTITUTE(TRIM(E275)," ",""))</f>
        <v/>
      </c>
      <c r="BB275" s="31">
        <f>IF(D275&lt;&gt;"",D275,IFERROR(VLOOKUP(MID(AS275,4,1),Lists!$E$2:$F$8,2,FALSE),""))</f>
        <v/>
      </c>
      <c r="BC275" s="31">
        <f>IFERROR(VLOOKUP(BB275,Lists!$A$2:$C$12,3,FALSE),"")</f>
        <v/>
      </c>
      <c r="BD275" s="31">
        <f>COUNTIF(W275:AC275,"Yes")</f>
        <v/>
      </c>
      <c r="BE275" s="31">
        <f>IF(TRIM(B275)="","Legal name missing; ","")&amp;IF(AND(AV275&lt;&gt;"",AV275&lt;&gt;"OK"),"GSTIN: "&amp;AV275&amp;"; ","")&amp;IF(AND(AW275&lt;&gt;"",AW275&lt;&gt;"OK"),"PAN wrong format; ","")&amp;IF(AND(BA275&lt;&gt;"",LEN(AZ275)=15,MID(AZ275,3,10)&lt;&gt;BA275),"PAN does not match GSTIN; ","")&amp;IF(AND(AX275&lt;&gt;"",AX275&lt;&gt;"OK"),"TAN wrong format; ","")&amp;IF(AS275="","PAN missing; ","")&amp;IF(BB275="","Entity type missing; ","")&amp;IF(AND(AZ275&lt;&gt;"",COUNTIF($AZ$6:$AZ$1005,AZ275)&gt;1),"GSTIN repeated in this sheet; ","")&amp;IF(AND(AS275&lt;&gt;"",COUNTIF($AS$6:$AS$1005,AS275)&gt;1),"PAN repeated in this sheet (same client? put extra GSTINs in Other GSTINs); ","")&amp;IF(AND(BD275&gt;0,V275=""),"Financial year missing; ","")&amp;IF(AND(BD275=0,V275&lt;&gt;""),"Financial year given but no service is Yes; ","")&amp;IF(AND(W275="Yes",AZ275=""),"GST needs a GSTIN; ","")&amp;IF(AND(W275="Yes",X275=""),"GST return frequency missing; ","")&amp;IF(AND(Y275="Yes",TRIM(H275)=""),"TDS needs a TAN; ","")&amp;IF(AND(AA275="Yes",BC275&lt;&gt;"",BC275&lt;&gt;"company",BC275&lt;&gt;"llp"),"ROC is only for a company / LLP; ","")&amp;IF(AND(AA275="Yes",OR(BC275="company",BC275="llp"),TRIM(I275)=""),"ROC needs the CIN / LLPIN; ","")&amp;IF((TRIM(AF275)="")&lt;&gt;(TRIM(AG275)=""),"GST login needs both user ID and password; ","")&amp;IF((TRIM(AH275)="")&lt;&gt;(TRIM(AI275)=""),"Income-tax login needs both user ID and password; ","")&amp;IF((TRIM(AJ275)="")&lt;&gt;(TRIM(AK275)=""),"Income-tax login needs both user ID and password; ","")&amp;IF((TRIM(AL275)="")&lt;&gt;(TRIM(AM275)=""),"TRACES login needs both user ID and password; ","")&amp;IF((TRIM(AN275)="")&lt;&gt;(TRIM(AO275)=""),"MCA login needs both user ID and password; ","")&amp;IF((TRIM(AP275)="")&lt;&gt;(TRIM(AQ275)=""),"E-way bill login needs both user ID and password; ","")</f>
        <v/>
      </c>
    </row>
    <row r="276">
      <c r="A276" s="32" t="n"/>
      <c r="B276" s="33" t="n"/>
      <c r="C276" s="33" t="n"/>
      <c r="D276" s="33" t="n"/>
      <c r="E276" s="32" t="n"/>
      <c r="F276" s="32" t="n"/>
      <c r="G276" s="32" t="n"/>
      <c r="H276" s="32" t="n"/>
      <c r="I276" s="32" t="n"/>
      <c r="J276" s="34" t="n"/>
      <c r="K276" s="33" t="n"/>
      <c r="L276" s="32" t="n"/>
      <c r="M276" s="33" t="n"/>
      <c r="N276" s="33" t="n"/>
      <c r="O276" s="33" t="n"/>
      <c r="P276" s="32" t="n"/>
      <c r="Q276" s="33" t="n"/>
      <c r="R276" s="33" t="n"/>
      <c r="S276" s="33" t="n"/>
      <c r="T276" s="33" t="n"/>
      <c r="U276" s="32" t="n"/>
      <c r="V276" s="33" t="n"/>
      <c r="W276" s="33" t="n"/>
      <c r="X276" s="33" t="n"/>
      <c r="Y276" s="33" t="n"/>
      <c r="Z276" s="33" t="n"/>
      <c r="AA276" s="33" t="n"/>
      <c r="AB276" s="33" t="n"/>
      <c r="AC276" s="33" t="n"/>
      <c r="AD276" s="33" t="n"/>
      <c r="AE276" s="33" t="n"/>
      <c r="AF276" s="32" t="n"/>
      <c r="AG276" s="32" t="n"/>
      <c r="AH276" s="32" t="n"/>
      <c r="AI276" s="32" t="n"/>
      <c r="AJ276" s="32" t="n"/>
      <c r="AK276" s="32" t="n"/>
      <c r="AL276" s="32" t="n"/>
      <c r="AM276" s="32" t="n"/>
      <c r="AN276" s="32" t="n"/>
      <c r="AO276" s="32" t="n"/>
      <c r="AP276" s="32" t="n"/>
      <c r="AQ276" s="32" t="n"/>
      <c r="AR276" s="29">
        <f>IF(NOT(COUNTA(A276:AE276)&gt;0),"",IF(A276="","New client","Update"))</f>
        <v/>
      </c>
      <c r="AS276" s="29">
        <f>IF(BA276&lt;&gt;"",BA276,IF(LEN(AZ276)=15,MID(AZ276,3,10),""))</f>
        <v/>
      </c>
      <c r="AT276" s="29">
        <f>IF(BB276="","",BB276&amp;IF(D276="","  (guessed from PAN)",""))</f>
        <v/>
      </c>
      <c r="AU276" s="29">
        <f>IF(AZ276="","",IFERROR(INDEX(Lists!$L$2:$L$38,MATCH(LEFT(AZ276,2),Lists!$K$2:$K$38,0)),"Unknown code"))</f>
        <v/>
      </c>
      <c r="AV276" s="29">
        <f>IF(AZ276="","",IFERROR(IF(NOT(AND(LEN(AZ276)=15,ISNUMBER(MATCH(LEFT(AZ276,2),Lists!$K$2:$K$38,0)),SUMPRODUCT(--ISERROR(FIND(MID(MID(AZ276,3,10),{1,2,3,4,5,10},1),"ABCDEFGHIJKLMNOPQRSTUVWXYZ")))=0,SUMPRODUCT(--ISERROR(FIND(MID(MID(AZ276,3,10),{6,7,8,9},1),"0123456789")))=0,ISNUMBER(FIND(MID(AZ276,13,1),"123456789ABCDEFGHIJKLMNOPQRSTUVWXYZ")),MID(AZ276,14,1)="Z")),"Wrong format",IF(MID("0123456789ABCDEFGHIJKLMNOPQRSTUVWXYZ",MOD(36-MOD(SUMPRODUCT(INT((FIND(MID(AZ276,{1,2,3,4,5,6,7,8,9,10,11,12,13,14},1),"0123456789ABCDEFGHIJKLMNOPQRSTUVWXYZ")-1)*{1,2,1,2,1,2,1,2,1,2,1,2,1,2}/36)+MOD((FIND(MID(AZ276,{1,2,3,4,5,6,7,8,9,10,11,12,13,14},1),"0123456789ABCDEFGHIJKLMNOPQRSTUVWXYZ")-1)*{1,2,1,2,1,2,1,2,1,2,1,2,1,2},36)),36),36)+1,1)=MID(AZ276,15,1),"OK","Typo? check digit wrong")),"Wrong format"))</f>
        <v/>
      </c>
      <c r="AW276" s="29">
        <f>IF(BA276="","",IF(AND(LEN(BA276)=10,SUMPRODUCT(--ISERROR(FIND(MID(BA276,{1,2,3,4,5,10},1),"ABCDEFGHIJKLMNOPQRSTUVWXYZ")))=0,SUMPRODUCT(--ISERROR(FIND(MID(BA276,{6,7,8,9},1),"0123456789")))=0),"OK","Wrong format"))</f>
        <v/>
      </c>
      <c r="AX276" s="29">
        <f>IF(TRIM(H276)="","",IF(AND(LEN(UPPER(TRIM(H276)))=10,SUMPRODUCT(--ISERROR(FIND(MID(UPPER(TRIM(H276)),{1,2,3,4,10},1),"ABCDEFGHIJKLMNOPQRSTUVWXYZ")))=0,SUMPRODUCT(--ISERROR(FIND(MID(UPPER(TRIM(H276)),{5,6,7,8,9},1),"0123456789")))=0),"OK","Wrong format"))</f>
        <v/>
      </c>
      <c r="AY276" s="30">
        <f>IF(NOT(COUNTA(A276:AE276)&gt;0),"",IF(BE276&lt;&gt;"","✖ "&amp;LEFT(BE276,LEN(BE276)-2),IF(BD276&gt;0,"✔ Ready — client + "&amp;BD276&amp;" service(s)","✔ Ready — client only")))</f>
        <v/>
      </c>
      <c r="AZ276" s="31">
        <f>UPPER(SUBSTITUTE(TRIM(F276)," ",""))</f>
        <v/>
      </c>
      <c r="BA276" s="31">
        <f>UPPER(SUBSTITUTE(TRIM(E276)," ",""))</f>
        <v/>
      </c>
      <c r="BB276" s="31">
        <f>IF(D276&lt;&gt;"",D276,IFERROR(VLOOKUP(MID(AS276,4,1),Lists!$E$2:$F$8,2,FALSE),""))</f>
        <v/>
      </c>
      <c r="BC276" s="31">
        <f>IFERROR(VLOOKUP(BB276,Lists!$A$2:$C$12,3,FALSE),"")</f>
        <v/>
      </c>
      <c r="BD276" s="31">
        <f>COUNTIF(W276:AC276,"Yes")</f>
        <v/>
      </c>
      <c r="BE276" s="31">
        <f>IF(TRIM(B276)="","Legal name missing; ","")&amp;IF(AND(AV276&lt;&gt;"",AV276&lt;&gt;"OK"),"GSTIN: "&amp;AV276&amp;"; ","")&amp;IF(AND(AW276&lt;&gt;"",AW276&lt;&gt;"OK"),"PAN wrong format; ","")&amp;IF(AND(BA276&lt;&gt;"",LEN(AZ276)=15,MID(AZ276,3,10)&lt;&gt;BA276),"PAN does not match GSTIN; ","")&amp;IF(AND(AX276&lt;&gt;"",AX276&lt;&gt;"OK"),"TAN wrong format; ","")&amp;IF(AS276="","PAN missing; ","")&amp;IF(BB276="","Entity type missing; ","")&amp;IF(AND(AZ276&lt;&gt;"",COUNTIF($AZ$6:$AZ$1005,AZ276)&gt;1),"GSTIN repeated in this sheet; ","")&amp;IF(AND(AS276&lt;&gt;"",COUNTIF($AS$6:$AS$1005,AS276)&gt;1),"PAN repeated in this sheet (same client? put extra GSTINs in Other GSTINs); ","")&amp;IF(AND(BD276&gt;0,V276=""),"Financial year missing; ","")&amp;IF(AND(BD276=0,V276&lt;&gt;""),"Financial year given but no service is Yes; ","")&amp;IF(AND(W276="Yes",AZ276=""),"GST needs a GSTIN; ","")&amp;IF(AND(W276="Yes",X276=""),"GST return frequency missing; ","")&amp;IF(AND(Y276="Yes",TRIM(H276)=""),"TDS needs a TAN; ","")&amp;IF(AND(AA276="Yes",BC276&lt;&gt;"",BC276&lt;&gt;"company",BC276&lt;&gt;"llp"),"ROC is only for a company / LLP; ","")&amp;IF(AND(AA276="Yes",OR(BC276="company",BC276="llp"),TRIM(I276)=""),"ROC needs the CIN / LLPIN; ","")&amp;IF((TRIM(AF276)="")&lt;&gt;(TRIM(AG276)=""),"GST login needs both user ID and password; ","")&amp;IF((TRIM(AH276)="")&lt;&gt;(TRIM(AI276)=""),"Income-tax login needs both user ID and password; ","")&amp;IF((TRIM(AJ276)="")&lt;&gt;(TRIM(AK276)=""),"Income-tax login needs both user ID and password; ","")&amp;IF((TRIM(AL276)="")&lt;&gt;(TRIM(AM276)=""),"TRACES login needs both user ID and password; ","")&amp;IF((TRIM(AN276)="")&lt;&gt;(TRIM(AO276)=""),"MCA login needs both user ID and password; ","")&amp;IF((TRIM(AP276)="")&lt;&gt;(TRIM(AQ276)=""),"E-way bill login needs both user ID and password; ","")</f>
        <v/>
      </c>
    </row>
    <row r="277">
      <c r="A277" s="32" t="n"/>
      <c r="B277" s="33" t="n"/>
      <c r="C277" s="33" t="n"/>
      <c r="D277" s="33" t="n"/>
      <c r="E277" s="32" t="n"/>
      <c r="F277" s="32" t="n"/>
      <c r="G277" s="32" t="n"/>
      <c r="H277" s="32" t="n"/>
      <c r="I277" s="32" t="n"/>
      <c r="J277" s="34" t="n"/>
      <c r="K277" s="33" t="n"/>
      <c r="L277" s="32" t="n"/>
      <c r="M277" s="33" t="n"/>
      <c r="N277" s="33" t="n"/>
      <c r="O277" s="33" t="n"/>
      <c r="P277" s="32" t="n"/>
      <c r="Q277" s="33" t="n"/>
      <c r="R277" s="33" t="n"/>
      <c r="S277" s="33" t="n"/>
      <c r="T277" s="33" t="n"/>
      <c r="U277" s="32" t="n"/>
      <c r="V277" s="33" t="n"/>
      <c r="W277" s="33" t="n"/>
      <c r="X277" s="33" t="n"/>
      <c r="Y277" s="33" t="n"/>
      <c r="Z277" s="33" t="n"/>
      <c r="AA277" s="33" t="n"/>
      <c r="AB277" s="33" t="n"/>
      <c r="AC277" s="33" t="n"/>
      <c r="AD277" s="33" t="n"/>
      <c r="AE277" s="33" t="n"/>
      <c r="AF277" s="32" t="n"/>
      <c r="AG277" s="32" t="n"/>
      <c r="AH277" s="32" t="n"/>
      <c r="AI277" s="32" t="n"/>
      <c r="AJ277" s="32" t="n"/>
      <c r="AK277" s="32" t="n"/>
      <c r="AL277" s="32" t="n"/>
      <c r="AM277" s="32" t="n"/>
      <c r="AN277" s="32" t="n"/>
      <c r="AO277" s="32" t="n"/>
      <c r="AP277" s="32" t="n"/>
      <c r="AQ277" s="32" t="n"/>
      <c r="AR277" s="29">
        <f>IF(NOT(COUNTA(A277:AE277)&gt;0),"",IF(A277="","New client","Update"))</f>
        <v/>
      </c>
      <c r="AS277" s="29">
        <f>IF(BA277&lt;&gt;"",BA277,IF(LEN(AZ277)=15,MID(AZ277,3,10),""))</f>
        <v/>
      </c>
      <c r="AT277" s="29">
        <f>IF(BB277="","",BB277&amp;IF(D277="","  (guessed from PAN)",""))</f>
        <v/>
      </c>
      <c r="AU277" s="29">
        <f>IF(AZ277="","",IFERROR(INDEX(Lists!$L$2:$L$38,MATCH(LEFT(AZ277,2),Lists!$K$2:$K$38,0)),"Unknown code"))</f>
        <v/>
      </c>
      <c r="AV277" s="29">
        <f>IF(AZ277="","",IFERROR(IF(NOT(AND(LEN(AZ277)=15,ISNUMBER(MATCH(LEFT(AZ277,2),Lists!$K$2:$K$38,0)),SUMPRODUCT(--ISERROR(FIND(MID(MID(AZ277,3,10),{1,2,3,4,5,10},1),"ABCDEFGHIJKLMNOPQRSTUVWXYZ")))=0,SUMPRODUCT(--ISERROR(FIND(MID(MID(AZ277,3,10),{6,7,8,9},1),"0123456789")))=0,ISNUMBER(FIND(MID(AZ277,13,1),"123456789ABCDEFGHIJKLMNOPQRSTUVWXYZ")),MID(AZ277,14,1)="Z")),"Wrong format",IF(MID("0123456789ABCDEFGHIJKLMNOPQRSTUVWXYZ",MOD(36-MOD(SUMPRODUCT(INT((FIND(MID(AZ277,{1,2,3,4,5,6,7,8,9,10,11,12,13,14},1),"0123456789ABCDEFGHIJKLMNOPQRSTUVWXYZ")-1)*{1,2,1,2,1,2,1,2,1,2,1,2,1,2}/36)+MOD((FIND(MID(AZ277,{1,2,3,4,5,6,7,8,9,10,11,12,13,14},1),"0123456789ABCDEFGHIJKLMNOPQRSTUVWXYZ")-1)*{1,2,1,2,1,2,1,2,1,2,1,2,1,2},36)),36),36)+1,1)=MID(AZ277,15,1),"OK","Typo? check digit wrong")),"Wrong format"))</f>
        <v/>
      </c>
      <c r="AW277" s="29">
        <f>IF(BA277="","",IF(AND(LEN(BA277)=10,SUMPRODUCT(--ISERROR(FIND(MID(BA277,{1,2,3,4,5,10},1),"ABCDEFGHIJKLMNOPQRSTUVWXYZ")))=0,SUMPRODUCT(--ISERROR(FIND(MID(BA277,{6,7,8,9},1),"0123456789")))=0),"OK","Wrong format"))</f>
        <v/>
      </c>
      <c r="AX277" s="29">
        <f>IF(TRIM(H277)="","",IF(AND(LEN(UPPER(TRIM(H277)))=10,SUMPRODUCT(--ISERROR(FIND(MID(UPPER(TRIM(H277)),{1,2,3,4,10},1),"ABCDEFGHIJKLMNOPQRSTUVWXYZ")))=0,SUMPRODUCT(--ISERROR(FIND(MID(UPPER(TRIM(H277)),{5,6,7,8,9},1),"0123456789")))=0),"OK","Wrong format"))</f>
        <v/>
      </c>
      <c r="AY277" s="30">
        <f>IF(NOT(COUNTA(A277:AE277)&gt;0),"",IF(BE277&lt;&gt;"","✖ "&amp;LEFT(BE277,LEN(BE277)-2),IF(BD277&gt;0,"✔ Ready — client + "&amp;BD277&amp;" service(s)","✔ Ready — client only")))</f>
        <v/>
      </c>
      <c r="AZ277" s="31">
        <f>UPPER(SUBSTITUTE(TRIM(F277)," ",""))</f>
        <v/>
      </c>
      <c r="BA277" s="31">
        <f>UPPER(SUBSTITUTE(TRIM(E277)," ",""))</f>
        <v/>
      </c>
      <c r="BB277" s="31">
        <f>IF(D277&lt;&gt;"",D277,IFERROR(VLOOKUP(MID(AS277,4,1),Lists!$E$2:$F$8,2,FALSE),""))</f>
        <v/>
      </c>
      <c r="BC277" s="31">
        <f>IFERROR(VLOOKUP(BB277,Lists!$A$2:$C$12,3,FALSE),"")</f>
        <v/>
      </c>
      <c r="BD277" s="31">
        <f>COUNTIF(W277:AC277,"Yes")</f>
        <v/>
      </c>
      <c r="BE277" s="31">
        <f>IF(TRIM(B277)="","Legal name missing; ","")&amp;IF(AND(AV277&lt;&gt;"",AV277&lt;&gt;"OK"),"GSTIN: "&amp;AV277&amp;"; ","")&amp;IF(AND(AW277&lt;&gt;"",AW277&lt;&gt;"OK"),"PAN wrong format; ","")&amp;IF(AND(BA277&lt;&gt;"",LEN(AZ277)=15,MID(AZ277,3,10)&lt;&gt;BA277),"PAN does not match GSTIN; ","")&amp;IF(AND(AX277&lt;&gt;"",AX277&lt;&gt;"OK"),"TAN wrong format; ","")&amp;IF(AS277="","PAN missing; ","")&amp;IF(BB277="","Entity type missing; ","")&amp;IF(AND(AZ277&lt;&gt;"",COUNTIF($AZ$6:$AZ$1005,AZ277)&gt;1),"GSTIN repeated in this sheet; ","")&amp;IF(AND(AS277&lt;&gt;"",COUNTIF($AS$6:$AS$1005,AS277)&gt;1),"PAN repeated in this sheet (same client? put extra GSTINs in Other GSTINs); ","")&amp;IF(AND(BD277&gt;0,V277=""),"Financial year missing; ","")&amp;IF(AND(BD277=0,V277&lt;&gt;""),"Financial year given but no service is Yes; ","")&amp;IF(AND(W277="Yes",AZ277=""),"GST needs a GSTIN; ","")&amp;IF(AND(W277="Yes",X277=""),"GST return frequency missing; ","")&amp;IF(AND(Y277="Yes",TRIM(H277)=""),"TDS needs a TAN; ","")&amp;IF(AND(AA277="Yes",BC277&lt;&gt;"",BC277&lt;&gt;"company",BC277&lt;&gt;"llp"),"ROC is only for a company / LLP; ","")&amp;IF(AND(AA277="Yes",OR(BC277="company",BC277="llp"),TRIM(I277)=""),"ROC needs the CIN / LLPIN; ","")&amp;IF((TRIM(AF277)="")&lt;&gt;(TRIM(AG277)=""),"GST login needs both user ID and password; ","")&amp;IF((TRIM(AH277)="")&lt;&gt;(TRIM(AI277)=""),"Income-tax login needs both user ID and password; ","")&amp;IF((TRIM(AJ277)="")&lt;&gt;(TRIM(AK277)=""),"Income-tax login needs both user ID and password; ","")&amp;IF((TRIM(AL277)="")&lt;&gt;(TRIM(AM277)=""),"TRACES login needs both user ID and password; ","")&amp;IF((TRIM(AN277)="")&lt;&gt;(TRIM(AO277)=""),"MCA login needs both user ID and password; ","")&amp;IF((TRIM(AP277)="")&lt;&gt;(TRIM(AQ277)=""),"E-way bill login needs both user ID and password; ","")</f>
        <v/>
      </c>
    </row>
    <row r="278">
      <c r="A278" s="32" t="n"/>
      <c r="B278" s="33" t="n"/>
      <c r="C278" s="33" t="n"/>
      <c r="D278" s="33" t="n"/>
      <c r="E278" s="32" t="n"/>
      <c r="F278" s="32" t="n"/>
      <c r="G278" s="32" t="n"/>
      <c r="H278" s="32" t="n"/>
      <c r="I278" s="32" t="n"/>
      <c r="J278" s="34" t="n"/>
      <c r="K278" s="33" t="n"/>
      <c r="L278" s="32" t="n"/>
      <c r="M278" s="33" t="n"/>
      <c r="N278" s="33" t="n"/>
      <c r="O278" s="33" t="n"/>
      <c r="P278" s="32" t="n"/>
      <c r="Q278" s="33" t="n"/>
      <c r="R278" s="33" t="n"/>
      <c r="S278" s="33" t="n"/>
      <c r="T278" s="33" t="n"/>
      <c r="U278" s="32" t="n"/>
      <c r="V278" s="33" t="n"/>
      <c r="W278" s="33" t="n"/>
      <c r="X278" s="33" t="n"/>
      <c r="Y278" s="33" t="n"/>
      <c r="Z278" s="33" t="n"/>
      <c r="AA278" s="33" t="n"/>
      <c r="AB278" s="33" t="n"/>
      <c r="AC278" s="33" t="n"/>
      <c r="AD278" s="33" t="n"/>
      <c r="AE278" s="33" t="n"/>
      <c r="AF278" s="32" t="n"/>
      <c r="AG278" s="32" t="n"/>
      <c r="AH278" s="32" t="n"/>
      <c r="AI278" s="32" t="n"/>
      <c r="AJ278" s="32" t="n"/>
      <c r="AK278" s="32" t="n"/>
      <c r="AL278" s="32" t="n"/>
      <c r="AM278" s="32" t="n"/>
      <c r="AN278" s="32" t="n"/>
      <c r="AO278" s="32" t="n"/>
      <c r="AP278" s="32" t="n"/>
      <c r="AQ278" s="32" t="n"/>
      <c r="AR278" s="29">
        <f>IF(NOT(COUNTA(A278:AE278)&gt;0),"",IF(A278="","New client","Update"))</f>
        <v/>
      </c>
      <c r="AS278" s="29">
        <f>IF(BA278&lt;&gt;"",BA278,IF(LEN(AZ278)=15,MID(AZ278,3,10),""))</f>
        <v/>
      </c>
      <c r="AT278" s="29">
        <f>IF(BB278="","",BB278&amp;IF(D278="","  (guessed from PAN)",""))</f>
        <v/>
      </c>
      <c r="AU278" s="29">
        <f>IF(AZ278="","",IFERROR(INDEX(Lists!$L$2:$L$38,MATCH(LEFT(AZ278,2),Lists!$K$2:$K$38,0)),"Unknown code"))</f>
        <v/>
      </c>
      <c r="AV278" s="29">
        <f>IF(AZ278="","",IFERROR(IF(NOT(AND(LEN(AZ278)=15,ISNUMBER(MATCH(LEFT(AZ278,2),Lists!$K$2:$K$38,0)),SUMPRODUCT(--ISERROR(FIND(MID(MID(AZ278,3,10),{1,2,3,4,5,10},1),"ABCDEFGHIJKLMNOPQRSTUVWXYZ")))=0,SUMPRODUCT(--ISERROR(FIND(MID(MID(AZ278,3,10),{6,7,8,9},1),"0123456789")))=0,ISNUMBER(FIND(MID(AZ278,13,1),"123456789ABCDEFGHIJKLMNOPQRSTUVWXYZ")),MID(AZ278,14,1)="Z")),"Wrong format",IF(MID("0123456789ABCDEFGHIJKLMNOPQRSTUVWXYZ",MOD(36-MOD(SUMPRODUCT(INT((FIND(MID(AZ278,{1,2,3,4,5,6,7,8,9,10,11,12,13,14},1),"0123456789ABCDEFGHIJKLMNOPQRSTUVWXYZ")-1)*{1,2,1,2,1,2,1,2,1,2,1,2,1,2}/36)+MOD((FIND(MID(AZ278,{1,2,3,4,5,6,7,8,9,10,11,12,13,14},1),"0123456789ABCDEFGHIJKLMNOPQRSTUVWXYZ")-1)*{1,2,1,2,1,2,1,2,1,2,1,2,1,2},36)),36),36)+1,1)=MID(AZ278,15,1),"OK","Typo? check digit wrong")),"Wrong format"))</f>
        <v/>
      </c>
      <c r="AW278" s="29">
        <f>IF(BA278="","",IF(AND(LEN(BA278)=10,SUMPRODUCT(--ISERROR(FIND(MID(BA278,{1,2,3,4,5,10},1),"ABCDEFGHIJKLMNOPQRSTUVWXYZ")))=0,SUMPRODUCT(--ISERROR(FIND(MID(BA278,{6,7,8,9},1),"0123456789")))=0),"OK","Wrong format"))</f>
        <v/>
      </c>
      <c r="AX278" s="29">
        <f>IF(TRIM(H278)="","",IF(AND(LEN(UPPER(TRIM(H278)))=10,SUMPRODUCT(--ISERROR(FIND(MID(UPPER(TRIM(H278)),{1,2,3,4,10},1),"ABCDEFGHIJKLMNOPQRSTUVWXYZ")))=0,SUMPRODUCT(--ISERROR(FIND(MID(UPPER(TRIM(H278)),{5,6,7,8,9},1),"0123456789")))=0),"OK","Wrong format"))</f>
        <v/>
      </c>
      <c r="AY278" s="30">
        <f>IF(NOT(COUNTA(A278:AE278)&gt;0),"",IF(BE278&lt;&gt;"","✖ "&amp;LEFT(BE278,LEN(BE278)-2),IF(BD278&gt;0,"✔ Ready — client + "&amp;BD278&amp;" service(s)","✔ Ready — client only")))</f>
        <v/>
      </c>
      <c r="AZ278" s="31">
        <f>UPPER(SUBSTITUTE(TRIM(F278)," ",""))</f>
        <v/>
      </c>
      <c r="BA278" s="31">
        <f>UPPER(SUBSTITUTE(TRIM(E278)," ",""))</f>
        <v/>
      </c>
      <c r="BB278" s="31">
        <f>IF(D278&lt;&gt;"",D278,IFERROR(VLOOKUP(MID(AS278,4,1),Lists!$E$2:$F$8,2,FALSE),""))</f>
        <v/>
      </c>
      <c r="BC278" s="31">
        <f>IFERROR(VLOOKUP(BB278,Lists!$A$2:$C$12,3,FALSE),"")</f>
        <v/>
      </c>
      <c r="BD278" s="31">
        <f>COUNTIF(W278:AC278,"Yes")</f>
        <v/>
      </c>
      <c r="BE278" s="31">
        <f>IF(TRIM(B278)="","Legal name missing; ","")&amp;IF(AND(AV278&lt;&gt;"",AV278&lt;&gt;"OK"),"GSTIN: "&amp;AV278&amp;"; ","")&amp;IF(AND(AW278&lt;&gt;"",AW278&lt;&gt;"OK"),"PAN wrong format; ","")&amp;IF(AND(BA278&lt;&gt;"",LEN(AZ278)=15,MID(AZ278,3,10)&lt;&gt;BA278),"PAN does not match GSTIN; ","")&amp;IF(AND(AX278&lt;&gt;"",AX278&lt;&gt;"OK"),"TAN wrong format; ","")&amp;IF(AS278="","PAN missing; ","")&amp;IF(BB278="","Entity type missing; ","")&amp;IF(AND(AZ278&lt;&gt;"",COUNTIF($AZ$6:$AZ$1005,AZ278)&gt;1),"GSTIN repeated in this sheet; ","")&amp;IF(AND(AS278&lt;&gt;"",COUNTIF($AS$6:$AS$1005,AS278)&gt;1),"PAN repeated in this sheet (same client? put extra GSTINs in Other GSTINs); ","")&amp;IF(AND(BD278&gt;0,V278=""),"Financial year missing; ","")&amp;IF(AND(BD278=0,V278&lt;&gt;""),"Financial year given but no service is Yes; ","")&amp;IF(AND(W278="Yes",AZ278=""),"GST needs a GSTIN; ","")&amp;IF(AND(W278="Yes",X278=""),"GST return frequency missing; ","")&amp;IF(AND(Y278="Yes",TRIM(H278)=""),"TDS needs a TAN; ","")&amp;IF(AND(AA278="Yes",BC278&lt;&gt;"",BC278&lt;&gt;"company",BC278&lt;&gt;"llp"),"ROC is only for a company / LLP; ","")&amp;IF(AND(AA278="Yes",OR(BC278="company",BC278="llp"),TRIM(I278)=""),"ROC needs the CIN / LLPIN; ","")&amp;IF((TRIM(AF278)="")&lt;&gt;(TRIM(AG278)=""),"GST login needs both user ID and password; ","")&amp;IF((TRIM(AH278)="")&lt;&gt;(TRIM(AI278)=""),"Income-tax login needs both user ID and password; ","")&amp;IF((TRIM(AJ278)="")&lt;&gt;(TRIM(AK278)=""),"Income-tax login needs both user ID and password; ","")&amp;IF((TRIM(AL278)="")&lt;&gt;(TRIM(AM278)=""),"TRACES login needs both user ID and password; ","")&amp;IF((TRIM(AN278)="")&lt;&gt;(TRIM(AO278)=""),"MCA login needs both user ID and password; ","")&amp;IF((TRIM(AP278)="")&lt;&gt;(TRIM(AQ278)=""),"E-way bill login needs both user ID and password; ","")</f>
        <v/>
      </c>
    </row>
    <row r="279">
      <c r="A279" s="32" t="n"/>
      <c r="B279" s="33" t="n"/>
      <c r="C279" s="33" t="n"/>
      <c r="D279" s="33" t="n"/>
      <c r="E279" s="32" t="n"/>
      <c r="F279" s="32" t="n"/>
      <c r="G279" s="32" t="n"/>
      <c r="H279" s="32" t="n"/>
      <c r="I279" s="32" t="n"/>
      <c r="J279" s="34" t="n"/>
      <c r="K279" s="33" t="n"/>
      <c r="L279" s="32" t="n"/>
      <c r="M279" s="33" t="n"/>
      <c r="N279" s="33" t="n"/>
      <c r="O279" s="33" t="n"/>
      <c r="P279" s="32" t="n"/>
      <c r="Q279" s="33" t="n"/>
      <c r="R279" s="33" t="n"/>
      <c r="S279" s="33" t="n"/>
      <c r="T279" s="33" t="n"/>
      <c r="U279" s="32" t="n"/>
      <c r="V279" s="33" t="n"/>
      <c r="W279" s="33" t="n"/>
      <c r="X279" s="33" t="n"/>
      <c r="Y279" s="33" t="n"/>
      <c r="Z279" s="33" t="n"/>
      <c r="AA279" s="33" t="n"/>
      <c r="AB279" s="33" t="n"/>
      <c r="AC279" s="33" t="n"/>
      <c r="AD279" s="33" t="n"/>
      <c r="AE279" s="33" t="n"/>
      <c r="AF279" s="32" t="n"/>
      <c r="AG279" s="32" t="n"/>
      <c r="AH279" s="32" t="n"/>
      <c r="AI279" s="32" t="n"/>
      <c r="AJ279" s="32" t="n"/>
      <c r="AK279" s="32" t="n"/>
      <c r="AL279" s="32" t="n"/>
      <c r="AM279" s="32" t="n"/>
      <c r="AN279" s="32" t="n"/>
      <c r="AO279" s="32" t="n"/>
      <c r="AP279" s="32" t="n"/>
      <c r="AQ279" s="32" t="n"/>
      <c r="AR279" s="29">
        <f>IF(NOT(COUNTA(A279:AE279)&gt;0),"",IF(A279="","New client","Update"))</f>
        <v/>
      </c>
      <c r="AS279" s="29">
        <f>IF(BA279&lt;&gt;"",BA279,IF(LEN(AZ279)=15,MID(AZ279,3,10),""))</f>
        <v/>
      </c>
      <c r="AT279" s="29">
        <f>IF(BB279="","",BB279&amp;IF(D279="","  (guessed from PAN)",""))</f>
        <v/>
      </c>
      <c r="AU279" s="29">
        <f>IF(AZ279="","",IFERROR(INDEX(Lists!$L$2:$L$38,MATCH(LEFT(AZ279,2),Lists!$K$2:$K$38,0)),"Unknown code"))</f>
        <v/>
      </c>
      <c r="AV279" s="29">
        <f>IF(AZ279="","",IFERROR(IF(NOT(AND(LEN(AZ279)=15,ISNUMBER(MATCH(LEFT(AZ279,2),Lists!$K$2:$K$38,0)),SUMPRODUCT(--ISERROR(FIND(MID(MID(AZ279,3,10),{1,2,3,4,5,10},1),"ABCDEFGHIJKLMNOPQRSTUVWXYZ")))=0,SUMPRODUCT(--ISERROR(FIND(MID(MID(AZ279,3,10),{6,7,8,9},1),"0123456789")))=0,ISNUMBER(FIND(MID(AZ279,13,1),"123456789ABCDEFGHIJKLMNOPQRSTUVWXYZ")),MID(AZ279,14,1)="Z")),"Wrong format",IF(MID("0123456789ABCDEFGHIJKLMNOPQRSTUVWXYZ",MOD(36-MOD(SUMPRODUCT(INT((FIND(MID(AZ279,{1,2,3,4,5,6,7,8,9,10,11,12,13,14},1),"0123456789ABCDEFGHIJKLMNOPQRSTUVWXYZ")-1)*{1,2,1,2,1,2,1,2,1,2,1,2,1,2}/36)+MOD((FIND(MID(AZ279,{1,2,3,4,5,6,7,8,9,10,11,12,13,14},1),"0123456789ABCDEFGHIJKLMNOPQRSTUVWXYZ")-1)*{1,2,1,2,1,2,1,2,1,2,1,2,1,2},36)),36),36)+1,1)=MID(AZ279,15,1),"OK","Typo? check digit wrong")),"Wrong format"))</f>
        <v/>
      </c>
      <c r="AW279" s="29">
        <f>IF(BA279="","",IF(AND(LEN(BA279)=10,SUMPRODUCT(--ISERROR(FIND(MID(BA279,{1,2,3,4,5,10},1),"ABCDEFGHIJKLMNOPQRSTUVWXYZ")))=0,SUMPRODUCT(--ISERROR(FIND(MID(BA279,{6,7,8,9},1),"0123456789")))=0),"OK","Wrong format"))</f>
        <v/>
      </c>
      <c r="AX279" s="29">
        <f>IF(TRIM(H279)="","",IF(AND(LEN(UPPER(TRIM(H279)))=10,SUMPRODUCT(--ISERROR(FIND(MID(UPPER(TRIM(H279)),{1,2,3,4,10},1),"ABCDEFGHIJKLMNOPQRSTUVWXYZ")))=0,SUMPRODUCT(--ISERROR(FIND(MID(UPPER(TRIM(H279)),{5,6,7,8,9},1),"0123456789")))=0),"OK","Wrong format"))</f>
        <v/>
      </c>
      <c r="AY279" s="30">
        <f>IF(NOT(COUNTA(A279:AE279)&gt;0),"",IF(BE279&lt;&gt;"","✖ "&amp;LEFT(BE279,LEN(BE279)-2),IF(BD279&gt;0,"✔ Ready — client + "&amp;BD279&amp;" service(s)","✔ Ready — client only")))</f>
        <v/>
      </c>
      <c r="AZ279" s="31">
        <f>UPPER(SUBSTITUTE(TRIM(F279)," ",""))</f>
        <v/>
      </c>
      <c r="BA279" s="31">
        <f>UPPER(SUBSTITUTE(TRIM(E279)," ",""))</f>
        <v/>
      </c>
      <c r="BB279" s="31">
        <f>IF(D279&lt;&gt;"",D279,IFERROR(VLOOKUP(MID(AS279,4,1),Lists!$E$2:$F$8,2,FALSE),""))</f>
        <v/>
      </c>
      <c r="BC279" s="31">
        <f>IFERROR(VLOOKUP(BB279,Lists!$A$2:$C$12,3,FALSE),"")</f>
        <v/>
      </c>
      <c r="BD279" s="31">
        <f>COUNTIF(W279:AC279,"Yes")</f>
        <v/>
      </c>
      <c r="BE279" s="31">
        <f>IF(TRIM(B279)="","Legal name missing; ","")&amp;IF(AND(AV279&lt;&gt;"",AV279&lt;&gt;"OK"),"GSTIN: "&amp;AV279&amp;"; ","")&amp;IF(AND(AW279&lt;&gt;"",AW279&lt;&gt;"OK"),"PAN wrong format; ","")&amp;IF(AND(BA279&lt;&gt;"",LEN(AZ279)=15,MID(AZ279,3,10)&lt;&gt;BA279),"PAN does not match GSTIN; ","")&amp;IF(AND(AX279&lt;&gt;"",AX279&lt;&gt;"OK"),"TAN wrong format; ","")&amp;IF(AS279="","PAN missing; ","")&amp;IF(BB279="","Entity type missing; ","")&amp;IF(AND(AZ279&lt;&gt;"",COUNTIF($AZ$6:$AZ$1005,AZ279)&gt;1),"GSTIN repeated in this sheet; ","")&amp;IF(AND(AS279&lt;&gt;"",COUNTIF($AS$6:$AS$1005,AS279)&gt;1),"PAN repeated in this sheet (same client? put extra GSTINs in Other GSTINs); ","")&amp;IF(AND(BD279&gt;0,V279=""),"Financial year missing; ","")&amp;IF(AND(BD279=0,V279&lt;&gt;""),"Financial year given but no service is Yes; ","")&amp;IF(AND(W279="Yes",AZ279=""),"GST needs a GSTIN; ","")&amp;IF(AND(W279="Yes",X279=""),"GST return frequency missing; ","")&amp;IF(AND(Y279="Yes",TRIM(H279)=""),"TDS needs a TAN; ","")&amp;IF(AND(AA279="Yes",BC279&lt;&gt;"",BC279&lt;&gt;"company",BC279&lt;&gt;"llp"),"ROC is only for a company / LLP; ","")&amp;IF(AND(AA279="Yes",OR(BC279="company",BC279="llp"),TRIM(I279)=""),"ROC needs the CIN / LLPIN; ","")&amp;IF((TRIM(AF279)="")&lt;&gt;(TRIM(AG279)=""),"GST login needs both user ID and password; ","")&amp;IF((TRIM(AH279)="")&lt;&gt;(TRIM(AI279)=""),"Income-tax login needs both user ID and password; ","")&amp;IF((TRIM(AJ279)="")&lt;&gt;(TRIM(AK279)=""),"Income-tax login needs both user ID and password; ","")&amp;IF((TRIM(AL279)="")&lt;&gt;(TRIM(AM279)=""),"TRACES login needs both user ID and password; ","")&amp;IF((TRIM(AN279)="")&lt;&gt;(TRIM(AO279)=""),"MCA login needs both user ID and password; ","")&amp;IF((TRIM(AP279)="")&lt;&gt;(TRIM(AQ279)=""),"E-way bill login needs both user ID and password; ","")</f>
        <v/>
      </c>
    </row>
    <row r="280">
      <c r="A280" s="32" t="n"/>
      <c r="B280" s="33" t="n"/>
      <c r="C280" s="33" t="n"/>
      <c r="D280" s="33" t="n"/>
      <c r="E280" s="32" t="n"/>
      <c r="F280" s="32" t="n"/>
      <c r="G280" s="32" t="n"/>
      <c r="H280" s="32" t="n"/>
      <c r="I280" s="32" t="n"/>
      <c r="J280" s="34" t="n"/>
      <c r="K280" s="33" t="n"/>
      <c r="L280" s="32" t="n"/>
      <c r="M280" s="33" t="n"/>
      <c r="N280" s="33" t="n"/>
      <c r="O280" s="33" t="n"/>
      <c r="P280" s="32" t="n"/>
      <c r="Q280" s="33" t="n"/>
      <c r="R280" s="33" t="n"/>
      <c r="S280" s="33" t="n"/>
      <c r="T280" s="33" t="n"/>
      <c r="U280" s="32" t="n"/>
      <c r="V280" s="33" t="n"/>
      <c r="W280" s="33" t="n"/>
      <c r="X280" s="33" t="n"/>
      <c r="Y280" s="33" t="n"/>
      <c r="Z280" s="33" t="n"/>
      <c r="AA280" s="33" t="n"/>
      <c r="AB280" s="33" t="n"/>
      <c r="AC280" s="33" t="n"/>
      <c r="AD280" s="33" t="n"/>
      <c r="AE280" s="33" t="n"/>
      <c r="AF280" s="32" t="n"/>
      <c r="AG280" s="32" t="n"/>
      <c r="AH280" s="32" t="n"/>
      <c r="AI280" s="32" t="n"/>
      <c r="AJ280" s="32" t="n"/>
      <c r="AK280" s="32" t="n"/>
      <c r="AL280" s="32" t="n"/>
      <c r="AM280" s="32" t="n"/>
      <c r="AN280" s="32" t="n"/>
      <c r="AO280" s="32" t="n"/>
      <c r="AP280" s="32" t="n"/>
      <c r="AQ280" s="32" t="n"/>
      <c r="AR280" s="29">
        <f>IF(NOT(COUNTA(A280:AE280)&gt;0),"",IF(A280="","New client","Update"))</f>
        <v/>
      </c>
      <c r="AS280" s="29">
        <f>IF(BA280&lt;&gt;"",BA280,IF(LEN(AZ280)=15,MID(AZ280,3,10),""))</f>
        <v/>
      </c>
      <c r="AT280" s="29">
        <f>IF(BB280="","",BB280&amp;IF(D280="","  (guessed from PAN)",""))</f>
        <v/>
      </c>
      <c r="AU280" s="29">
        <f>IF(AZ280="","",IFERROR(INDEX(Lists!$L$2:$L$38,MATCH(LEFT(AZ280,2),Lists!$K$2:$K$38,0)),"Unknown code"))</f>
        <v/>
      </c>
      <c r="AV280" s="29">
        <f>IF(AZ280="","",IFERROR(IF(NOT(AND(LEN(AZ280)=15,ISNUMBER(MATCH(LEFT(AZ280,2),Lists!$K$2:$K$38,0)),SUMPRODUCT(--ISERROR(FIND(MID(MID(AZ280,3,10),{1,2,3,4,5,10},1),"ABCDEFGHIJKLMNOPQRSTUVWXYZ")))=0,SUMPRODUCT(--ISERROR(FIND(MID(MID(AZ280,3,10),{6,7,8,9},1),"0123456789")))=0,ISNUMBER(FIND(MID(AZ280,13,1),"123456789ABCDEFGHIJKLMNOPQRSTUVWXYZ")),MID(AZ280,14,1)="Z")),"Wrong format",IF(MID("0123456789ABCDEFGHIJKLMNOPQRSTUVWXYZ",MOD(36-MOD(SUMPRODUCT(INT((FIND(MID(AZ280,{1,2,3,4,5,6,7,8,9,10,11,12,13,14},1),"0123456789ABCDEFGHIJKLMNOPQRSTUVWXYZ")-1)*{1,2,1,2,1,2,1,2,1,2,1,2,1,2}/36)+MOD((FIND(MID(AZ280,{1,2,3,4,5,6,7,8,9,10,11,12,13,14},1),"0123456789ABCDEFGHIJKLMNOPQRSTUVWXYZ")-1)*{1,2,1,2,1,2,1,2,1,2,1,2,1,2},36)),36),36)+1,1)=MID(AZ280,15,1),"OK","Typo? check digit wrong")),"Wrong format"))</f>
        <v/>
      </c>
      <c r="AW280" s="29">
        <f>IF(BA280="","",IF(AND(LEN(BA280)=10,SUMPRODUCT(--ISERROR(FIND(MID(BA280,{1,2,3,4,5,10},1),"ABCDEFGHIJKLMNOPQRSTUVWXYZ")))=0,SUMPRODUCT(--ISERROR(FIND(MID(BA280,{6,7,8,9},1),"0123456789")))=0),"OK","Wrong format"))</f>
        <v/>
      </c>
      <c r="AX280" s="29">
        <f>IF(TRIM(H280)="","",IF(AND(LEN(UPPER(TRIM(H280)))=10,SUMPRODUCT(--ISERROR(FIND(MID(UPPER(TRIM(H280)),{1,2,3,4,10},1),"ABCDEFGHIJKLMNOPQRSTUVWXYZ")))=0,SUMPRODUCT(--ISERROR(FIND(MID(UPPER(TRIM(H280)),{5,6,7,8,9},1),"0123456789")))=0),"OK","Wrong format"))</f>
        <v/>
      </c>
      <c r="AY280" s="30">
        <f>IF(NOT(COUNTA(A280:AE280)&gt;0),"",IF(BE280&lt;&gt;"","✖ "&amp;LEFT(BE280,LEN(BE280)-2),IF(BD280&gt;0,"✔ Ready — client + "&amp;BD280&amp;" service(s)","✔ Ready — client only")))</f>
        <v/>
      </c>
      <c r="AZ280" s="31">
        <f>UPPER(SUBSTITUTE(TRIM(F280)," ",""))</f>
        <v/>
      </c>
      <c r="BA280" s="31">
        <f>UPPER(SUBSTITUTE(TRIM(E280)," ",""))</f>
        <v/>
      </c>
      <c r="BB280" s="31">
        <f>IF(D280&lt;&gt;"",D280,IFERROR(VLOOKUP(MID(AS280,4,1),Lists!$E$2:$F$8,2,FALSE),""))</f>
        <v/>
      </c>
      <c r="BC280" s="31">
        <f>IFERROR(VLOOKUP(BB280,Lists!$A$2:$C$12,3,FALSE),"")</f>
        <v/>
      </c>
      <c r="BD280" s="31">
        <f>COUNTIF(W280:AC280,"Yes")</f>
        <v/>
      </c>
      <c r="BE280" s="31">
        <f>IF(TRIM(B280)="","Legal name missing; ","")&amp;IF(AND(AV280&lt;&gt;"",AV280&lt;&gt;"OK"),"GSTIN: "&amp;AV280&amp;"; ","")&amp;IF(AND(AW280&lt;&gt;"",AW280&lt;&gt;"OK"),"PAN wrong format; ","")&amp;IF(AND(BA280&lt;&gt;"",LEN(AZ280)=15,MID(AZ280,3,10)&lt;&gt;BA280),"PAN does not match GSTIN; ","")&amp;IF(AND(AX280&lt;&gt;"",AX280&lt;&gt;"OK"),"TAN wrong format; ","")&amp;IF(AS280="","PAN missing; ","")&amp;IF(BB280="","Entity type missing; ","")&amp;IF(AND(AZ280&lt;&gt;"",COUNTIF($AZ$6:$AZ$1005,AZ280)&gt;1),"GSTIN repeated in this sheet; ","")&amp;IF(AND(AS280&lt;&gt;"",COUNTIF($AS$6:$AS$1005,AS280)&gt;1),"PAN repeated in this sheet (same client? put extra GSTINs in Other GSTINs); ","")&amp;IF(AND(BD280&gt;0,V280=""),"Financial year missing; ","")&amp;IF(AND(BD280=0,V280&lt;&gt;""),"Financial year given but no service is Yes; ","")&amp;IF(AND(W280="Yes",AZ280=""),"GST needs a GSTIN; ","")&amp;IF(AND(W280="Yes",X280=""),"GST return frequency missing; ","")&amp;IF(AND(Y280="Yes",TRIM(H280)=""),"TDS needs a TAN; ","")&amp;IF(AND(AA280="Yes",BC280&lt;&gt;"",BC280&lt;&gt;"company",BC280&lt;&gt;"llp"),"ROC is only for a company / LLP; ","")&amp;IF(AND(AA280="Yes",OR(BC280="company",BC280="llp"),TRIM(I280)=""),"ROC needs the CIN / LLPIN; ","")&amp;IF((TRIM(AF280)="")&lt;&gt;(TRIM(AG280)=""),"GST login needs both user ID and password; ","")&amp;IF((TRIM(AH280)="")&lt;&gt;(TRIM(AI280)=""),"Income-tax login needs both user ID and password; ","")&amp;IF((TRIM(AJ280)="")&lt;&gt;(TRIM(AK280)=""),"Income-tax login needs both user ID and password; ","")&amp;IF((TRIM(AL280)="")&lt;&gt;(TRIM(AM280)=""),"TRACES login needs both user ID and password; ","")&amp;IF((TRIM(AN280)="")&lt;&gt;(TRIM(AO280)=""),"MCA login needs both user ID and password; ","")&amp;IF((TRIM(AP280)="")&lt;&gt;(TRIM(AQ280)=""),"E-way bill login needs both user ID and password; ","")</f>
        <v/>
      </c>
    </row>
    <row r="281">
      <c r="A281" s="32" t="n"/>
      <c r="B281" s="33" t="n"/>
      <c r="C281" s="33" t="n"/>
      <c r="D281" s="33" t="n"/>
      <c r="E281" s="32" t="n"/>
      <c r="F281" s="32" t="n"/>
      <c r="G281" s="32" t="n"/>
      <c r="H281" s="32" t="n"/>
      <c r="I281" s="32" t="n"/>
      <c r="J281" s="34" t="n"/>
      <c r="K281" s="33" t="n"/>
      <c r="L281" s="32" t="n"/>
      <c r="M281" s="33" t="n"/>
      <c r="N281" s="33" t="n"/>
      <c r="O281" s="33" t="n"/>
      <c r="P281" s="32" t="n"/>
      <c r="Q281" s="33" t="n"/>
      <c r="R281" s="33" t="n"/>
      <c r="S281" s="33" t="n"/>
      <c r="T281" s="33" t="n"/>
      <c r="U281" s="32" t="n"/>
      <c r="V281" s="33" t="n"/>
      <c r="W281" s="33" t="n"/>
      <c r="X281" s="33" t="n"/>
      <c r="Y281" s="33" t="n"/>
      <c r="Z281" s="33" t="n"/>
      <c r="AA281" s="33" t="n"/>
      <c r="AB281" s="33" t="n"/>
      <c r="AC281" s="33" t="n"/>
      <c r="AD281" s="33" t="n"/>
      <c r="AE281" s="33" t="n"/>
      <c r="AF281" s="32" t="n"/>
      <c r="AG281" s="32" t="n"/>
      <c r="AH281" s="32" t="n"/>
      <c r="AI281" s="32" t="n"/>
      <c r="AJ281" s="32" t="n"/>
      <c r="AK281" s="32" t="n"/>
      <c r="AL281" s="32" t="n"/>
      <c r="AM281" s="32" t="n"/>
      <c r="AN281" s="32" t="n"/>
      <c r="AO281" s="32" t="n"/>
      <c r="AP281" s="32" t="n"/>
      <c r="AQ281" s="32" t="n"/>
      <c r="AR281" s="29">
        <f>IF(NOT(COUNTA(A281:AE281)&gt;0),"",IF(A281="","New client","Update"))</f>
        <v/>
      </c>
      <c r="AS281" s="29">
        <f>IF(BA281&lt;&gt;"",BA281,IF(LEN(AZ281)=15,MID(AZ281,3,10),""))</f>
        <v/>
      </c>
      <c r="AT281" s="29">
        <f>IF(BB281="","",BB281&amp;IF(D281="","  (guessed from PAN)",""))</f>
        <v/>
      </c>
      <c r="AU281" s="29">
        <f>IF(AZ281="","",IFERROR(INDEX(Lists!$L$2:$L$38,MATCH(LEFT(AZ281,2),Lists!$K$2:$K$38,0)),"Unknown code"))</f>
        <v/>
      </c>
      <c r="AV281" s="29">
        <f>IF(AZ281="","",IFERROR(IF(NOT(AND(LEN(AZ281)=15,ISNUMBER(MATCH(LEFT(AZ281,2),Lists!$K$2:$K$38,0)),SUMPRODUCT(--ISERROR(FIND(MID(MID(AZ281,3,10),{1,2,3,4,5,10},1),"ABCDEFGHIJKLMNOPQRSTUVWXYZ")))=0,SUMPRODUCT(--ISERROR(FIND(MID(MID(AZ281,3,10),{6,7,8,9},1),"0123456789")))=0,ISNUMBER(FIND(MID(AZ281,13,1),"123456789ABCDEFGHIJKLMNOPQRSTUVWXYZ")),MID(AZ281,14,1)="Z")),"Wrong format",IF(MID("0123456789ABCDEFGHIJKLMNOPQRSTUVWXYZ",MOD(36-MOD(SUMPRODUCT(INT((FIND(MID(AZ281,{1,2,3,4,5,6,7,8,9,10,11,12,13,14},1),"0123456789ABCDEFGHIJKLMNOPQRSTUVWXYZ")-1)*{1,2,1,2,1,2,1,2,1,2,1,2,1,2}/36)+MOD((FIND(MID(AZ281,{1,2,3,4,5,6,7,8,9,10,11,12,13,14},1),"0123456789ABCDEFGHIJKLMNOPQRSTUVWXYZ")-1)*{1,2,1,2,1,2,1,2,1,2,1,2,1,2},36)),36),36)+1,1)=MID(AZ281,15,1),"OK","Typo? check digit wrong")),"Wrong format"))</f>
        <v/>
      </c>
      <c r="AW281" s="29">
        <f>IF(BA281="","",IF(AND(LEN(BA281)=10,SUMPRODUCT(--ISERROR(FIND(MID(BA281,{1,2,3,4,5,10},1),"ABCDEFGHIJKLMNOPQRSTUVWXYZ")))=0,SUMPRODUCT(--ISERROR(FIND(MID(BA281,{6,7,8,9},1),"0123456789")))=0),"OK","Wrong format"))</f>
        <v/>
      </c>
      <c r="AX281" s="29">
        <f>IF(TRIM(H281)="","",IF(AND(LEN(UPPER(TRIM(H281)))=10,SUMPRODUCT(--ISERROR(FIND(MID(UPPER(TRIM(H281)),{1,2,3,4,10},1),"ABCDEFGHIJKLMNOPQRSTUVWXYZ")))=0,SUMPRODUCT(--ISERROR(FIND(MID(UPPER(TRIM(H281)),{5,6,7,8,9},1),"0123456789")))=0),"OK","Wrong format"))</f>
        <v/>
      </c>
      <c r="AY281" s="30">
        <f>IF(NOT(COUNTA(A281:AE281)&gt;0),"",IF(BE281&lt;&gt;"","✖ "&amp;LEFT(BE281,LEN(BE281)-2),IF(BD281&gt;0,"✔ Ready — client + "&amp;BD281&amp;" service(s)","✔ Ready — client only")))</f>
        <v/>
      </c>
      <c r="AZ281" s="31">
        <f>UPPER(SUBSTITUTE(TRIM(F281)," ",""))</f>
        <v/>
      </c>
      <c r="BA281" s="31">
        <f>UPPER(SUBSTITUTE(TRIM(E281)," ",""))</f>
        <v/>
      </c>
      <c r="BB281" s="31">
        <f>IF(D281&lt;&gt;"",D281,IFERROR(VLOOKUP(MID(AS281,4,1),Lists!$E$2:$F$8,2,FALSE),""))</f>
        <v/>
      </c>
      <c r="BC281" s="31">
        <f>IFERROR(VLOOKUP(BB281,Lists!$A$2:$C$12,3,FALSE),"")</f>
        <v/>
      </c>
      <c r="BD281" s="31">
        <f>COUNTIF(W281:AC281,"Yes")</f>
        <v/>
      </c>
      <c r="BE281" s="31">
        <f>IF(TRIM(B281)="","Legal name missing; ","")&amp;IF(AND(AV281&lt;&gt;"",AV281&lt;&gt;"OK"),"GSTIN: "&amp;AV281&amp;"; ","")&amp;IF(AND(AW281&lt;&gt;"",AW281&lt;&gt;"OK"),"PAN wrong format; ","")&amp;IF(AND(BA281&lt;&gt;"",LEN(AZ281)=15,MID(AZ281,3,10)&lt;&gt;BA281),"PAN does not match GSTIN; ","")&amp;IF(AND(AX281&lt;&gt;"",AX281&lt;&gt;"OK"),"TAN wrong format; ","")&amp;IF(AS281="","PAN missing; ","")&amp;IF(BB281="","Entity type missing; ","")&amp;IF(AND(AZ281&lt;&gt;"",COUNTIF($AZ$6:$AZ$1005,AZ281)&gt;1),"GSTIN repeated in this sheet; ","")&amp;IF(AND(AS281&lt;&gt;"",COUNTIF($AS$6:$AS$1005,AS281)&gt;1),"PAN repeated in this sheet (same client? put extra GSTINs in Other GSTINs); ","")&amp;IF(AND(BD281&gt;0,V281=""),"Financial year missing; ","")&amp;IF(AND(BD281=0,V281&lt;&gt;""),"Financial year given but no service is Yes; ","")&amp;IF(AND(W281="Yes",AZ281=""),"GST needs a GSTIN; ","")&amp;IF(AND(W281="Yes",X281=""),"GST return frequency missing; ","")&amp;IF(AND(Y281="Yes",TRIM(H281)=""),"TDS needs a TAN; ","")&amp;IF(AND(AA281="Yes",BC281&lt;&gt;"",BC281&lt;&gt;"company",BC281&lt;&gt;"llp"),"ROC is only for a company / LLP; ","")&amp;IF(AND(AA281="Yes",OR(BC281="company",BC281="llp"),TRIM(I281)=""),"ROC needs the CIN / LLPIN; ","")&amp;IF((TRIM(AF281)="")&lt;&gt;(TRIM(AG281)=""),"GST login needs both user ID and password; ","")&amp;IF((TRIM(AH281)="")&lt;&gt;(TRIM(AI281)=""),"Income-tax login needs both user ID and password; ","")&amp;IF((TRIM(AJ281)="")&lt;&gt;(TRIM(AK281)=""),"Income-tax login needs both user ID and password; ","")&amp;IF((TRIM(AL281)="")&lt;&gt;(TRIM(AM281)=""),"TRACES login needs both user ID and password; ","")&amp;IF((TRIM(AN281)="")&lt;&gt;(TRIM(AO281)=""),"MCA login needs both user ID and password; ","")&amp;IF((TRIM(AP281)="")&lt;&gt;(TRIM(AQ281)=""),"E-way bill login needs both user ID and password; ","")</f>
        <v/>
      </c>
    </row>
    <row r="282">
      <c r="A282" s="32" t="n"/>
      <c r="B282" s="33" t="n"/>
      <c r="C282" s="33" t="n"/>
      <c r="D282" s="33" t="n"/>
      <c r="E282" s="32" t="n"/>
      <c r="F282" s="32" t="n"/>
      <c r="G282" s="32" t="n"/>
      <c r="H282" s="32" t="n"/>
      <c r="I282" s="32" t="n"/>
      <c r="J282" s="34" t="n"/>
      <c r="K282" s="33" t="n"/>
      <c r="L282" s="32" t="n"/>
      <c r="M282" s="33" t="n"/>
      <c r="N282" s="33" t="n"/>
      <c r="O282" s="33" t="n"/>
      <c r="P282" s="32" t="n"/>
      <c r="Q282" s="33" t="n"/>
      <c r="R282" s="33" t="n"/>
      <c r="S282" s="33" t="n"/>
      <c r="T282" s="33" t="n"/>
      <c r="U282" s="32" t="n"/>
      <c r="V282" s="33" t="n"/>
      <c r="W282" s="33" t="n"/>
      <c r="X282" s="33" t="n"/>
      <c r="Y282" s="33" t="n"/>
      <c r="Z282" s="33" t="n"/>
      <c r="AA282" s="33" t="n"/>
      <c r="AB282" s="33" t="n"/>
      <c r="AC282" s="33" t="n"/>
      <c r="AD282" s="33" t="n"/>
      <c r="AE282" s="33" t="n"/>
      <c r="AF282" s="32" t="n"/>
      <c r="AG282" s="32" t="n"/>
      <c r="AH282" s="32" t="n"/>
      <c r="AI282" s="32" t="n"/>
      <c r="AJ282" s="32" t="n"/>
      <c r="AK282" s="32" t="n"/>
      <c r="AL282" s="32" t="n"/>
      <c r="AM282" s="32" t="n"/>
      <c r="AN282" s="32" t="n"/>
      <c r="AO282" s="32" t="n"/>
      <c r="AP282" s="32" t="n"/>
      <c r="AQ282" s="32" t="n"/>
      <c r="AR282" s="29">
        <f>IF(NOT(COUNTA(A282:AE282)&gt;0),"",IF(A282="","New client","Update"))</f>
        <v/>
      </c>
      <c r="AS282" s="29">
        <f>IF(BA282&lt;&gt;"",BA282,IF(LEN(AZ282)=15,MID(AZ282,3,10),""))</f>
        <v/>
      </c>
      <c r="AT282" s="29">
        <f>IF(BB282="","",BB282&amp;IF(D282="","  (guessed from PAN)",""))</f>
        <v/>
      </c>
      <c r="AU282" s="29">
        <f>IF(AZ282="","",IFERROR(INDEX(Lists!$L$2:$L$38,MATCH(LEFT(AZ282,2),Lists!$K$2:$K$38,0)),"Unknown code"))</f>
        <v/>
      </c>
      <c r="AV282" s="29">
        <f>IF(AZ282="","",IFERROR(IF(NOT(AND(LEN(AZ282)=15,ISNUMBER(MATCH(LEFT(AZ282,2),Lists!$K$2:$K$38,0)),SUMPRODUCT(--ISERROR(FIND(MID(MID(AZ282,3,10),{1,2,3,4,5,10},1),"ABCDEFGHIJKLMNOPQRSTUVWXYZ")))=0,SUMPRODUCT(--ISERROR(FIND(MID(MID(AZ282,3,10),{6,7,8,9},1),"0123456789")))=0,ISNUMBER(FIND(MID(AZ282,13,1),"123456789ABCDEFGHIJKLMNOPQRSTUVWXYZ")),MID(AZ282,14,1)="Z")),"Wrong format",IF(MID("0123456789ABCDEFGHIJKLMNOPQRSTUVWXYZ",MOD(36-MOD(SUMPRODUCT(INT((FIND(MID(AZ282,{1,2,3,4,5,6,7,8,9,10,11,12,13,14},1),"0123456789ABCDEFGHIJKLMNOPQRSTUVWXYZ")-1)*{1,2,1,2,1,2,1,2,1,2,1,2,1,2}/36)+MOD((FIND(MID(AZ282,{1,2,3,4,5,6,7,8,9,10,11,12,13,14},1),"0123456789ABCDEFGHIJKLMNOPQRSTUVWXYZ")-1)*{1,2,1,2,1,2,1,2,1,2,1,2,1,2},36)),36),36)+1,1)=MID(AZ282,15,1),"OK","Typo? check digit wrong")),"Wrong format"))</f>
        <v/>
      </c>
      <c r="AW282" s="29">
        <f>IF(BA282="","",IF(AND(LEN(BA282)=10,SUMPRODUCT(--ISERROR(FIND(MID(BA282,{1,2,3,4,5,10},1),"ABCDEFGHIJKLMNOPQRSTUVWXYZ")))=0,SUMPRODUCT(--ISERROR(FIND(MID(BA282,{6,7,8,9},1),"0123456789")))=0),"OK","Wrong format"))</f>
        <v/>
      </c>
      <c r="AX282" s="29">
        <f>IF(TRIM(H282)="","",IF(AND(LEN(UPPER(TRIM(H282)))=10,SUMPRODUCT(--ISERROR(FIND(MID(UPPER(TRIM(H282)),{1,2,3,4,10},1),"ABCDEFGHIJKLMNOPQRSTUVWXYZ")))=0,SUMPRODUCT(--ISERROR(FIND(MID(UPPER(TRIM(H282)),{5,6,7,8,9},1),"0123456789")))=0),"OK","Wrong format"))</f>
        <v/>
      </c>
      <c r="AY282" s="30">
        <f>IF(NOT(COUNTA(A282:AE282)&gt;0),"",IF(BE282&lt;&gt;"","✖ "&amp;LEFT(BE282,LEN(BE282)-2),IF(BD282&gt;0,"✔ Ready — client + "&amp;BD282&amp;" service(s)","✔ Ready — client only")))</f>
        <v/>
      </c>
      <c r="AZ282" s="31">
        <f>UPPER(SUBSTITUTE(TRIM(F282)," ",""))</f>
        <v/>
      </c>
      <c r="BA282" s="31">
        <f>UPPER(SUBSTITUTE(TRIM(E282)," ",""))</f>
        <v/>
      </c>
      <c r="BB282" s="31">
        <f>IF(D282&lt;&gt;"",D282,IFERROR(VLOOKUP(MID(AS282,4,1),Lists!$E$2:$F$8,2,FALSE),""))</f>
        <v/>
      </c>
      <c r="BC282" s="31">
        <f>IFERROR(VLOOKUP(BB282,Lists!$A$2:$C$12,3,FALSE),"")</f>
        <v/>
      </c>
      <c r="BD282" s="31">
        <f>COUNTIF(W282:AC282,"Yes")</f>
        <v/>
      </c>
      <c r="BE282" s="31">
        <f>IF(TRIM(B282)="","Legal name missing; ","")&amp;IF(AND(AV282&lt;&gt;"",AV282&lt;&gt;"OK"),"GSTIN: "&amp;AV282&amp;"; ","")&amp;IF(AND(AW282&lt;&gt;"",AW282&lt;&gt;"OK"),"PAN wrong format; ","")&amp;IF(AND(BA282&lt;&gt;"",LEN(AZ282)=15,MID(AZ282,3,10)&lt;&gt;BA282),"PAN does not match GSTIN; ","")&amp;IF(AND(AX282&lt;&gt;"",AX282&lt;&gt;"OK"),"TAN wrong format; ","")&amp;IF(AS282="","PAN missing; ","")&amp;IF(BB282="","Entity type missing; ","")&amp;IF(AND(AZ282&lt;&gt;"",COUNTIF($AZ$6:$AZ$1005,AZ282)&gt;1),"GSTIN repeated in this sheet; ","")&amp;IF(AND(AS282&lt;&gt;"",COUNTIF($AS$6:$AS$1005,AS282)&gt;1),"PAN repeated in this sheet (same client? put extra GSTINs in Other GSTINs); ","")&amp;IF(AND(BD282&gt;0,V282=""),"Financial year missing; ","")&amp;IF(AND(BD282=0,V282&lt;&gt;""),"Financial year given but no service is Yes; ","")&amp;IF(AND(W282="Yes",AZ282=""),"GST needs a GSTIN; ","")&amp;IF(AND(W282="Yes",X282=""),"GST return frequency missing; ","")&amp;IF(AND(Y282="Yes",TRIM(H282)=""),"TDS needs a TAN; ","")&amp;IF(AND(AA282="Yes",BC282&lt;&gt;"",BC282&lt;&gt;"company",BC282&lt;&gt;"llp"),"ROC is only for a company / LLP; ","")&amp;IF(AND(AA282="Yes",OR(BC282="company",BC282="llp"),TRIM(I282)=""),"ROC needs the CIN / LLPIN; ","")&amp;IF((TRIM(AF282)="")&lt;&gt;(TRIM(AG282)=""),"GST login needs both user ID and password; ","")&amp;IF((TRIM(AH282)="")&lt;&gt;(TRIM(AI282)=""),"Income-tax login needs both user ID and password; ","")&amp;IF((TRIM(AJ282)="")&lt;&gt;(TRIM(AK282)=""),"Income-tax login needs both user ID and password; ","")&amp;IF((TRIM(AL282)="")&lt;&gt;(TRIM(AM282)=""),"TRACES login needs both user ID and password; ","")&amp;IF((TRIM(AN282)="")&lt;&gt;(TRIM(AO282)=""),"MCA login needs both user ID and password; ","")&amp;IF((TRIM(AP282)="")&lt;&gt;(TRIM(AQ282)=""),"E-way bill login needs both user ID and password; ","")</f>
        <v/>
      </c>
    </row>
    <row r="283">
      <c r="A283" s="32" t="n"/>
      <c r="B283" s="33" t="n"/>
      <c r="C283" s="33" t="n"/>
      <c r="D283" s="33" t="n"/>
      <c r="E283" s="32" t="n"/>
      <c r="F283" s="32" t="n"/>
      <c r="G283" s="32" t="n"/>
      <c r="H283" s="32" t="n"/>
      <c r="I283" s="32" t="n"/>
      <c r="J283" s="34" t="n"/>
      <c r="K283" s="33" t="n"/>
      <c r="L283" s="32" t="n"/>
      <c r="M283" s="33" t="n"/>
      <c r="N283" s="33" t="n"/>
      <c r="O283" s="33" t="n"/>
      <c r="P283" s="32" t="n"/>
      <c r="Q283" s="33" t="n"/>
      <c r="R283" s="33" t="n"/>
      <c r="S283" s="33" t="n"/>
      <c r="T283" s="33" t="n"/>
      <c r="U283" s="32" t="n"/>
      <c r="V283" s="33" t="n"/>
      <c r="W283" s="33" t="n"/>
      <c r="X283" s="33" t="n"/>
      <c r="Y283" s="33" t="n"/>
      <c r="Z283" s="33" t="n"/>
      <c r="AA283" s="33" t="n"/>
      <c r="AB283" s="33" t="n"/>
      <c r="AC283" s="33" t="n"/>
      <c r="AD283" s="33" t="n"/>
      <c r="AE283" s="33" t="n"/>
      <c r="AF283" s="32" t="n"/>
      <c r="AG283" s="32" t="n"/>
      <c r="AH283" s="32" t="n"/>
      <c r="AI283" s="32" t="n"/>
      <c r="AJ283" s="32" t="n"/>
      <c r="AK283" s="32" t="n"/>
      <c r="AL283" s="32" t="n"/>
      <c r="AM283" s="32" t="n"/>
      <c r="AN283" s="32" t="n"/>
      <c r="AO283" s="32" t="n"/>
      <c r="AP283" s="32" t="n"/>
      <c r="AQ283" s="32" t="n"/>
      <c r="AR283" s="29">
        <f>IF(NOT(COUNTA(A283:AE283)&gt;0),"",IF(A283="","New client","Update"))</f>
        <v/>
      </c>
      <c r="AS283" s="29">
        <f>IF(BA283&lt;&gt;"",BA283,IF(LEN(AZ283)=15,MID(AZ283,3,10),""))</f>
        <v/>
      </c>
      <c r="AT283" s="29">
        <f>IF(BB283="","",BB283&amp;IF(D283="","  (guessed from PAN)",""))</f>
        <v/>
      </c>
      <c r="AU283" s="29">
        <f>IF(AZ283="","",IFERROR(INDEX(Lists!$L$2:$L$38,MATCH(LEFT(AZ283,2),Lists!$K$2:$K$38,0)),"Unknown code"))</f>
        <v/>
      </c>
      <c r="AV283" s="29">
        <f>IF(AZ283="","",IFERROR(IF(NOT(AND(LEN(AZ283)=15,ISNUMBER(MATCH(LEFT(AZ283,2),Lists!$K$2:$K$38,0)),SUMPRODUCT(--ISERROR(FIND(MID(MID(AZ283,3,10),{1,2,3,4,5,10},1),"ABCDEFGHIJKLMNOPQRSTUVWXYZ")))=0,SUMPRODUCT(--ISERROR(FIND(MID(MID(AZ283,3,10),{6,7,8,9},1),"0123456789")))=0,ISNUMBER(FIND(MID(AZ283,13,1),"123456789ABCDEFGHIJKLMNOPQRSTUVWXYZ")),MID(AZ283,14,1)="Z")),"Wrong format",IF(MID("0123456789ABCDEFGHIJKLMNOPQRSTUVWXYZ",MOD(36-MOD(SUMPRODUCT(INT((FIND(MID(AZ283,{1,2,3,4,5,6,7,8,9,10,11,12,13,14},1),"0123456789ABCDEFGHIJKLMNOPQRSTUVWXYZ")-1)*{1,2,1,2,1,2,1,2,1,2,1,2,1,2}/36)+MOD((FIND(MID(AZ283,{1,2,3,4,5,6,7,8,9,10,11,12,13,14},1),"0123456789ABCDEFGHIJKLMNOPQRSTUVWXYZ")-1)*{1,2,1,2,1,2,1,2,1,2,1,2,1,2},36)),36),36)+1,1)=MID(AZ283,15,1),"OK","Typo? check digit wrong")),"Wrong format"))</f>
        <v/>
      </c>
      <c r="AW283" s="29">
        <f>IF(BA283="","",IF(AND(LEN(BA283)=10,SUMPRODUCT(--ISERROR(FIND(MID(BA283,{1,2,3,4,5,10},1),"ABCDEFGHIJKLMNOPQRSTUVWXYZ")))=0,SUMPRODUCT(--ISERROR(FIND(MID(BA283,{6,7,8,9},1),"0123456789")))=0),"OK","Wrong format"))</f>
        <v/>
      </c>
      <c r="AX283" s="29">
        <f>IF(TRIM(H283)="","",IF(AND(LEN(UPPER(TRIM(H283)))=10,SUMPRODUCT(--ISERROR(FIND(MID(UPPER(TRIM(H283)),{1,2,3,4,10},1),"ABCDEFGHIJKLMNOPQRSTUVWXYZ")))=0,SUMPRODUCT(--ISERROR(FIND(MID(UPPER(TRIM(H283)),{5,6,7,8,9},1),"0123456789")))=0),"OK","Wrong format"))</f>
        <v/>
      </c>
      <c r="AY283" s="30">
        <f>IF(NOT(COUNTA(A283:AE283)&gt;0),"",IF(BE283&lt;&gt;"","✖ "&amp;LEFT(BE283,LEN(BE283)-2),IF(BD283&gt;0,"✔ Ready — client + "&amp;BD283&amp;" service(s)","✔ Ready — client only")))</f>
        <v/>
      </c>
      <c r="AZ283" s="31">
        <f>UPPER(SUBSTITUTE(TRIM(F283)," ",""))</f>
        <v/>
      </c>
      <c r="BA283" s="31">
        <f>UPPER(SUBSTITUTE(TRIM(E283)," ",""))</f>
        <v/>
      </c>
      <c r="BB283" s="31">
        <f>IF(D283&lt;&gt;"",D283,IFERROR(VLOOKUP(MID(AS283,4,1),Lists!$E$2:$F$8,2,FALSE),""))</f>
        <v/>
      </c>
      <c r="BC283" s="31">
        <f>IFERROR(VLOOKUP(BB283,Lists!$A$2:$C$12,3,FALSE),"")</f>
        <v/>
      </c>
      <c r="BD283" s="31">
        <f>COUNTIF(W283:AC283,"Yes")</f>
        <v/>
      </c>
      <c r="BE283" s="31">
        <f>IF(TRIM(B283)="","Legal name missing; ","")&amp;IF(AND(AV283&lt;&gt;"",AV283&lt;&gt;"OK"),"GSTIN: "&amp;AV283&amp;"; ","")&amp;IF(AND(AW283&lt;&gt;"",AW283&lt;&gt;"OK"),"PAN wrong format; ","")&amp;IF(AND(BA283&lt;&gt;"",LEN(AZ283)=15,MID(AZ283,3,10)&lt;&gt;BA283),"PAN does not match GSTIN; ","")&amp;IF(AND(AX283&lt;&gt;"",AX283&lt;&gt;"OK"),"TAN wrong format; ","")&amp;IF(AS283="","PAN missing; ","")&amp;IF(BB283="","Entity type missing; ","")&amp;IF(AND(AZ283&lt;&gt;"",COUNTIF($AZ$6:$AZ$1005,AZ283)&gt;1),"GSTIN repeated in this sheet; ","")&amp;IF(AND(AS283&lt;&gt;"",COUNTIF($AS$6:$AS$1005,AS283)&gt;1),"PAN repeated in this sheet (same client? put extra GSTINs in Other GSTINs); ","")&amp;IF(AND(BD283&gt;0,V283=""),"Financial year missing; ","")&amp;IF(AND(BD283=0,V283&lt;&gt;""),"Financial year given but no service is Yes; ","")&amp;IF(AND(W283="Yes",AZ283=""),"GST needs a GSTIN; ","")&amp;IF(AND(W283="Yes",X283=""),"GST return frequency missing; ","")&amp;IF(AND(Y283="Yes",TRIM(H283)=""),"TDS needs a TAN; ","")&amp;IF(AND(AA283="Yes",BC283&lt;&gt;"",BC283&lt;&gt;"company",BC283&lt;&gt;"llp"),"ROC is only for a company / LLP; ","")&amp;IF(AND(AA283="Yes",OR(BC283="company",BC283="llp"),TRIM(I283)=""),"ROC needs the CIN / LLPIN; ","")&amp;IF((TRIM(AF283)="")&lt;&gt;(TRIM(AG283)=""),"GST login needs both user ID and password; ","")&amp;IF((TRIM(AH283)="")&lt;&gt;(TRIM(AI283)=""),"Income-tax login needs both user ID and password; ","")&amp;IF((TRIM(AJ283)="")&lt;&gt;(TRIM(AK283)=""),"Income-tax login needs both user ID and password; ","")&amp;IF((TRIM(AL283)="")&lt;&gt;(TRIM(AM283)=""),"TRACES login needs both user ID and password; ","")&amp;IF((TRIM(AN283)="")&lt;&gt;(TRIM(AO283)=""),"MCA login needs both user ID and password; ","")&amp;IF((TRIM(AP283)="")&lt;&gt;(TRIM(AQ283)=""),"E-way bill login needs both user ID and password; ","")</f>
        <v/>
      </c>
    </row>
    <row r="284">
      <c r="A284" s="32" t="n"/>
      <c r="B284" s="33" t="n"/>
      <c r="C284" s="33" t="n"/>
      <c r="D284" s="33" t="n"/>
      <c r="E284" s="32" t="n"/>
      <c r="F284" s="32" t="n"/>
      <c r="G284" s="32" t="n"/>
      <c r="H284" s="32" t="n"/>
      <c r="I284" s="32" t="n"/>
      <c r="J284" s="34" t="n"/>
      <c r="K284" s="33" t="n"/>
      <c r="L284" s="32" t="n"/>
      <c r="M284" s="33" t="n"/>
      <c r="N284" s="33" t="n"/>
      <c r="O284" s="33" t="n"/>
      <c r="P284" s="32" t="n"/>
      <c r="Q284" s="33" t="n"/>
      <c r="R284" s="33" t="n"/>
      <c r="S284" s="33" t="n"/>
      <c r="T284" s="33" t="n"/>
      <c r="U284" s="32" t="n"/>
      <c r="V284" s="33" t="n"/>
      <c r="W284" s="33" t="n"/>
      <c r="X284" s="33" t="n"/>
      <c r="Y284" s="33" t="n"/>
      <c r="Z284" s="33" t="n"/>
      <c r="AA284" s="33" t="n"/>
      <c r="AB284" s="33" t="n"/>
      <c r="AC284" s="33" t="n"/>
      <c r="AD284" s="33" t="n"/>
      <c r="AE284" s="33" t="n"/>
      <c r="AF284" s="32" t="n"/>
      <c r="AG284" s="32" t="n"/>
      <c r="AH284" s="32" t="n"/>
      <c r="AI284" s="32" t="n"/>
      <c r="AJ284" s="32" t="n"/>
      <c r="AK284" s="32" t="n"/>
      <c r="AL284" s="32" t="n"/>
      <c r="AM284" s="32" t="n"/>
      <c r="AN284" s="32" t="n"/>
      <c r="AO284" s="32" t="n"/>
      <c r="AP284" s="32" t="n"/>
      <c r="AQ284" s="32" t="n"/>
      <c r="AR284" s="29">
        <f>IF(NOT(COUNTA(A284:AE284)&gt;0),"",IF(A284="","New client","Update"))</f>
        <v/>
      </c>
      <c r="AS284" s="29">
        <f>IF(BA284&lt;&gt;"",BA284,IF(LEN(AZ284)=15,MID(AZ284,3,10),""))</f>
        <v/>
      </c>
      <c r="AT284" s="29">
        <f>IF(BB284="","",BB284&amp;IF(D284="","  (guessed from PAN)",""))</f>
        <v/>
      </c>
      <c r="AU284" s="29">
        <f>IF(AZ284="","",IFERROR(INDEX(Lists!$L$2:$L$38,MATCH(LEFT(AZ284,2),Lists!$K$2:$K$38,0)),"Unknown code"))</f>
        <v/>
      </c>
      <c r="AV284" s="29">
        <f>IF(AZ284="","",IFERROR(IF(NOT(AND(LEN(AZ284)=15,ISNUMBER(MATCH(LEFT(AZ284,2),Lists!$K$2:$K$38,0)),SUMPRODUCT(--ISERROR(FIND(MID(MID(AZ284,3,10),{1,2,3,4,5,10},1),"ABCDEFGHIJKLMNOPQRSTUVWXYZ")))=0,SUMPRODUCT(--ISERROR(FIND(MID(MID(AZ284,3,10),{6,7,8,9},1),"0123456789")))=0,ISNUMBER(FIND(MID(AZ284,13,1),"123456789ABCDEFGHIJKLMNOPQRSTUVWXYZ")),MID(AZ284,14,1)="Z")),"Wrong format",IF(MID("0123456789ABCDEFGHIJKLMNOPQRSTUVWXYZ",MOD(36-MOD(SUMPRODUCT(INT((FIND(MID(AZ284,{1,2,3,4,5,6,7,8,9,10,11,12,13,14},1),"0123456789ABCDEFGHIJKLMNOPQRSTUVWXYZ")-1)*{1,2,1,2,1,2,1,2,1,2,1,2,1,2}/36)+MOD((FIND(MID(AZ284,{1,2,3,4,5,6,7,8,9,10,11,12,13,14},1),"0123456789ABCDEFGHIJKLMNOPQRSTUVWXYZ")-1)*{1,2,1,2,1,2,1,2,1,2,1,2,1,2},36)),36),36)+1,1)=MID(AZ284,15,1),"OK","Typo? check digit wrong")),"Wrong format"))</f>
        <v/>
      </c>
      <c r="AW284" s="29">
        <f>IF(BA284="","",IF(AND(LEN(BA284)=10,SUMPRODUCT(--ISERROR(FIND(MID(BA284,{1,2,3,4,5,10},1),"ABCDEFGHIJKLMNOPQRSTUVWXYZ")))=0,SUMPRODUCT(--ISERROR(FIND(MID(BA284,{6,7,8,9},1),"0123456789")))=0),"OK","Wrong format"))</f>
        <v/>
      </c>
      <c r="AX284" s="29">
        <f>IF(TRIM(H284)="","",IF(AND(LEN(UPPER(TRIM(H284)))=10,SUMPRODUCT(--ISERROR(FIND(MID(UPPER(TRIM(H284)),{1,2,3,4,10},1),"ABCDEFGHIJKLMNOPQRSTUVWXYZ")))=0,SUMPRODUCT(--ISERROR(FIND(MID(UPPER(TRIM(H284)),{5,6,7,8,9},1),"0123456789")))=0),"OK","Wrong format"))</f>
        <v/>
      </c>
      <c r="AY284" s="30">
        <f>IF(NOT(COUNTA(A284:AE284)&gt;0),"",IF(BE284&lt;&gt;"","✖ "&amp;LEFT(BE284,LEN(BE284)-2),IF(BD284&gt;0,"✔ Ready — client + "&amp;BD284&amp;" service(s)","✔ Ready — client only")))</f>
        <v/>
      </c>
      <c r="AZ284" s="31">
        <f>UPPER(SUBSTITUTE(TRIM(F284)," ",""))</f>
        <v/>
      </c>
      <c r="BA284" s="31">
        <f>UPPER(SUBSTITUTE(TRIM(E284)," ",""))</f>
        <v/>
      </c>
      <c r="BB284" s="31">
        <f>IF(D284&lt;&gt;"",D284,IFERROR(VLOOKUP(MID(AS284,4,1),Lists!$E$2:$F$8,2,FALSE),""))</f>
        <v/>
      </c>
      <c r="BC284" s="31">
        <f>IFERROR(VLOOKUP(BB284,Lists!$A$2:$C$12,3,FALSE),"")</f>
        <v/>
      </c>
      <c r="BD284" s="31">
        <f>COUNTIF(W284:AC284,"Yes")</f>
        <v/>
      </c>
      <c r="BE284" s="31">
        <f>IF(TRIM(B284)="","Legal name missing; ","")&amp;IF(AND(AV284&lt;&gt;"",AV284&lt;&gt;"OK"),"GSTIN: "&amp;AV284&amp;"; ","")&amp;IF(AND(AW284&lt;&gt;"",AW284&lt;&gt;"OK"),"PAN wrong format; ","")&amp;IF(AND(BA284&lt;&gt;"",LEN(AZ284)=15,MID(AZ284,3,10)&lt;&gt;BA284),"PAN does not match GSTIN; ","")&amp;IF(AND(AX284&lt;&gt;"",AX284&lt;&gt;"OK"),"TAN wrong format; ","")&amp;IF(AS284="","PAN missing; ","")&amp;IF(BB284="","Entity type missing; ","")&amp;IF(AND(AZ284&lt;&gt;"",COUNTIF($AZ$6:$AZ$1005,AZ284)&gt;1),"GSTIN repeated in this sheet; ","")&amp;IF(AND(AS284&lt;&gt;"",COUNTIF($AS$6:$AS$1005,AS284)&gt;1),"PAN repeated in this sheet (same client? put extra GSTINs in Other GSTINs); ","")&amp;IF(AND(BD284&gt;0,V284=""),"Financial year missing; ","")&amp;IF(AND(BD284=0,V284&lt;&gt;""),"Financial year given but no service is Yes; ","")&amp;IF(AND(W284="Yes",AZ284=""),"GST needs a GSTIN; ","")&amp;IF(AND(W284="Yes",X284=""),"GST return frequency missing; ","")&amp;IF(AND(Y284="Yes",TRIM(H284)=""),"TDS needs a TAN; ","")&amp;IF(AND(AA284="Yes",BC284&lt;&gt;"",BC284&lt;&gt;"company",BC284&lt;&gt;"llp"),"ROC is only for a company / LLP; ","")&amp;IF(AND(AA284="Yes",OR(BC284="company",BC284="llp"),TRIM(I284)=""),"ROC needs the CIN / LLPIN; ","")&amp;IF((TRIM(AF284)="")&lt;&gt;(TRIM(AG284)=""),"GST login needs both user ID and password; ","")&amp;IF((TRIM(AH284)="")&lt;&gt;(TRIM(AI284)=""),"Income-tax login needs both user ID and password; ","")&amp;IF((TRIM(AJ284)="")&lt;&gt;(TRIM(AK284)=""),"Income-tax login needs both user ID and password; ","")&amp;IF((TRIM(AL284)="")&lt;&gt;(TRIM(AM284)=""),"TRACES login needs both user ID and password; ","")&amp;IF((TRIM(AN284)="")&lt;&gt;(TRIM(AO284)=""),"MCA login needs both user ID and password; ","")&amp;IF((TRIM(AP284)="")&lt;&gt;(TRIM(AQ284)=""),"E-way bill login needs both user ID and password; ","")</f>
        <v/>
      </c>
    </row>
    <row r="285">
      <c r="A285" s="32" t="n"/>
      <c r="B285" s="33" t="n"/>
      <c r="C285" s="33" t="n"/>
      <c r="D285" s="33" t="n"/>
      <c r="E285" s="32" t="n"/>
      <c r="F285" s="32" t="n"/>
      <c r="G285" s="32" t="n"/>
      <c r="H285" s="32" t="n"/>
      <c r="I285" s="32" t="n"/>
      <c r="J285" s="34" t="n"/>
      <c r="K285" s="33" t="n"/>
      <c r="L285" s="32" t="n"/>
      <c r="M285" s="33" t="n"/>
      <c r="N285" s="33" t="n"/>
      <c r="O285" s="33" t="n"/>
      <c r="P285" s="32" t="n"/>
      <c r="Q285" s="33" t="n"/>
      <c r="R285" s="33" t="n"/>
      <c r="S285" s="33" t="n"/>
      <c r="T285" s="33" t="n"/>
      <c r="U285" s="32" t="n"/>
      <c r="V285" s="33" t="n"/>
      <c r="W285" s="33" t="n"/>
      <c r="X285" s="33" t="n"/>
      <c r="Y285" s="33" t="n"/>
      <c r="Z285" s="33" t="n"/>
      <c r="AA285" s="33" t="n"/>
      <c r="AB285" s="33" t="n"/>
      <c r="AC285" s="33" t="n"/>
      <c r="AD285" s="33" t="n"/>
      <c r="AE285" s="33" t="n"/>
      <c r="AF285" s="32" t="n"/>
      <c r="AG285" s="32" t="n"/>
      <c r="AH285" s="32" t="n"/>
      <c r="AI285" s="32" t="n"/>
      <c r="AJ285" s="32" t="n"/>
      <c r="AK285" s="32" t="n"/>
      <c r="AL285" s="32" t="n"/>
      <c r="AM285" s="32" t="n"/>
      <c r="AN285" s="32" t="n"/>
      <c r="AO285" s="32" t="n"/>
      <c r="AP285" s="32" t="n"/>
      <c r="AQ285" s="32" t="n"/>
      <c r="AR285" s="29">
        <f>IF(NOT(COUNTA(A285:AE285)&gt;0),"",IF(A285="","New client","Update"))</f>
        <v/>
      </c>
      <c r="AS285" s="29">
        <f>IF(BA285&lt;&gt;"",BA285,IF(LEN(AZ285)=15,MID(AZ285,3,10),""))</f>
        <v/>
      </c>
      <c r="AT285" s="29">
        <f>IF(BB285="","",BB285&amp;IF(D285="","  (guessed from PAN)",""))</f>
        <v/>
      </c>
      <c r="AU285" s="29">
        <f>IF(AZ285="","",IFERROR(INDEX(Lists!$L$2:$L$38,MATCH(LEFT(AZ285,2),Lists!$K$2:$K$38,0)),"Unknown code"))</f>
        <v/>
      </c>
      <c r="AV285" s="29">
        <f>IF(AZ285="","",IFERROR(IF(NOT(AND(LEN(AZ285)=15,ISNUMBER(MATCH(LEFT(AZ285,2),Lists!$K$2:$K$38,0)),SUMPRODUCT(--ISERROR(FIND(MID(MID(AZ285,3,10),{1,2,3,4,5,10},1),"ABCDEFGHIJKLMNOPQRSTUVWXYZ")))=0,SUMPRODUCT(--ISERROR(FIND(MID(MID(AZ285,3,10),{6,7,8,9},1),"0123456789")))=0,ISNUMBER(FIND(MID(AZ285,13,1),"123456789ABCDEFGHIJKLMNOPQRSTUVWXYZ")),MID(AZ285,14,1)="Z")),"Wrong format",IF(MID("0123456789ABCDEFGHIJKLMNOPQRSTUVWXYZ",MOD(36-MOD(SUMPRODUCT(INT((FIND(MID(AZ285,{1,2,3,4,5,6,7,8,9,10,11,12,13,14},1),"0123456789ABCDEFGHIJKLMNOPQRSTUVWXYZ")-1)*{1,2,1,2,1,2,1,2,1,2,1,2,1,2}/36)+MOD((FIND(MID(AZ285,{1,2,3,4,5,6,7,8,9,10,11,12,13,14},1),"0123456789ABCDEFGHIJKLMNOPQRSTUVWXYZ")-1)*{1,2,1,2,1,2,1,2,1,2,1,2,1,2},36)),36),36)+1,1)=MID(AZ285,15,1),"OK","Typo? check digit wrong")),"Wrong format"))</f>
        <v/>
      </c>
      <c r="AW285" s="29">
        <f>IF(BA285="","",IF(AND(LEN(BA285)=10,SUMPRODUCT(--ISERROR(FIND(MID(BA285,{1,2,3,4,5,10},1),"ABCDEFGHIJKLMNOPQRSTUVWXYZ")))=0,SUMPRODUCT(--ISERROR(FIND(MID(BA285,{6,7,8,9},1),"0123456789")))=0),"OK","Wrong format"))</f>
        <v/>
      </c>
      <c r="AX285" s="29">
        <f>IF(TRIM(H285)="","",IF(AND(LEN(UPPER(TRIM(H285)))=10,SUMPRODUCT(--ISERROR(FIND(MID(UPPER(TRIM(H285)),{1,2,3,4,10},1),"ABCDEFGHIJKLMNOPQRSTUVWXYZ")))=0,SUMPRODUCT(--ISERROR(FIND(MID(UPPER(TRIM(H285)),{5,6,7,8,9},1),"0123456789")))=0),"OK","Wrong format"))</f>
        <v/>
      </c>
      <c r="AY285" s="30">
        <f>IF(NOT(COUNTA(A285:AE285)&gt;0),"",IF(BE285&lt;&gt;"","✖ "&amp;LEFT(BE285,LEN(BE285)-2),IF(BD285&gt;0,"✔ Ready — client + "&amp;BD285&amp;" service(s)","✔ Ready — client only")))</f>
        <v/>
      </c>
      <c r="AZ285" s="31">
        <f>UPPER(SUBSTITUTE(TRIM(F285)," ",""))</f>
        <v/>
      </c>
      <c r="BA285" s="31">
        <f>UPPER(SUBSTITUTE(TRIM(E285)," ",""))</f>
        <v/>
      </c>
      <c r="BB285" s="31">
        <f>IF(D285&lt;&gt;"",D285,IFERROR(VLOOKUP(MID(AS285,4,1),Lists!$E$2:$F$8,2,FALSE),""))</f>
        <v/>
      </c>
      <c r="BC285" s="31">
        <f>IFERROR(VLOOKUP(BB285,Lists!$A$2:$C$12,3,FALSE),"")</f>
        <v/>
      </c>
      <c r="BD285" s="31">
        <f>COUNTIF(W285:AC285,"Yes")</f>
        <v/>
      </c>
      <c r="BE285" s="31">
        <f>IF(TRIM(B285)="","Legal name missing; ","")&amp;IF(AND(AV285&lt;&gt;"",AV285&lt;&gt;"OK"),"GSTIN: "&amp;AV285&amp;"; ","")&amp;IF(AND(AW285&lt;&gt;"",AW285&lt;&gt;"OK"),"PAN wrong format; ","")&amp;IF(AND(BA285&lt;&gt;"",LEN(AZ285)=15,MID(AZ285,3,10)&lt;&gt;BA285),"PAN does not match GSTIN; ","")&amp;IF(AND(AX285&lt;&gt;"",AX285&lt;&gt;"OK"),"TAN wrong format; ","")&amp;IF(AS285="","PAN missing; ","")&amp;IF(BB285="","Entity type missing; ","")&amp;IF(AND(AZ285&lt;&gt;"",COUNTIF($AZ$6:$AZ$1005,AZ285)&gt;1),"GSTIN repeated in this sheet; ","")&amp;IF(AND(AS285&lt;&gt;"",COUNTIF($AS$6:$AS$1005,AS285)&gt;1),"PAN repeated in this sheet (same client? put extra GSTINs in Other GSTINs); ","")&amp;IF(AND(BD285&gt;0,V285=""),"Financial year missing; ","")&amp;IF(AND(BD285=0,V285&lt;&gt;""),"Financial year given but no service is Yes; ","")&amp;IF(AND(W285="Yes",AZ285=""),"GST needs a GSTIN; ","")&amp;IF(AND(W285="Yes",X285=""),"GST return frequency missing; ","")&amp;IF(AND(Y285="Yes",TRIM(H285)=""),"TDS needs a TAN; ","")&amp;IF(AND(AA285="Yes",BC285&lt;&gt;"",BC285&lt;&gt;"company",BC285&lt;&gt;"llp"),"ROC is only for a company / LLP; ","")&amp;IF(AND(AA285="Yes",OR(BC285="company",BC285="llp"),TRIM(I285)=""),"ROC needs the CIN / LLPIN; ","")&amp;IF((TRIM(AF285)="")&lt;&gt;(TRIM(AG285)=""),"GST login needs both user ID and password; ","")&amp;IF((TRIM(AH285)="")&lt;&gt;(TRIM(AI285)=""),"Income-tax login needs both user ID and password; ","")&amp;IF((TRIM(AJ285)="")&lt;&gt;(TRIM(AK285)=""),"Income-tax login needs both user ID and password; ","")&amp;IF((TRIM(AL285)="")&lt;&gt;(TRIM(AM285)=""),"TRACES login needs both user ID and password; ","")&amp;IF((TRIM(AN285)="")&lt;&gt;(TRIM(AO285)=""),"MCA login needs both user ID and password; ","")&amp;IF((TRIM(AP285)="")&lt;&gt;(TRIM(AQ285)=""),"E-way bill login needs both user ID and password; ","")</f>
        <v/>
      </c>
    </row>
    <row r="286">
      <c r="A286" s="32" t="n"/>
      <c r="B286" s="33" t="n"/>
      <c r="C286" s="33" t="n"/>
      <c r="D286" s="33" t="n"/>
      <c r="E286" s="32" t="n"/>
      <c r="F286" s="32" t="n"/>
      <c r="G286" s="32" t="n"/>
      <c r="H286" s="32" t="n"/>
      <c r="I286" s="32" t="n"/>
      <c r="J286" s="34" t="n"/>
      <c r="K286" s="33" t="n"/>
      <c r="L286" s="32" t="n"/>
      <c r="M286" s="33" t="n"/>
      <c r="N286" s="33" t="n"/>
      <c r="O286" s="33" t="n"/>
      <c r="P286" s="32" t="n"/>
      <c r="Q286" s="33" t="n"/>
      <c r="R286" s="33" t="n"/>
      <c r="S286" s="33" t="n"/>
      <c r="T286" s="33" t="n"/>
      <c r="U286" s="32" t="n"/>
      <c r="V286" s="33" t="n"/>
      <c r="W286" s="33" t="n"/>
      <c r="X286" s="33" t="n"/>
      <c r="Y286" s="33" t="n"/>
      <c r="Z286" s="33" t="n"/>
      <c r="AA286" s="33" t="n"/>
      <c r="AB286" s="33" t="n"/>
      <c r="AC286" s="33" t="n"/>
      <c r="AD286" s="33" t="n"/>
      <c r="AE286" s="33" t="n"/>
      <c r="AF286" s="32" t="n"/>
      <c r="AG286" s="32" t="n"/>
      <c r="AH286" s="32" t="n"/>
      <c r="AI286" s="32" t="n"/>
      <c r="AJ286" s="32" t="n"/>
      <c r="AK286" s="32" t="n"/>
      <c r="AL286" s="32" t="n"/>
      <c r="AM286" s="32" t="n"/>
      <c r="AN286" s="32" t="n"/>
      <c r="AO286" s="32" t="n"/>
      <c r="AP286" s="32" t="n"/>
      <c r="AQ286" s="32" t="n"/>
      <c r="AR286" s="29">
        <f>IF(NOT(COUNTA(A286:AE286)&gt;0),"",IF(A286="","New client","Update"))</f>
        <v/>
      </c>
      <c r="AS286" s="29">
        <f>IF(BA286&lt;&gt;"",BA286,IF(LEN(AZ286)=15,MID(AZ286,3,10),""))</f>
        <v/>
      </c>
      <c r="AT286" s="29">
        <f>IF(BB286="","",BB286&amp;IF(D286="","  (guessed from PAN)",""))</f>
        <v/>
      </c>
      <c r="AU286" s="29">
        <f>IF(AZ286="","",IFERROR(INDEX(Lists!$L$2:$L$38,MATCH(LEFT(AZ286,2),Lists!$K$2:$K$38,0)),"Unknown code"))</f>
        <v/>
      </c>
      <c r="AV286" s="29">
        <f>IF(AZ286="","",IFERROR(IF(NOT(AND(LEN(AZ286)=15,ISNUMBER(MATCH(LEFT(AZ286,2),Lists!$K$2:$K$38,0)),SUMPRODUCT(--ISERROR(FIND(MID(MID(AZ286,3,10),{1,2,3,4,5,10},1),"ABCDEFGHIJKLMNOPQRSTUVWXYZ")))=0,SUMPRODUCT(--ISERROR(FIND(MID(MID(AZ286,3,10),{6,7,8,9},1),"0123456789")))=0,ISNUMBER(FIND(MID(AZ286,13,1),"123456789ABCDEFGHIJKLMNOPQRSTUVWXYZ")),MID(AZ286,14,1)="Z")),"Wrong format",IF(MID("0123456789ABCDEFGHIJKLMNOPQRSTUVWXYZ",MOD(36-MOD(SUMPRODUCT(INT((FIND(MID(AZ286,{1,2,3,4,5,6,7,8,9,10,11,12,13,14},1),"0123456789ABCDEFGHIJKLMNOPQRSTUVWXYZ")-1)*{1,2,1,2,1,2,1,2,1,2,1,2,1,2}/36)+MOD((FIND(MID(AZ286,{1,2,3,4,5,6,7,8,9,10,11,12,13,14},1),"0123456789ABCDEFGHIJKLMNOPQRSTUVWXYZ")-1)*{1,2,1,2,1,2,1,2,1,2,1,2,1,2},36)),36),36)+1,1)=MID(AZ286,15,1),"OK","Typo? check digit wrong")),"Wrong format"))</f>
        <v/>
      </c>
      <c r="AW286" s="29">
        <f>IF(BA286="","",IF(AND(LEN(BA286)=10,SUMPRODUCT(--ISERROR(FIND(MID(BA286,{1,2,3,4,5,10},1),"ABCDEFGHIJKLMNOPQRSTUVWXYZ")))=0,SUMPRODUCT(--ISERROR(FIND(MID(BA286,{6,7,8,9},1),"0123456789")))=0),"OK","Wrong format"))</f>
        <v/>
      </c>
      <c r="AX286" s="29">
        <f>IF(TRIM(H286)="","",IF(AND(LEN(UPPER(TRIM(H286)))=10,SUMPRODUCT(--ISERROR(FIND(MID(UPPER(TRIM(H286)),{1,2,3,4,10},1),"ABCDEFGHIJKLMNOPQRSTUVWXYZ")))=0,SUMPRODUCT(--ISERROR(FIND(MID(UPPER(TRIM(H286)),{5,6,7,8,9},1),"0123456789")))=0),"OK","Wrong format"))</f>
        <v/>
      </c>
      <c r="AY286" s="30">
        <f>IF(NOT(COUNTA(A286:AE286)&gt;0),"",IF(BE286&lt;&gt;"","✖ "&amp;LEFT(BE286,LEN(BE286)-2),IF(BD286&gt;0,"✔ Ready — client + "&amp;BD286&amp;" service(s)","✔ Ready — client only")))</f>
        <v/>
      </c>
      <c r="AZ286" s="31">
        <f>UPPER(SUBSTITUTE(TRIM(F286)," ",""))</f>
        <v/>
      </c>
      <c r="BA286" s="31">
        <f>UPPER(SUBSTITUTE(TRIM(E286)," ",""))</f>
        <v/>
      </c>
      <c r="BB286" s="31">
        <f>IF(D286&lt;&gt;"",D286,IFERROR(VLOOKUP(MID(AS286,4,1),Lists!$E$2:$F$8,2,FALSE),""))</f>
        <v/>
      </c>
      <c r="BC286" s="31">
        <f>IFERROR(VLOOKUP(BB286,Lists!$A$2:$C$12,3,FALSE),"")</f>
        <v/>
      </c>
      <c r="BD286" s="31">
        <f>COUNTIF(W286:AC286,"Yes")</f>
        <v/>
      </c>
      <c r="BE286" s="31">
        <f>IF(TRIM(B286)="","Legal name missing; ","")&amp;IF(AND(AV286&lt;&gt;"",AV286&lt;&gt;"OK"),"GSTIN: "&amp;AV286&amp;"; ","")&amp;IF(AND(AW286&lt;&gt;"",AW286&lt;&gt;"OK"),"PAN wrong format; ","")&amp;IF(AND(BA286&lt;&gt;"",LEN(AZ286)=15,MID(AZ286,3,10)&lt;&gt;BA286),"PAN does not match GSTIN; ","")&amp;IF(AND(AX286&lt;&gt;"",AX286&lt;&gt;"OK"),"TAN wrong format; ","")&amp;IF(AS286="","PAN missing; ","")&amp;IF(BB286="","Entity type missing; ","")&amp;IF(AND(AZ286&lt;&gt;"",COUNTIF($AZ$6:$AZ$1005,AZ286)&gt;1),"GSTIN repeated in this sheet; ","")&amp;IF(AND(AS286&lt;&gt;"",COUNTIF($AS$6:$AS$1005,AS286)&gt;1),"PAN repeated in this sheet (same client? put extra GSTINs in Other GSTINs); ","")&amp;IF(AND(BD286&gt;0,V286=""),"Financial year missing; ","")&amp;IF(AND(BD286=0,V286&lt;&gt;""),"Financial year given but no service is Yes; ","")&amp;IF(AND(W286="Yes",AZ286=""),"GST needs a GSTIN; ","")&amp;IF(AND(W286="Yes",X286=""),"GST return frequency missing; ","")&amp;IF(AND(Y286="Yes",TRIM(H286)=""),"TDS needs a TAN; ","")&amp;IF(AND(AA286="Yes",BC286&lt;&gt;"",BC286&lt;&gt;"company",BC286&lt;&gt;"llp"),"ROC is only for a company / LLP; ","")&amp;IF(AND(AA286="Yes",OR(BC286="company",BC286="llp"),TRIM(I286)=""),"ROC needs the CIN / LLPIN; ","")&amp;IF((TRIM(AF286)="")&lt;&gt;(TRIM(AG286)=""),"GST login needs both user ID and password; ","")&amp;IF((TRIM(AH286)="")&lt;&gt;(TRIM(AI286)=""),"Income-tax login needs both user ID and password; ","")&amp;IF((TRIM(AJ286)="")&lt;&gt;(TRIM(AK286)=""),"Income-tax login needs both user ID and password; ","")&amp;IF((TRIM(AL286)="")&lt;&gt;(TRIM(AM286)=""),"TRACES login needs both user ID and password; ","")&amp;IF((TRIM(AN286)="")&lt;&gt;(TRIM(AO286)=""),"MCA login needs both user ID and password; ","")&amp;IF((TRIM(AP286)="")&lt;&gt;(TRIM(AQ286)=""),"E-way bill login needs both user ID and password; ","")</f>
        <v/>
      </c>
    </row>
    <row r="287">
      <c r="A287" s="32" t="n"/>
      <c r="B287" s="33" t="n"/>
      <c r="C287" s="33" t="n"/>
      <c r="D287" s="33" t="n"/>
      <c r="E287" s="32" t="n"/>
      <c r="F287" s="32" t="n"/>
      <c r="G287" s="32" t="n"/>
      <c r="H287" s="32" t="n"/>
      <c r="I287" s="32" t="n"/>
      <c r="J287" s="34" t="n"/>
      <c r="K287" s="33" t="n"/>
      <c r="L287" s="32" t="n"/>
      <c r="M287" s="33" t="n"/>
      <c r="N287" s="33" t="n"/>
      <c r="O287" s="33" t="n"/>
      <c r="P287" s="32" t="n"/>
      <c r="Q287" s="33" t="n"/>
      <c r="R287" s="33" t="n"/>
      <c r="S287" s="33" t="n"/>
      <c r="T287" s="33" t="n"/>
      <c r="U287" s="32" t="n"/>
      <c r="V287" s="33" t="n"/>
      <c r="W287" s="33" t="n"/>
      <c r="X287" s="33" t="n"/>
      <c r="Y287" s="33" t="n"/>
      <c r="Z287" s="33" t="n"/>
      <c r="AA287" s="33" t="n"/>
      <c r="AB287" s="33" t="n"/>
      <c r="AC287" s="33" t="n"/>
      <c r="AD287" s="33" t="n"/>
      <c r="AE287" s="33" t="n"/>
      <c r="AF287" s="32" t="n"/>
      <c r="AG287" s="32" t="n"/>
      <c r="AH287" s="32" t="n"/>
      <c r="AI287" s="32" t="n"/>
      <c r="AJ287" s="32" t="n"/>
      <c r="AK287" s="32" t="n"/>
      <c r="AL287" s="32" t="n"/>
      <c r="AM287" s="32" t="n"/>
      <c r="AN287" s="32" t="n"/>
      <c r="AO287" s="32" t="n"/>
      <c r="AP287" s="32" t="n"/>
      <c r="AQ287" s="32" t="n"/>
      <c r="AR287" s="29">
        <f>IF(NOT(COUNTA(A287:AE287)&gt;0),"",IF(A287="","New client","Update"))</f>
        <v/>
      </c>
      <c r="AS287" s="29">
        <f>IF(BA287&lt;&gt;"",BA287,IF(LEN(AZ287)=15,MID(AZ287,3,10),""))</f>
        <v/>
      </c>
      <c r="AT287" s="29">
        <f>IF(BB287="","",BB287&amp;IF(D287="","  (guessed from PAN)",""))</f>
        <v/>
      </c>
      <c r="AU287" s="29">
        <f>IF(AZ287="","",IFERROR(INDEX(Lists!$L$2:$L$38,MATCH(LEFT(AZ287,2),Lists!$K$2:$K$38,0)),"Unknown code"))</f>
        <v/>
      </c>
      <c r="AV287" s="29">
        <f>IF(AZ287="","",IFERROR(IF(NOT(AND(LEN(AZ287)=15,ISNUMBER(MATCH(LEFT(AZ287,2),Lists!$K$2:$K$38,0)),SUMPRODUCT(--ISERROR(FIND(MID(MID(AZ287,3,10),{1,2,3,4,5,10},1),"ABCDEFGHIJKLMNOPQRSTUVWXYZ")))=0,SUMPRODUCT(--ISERROR(FIND(MID(MID(AZ287,3,10),{6,7,8,9},1),"0123456789")))=0,ISNUMBER(FIND(MID(AZ287,13,1),"123456789ABCDEFGHIJKLMNOPQRSTUVWXYZ")),MID(AZ287,14,1)="Z")),"Wrong format",IF(MID("0123456789ABCDEFGHIJKLMNOPQRSTUVWXYZ",MOD(36-MOD(SUMPRODUCT(INT((FIND(MID(AZ287,{1,2,3,4,5,6,7,8,9,10,11,12,13,14},1),"0123456789ABCDEFGHIJKLMNOPQRSTUVWXYZ")-1)*{1,2,1,2,1,2,1,2,1,2,1,2,1,2}/36)+MOD((FIND(MID(AZ287,{1,2,3,4,5,6,7,8,9,10,11,12,13,14},1),"0123456789ABCDEFGHIJKLMNOPQRSTUVWXYZ")-1)*{1,2,1,2,1,2,1,2,1,2,1,2,1,2},36)),36),36)+1,1)=MID(AZ287,15,1),"OK","Typo? check digit wrong")),"Wrong format"))</f>
        <v/>
      </c>
      <c r="AW287" s="29">
        <f>IF(BA287="","",IF(AND(LEN(BA287)=10,SUMPRODUCT(--ISERROR(FIND(MID(BA287,{1,2,3,4,5,10},1),"ABCDEFGHIJKLMNOPQRSTUVWXYZ")))=0,SUMPRODUCT(--ISERROR(FIND(MID(BA287,{6,7,8,9},1),"0123456789")))=0),"OK","Wrong format"))</f>
        <v/>
      </c>
      <c r="AX287" s="29">
        <f>IF(TRIM(H287)="","",IF(AND(LEN(UPPER(TRIM(H287)))=10,SUMPRODUCT(--ISERROR(FIND(MID(UPPER(TRIM(H287)),{1,2,3,4,10},1),"ABCDEFGHIJKLMNOPQRSTUVWXYZ")))=0,SUMPRODUCT(--ISERROR(FIND(MID(UPPER(TRIM(H287)),{5,6,7,8,9},1),"0123456789")))=0),"OK","Wrong format"))</f>
        <v/>
      </c>
      <c r="AY287" s="30">
        <f>IF(NOT(COUNTA(A287:AE287)&gt;0),"",IF(BE287&lt;&gt;"","✖ "&amp;LEFT(BE287,LEN(BE287)-2),IF(BD287&gt;0,"✔ Ready — client + "&amp;BD287&amp;" service(s)","✔ Ready — client only")))</f>
        <v/>
      </c>
      <c r="AZ287" s="31">
        <f>UPPER(SUBSTITUTE(TRIM(F287)," ",""))</f>
        <v/>
      </c>
      <c r="BA287" s="31">
        <f>UPPER(SUBSTITUTE(TRIM(E287)," ",""))</f>
        <v/>
      </c>
      <c r="BB287" s="31">
        <f>IF(D287&lt;&gt;"",D287,IFERROR(VLOOKUP(MID(AS287,4,1),Lists!$E$2:$F$8,2,FALSE),""))</f>
        <v/>
      </c>
      <c r="BC287" s="31">
        <f>IFERROR(VLOOKUP(BB287,Lists!$A$2:$C$12,3,FALSE),"")</f>
        <v/>
      </c>
      <c r="BD287" s="31">
        <f>COUNTIF(W287:AC287,"Yes")</f>
        <v/>
      </c>
      <c r="BE287" s="31">
        <f>IF(TRIM(B287)="","Legal name missing; ","")&amp;IF(AND(AV287&lt;&gt;"",AV287&lt;&gt;"OK"),"GSTIN: "&amp;AV287&amp;"; ","")&amp;IF(AND(AW287&lt;&gt;"",AW287&lt;&gt;"OK"),"PAN wrong format; ","")&amp;IF(AND(BA287&lt;&gt;"",LEN(AZ287)=15,MID(AZ287,3,10)&lt;&gt;BA287),"PAN does not match GSTIN; ","")&amp;IF(AND(AX287&lt;&gt;"",AX287&lt;&gt;"OK"),"TAN wrong format; ","")&amp;IF(AS287="","PAN missing; ","")&amp;IF(BB287="","Entity type missing; ","")&amp;IF(AND(AZ287&lt;&gt;"",COUNTIF($AZ$6:$AZ$1005,AZ287)&gt;1),"GSTIN repeated in this sheet; ","")&amp;IF(AND(AS287&lt;&gt;"",COUNTIF($AS$6:$AS$1005,AS287)&gt;1),"PAN repeated in this sheet (same client? put extra GSTINs in Other GSTINs); ","")&amp;IF(AND(BD287&gt;0,V287=""),"Financial year missing; ","")&amp;IF(AND(BD287=0,V287&lt;&gt;""),"Financial year given but no service is Yes; ","")&amp;IF(AND(W287="Yes",AZ287=""),"GST needs a GSTIN; ","")&amp;IF(AND(W287="Yes",X287=""),"GST return frequency missing; ","")&amp;IF(AND(Y287="Yes",TRIM(H287)=""),"TDS needs a TAN; ","")&amp;IF(AND(AA287="Yes",BC287&lt;&gt;"",BC287&lt;&gt;"company",BC287&lt;&gt;"llp"),"ROC is only for a company / LLP; ","")&amp;IF(AND(AA287="Yes",OR(BC287="company",BC287="llp"),TRIM(I287)=""),"ROC needs the CIN / LLPIN; ","")&amp;IF((TRIM(AF287)="")&lt;&gt;(TRIM(AG287)=""),"GST login needs both user ID and password; ","")&amp;IF((TRIM(AH287)="")&lt;&gt;(TRIM(AI287)=""),"Income-tax login needs both user ID and password; ","")&amp;IF((TRIM(AJ287)="")&lt;&gt;(TRIM(AK287)=""),"Income-tax login needs both user ID and password; ","")&amp;IF((TRIM(AL287)="")&lt;&gt;(TRIM(AM287)=""),"TRACES login needs both user ID and password; ","")&amp;IF((TRIM(AN287)="")&lt;&gt;(TRIM(AO287)=""),"MCA login needs both user ID and password; ","")&amp;IF((TRIM(AP287)="")&lt;&gt;(TRIM(AQ287)=""),"E-way bill login needs both user ID and password; ","")</f>
        <v/>
      </c>
    </row>
    <row r="288">
      <c r="A288" s="32" t="n"/>
      <c r="B288" s="33" t="n"/>
      <c r="C288" s="33" t="n"/>
      <c r="D288" s="33" t="n"/>
      <c r="E288" s="32" t="n"/>
      <c r="F288" s="32" t="n"/>
      <c r="G288" s="32" t="n"/>
      <c r="H288" s="32" t="n"/>
      <c r="I288" s="32" t="n"/>
      <c r="J288" s="34" t="n"/>
      <c r="K288" s="33" t="n"/>
      <c r="L288" s="32" t="n"/>
      <c r="M288" s="33" t="n"/>
      <c r="N288" s="33" t="n"/>
      <c r="O288" s="33" t="n"/>
      <c r="P288" s="32" t="n"/>
      <c r="Q288" s="33" t="n"/>
      <c r="R288" s="33" t="n"/>
      <c r="S288" s="33" t="n"/>
      <c r="T288" s="33" t="n"/>
      <c r="U288" s="32" t="n"/>
      <c r="V288" s="33" t="n"/>
      <c r="W288" s="33" t="n"/>
      <c r="X288" s="33" t="n"/>
      <c r="Y288" s="33" t="n"/>
      <c r="Z288" s="33" t="n"/>
      <c r="AA288" s="33" t="n"/>
      <c r="AB288" s="33" t="n"/>
      <c r="AC288" s="33" t="n"/>
      <c r="AD288" s="33" t="n"/>
      <c r="AE288" s="33" t="n"/>
      <c r="AF288" s="32" t="n"/>
      <c r="AG288" s="32" t="n"/>
      <c r="AH288" s="32" t="n"/>
      <c r="AI288" s="32" t="n"/>
      <c r="AJ288" s="32" t="n"/>
      <c r="AK288" s="32" t="n"/>
      <c r="AL288" s="32" t="n"/>
      <c r="AM288" s="32" t="n"/>
      <c r="AN288" s="32" t="n"/>
      <c r="AO288" s="32" t="n"/>
      <c r="AP288" s="32" t="n"/>
      <c r="AQ288" s="32" t="n"/>
      <c r="AR288" s="29">
        <f>IF(NOT(COUNTA(A288:AE288)&gt;0),"",IF(A288="","New client","Update"))</f>
        <v/>
      </c>
      <c r="AS288" s="29">
        <f>IF(BA288&lt;&gt;"",BA288,IF(LEN(AZ288)=15,MID(AZ288,3,10),""))</f>
        <v/>
      </c>
      <c r="AT288" s="29">
        <f>IF(BB288="","",BB288&amp;IF(D288="","  (guessed from PAN)",""))</f>
        <v/>
      </c>
      <c r="AU288" s="29">
        <f>IF(AZ288="","",IFERROR(INDEX(Lists!$L$2:$L$38,MATCH(LEFT(AZ288,2),Lists!$K$2:$K$38,0)),"Unknown code"))</f>
        <v/>
      </c>
      <c r="AV288" s="29">
        <f>IF(AZ288="","",IFERROR(IF(NOT(AND(LEN(AZ288)=15,ISNUMBER(MATCH(LEFT(AZ288,2),Lists!$K$2:$K$38,0)),SUMPRODUCT(--ISERROR(FIND(MID(MID(AZ288,3,10),{1,2,3,4,5,10},1),"ABCDEFGHIJKLMNOPQRSTUVWXYZ")))=0,SUMPRODUCT(--ISERROR(FIND(MID(MID(AZ288,3,10),{6,7,8,9},1),"0123456789")))=0,ISNUMBER(FIND(MID(AZ288,13,1),"123456789ABCDEFGHIJKLMNOPQRSTUVWXYZ")),MID(AZ288,14,1)="Z")),"Wrong format",IF(MID("0123456789ABCDEFGHIJKLMNOPQRSTUVWXYZ",MOD(36-MOD(SUMPRODUCT(INT((FIND(MID(AZ288,{1,2,3,4,5,6,7,8,9,10,11,12,13,14},1),"0123456789ABCDEFGHIJKLMNOPQRSTUVWXYZ")-1)*{1,2,1,2,1,2,1,2,1,2,1,2,1,2}/36)+MOD((FIND(MID(AZ288,{1,2,3,4,5,6,7,8,9,10,11,12,13,14},1),"0123456789ABCDEFGHIJKLMNOPQRSTUVWXYZ")-1)*{1,2,1,2,1,2,1,2,1,2,1,2,1,2},36)),36),36)+1,1)=MID(AZ288,15,1),"OK","Typo? check digit wrong")),"Wrong format"))</f>
        <v/>
      </c>
      <c r="AW288" s="29">
        <f>IF(BA288="","",IF(AND(LEN(BA288)=10,SUMPRODUCT(--ISERROR(FIND(MID(BA288,{1,2,3,4,5,10},1),"ABCDEFGHIJKLMNOPQRSTUVWXYZ")))=0,SUMPRODUCT(--ISERROR(FIND(MID(BA288,{6,7,8,9},1),"0123456789")))=0),"OK","Wrong format"))</f>
        <v/>
      </c>
      <c r="AX288" s="29">
        <f>IF(TRIM(H288)="","",IF(AND(LEN(UPPER(TRIM(H288)))=10,SUMPRODUCT(--ISERROR(FIND(MID(UPPER(TRIM(H288)),{1,2,3,4,10},1),"ABCDEFGHIJKLMNOPQRSTUVWXYZ")))=0,SUMPRODUCT(--ISERROR(FIND(MID(UPPER(TRIM(H288)),{5,6,7,8,9},1),"0123456789")))=0),"OK","Wrong format"))</f>
        <v/>
      </c>
      <c r="AY288" s="30">
        <f>IF(NOT(COUNTA(A288:AE288)&gt;0),"",IF(BE288&lt;&gt;"","✖ "&amp;LEFT(BE288,LEN(BE288)-2),IF(BD288&gt;0,"✔ Ready — client + "&amp;BD288&amp;" service(s)","✔ Ready — client only")))</f>
        <v/>
      </c>
      <c r="AZ288" s="31">
        <f>UPPER(SUBSTITUTE(TRIM(F288)," ",""))</f>
        <v/>
      </c>
      <c r="BA288" s="31">
        <f>UPPER(SUBSTITUTE(TRIM(E288)," ",""))</f>
        <v/>
      </c>
      <c r="BB288" s="31">
        <f>IF(D288&lt;&gt;"",D288,IFERROR(VLOOKUP(MID(AS288,4,1),Lists!$E$2:$F$8,2,FALSE),""))</f>
        <v/>
      </c>
      <c r="BC288" s="31">
        <f>IFERROR(VLOOKUP(BB288,Lists!$A$2:$C$12,3,FALSE),"")</f>
        <v/>
      </c>
      <c r="BD288" s="31">
        <f>COUNTIF(W288:AC288,"Yes")</f>
        <v/>
      </c>
      <c r="BE288" s="31">
        <f>IF(TRIM(B288)="","Legal name missing; ","")&amp;IF(AND(AV288&lt;&gt;"",AV288&lt;&gt;"OK"),"GSTIN: "&amp;AV288&amp;"; ","")&amp;IF(AND(AW288&lt;&gt;"",AW288&lt;&gt;"OK"),"PAN wrong format; ","")&amp;IF(AND(BA288&lt;&gt;"",LEN(AZ288)=15,MID(AZ288,3,10)&lt;&gt;BA288),"PAN does not match GSTIN; ","")&amp;IF(AND(AX288&lt;&gt;"",AX288&lt;&gt;"OK"),"TAN wrong format; ","")&amp;IF(AS288="","PAN missing; ","")&amp;IF(BB288="","Entity type missing; ","")&amp;IF(AND(AZ288&lt;&gt;"",COUNTIF($AZ$6:$AZ$1005,AZ288)&gt;1),"GSTIN repeated in this sheet; ","")&amp;IF(AND(AS288&lt;&gt;"",COUNTIF($AS$6:$AS$1005,AS288)&gt;1),"PAN repeated in this sheet (same client? put extra GSTINs in Other GSTINs); ","")&amp;IF(AND(BD288&gt;0,V288=""),"Financial year missing; ","")&amp;IF(AND(BD288=0,V288&lt;&gt;""),"Financial year given but no service is Yes; ","")&amp;IF(AND(W288="Yes",AZ288=""),"GST needs a GSTIN; ","")&amp;IF(AND(W288="Yes",X288=""),"GST return frequency missing; ","")&amp;IF(AND(Y288="Yes",TRIM(H288)=""),"TDS needs a TAN; ","")&amp;IF(AND(AA288="Yes",BC288&lt;&gt;"",BC288&lt;&gt;"company",BC288&lt;&gt;"llp"),"ROC is only for a company / LLP; ","")&amp;IF(AND(AA288="Yes",OR(BC288="company",BC288="llp"),TRIM(I288)=""),"ROC needs the CIN / LLPIN; ","")&amp;IF((TRIM(AF288)="")&lt;&gt;(TRIM(AG288)=""),"GST login needs both user ID and password; ","")&amp;IF((TRIM(AH288)="")&lt;&gt;(TRIM(AI288)=""),"Income-tax login needs both user ID and password; ","")&amp;IF((TRIM(AJ288)="")&lt;&gt;(TRIM(AK288)=""),"Income-tax login needs both user ID and password; ","")&amp;IF((TRIM(AL288)="")&lt;&gt;(TRIM(AM288)=""),"TRACES login needs both user ID and password; ","")&amp;IF((TRIM(AN288)="")&lt;&gt;(TRIM(AO288)=""),"MCA login needs both user ID and password; ","")&amp;IF((TRIM(AP288)="")&lt;&gt;(TRIM(AQ288)=""),"E-way bill login needs both user ID and password; ","")</f>
        <v/>
      </c>
    </row>
    <row r="289">
      <c r="A289" s="32" t="n"/>
      <c r="B289" s="33" t="n"/>
      <c r="C289" s="33" t="n"/>
      <c r="D289" s="33" t="n"/>
      <c r="E289" s="32" t="n"/>
      <c r="F289" s="32" t="n"/>
      <c r="G289" s="32" t="n"/>
      <c r="H289" s="32" t="n"/>
      <c r="I289" s="32" t="n"/>
      <c r="J289" s="34" t="n"/>
      <c r="K289" s="33" t="n"/>
      <c r="L289" s="32" t="n"/>
      <c r="M289" s="33" t="n"/>
      <c r="N289" s="33" t="n"/>
      <c r="O289" s="33" t="n"/>
      <c r="P289" s="32" t="n"/>
      <c r="Q289" s="33" t="n"/>
      <c r="R289" s="33" t="n"/>
      <c r="S289" s="33" t="n"/>
      <c r="T289" s="33" t="n"/>
      <c r="U289" s="32" t="n"/>
      <c r="V289" s="33" t="n"/>
      <c r="W289" s="33" t="n"/>
      <c r="X289" s="33" t="n"/>
      <c r="Y289" s="33" t="n"/>
      <c r="Z289" s="33" t="n"/>
      <c r="AA289" s="33" t="n"/>
      <c r="AB289" s="33" t="n"/>
      <c r="AC289" s="33" t="n"/>
      <c r="AD289" s="33" t="n"/>
      <c r="AE289" s="33" t="n"/>
      <c r="AF289" s="32" t="n"/>
      <c r="AG289" s="32" t="n"/>
      <c r="AH289" s="32" t="n"/>
      <c r="AI289" s="32" t="n"/>
      <c r="AJ289" s="32" t="n"/>
      <c r="AK289" s="32" t="n"/>
      <c r="AL289" s="32" t="n"/>
      <c r="AM289" s="32" t="n"/>
      <c r="AN289" s="32" t="n"/>
      <c r="AO289" s="32" t="n"/>
      <c r="AP289" s="32" t="n"/>
      <c r="AQ289" s="32" t="n"/>
      <c r="AR289" s="29">
        <f>IF(NOT(COUNTA(A289:AE289)&gt;0),"",IF(A289="","New client","Update"))</f>
        <v/>
      </c>
      <c r="AS289" s="29">
        <f>IF(BA289&lt;&gt;"",BA289,IF(LEN(AZ289)=15,MID(AZ289,3,10),""))</f>
        <v/>
      </c>
      <c r="AT289" s="29">
        <f>IF(BB289="","",BB289&amp;IF(D289="","  (guessed from PAN)",""))</f>
        <v/>
      </c>
      <c r="AU289" s="29">
        <f>IF(AZ289="","",IFERROR(INDEX(Lists!$L$2:$L$38,MATCH(LEFT(AZ289,2),Lists!$K$2:$K$38,0)),"Unknown code"))</f>
        <v/>
      </c>
      <c r="AV289" s="29">
        <f>IF(AZ289="","",IFERROR(IF(NOT(AND(LEN(AZ289)=15,ISNUMBER(MATCH(LEFT(AZ289,2),Lists!$K$2:$K$38,0)),SUMPRODUCT(--ISERROR(FIND(MID(MID(AZ289,3,10),{1,2,3,4,5,10},1),"ABCDEFGHIJKLMNOPQRSTUVWXYZ")))=0,SUMPRODUCT(--ISERROR(FIND(MID(MID(AZ289,3,10),{6,7,8,9},1),"0123456789")))=0,ISNUMBER(FIND(MID(AZ289,13,1),"123456789ABCDEFGHIJKLMNOPQRSTUVWXYZ")),MID(AZ289,14,1)="Z")),"Wrong format",IF(MID("0123456789ABCDEFGHIJKLMNOPQRSTUVWXYZ",MOD(36-MOD(SUMPRODUCT(INT((FIND(MID(AZ289,{1,2,3,4,5,6,7,8,9,10,11,12,13,14},1),"0123456789ABCDEFGHIJKLMNOPQRSTUVWXYZ")-1)*{1,2,1,2,1,2,1,2,1,2,1,2,1,2}/36)+MOD((FIND(MID(AZ289,{1,2,3,4,5,6,7,8,9,10,11,12,13,14},1),"0123456789ABCDEFGHIJKLMNOPQRSTUVWXYZ")-1)*{1,2,1,2,1,2,1,2,1,2,1,2,1,2},36)),36),36)+1,1)=MID(AZ289,15,1),"OK","Typo? check digit wrong")),"Wrong format"))</f>
        <v/>
      </c>
      <c r="AW289" s="29">
        <f>IF(BA289="","",IF(AND(LEN(BA289)=10,SUMPRODUCT(--ISERROR(FIND(MID(BA289,{1,2,3,4,5,10},1),"ABCDEFGHIJKLMNOPQRSTUVWXYZ")))=0,SUMPRODUCT(--ISERROR(FIND(MID(BA289,{6,7,8,9},1),"0123456789")))=0),"OK","Wrong format"))</f>
        <v/>
      </c>
      <c r="AX289" s="29">
        <f>IF(TRIM(H289)="","",IF(AND(LEN(UPPER(TRIM(H289)))=10,SUMPRODUCT(--ISERROR(FIND(MID(UPPER(TRIM(H289)),{1,2,3,4,10},1),"ABCDEFGHIJKLMNOPQRSTUVWXYZ")))=0,SUMPRODUCT(--ISERROR(FIND(MID(UPPER(TRIM(H289)),{5,6,7,8,9},1),"0123456789")))=0),"OK","Wrong format"))</f>
        <v/>
      </c>
      <c r="AY289" s="30">
        <f>IF(NOT(COUNTA(A289:AE289)&gt;0),"",IF(BE289&lt;&gt;"","✖ "&amp;LEFT(BE289,LEN(BE289)-2),IF(BD289&gt;0,"✔ Ready — client + "&amp;BD289&amp;" service(s)","✔ Ready — client only")))</f>
        <v/>
      </c>
      <c r="AZ289" s="31">
        <f>UPPER(SUBSTITUTE(TRIM(F289)," ",""))</f>
        <v/>
      </c>
      <c r="BA289" s="31">
        <f>UPPER(SUBSTITUTE(TRIM(E289)," ",""))</f>
        <v/>
      </c>
      <c r="BB289" s="31">
        <f>IF(D289&lt;&gt;"",D289,IFERROR(VLOOKUP(MID(AS289,4,1),Lists!$E$2:$F$8,2,FALSE),""))</f>
        <v/>
      </c>
      <c r="BC289" s="31">
        <f>IFERROR(VLOOKUP(BB289,Lists!$A$2:$C$12,3,FALSE),"")</f>
        <v/>
      </c>
      <c r="BD289" s="31">
        <f>COUNTIF(W289:AC289,"Yes")</f>
        <v/>
      </c>
      <c r="BE289" s="31">
        <f>IF(TRIM(B289)="","Legal name missing; ","")&amp;IF(AND(AV289&lt;&gt;"",AV289&lt;&gt;"OK"),"GSTIN: "&amp;AV289&amp;"; ","")&amp;IF(AND(AW289&lt;&gt;"",AW289&lt;&gt;"OK"),"PAN wrong format; ","")&amp;IF(AND(BA289&lt;&gt;"",LEN(AZ289)=15,MID(AZ289,3,10)&lt;&gt;BA289),"PAN does not match GSTIN; ","")&amp;IF(AND(AX289&lt;&gt;"",AX289&lt;&gt;"OK"),"TAN wrong format; ","")&amp;IF(AS289="","PAN missing; ","")&amp;IF(BB289="","Entity type missing; ","")&amp;IF(AND(AZ289&lt;&gt;"",COUNTIF($AZ$6:$AZ$1005,AZ289)&gt;1),"GSTIN repeated in this sheet; ","")&amp;IF(AND(AS289&lt;&gt;"",COUNTIF($AS$6:$AS$1005,AS289)&gt;1),"PAN repeated in this sheet (same client? put extra GSTINs in Other GSTINs); ","")&amp;IF(AND(BD289&gt;0,V289=""),"Financial year missing; ","")&amp;IF(AND(BD289=0,V289&lt;&gt;""),"Financial year given but no service is Yes; ","")&amp;IF(AND(W289="Yes",AZ289=""),"GST needs a GSTIN; ","")&amp;IF(AND(W289="Yes",X289=""),"GST return frequency missing; ","")&amp;IF(AND(Y289="Yes",TRIM(H289)=""),"TDS needs a TAN; ","")&amp;IF(AND(AA289="Yes",BC289&lt;&gt;"",BC289&lt;&gt;"company",BC289&lt;&gt;"llp"),"ROC is only for a company / LLP; ","")&amp;IF(AND(AA289="Yes",OR(BC289="company",BC289="llp"),TRIM(I289)=""),"ROC needs the CIN / LLPIN; ","")&amp;IF((TRIM(AF289)="")&lt;&gt;(TRIM(AG289)=""),"GST login needs both user ID and password; ","")&amp;IF((TRIM(AH289)="")&lt;&gt;(TRIM(AI289)=""),"Income-tax login needs both user ID and password; ","")&amp;IF((TRIM(AJ289)="")&lt;&gt;(TRIM(AK289)=""),"Income-tax login needs both user ID and password; ","")&amp;IF((TRIM(AL289)="")&lt;&gt;(TRIM(AM289)=""),"TRACES login needs both user ID and password; ","")&amp;IF((TRIM(AN289)="")&lt;&gt;(TRIM(AO289)=""),"MCA login needs both user ID and password; ","")&amp;IF((TRIM(AP289)="")&lt;&gt;(TRIM(AQ289)=""),"E-way bill login needs both user ID and password; ","")</f>
        <v/>
      </c>
    </row>
    <row r="290">
      <c r="A290" s="32" t="n"/>
      <c r="B290" s="33" t="n"/>
      <c r="C290" s="33" t="n"/>
      <c r="D290" s="33" t="n"/>
      <c r="E290" s="32" t="n"/>
      <c r="F290" s="32" t="n"/>
      <c r="G290" s="32" t="n"/>
      <c r="H290" s="32" t="n"/>
      <c r="I290" s="32" t="n"/>
      <c r="J290" s="34" t="n"/>
      <c r="K290" s="33" t="n"/>
      <c r="L290" s="32" t="n"/>
      <c r="M290" s="33" t="n"/>
      <c r="N290" s="33" t="n"/>
      <c r="O290" s="33" t="n"/>
      <c r="P290" s="32" t="n"/>
      <c r="Q290" s="33" t="n"/>
      <c r="R290" s="33" t="n"/>
      <c r="S290" s="33" t="n"/>
      <c r="T290" s="33" t="n"/>
      <c r="U290" s="32" t="n"/>
      <c r="V290" s="33" t="n"/>
      <c r="W290" s="33" t="n"/>
      <c r="X290" s="33" t="n"/>
      <c r="Y290" s="33" t="n"/>
      <c r="Z290" s="33" t="n"/>
      <c r="AA290" s="33" t="n"/>
      <c r="AB290" s="33" t="n"/>
      <c r="AC290" s="33" t="n"/>
      <c r="AD290" s="33" t="n"/>
      <c r="AE290" s="33" t="n"/>
      <c r="AF290" s="32" t="n"/>
      <c r="AG290" s="32" t="n"/>
      <c r="AH290" s="32" t="n"/>
      <c r="AI290" s="32" t="n"/>
      <c r="AJ290" s="32" t="n"/>
      <c r="AK290" s="32" t="n"/>
      <c r="AL290" s="32" t="n"/>
      <c r="AM290" s="32" t="n"/>
      <c r="AN290" s="32" t="n"/>
      <c r="AO290" s="32" t="n"/>
      <c r="AP290" s="32" t="n"/>
      <c r="AQ290" s="32" t="n"/>
      <c r="AR290" s="29">
        <f>IF(NOT(COUNTA(A290:AE290)&gt;0),"",IF(A290="","New client","Update"))</f>
        <v/>
      </c>
      <c r="AS290" s="29">
        <f>IF(BA290&lt;&gt;"",BA290,IF(LEN(AZ290)=15,MID(AZ290,3,10),""))</f>
        <v/>
      </c>
      <c r="AT290" s="29">
        <f>IF(BB290="","",BB290&amp;IF(D290="","  (guessed from PAN)",""))</f>
        <v/>
      </c>
      <c r="AU290" s="29">
        <f>IF(AZ290="","",IFERROR(INDEX(Lists!$L$2:$L$38,MATCH(LEFT(AZ290,2),Lists!$K$2:$K$38,0)),"Unknown code"))</f>
        <v/>
      </c>
      <c r="AV290" s="29">
        <f>IF(AZ290="","",IFERROR(IF(NOT(AND(LEN(AZ290)=15,ISNUMBER(MATCH(LEFT(AZ290,2),Lists!$K$2:$K$38,0)),SUMPRODUCT(--ISERROR(FIND(MID(MID(AZ290,3,10),{1,2,3,4,5,10},1),"ABCDEFGHIJKLMNOPQRSTUVWXYZ")))=0,SUMPRODUCT(--ISERROR(FIND(MID(MID(AZ290,3,10),{6,7,8,9},1),"0123456789")))=0,ISNUMBER(FIND(MID(AZ290,13,1),"123456789ABCDEFGHIJKLMNOPQRSTUVWXYZ")),MID(AZ290,14,1)="Z")),"Wrong format",IF(MID("0123456789ABCDEFGHIJKLMNOPQRSTUVWXYZ",MOD(36-MOD(SUMPRODUCT(INT((FIND(MID(AZ290,{1,2,3,4,5,6,7,8,9,10,11,12,13,14},1),"0123456789ABCDEFGHIJKLMNOPQRSTUVWXYZ")-1)*{1,2,1,2,1,2,1,2,1,2,1,2,1,2}/36)+MOD((FIND(MID(AZ290,{1,2,3,4,5,6,7,8,9,10,11,12,13,14},1),"0123456789ABCDEFGHIJKLMNOPQRSTUVWXYZ")-1)*{1,2,1,2,1,2,1,2,1,2,1,2,1,2},36)),36),36)+1,1)=MID(AZ290,15,1),"OK","Typo? check digit wrong")),"Wrong format"))</f>
        <v/>
      </c>
      <c r="AW290" s="29">
        <f>IF(BA290="","",IF(AND(LEN(BA290)=10,SUMPRODUCT(--ISERROR(FIND(MID(BA290,{1,2,3,4,5,10},1),"ABCDEFGHIJKLMNOPQRSTUVWXYZ")))=0,SUMPRODUCT(--ISERROR(FIND(MID(BA290,{6,7,8,9},1),"0123456789")))=0),"OK","Wrong format"))</f>
        <v/>
      </c>
      <c r="AX290" s="29">
        <f>IF(TRIM(H290)="","",IF(AND(LEN(UPPER(TRIM(H290)))=10,SUMPRODUCT(--ISERROR(FIND(MID(UPPER(TRIM(H290)),{1,2,3,4,10},1),"ABCDEFGHIJKLMNOPQRSTUVWXYZ")))=0,SUMPRODUCT(--ISERROR(FIND(MID(UPPER(TRIM(H290)),{5,6,7,8,9},1),"0123456789")))=0),"OK","Wrong format"))</f>
        <v/>
      </c>
      <c r="AY290" s="30">
        <f>IF(NOT(COUNTA(A290:AE290)&gt;0),"",IF(BE290&lt;&gt;"","✖ "&amp;LEFT(BE290,LEN(BE290)-2),IF(BD290&gt;0,"✔ Ready — client + "&amp;BD290&amp;" service(s)","✔ Ready — client only")))</f>
        <v/>
      </c>
      <c r="AZ290" s="31">
        <f>UPPER(SUBSTITUTE(TRIM(F290)," ",""))</f>
        <v/>
      </c>
      <c r="BA290" s="31">
        <f>UPPER(SUBSTITUTE(TRIM(E290)," ",""))</f>
        <v/>
      </c>
      <c r="BB290" s="31">
        <f>IF(D290&lt;&gt;"",D290,IFERROR(VLOOKUP(MID(AS290,4,1),Lists!$E$2:$F$8,2,FALSE),""))</f>
        <v/>
      </c>
      <c r="BC290" s="31">
        <f>IFERROR(VLOOKUP(BB290,Lists!$A$2:$C$12,3,FALSE),"")</f>
        <v/>
      </c>
      <c r="BD290" s="31">
        <f>COUNTIF(W290:AC290,"Yes")</f>
        <v/>
      </c>
      <c r="BE290" s="31">
        <f>IF(TRIM(B290)="","Legal name missing; ","")&amp;IF(AND(AV290&lt;&gt;"",AV290&lt;&gt;"OK"),"GSTIN: "&amp;AV290&amp;"; ","")&amp;IF(AND(AW290&lt;&gt;"",AW290&lt;&gt;"OK"),"PAN wrong format; ","")&amp;IF(AND(BA290&lt;&gt;"",LEN(AZ290)=15,MID(AZ290,3,10)&lt;&gt;BA290),"PAN does not match GSTIN; ","")&amp;IF(AND(AX290&lt;&gt;"",AX290&lt;&gt;"OK"),"TAN wrong format; ","")&amp;IF(AS290="","PAN missing; ","")&amp;IF(BB290="","Entity type missing; ","")&amp;IF(AND(AZ290&lt;&gt;"",COUNTIF($AZ$6:$AZ$1005,AZ290)&gt;1),"GSTIN repeated in this sheet; ","")&amp;IF(AND(AS290&lt;&gt;"",COUNTIF($AS$6:$AS$1005,AS290)&gt;1),"PAN repeated in this sheet (same client? put extra GSTINs in Other GSTINs); ","")&amp;IF(AND(BD290&gt;0,V290=""),"Financial year missing; ","")&amp;IF(AND(BD290=0,V290&lt;&gt;""),"Financial year given but no service is Yes; ","")&amp;IF(AND(W290="Yes",AZ290=""),"GST needs a GSTIN; ","")&amp;IF(AND(W290="Yes",X290=""),"GST return frequency missing; ","")&amp;IF(AND(Y290="Yes",TRIM(H290)=""),"TDS needs a TAN; ","")&amp;IF(AND(AA290="Yes",BC290&lt;&gt;"",BC290&lt;&gt;"company",BC290&lt;&gt;"llp"),"ROC is only for a company / LLP; ","")&amp;IF(AND(AA290="Yes",OR(BC290="company",BC290="llp"),TRIM(I290)=""),"ROC needs the CIN / LLPIN; ","")&amp;IF((TRIM(AF290)="")&lt;&gt;(TRIM(AG290)=""),"GST login needs both user ID and password; ","")&amp;IF((TRIM(AH290)="")&lt;&gt;(TRIM(AI290)=""),"Income-tax login needs both user ID and password; ","")&amp;IF((TRIM(AJ290)="")&lt;&gt;(TRIM(AK290)=""),"Income-tax login needs both user ID and password; ","")&amp;IF((TRIM(AL290)="")&lt;&gt;(TRIM(AM290)=""),"TRACES login needs both user ID and password; ","")&amp;IF((TRIM(AN290)="")&lt;&gt;(TRIM(AO290)=""),"MCA login needs both user ID and password; ","")&amp;IF((TRIM(AP290)="")&lt;&gt;(TRIM(AQ290)=""),"E-way bill login needs both user ID and password; ","")</f>
        <v/>
      </c>
    </row>
    <row r="291">
      <c r="A291" s="32" t="n"/>
      <c r="B291" s="33" t="n"/>
      <c r="C291" s="33" t="n"/>
      <c r="D291" s="33" t="n"/>
      <c r="E291" s="32" t="n"/>
      <c r="F291" s="32" t="n"/>
      <c r="G291" s="32" t="n"/>
      <c r="H291" s="32" t="n"/>
      <c r="I291" s="32" t="n"/>
      <c r="J291" s="34" t="n"/>
      <c r="K291" s="33" t="n"/>
      <c r="L291" s="32" t="n"/>
      <c r="M291" s="33" t="n"/>
      <c r="N291" s="33" t="n"/>
      <c r="O291" s="33" t="n"/>
      <c r="P291" s="32" t="n"/>
      <c r="Q291" s="33" t="n"/>
      <c r="R291" s="33" t="n"/>
      <c r="S291" s="33" t="n"/>
      <c r="T291" s="33" t="n"/>
      <c r="U291" s="32" t="n"/>
      <c r="V291" s="33" t="n"/>
      <c r="W291" s="33" t="n"/>
      <c r="X291" s="33" t="n"/>
      <c r="Y291" s="33" t="n"/>
      <c r="Z291" s="33" t="n"/>
      <c r="AA291" s="33" t="n"/>
      <c r="AB291" s="33" t="n"/>
      <c r="AC291" s="33" t="n"/>
      <c r="AD291" s="33" t="n"/>
      <c r="AE291" s="33" t="n"/>
      <c r="AF291" s="32" t="n"/>
      <c r="AG291" s="32" t="n"/>
      <c r="AH291" s="32" t="n"/>
      <c r="AI291" s="32" t="n"/>
      <c r="AJ291" s="32" t="n"/>
      <c r="AK291" s="32" t="n"/>
      <c r="AL291" s="32" t="n"/>
      <c r="AM291" s="32" t="n"/>
      <c r="AN291" s="32" t="n"/>
      <c r="AO291" s="32" t="n"/>
      <c r="AP291" s="32" t="n"/>
      <c r="AQ291" s="32" t="n"/>
      <c r="AR291" s="29">
        <f>IF(NOT(COUNTA(A291:AE291)&gt;0),"",IF(A291="","New client","Update"))</f>
        <v/>
      </c>
      <c r="AS291" s="29">
        <f>IF(BA291&lt;&gt;"",BA291,IF(LEN(AZ291)=15,MID(AZ291,3,10),""))</f>
        <v/>
      </c>
      <c r="AT291" s="29">
        <f>IF(BB291="","",BB291&amp;IF(D291="","  (guessed from PAN)",""))</f>
        <v/>
      </c>
      <c r="AU291" s="29">
        <f>IF(AZ291="","",IFERROR(INDEX(Lists!$L$2:$L$38,MATCH(LEFT(AZ291,2),Lists!$K$2:$K$38,0)),"Unknown code"))</f>
        <v/>
      </c>
      <c r="AV291" s="29">
        <f>IF(AZ291="","",IFERROR(IF(NOT(AND(LEN(AZ291)=15,ISNUMBER(MATCH(LEFT(AZ291,2),Lists!$K$2:$K$38,0)),SUMPRODUCT(--ISERROR(FIND(MID(MID(AZ291,3,10),{1,2,3,4,5,10},1),"ABCDEFGHIJKLMNOPQRSTUVWXYZ")))=0,SUMPRODUCT(--ISERROR(FIND(MID(MID(AZ291,3,10),{6,7,8,9},1),"0123456789")))=0,ISNUMBER(FIND(MID(AZ291,13,1),"123456789ABCDEFGHIJKLMNOPQRSTUVWXYZ")),MID(AZ291,14,1)="Z")),"Wrong format",IF(MID("0123456789ABCDEFGHIJKLMNOPQRSTUVWXYZ",MOD(36-MOD(SUMPRODUCT(INT((FIND(MID(AZ291,{1,2,3,4,5,6,7,8,9,10,11,12,13,14},1),"0123456789ABCDEFGHIJKLMNOPQRSTUVWXYZ")-1)*{1,2,1,2,1,2,1,2,1,2,1,2,1,2}/36)+MOD((FIND(MID(AZ291,{1,2,3,4,5,6,7,8,9,10,11,12,13,14},1),"0123456789ABCDEFGHIJKLMNOPQRSTUVWXYZ")-1)*{1,2,1,2,1,2,1,2,1,2,1,2,1,2},36)),36),36)+1,1)=MID(AZ291,15,1),"OK","Typo? check digit wrong")),"Wrong format"))</f>
        <v/>
      </c>
      <c r="AW291" s="29">
        <f>IF(BA291="","",IF(AND(LEN(BA291)=10,SUMPRODUCT(--ISERROR(FIND(MID(BA291,{1,2,3,4,5,10},1),"ABCDEFGHIJKLMNOPQRSTUVWXYZ")))=0,SUMPRODUCT(--ISERROR(FIND(MID(BA291,{6,7,8,9},1),"0123456789")))=0),"OK","Wrong format"))</f>
        <v/>
      </c>
      <c r="AX291" s="29">
        <f>IF(TRIM(H291)="","",IF(AND(LEN(UPPER(TRIM(H291)))=10,SUMPRODUCT(--ISERROR(FIND(MID(UPPER(TRIM(H291)),{1,2,3,4,10},1),"ABCDEFGHIJKLMNOPQRSTUVWXYZ")))=0,SUMPRODUCT(--ISERROR(FIND(MID(UPPER(TRIM(H291)),{5,6,7,8,9},1),"0123456789")))=0),"OK","Wrong format"))</f>
        <v/>
      </c>
      <c r="AY291" s="30">
        <f>IF(NOT(COUNTA(A291:AE291)&gt;0),"",IF(BE291&lt;&gt;"","✖ "&amp;LEFT(BE291,LEN(BE291)-2),IF(BD291&gt;0,"✔ Ready — client + "&amp;BD291&amp;" service(s)","✔ Ready — client only")))</f>
        <v/>
      </c>
      <c r="AZ291" s="31">
        <f>UPPER(SUBSTITUTE(TRIM(F291)," ",""))</f>
        <v/>
      </c>
      <c r="BA291" s="31">
        <f>UPPER(SUBSTITUTE(TRIM(E291)," ",""))</f>
        <v/>
      </c>
      <c r="BB291" s="31">
        <f>IF(D291&lt;&gt;"",D291,IFERROR(VLOOKUP(MID(AS291,4,1),Lists!$E$2:$F$8,2,FALSE),""))</f>
        <v/>
      </c>
      <c r="BC291" s="31">
        <f>IFERROR(VLOOKUP(BB291,Lists!$A$2:$C$12,3,FALSE),"")</f>
        <v/>
      </c>
      <c r="BD291" s="31">
        <f>COUNTIF(W291:AC291,"Yes")</f>
        <v/>
      </c>
      <c r="BE291" s="31">
        <f>IF(TRIM(B291)="","Legal name missing; ","")&amp;IF(AND(AV291&lt;&gt;"",AV291&lt;&gt;"OK"),"GSTIN: "&amp;AV291&amp;"; ","")&amp;IF(AND(AW291&lt;&gt;"",AW291&lt;&gt;"OK"),"PAN wrong format; ","")&amp;IF(AND(BA291&lt;&gt;"",LEN(AZ291)=15,MID(AZ291,3,10)&lt;&gt;BA291),"PAN does not match GSTIN; ","")&amp;IF(AND(AX291&lt;&gt;"",AX291&lt;&gt;"OK"),"TAN wrong format; ","")&amp;IF(AS291="","PAN missing; ","")&amp;IF(BB291="","Entity type missing; ","")&amp;IF(AND(AZ291&lt;&gt;"",COUNTIF($AZ$6:$AZ$1005,AZ291)&gt;1),"GSTIN repeated in this sheet; ","")&amp;IF(AND(AS291&lt;&gt;"",COUNTIF($AS$6:$AS$1005,AS291)&gt;1),"PAN repeated in this sheet (same client? put extra GSTINs in Other GSTINs); ","")&amp;IF(AND(BD291&gt;0,V291=""),"Financial year missing; ","")&amp;IF(AND(BD291=0,V291&lt;&gt;""),"Financial year given but no service is Yes; ","")&amp;IF(AND(W291="Yes",AZ291=""),"GST needs a GSTIN; ","")&amp;IF(AND(W291="Yes",X291=""),"GST return frequency missing; ","")&amp;IF(AND(Y291="Yes",TRIM(H291)=""),"TDS needs a TAN; ","")&amp;IF(AND(AA291="Yes",BC291&lt;&gt;"",BC291&lt;&gt;"company",BC291&lt;&gt;"llp"),"ROC is only for a company / LLP; ","")&amp;IF(AND(AA291="Yes",OR(BC291="company",BC291="llp"),TRIM(I291)=""),"ROC needs the CIN / LLPIN; ","")&amp;IF((TRIM(AF291)="")&lt;&gt;(TRIM(AG291)=""),"GST login needs both user ID and password; ","")&amp;IF((TRIM(AH291)="")&lt;&gt;(TRIM(AI291)=""),"Income-tax login needs both user ID and password; ","")&amp;IF((TRIM(AJ291)="")&lt;&gt;(TRIM(AK291)=""),"Income-tax login needs both user ID and password; ","")&amp;IF((TRIM(AL291)="")&lt;&gt;(TRIM(AM291)=""),"TRACES login needs both user ID and password; ","")&amp;IF((TRIM(AN291)="")&lt;&gt;(TRIM(AO291)=""),"MCA login needs both user ID and password; ","")&amp;IF((TRIM(AP291)="")&lt;&gt;(TRIM(AQ291)=""),"E-way bill login needs both user ID and password; ","")</f>
        <v/>
      </c>
    </row>
    <row r="292">
      <c r="A292" s="32" t="n"/>
      <c r="B292" s="33" t="n"/>
      <c r="C292" s="33" t="n"/>
      <c r="D292" s="33" t="n"/>
      <c r="E292" s="32" t="n"/>
      <c r="F292" s="32" t="n"/>
      <c r="G292" s="32" t="n"/>
      <c r="H292" s="32" t="n"/>
      <c r="I292" s="32" t="n"/>
      <c r="J292" s="34" t="n"/>
      <c r="K292" s="33" t="n"/>
      <c r="L292" s="32" t="n"/>
      <c r="M292" s="33" t="n"/>
      <c r="N292" s="33" t="n"/>
      <c r="O292" s="33" t="n"/>
      <c r="P292" s="32" t="n"/>
      <c r="Q292" s="33" t="n"/>
      <c r="R292" s="33" t="n"/>
      <c r="S292" s="33" t="n"/>
      <c r="T292" s="33" t="n"/>
      <c r="U292" s="32" t="n"/>
      <c r="V292" s="33" t="n"/>
      <c r="W292" s="33" t="n"/>
      <c r="X292" s="33" t="n"/>
      <c r="Y292" s="33" t="n"/>
      <c r="Z292" s="33" t="n"/>
      <c r="AA292" s="33" t="n"/>
      <c r="AB292" s="33" t="n"/>
      <c r="AC292" s="33" t="n"/>
      <c r="AD292" s="33" t="n"/>
      <c r="AE292" s="33" t="n"/>
      <c r="AF292" s="32" t="n"/>
      <c r="AG292" s="32" t="n"/>
      <c r="AH292" s="32" t="n"/>
      <c r="AI292" s="32" t="n"/>
      <c r="AJ292" s="32" t="n"/>
      <c r="AK292" s="32" t="n"/>
      <c r="AL292" s="32" t="n"/>
      <c r="AM292" s="32" t="n"/>
      <c r="AN292" s="32" t="n"/>
      <c r="AO292" s="32" t="n"/>
      <c r="AP292" s="32" t="n"/>
      <c r="AQ292" s="32" t="n"/>
      <c r="AR292" s="29">
        <f>IF(NOT(COUNTA(A292:AE292)&gt;0),"",IF(A292="","New client","Update"))</f>
        <v/>
      </c>
      <c r="AS292" s="29">
        <f>IF(BA292&lt;&gt;"",BA292,IF(LEN(AZ292)=15,MID(AZ292,3,10),""))</f>
        <v/>
      </c>
      <c r="AT292" s="29">
        <f>IF(BB292="","",BB292&amp;IF(D292="","  (guessed from PAN)",""))</f>
        <v/>
      </c>
      <c r="AU292" s="29">
        <f>IF(AZ292="","",IFERROR(INDEX(Lists!$L$2:$L$38,MATCH(LEFT(AZ292,2),Lists!$K$2:$K$38,0)),"Unknown code"))</f>
        <v/>
      </c>
      <c r="AV292" s="29">
        <f>IF(AZ292="","",IFERROR(IF(NOT(AND(LEN(AZ292)=15,ISNUMBER(MATCH(LEFT(AZ292,2),Lists!$K$2:$K$38,0)),SUMPRODUCT(--ISERROR(FIND(MID(MID(AZ292,3,10),{1,2,3,4,5,10},1),"ABCDEFGHIJKLMNOPQRSTUVWXYZ")))=0,SUMPRODUCT(--ISERROR(FIND(MID(MID(AZ292,3,10),{6,7,8,9},1),"0123456789")))=0,ISNUMBER(FIND(MID(AZ292,13,1),"123456789ABCDEFGHIJKLMNOPQRSTUVWXYZ")),MID(AZ292,14,1)="Z")),"Wrong format",IF(MID("0123456789ABCDEFGHIJKLMNOPQRSTUVWXYZ",MOD(36-MOD(SUMPRODUCT(INT((FIND(MID(AZ292,{1,2,3,4,5,6,7,8,9,10,11,12,13,14},1),"0123456789ABCDEFGHIJKLMNOPQRSTUVWXYZ")-1)*{1,2,1,2,1,2,1,2,1,2,1,2,1,2}/36)+MOD((FIND(MID(AZ292,{1,2,3,4,5,6,7,8,9,10,11,12,13,14},1),"0123456789ABCDEFGHIJKLMNOPQRSTUVWXYZ")-1)*{1,2,1,2,1,2,1,2,1,2,1,2,1,2},36)),36),36)+1,1)=MID(AZ292,15,1),"OK","Typo? check digit wrong")),"Wrong format"))</f>
        <v/>
      </c>
      <c r="AW292" s="29">
        <f>IF(BA292="","",IF(AND(LEN(BA292)=10,SUMPRODUCT(--ISERROR(FIND(MID(BA292,{1,2,3,4,5,10},1),"ABCDEFGHIJKLMNOPQRSTUVWXYZ")))=0,SUMPRODUCT(--ISERROR(FIND(MID(BA292,{6,7,8,9},1),"0123456789")))=0),"OK","Wrong format"))</f>
        <v/>
      </c>
      <c r="AX292" s="29">
        <f>IF(TRIM(H292)="","",IF(AND(LEN(UPPER(TRIM(H292)))=10,SUMPRODUCT(--ISERROR(FIND(MID(UPPER(TRIM(H292)),{1,2,3,4,10},1),"ABCDEFGHIJKLMNOPQRSTUVWXYZ")))=0,SUMPRODUCT(--ISERROR(FIND(MID(UPPER(TRIM(H292)),{5,6,7,8,9},1),"0123456789")))=0),"OK","Wrong format"))</f>
        <v/>
      </c>
      <c r="AY292" s="30">
        <f>IF(NOT(COUNTA(A292:AE292)&gt;0),"",IF(BE292&lt;&gt;"","✖ "&amp;LEFT(BE292,LEN(BE292)-2),IF(BD292&gt;0,"✔ Ready — client + "&amp;BD292&amp;" service(s)","✔ Ready — client only")))</f>
        <v/>
      </c>
      <c r="AZ292" s="31">
        <f>UPPER(SUBSTITUTE(TRIM(F292)," ",""))</f>
        <v/>
      </c>
      <c r="BA292" s="31">
        <f>UPPER(SUBSTITUTE(TRIM(E292)," ",""))</f>
        <v/>
      </c>
      <c r="BB292" s="31">
        <f>IF(D292&lt;&gt;"",D292,IFERROR(VLOOKUP(MID(AS292,4,1),Lists!$E$2:$F$8,2,FALSE),""))</f>
        <v/>
      </c>
      <c r="BC292" s="31">
        <f>IFERROR(VLOOKUP(BB292,Lists!$A$2:$C$12,3,FALSE),"")</f>
        <v/>
      </c>
      <c r="BD292" s="31">
        <f>COUNTIF(W292:AC292,"Yes")</f>
        <v/>
      </c>
      <c r="BE292" s="31">
        <f>IF(TRIM(B292)="","Legal name missing; ","")&amp;IF(AND(AV292&lt;&gt;"",AV292&lt;&gt;"OK"),"GSTIN: "&amp;AV292&amp;"; ","")&amp;IF(AND(AW292&lt;&gt;"",AW292&lt;&gt;"OK"),"PAN wrong format; ","")&amp;IF(AND(BA292&lt;&gt;"",LEN(AZ292)=15,MID(AZ292,3,10)&lt;&gt;BA292),"PAN does not match GSTIN; ","")&amp;IF(AND(AX292&lt;&gt;"",AX292&lt;&gt;"OK"),"TAN wrong format; ","")&amp;IF(AS292="","PAN missing; ","")&amp;IF(BB292="","Entity type missing; ","")&amp;IF(AND(AZ292&lt;&gt;"",COUNTIF($AZ$6:$AZ$1005,AZ292)&gt;1),"GSTIN repeated in this sheet; ","")&amp;IF(AND(AS292&lt;&gt;"",COUNTIF($AS$6:$AS$1005,AS292)&gt;1),"PAN repeated in this sheet (same client? put extra GSTINs in Other GSTINs); ","")&amp;IF(AND(BD292&gt;0,V292=""),"Financial year missing; ","")&amp;IF(AND(BD292=0,V292&lt;&gt;""),"Financial year given but no service is Yes; ","")&amp;IF(AND(W292="Yes",AZ292=""),"GST needs a GSTIN; ","")&amp;IF(AND(W292="Yes",X292=""),"GST return frequency missing; ","")&amp;IF(AND(Y292="Yes",TRIM(H292)=""),"TDS needs a TAN; ","")&amp;IF(AND(AA292="Yes",BC292&lt;&gt;"",BC292&lt;&gt;"company",BC292&lt;&gt;"llp"),"ROC is only for a company / LLP; ","")&amp;IF(AND(AA292="Yes",OR(BC292="company",BC292="llp"),TRIM(I292)=""),"ROC needs the CIN / LLPIN; ","")&amp;IF((TRIM(AF292)="")&lt;&gt;(TRIM(AG292)=""),"GST login needs both user ID and password; ","")&amp;IF((TRIM(AH292)="")&lt;&gt;(TRIM(AI292)=""),"Income-tax login needs both user ID and password; ","")&amp;IF((TRIM(AJ292)="")&lt;&gt;(TRIM(AK292)=""),"Income-tax login needs both user ID and password; ","")&amp;IF((TRIM(AL292)="")&lt;&gt;(TRIM(AM292)=""),"TRACES login needs both user ID and password; ","")&amp;IF((TRIM(AN292)="")&lt;&gt;(TRIM(AO292)=""),"MCA login needs both user ID and password; ","")&amp;IF((TRIM(AP292)="")&lt;&gt;(TRIM(AQ292)=""),"E-way bill login needs both user ID and password; ","")</f>
        <v/>
      </c>
    </row>
    <row r="293">
      <c r="A293" s="32" t="n"/>
      <c r="B293" s="33" t="n"/>
      <c r="C293" s="33" t="n"/>
      <c r="D293" s="33" t="n"/>
      <c r="E293" s="32" t="n"/>
      <c r="F293" s="32" t="n"/>
      <c r="G293" s="32" t="n"/>
      <c r="H293" s="32" t="n"/>
      <c r="I293" s="32" t="n"/>
      <c r="J293" s="34" t="n"/>
      <c r="K293" s="33" t="n"/>
      <c r="L293" s="32" t="n"/>
      <c r="M293" s="33" t="n"/>
      <c r="N293" s="33" t="n"/>
      <c r="O293" s="33" t="n"/>
      <c r="P293" s="32" t="n"/>
      <c r="Q293" s="33" t="n"/>
      <c r="R293" s="33" t="n"/>
      <c r="S293" s="33" t="n"/>
      <c r="T293" s="33" t="n"/>
      <c r="U293" s="32" t="n"/>
      <c r="V293" s="33" t="n"/>
      <c r="W293" s="33" t="n"/>
      <c r="X293" s="33" t="n"/>
      <c r="Y293" s="33" t="n"/>
      <c r="Z293" s="33" t="n"/>
      <c r="AA293" s="33" t="n"/>
      <c r="AB293" s="33" t="n"/>
      <c r="AC293" s="33" t="n"/>
      <c r="AD293" s="33" t="n"/>
      <c r="AE293" s="33" t="n"/>
      <c r="AF293" s="32" t="n"/>
      <c r="AG293" s="32" t="n"/>
      <c r="AH293" s="32" t="n"/>
      <c r="AI293" s="32" t="n"/>
      <c r="AJ293" s="32" t="n"/>
      <c r="AK293" s="32" t="n"/>
      <c r="AL293" s="32" t="n"/>
      <c r="AM293" s="32" t="n"/>
      <c r="AN293" s="32" t="n"/>
      <c r="AO293" s="32" t="n"/>
      <c r="AP293" s="32" t="n"/>
      <c r="AQ293" s="32" t="n"/>
      <c r="AR293" s="29">
        <f>IF(NOT(COUNTA(A293:AE293)&gt;0),"",IF(A293="","New client","Update"))</f>
        <v/>
      </c>
      <c r="AS293" s="29">
        <f>IF(BA293&lt;&gt;"",BA293,IF(LEN(AZ293)=15,MID(AZ293,3,10),""))</f>
        <v/>
      </c>
      <c r="AT293" s="29">
        <f>IF(BB293="","",BB293&amp;IF(D293="","  (guessed from PAN)",""))</f>
        <v/>
      </c>
      <c r="AU293" s="29">
        <f>IF(AZ293="","",IFERROR(INDEX(Lists!$L$2:$L$38,MATCH(LEFT(AZ293,2),Lists!$K$2:$K$38,0)),"Unknown code"))</f>
        <v/>
      </c>
      <c r="AV293" s="29">
        <f>IF(AZ293="","",IFERROR(IF(NOT(AND(LEN(AZ293)=15,ISNUMBER(MATCH(LEFT(AZ293,2),Lists!$K$2:$K$38,0)),SUMPRODUCT(--ISERROR(FIND(MID(MID(AZ293,3,10),{1,2,3,4,5,10},1),"ABCDEFGHIJKLMNOPQRSTUVWXYZ")))=0,SUMPRODUCT(--ISERROR(FIND(MID(MID(AZ293,3,10),{6,7,8,9},1),"0123456789")))=0,ISNUMBER(FIND(MID(AZ293,13,1),"123456789ABCDEFGHIJKLMNOPQRSTUVWXYZ")),MID(AZ293,14,1)="Z")),"Wrong format",IF(MID("0123456789ABCDEFGHIJKLMNOPQRSTUVWXYZ",MOD(36-MOD(SUMPRODUCT(INT((FIND(MID(AZ293,{1,2,3,4,5,6,7,8,9,10,11,12,13,14},1),"0123456789ABCDEFGHIJKLMNOPQRSTUVWXYZ")-1)*{1,2,1,2,1,2,1,2,1,2,1,2,1,2}/36)+MOD((FIND(MID(AZ293,{1,2,3,4,5,6,7,8,9,10,11,12,13,14},1),"0123456789ABCDEFGHIJKLMNOPQRSTUVWXYZ")-1)*{1,2,1,2,1,2,1,2,1,2,1,2,1,2},36)),36),36)+1,1)=MID(AZ293,15,1),"OK","Typo? check digit wrong")),"Wrong format"))</f>
        <v/>
      </c>
      <c r="AW293" s="29">
        <f>IF(BA293="","",IF(AND(LEN(BA293)=10,SUMPRODUCT(--ISERROR(FIND(MID(BA293,{1,2,3,4,5,10},1),"ABCDEFGHIJKLMNOPQRSTUVWXYZ")))=0,SUMPRODUCT(--ISERROR(FIND(MID(BA293,{6,7,8,9},1),"0123456789")))=0),"OK","Wrong format"))</f>
        <v/>
      </c>
      <c r="AX293" s="29">
        <f>IF(TRIM(H293)="","",IF(AND(LEN(UPPER(TRIM(H293)))=10,SUMPRODUCT(--ISERROR(FIND(MID(UPPER(TRIM(H293)),{1,2,3,4,10},1),"ABCDEFGHIJKLMNOPQRSTUVWXYZ")))=0,SUMPRODUCT(--ISERROR(FIND(MID(UPPER(TRIM(H293)),{5,6,7,8,9},1),"0123456789")))=0),"OK","Wrong format"))</f>
        <v/>
      </c>
      <c r="AY293" s="30">
        <f>IF(NOT(COUNTA(A293:AE293)&gt;0),"",IF(BE293&lt;&gt;"","✖ "&amp;LEFT(BE293,LEN(BE293)-2),IF(BD293&gt;0,"✔ Ready — client + "&amp;BD293&amp;" service(s)","✔ Ready — client only")))</f>
        <v/>
      </c>
      <c r="AZ293" s="31">
        <f>UPPER(SUBSTITUTE(TRIM(F293)," ",""))</f>
        <v/>
      </c>
      <c r="BA293" s="31">
        <f>UPPER(SUBSTITUTE(TRIM(E293)," ",""))</f>
        <v/>
      </c>
      <c r="BB293" s="31">
        <f>IF(D293&lt;&gt;"",D293,IFERROR(VLOOKUP(MID(AS293,4,1),Lists!$E$2:$F$8,2,FALSE),""))</f>
        <v/>
      </c>
      <c r="BC293" s="31">
        <f>IFERROR(VLOOKUP(BB293,Lists!$A$2:$C$12,3,FALSE),"")</f>
        <v/>
      </c>
      <c r="BD293" s="31">
        <f>COUNTIF(W293:AC293,"Yes")</f>
        <v/>
      </c>
      <c r="BE293" s="31">
        <f>IF(TRIM(B293)="","Legal name missing; ","")&amp;IF(AND(AV293&lt;&gt;"",AV293&lt;&gt;"OK"),"GSTIN: "&amp;AV293&amp;"; ","")&amp;IF(AND(AW293&lt;&gt;"",AW293&lt;&gt;"OK"),"PAN wrong format; ","")&amp;IF(AND(BA293&lt;&gt;"",LEN(AZ293)=15,MID(AZ293,3,10)&lt;&gt;BA293),"PAN does not match GSTIN; ","")&amp;IF(AND(AX293&lt;&gt;"",AX293&lt;&gt;"OK"),"TAN wrong format; ","")&amp;IF(AS293="","PAN missing; ","")&amp;IF(BB293="","Entity type missing; ","")&amp;IF(AND(AZ293&lt;&gt;"",COUNTIF($AZ$6:$AZ$1005,AZ293)&gt;1),"GSTIN repeated in this sheet; ","")&amp;IF(AND(AS293&lt;&gt;"",COUNTIF($AS$6:$AS$1005,AS293)&gt;1),"PAN repeated in this sheet (same client? put extra GSTINs in Other GSTINs); ","")&amp;IF(AND(BD293&gt;0,V293=""),"Financial year missing; ","")&amp;IF(AND(BD293=0,V293&lt;&gt;""),"Financial year given but no service is Yes; ","")&amp;IF(AND(W293="Yes",AZ293=""),"GST needs a GSTIN; ","")&amp;IF(AND(W293="Yes",X293=""),"GST return frequency missing; ","")&amp;IF(AND(Y293="Yes",TRIM(H293)=""),"TDS needs a TAN; ","")&amp;IF(AND(AA293="Yes",BC293&lt;&gt;"",BC293&lt;&gt;"company",BC293&lt;&gt;"llp"),"ROC is only for a company / LLP; ","")&amp;IF(AND(AA293="Yes",OR(BC293="company",BC293="llp"),TRIM(I293)=""),"ROC needs the CIN / LLPIN; ","")&amp;IF((TRIM(AF293)="")&lt;&gt;(TRIM(AG293)=""),"GST login needs both user ID and password; ","")&amp;IF((TRIM(AH293)="")&lt;&gt;(TRIM(AI293)=""),"Income-tax login needs both user ID and password; ","")&amp;IF((TRIM(AJ293)="")&lt;&gt;(TRIM(AK293)=""),"Income-tax login needs both user ID and password; ","")&amp;IF((TRIM(AL293)="")&lt;&gt;(TRIM(AM293)=""),"TRACES login needs both user ID and password; ","")&amp;IF((TRIM(AN293)="")&lt;&gt;(TRIM(AO293)=""),"MCA login needs both user ID and password; ","")&amp;IF((TRIM(AP293)="")&lt;&gt;(TRIM(AQ293)=""),"E-way bill login needs both user ID and password; ","")</f>
        <v/>
      </c>
    </row>
    <row r="294">
      <c r="A294" s="32" t="n"/>
      <c r="B294" s="33" t="n"/>
      <c r="C294" s="33" t="n"/>
      <c r="D294" s="33" t="n"/>
      <c r="E294" s="32" t="n"/>
      <c r="F294" s="32" t="n"/>
      <c r="G294" s="32" t="n"/>
      <c r="H294" s="32" t="n"/>
      <c r="I294" s="32" t="n"/>
      <c r="J294" s="34" t="n"/>
      <c r="K294" s="33" t="n"/>
      <c r="L294" s="32" t="n"/>
      <c r="M294" s="33" t="n"/>
      <c r="N294" s="33" t="n"/>
      <c r="O294" s="33" t="n"/>
      <c r="P294" s="32" t="n"/>
      <c r="Q294" s="33" t="n"/>
      <c r="R294" s="33" t="n"/>
      <c r="S294" s="33" t="n"/>
      <c r="T294" s="33" t="n"/>
      <c r="U294" s="32" t="n"/>
      <c r="V294" s="33" t="n"/>
      <c r="W294" s="33" t="n"/>
      <c r="X294" s="33" t="n"/>
      <c r="Y294" s="33" t="n"/>
      <c r="Z294" s="33" t="n"/>
      <c r="AA294" s="33" t="n"/>
      <c r="AB294" s="33" t="n"/>
      <c r="AC294" s="33" t="n"/>
      <c r="AD294" s="33" t="n"/>
      <c r="AE294" s="33" t="n"/>
      <c r="AF294" s="32" t="n"/>
      <c r="AG294" s="32" t="n"/>
      <c r="AH294" s="32" t="n"/>
      <c r="AI294" s="32" t="n"/>
      <c r="AJ294" s="32" t="n"/>
      <c r="AK294" s="32" t="n"/>
      <c r="AL294" s="32" t="n"/>
      <c r="AM294" s="32" t="n"/>
      <c r="AN294" s="32" t="n"/>
      <c r="AO294" s="32" t="n"/>
      <c r="AP294" s="32" t="n"/>
      <c r="AQ294" s="32" t="n"/>
      <c r="AR294" s="29">
        <f>IF(NOT(COUNTA(A294:AE294)&gt;0),"",IF(A294="","New client","Update"))</f>
        <v/>
      </c>
      <c r="AS294" s="29">
        <f>IF(BA294&lt;&gt;"",BA294,IF(LEN(AZ294)=15,MID(AZ294,3,10),""))</f>
        <v/>
      </c>
      <c r="AT294" s="29">
        <f>IF(BB294="","",BB294&amp;IF(D294="","  (guessed from PAN)",""))</f>
        <v/>
      </c>
      <c r="AU294" s="29">
        <f>IF(AZ294="","",IFERROR(INDEX(Lists!$L$2:$L$38,MATCH(LEFT(AZ294,2),Lists!$K$2:$K$38,0)),"Unknown code"))</f>
        <v/>
      </c>
      <c r="AV294" s="29">
        <f>IF(AZ294="","",IFERROR(IF(NOT(AND(LEN(AZ294)=15,ISNUMBER(MATCH(LEFT(AZ294,2),Lists!$K$2:$K$38,0)),SUMPRODUCT(--ISERROR(FIND(MID(MID(AZ294,3,10),{1,2,3,4,5,10},1),"ABCDEFGHIJKLMNOPQRSTUVWXYZ")))=0,SUMPRODUCT(--ISERROR(FIND(MID(MID(AZ294,3,10),{6,7,8,9},1),"0123456789")))=0,ISNUMBER(FIND(MID(AZ294,13,1),"123456789ABCDEFGHIJKLMNOPQRSTUVWXYZ")),MID(AZ294,14,1)="Z")),"Wrong format",IF(MID("0123456789ABCDEFGHIJKLMNOPQRSTUVWXYZ",MOD(36-MOD(SUMPRODUCT(INT((FIND(MID(AZ294,{1,2,3,4,5,6,7,8,9,10,11,12,13,14},1),"0123456789ABCDEFGHIJKLMNOPQRSTUVWXYZ")-1)*{1,2,1,2,1,2,1,2,1,2,1,2,1,2}/36)+MOD((FIND(MID(AZ294,{1,2,3,4,5,6,7,8,9,10,11,12,13,14},1),"0123456789ABCDEFGHIJKLMNOPQRSTUVWXYZ")-1)*{1,2,1,2,1,2,1,2,1,2,1,2,1,2},36)),36),36)+1,1)=MID(AZ294,15,1),"OK","Typo? check digit wrong")),"Wrong format"))</f>
        <v/>
      </c>
      <c r="AW294" s="29">
        <f>IF(BA294="","",IF(AND(LEN(BA294)=10,SUMPRODUCT(--ISERROR(FIND(MID(BA294,{1,2,3,4,5,10},1),"ABCDEFGHIJKLMNOPQRSTUVWXYZ")))=0,SUMPRODUCT(--ISERROR(FIND(MID(BA294,{6,7,8,9},1),"0123456789")))=0),"OK","Wrong format"))</f>
        <v/>
      </c>
      <c r="AX294" s="29">
        <f>IF(TRIM(H294)="","",IF(AND(LEN(UPPER(TRIM(H294)))=10,SUMPRODUCT(--ISERROR(FIND(MID(UPPER(TRIM(H294)),{1,2,3,4,10},1),"ABCDEFGHIJKLMNOPQRSTUVWXYZ")))=0,SUMPRODUCT(--ISERROR(FIND(MID(UPPER(TRIM(H294)),{5,6,7,8,9},1),"0123456789")))=0),"OK","Wrong format"))</f>
        <v/>
      </c>
      <c r="AY294" s="30">
        <f>IF(NOT(COUNTA(A294:AE294)&gt;0),"",IF(BE294&lt;&gt;"","✖ "&amp;LEFT(BE294,LEN(BE294)-2),IF(BD294&gt;0,"✔ Ready — client + "&amp;BD294&amp;" service(s)","✔ Ready — client only")))</f>
        <v/>
      </c>
      <c r="AZ294" s="31">
        <f>UPPER(SUBSTITUTE(TRIM(F294)," ",""))</f>
        <v/>
      </c>
      <c r="BA294" s="31">
        <f>UPPER(SUBSTITUTE(TRIM(E294)," ",""))</f>
        <v/>
      </c>
      <c r="BB294" s="31">
        <f>IF(D294&lt;&gt;"",D294,IFERROR(VLOOKUP(MID(AS294,4,1),Lists!$E$2:$F$8,2,FALSE),""))</f>
        <v/>
      </c>
      <c r="BC294" s="31">
        <f>IFERROR(VLOOKUP(BB294,Lists!$A$2:$C$12,3,FALSE),"")</f>
        <v/>
      </c>
      <c r="BD294" s="31">
        <f>COUNTIF(W294:AC294,"Yes")</f>
        <v/>
      </c>
      <c r="BE294" s="31">
        <f>IF(TRIM(B294)="","Legal name missing; ","")&amp;IF(AND(AV294&lt;&gt;"",AV294&lt;&gt;"OK"),"GSTIN: "&amp;AV294&amp;"; ","")&amp;IF(AND(AW294&lt;&gt;"",AW294&lt;&gt;"OK"),"PAN wrong format; ","")&amp;IF(AND(BA294&lt;&gt;"",LEN(AZ294)=15,MID(AZ294,3,10)&lt;&gt;BA294),"PAN does not match GSTIN; ","")&amp;IF(AND(AX294&lt;&gt;"",AX294&lt;&gt;"OK"),"TAN wrong format; ","")&amp;IF(AS294="","PAN missing; ","")&amp;IF(BB294="","Entity type missing; ","")&amp;IF(AND(AZ294&lt;&gt;"",COUNTIF($AZ$6:$AZ$1005,AZ294)&gt;1),"GSTIN repeated in this sheet; ","")&amp;IF(AND(AS294&lt;&gt;"",COUNTIF($AS$6:$AS$1005,AS294)&gt;1),"PAN repeated in this sheet (same client? put extra GSTINs in Other GSTINs); ","")&amp;IF(AND(BD294&gt;0,V294=""),"Financial year missing; ","")&amp;IF(AND(BD294=0,V294&lt;&gt;""),"Financial year given but no service is Yes; ","")&amp;IF(AND(W294="Yes",AZ294=""),"GST needs a GSTIN; ","")&amp;IF(AND(W294="Yes",X294=""),"GST return frequency missing; ","")&amp;IF(AND(Y294="Yes",TRIM(H294)=""),"TDS needs a TAN; ","")&amp;IF(AND(AA294="Yes",BC294&lt;&gt;"",BC294&lt;&gt;"company",BC294&lt;&gt;"llp"),"ROC is only for a company / LLP; ","")&amp;IF(AND(AA294="Yes",OR(BC294="company",BC294="llp"),TRIM(I294)=""),"ROC needs the CIN / LLPIN; ","")&amp;IF((TRIM(AF294)="")&lt;&gt;(TRIM(AG294)=""),"GST login needs both user ID and password; ","")&amp;IF((TRIM(AH294)="")&lt;&gt;(TRIM(AI294)=""),"Income-tax login needs both user ID and password; ","")&amp;IF((TRIM(AJ294)="")&lt;&gt;(TRIM(AK294)=""),"Income-tax login needs both user ID and password; ","")&amp;IF((TRIM(AL294)="")&lt;&gt;(TRIM(AM294)=""),"TRACES login needs both user ID and password; ","")&amp;IF((TRIM(AN294)="")&lt;&gt;(TRIM(AO294)=""),"MCA login needs both user ID and password; ","")&amp;IF((TRIM(AP294)="")&lt;&gt;(TRIM(AQ294)=""),"E-way bill login needs both user ID and password; ","")</f>
        <v/>
      </c>
    </row>
    <row r="295">
      <c r="A295" s="32" t="n"/>
      <c r="B295" s="33" t="n"/>
      <c r="C295" s="33" t="n"/>
      <c r="D295" s="33" t="n"/>
      <c r="E295" s="32" t="n"/>
      <c r="F295" s="32" t="n"/>
      <c r="G295" s="32" t="n"/>
      <c r="H295" s="32" t="n"/>
      <c r="I295" s="32" t="n"/>
      <c r="J295" s="34" t="n"/>
      <c r="K295" s="33" t="n"/>
      <c r="L295" s="32" t="n"/>
      <c r="M295" s="33" t="n"/>
      <c r="N295" s="33" t="n"/>
      <c r="O295" s="33" t="n"/>
      <c r="P295" s="32" t="n"/>
      <c r="Q295" s="33" t="n"/>
      <c r="R295" s="33" t="n"/>
      <c r="S295" s="33" t="n"/>
      <c r="T295" s="33" t="n"/>
      <c r="U295" s="32" t="n"/>
      <c r="V295" s="33" t="n"/>
      <c r="W295" s="33" t="n"/>
      <c r="X295" s="33" t="n"/>
      <c r="Y295" s="33" t="n"/>
      <c r="Z295" s="33" t="n"/>
      <c r="AA295" s="33" t="n"/>
      <c r="AB295" s="33" t="n"/>
      <c r="AC295" s="33" t="n"/>
      <c r="AD295" s="33" t="n"/>
      <c r="AE295" s="33" t="n"/>
      <c r="AF295" s="32" t="n"/>
      <c r="AG295" s="32" t="n"/>
      <c r="AH295" s="32" t="n"/>
      <c r="AI295" s="32" t="n"/>
      <c r="AJ295" s="32" t="n"/>
      <c r="AK295" s="32" t="n"/>
      <c r="AL295" s="32" t="n"/>
      <c r="AM295" s="32" t="n"/>
      <c r="AN295" s="32" t="n"/>
      <c r="AO295" s="32" t="n"/>
      <c r="AP295" s="32" t="n"/>
      <c r="AQ295" s="32" t="n"/>
      <c r="AR295" s="29">
        <f>IF(NOT(COUNTA(A295:AE295)&gt;0),"",IF(A295="","New client","Update"))</f>
        <v/>
      </c>
      <c r="AS295" s="29">
        <f>IF(BA295&lt;&gt;"",BA295,IF(LEN(AZ295)=15,MID(AZ295,3,10),""))</f>
        <v/>
      </c>
      <c r="AT295" s="29">
        <f>IF(BB295="","",BB295&amp;IF(D295="","  (guessed from PAN)",""))</f>
        <v/>
      </c>
      <c r="AU295" s="29">
        <f>IF(AZ295="","",IFERROR(INDEX(Lists!$L$2:$L$38,MATCH(LEFT(AZ295,2),Lists!$K$2:$K$38,0)),"Unknown code"))</f>
        <v/>
      </c>
      <c r="AV295" s="29">
        <f>IF(AZ295="","",IFERROR(IF(NOT(AND(LEN(AZ295)=15,ISNUMBER(MATCH(LEFT(AZ295,2),Lists!$K$2:$K$38,0)),SUMPRODUCT(--ISERROR(FIND(MID(MID(AZ295,3,10),{1,2,3,4,5,10},1),"ABCDEFGHIJKLMNOPQRSTUVWXYZ")))=0,SUMPRODUCT(--ISERROR(FIND(MID(MID(AZ295,3,10),{6,7,8,9},1),"0123456789")))=0,ISNUMBER(FIND(MID(AZ295,13,1),"123456789ABCDEFGHIJKLMNOPQRSTUVWXYZ")),MID(AZ295,14,1)="Z")),"Wrong format",IF(MID("0123456789ABCDEFGHIJKLMNOPQRSTUVWXYZ",MOD(36-MOD(SUMPRODUCT(INT((FIND(MID(AZ295,{1,2,3,4,5,6,7,8,9,10,11,12,13,14},1),"0123456789ABCDEFGHIJKLMNOPQRSTUVWXYZ")-1)*{1,2,1,2,1,2,1,2,1,2,1,2,1,2}/36)+MOD((FIND(MID(AZ295,{1,2,3,4,5,6,7,8,9,10,11,12,13,14},1),"0123456789ABCDEFGHIJKLMNOPQRSTUVWXYZ")-1)*{1,2,1,2,1,2,1,2,1,2,1,2,1,2},36)),36),36)+1,1)=MID(AZ295,15,1),"OK","Typo? check digit wrong")),"Wrong format"))</f>
        <v/>
      </c>
      <c r="AW295" s="29">
        <f>IF(BA295="","",IF(AND(LEN(BA295)=10,SUMPRODUCT(--ISERROR(FIND(MID(BA295,{1,2,3,4,5,10},1),"ABCDEFGHIJKLMNOPQRSTUVWXYZ")))=0,SUMPRODUCT(--ISERROR(FIND(MID(BA295,{6,7,8,9},1),"0123456789")))=0),"OK","Wrong format"))</f>
        <v/>
      </c>
      <c r="AX295" s="29">
        <f>IF(TRIM(H295)="","",IF(AND(LEN(UPPER(TRIM(H295)))=10,SUMPRODUCT(--ISERROR(FIND(MID(UPPER(TRIM(H295)),{1,2,3,4,10},1),"ABCDEFGHIJKLMNOPQRSTUVWXYZ")))=0,SUMPRODUCT(--ISERROR(FIND(MID(UPPER(TRIM(H295)),{5,6,7,8,9},1),"0123456789")))=0),"OK","Wrong format"))</f>
        <v/>
      </c>
      <c r="AY295" s="30">
        <f>IF(NOT(COUNTA(A295:AE295)&gt;0),"",IF(BE295&lt;&gt;"","✖ "&amp;LEFT(BE295,LEN(BE295)-2),IF(BD295&gt;0,"✔ Ready — client + "&amp;BD295&amp;" service(s)","✔ Ready — client only")))</f>
        <v/>
      </c>
      <c r="AZ295" s="31">
        <f>UPPER(SUBSTITUTE(TRIM(F295)," ",""))</f>
        <v/>
      </c>
      <c r="BA295" s="31">
        <f>UPPER(SUBSTITUTE(TRIM(E295)," ",""))</f>
        <v/>
      </c>
      <c r="BB295" s="31">
        <f>IF(D295&lt;&gt;"",D295,IFERROR(VLOOKUP(MID(AS295,4,1),Lists!$E$2:$F$8,2,FALSE),""))</f>
        <v/>
      </c>
      <c r="BC295" s="31">
        <f>IFERROR(VLOOKUP(BB295,Lists!$A$2:$C$12,3,FALSE),"")</f>
        <v/>
      </c>
      <c r="BD295" s="31">
        <f>COUNTIF(W295:AC295,"Yes")</f>
        <v/>
      </c>
      <c r="BE295" s="31">
        <f>IF(TRIM(B295)="","Legal name missing; ","")&amp;IF(AND(AV295&lt;&gt;"",AV295&lt;&gt;"OK"),"GSTIN: "&amp;AV295&amp;"; ","")&amp;IF(AND(AW295&lt;&gt;"",AW295&lt;&gt;"OK"),"PAN wrong format; ","")&amp;IF(AND(BA295&lt;&gt;"",LEN(AZ295)=15,MID(AZ295,3,10)&lt;&gt;BA295),"PAN does not match GSTIN; ","")&amp;IF(AND(AX295&lt;&gt;"",AX295&lt;&gt;"OK"),"TAN wrong format; ","")&amp;IF(AS295="","PAN missing; ","")&amp;IF(BB295="","Entity type missing; ","")&amp;IF(AND(AZ295&lt;&gt;"",COUNTIF($AZ$6:$AZ$1005,AZ295)&gt;1),"GSTIN repeated in this sheet; ","")&amp;IF(AND(AS295&lt;&gt;"",COUNTIF($AS$6:$AS$1005,AS295)&gt;1),"PAN repeated in this sheet (same client? put extra GSTINs in Other GSTINs); ","")&amp;IF(AND(BD295&gt;0,V295=""),"Financial year missing; ","")&amp;IF(AND(BD295=0,V295&lt;&gt;""),"Financial year given but no service is Yes; ","")&amp;IF(AND(W295="Yes",AZ295=""),"GST needs a GSTIN; ","")&amp;IF(AND(W295="Yes",X295=""),"GST return frequency missing; ","")&amp;IF(AND(Y295="Yes",TRIM(H295)=""),"TDS needs a TAN; ","")&amp;IF(AND(AA295="Yes",BC295&lt;&gt;"",BC295&lt;&gt;"company",BC295&lt;&gt;"llp"),"ROC is only for a company / LLP; ","")&amp;IF(AND(AA295="Yes",OR(BC295="company",BC295="llp"),TRIM(I295)=""),"ROC needs the CIN / LLPIN; ","")&amp;IF((TRIM(AF295)="")&lt;&gt;(TRIM(AG295)=""),"GST login needs both user ID and password; ","")&amp;IF((TRIM(AH295)="")&lt;&gt;(TRIM(AI295)=""),"Income-tax login needs both user ID and password; ","")&amp;IF((TRIM(AJ295)="")&lt;&gt;(TRIM(AK295)=""),"Income-tax login needs both user ID and password; ","")&amp;IF((TRIM(AL295)="")&lt;&gt;(TRIM(AM295)=""),"TRACES login needs both user ID and password; ","")&amp;IF((TRIM(AN295)="")&lt;&gt;(TRIM(AO295)=""),"MCA login needs both user ID and password; ","")&amp;IF((TRIM(AP295)="")&lt;&gt;(TRIM(AQ295)=""),"E-way bill login needs both user ID and password; ","")</f>
        <v/>
      </c>
    </row>
    <row r="296">
      <c r="A296" s="32" t="n"/>
      <c r="B296" s="33" t="n"/>
      <c r="C296" s="33" t="n"/>
      <c r="D296" s="33" t="n"/>
      <c r="E296" s="32" t="n"/>
      <c r="F296" s="32" t="n"/>
      <c r="G296" s="32" t="n"/>
      <c r="H296" s="32" t="n"/>
      <c r="I296" s="32" t="n"/>
      <c r="J296" s="34" t="n"/>
      <c r="K296" s="33" t="n"/>
      <c r="L296" s="32" t="n"/>
      <c r="M296" s="33" t="n"/>
      <c r="N296" s="33" t="n"/>
      <c r="O296" s="33" t="n"/>
      <c r="P296" s="32" t="n"/>
      <c r="Q296" s="33" t="n"/>
      <c r="R296" s="33" t="n"/>
      <c r="S296" s="33" t="n"/>
      <c r="T296" s="33" t="n"/>
      <c r="U296" s="32" t="n"/>
      <c r="V296" s="33" t="n"/>
      <c r="W296" s="33" t="n"/>
      <c r="X296" s="33" t="n"/>
      <c r="Y296" s="33" t="n"/>
      <c r="Z296" s="33" t="n"/>
      <c r="AA296" s="33" t="n"/>
      <c r="AB296" s="33" t="n"/>
      <c r="AC296" s="33" t="n"/>
      <c r="AD296" s="33" t="n"/>
      <c r="AE296" s="33" t="n"/>
      <c r="AF296" s="32" t="n"/>
      <c r="AG296" s="32" t="n"/>
      <c r="AH296" s="32" t="n"/>
      <c r="AI296" s="32" t="n"/>
      <c r="AJ296" s="32" t="n"/>
      <c r="AK296" s="32" t="n"/>
      <c r="AL296" s="32" t="n"/>
      <c r="AM296" s="32" t="n"/>
      <c r="AN296" s="32" t="n"/>
      <c r="AO296" s="32" t="n"/>
      <c r="AP296" s="32" t="n"/>
      <c r="AQ296" s="32" t="n"/>
      <c r="AR296" s="29">
        <f>IF(NOT(COUNTA(A296:AE296)&gt;0),"",IF(A296="","New client","Update"))</f>
        <v/>
      </c>
      <c r="AS296" s="29">
        <f>IF(BA296&lt;&gt;"",BA296,IF(LEN(AZ296)=15,MID(AZ296,3,10),""))</f>
        <v/>
      </c>
      <c r="AT296" s="29">
        <f>IF(BB296="","",BB296&amp;IF(D296="","  (guessed from PAN)",""))</f>
        <v/>
      </c>
      <c r="AU296" s="29">
        <f>IF(AZ296="","",IFERROR(INDEX(Lists!$L$2:$L$38,MATCH(LEFT(AZ296,2),Lists!$K$2:$K$38,0)),"Unknown code"))</f>
        <v/>
      </c>
      <c r="AV296" s="29">
        <f>IF(AZ296="","",IFERROR(IF(NOT(AND(LEN(AZ296)=15,ISNUMBER(MATCH(LEFT(AZ296,2),Lists!$K$2:$K$38,0)),SUMPRODUCT(--ISERROR(FIND(MID(MID(AZ296,3,10),{1,2,3,4,5,10},1),"ABCDEFGHIJKLMNOPQRSTUVWXYZ")))=0,SUMPRODUCT(--ISERROR(FIND(MID(MID(AZ296,3,10),{6,7,8,9},1),"0123456789")))=0,ISNUMBER(FIND(MID(AZ296,13,1),"123456789ABCDEFGHIJKLMNOPQRSTUVWXYZ")),MID(AZ296,14,1)="Z")),"Wrong format",IF(MID("0123456789ABCDEFGHIJKLMNOPQRSTUVWXYZ",MOD(36-MOD(SUMPRODUCT(INT((FIND(MID(AZ296,{1,2,3,4,5,6,7,8,9,10,11,12,13,14},1),"0123456789ABCDEFGHIJKLMNOPQRSTUVWXYZ")-1)*{1,2,1,2,1,2,1,2,1,2,1,2,1,2}/36)+MOD((FIND(MID(AZ296,{1,2,3,4,5,6,7,8,9,10,11,12,13,14},1),"0123456789ABCDEFGHIJKLMNOPQRSTUVWXYZ")-1)*{1,2,1,2,1,2,1,2,1,2,1,2,1,2},36)),36),36)+1,1)=MID(AZ296,15,1),"OK","Typo? check digit wrong")),"Wrong format"))</f>
        <v/>
      </c>
      <c r="AW296" s="29">
        <f>IF(BA296="","",IF(AND(LEN(BA296)=10,SUMPRODUCT(--ISERROR(FIND(MID(BA296,{1,2,3,4,5,10},1),"ABCDEFGHIJKLMNOPQRSTUVWXYZ")))=0,SUMPRODUCT(--ISERROR(FIND(MID(BA296,{6,7,8,9},1),"0123456789")))=0),"OK","Wrong format"))</f>
        <v/>
      </c>
      <c r="AX296" s="29">
        <f>IF(TRIM(H296)="","",IF(AND(LEN(UPPER(TRIM(H296)))=10,SUMPRODUCT(--ISERROR(FIND(MID(UPPER(TRIM(H296)),{1,2,3,4,10},1),"ABCDEFGHIJKLMNOPQRSTUVWXYZ")))=0,SUMPRODUCT(--ISERROR(FIND(MID(UPPER(TRIM(H296)),{5,6,7,8,9},1),"0123456789")))=0),"OK","Wrong format"))</f>
        <v/>
      </c>
      <c r="AY296" s="30">
        <f>IF(NOT(COUNTA(A296:AE296)&gt;0),"",IF(BE296&lt;&gt;"","✖ "&amp;LEFT(BE296,LEN(BE296)-2),IF(BD296&gt;0,"✔ Ready — client + "&amp;BD296&amp;" service(s)","✔ Ready — client only")))</f>
        <v/>
      </c>
      <c r="AZ296" s="31">
        <f>UPPER(SUBSTITUTE(TRIM(F296)," ",""))</f>
        <v/>
      </c>
      <c r="BA296" s="31">
        <f>UPPER(SUBSTITUTE(TRIM(E296)," ",""))</f>
        <v/>
      </c>
      <c r="BB296" s="31">
        <f>IF(D296&lt;&gt;"",D296,IFERROR(VLOOKUP(MID(AS296,4,1),Lists!$E$2:$F$8,2,FALSE),""))</f>
        <v/>
      </c>
      <c r="BC296" s="31">
        <f>IFERROR(VLOOKUP(BB296,Lists!$A$2:$C$12,3,FALSE),"")</f>
        <v/>
      </c>
      <c r="BD296" s="31">
        <f>COUNTIF(W296:AC296,"Yes")</f>
        <v/>
      </c>
      <c r="BE296" s="31">
        <f>IF(TRIM(B296)="","Legal name missing; ","")&amp;IF(AND(AV296&lt;&gt;"",AV296&lt;&gt;"OK"),"GSTIN: "&amp;AV296&amp;"; ","")&amp;IF(AND(AW296&lt;&gt;"",AW296&lt;&gt;"OK"),"PAN wrong format; ","")&amp;IF(AND(BA296&lt;&gt;"",LEN(AZ296)=15,MID(AZ296,3,10)&lt;&gt;BA296),"PAN does not match GSTIN; ","")&amp;IF(AND(AX296&lt;&gt;"",AX296&lt;&gt;"OK"),"TAN wrong format; ","")&amp;IF(AS296="","PAN missing; ","")&amp;IF(BB296="","Entity type missing; ","")&amp;IF(AND(AZ296&lt;&gt;"",COUNTIF($AZ$6:$AZ$1005,AZ296)&gt;1),"GSTIN repeated in this sheet; ","")&amp;IF(AND(AS296&lt;&gt;"",COUNTIF($AS$6:$AS$1005,AS296)&gt;1),"PAN repeated in this sheet (same client? put extra GSTINs in Other GSTINs); ","")&amp;IF(AND(BD296&gt;0,V296=""),"Financial year missing; ","")&amp;IF(AND(BD296=0,V296&lt;&gt;""),"Financial year given but no service is Yes; ","")&amp;IF(AND(W296="Yes",AZ296=""),"GST needs a GSTIN; ","")&amp;IF(AND(W296="Yes",X296=""),"GST return frequency missing; ","")&amp;IF(AND(Y296="Yes",TRIM(H296)=""),"TDS needs a TAN; ","")&amp;IF(AND(AA296="Yes",BC296&lt;&gt;"",BC296&lt;&gt;"company",BC296&lt;&gt;"llp"),"ROC is only for a company / LLP; ","")&amp;IF(AND(AA296="Yes",OR(BC296="company",BC296="llp"),TRIM(I296)=""),"ROC needs the CIN / LLPIN; ","")&amp;IF((TRIM(AF296)="")&lt;&gt;(TRIM(AG296)=""),"GST login needs both user ID and password; ","")&amp;IF((TRIM(AH296)="")&lt;&gt;(TRIM(AI296)=""),"Income-tax login needs both user ID and password; ","")&amp;IF((TRIM(AJ296)="")&lt;&gt;(TRIM(AK296)=""),"Income-tax login needs both user ID and password; ","")&amp;IF((TRIM(AL296)="")&lt;&gt;(TRIM(AM296)=""),"TRACES login needs both user ID and password; ","")&amp;IF((TRIM(AN296)="")&lt;&gt;(TRIM(AO296)=""),"MCA login needs both user ID and password; ","")&amp;IF((TRIM(AP296)="")&lt;&gt;(TRIM(AQ296)=""),"E-way bill login needs both user ID and password; ","")</f>
        <v/>
      </c>
    </row>
    <row r="297">
      <c r="A297" s="32" t="n"/>
      <c r="B297" s="33" t="n"/>
      <c r="C297" s="33" t="n"/>
      <c r="D297" s="33" t="n"/>
      <c r="E297" s="32" t="n"/>
      <c r="F297" s="32" t="n"/>
      <c r="G297" s="32" t="n"/>
      <c r="H297" s="32" t="n"/>
      <c r="I297" s="32" t="n"/>
      <c r="J297" s="34" t="n"/>
      <c r="K297" s="33" t="n"/>
      <c r="L297" s="32" t="n"/>
      <c r="M297" s="33" t="n"/>
      <c r="N297" s="33" t="n"/>
      <c r="O297" s="33" t="n"/>
      <c r="P297" s="32" t="n"/>
      <c r="Q297" s="33" t="n"/>
      <c r="R297" s="33" t="n"/>
      <c r="S297" s="33" t="n"/>
      <c r="T297" s="33" t="n"/>
      <c r="U297" s="32" t="n"/>
      <c r="V297" s="33" t="n"/>
      <c r="W297" s="33" t="n"/>
      <c r="X297" s="33" t="n"/>
      <c r="Y297" s="33" t="n"/>
      <c r="Z297" s="33" t="n"/>
      <c r="AA297" s="33" t="n"/>
      <c r="AB297" s="33" t="n"/>
      <c r="AC297" s="33" t="n"/>
      <c r="AD297" s="33" t="n"/>
      <c r="AE297" s="33" t="n"/>
      <c r="AF297" s="32" t="n"/>
      <c r="AG297" s="32" t="n"/>
      <c r="AH297" s="32" t="n"/>
      <c r="AI297" s="32" t="n"/>
      <c r="AJ297" s="32" t="n"/>
      <c r="AK297" s="32" t="n"/>
      <c r="AL297" s="32" t="n"/>
      <c r="AM297" s="32" t="n"/>
      <c r="AN297" s="32" t="n"/>
      <c r="AO297" s="32" t="n"/>
      <c r="AP297" s="32" t="n"/>
      <c r="AQ297" s="32" t="n"/>
      <c r="AR297" s="29">
        <f>IF(NOT(COUNTA(A297:AE297)&gt;0),"",IF(A297="","New client","Update"))</f>
        <v/>
      </c>
      <c r="AS297" s="29">
        <f>IF(BA297&lt;&gt;"",BA297,IF(LEN(AZ297)=15,MID(AZ297,3,10),""))</f>
        <v/>
      </c>
      <c r="AT297" s="29">
        <f>IF(BB297="","",BB297&amp;IF(D297="","  (guessed from PAN)",""))</f>
        <v/>
      </c>
      <c r="AU297" s="29">
        <f>IF(AZ297="","",IFERROR(INDEX(Lists!$L$2:$L$38,MATCH(LEFT(AZ297,2),Lists!$K$2:$K$38,0)),"Unknown code"))</f>
        <v/>
      </c>
      <c r="AV297" s="29">
        <f>IF(AZ297="","",IFERROR(IF(NOT(AND(LEN(AZ297)=15,ISNUMBER(MATCH(LEFT(AZ297,2),Lists!$K$2:$K$38,0)),SUMPRODUCT(--ISERROR(FIND(MID(MID(AZ297,3,10),{1,2,3,4,5,10},1),"ABCDEFGHIJKLMNOPQRSTUVWXYZ")))=0,SUMPRODUCT(--ISERROR(FIND(MID(MID(AZ297,3,10),{6,7,8,9},1),"0123456789")))=0,ISNUMBER(FIND(MID(AZ297,13,1),"123456789ABCDEFGHIJKLMNOPQRSTUVWXYZ")),MID(AZ297,14,1)="Z")),"Wrong format",IF(MID("0123456789ABCDEFGHIJKLMNOPQRSTUVWXYZ",MOD(36-MOD(SUMPRODUCT(INT((FIND(MID(AZ297,{1,2,3,4,5,6,7,8,9,10,11,12,13,14},1),"0123456789ABCDEFGHIJKLMNOPQRSTUVWXYZ")-1)*{1,2,1,2,1,2,1,2,1,2,1,2,1,2}/36)+MOD((FIND(MID(AZ297,{1,2,3,4,5,6,7,8,9,10,11,12,13,14},1),"0123456789ABCDEFGHIJKLMNOPQRSTUVWXYZ")-1)*{1,2,1,2,1,2,1,2,1,2,1,2,1,2},36)),36),36)+1,1)=MID(AZ297,15,1),"OK","Typo? check digit wrong")),"Wrong format"))</f>
        <v/>
      </c>
      <c r="AW297" s="29">
        <f>IF(BA297="","",IF(AND(LEN(BA297)=10,SUMPRODUCT(--ISERROR(FIND(MID(BA297,{1,2,3,4,5,10},1),"ABCDEFGHIJKLMNOPQRSTUVWXYZ")))=0,SUMPRODUCT(--ISERROR(FIND(MID(BA297,{6,7,8,9},1),"0123456789")))=0),"OK","Wrong format"))</f>
        <v/>
      </c>
      <c r="AX297" s="29">
        <f>IF(TRIM(H297)="","",IF(AND(LEN(UPPER(TRIM(H297)))=10,SUMPRODUCT(--ISERROR(FIND(MID(UPPER(TRIM(H297)),{1,2,3,4,10},1),"ABCDEFGHIJKLMNOPQRSTUVWXYZ")))=0,SUMPRODUCT(--ISERROR(FIND(MID(UPPER(TRIM(H297)),{5,6,7,8,9},1),"0123456789")))=0),"OK","Wrong format"))</f>
        <v/>
      </c>
      <c r="AY297" s="30">
        <f>IF(NOT(COUNTA(A297:AE297)&gt;0),"",IF(BE297&lt;&gt;"","✖ "&amp;LEFT(BE297,LEN(BE297)-2),IF(BD297&gt;0,"✔ Ready — client + "&amp;BD297&amp;" service(s)","✔ Ready — client only")))</f>
        <v/>
      </c>
      <c r="AZ297" s="31">
        <f>UPPER(SUBSTITUTE(TRIM(F297)," ",""))</f>
        <v/>
      </c>
      <c r="BA297" s="31">
        <f>UPPER(SUBSTITUTE(TRIM(E297)," ",""))</f>
        <v/>
      </c>
      <c r="BB297" s="31">
        <f>IF(D297&lt;&gt;"",D297,IFERROR(VLOOKUP(MID(AS297,4,1),Lists!$E$2:$F$8,2,FALSE),""))</f>
        <v/>
      </c>
      <c r="BC297" s="31">
        <f>IFERROR(VLOOKUP(BB297,Lists!$A$2:$C$12,3,FALSE),"")</f>
        <v/>
      </c>
      <c r="BD297" s="31">
        <f>COUNTIF(W297:AC297,"Yes")</f>
        <v/>
      </c>
      <c r="BE297" s="31">
        <f>IF(TRIM(B297)="","Legal name missing; ","")&amp;IF(AND(AV297&lt;&gt;"",AV297&lt;&gt;"OK"),"GSTIN: "&amp;AV297&amp;"; ","")&amp;IF(AND(AW297&lt;&gt;"",AW297&lt;&gt;"OK"),"PAN wrong format; ","")&amp;IF(AND(BA297&lt;&gt;"",LEN(AZ297)=15,MID(AZ297,3,10)&lt;&gt;BA297),"PAN does not match GSTIN; ","")&amp;IF(AND(AX297&lt;&gt;"",AX297&lt;&gt;"OK"),"TAN wrong format; ","")&amp;IF(AS297="","PAN missing; ","")&amp;IF(BB297="","Entity type missing; ","")&amp;IF(AND(AZ297&lt;&gt;"",COUNTIF($AZ$6:$AZ$1005,AZ297)&gt;1),"GSTIN repeated in this sheet; ","")&amp;IF(AND(AS297&lt;&gt;"",COUNTIF($AS$6:$AS$1005,AS297)&gt;1),"PAN repeated in this sheet (same client? put extra GSTINs in Other GSTINs); ","")&amp;IF(AND(BD297&gt;0,V297=""),"Financial year missing; ","")&amp;IF(AND(BD297=0,V297&lt;&gt;""),"Financial year given but no service is Yes; ","")&amp;IF(AND(W297="Yes",AZ297=""),"GST needs a GSTIN; ","")&amp;IF(AND(W297="Yes",X297=""),"GST return frequency missing; ","")&amp;IF(AND(Y297="Yes",TRIM(H297)=""),"TDS needs a TAN; ","")&amp;IF(AND(AA297="Yes",BC297&lt;&gt;"",BC297&lt;&gt;"company",BC297&lt;&gt;"llp"),"ROC is only for a company / LLP; ","")&amp;IF(AND(AA297="Yes",OR(BC297="company",BC297="llp"),TRIM(I297)=""),"ROC needs the CIN / LLPIN; ","")&amp;IF((TRIM(AF297)="")&lt;&gt;(TRIM(AG297)=""),"GST login needs both user ID and password; ","")&amp;IF((TRIM(AH297)="")&lt;&gt;(TRIM(AI297)=""),"Income-tax login needs both user ID and password; ","")&amp;IF((TRIM(AJ297)="")&lt;&gt;(TRIM(AK297)=""),"Income-tax login needs both user ID and password; ","")&amp;IF((TRIM(AL297)="")&lt;&gt;(TRIM(AM297)=""),"TRACES login needs both user ID and password; ","")&amp;IF((TRIM(AN297)="")&lt;&gt;(TRIM(AO297)=""),"MCA login needs both user ID and password; ","")&amp;IF((TRIM(AP297)="")&lt;&gt;(TRIM(AQ297)=""),"E-way bill login needs both user ID and password; ","")</f>
        <v/>
      </c>
    </row>
    <row r="298">
      <c r="A298" s="32" t="n"/>
      <c r="B298" s="33" t="n"/>
      <c r="C298" s="33" t="n"/>
      <c r="D298" s="33" t="n"/>
      <c r="E298" s="32" t="n"/>
      <c r="F298" s="32" t="n"/>
      <c r="G298" s="32" t="n"/>
      <c r="H298" s="32" t="n"/>
      <c r="I298" s="32" t="n"/>
      <c r="J298" s="34" t="n"/>
      <c r="K298" s="33" t="n"/>
      <c r="L298" s="32" t="n"/>
      <c r="M298" s="33" t="n"/>
      <c r="N298" s="33" t="n"/>
      <c r="O298" s="33" t="n"/>
      <c r="P298" s="32" t="n"/>
      <c r="Q298" s="33" t="n"/>
      <c r="R298" s="33" t="n"/>
      <c r="S298" s="33" t="n"/>
      <c r="T298" s="33" t="n"/>
      <c r="U298" s="32" t="n"/>
      <c r="V298" s="33" t="n"/>
      <c r="W298" s="33" t="n"/>
      <c r="X298" s="33" t="n"/>
      <c r="Y298" s="33" t="n"/>
      <c r="Z298" s="33" t="n"/>
      <c r="AA298" s="33" t="n"/>
      <c r="AB298" s="33" t="n"/>
      <c r="AC298" s="33" t="n"/>
      <c r="AD298" s="33" t="n"/>
      <c r="AE298" s="33" t="n"/>
      <c r="AF298" s="32" t="n"/>
      <c r="AG298" s="32" t="n"/>
      <c r="AH298" s="32" t="n"/>
      <c r="AI298" s="32" t="n"/>
      <c r="AJ298" s="32" t="n"/>
      <c r="AK298" s="32" t="n"/>
      <c r="AL298" s="32" t="n"/>
      <c r="AM298" s="32" t="n"/>
      <c r="AN298" s="32" t="n"/>
      <c r="AO298" s="32" t="n"/>
      <c r="AP298" s="32" t="n"/>
      <c r="AQ298" s="32" t="n"/>
      <c r="AR298" s="29">
        <f>IF(NOT(COUNTA(A298:AE298)&gt;0),"",IF(A298="","New client","Update"))</f>
        <v/>
      </c>
      <c r="AS298" s="29">
        <f>IF(BA298&lt;&gt;"",BA298,IF(LEN(AZ298)=15,MID(AZ298,3,10),""))</f>
        <v/>
      </c>
      <c r="AT298" s="29">
        <f>IF(BB298="","",BB298&amp;IF(D298="","  (guessed from PAN)",""))</f>
        <v/>
      </c>
      <c r="AU298" s="29">
        <f>IF(AZ298="","",IFERROR(INDEX(Lists!$L$2:$L$38,MATCH(LEFT(AZ298,2),Lists!$K$2:$K$38,0)),"Unknown code"))</f>
        <v/>
      </c>
      <c r="AV298" s="29">
        <f>IF(AZ298="","",IFERROR(IF(NOT(AND(LEN(AZ298)=15,ISNUMBER(MATCH(LEFT(AZ298,2),Lists!$K$2:$K$38,0)),SUMPRODUCT(--ISERROR(FIND(MID(MID(AZ298,3,10),{1,2,3,4,5,10},1),"ABCDEFGHIJKLMNOPQRSTUVWXYZ")))=0,SUMPRODUCT(--ISERROR(FIND(MID(MID(AZ298,3,10),{6,7,8,9},1),"0123456789")))=0,ISNUMBER(FIND(MID(AZ298,13,1),"123456789ABCDEFGHIJKLMNOPQRSTUVWXYZ")),MID(AZ298,14,1)="Z")),"Wrong format",IF(MID("0123456789ABCDEFGHIJKLMNOPQRSTUVWXYZ",MOD(36-MOD(SUMPRODUCT(INT((FIND(MID(AZ298,{1,2,3,4,5,6,7,8,9,10,11,12,13,14},1),"0123456789ABCDEFGHIJKLMNOPQRSTUVWXYZ")-1)*{1,2,1,2,1,2,1,2,1,2,1,2,1,2}/36)+MOD((FIND(MID(AZ298,{1,2,3,4,5,6,7,8,9,10,11,12,13,14},1),"0123456789ABCDEFGHIJKLMNOPQRSTUVWXYZ")-1)*{1,2,1,2,1,2,1,2,1,2,1,2,1,2},36)),36),36)+1,1)=MID(AZ298,15,1),"OK","Typo? check digit wrong")),"Wrong format"))</f>
        <v/>
      </c>
      <c r="AW298" s="29">
        <f>IF(BA298="","",IF(AND(LEN(BA298)=10,SUMPRODUCT(--ISERROR(FIND(MID(BA298,{1,2,3,4,5,10},1),"ABCDEFGHIJKLMNOPQRSTUVWXYZ")))=0,SUMPRODUCT(--ISERROR(FIND(MID(BA298,{6,7,8,9},1),"0123456789")))=0),"OK","Wrong format"))</f>
        <v/>
      </c>
      <c r="AX298" s="29">
        <f>IF(TRIM(H298)="","",IF(AND(LEN(UPPER(TRIM(H298)))=10,SUMPRODUCT(--ISERROR(FIND(MID(UPPER(TRIM(H298)),{1,2,3,4,10},1),"ABCDEFGHIJKLMNOPQRSTUVWXYZ")))=0,SUMPRODUCT(--ISERROR(FIND(MID(UPPER(TRIM(H298)),{5,6,7,8,9},1),"0123456789")))=0),"OK","Wrong format"))</f>
        <v/>
      </c>
      <c r="AY298" s="30">
        <f>IF(NOT(COUNTA(A298:AE298)&gt;0),"",IF(BE298&lt;&gt;"","✖ "&amp;LEFT(BE298,LEN(BE298)-2),IF(BD298&gt;0,"✔ Ready — client + "&amp;BD298&amp;" service(s)","✔ Ready — client only")))</f>
        <v/>
      </c>
      <c r="AZ298" s="31">
        <f>UPPER(SUBSTITUTE(TRIM(F298)," ",""))</f>
        <v/>
      </c>
      <c r="BA298" s="31">
        <f>UPPER(SUBSTITUTE(TRIM(E298)," ",""))</f>
        <v/>
      </c>
      <c r="BB298" s="31">
        <f>IF(D298&lt;&gt;"",D298,IFERROR(VLOOKUP(MID(AS298,4,1),Lists!$E$2:$F$8,2,FALSE),""))</f>
        <v/>
      </c>
      <c r="BC298" s="31">
        <f>IFERROR(VLOOKUP(BB298,Lists!$A$2:$C$12,3,FALSE),"")</f>
        <v/>
      </c>
      <c r="BD298" s="31">
        <f>COUNTIF(W298:AC298,"Yes")</f>
        <v/>
      </c>
      <c r="BE298" s="31">
        <f>IF(TRIM(B298)="","Legal name missing; ","")&amp;IF(AND(AV298&lt;&gt;"",AV298&lt;&gt;"OK"),"GSTIN: "&amp;AV298&amp;"; ","")&amp;IF(AND(AW298&lt;&gt;"",AW298&lt;&gt;"OK"),"PAN wrong format; ","")&amp;IF(AND(BA298&lt;&gt;"",LEN(AZ298)=15,MID(AZ298,3,10)&lt;&gt;BA298),"PAN does not match GSTIN; ","")&amp;IF(AND(AX298&lt;&gt;"",AX298&lt;&gt;"OK"),"TAN wrong format; ","")&amp;IF(AS298="","PAN missing; ","")&amp;IF(BB298="","Entity type missing; ","")&amp;IF(AND(AZ298&lt;&gt;"",COUNTIF($AZ$6:$AZ$1005,AZ298)&gt;1),"GSTIN repeated in this sheet; ","")&amp;IF(AND(AS298&lt;&gt;"",COUNTIF($AS$6:$AS$1005,AS298)&gt;1),"PAN repeated in this sheet (same client? put extra GSTINs in Other GSTINs); ","")&amp;IF(AND(BD298&gt;0,V298=""),"Financial year missing; ","")&amp;IF(AND(BD298=0,V298&lt;&gt;""),"Financial year given but no service is Yes; ","")&amp;IF(AND(W298="Yes",AZ298=""),"GST needs a GSTIN; ","")&amp;IF(AND(W298="Yes",X298=""),"GST return frequency missing; ","")&amp;IF(AND(Y298="Yes",TRIM(H298)=""),"TDS needs a TAN; ","")&amp;IF(AND(AA298="Yes",BC298&lt;&gt;"",BC298&lt;&gt;"company",BC298&lt;&gt;"llp"),"ROC is only for a company / LLP; ","")&amp;IF(AND(AA298="Yes",OR(BC298="company",BC298="llp"),TRIM(I298)=""),"ROC needs the CIN / LLPIN; ","")&amp;IF((TRIM(AF298)="")&lt;&gt;(TRIM(AG298)=""),"GST login needs both user ID and password; ","")&amp;IF((TRIM(AH298)="")&lt;&gt;(TRIM(AI298)=""),"Income-tax login needs both user ID and password; ","")&amp;IF((TRIM(AJ298)="")&lt;&gt;(TRIM(AK298)=""),"Income-tax login needs both user ID and password; ","")&amp;IF((TRIM(AL298)="")&lt;&gt;(TRIM(AM298)=""),"TRACES login needs both user ID and password; ","")&amp;IF((TRIM(AN298)="")&lt;&gt;(TRIM(AO298)=""),"MCA login needs both user ID and password; ","")&amp;IF((TRIM(AP298)="")&lt;&gt;(TRIM(AQ298)=""),"E-way bill login needs both user ID and password; ","")</f>
        <v/>
      </c>
    </row>
    <row r="299">
      <c r="A299" s="32" t="n"/>
      <c r="B299" s="33" t="n"/>
      <c r="C299" s="33" t="n"/>
      <c r="D299" s="33" t="n"/>
      <c r="E299" s="32" t="n"/>
      <c r="F299" s="32" t="n"/>
      <c r="G299" s="32" t="n"/>
      <c r="H299" s="32" t="n"/>
      <c r="I299" s="32" t="n"/>
      <c r="J299" s="34" t="n"/>
      <c r="K299" s="33" t="n"/>
      <c r="L299" s="32" t="n"/>
      <c r="M299" s="33" t="n"/>
      <c r="N299" s="33" t="n"/>
      <c r="O299" s="33" t="n"/>
      <c r="P299" s="32" t="n"/>
      <c r="Q299" s="33" t="n"/>
      <c r="R299" s="33" t="n"/>
      <c r="S299" s="33" t="n"/>
      <c r="T299" s="33" t="n"/>
      <c r="U299" s="32" t="n"/>
      <c r="V299" s="33" t="n"/>
      <c r="W299" s="33" t="n"/>
      <c r="X299" s="33" t="n"/>
      <c r="Y299" s="33" t="n"/>
      <c r="Z299" s="33" t="n"/>
      <c r="AA299" s="33" t="n"/>
      <c r="AB299" s="33" t="n"/>
      <c r="AC299" s="33" t="n"/>
      <c r="AD299" s="33" t="n"/>
      <c r="AE299" s="33" t="n"/>
      <c r="AF299" s="32" t="n"/>
      <c r="AG299" s="32" t="n"/>
      <c r="AH299" s="32" t="n"/>
      <c r="AI299" s="32" t="n"/>
      <c r="AJ299" s="32" t="n"/>
      <c r="AK299" s="32" t="n"/>
      <c r="AL299" s="32" t="n"/>
      <c r="AM299" s="32" t="n"/>
      <c r="AN299" s="32" t="n"/>
      <c r="AO299" s="32" t="n"/>
      <c r="AP299" s="32" t="n"/>
      <c r="AQ299" s="32" t="n"/>
      <c r="AR299" s="29">
        <f>IF(NOT(COUNTA(A299:AE299)&gt;0),"",IF(A299="","New client","Update"))</f>
        <v/>
      </c>
      <c r="AS299" s="29">
        <f>IF(BA299&lt;&gt;"",BA299,IF(LEN(AZ299)=15,MID(AZ299,3,10),""))</f>
        <v/>
      </c>
      <c r="AT299" s="29">
        <f>IF(BB299="","",BB299&amp;IF(D299="","  (guessed from PAN)",""))</f>
        <v/>
      </c>
      <c r="AU299" s="29">
        <f>IF(AZ299="","",IFERROR(INDEX(Lists!$L$2:$L$38,MATCH(LEFT(AZ299,2),Lists!$K$2:$K$38,0)),"Unknown code"))</f>
        <v/>
      </c>
      <c r="AV299" s="29">
        <f>IF(AZ299="","",IFERROR(IF(NOT(AND(LEN(AZ299)=15,ISNUMBER(MATCH(LEFT(AZ299,2),Lists!$K$2:$K$38,0)),SUMPRODUCT(--ISERROR(FIND(MID(MID(AZ299,3,10),{1,2,3,4,5,10},1),"ABCDEFGHIJKLMNOPQRSTUVWXYZ")))=0,SUMPRODUCT(--ISERROR(FIND(MID(MID(AZ299,3,10),{6,7,8,9},1),"0123456789")))=0,ISNUMBER(FIND(MID(AZ299,13,1),"123456789ABCDEFGHIJKLMNOPQRSTUVWXYZ")),MID(AZ299,14,1)="Z")),"Wrong format",IF(MID("0123456789ABCDEFGHIJKLMNOPQRSTUVWXYZ",MOD(36-MOD(SUMPRODUCT(INT((FIND(MID(AZ299,{1,2,3,4,5,6,7,8,9,10,11,12,13,14},1),"0123456789ABCDEFGHIJKLMNOPQRSTUVWXYZ")-1)*{1,2,1,2,1,2,1,2,1,2,1,2,1,2}/36)+MOD((FIND(MID(AZ299,{1,2,3,4,5,6,7,8,9,10,11,12,13,14},1),"0123456789ABCDEFGHIJKLMNOPQRSTUVWXYZ")-1)*{1,2,1,2,1,2,1,2,1,2,1,2,1,2},36)),36),36)+1,1)=MID(AZ299,15,1),"OK","Typo? check digit wrong")),"Wrong format"))</f>
        <v/>
      </c>
      <c r="AW299" s="29">
        <f>IF(BA299="","",IF(AND(LEN(BA299)=10,SUMPRODUCT(--ISERROR(FIND(MID(BA299,{1,2,3,4,5,10},1),"ABCDEFGHIJKLMNOPQRSTUVWXYZ")))=0,SUMPRODUCT(--ISERROR(FIND(MID(BA299,{6,7,8,9},1),"0123456789")))=0),"OK","Wrong format"))</f>
        <v/>
      </c>
      <c r="AX299" s="29">
        <f>IF(TRIM(H299)="","",IF(AND(LEN(UPPER(TRIM(H299)))=10,SUMPRODUCT(--ISERROR(FIND(MID(UPPER(TRIM(H299)),{1,2,3,4,10},1),"ABCDEFGHIJKLMNOPQRSTUVWXYZ")))=0,SUMPRODUCT(--ISERROR(FIND(MID(UPPER(TRIM(H299)),{5,6,7,8,9},1),"0123456789")))=0),"OK","Wrong format"))</f>
        <v/>
      </c>
      <c r="AY299" s="30">
        <f>IF(NOT(COUNTA(A299:AE299)&gt;0),"",IF(BE299&lt;&gt;"","✖ "&amp;LEFT(BE299,LEN(BE299)-2),IF(BD299&gt;0,"✔ Ready — client + "&amp;BD299&amp;" service(s)","✔ Ready — client only")))</f>
        <v/>
      </c>
      <c r="AZ299" s="31">
        <f>UPPER(SUBSTITUTE(TRIM(F299)," ",""))</f>
        <v/>
      </c>
      <c r="BA299" s="31">
        <f>UPPER(SUBSTITUTE(TRIM(E299)," ",""))</f>
        <v/>
      </c>
      <c r="BB299" s="31">
        <f>IF(D299&lt;&gt;"",D299,IFERROR(VLOOKUP(MID(AS299,4,1),Lists!$E$2:$F$8,2,FALSE),""))</f>
        <v/>
      </c>
      <c r="BC299" s="31">
        <f>IFERROR(VLOOKUP(BB299,Lists!$A$2:$C$12,3,FALSE),"")</f>
        <v/>
      </c>
      <c r="BD299" s="31">
        <f>COUNTIF(W299:AC299,"Yes")</f>
        <v/>
      </c>
      <c r="BE299" s="31">
        <f>IF(TRIM(B299)="","Legal name missing; ","")&amp;IF(AND(AV299&lt;&gt;"",AV299&lt;&gt;"OK"),"GSTIN: "&amp;AV299&amp;"; ","")&amp;IF(AND(AW299&lt;&gt;"",AW299&lt;&gt;"OK"),"PAN wrong format; ","")&amp;IF(AND(BA299&lt;&gt;"",LEN(AZ299)=15,MID(AZ299,3,10)&lt;&gt;BA299),"PAN does not match GSTIN; ","")&amp;IF(AND(AX299&lt;&gt;"",AX299&lt;&gt;"OK"),"TAN wrong format; ","")&amp;IF(AS299="","PAN missing; ","")&amp;IF(BB299="","Entity type missing; ","")&amp;IF(AND(AZ299&lt;&gt;"",COUNTIF($AZ$6:$AZ$1005,AZ299)&gt;1),"GSTIN repeated in this sheet; ","")&amp;IF(AND(AS299&lt;&gt;"",COUNTIF($AS$6:$AS$1005,AS299)&gt;1),"PAN repeated in this sheet (same client? put extra GSTINs in Other GSTINs); ","")&amp;IF(AND(BD299&gt;0,V299=""),"Financial year missing; ","")&amp;IF(AND(BD299=0,V299&lt;&gt;""),"Financial year given but no service is Yes; ","")&amp;IF(AND(W299="Yes",AZ299=""),"GST needs a GSTIN; ","")&amp;IF(AND(W299="Yes",X299=""),"GST return frequency missing; ","")&amp;IF(AND(Y299="Yes",TRIM(H299)=""),"TDS needs a TAN; ","")&amp;IF(AND(AA299="Yes",BC299&lt;&gt;"",BC299&lt;&gt;"company",BC299&lt;&gt;"llp"),"ROC is only for a company / LLP; ","")&amp;IF(AND(AA299="Yes",OR(BC299="company",BC299="llp"),TRIM(I299)=""),"ROC needs the CIN / LLPIN; ","")&amp;IF((TRIM(AF299)="")&lt;&gt;(TRIM(AG299)=""),"GST login needs both user ID and password; ","")&amp;IF((TRIM(AH299)="")&lt;&gt;(TRIM(AI299)=""),"Income-tax login needs both user ID and password; ","")&amp;IF((TRIM(AJ299)="")&lt;&gt;(TRIM(AK299)=""),"Income-tax login needs both user ID and password; ","")&amp;IF((TRIM(AL299)="")&lt;&gt;(TRIM(AM299)=""),"TRACES login needs both user ID and password; ","")&amp;IF((TRIM(AN299)="")&lt;&gt;(TRIM(AO299)=""),"MCA login needs both user ID and password; ","")&amp;IF((TRIM(AP299)="")&lt;&gt;(TRIM(AQ299)=""),"E-way bill login needs both user ID and password; ","")</f>
        <v/>
      </c>
    </row>
    <row r="300">
      <c r="A300" s="32" t="n"/>
      <c r="B300" s="33" t="n"/>
      <c r="C300" s="33" t="n"/>
      <c r="D300" s="33" t="n"/>
      <c r="E300" s="32" t="n"/>
      <c r="F300" s="32" t="n"/>
      <c r="G300" s="32" t="n"/>
      <c r="H300" s="32" t="n"/>
      <c r="I300" s="32" t="n"/>
      <c r="J300" s="34" t="n"/>
      <c r="K300" s="33" t="n"/>
      <c r="L300" s="32" t="n"/>
      <c r="M300" s="33" t="n"/>
      <c r="N300" s="33" t="n"/>
      <c r="O300" s="33" t="n"/>
      <c r="P300" s="32" t="n"/>
      <c r="Q300" s="33" t="n"/>
      <c r="R300" s="33" t="n"/>
      <c r="S300" s="33" t="n"/>
      <c r="T300" s="33" t="n"/>
      <c r="U300" s="32" t="n"/>
      <c r="V300" s="33" t="n"/>
      <c r="W300" s="33" t="n"/>
      <c r="X300" s="33" t="n"/>
      <c r="Y300" s="33" t="n"/>
      <c r="Z300" s="33" t="n"/>
      <c r="AA300" s="33" t="n"/>
      <c r="AB300" s="33" t="n"/>
      <c r="AC300" s="33" t="n"/>
      <c r="AD300" s="33" t="n"/>
      <c r="AE300" s="33" t="n"/>
      <c r="AF300" s="32" t="n"/>
      <c r="AG300" s="32" t="n"/>
      <c r="AH300" s="32" t="n"/>
      <c r="AI300" s="32" t="n"/>
      <c r="AJ300" s="32" t="n"/>
      <c r="AK300" s="32" t="n"/>
      <c r="AL300" s="32" t="n"/>
      <c r="AM300" s="32" t="n"/>
      <c r="AN300" s="32" t="n"/>
      <c r="AO300" s="32" t="n"/>
      <c r="AP300" s="32" t="n"/>
      <c r="AQ300" s="32" t="n"/>
      <c r="AR300" s="29">
        <f>IF(NOT(COUNTA(A300:AE300)&gt;0),"",IF(A300="","New client","Update"))</f>
        <v/>
      </c>
      <c r="AS300" s="29">
        <f>IF(BA300&lt;&gt;"",BA300,IF(LEN(AZ300)=15,MID(AZ300,3,10),""))</f>
        <v/>
      </c>
      <c r="AT300" s="29">
        <f>IF(BB300="","",BB300&amp;IF(D300="","  (guessed from PAN)",""))</f>
        <v/>
      </c>
      <c r="AU300" s="29">
        <f>IF(AZ300="","",IFERROR(INDEX(Lists!$L$2:$L$38,MATCH(LEFT(AZ300,2),Lists!$K$2:$K$38,0)),"Unknown code"))</f>
        <v/>
      </c>
      <c r="AV300" s="29">
        <f>IF(AZ300="","",IFERROR(IF(NOT(AND(LEN(AZ300)=15,ISNUMBER(MATCH(LEFT(AZ300,2),Lists!$K$2:$K$38,0)),SUMPRODUCT(--ISERROR(FIND(MID(MID(AZ300,3,10),{1,2,3,4,5,10},1),"ABCDEFGHIJKLMNOPQRSTUVWXYZ")))=0,SUMPRODUCT(--ISERROR(FIND(MID(MID(AZ300,3,10),{6,7,8,9},1),"0123456789")))=0,ISNUMBER(FIND(MID(AZ300,13,1),"123456789ABCDEFGHIJKLMNOPQRSTUVWXYZ")),MID(AZ300,14,1)="Z")),"Wrong format",IF(MID("0123456789ABCDEFGHIJKLMNOPQRSTUVWXYZ",MOD(36-MOD(SUMPRODUCT(INT((FIND(MID(AZ300,{1,2,3,4,5,6,7,8,9,10,11,12,13,14},1),"0123456789ABCDEFGHIJKLMNOPQRSTUVWXYZ")-1)*{1,2,1,2,1,2,1,2,1,2,1,2,1,2}/36)+MOD((FIND(MID(AZ300,{1,2,3,4,5,6,7,8,9,10,11,12,13,14},1),"0123456789ABCDEFGHIJKLMNOPQRSTUVWXYZ")-1)*{1,2,1,2,1,2,1,2,1,2,1,2,1,2},36)),36),36)+1,1)=MID(AZ300,15,1),"OK","Typo? check digit wrong")),"Wrong format"))</f>
        <v/>
      </c>
      <c r="AW300" s="29">
        <f>IF(BA300="","",IF(AND(LEN(BA300)=10,SUMPRODUCT(--ISERROR(FIND(MID(BA300,{1,2,3,4,5,10},1),"ABCDEFGHIJKLMNOPQRSTUVWXYZ")))=0,SUMPRODUCT(--ISERROR(FIND(MID(BA300,{6,7,8,9},1),"0123456789")))=0),"OK","Wrong format"))</f>
        <v/>
      </c>
      <c r="AX300" s="29">
        <f>IF(TRIM(H300)="","",IF(AND(LEN(UPPER(TRIM(H300)))=10,SUMPRODUCT(--ISERROR(FIND(MID(UPPER(TRIM(H300)),{1,2,3,4,10},1),"ABCDEFGHIJKLMNOPQRSTUVWXYZ")))=0,SUMPRODUCT(--ISERROR(FIND(MID(UPPER(TRIM(H300)),{5,6,7,8,9},1),"0123456789")))=0),"OK","Wrong format"))</f>
        <v/>
      </c>
      <c r="AY300" s="30">
        <f>IF(NOT(COUNTA(A300:AE300)&gt;0),"",IF(BE300&lt;&gt;"","✖ "&amp;LEFT(BE300,LEN(BE300)-2),IF(BD300&gt;0,"✔ Ready — client + "&amp;BD300&amp;" service(s)","✔ Ready — client only")))</f>
        <v/>
      </c>
      <c r="AZ300" s="31">
        <f>UPPER(SUBSTITUTE(TRIM(F300)," ",""))</f>
        <v/>
      </c>
      <c r="BA300" s="31">
        <f>UPPER(SUBSTITUTE(TRIM(E300)," ",""))</f>
        <v/>
      </c>
      <c r="BB300" s="31">
        <f>IF(D300&lt;&gt;"",D300,IFERROR(VLOOKUP(MID(AS300,4,1),Lists!$E$2:$F$8,2,FALSE),""))</f>
        <v/>
      </c>
      <c r="BC300" s="31">
        <f>IFERROR(VLOOKUP(BB300,Lists!$A$2:$C$12,3,FALSE),"")</f>
        <v/>
      </c>
      <c r="BD300" s="31">
        <f>COUNTIF(W300:AC300,"Yes")</f>
        <v/>
      </c>
      <c r="BE300" s="31">
        <f>IF(TRIM(B300)="","Legal name missing; ","")&amp;IF(AND(AV300&lt;&gt;"",AV300&lt;&gt;"OK"),"GSTIN: "&amp;AV300&amp;"; ","")&amp;IF(AND(AW300&lt;&gt;"",AW300&lt;&gt;"OK"),"PAN wrong format; ","")&amp;IF(AND(BA300&lt;&gt;"",LEN(AZ300)=15,MID(AZ300,3,10)&lt;&gt;BA300),"PAN does not match GSTIN; ","")&amp;IF(AND(AX300&lt;&gt;"",AX300&lt;&gt;"OK"),"TAN wrong format; ","")&amp;IF(AS300="","PAN missing; ","")&amp;IF(BB300="","Entity type missing; ","")&amp;IF(AND(AZ300&lt;&gt;"",COUNTIF($AZ$6:$AZ$1005,AZ300)&gt;1),"GSTIN repeated in this sheet; ","")&amp;IF(AND(AS300&lt;&gt;"",COUNTIF($AS$6:$AS$1005,AS300)&gt;1),"PAN repeated in this sheet (same client? put extra GSTINs in Other GSTINs); ","")&amp;IF(AND(BD300&gt;0,V300=""),"Financial year missing; ","")&amp;IF(AND(BD300=0,V300&lt;&gt;""),"Financial year given but no service is Yes; ","")&amp;IF(AND(W300="Yes",AZ300=""),"GST needs a GSTIN; ","")&amp;IF(AND(W300="Yes",X300=""),"GST return frequency missing; ","")&amp;IF(AND(Y300="Yes",TRIM(H300)=""),"TDS needs a TAN; ","")&amp;IF(AND(AA300="Yes",BC300&lt;&gt;"",BC300&lt;&gt;"company",BC300&lt;&gt;"llp"),"ROC is only for a company / LLP; ","")&amp;IF(AND(AA300="Yes",OR(BC300="company",BC300="llp"),TRIM(I300)=""),"ROC needs the CIN / LLPIN; ","")&amp;IF((TRIM(AF300)="")&lt;&gt;(TRIM(AG300)=""),"GST login needs both user ID and password; ","")&amp;IF((TRIM(AH300)="")&lt;&gt;(TRIM(AI300)=""),"Income-tax login needs both user ID and password; ","")&amp;IF((TRIM(AJ300)="")&lt;&gt;(TRIM(AK300)=""),"Income-tax login needs both user ID and password; ","")&amp;IF((TRIM(AL300)="")&lt;&gt;(TRIM(AM300)=""),"TRACES login needs both user ID and password; ","")&amp;IF((TRIM(AN300)="")&lt;&gt;(TRIM(AO300)=""),"MCA login needs both user ID and password; ","")&amp;IF((TRIM(AP300)="")&lt;&gt;(TRIM(AQ300)=""),"E-way bill login needs both user ID and password; ","")</f>
        <v/>
      </c>
    </row>
    <row r="301">
      <c r="A301" s="32" t="n"/>
      <c r="B301" s="33" t="n"/>
      <c r="C301" s="33" t="n"/>
      <c r="D301" s="33" t="n"/>
      <c r="E301" s="32" t="n"/>
      <c r="F301" s="32" t="n"/>
      <c r="G301" s="32" t="n"/>
      <c r="H301" s="32" t="n"/>
      <c r="I301" s="32" t="n"/>
      <c r="J301" s="34" t="n"/>
      <c r="K301" s="33" t="n"/>
      <c r="L301" s="32" t="n"/>
      <c r="M301" s="33" t="n"/>
      <c r="N301" s="33" t="n"/>
      <c r="O301" s="33" t="n"/>
      <c r="P301" s="32" t="n"/>
      <c r="Q301" s="33" t="n"/>
      <c r="R301" s="33" t="n"/>
      <c r="S301" s="33" t="n"/>
      <c r="T301" s="33" t="n"/>
      <c r="U301" s="32" t="n"/>
      <c r="V301" s="33" t="n"/>
      <c r="W301" s="33" t="n"/>
      <c r="X301" s="33" t="n"/>
      <c r="Y301" s="33" t="n"/>
      <c r="Z301" s="33" t="n"/>
      <c r="AA301" s="33" t="n"/>
      <c r="AB301" s="33" t="n"/>
      <c r="AC301" s="33" t="n"/>
      <c r="AD301" s="33" t="n"/>
      <c r="AE301" s="33" t="n"/>
      <c r="AF301" s="32" t="n"/>
      <c r="AG301" s="32" t="n"/>
      <c r="AH301" s="32" t="n"/>
      <c r="AI301" s="32" t="n"/>
      <c r="AJ301" s="32" t="n"/>
      <c r="AK301" s="32" t="n"/>
      <c r="AL301" s="32" t="n"/>
      <c r="AM301" s="32" t="n"/>
      <c r="AN301" s="32" t="n"/>
      <c r="AO301" s="32" t="n"/>
      <c r="AP301" s="32" t="n"/>
      <c r="AQ301" s="32" t="n"/>
      <c r="AR301" s="29">
        <f>IF(NOT(COUNTA(A301:AE301)&gt;0),"",IF(A301="","New client","Update"))</f>
        <v/>
      </c>
      <c r="AS301" s="29">
        <f>IF(BA301&lt;&gt;"",BA301,IF(LEN(AZ301)=15,MID(AZ301,3,10),""))</f>
        <v/>
      </c>
      <c r="AT301" s="29">
        <f>IF(BB301="","",BB301&amp;IF(D301="","  (guessed from PAN)",""))</f>
        <v/>
      </c>
      <c r="AU301" s="29">
        <f>IF(AZ301="","",IFERROR(INDEX(Lists!$L$2:$L$38,MATCH(LEFT(AZ301,2),Lists!$K$2:$K$38,0)),"Unknown code"))</f>
        <v/>
      </c>
      <c r="AV301" s="29">
        <f>IF(AZ301="","",IFERROR(IF(NOT(AND(LEN(AZ301)=15,ISNUMBER(MATCH(LEFT(AZ301,2),Lists!$K$2:$K$38,0)),SUMPRODUCT(--ISERROR(FIND(MID(MID(AZ301,3,10),{1,2,3,4,5,10},1),"ABCDEFGHIJKLMNOPQRSTUVWXYZ")))=0,SUMPRODUCT(--ISERROR(FIND(MID(MID(AZ301,3,10),{6,7,8,9},1),"0123456789")))=0,ISNUMBER(FIND(MID(AZ301,13,1),"123456789ABCDEFGHIJKLMNOPQRSTUVWXYZ")),MID(AZ301,14,1)="Z")),"Wrong format",IF(MID("0123456789ABCDEFGHIJKLMNOPQRSTUVWXYZ",MOD(36-MOD(SUMPRODUCT(INT((FIND(MID(AZ301,{1,2,3,4,5,6,7,8,9,10,11,12,13,14},1),"0123456789ABCDEFGHIJKLMNOPQRSTUVWXYZ")-1)*{1,2,1,2,1,2,1,2,1,2,1,2,1,2}/36)+MOD((FIND(MID(AZ301,{1,2,3,4,5,6,7,8,9,10,11,12,13,14},1),"0123456789ABCDEFGHIJKLMNOPQRSTUVWXYZ")-1)*{1,2,1,2,1,2,1,2,1,2,1,2,1,2},36)),36),36)+1,1)=MID(AZ301,15,1),"OK","Typo? check digit wrong")),"Wrong format"))</f>
        <v/>
      </c>
      <c r="AW301" s="29">
        <f>IF(BA301="","",IF(AND(LEN(BA301)=10,SUMPRODUCT(--ISERROR(FIND(MID(BA301,{1,2,3,4,5,10},1),"ABCDEFGHIJKLMNOPQRSTUVWXYZ")))=0,SUMPRODUCT(--ISERROR(FIND(MID(BA301,{6,7,8,9},1),"0123456789")))=0),"OK","Wrong format"))</f>
        <v/>
      </c>
      <c r="AX301" s="29">
        <f>IF(TRIM(H301)="","",IF(AND(LEN(UPPER(TRIM(H301)))=10,SUMPRODUCT(--ISERROR(FIND(MID(UPPER(TRIM(H301)),{1,2,3,4,10},1),"ABCDEFGHIJKLMNOPQRSTUVWXYZ")))=0,SUMPRODUCT(--ISERROR(FIND(MID(UPPER(TRIM(H301)),{5,6,7,8,9},1),"0123456789")))=0),"OK","Wrong format"))</f>
        <v/>
      </c>
      <c r="AY301" s="30">
        <f>IF(NOT(COUNTA(A301:AE301)&gt;0),"",IF(BE301&lt;&gt;"","✖ "&amp;LEFT(BE301,LEN(BE301)-2),IF(BD301&gt;0,"✔ Ready — client + "&amp;BD301&amp;" service(s)","✔ Ready — client only")))</f>
        <v/>
      </c>
      <c r="AZ301" s="31">
        <f>UPPER(SUBSTITUTE(TRIM(F301)," ",""))</f>
        <v/>
      </c>
      <c r="BA301" s="31">
        <f>UPPER(SUBSTITUTE(TRIM(E301)," ",""))</f>
        <v/>
      </c>
      <c r="BB301" s="31">
        <f>IF(D301&lt;&gt;"",D301,IFERROR(VLOOKUP(MID(AS301,4,1),Lists!$E$2:$F$8,2,FALSE),""))</f>
        <v/>
      </c>
      <c r="BC301" s="31">
        <f>IFERROR(VLOOKUP(BB301,Lists!$A$2:$C$12,3,FALSE),"")</f>
        <v/>
      </c>
      <c r="BD301" s="31">
        <f>COUNTIF(W301:AC301,"Yes")</f>
        <v/>
      </c>
      <c r="BE301" s="31">
        <f>IF(TRIM(B301)="","Legal name missing; ","")&amp;IF(AND(AV301&lt;&gt;"",AV301&lt;&gt;"OK"),"GSTIN: "&amp;AV301&amp;"; ","")&amp;IF(AND(AW301&lt;&gt;"",AW301&lt;&gt;"OK"),"PAN wrong format; ","")&amp;IF(AND(BA301&lt;&gt;"",LEN(AZ301)=15,MID(AZ301,3,10)&lt;&gt;BA301),"PAN does not match GSTIN; ","")&amp;IF(AND(AX301&lt;&gt;"",AX301&lt;&gt;"OK"),"TAN wrong format; ","")&amp;IF(AS301="","PAN missing; ","")&amp;IF(BB301="","Entity type missing; ","")&amp;IF(AND(AZ301&lt;&gt;"",COUNTIF($AZ$6:$AZ$1005,AZ301)&gt;1),"GSTIN repeated in this sheet; ","")&amp;IF(AND(AS301&lt;&gt;"",COUNTIF($AS$6:$AS$1005,AS301)&gt;1),"PAN repeated in this sheet (same client? put extra GSTINs in Other GSTINs); ","")&amp;IF(AND(BD301&gt;0,V301=""),"Financial year missing; ","")&amp;IF(AND(BD301=0,V301&lt;&gt;""),"Financial year given but no service is Yes; ","")&amp;IF(AND(W301="Yes",AZ301=""),"GST needs a GSTIN; ","")&amp;IF(AND(W301="Yes",X301=""),"GST return frequency missing; ","")&amp;IF(AND(Y301="Yes",TRIM(H301)=""),"TDS needs a TAN; ","")&amp;IF(AND(AA301="Yes",BC301&lt;&gt;"",BC301&lt;&gt;"company",BC301&lt;&gt;"llp"),"ROC is only for a company / LLP; ","")&amp;IF(AND(AA301="Yes",OR(BC301="company",BC301="llp"),TRIM(I301)=""),"ROC needs the CIN / LLPIN; ","")&amp;IF((TRIM(AF301)="")&lt;&gt;(TRIM(AG301)=""),"GST login needs both user ID and password; ","")&amp;IF((TRIM(AH301)="")&lt;&gt;(TRIM(AI301)=""),"Income-tax login needs both user ID and password; ","")&amp;IF((TRIM(AJ301)="")&lt;&gt;(TRIM(AK301)=""),"Income-tax login needs both user ID and password; ","")&amp;IF((TRIM(AL301)="")&lt;&gt;(TRIM(AM301)=""),"TRACES login needs both user ID and password; ","")&amp;IF((TRIM(AN301)="")&lt;&gt;(TRIM(AO301)=""),"MCA login needs both user ID and password; ","")&amp;IF((TRIM(AP301)="")&lt;&gt;(TRIM(AQ301)=""),"E-way bill login needs both user ID and password; ","")</f>
        <v/>
      </c>
    </row>
    <row r="302">
      <c r="A302" s="32" t="n"/>
      <c r="B302" s="33" t="n"/>
      <c r="C302" s="33" t="n"/>
      <c r="D302" s="33" t="n"/>
      <c r="E302" s="32" t="n"/>
      <c r="F302" s="32" t="n"/>
      <c r="G302" s="32" t="n"/>
      <c r="H302" s="32" t="n"/>
      <c r="I302" s="32" t="n"/>
      <c r="J302" s="34" t="n"/>
      <c r="K302" s="33" t="n"/>
      <c r="L302" s="32" t="n"/>
      <c r="M302" s="33" t="n"/>
      <c r="N302" s="33" t="n"/>
      <c r="O302" s="33" t="n"/>
      <c r="P302" s="32" t="n"/>
      <c r="Q302" s="33" t="n"/>
      <c r="R302" s="33" t="n"/>
      <c r="S302" s="33" t="n"/>
      <c r="T302" s="33" t="n"/>
      <c r="U302" s="32" t="n"/>
      <c r="V302" s="33" t="n"/>
      <c r="W302" s="33" t="n"/>
      <c r="X302" s="33" t="n"/>
      <c r="Y302" s="33" t="n"/>
      <c r="Z302" s="33" t="n"/>
      <c r="AA302" s="33" t="n"/>
      <c r="AB302" s="33" t="n"/>
      <c r="AC302" s="33" t="n"/>
      <c r="AD302" s="33" t="n"/>
      <c r="AE302" s="33" t="n"/>
      <c r="AF302" s="32" t="n"/>
      <c r="AG302" s="32" t="n"/>
      <c r="AH302" s="32" t="n"/>
      <c r="AI302" s="32" t="n"/>
      <c r="AJ302" s="32" t="n"/>
      <c r="AK302" s="32" t="n"/>
      <c r="AL302" s="32" t="n"/>
      <c r="AM302" s="32" t="n"/>
      <c r="AN302" s="32" t="n"/>
      <c r="AO302" s="32" t="n"/>
      <c r="AP302" s="32" t="n"/>
      <c r="AQ302" s="32" t="n"/>
      <c r="AR302" s="29">
        <f>IF(NOT(COUNTA(A302:AE302)&gt;0),"",IF(A302="","New client","Update"))</f>
        <v/>
      </c>
      <c r="AS302" s="29">
        <f>IF(BA302&lt;&gt;"",BA302,IF(LEN(AZ302)=15,MID(AZ302,3,10),""))</f>
        <v/>
      </c>
      <c r="AT302" s="29">
        <f>IF(BB302="","",BB302&amp;IF(D302="","  (guessed from PAN)",""))</f>
        <v/>
      </c>
      <c r="AU302" s="29">
        <f>IF(AZ302="","",IFERROR(INDEX(Lists!$L$2:$L$38,MATCH(LEFT(AZ302,2),Lists!$K$2:$K$38,0)),"Unknown code"))</f>
        <v/>
      </c>
      <c r="AV302" s="29">
        <f>IF(AZ302="","",IFERROR(IF(NOT(AND(LEN(AZ302)=15,ISNUMBER(MATCH(LEFT(AZ302,2),Lists!$K$2:$K$38,0)),SUMPRODUCT(--ISERROR(FIND(MID(MID(AZ302,3,10),{1,2,3,4,5,10},1),"ABCDEFGHIJKLMNOPQRSTUVWXYZ")))=0,SUMPRODUCT(--ISERROR(FIND(MID(MID(AZ302,3,10),{6,7,8,9},1),"0123456789")))=0,ISNUMBER(FIND(MID(AZ302,13,1),"123456789ABCDEFGHIJKLMNOPQRSTUVWXYZ")),MID(AZ302,14,1)="Z")),"Wrong format",IF(MID("0123456789ABCDEFGHIJKLMNOPQRSTUVWXYZ",MOD(36-MOD(SUMPRODUCT(INT((FIND(MID(AZ302,{1,2,3,4,5,6,7,8,9,10,11,12,13,14},1),"0123456789ABCDEFGHIJKLMNOPQRSTUVWXYZ")-1)*{1,2,1,2,1,2,1,2,1,2,1,2,1,2}/36)+MOD((FIND(MID(AZ302,{1,2,3,4,5,6,7,8,9,10,11,12,13,14},1),"0123456789ABCDEFGHIJKLMNOPQRSTUVWXYZ")-1)*{1,2,1,2,1,2,1,2,1,2,1,2,1,2},36)),36),36)+1,1)=MID(AZ302,15,1),"OK","Typo? check digit wrong")),"Wrong format"))</f>
        <v/>
      </c>
      <c r="AW302" s="29">
        <f>IF(BA302="","",IF(AND(LEN(BA302)=10,SUMPRODUCT(--ISERROR(FIND(MID(BA302,{1,2,3,4,5,10},1),"ABCDEFGHIJKLMNOPQRSTUVWXYZ")))=0,SUMPRODUCT(--ISERROR(FIND(MID(BA302,{6,7,8,9},1),"0123456789")))=0),"OK","Wrong format"))</f>
        <v/>
      </c>
      <c r="AX302" s="29">
        <f>IF(TRIM(H302)="","",IF(AND(LEN(UPPER(TRIM(H302)))=10,SUMPRODUCT(--ISERROR(FIND(MID(UPPER(TRIM(H302)),{1,2,3,4,10},1),"ABCDEFGHIJKLMNOPQRSTUVWXYZ")))=0,SUMPRODUCT(--ISERROR(FIND(MID(UPPER(TRIM(H302)),{5,6,7,8,9},1),"0123456789")))=0),"OK","Wrong format"))</f>
        <v/>
      </c>
      <c r="AY302" s="30">
        <f>IF(NOT(COUNTA(A302:AE302)&gt;0),"",IF(BE302&lt;&gt;"","✖ "&amp;LEFT(BE302,LEN(BE302)-2),IF(BD302&gt;0,"✔ Ready — client + "&amp;BD302&amp;" service(s)","✔ Ready — client only")))</f>
        <v/>
      </c>
      <c r="AZ302" s="31">
        <f>UPPER(SUBSTITUTE(TRIM(F302)," ",""))</f>
        <v/>
      </c>
      <c r="BA302" s="31">
        <f>UPPER(SUBSTITUTE(TRIM(E302)," ",""))</f>
        <v/>
      </c>
      <c r="BB302" s="31">
        <f>IF(D302&lt;&gt;"",D302,IFERROR(VLOOKUP(MID(AS302,4,1),Lists!$E$2:$F$8,2,FALSE),""))</f>
        <v/>
      </c>
      <c r="BC302" s="31">
        <f>IFERROR(VLOOKUP(BB302,Lists!$A$2:$C$12,3,FALSE),"")</f>
        <v/>
      </c>
      <c r="BD302" s="31">
        <f>COUNTIF(W302:AC302,"Yes")</f>
        <v/>
      </c>
      <c r="BE302" s="31">
        <f>IF(TRIM(B302)="","Legal name missing; ","")&amp;IF(AND(AV302&lt;&gt;"",AV302&lt;&gt;"OK"),"GSTIN: "&amp;AV302&amp;"; ","")&amp;IF(AND(AW302&lt;&gt;"",AW302&lt;&gt;"OK"),"PAN wrong format; ","")&amp;IF(AND(BA302&lt;&gt;"",LEN(AZ302)=15,MID(AZ302,3,10)&lt;&gt;BA302),"PAN does not match GSTIN; ","")&amp;IF(AND(AX302&lt;&gt;"",AX302&lt;&gt;"OK"),"TAN wrong format; ","")&amp;IF(AS302="","PAN missing; ","")&amp;IF(BB302="","Entity type missing; ","")&amp;IF(AND(AZ302&lt;&gt;"",COUNTIF($AZ$6:$AZ$1005,AZ302)&gt;1),"GSTIN repeated in this sheet; ","")&amp;IF(AND(AS302&lt;&gt;"",COUNTIF($AS$6:$AS$1005,AS302)&gt;1),"PAN repeated in this sheet (same client? put extra GSTINs in Other GSTINs); ","")&amp;IF(AND(BD302&gt;0,V302=""),"Financial year missing; ","")&amp;IF(AND(BD302=0,V302&lt;&gt;""),"Financial year given but no service is Yes; ","")&amp;IF(AND(W302="Yes",AZ302=""),"GST needs a GSTIN; ","")&amp;IF(AND(W302="Yes",X302=""),"GST return frequency missing; ","")&amp;IF(AND(Y302="Yes",TRIM(H302)=""),"TDS needs a TAN; ","")&amp;IF(AND(AA302="Yes",BC302&lt;&gt;"",BC302&lt;&gt;"company",BC302&lt;&gt;"llp"),"ROC is only for a company / LLP; ","")&amp;IF(AND(AA302="Yes",OR(BC302="company",BC302="llp"),TRIM(I302)=""),"ROC needs the CIN / LLPIN; ","")&amp;IF((TRIM(AF302)="")&lt;&gt;(TRIM(AG302)=""),"GST login needs both user ID and password; ","")&amp;IF((TRIM(AH302)="")&lt;&gt;(TRIM(AI302)=""),"Income-tax login needs both user ID and password; ","")&amp;IF((TRIM(AJ302)="")&lt;&gt;(TRIM(AK302)=""),"Income-tax login needs both user ID and password; ","")&amp;IF((TRIM(AL302)="")&lt;&gt;(TRIM(AM302)=""),"TRACES login needs both user ID and password; ","")&amp;IF((TRIM(AN302)="")&lt;&gt;(TRIM(AO302)=""),"MCA login needs both user ID and password; ","")&amp;IF((TRIM(AP302)="")&lt;&gt;(TRIM(AQ302)=""),"E-way bill login needs both user ID and password; ","")</f>
        <v/>
      </c>
    </row>
    <row r="303">
      <c r="A303" s="32" t="n"/>
      <c r="B303" s="33" t="n"/>
      <c r="C303" s="33" t="n"/>
      <c r="D303" s="33" t="n"/>
      <c r="E303" s="32" t="n"/>
      <c r="F303" s="32" t="n"/>
      <c r="G303" s="32" t="n"/>
      <c r="H303" s="32" t="n"/>
      <c r="I303" s="32" t="n"/>
      <c r="J303" s="34" t="n"/>
      <c r="K303" s="33" t="n"/>
      <c r="L303" s="32" t="n"/>
      <c r="M303" s="33" t="n"/>
      <c r="N303" s="33" t="n"/>
      <c r="O303" s="33" t="n"/>
      <c r="P303" s="32" t="n"/>
      <c r="Q303" s="33" t="n"/>
      <c r="R303" s="33" t="n"/>
      <c r="S303" s="33" t="n"/>
      <c r="T303" s="33" t="n"/>
      <c r="U303" s="32" t="n"/>
      <c r="V303" s="33" t="n"/>
      <c r="W303" s="33" t="n"/>
      <c r="X303" s="33" t="n"/>
      <c r="Y303" s="33" t="n"/>
      <c r="Z303" s="33" t="n"/>
      <c r="AA303" s="33" t="n"/>
      <c r="AB303" s="33" t="n"/>
      <c r="AC303" s="33" t="n"/>
      <c r="AD303" s="33" t="n"/>
      <c r="AE303" s="33" t="n"/>
      <c r="AF303" s="32" t="n"/>
      <c r="AG303" s="32" t="n"/>
      <c r="AH303" s="32" t="n"/>
      <c r="AI303" s="32" t="n"/>
      <c r="AJ303" s="32" t="n"/>
      <c r="AK303" s="32" t="n"/>
      <c r="AL303" s="32" t="n"/>
      <c r="AM303" s="32" t="n"/>
      <c r="AN303" s="32" t="n"/>
      <c r="AO303" s="32" t="n"/>
      <c r="AP303" s="32" t="n"/>
      <c r="AQ303" s="32" t="n"/>
      <c r="AR303" s="29">
        <f>IF(NOT(COUNTA(A303:AE303)&gt;0),"",IF(A303="","New client","Update"))</f>
        <v/>
      </c>
      <c r="AS303" s="29">
        <f>IF(BA303&lt;&gt;"",BA303,IF(LEN(AZ303)=15,MID(AZ303,3,10),""))</f>
        <v/>
      </c>
      <c r="AT303" s="29">
        <f>IF(BB303="","",BB303&amp;IF(D303="","  (guessed from PAN)",""))</f>
        <v/>
      </c>
      <c r="AU303" s="29">
        <f>IF(AZ303="","",IFERROR(INDEX(Lists!$L$2:$L$38,MATCH(LEFT(AZ303,2),Lists!$K$2:$K$38,0)),"Unknown code"))</f>
        <v/>
      </c>
      <c r="AV303" s="29">
        <f>IF(AZ303="","",IFERROR(IF(NOT(AND(LEN(AZ303)=15,ISNUMBER(MATCH(LEFT(AZ303,2),Lists!$K$2:$K$38,0)),SUMPRODUCT(--ISERROR(FIND(MID(MID(AZ303,3,10),{1,2,3,4,5,10},1),"ABCDEFGHIJKLMNOPQRSTUVWXYZ")))=0,SUMPRODUCT(--ISERROR(FIND(MID(MID(AZ303,3,10),{6,7,8,9},1),"0123456789")))=0,ISNUMBER(FIND(MID(AZ303,13,1),"123456789ABCDEFGHIJKLMNOPQRSTUVWXYZ")),MID(AZ303,14,1)="Z")),"Wrong format",IF(MID("0123456789ABCDEFGHIJKLMNOPQRSTUVWXYZ",MOD(36-MOD(SUMPRODUCT(INT((FIND(MID(AZ303,{1,2,3,4,5,6,7,8,9,10,11,12,13,14},1),"0123456789ABCDEFGHIJKLMNOPQRSTUVWXYZ")-1)*{1,2,1,2,1,2,1,2,1,2,1,2,1,2}/36)+MOD((FIND(MID(AZ303,{1,2,3,4,5,6,7,8,9,10,11,12,13,14},1),"0123456789ABCDEFGHIJKLMNOPQRSTUVWXYZ")-1)*{1,2,1,2,1,2,1,2,1,2,1,2,1,2},36)),36),36)+1,1)=MID(AZ303,15,1),"OK","Typo? check digit wrong")),"Wrong format"))</f>
        <v/>
      </c>
      <c r="AW303" s="29">
        <f>IF(BA303="","",IF(AND(LEN(BA303)=10,SUMPRODUCT(--ISERROR(FIND(MID(BA303,{1,2,3,4,5,10},1),"ABCDEFGHIJKLMNOPQRSTUVWXYZ")))=0,SUMPRODUCT(--ISERROR(FIND(MID(BA303,{6,7,8,9},1),"0123456789")))=0),"OK","Wrong format"))</f>
        <v/>
      </c>
      <c r="AX303" s="29">
        <f>IF(TRIM(H303)="","",IF(AND(LEN(UPPER(TRIM(H303)))=10,SUMPRODUCT(--ISERROR(FIND(MID(UPPER(TRIM(H303)),{1,2,3,4,10},1),"ABCDEFGHIJKLMNOPQRSTUVWXYZ")))=0,SUMPRODUCT(--ISERROR(FIND(MID(UPPER(TRIM(H303)),{5,6,7,8,9},1),"0123456789")))=0),"OK","Wrong format"))</f>
        <v/>
      </c>
      <c r="AY303" s="30">
        <f>IF(NOT(COUNTA(A303:AE303)&gt;0),"",IF(BE303&lt;&gt;"","✖ "&amp;LEFT(BE303,LEN(BE303)-2),IF(BD303&gt;0,"✔ Ready — client + "&amp;BD303&amp;" service(s)","✔ Ready — client only")))</f>
        <v/>
      </c>
      <c r="AZ303" s="31">
        <f>UPPER(SUBSTITUTE(TRIM(F303)," ",""))</f>
        <v/>
      </c>
      <c r="BA303" s="31">
        <f>UPPER(SUBSTITUTE(TRIM(E303)," ",""))</f>
        <v/>
      </c>
      <c r="BB303" s="31">
        <f>IF(D303&lt;&gt;"",D303,IFERROR(VLOOKUP(MID(AS303,4,1),Lists!$E$2:$F$8,2,FALSE),""))</f>
        <v/>
      </c>
      <c r="BC303" s="31">
        <f>IFERROR(VLOOKUP(BB303,Lists!$A$2:$C$12,3,FALSE),"")</f>
        <v/>
      </c>
      <c r="BD303" s="31">
        <f>COUNTIF(W303:AC303,"Yes")</f>
        <v/>
      </c>
      <c r="BE303" s="31">
        <f>IF(TRIM(B303)="","Legal name missing; ","")&amp;IF(AND(AV303&lt;&gt;"",AV303&lt;&gt;"OK"),"GSTIN: "&amp;AV303&amp;"; ","")&amp;IF(AND(AW303&lt;&gt;"",AW303&lt;&gt;"OK"),"PAN wrong format; ","")&amp;IF(AND(BA303&lt;&gt;"",LEN(AZ303)=15,MID(AZ303,3,10)&lt;&gt;BA303),"PAN does not match GSTIN; ","")&amp;IF(AND(AX303&lt;&gt;"",AX303&lt;&gt;"OK"),"TAN wrong format; ","")&amp;IF(AS303="","PAN missing; ","")&amp;IF(BB303="","Entity type missing; ","")&amp;IF(AND(AZ303&lt;&gt;"",COUNTIF($AZ$6:$AZ$1005,AZ303)&gt;1),"GSTIN repeated in this sheet; ","")&amp;IF(AND(AS303&lt;&gt;"",COUNTIF($AS$6:$AS$1005,AS303)&gt;1),"PAN repeated in this sheet (same client? put extra GSTINs in Other GSTINs); ","")&amp;IF(AND(BD303&gt;0,V303=""),"Financial year missing; ","")&amp;IF(AND(BD303=0,V303&lt;&gt;""),"Financial year given but no service is Yes; ","")&amp;IF(AND(W303="Yes",AZ303=""),"GST needs a GSTIN; ","")&amp;IF(AND(W303="Yes",X303=""),"GST return frequency missing; ","")&amp;IF(AND(Y303="Yes",TRIM(H303)=""),"TDS needs a TAN; ","")&amp;IF(AND(AA303="Yes",BC303&lt;&gt;"",BC303&lt;&gt;"company",BC303&lt;&gt;"llp"),"ROC is only for a company / LLP; ","")&amp;IF(AND(AA303="Yes",OR(BC303="company",BC303="llp"),TRIM(I303)=""),"ROC needs the CIN / LLPIN; ","")&amp;IF((TRIM(AF303)="")&lt;&gt;(TRIM(AG303)=""),"GST login needs both user ID and password; ","")&amp;IF((TRIM(AH303)="")&lt;&gt;(TRIM(AI303)=""),"Income-tax login needs both user ID and password; ","")&amp;IF((TRIM(AJ303)="")&lt;&gt;(TRIM(AK303)=""),"Income-tax login needs both user ID and password; ","")&amp;IF((TRIM(AL303)="")&lt;&gt;(TRIM(AM303)=""),"TRACES login needs both user ID and password; ","")&amp;IF((TRIM(AN303)="")&lt;&gt;(TRIM(AO303)=""),"MCA login needs both user ID and password; ","")&amp;IF((TRIM(AP303)="")&lt;&gt;(TRIM(AQ303)=""),"E-way bill login needs both user ID and password; ","")</f>
        <v/>
      </c>
    </row>
    <row r="304">
      <c r="A304" s="32" t="n"/>
      <c r="B304" s="33" t="n"/>
      <c r="C304" s="33" t="n"/>
      <c r="D304" s="33" t="n"/>
      <c r="E304" s="32" t="n"/>
      <c r="F304" s="32" t="n"/>
      <c r="G304" s="32" t="n"/>
      <c r="H304" s="32" t="n"/>
      <c r="I304" s="32" t="n"/>
      <c r="J304" s="34" t="n"/>
      <c r="K304" s="33" t="n"/>
      <c r="L304" s="32" t="n"/>
      <c r="M304" s="33" t="n"/>
      <c r="N304" s="33" t="n"/>
      <c r="O304" s="33" t="n"/>
      <c r="P304" s="32" t="n"/>
      <c r="Q304" s="33" t="n"/>
      <c r="R304" s="33" t="n"/>
      <c r="S304" s="33" t="n"/>
      <c r="T304" s="33" t="n"/>
      <c r="U304" s="32" t="n"/>
      <c r="V304" s="33" t="n"/>
      <c r="W304" s="33" t="n"/>
      <c r="X304" s="33" t="n"/>
      <c r="Y304" s="33" t="n"/>
      <c r="Z304" s="33" t="n"/>
      <c r="AA304" s="33" t="n"/>
      <c r="AB304" s="33" t="n"/>
      <c r="AC304" s="33" t="n"/>
      <c r="AD304" s="33" t="n"/>
      <c r="AE304" s="33" t="n"/>
      <c r="AF304" s="32" t="n"/>
      <c r="AG304" s="32" t="n"/>
      <c r="AH304" s="32" t="n"/>
      <c r="AI304" s="32" t="n"/>
      <c r="AJ304" s="32" t="n"/>
      <c r="AK304" s="32" t="n"/>
      <c r="AL304" s="32" t="n"/>
      <c r="AM304" s="32" t="n"/>
      <c r="AN304" s="32" t="n"/>
      <c r="AO304" s="32" t="n"/>
      <c r="AP304" s="32" t="n"/>
      <c r="AQ304" s="32" t="n"/>
      <c r="AR304" s="29">
        <f>IF(NOT(COUNTA(A304:AE304)&gt;0),"",IF(A304="","New client","Update"))</f>
        <v/>
      </c>
      <c r="AS304" s="29">
        <f>IF(BA304&lt;&gt;"",BA304,IF(LEN(AZ304)=15,MID(AZ304,3,10),""))</f>
        <v/>
      </c>
      <c r="AT304" s="29">
        <f>IF(BB304="","",BB304&amp;IF(D304="","  (guessed from PAN)",""))</f>
        <v/>
      </c>
      <c r="AU304" s="29">
        <f>IF(AZ304="","",IFERROR(INDEX(Lists!$L$2:$L$38,MATCH(LEFT(AZ304,2),Lists!$K$2:$K$38,0)),"Unknown code"))</f>
        <v/>
      </c>
      <c r="AV304" s="29">
        <f>IF(AZ304="","",IFERROR(IF(NOT(AND(LEN(AZ304)=15,ISNUMBER(MATCH(LEFT(AZ304,2),Lists!$K$2:$K$38,0)),SUMPRODUCT(--ISERROR(FIND(MID(MID(AZ304,3,10),{1,2,3,4,5,10},1),"ABCDEFGHIJKLMNOPQRSTUVWXYZ")))=0,SUMPRODUCT(--ISERROR(FIND(MID(MID(AZ304,3,10),{6,7,8,9},1),"0123456789")))=0,ISNUMBER(FIND(MID(AZ304,13,1),"123456789ABCDEFGHIJKLMNOPQRSTUVWXYZ")),MID(AZ304,14,1)="Z")),"Wrong format",IF(MID("0123456789ABCDEFGHIJKLMNOPQRSTUVWXYZ",MOD(36-MOD(SUMPRODUCT(INT((FIND(MID(AZ304,{1,2,3,4,5,6,7,8,9,10,11,12,13,14},1),"0123456789ABCDEFGHIJKLMNOPQRSTUVWXYZ")-1)*{1,2,1,2,1,2,1,2,1,2,1,2,1,2}/36)+MOD((FIND(MID(AZ304,{1,2,3,4,5,6,7,8,9,10,11,12,13,14},1),"0123456789ABCDEFGHIJKLMNOPQRSTUVWXYZ")-1)*{1,2,1,2,1,2,1,2,1,2,1,2,1,2},36)),36),36)+1,1)=MID(AZ304,15,1),"OK","Typo? check digit wrong")),"Wrong format"))</f>
        <v/>
      </c>
      <c r="AW304" s="29">
        <f>IF(BA304="","",IF(AND(LEN(BA304)=10,SUMPRODUCT(--ISERROR(FIND(MID(BA304,{1,2,3,4,5,10},1),"ABCDEFGHIJKLMNOPQRSTUVWXYZ")))=0,SUMPRODUCT(--ISERROR(FIND(MID(BA304,{6,7,8,9},1),"0123456789")))=0),"OK","Wrong format"))</f>
        <v/>
      </c>
      <c r="AX304" s="29">
        <f>IF(TRIM(H304)="","",IF(AND(LEN(UPPER(TRIM(H304)))=10,SUMPRODUCT(--ISERROR(FIND(MID(UPPER(TRIM(H304)),{1,2,3,4,10},1),"ABCDEFGHIJKLMNOPQRSTUVWXYZ")))=0,SUMPRODUCT(--ISERROR(FIND(MID(UPPER(TRIM(H304)),{5,6,7,8,9},1),"0123456789")))=0),"OK","Wrong format"))</f>
        <v/>
      </c>
      <c r="AY304" s="30">
        <f>IF(NOT(COUNTA(A304:AE304)&gt;0),"",IF(BE304&lt;&gt;"","✖ "&amp;LEFT(BE304,LEN(BE304)-2),IF(BD304&gt;0,"✔ Ready — client + "&amp;BD304&amp;" service(s)","✔ Ready — client only")))</f>
        <v/>
      </c>
      <c r="AZ304" s="31">
        <f>UPPER(SUBSTITUTE(TRIM(F304)," ",""))</f>
        <v/>
      </c>
      <c r="BA304" s="31">
        <f>UPPER(SUBSTITUTE(TRIM(E304)," ",""))</f>
        <v/>
      </c>
      <c r="BB304" s="31">
        <f>IF(D304&lt;&gt;"",D304,IFERROR(VLOOKUP(MID(AS304,4,1),Lists!$E$2:$F$8,2,FALSE),""))</f>
        <v/>
      </c>
      <c r="BC304" s="31">
        <f>IFERROR(VLOOKUP(BB304,Lists!$A$2:$C$12,3,FALSE),"")</f>
        <v/>
      </c>
      <c r="BD304" s="31">
        <f>COUNTIF(W304:AC304,"Yes")</f>
        <v/>
      </c>
      <c r="BE304" s="31">
        <f>IF(TRIM(B304)="","Legal name missing; ","")&amp;IF(AND(AV304&lt;&gt;"",AV304&lt;&gt;"OK"),"GSTIN: "&amp;AV304&amp;"; ","")&amp;IF(AND(AW304&lt;&gt;"",AW304&lt;&gt;"OK"),"PAN wrong format; ","")&amp;IF(AND(BA304&lt;&gt;"",LEN(AZ304)=15,MID(AZ304,3,10)&lt;&gt;BA304),"PAN does not match GSTIN; ","")&amp;IF(AND(AX304&lt;&gt;"",AX304&lt;&gt;"OK"),"TAN wrong format; ","")&amp;IF(AS304="","PAN missing; ","")&amp;IF(BB304="","Entity type missing; ","")&amp;IF(AND(AZ304&lt;&gt;"",COUNTIF($AZ$6:$AZ$1005,AZ304)&gt;1),"GSTIN repeated in this sheet; ","")&amp;IF(AND(AS304&lt;&gt;"",COUNTIF($AS$6:$AS$1005,AS304)&gt;1),"PAN repeated in this sheet (same client? put extra GSTINs in Other GSTINs); ","")&amp;IF(AND(BD304&gt;0,V304=""),"Financial year missing; ","")&amp;IF(AND(BD304=0,V304&lt;&gt;""),"Financial year given but no service is Yes; ","")&amp;IF(AND(W304="Yes",AZ304=""),"GST needs a GSTIN; ","")&amp;IF(AND(W304="Yes",X304=""),"GST return frequency missing; ","")&amp;IF(AND(Y304="Yes",TRIM(H304)=""),"TDS needs a TAN; ","")&amp;IF(AND(AA304="Yes",BC304&lt;&gt;"",BC304&lt;&gt;"company",BC304&lt;&gt;"llp"),"ROC is only for a company / LLP; ","")&amp;IF(AND(AA304="Yes",OR(BC304="company",BC304="llp"),TRIM(I304)=""),"ROC needs the CIN / LLPIN; ","")&amp;IF((TRIM(AF304)="")&lt;&gt;(TRIM(AG304)=""),"GST login needs both user ID and password; ","")&amp;IF((TRIM(AH304)="")&lt;&gt;(TRIM(AI304)=""),"Income-tax login needs both user ID and password; ","")&amp;IF((TRIM(AJ304)="")&lt;&gt;(TRIM(AK304)=""),"Income-tax login needs both user ID and password; ","")&amp;IF((TRIM(AL304)="")&lt;&gt;(TRIM(AM304)=""),"TRACES login needs both user ID and password; ","")&amp;IF((TRIM(AN304)="")&lt;&gt;(TRIM(AO304)=""),"MCA login needs both user ID and password; ","")&amp;IF((TRIM(AP304)="")&lt;&gt;(TRIM(AQ304)=""),"E-way bill login needs both user ID and password; ","")</f>
        <v/>
      </c>
    </row>
    <row r="305">
      <c r="A305" s="32" t="n"/>
      <c r="B305" s="33" t="n"/>
      <c r="C305" s="33" t="n"/>
      <c r="D305" s="33" t="n"/>
      <c r="E305" s="32" t="n"/>
      <c r="F305" s="32" t="n"/>
      <c r="G305" s="32" t="n"/>
      <c r="H305" s="32" t="n"/>
      <c r="I305" s="32" t="n"/>
      <c r="J305" s="34" t="n"/>
      <c r="K305" s="33" t="n"/>
      <c r="L305" s="32" t="n"/>
      <c r="M305" s="33" t="n"/>
      <c r="N305" s="33" t="n"/>
      <c r="O305" s="33" t="n"/>
      <c r="P305" s="32" t="n"/>
      <c r="Q305" s="33" t="n"/>
      <c r="R305" s="33" t="n"/>
      <c r="S305" s="33" t="n"/>
      <c r="T305" s="33" t="n"/>
      <c r="U305" s="32" t="n"/>
      <c r="V305" s="33" t="n"/>
      <c r="W305" s="33" t="n"/>
      <c r="X305" s="33" t="n"/>
      <c r="Y305" s="33" t="n"/>
      <c r="Z305" s="33" t="n"/>
      <c r="AA305" s="33" t="n"/>
      <c r="AB305" s="33" t="n"/>
      <c r="AC305" s="33" t="n"/>
      <c r="AD305" s="33" t="n"/>
      <c r="AE305" s="33" t="n"/>
      <c r="AF305" s="32" t="n"/>
      <c r="AG305" s="32" t="n"/>
      <c r="AH305" s="32" t="n"/>
      <c r="AI305" s="32" t="n"/>
      <c r="AJ305" s="32" t="n"/>
      <c r="AK305" s="32" t="n"/>
      <c r="AL305" s="32" t="n"/>
      <c r="AM305" s="32" t="n"/>
      <c r="AN305" s="32" t="n"/>
      <c r="AO305" s="32" t="n"/>
      <c r="AP305" s="32" t="n"/>
      <c r="AQ305" s="32" t="n"/>
      <c r="AR305" s="29">
        <f>IF(NOT(COUNTA(A305:AE305)&gt;0),"",IF(A305="","New client","Update"))</f>
        <v/>
      </c>
      <c r="AS305" s="29">
        <f>IF(BA305&lt;&gt;"",BA305,IF(LEN(AZ305)=15,MID(AZ305,3,10),""))</f>
        <v/>
      </c>
      <c r="AT305" s="29">
        <f>IF(BB305="","",BB305&amp;IF(D305="","  (guessed from PAN)",""))</f>
        <v/>
      </c>
      <c r="AU305" s="29">
        <f>IF(AZ305="","",IFERROR(INDEX(Lists!$L$2:$L$38,MATCH(LEFT(AZ305,2),Lists!$K$2:$K$38,0)),"Unknown code"))</f>
        <v/>
      </c>
      <c r="AV305" s="29">
        <f>IF(AZ305="","",IFERROR(IF(NOT(AND(LEN(AZ305)=15,ISNUMBER(MATCH(LEFT(AZ305,2),Lists!$K$2:$K$38,0)),SUMPRODUCT(--ISERROR(FIND(MID(MID(AZ305,3,10),{1,2,3,4,5,10},1),"ABCDEFGHIJKLMNOPQRSTUVWXYZ")))=0,SUMPRODUCT(--ISERROR(FIND(MID(MID(AZ305,3,10),{6,7,8,9},1),"0123456789")))=0,ISNUMBER(FIND(MID(AZ305,13,1),"123456789ABCDEFGHIJKLMNOPQRSTUVWXYZ")),MID(AZ305,14,1)="Z")),"Wrong format",IF(MID("0123456789ABCDEFGHIJKLMNOPQRSTUVWXYZ",MOD(36-MOD(SUMPRODUCT(INT((FIND(MID(AZ305,{1,2,3,4,5,6,7,8,9,10,11,12,13,14},1),"0123456789ABCDEFGHIJKLMNOPQRSTUVWXYZ")-1)*{1,2,1,2,1,2,1,2,1,2,1,2,1,2}/36)+MOD((FIND(MID(AZ305,{1,2,3,4,5,6,7,8,9,10,11,12,13,14},1),"0123456789ABCDEFGHIJKLMNOPQRSTUVWXYZ")-1)*{1,2,1,2,1,2,1,2,1,2,1,2,1,2},36)),36),36)+1,1)=MID(AZ305,15,1),"OK","Typo? check digit wrong")),"Wrong format"))</f>
        <v/>
      </c>
      <c r="AW305" s="29">
        <f>IF(BA305="","",IF(AND(LEN(BA305)=10,SUMPRODUCT(--ISERROR(FIND(MID(BA305,{1,2,3,4,5,10},1),"ABCDEFGHIJKLMNOPQRSTUVWXYZ")))=0,SUMPRODUCT(--ISERROR(FIND(MID(BA305,{6,7,8,9},1),"0123456789")))=0),"OK","Wrong format"))</f>
        <v/>
      </c>
      <c r="AX305" s="29">
        <f>IF(TRIM(H305)="","",IF(AND(LEN(UPPER(TRIM(H305)))=10,SUMPRODUCT(--ISERROR(FIND(MID(UPPER(TRIM(H305)),{1,2,3,4,10},1),"ABCDEFGHIJKLMNOPQRSTUVWXYZ")))=0,SUMPRODUCT(--ISERROR(FIND(MID(UPPER(TRIM(H305)),{5,6,7,8,9},1),"0123456789")))=0),"OK","Wrong format"))</f>
        <v/>
      </c>
      <c r="AY305" s="30">
        <f>IF(NOT(COUNTA(A305:AE305)&gt;0),"",IF(BE305&lt;&gt;"","✖ "&amp;LEFT(BE305,LEN(BE305)-2),IF(BD305&gt;0,"✔ Ready — client + "&amp;BD305&amp;" service(s)","✔ Ready — client only")))</f>
        <v/>
      </c>
      <c r="AZ305" s="31">
        <f>UPPER(SUBSTITUTE(TRIM(F305)," ",""))</f>
        <v/>
      </c>
      <c r="BA305" s="31">
        <f>UPPER(SUBSTITUTE(TRIM(E305)," ",""))</f>
        <v/>
      </c>
      <c r="BB305" s="31">
        <f>IF(D305&lt;&gt;"",D305,IFERROR(VLOOKUP(MID(AS305,4,1),Lists!$E$2:$F$8,2,FALSE),""))</f>
        <v/>
      </c>
      <c r="BC305" s="31">
        <f>IFERROR(VLOOKUP(BB305,Lists!$A$2:$C$12,3,FALSE),"")</f>
        <v/>
      </c>
      <c r="BD305" s="31">
        <f>COUNTIF(W305:AC305,"Yes")</f>
        <v/>
      </c>
      <c r="BE305" s="31">
        <f>IF(TRIM(B305)="","Legal name missing; ","")&amp;IF(AND(AV305&lt;&gt;"",AV305&lt;&gt;"OK"),"GSTIN: "&amp;AV305&amp;"; ","")&amp;IF(AND(AW305&lt;&gt;"",AW305&lt;&gt;"OK"),"PAN wrong format; ","")&amp;IF(AND(BA305&lt;&gt;"",LEN(AZ305)=15,MID(AZ305,3,10)&lt;&gt;BA305),"PAN does not match GSTIN; ","")&amp;IF(AND(AX305&lt;&gt;"",AX305&lt;&gt;"OK"),"TAN wrong format; ","")&amp;IF(AS305="","PAN missing; ","")&amp;IF(BB305="","Entity type missing; ","")&amp;IF(AND(AZ305&lt;&gt;"",COUNTIF($AZ$6:$AZ$1005,AZ305)&gt;1),"GSTIN repeated in this sheet; ","")&amp;IF(AND(AS305&lt;&gt;"",COUNTIF($AS$6:$AS$1005,AS305)&gt;1),"PAN repeated in this sheet (same client? put extra GSTINs in Other GSTINs); ","")&amp;IF(AND(BD305&gt;0,V305=""),"Financial year missing; ","")&amp;IF(AND(BD305=0,V305&lt;&gt;""),"Financial year given but no service is Yes; ","")&amp;IF(AND(W305="Yes",AZ305=""),"GST needs a GSTIN; ","")&amp;IF(AND(W305="Yes",X305=""),"GST return frequency missing; ","")&amp;IF(AND(Y305="Yes",TRIM(H305)=""),"TDS needs a TAN; ","")&amp;IF(AND(AA305="Yes",BC305&lt;&gt;"",BC305&lt;&gt;"company",BC305&lt;&gt;"llp"),"ROC is only for a company / LLP; ","")&amp;IF(AND(AA305="Yes",OR(BC305="company",BC305="llp"),TRIM(I305)=""),"ROC needs the CIN / LLPIN; ","")&amp;IF((TRIM(AF305)="")&lt;&gt;(TRIM(AG305)=""),"GST login needs both user ID and password; ","")&amp;IF((TRIM(AH305)="")&lt;&gt;(TRIM(AI305)=""),"Income-tax login needs both user ID and password; ","")&amp;IF((TRIM(AJ305)="")&lt;&gt;(TRIM(AK305)=""),"Income-tax login needs both user ID and password; ","")&amp;IF((TRIM(AL305)="")&lt;&gt;(TRIM(AM305)=""),"TRACES login needs both user ID and password; ","")&amp;IF((TRIM(AN305)="")&lt;&gt;(TRIM(AO305)=""),"MCA login needs both user ID and password; ","")&amp;IF((TRIM(AP305)="")&lt;&gt;(TRIM(AQ305)=""),"E-way bill login needs both user ID and password; ","")</f>
        <v/>
      </c>
    </row>
    <row r="306">
      <c r="A306" s="32" t="n"/>
      <c r="B306" s="33" t="n"/>
      <c r="C306" s="33" t="n"/>
      <c r="D306" s="33" t="n"/>
      <c r="E306" s="32" t="n"/>
      <c r="F306" s="32" t="n"/>
      <c r="G306" s="32" t="n"/>
      <c r="H306" s="32" t="n"/>
      <c r="I306" s="32" t="n"/>
      <c r="J306" s="34" t="n"/>
      <c r="K306" s="33" t="n"/>
      <c r="L306" s="32" t="n"/>
      <c r="M306" s="33" t="n"/>
      <c r="N306" s="33" t="n"/>
      <c r="O306" s="33" t="n"/>
      <c r="P306" s="32" t="n"/>
      <c r="Q306" s="33" t="n"/>
      <c r="R306" s="33" t="n"/>
      <c r="S306" s="33" t="n"/>
      <c r="T306" s="33" t="n"/>
      <c r="U306" s="32" t="n"/>
      <c r="V306" s="33" t="n"/>
      <c r="W306" s="33" t="n"/>
      <c r="X306" s="33" t="n"/>
      <c r="Y306" s="33" t="n"/>
      <c r="Z306" s="33" t="n"/>
      <c r="AA306" s="33" t="n"/>
      <c r="AB306" s="33" t="n"/>
      <c r="AC306" s="33" t="n"/>
      <c r="AD306" s="33" t="n"/>
      <c r="AE306" s="33" t="n"/>
      <c r="AF306" s="32" t="n"/>
      <c r="AG306" s="32" t="n"/>
      <c r="AH306" s="32" t="n"/>
      <c r="AI306" s="32" t="n"/>
      <c r="AJ306" s="32" t="n"/>
      <c r="AK306" s="32" t="n"/>
      <c r="AL306" s="32" t="n"/>
      <c r="AM306" s="32" t="n"/>
      <c r="AN306" s="32" t="n"/>
      <c r="AO306" s="32" t="n"/>
      <c r="AP306" s="32" t="n"/>
      <c r="AQ306" s="32" t="n"/>
      <c r="AR306" s="29">
        <f>IF(NOT(COUNTA(A306:AE306)&gt;0),"",IF(A306="","New client","Update"))</f>
        <v/>
      </c>
      <c r="AS306" s="29">
        <f>IF(BA306&lt;&gt;"",BA306,IF(LEN(AZ306)=15,MID(AZ306,3,10),""))</f>
        <v/>
      </c>
      <c r="AT306" s="29">
        <f>IF(BB306="","",BB306&amp;IF(D306="","  (guessed from PAN)",""))</f>
        <v/>
      </c>
      <c r="AU306" s="29">
        <f>IF(AZ306="","",IFERROR(INDEX(Lists!$L$2:$L$38,MATCH(LEFT(AZ306,2),Lists!$K$2:$K$38,0)),"Unknown code"))</f>
        <v/>
      </c>
      <c r="AV306" s="29">
        <f>IF(AZ306="","",IFERROR(IF(NOT(AND(LEN(AZ306)=15,ISNUMBER(MATCH(LEFT(AZ306,2),Lists!$K$2:$K$38,0)),SUMPRODUCT(--ISERROR(FIND(MID(MID(AZ306,3,10),{1,2,3,4,5,10},1),"ABCDEFGHIJKLMNOPQRSTUVWXYZ")))=0,SUMPRODUCT(--ISERROR(FIND(MID(MID(AZ306,3,10),{6,7,8,9},1),"0123456789")))=0,ISNUMBER(FIND(MID(AZ306,13,1),"123456789ABCDEFGHIJKLMNOPQRSTUVWXYZ")),MID(AZ306,14,1)="Z")),"Wrong format",IF(MID("0123456789ABCDEFGHIJKLMNOPQRSTUVWXYZ",MOD(36-MOD(SUMPRODUCT(INT((FIND(MID(AZ306,{1,2,3,4,5,6,7,8,9,10,11,12,13,14},1),"0123456789ABCDEFGHIJKLMNOPQRSTUVWXYZ")-1)*{1,2,1,2,1,2,1,2,1,2,1,2,1,2}/36)+MOD((FIND(MID(AZ306,{1,2,3,4,5,6,7,8,9,10,11,12,13,14},1),"0123456789ABCDEFGHIJKLMNOPQRSTUVWXYZ")-1)*{1,2,1,2,1,2,1,2,1,2,1,2,1,2},36)),36),36)+1,1)=MID(AZ306,15,1),"OK","Typo? check digit wrong")),"Wrong format"))</f>
        <v/>
      </c>
      <c r="AW306" s="29">
        <f>IF(BA306="","",IF(AND(LEN(BA306)=10,SUMPRODUCT(--ISERROR(FIND(MID(BA306,{1,2,3,4,5,10},1),"ABCDEFGHIJKLMNOPQRSTUVWXYZ")))=0,SUMPRODUCT(--ISERROR(FIND(MID(BA306,{6,7,8,9},1),"0123456789")))=0),"OK","Wrong format"))</f>
        <v/>
      </c>
      <c r="AX306" s="29">
        <f>IF(TRIM(H306)="","",IF(AND(LEN(UPPER(TRIM(H306)))=10,SUMPRODUCT(--ISERROR(FIND(MID(UPPER(TRIM(H306)),{1,2,3,4,10},1),"ABCDEFGHIJKLMNOPQRSTUVWXYZ")))=0,SUMPRODUCT(--ISERROR(FIND(MID(UPPER(TRIM(H306)),{5,6,7,8,9},1),"0123456789")))=0),"OK","Wrong format"))</f>
        <v/>
      </c>
      <c r="AY306" s="30">
        <f>IF(NOT(COUNTA(A306:AE306)&gt;0),"",IF(BE306&lt;&gt;"","✖ "&amp;LEFT(BE306,LEN(BE306)-2),IF(BD306&gt;0,"✔ Ready — client + "&amp;BD306&amp;" service(s)","✔ Ready — client only")))</f>
        <v/>
      </c>
      <c r="AZ306" s="31">
        <f>UPPER(SUBSTITUTE(TRIM(F306)," ",""))</f>
        <v/>
      </c>
      <c r="BA306" s="31">
        <f>UPPER(SUBSTITUTE(TRIM(E306)," ",""))</f>
        <v/>
      </c>
      <c r="BB306" s="31">
        <f>IF(D306&lt;&gt;"",D306,IFERROR(VLOOKUP(MID(AS306,4,1),Lists!$E$2:$F$8,2,FALSE),""))</f>
        <v/>
      </c>
      <c r="BC306" s="31">
        <f>IFERROR(VLOOKUP(BB306,Lists!$A$2:$C$12,3,FALSE),"")</f>
        <v/>
      </c>
      <c r="BD306" s="31">
        <f>COUNTIF(W306:AC306,"Yes")</f>
        <v/>
      </c>
      <c r="BE306" s="31">
        <f>IF(TRIM(B306)="","Legal name missing; ","")&amp;IF(AND(AV306&lt;&gt;"",AV306&lt;&gt;"OK"),"GSTIN: "&amp;AV306&amp;"; ","")&amp;IF(AND(AW306&lt;&gt;"",AW306&lt;&gt;"OK"),"PAN wrong format; ","")&amp;IF(AND(BA306&lt;&gt;"",LEN(AZ306)=15,MID(AZ306,3,10)&lt;&gt;BA306),"PAN does not match GSTIN; ","")&amp;IF(AND(AX306&lt;&gt;"",AX306&lt;&gt;"OK"),"TAN wrong format; ","")&amp;IF(AS306="","PAN missing; ","")&amp;IF(BB306="","Entity type missing; ","")&amp;IF(AND(AZ306&lt;&gt;"",COUNTIF($AZ$6:$AZ$1005,AZ306)&gt;1),"GSTIN repeated in this sheet; ","")&amp;IF(AND(AS306&lt;&gt;"",COUNTIF($AS$6:$AS$1005,AS306)&gt;1),"PAN repeated in this sheet (same client? put extra GSTINs in Other GSTINs); ","")&amp;IF(AND(BD306&gt;0,V306=""),"Financial year missing; ","")&amp;IF(AND(BD306=0,V306&lt;&gt;""),"Financial year given but no service is Yes; ","")&amp;IF(AND(W306="Yes",AZ306=""),"GST needs a GSTIN; ","")&amp;IF(AND(W306="Yes",X306=""),"GST return frequency missing; ","")&amp;IF(AND(Y306="Yes",TRIM(H306)=""),"TDS needs a TAN; ","")&amp;IF(AND(AA306="Yes",BC306&lt;&gt;"",BC306&lt;&gt;"company",BC306&lt;&gt;"llp"),"ROC is only for a company / LLP; ","")&amp;IF(AND(AA306="Yes",OR(BC306="company",BC306="llp"),TRIM(I306)=""),"ROC needs the CIN / LLPIN; ","")&amp;IF((TRIM(AF306)="")&lt;&gt;(TRIM(AG306)=""),"GST login needs both user ID and password; ","")&amp;IF((TRIM(AH306)="")&lt;&gt;(TRIM(AI306)=""),"Income-tax login needs both user ID and password; ","")&amp;IF((TRIM(AJ306)="")&lt;&gt;(TRIM(AK306)=""),"Income-tax login needs both user ID and password; ","")&amp;IF((TRIM(AL306)="")&lt;&gt;(TRIM(AM306)=""),"TRACES login needs both user ID and password; ","")&amp;IF((TRIM(AN306)="")&lt;&gt;(TRIM(AO306)=""),"MCA login needs both user ID and password; ","")&amp;IF((TRIM(AP306)="")&lt;&gt;(TRIM(AQ306)=""),"E-way bill login needs both user ID and password; ","")</f>
        <v/>
      </c>
    </row>
    <row r="307">
      <c r="A307" s="32" t="n"/>
      <c r="B307" s="33" t="n"/>
      <c r="C307" s="33" t="n"/>
      <c r="D307" s="33" t="n"/>
      <c r="E307" s="32" t="n"/>
      <c r="F307" s="32" t="n"/>
      <c r="G307" s="32" t="n"/>
      <c r="H307" s="32" t="n"/>
      <c r="I307" s="32" t="n"/>
      <c r="J307" s="34" t="n"/>
      <c r="K307" s="33" t="n"/>
      <c r="L307" s="32" t="n"/>
      <c r="M307" s="33" t="n"/>
      <c r="N307" s="33" t="n"/>
      <c r="O307" s="33" t="n"/>
      <c r="P307" s="32" t="n"/>
      <c r="Q307" s="33" t="n"/>
      <c r="R307" s="33" t="n"/>
      <c r="S307" s="33" t="n"/>
      <c r="T307" s="33" t="n"/>
      <c r="U307" s="32" t="n"/>
      <c r="V307" s="33" t="n"/>
      <c r="W307" s="33" t="n"/>
      <c r="X307" s="33" t="n"/>
      <c r="Y307" s="33" t="n"/>
      <c r="Z307" s="33" t="n"/>
      <c r="AA307" s="33" t="n"/>
      <c r="AB307" s="33" t="n"/>
      <c r="AC307" s="33" t="n"/>
      <c r="AD307" s="33" t="n"/>
      <c r="AE307" s="33" t="n"/>
      <c r="AF307" s="32" t="n"/>
      <c r="AG307" s="32" t="n"/>
      <c r="AH307" s="32" t="n"/>
      <c r="AI307" s="32" t="n"/>
      <c r="AJ307" s="32" t="n"/>
      <c r="AK307" s="32" t="n"/>
      <c r="AL307" s="32" t="n"/>
      <c r="AM307" s="32" t="n"/>
      <c r="AN307" s="32" t="n"/>
      <c r="AO307" s="32" t="n"/>
      <c r="AP307" s="32" t="n"/>
      <c r="AQ307" s="32" t="n"/>
      <c r="AR307" s="29">
        <f>IF(NOT(COUNTA(A307:AE307)&gt;0),"",IF(A307="","New client","Update"))</f>
        <v/>
      </c>
      <c r="AS307" s="29">
        <f>IF(BA307&lt;&gt;"",BA307,IF(LEN(AZ307)=15,MID(AZ307,3,10),""))</f>
        <v/>
      </c>
      <c r="AT307" s="29">
        <f>IF(BB307="","",BB307&amp;IF(D307="","  (guessed from PAN)",""))</f>
        <v/>
      </c>
      <c r="AU307" s="29">
        <f>IF(AZ307="","",IFERROR(INDEX(Lists!$L$2:$L$38,MATCH(LEFT(AZ307,2),Lists!$K$2:$K$38,0)),"Unknown code"))</f>
        <v/>
      </c>
      <c r="AV307" s="29">
        <f>IF(AZ307="","",IFERROR(IF(NOT(AND(LEN(AZ307)=15,ISNUMBER(MATCH(LEFT(AZ307,2),Lists!$K$2:$K$38,0)),SUMPRODUCT(--ISERROR(FIND(MID(MID(AZ307,3,10),{1,2,3,4,5,10},1),"ABCDEFGHIJKLMNOPQRSTUVWXYZ")))=0,SUMPRODUCT(--ISERROR(FIND(MID(MID(AZ307,3,10),{6,7,8,9},1),"0123456789")))=0,ISNUMBER(FIND(MID(AZ307,13,1),"123456789ABCDEFGHIJKLMNOPQRSTUVWXYZ")),MID(AZ307,14,1)="Z")),"Wrong format",IF(MID("0123456789ABCDEFGHIJKLMNOPQRSTUVWXYZ",MOD(36-MOD(SUMPRODUCT(INT((FIND(MID(AZ307,{1,2,3,4,5,6,7,8,9,10,11,12,13,14},1),"0123456789ABCDEFGHIJKLMNOPQRSTUVWXYZ")-1)*{1,2,1,2,1,2,1,2,1,2,1,2,1,2}/36)+MOD((FIND(MID(AZ307,{1,2,3,4,5,6,7,8,9,10,11,12,13,14},1),"0123456789ABCDEFGHIJKLMNOPQRSTUVWXYZ")-1)*{1,2,1,2,1,2,1,2,1,2,1,2,1,2},36)),36),36)+1,1)=MID(AZ307,15,1),"OK","Typo? check digit wrong")),"Wrong format"))</f>
        <v/>
      </c>
      <c r="AW307" s="29">
        <f>IF(BA307="","",IF(AND(LEN(BA307)=10,SUMPRODUCT(--ISERROR(FIND(MID(BA307,{1,2,3,4,5,10},1),"ABCDEFGHIJKLMNOPQRSTUVWXYZ")))=0,SUMPRODUCT(--ISERROR(FIND(MID(BA307,{6,7,8,9},1),"0123456789")))=0),"OK","Wrong format"))</f>
        <v/>
      </c>
      <c r="AX307" s="29">
        <f>IF(TRIM(H307)="","",IF(AND(LEN(UPPER(TRIM(H307)))=10,SUMPRODUCT(--ISERROR(FIND(MID(UPPER(TRIM(H307)),{1,2,3,4,10},1),"ABCDEFGHIJKLMNOPQRSTUVWXYZ")))=0,SUMPRODUCT(--ISERROR(FIND(MID(UPPER(TRIM(H307)),{5,6,7,8,9},1),"0123456789")))=0),"OK","Wrong format"))</f>
        <v/>
      </c>
      <c r="AY307" s="30">
        <f>IF(NOT(COUNTA(A307:AE307)&gt;0),"",IF(BE307&lt;&gt;"","✖ "&amp;LEFT(BE307,LEN(BE307)-2),IF(BD307&gt;0,"✔ Ready — client + "&amp;BD307&amp;" service(s)","✔ Ready — client only")))</f>
        <v/>
      </c>
      <c r="AZ307" s="31">
        <f>UPPER(SUBSTITUTE(TRIM(F307)," ",""))</f>
        <v/>
      </c>
      <c r="BA307" s="31">
        <f>UPPER(SUBSTITUTE(TRIM(E307)," ",""))</f>
        <v/>
      </c>
      <c r="BB307" s="31">
        <f>IF(D307&lt;&gt;"",D307,IFERROR(VLOOKUP(MID(AS307,4,1),Lists!$E$2:$F$8,2,FALSE),""))</f>
        <v/>
      </c>
      <c r="BC307" s="31">
        <f>IFERROR(VLOOKUP(BB307,Lists!$A$2:$C$12,3,FALSE),"")</f>
        <v/>
      </c>
      <c r="BD307" s="31">
        <f>COUNTIF(W307:AC307,"Yes")</f>
        <v/>
      </c>
      <c r="BE307" s="31">
        <f>IF(TRIM(B307)="","Legal name missing; ","")&amp;IF(AND(AV307&lt;&gt;"",AV307&lt;&gt;"OK"),"GSTIN: "&amp;AV307&amp;"; ","")&amp;IF(AND(AW307&lt;&gt;"",AW307&lt;&gt;"OK"),"PAN wrong format; ","")&amp;IF(AND(BA307&lt;&gt;"",LEN(AZ307)=15,MID(AZ307,3,10)&lt;&gt;BA307),"PAN does not match GSTIN; ","")&amp;IF(AND(AX307&lt;&gt;"",AX307&lt;&gt;"OK"),"TAN wrong format; ","")&amp;IF(AS307="","PAN missing; ","")&amp;IF(BB307="","Entity type missing; ","")&amp;IF(AND(AZ307&lt;&gt;"",COUNTIF($AZ$6:$AZ$1005,AZ307)&gt;1),"GSTIN repeated in this sheet; ","")&amp;IF(AND(AS307&lt;&gt;"",COUNTIF($AS$6:$AS$1005,AS307)&gt;1),"PAN repeated in this sheet (same client? put extra GSTINs in Other GSTINs); ","")&amp;IF(AND(BD307&gt;0,V307=""),"Financial year missing; ","")&amp;IF(AND(BD307=0,V307&lt;&gt;""),"Financial year given but no service is Yes; ","")&amp;IF(AND(W307="Yes",AZ307=""),"GST needs a GSTIN; ","")&amp;IF(AND(W307="Yes",X307=""),"GST return frequency missing; ","")&amp;IF(AND(Y307="Yes",TRIM(H307)=""),"TDS needs a TAN; ","")&amp;IF(AND(AA307="Yes",BC307&lt;&gt;"",BC307&lt;&gt;"company",BC307&lt;&gt;"llp"),"ROC is only for a company / LLP; ","")&amp;IF(AND(AA307="Yes",OR(BC307="company",BC307="llp"),TRIM(I307)=""),"ROC needs the CIN / LLPIN; ","")&amp;IF((TRIM(AF307)="")&lt;&gt;(TRIM(AG307)=""),"GST login needs both user ID and password; ","")&amp;IF((TRIM(AH307)="")&lt;&gt;(TRIM(AI307)=""),"Income-tax login needs both user ID and password; ","")&amp;IF((TRIM(AJ307)="")&lt;&gt;(TRIM(AK307)=""),"Income-tax login needs both user ID and password; ","")&amp;IF((TRIM(AL307)="")&lt;&gt;(TRIM(AM307)=""),"TRACES login needs both user ID and password; ","")&amp;IF((TRIM(AN307)="")&lt;&gt;(TRIM(AO307)=""),"MCA login needs both user ID and password; ","")&amp;IF((TRIM(AP307)="")&lt;&gt;(TRIM(AQ307)=""),"E-way bill login needs both user ID and password; ","")</f>
        <v/>
      </c>
    </row>
    <row r="308">
      <c r="A308" s="32" t="n"/>
      <c r="B308" s="33" t="n"/>
      <c r="C308" s="33" t="n"/>
      <c r="D308" s="33" t="n"/>
      <c r="E308" s="32" t="n"/>
      <c r="F308" s="32" t="n"/>
      <c r="G308" s="32" t="n"/>
      <c r="H308" s="32" t="n"/>
      <c r="I308" s="32" t="n"/>
      <c r="J308" s="34" t="n"/>
      <c r="K308" s="33" t="n"/>
      <c r="L308" s="32" t="n"/>
      <c r="M308" s="33" t="n"/>
      <c r="N308" s="33" t="n"/>
      <c r="O308" s="33" t="n"/>
      <c r="P308" s="32" t="n"/>
      <c r="Q308" s="33" t="n"/>
      <c r="R308" s="33" t="n"/>
      <c r="S308" s="33" t="n"/>
      <c r="T308" s="33" t="n"/>
      <c r="U308" s="32" t="n"/>
      <c r="V308" s="33" t="n"/>
      <c r="W308" s="33" t="n"/>
      <c r="X308" s="33" t="n"/>
      <c r="Y308" s="33" t="n"/>
      <c r="Z308" s="33" t="n"/>
      <c r="AA308" s="33" t="n"/>
      <c r="AB308" s="33" t="n"/>
      <c r="AC308" s="33" t="n"/>
      <c r="AD308" s="33" t="n"/>
      <c r="AE308" s="33" t="n"/>
      <c r="AF308" s="32" t="n"/>
      <c r="AG308" s="32" t="n"/>
      <c r="AH308" s="32" t="n"/>
      <c r="AI308" s="32" t="n"/>
      <c r="AJ308" s="32" t="n"/>
      <c r="AK308" s="32" t="n"/>
      <c r="AL308" s="32" t="n"/>
      <c r="AM308" s="32" t="n"/>
      <c r="AN308" s="32" t="n"/>
      <c r="AO308" s="32" t="n"/>
      <c r="AP308" s="32" t="n"/>
      <c r="AQ308" s="32" t="n"/>
      <c r="AR308" s="29">
        <f>IF(NOT(COUNTA(A308:AE308)&gt;0),"",IF(A308="","New client","Update"))</f>
        <v/>
      </c>
      <c r="AS308" s="29">
        <f>IF(BA308&lt;&gt;"",BA308,IF(LEN(AZ308)=15,MID(AZ308,3,10),""))</f>
        <v/>
      </c>
      <c r="AT308" s="29">
        <f>IF(BB308="","",BB308&amp;IF(D308="","  (guessed from PAN)",""))</f>
        <v/>
      </c>
      <c r="AU308" s="29">
        <f>IF(AZ308="","",IFERROR(INDEX(Lists!$L$2:$L$38,MATCH(LEFT(AZ308,2),Lists!$K$2:$K$38,0)),"Unknown code"))</f>
        <v/>
      </c>
      <c r="AV308" s="29">
        <f>IF(AZ308="","",IFERROR(IF(NOT(AND(LEN(AZ308)=15,ISNUMBER(MATCH(LEFT(AZ308,2),Lists!$K$2:$K$38,0)),SUMPRODUCT(--ISERROR(FIND(MID(MID(AZ308,3,10),{1,2,3,4,5,10},1),"ABCDEFGHIJKLMNOPQRSTUVWXYZ")))=0,SUMPRODUCT(--ISERROR(FIND(MID(MID(AZ308,3,10),{6,7,8,9},1),"0123456789")))=0,ISNUMBER(FIND(MID(AZ308,13,1),"123456789ABCDEFGHIJKLMNOPQRSTUVWXYZ")),MID(AZ308,14,1)="Z")),"Wrong format",IF(MID("0123456789ABCDEFGHIJKLMNOPQRSTUVWXYZ",MOD(36-MOD(SUMPRODUCT(INT((FIND(MID(AZ308,{1,2,3,4,5,6,7,8,9,10,11,12,13,14},1),"0123456789ABCDEFGHIJKLMNOPQRSTUVWXYZ")-1)*{1,2,1,2,1,2,1,2,1,2,1,2,1,2}/36)+MOD((FIND(MID(AZ308,{1,2,3,4,5,6,7,8,9,10,11,12,13,14},1),"0123456789ABCDEFGHIJKLMNOPQRSTUVWXYZ")-1)*{1,2,1,2,1,2,1,2,1,2,1,2,1,2},36)),36),36)+1,1)=MID(AZ308,15,1),"OK","Typo? check digit wrong")),"Wrong format"))</f>
        <v/>
      </c>
      <c r="AW308" s="29">
        <f>IF(BA308="","",IF(AND(LEN(BA308)=10,SUMPRODUCT(--ISERROR(FIND(MID(BA308,{1,2,3,4,5,10},1),"ABCDEFGHIJKLMNOPQRSTUVWXYZ")))=0,SUMPRODUCT(--ISERROR(FIND(MID(BA308,{6,7,8,9},1),"0123456789")))=0),"OK","Wrong format"))</f>
        <v/>
      </c>
      <c r="AX308" s="29">
        <f>IF(TRIM(H308)="","",IF(AND(LEN(UPPER(TRIM(H308)))=10,SUMPRODUCT(--ISERROR(FIND(MID(UPPER(TRIM(H308)),{1,2,3,4,10},1),"ABCDEFGHIJKLMNOPQRSTUVWXYZ")))=0,SUMPRODUCT(--ISERROR(FIND(MID(UPPER(TRIM(H308)),{5,6,7,8,9},1),"0123456789")))=0),"OK","Wrong format"))</f>
        <v/>
      </c>
      <c r="AY308" s="30">
        <f>IF(NOT(COUNTA(A308:AE308)&gt;0),"",IF(BE308&lt;&gt;"","✖ "&amp;LEFT(BE308,LEN(BE308)-2),IF(BD308&gt;0,"✔ Ready — client + "&amp;BD308&amp;" service(s)","✔ Ready — client only")))</f>
        <v/>
      </c>
      <c r="AZ308" s="31">
        <f>UPPER(SUBSTITUTE(TRIM(F308)," ",""))</f>
        <v/>
      </c>
      <c r="BA308" s="31">
        <f>UPPER(SUBSTITUTE(TRIM(E308)," ",""))</f>
        <v/>
      </c>
      <c r="BB308" s="31">
        <f>IF(D308&lt;&gt;"",D308,IFERROR(VLOOKUP(MID(AS308,4,1),Lists!$E$2:$F$8,2,FALSE),""))</f>
        <v/>
      </c>
      <c r="BC308" s="31">
        <f>IFERROR(VLOOKUP(BB308,Lists!$A$2:$C$12,3,FALSE),"")</f>
        <v/>
      </c>
      <c r="BD308" s="31">
        <f>COUNTIF(W308:AC308,"Yes")</f>
        <v/>
      </c>
      <c r="BE308" s="31">
        <f>IF(TRIM(B308)="","Legal name missing; ","")&amp;IF(AND(AV308&lt;&gt;"",AV308&lt;&gt;"OK"),"GSTIN: "&amp;AV308&amp;"; ","")&amp;IF(AND(AW308&lt;&gt;"",AW308&lt;&gt;"OK"),"PAN wrong format; ","")&amp;IF(AND(BA308&lt;&gt;"",LEN(AZ308)=15,MID(AZ308,3,10)&lt;&gt;BA308),"PAN does not match GSTIN; ","")&amp;IF(AND(AX308&lt;&gt;"",AX308&lt;&gt;"OK"),"TAN wrong format; ","")&amp;IF(AS308="","PAN missing; ","")&amp;IF(BB308="","Entity type missing; ","")&amp;IF(AND(AZ308&lt;&gt;"",COUNTIF($AZ$6:$AZ$1005,AZ308)&gt;1),"GSTIN repeated in this sheet; ","")&amp;IF(AND(AS308&lt;&gt;"",COUNTIF($AS$6:$AS$1005,AS308)&gt;1),"PAN repeated in this sheet (same client? put extra GSTINs in Other GSTINs); ","")&amp;IF(AND(BD308&gt;0,V308=""),"Financial year missing; ","")&amp;IF(AND(BD308=0,V308&lt;&gt;""),"Financial year given but no service is Yes; ","")&amp;IF(AND(W308="Yes",AZ308=""),"GST needs a GSTIN; ","")&amp;IF(AND(W308="Yes",X308=""),"GST return frequency missing; ","")&amp;IF(AND(Y308="Yes",TRIM(H308)=""),"TDS needs a TAN; ","")&amp;IF(AND(AA308="Yes",BC308&lt;&gt;"",BC308&lt;&gt;"company",BC308&lt;&gt;"llp"),"ROC is only for a company / LLP; ","")&amp;IF(AND(AA308="Yes",OR(BC308="company",BC308="llp"),TRIM(I308)=""),"ROC needs the CIN / LLPIN; ","")&amp;IF((TRIM(AF308)="")&lt;&gt;(TRIM(AG308)=""),"GST login needs both user ID and password; ","")&amp;IF((TRIM(AH308)="")&lt;&gt;(TRIM(AI308)=""),"Income-tax login needs both user ID and password; ","")&amp;IF((TRIM(AJ308)="")&lt;&gt;(TRIM(AK308)=""),"Income-tax login needs both user ID and password; ","")&amp;IF((TRIM(AL308)="")&lt;&gt;(TRIM(AM308)=""),"TRACES login needs both user ID and password; ","")&amp;IF((TRIM(AN308)="")&lt;&gt;(TRIM(AO308)=""),"MCA login needs both user ID and password; ","")&amp;IF((TRIM(AP308)="")&lt;&gt;(TRIM(AQ308)=""),"E-way bill login needs both user ID and password; ","")</f>
        <v/>
      </c>
    </row>
    <row r="309">
      <c r="A309" s="32" t="n"/>
      <c r="B309" s="33" t="n"/>
      <c r="C309" s="33" t="n"/>
      <c r="D309" s="33" t="n"/>
      <c r="E309" s="32" t="n"/>
      <c r="F309" s="32" t="n"/>
      <c r="G309" s="32" t="n"/>
      <c r="H309" s="32" t="n"/>
      <c r="I309" s="32" t="n"/>
      <c r="J309" s="34" t="n"/>
      <c r="K309" s="33" t="n"/>
      <c r="L309" s="32" t="n"/>
      <c r="M309" s="33" t="n"/>
      <c r="N309" s="33" t="n"/>
      <c r="O309" s="33" t="n"/>
      <c r="P309" s="32" t="n"/>
      <c r="Q309" s="33" t="n"/>
      <c r="R309" s="33" t="n"/>
      <c r="S309" s="33" t="n"/>
      <c r="T309" s="33" t="n"/>
      <c r="U309" s="32" t="n"/>
      <c r="V309" s="33" t="n"/>
      <c r="W309" s="33" t="n"/>
      <c r="X309" s="33" t="n"/>
      <c r="Y309" s="33" t="n"/>
      <c r="Z309" s="33" t="n"/>
      <c r="AA309" s="33" t="n"/>
      <c r="AB309" s="33" t="n"/>
      <c r="AC309" s="33" t="n"/>
      <c r="AD309" s="33" t="n"/>
      <c r="AE309" s="33" t="n"/>
      <c r="AF309" s="32" t="n"/>
      <c r="AG309" s="32" t="n"/>
      <c r="AH309" s="32" t="n"/>
      <c r="AI309" s="32" t="n"/>
      <c r="AJ309" s="32" t="n"/>
      <c r="AK309" s="32" t="n"/>
      <c r="AL309" s="32" t="n"/>
      <c r="AM309" s="32" t="n"/>
      <c r="AN309" s="32" t="n"/>
      <c r="AO309" s="32" t="n"/>
      <c r="AP309" s="32" t="n"/>
      <c r="AQ309" s="32" t="n"/>
      <c r="AR309" s="29">
        <f>IF(NOT(COUNTA(A309:AE309)&gt;0),"",IF(A309="","New client","Update"))</f>
        <v/>
      </c>
      <c r="AS309" s="29">
        <f>IF(BA309&lt;&gt;"",BA309,IF(LEN(AZ309)=15,MID(AZ309,3,10),""))</f>
        <v/>
      </c>
      <c r="AT309" s="29">
        <f>IF(BB309="","",BB309&amp;IF(D309="","  (guessed from PAN)",""))</f>
        <v/>
      </c>
      <c r="AU309" s="29">
        <f>IF(AZ309="","",IFERROR(INDEX(Lists!$L$2:$L$38,MATCH(LEFT(AZ309,2),Lists!$K$2:$K$38,0)),"Unknown code"))</f>
        <v/>
      </c>
      <c r="AV309" s="29">
        <f>IF(AZ309="","",IFERROR(IF(NOT(AND(LEN(AZ309)=15,ISNUMBER(MATCH(LEFT(AZ309,2),Lists!$K$2:$K$38,0)),SUMPRODUCT(--ISERROR(FIND(MID(MID(AZ309,3,10),{1,2,3,4,5,10},1),"ABCDEFGHIJKLMNOPQRSTUVWXYZ")))=0,SUMPRODUCT(--ISERROR(FIND(MID(MID(AZ309,3,10),{6,7,8,9},1),"0123456789")))=0,ISNUMBER(FIND(MID(AZ309,13,1),"123456789ABCDEFGHIJKLMNOPQRSTUVWXYZ")),MID(AZ309,14,1)="Z")),"Wrong format",IF(MID("0123456789ABCDEFGHIJKLMNOPQRSTUVWXYZ",MOD(36-MOD(SUMPRODUCT(INT((FIND(MID(AZ309,{1,2,3,4,5,6,7,8,9,10,11,12,13,14},1),"0123456789ABCDEFGHIJKLMNOPQRSTUVWXYZ")-1)*{1,2,1,2,1,2,1,2,1,2,1,2,1,2}/36)+MOD((FIND(MID(AZ309,{1,2,3,4,5,6,7,8,9,10,11,12,13,14},1),"0123456789ABCDEFGHIJKLMNOPQRSTUVWXYZ")-1)*{1,2,1,2,1,2,1,2,1,2,1,2,1,2},36)),36),36)+1,1)=MID(AZ309,15,1),"OK","Typo? check digit wrong")),"Wrong format"))</f>
        <v/>
      </c>
      <c r="AW309" s="29">
        <f>IF(BA309="","",IF(AND(LEN(BA309)=10,SUMPRODUCT(--ISERROR(FIND(MID(BA309,{1,2,3,4,5,10},1),"ABCDEFGHIJKLMNOPQRSTUVWXYZ")))=0,SUMPRODUCT(--ISERROR(FIND(MID(BA309,{6,7,8,9},1),"0123456789")))=0),"OK","Wrong format"))</f>
        <v/>
      </c>
      <c r="AX309" s="29">
        <f>IF(TRIM(H309)="","",IF(AND(LEN(UPPER(TRIM(H309)))=10,SUMPRODUCT(--ISERROR(FIND(MID(UPPER(TRIM(H309)),{1,2,3,4,10},1),"ABCDEFGHIJKLMNOPQRSTUVWXYZ")))=0,SUMPRODUCT(--ISERROR(FIND(MID(UPPER(TRIM(H309)),{5,6,7,8,9},1),"0123456789")))=0),"OK","Wrong format"))</f>
        <v/>
      </c>
      <c r="AY309" s="30">
        <f>IF(NOT(COUNTA(A309:AE309)&gt;0),"",IF(BE309&lt;&gt;"","✖ "&amp;LEFT(BE309,LEN(BE309)-2),IF(BD309&gt;0,"✔ Ready — client + "&amp;BD309&amp;" service(s)","✔ Ready — client only")))</f>
        <v/>
      </c>
      <c r="AZ309" s="31">
        <f>UPPER(SUBSTITUTE(TRIM(F309)," ",""))</f>
        <v/>
      </c>
      <c r="BA309" s="31">
        <f>UPPER(SUBSTITUTE(TRIM(E309)," ",""))</f>
        <v/>
      </c>
      <c r="BB309" s="31">
        <f>IF(D309&lt;&gt;"",D309,IFERROR(VLOOKUP(MID(AS309,4,1),Lists!$E$2:$F$8,2,FALSE),""))</f>
        <v/>
      </c>
      <c r="BC309" s="31">
        <f>IFERROR(VLOOKUP(BB309,Lists!$A$2:$C$12,3,FALSE),"")</f>
        <v/>
      </c>
      <c r="BD309" s="31">
        <f>COUNTIF(W309:AC309,"Yes")</f>
        <v/>
      </c>
      <c r="BE309" s="31">
        <f>IF(TRIM(B309)="","Legal name missing; ","")&amp;IF(AND(AV309&lt;&gt;"",AV309&lt;&gt;"OK"),"GSTIN: "&amp;AV309&amp;"; ","")&amp;IF(AND(AW309&lt;&gt;"",AW309&lt;&gt;"OK"),"PAN wrong format; ","")&amp;IF(AND(BA309&lt;&gt;"",LEN(AZ309)=15,MID(AZ309,3,10)&lt;&gt;BA309),"PAN does not match GSTIN; ","")&amp;IF(AND(AX309&lt;&gt;"",AX309&lt;&gt;"OK"),"TAN wrong format; ","")&amp;IF(AS309="","PAN missing; ","")&amp;IF(BB309="","Entity type missing; ","")&amp;IF(AND(AZ309&lt;&gt;"",COUNTIF($AZ$6:$AZ$1005,AZ309)&gt;1),"GSTIN repeated in this sheet; ","")&amp;IF(AND(AS309&lt;&gt;"",COUNTIF($AS$6:$AS$1005,AS309)&gt;1),"PAN repeated in this sheet (same client? put extra GSTINs in Other GSTINs); ","")&amp;IF(AND(BD309&gt;0,V309=""),"Financial year missing; ","")&amp;IF(AND(BD309=0,V309&lt;&gt;""),"Financial year given but no service is Yes; ","")&amp;IF(AND(W309="Yes",AZ309=""),"GST needs a GSTIN; ","")&amp;IF(AND(W309="Yes",X309=""),"GST return frequency missing; ","")&amp;IF(AND(Y309="Yes",TRIM(H309)=""),"TDS needs a TAN; ","")&amp;IF(AND(AA309="Yes",BC309&lt;&gt;"",BC309&lt;&gt;"company",BC309&lt;&gt;"llp"),"ROC is only for a company / LLP; ","")&amp;IF(AND(AA309="Yes",OR(BC309="company",BC309="llp"),TRIM(I309)=""),"ROC needs the CIN / LLPIN; ","")&amp;IF((TRIM(AF309)="")&lt;&gt;(TRIM(AG309)=""),"GST login needs both user ID and password; ","")&amp;IF((TRIM(AH309)="")&lt;&gt;(TRIM(AI309)=""),"Income-tax login needs both user ID and password; ","")&amp;IF((TRIM(AJ309)="")&lt;&gt;(TRIM(AK309)=""),"Income-tax login needs both user ID and password; ","")&amp;IF((TRIM(AL309)="")&lt;&gt;(TRIM(AM309)=""),"TRACES login needs both user ID and password; ","")&amp;IF((TRIM(AN309)="")&lt;&gt;(TRIM(AO309)=""),"MCA login needs both user ID and password; ","")&amp;IF((TRIM(AP309)="")&lt;&gt;(TRIM(AQ309)=""),"E-way bill login needs both user ID and password; ","")</f>
        <v/>
      </c>
    </row>
    <row r="310">
      <c r="A310" s="32" t="n"/>
      <c r="B310" s="33" t="n"/>
      <c r="C310" s="33" t="n"/>
      <c r="D310" s="33" t="n"/>
      <c r="E310" s="32" t="n"/>
      <c r="F310" s="32" t="n"/>
      <c r="G310" s="32" t="n"/>
      <c r="H310" s="32" t="n"/>
      <c r="I310" s="32" t="n"/>
      <c r="J310" s="34" t="n"/>
      <c r="K310" s="33" t="n"/>
      <c r="L310" s="32" t="n"/>
      <c r="M310" s="33" t="n"/>
      <c r="N310" s="33" t="n"/>
      <c r="O310" s="33" t="n"/>
      <c r="P310" s="32" t="n"/>
      <c r="Q310" s="33" t="n"/>
      <c r="R310" s="33" t="n"/>
      <c r="S310" s="33" t="n"/>
      <c r="T310" s="33" t="n"/>
      <c r="U310" s="32" t="n"/>
      <c r="V310" s="33" t="n"/>
      <c r="W310" s="33" t="n"/>
      <c r="X310" s="33" t="n"/>
      <c r="Y310" s="33" t="n"/>
      <c r="Z310" s="33" t="n"/>
      <c r="AA310" s="33" t="n"/>
      <c r="AB310" s="33" t="n"/>
      <c r="AC310" s="33" t="n"/>
      <c r="AD310" s="33" t="n"/>
      <c r="AE310" s="33" t="n"/>
      <c r="AF310" s="32" t="n"/>
      <c r="AG310" s="32" t="n"/>
      <c r="AH310" s="32" t="n"/>
      <c r="AI310" s="32" t="n"/>
      <c r="AJ310" s="32" t="n"/>
      <c r="AK310" s="32" t="n"/>
      <c r="AL310" s="32" t="n"/>
      <c r="AM310" s="32" t="n"/>
      <c r="AN310" s="32" t="n"/>
      <c r="AO310" s="32" t="n"/>
      <c r="AP310" s="32" t="n"/>
      <c r="AQ310" s="32" t="n"/>
      <c r="AR310" s="29">
        <f>IF(NOT(COUNTA(A310:AE310)&gt;0),"",IF(A310="","New client","Update"))</f>
        <v/>
      </c>
      <c r="AS310" s="29">
        <f>IF(BA310&lt;&gt;"",BA310,IF(LEN(AZ310)=15,MID(AZ310,3,10),""))</f>
        <v/>
      </c>
      <c r="AT310" s="29">
        <f>IF(BB310="","",BB310&amp;IF(D310="","  (guessed from PAN)",""))</f>
        <v/>
      </c>
      <c r="AU310" s="29">
        <f>IF(AZ310="","",IFERROR(INDEX(Lists!$L$2:$L$38,MATCH(LEFT(AZ310,2),Lists!$K$2:$K$38,0)),"Unknown code"))</f>
        <v/>
      </c>
      <c r="AV310" s="29">
        <f>IF(AZ310="","",IFERROR(IF(NOT(AND(LEN(AZ310)=15,ISNUMBER(MATCH(LEFT(AZ310,2),Lists!$K$2:$K$38,0)),SUMPRODUCT(--ISERROR(FIND(MID(MID(AZ310,3,10),{1,2,3,4,5,10},1),"ABCDEFGHIJKLMNOPQRSTUVWXYZ")))=0,SUMPRODUCT(--ISERROR(FIND(MID(MID(AZ310,3,10),{6,7,8,9},1),"0123456789")))=0,ISNUMBER(FIND(MID(AZ310,13,1),"123456789ABCDEFGHIJKLMNOPQRSTUVWXYZ")),MID(AZ310,14,1)="Z")),"Wrong format",IF(MID("0123456789ABCDEFGHIJKLMNOPQRSTUVWXYZ",MOD(36-MOD(SUMPRODUCT(INT((FIND(MID(AZ310,{1,2,3,4,5,6,7,8,9,10,11,12,13,14},1),"0123456789ABCDEFGHIJKLMNOPQRSTUVWXYZ")-1)*{1,2,1,2,1,2,1,2,1,2,1,2,1,2}/36)+MOD((FIND(MID(AZ310,{1,2,3,4,5,6,7,8,9,10,11,12,13,14},1),"0123456789ABCDEFGHIJKLMNOPQRSTUVWXYZ")-1)*{1,2,1,2,1,2,1,2,1,2,1,2,1,2},36)),36),36)+1,1)=MID(AZ310,15,1),"OK","Typo? check digit wrong")),"Wrong format"))</f>
        <v/>
      </c>
      <c r="AW310" s="29">
        <f>IF(BA310="","",IF(AND(LEN(BA310)=10,SUMPRODUCT(--ISERROR(FIND(MID(BA310,{1,2,3,4,5,10},1),"ABCDEFGHIJKLMNOPQRSTUVWXYZ")))=0,SUMPRODUCT(--ISERROR(FIND(MID(BA310,{6,7,8,9},1),"0123456789")))=0),"OK","Wrong format"))</f>
        <v/>
      </c>
      <c r="AX310" s="29">
        <f>IF(TRIM(H310)="","",IF(AND(LEN(UPPER(TRIM(H310)))=10,SUMPRODUCT(--ISERROR(FIND(MID(UPPER(TRIM(H310)),{1,2,3,4,10},1),"ABCDEFGHIJKLMNOPQRSTUVWXYZ")))=0,SUMPRODUCT(--ISERROR(FIND(MID(UPPER(TRIM(H310)),{5,6,7,8,9},1),"0123456789")))=0),"OK","Wrong format"))</f>
        <v/>
      </c>
      <c r="AY310" s="30">
        <f>IF(NOT(COUNTA(A310:AE310)&gt;0),"",IF(BE310&lt;&gt;"","✖ "&amp;LEFT(BE310,LEN(BE310)-2),IF(BD310&gt;0,"✔ Ready — client + "&amp;BD310&amp;" service(s)","✔ Ready — client only")))</f>
        <v/>
      </c>
      <c r="AZ310" s="31">
        <f>UPPER(SUBSTITUTE(TRIM(F310)," ",""))</f>
        <v/>
      </c>
      <c r="BA310" s="31">
        <f>UPPER(SUBSTITUTE(TRIM(E310)," ",""))</f>
        <v/>
      </c>
      <c r="BB310" s="31">
        <f>IF(D310&lt;&gt;"",D310,IFERROR(VLOOKUP(MID(AS310,4,1),Lists!$E$2:$F$8,2,FALSE),""))</f>
        <v/>
      </c>
      <c r="BC310" s="31">
        <f>IFERROR(VLOOKUP(BB310,Lists!$A$2:$C$12,3,FALSE),"")</f>
        <v/>
      </c>
      <c r="BD310" s="31">
        <f>COUNTIF(W310:AC310,"Yes")</f>
        <v/>
      </c>
      <c r="BE310" s="31">
        <f>IF(TRIM(B310)="","Legal name missing; ","")&amp;IF(AND(AV310&lt;&gt;"",AV310&lt;&gt;"OK"),"GSTIN: "&amp;AV310&amp;"; ","")&amp;IF(AND(AW310&lt;&gt;"",AW310&lt;&gt;"OK"),"PAN wrong format; ","")&amp;IF(AND(BA310&lt;&gt;"",LEN(AZ310)=15,MID(AZ310,3,10)&lt;&gt;BA310),"PAN does not match GSTIN; ","")&amp;IF(AND(AX310&lt;&gt;"",AX310&lt;&gt;"OK"),"TAN wrong format; ","")&amp;IF(AS310="","PAN missing; ","")&amp;IF(BB310="","Entity type missing; ","")&amp;IF(AND(AZ310&lt;&gt;"",COUNTIF($AZ$6:$AZ$1005,AZ310)&gt;1),"GSTIN repeated in this sheet; ","")&amp;IF(AND(AS310&lt;&gt;"",COUNTIF($AS$6:$AS$1005,AS310)&gt;1),"PAN repeated in this sheet (same client? put extra GSTINs in Other GSTINs); ","")&amp;IF(AND(BD310&gt;0,V310=""),"Financial year missing; ","")&amp;IF(AND(BD310=0,V310&lt;&gt;""),"Financial year given but no service is Yes; ","")&amp;IF(AND(W310="Yes",AZ310=""),"GST needs a GSTIN; ","")&amp;IF(AND(W310="Yes",X310=""),"GST return frequency missing; ","")&amp;IF(AND(Y310="Yes",TRIM(H310)=""),"TDS needs a TAN; ","")&amp;IF(AND(AA310="Yes",BC310&lt;&gt;"",BC310&lt;&gt;"company",BC310&lt;&gt;"llp"),"ROC is only for a company / LLP; ","")&amp;IF(AND(AA310="Yes",OR(BC310="company",BC310="llp"),TRIM(I310)=""),"ROC needs the CIN / LLPIN; ","")&amp;IF((TRIM(AF310)="")&lt;&gt;(TRIM(AG310)=""),"GST login needs both user ID and password; ","")&amp;IF((TRIM(AH310)="")&lt;&gt;(TRIM(AI310)=""),"Income-tax login needs both user ID and password; ","")&amp;IF((TRIM(AJ310)="")&lt;&gt;(TRIM(AK310)=""),"Income-tax login needs both user ID and password; ","")&amp;IF((TRIM(AL310)="")&lt;&gt;(TRIM(AM310)=""),"TRACES login needs both user ID and password; ","")&amp;IF((TRIM(AN310)="")&lt;&gt;(TRIM(AO310)=""),"MCA login needs both user ID and password; ","")&amp;IF((TRIM(AP310)="")&lt;&gt;(TRIM(AQ310)=""),"E-way bill login needs both user ID and password; ","")</f>
        <v/>
      </c>
    </row>
    <row r="311">
      <c r="A311" s="32" t="n"/>
      <c r="B311" s="33" t="n"/>
      <c r="C311" s="33" t="n"/>
      <c r="D311" s="33" t="n"/>
      <c r="E311" s="32" t="n"/>
      <c r="F311" s="32" t="n"/>
      <c r="G311" s="32" t="n"/>
      <c r="H311" s="32" t="n"/>
      <c r="I311" s="32" t="n"/>
      <c r="J311" s="34" t="n"/>
      <c r="K311" s="33" t="n"/>
      <c r="L311" s="32" t="n"/>
      <c r="M311" s="33" t="n"/>
      <c r="N311" s="33" t="n"/>
      <c r="O311" s="33" t="n"/>
      <c r="P311" s="32" t="n"/>
      <c r="Q311" s="33" t="n"/>
      <c r="R311" s="33" t="n"/>
      <c r="S311" s="33" t="n"/>
      <c r="T311" s="33" t="n"/>
      <c r="U311" s="32" t="n"/>
      <c r="V311" s="33" t="n"/>
      <c r="W311" s="33" t="n"/>
      <c r="X311" s="33" t="n"/>
      <c r="Y311" s="33" t="n"/>
      <c r="Z311" s="33" t="n"/>
      <c r="AA311" s="33" t="n"/>
      <c r="AB311" s="33" t="n"/>
      <c r="AC311" s="33" t="n"/>
      <c r="AD311" s="33" t="n"/>
      <c r="AE311" s="33" t="n"/>
      <c r="AF311" s="32" t="n"/>
      <c r="AG311" s="32" t="n"/>
      <c r="AH311" s="32" t="n"/>
      <c r="AI311" s="32" t="n"/>
      <c r="AJ311" s="32" t="n"/>
      <c r="AK311" s="32" t="n"/>
      <c r="AL311" s="32" t="n"/>
      <c r="AM311" s="32" t="n"/>
      <c r="AN311" s="32" t="n"/>
      <c r="AO311" s="32" t="n"/>
      <c r="AP311" s="32" t="n"/>
      <c r="AQ311" s="32" t="n"/>
      <c r="AR311" s="29">
        <f>IF(NOT(COUNTA(A311:AE311)&gt;0),"",IF(A311="","New client","Update"))</f>
        <v/>
      </c>
      <c r="AS311" s="29">
        <f>IF(BA311&lt;&gt;"",BA311,IF(LEN(AZ311)=15,MID(AZ311,3,10),""))</f>
        <v/>
      </c>
      <c r="AT311" s="29">
        <f>IF(BB311="","",BB311&amp;IF(D311="","  (guessed from PAN)",""))</f>
        <v/>
      </c>
      <c r="AU311" s="29">
        <f>IF(AZ311="","",IFERROR(INDEX(Lists!$L$2:$L$38,MATCH(LEFT(AZ311,2),Lists!$K$2:$K$38,0)),"Unknown code"))</f>
        <v/>
      </c>
      <c r="AV311" s="29">
        <f>IF(AZ311="","",IFERROR(IF(NOT(AND(LEN(AZ311)=15,ISNUMBER(MATCH(LEFT(AZ311,2),Lists!$K$2:$K$38,0)),SUMPRODUCT(--ISERROR(FIND(MID(MID(AZ311,3,10),{1,2,3,4,5,10},1),"ABCDEFGHIJKLMNOPQRSTUVWXYZ")))=0,SUMPRODUCT(--ISERROR(FIND(MID(MID(AZ311,3,10),{6,7,8,9},1),"0123456789")))=0,ISNUMBER(FIND(MID(AZ311,13,1),"123456789ABCDEFGHIJKLMNOPQRSTUVWXYZ")),MID(AZ311,14,1)="Z")),"Wrong format",IF(MID("0123456789ABCDEFGHIJKLMNOPQRSTUVWXYZ",MOD(36-MOD(SUMPRODUCT(INT((FIND(MID(AZ311,{1,2,3,4,5,6,7,8,9,10,11,12,13,14},1),"0123456789ABCDEFGHIJKLMNOPQRSTUVWXYZ")-1)*{1,2,1,2,1,2,1,2,1,2,1,2,1,2}/36)+MOD((FIND(MID(AZ311,{1,2,3,4,5,6,7,8,9,10,11,12,13,14},1),"0123456789ABCDEFGHIJKLMNOPQRSTUVWXYZ")-1)*{1,2,1,2,1,2,1,2,1,2,1,2,1,2},36)),36),36)+1,1)=MID(AZ311,15,1),"OK","Typo? check digit wrong")),"Wrong format"))</f>
        <v/>
      </c>
      <c r="AW311" s="29">
        <f>IF(BA311="","",IF(AND(LEN(BA311)=10,SUMPRODUCT(--ISERROR(FIND(MID(BA311,{1,2,3,4,5,10},1),"ABCDEFGHIJKLMNOPQRSTUVWXYZ")))=0,SUMPRODUCT(--ISERROR(FIND(MID(BA311,{6,7,8,9},1),"0123456789")))=0),"OK","Wrong format"))</f>
        <v/>
      </c>
      <c r="AX311" s="29">
        <f>IF(TRIM(H311)="","",IF(AND(LEN(UPPER(TRIM(H311)))=10,SUMPRODUCT(--ISERROR(FIND(MID(UPPER(TRIM(H311)),{1,2,3,4,10},1),"ABCDEFGHIJKLMNOPQRSTUVWXYZ")))=0,SUMPRODUCT(--ISERROR(FIND(MID(UPPER(TRIM(H311)),{5,6,7,8,9},1),"0123456789")))=0),"OK","Wrong format"))</f>
        <v/>
      </c>
      <c r="AY311" s="30">
        <f>IF(NOT(COUNTA(A311:AE311)&gt;0),"",IF(BE311&lt;&gt;"","✖ "&amp;LEFT(BE311,LEN(BE311)-2),IF(BD311&gt;0,"✔ Ready — client + "&amp;BD311&amp;" service(s)","✔ Ready — client only")))</f>
        <v/>
      </c>
      <c r="AZ311" s="31">
        <f>UPPER(SUBSTITUTE(TRIM(F311)," ",""))</f>
        <v/>
      </c>
      <c r="BA311" s="31">
        <f>UPPER(SUBSTITUTE(TRIM(E311)," ",""))</f>
        <v/>
      </c>
      <c r="BB311" s="31">
        <f>IF(D311&lt;&gt;"",D311,IFERROR(VLOOKUP(MID(AS311,4,1),Lists!$E$2:$F$8,2,FALSE),""))</f>
        <v/>
      </c>
      <c r="BC311" s="31">
        <f>IFERROR(VLOOKUP(BB311,Lists!$A$2:$C$12,3,FALSE),"")</f>
        <v/>
      </c>
      <c r="BD311" s="31">
        <f>COUNTIF(W311:AC311,"Yes")</f>
        <v/>
      </c>
      <c r="BE311" s="31">
        <f>IF(TRIM(B311)="","Legal name missing; ","")&amp;IF(AND(AV311&lt;&gt;"",AV311&lt;&gt;"OK"),"GSTIN: "&amp;AV311&amp;"; ","")&amp;IF(AND(AW311&lt;&gt;"",AW311&lt;&gt;"OK"),"PAN wrong format; ","")&amp;IF(AND(BA311&lt;&gt;"",LEN(AZ311)=15,MID(AZ311,3,10)&lt;&gt;BA311),"PAN does not match GSTIN; ","")&amp;IF(AND(AX311&lt;&gt;"",AX311&lt;&gt;"OK"),"TAN wrong format; ","")&amp;IF(AS311="","PAN missing; ","")&amp;IF(BB311="","Entity type missing; ","")&amp;IF(AND(AZ311&lt;&gt;"",COUNTIF($AZ$6:$AZ$1005,AZ311)&gt;1),"GSTIN repeated in this sheet; ","")&amp;IF(AND(AS311&lt;&gt;"",COUNTIF($AS$6:$AS$1005,AS311)&gt;1),"PAN repeated in this sheet (same client? put extra GSTINs in Other GSTINs); ","")&amp;IF(AND(BD311&gt;0,V311=""),"Financial year missing; ","")&amp;IF(AND(BD311=0,V311&lt;&gt;""),"Financial year given but no service is Yes; ","")&amp;IF(AND(W311="Yes",AZ311=""),"GST needs a GSTIN; ","")&amp;IF(AND(W311="Yes",X311=""),"GST return frequency missing; ","")&amp;IF(AND(Y311="Yes",TRIM(H311)=""),"TDS needs a TAN; ","")&amp;IF(AND(AA311="Yes",BC311&lt;&gt;"",BC311&lt;&gt;"company",BC311&lt;&gt;"llp"),"ROC is only for a company / LLP; ","")&amp;IF(AND(AA311="Yes",OR(BC311="company",BC311="llp"),TRIM(I311)=""),"ROC needs the CIN / LLPIN; ","")&amp;IF((TRIM(AF311)="")&lt;&gt;(TRIM(AG311)=""),"GST login needs both user ID and password; ","")&amp;IF((TRIM(AH311)="")&lt;&gt;(TRIM(AI311)=""),"Income-tax login needs both user ID and password; ","")&amp;IF((TRIM(AJ311)="")&lt;&gt;(TRIM(AK311)=""),"Income-tax login needs both user ID and password; ","")&amp;IF((TRIM(AL311)="")&lt;&gt;(TRIM(AM311)=""),"TRACES login needs both user ID and password; ","")&amp;IF((TRIM(AN311)="")&lt;&gt;(TRIM(AO311)=""),"MCA login needs both user ID and password; ","")&amp;IF((TRIM(AP311)="")&lt;&gt;(TRIM(AQ311)=""),"E-way bill login needs both user ID and password; ","")</f>
        <v/>
      </c>
    </row>
    <row r="312">
      <c r="A312" s="32" t="n"/>
      <c r="B312" s="33" t="n"/>
      <c r="C312" s="33" t="n"/>
      <c r="D312" s="33" t="n"/>
      <c r="E312" s="32" t="n"/>
      <c r="F312" s="32" t="n"/>
      <c r="G312" s="32" t="n"/>
      <c r="H312" s="32" t="n"/>
      <c r="I312" s="32" t="n"/>
      <c r="J312" s="34" t="n"/>
      <c r="K312" s="33" t="n"/>
      <c r="L312" s="32" t="n"/>
      <c r="M312" s="33" t="n"/>
      <c r="N312" s="33" t="n"/>
      <c r="O312" s="33" t="n"/>
      <c r="P312" s="32" t="n"/>
      <c r="Q312" s="33" t="n"/>
      <c r="R312" s="33" t="n"/>
      <c r="S312" s="33" t="n"/>
      <c r="T312" s="33" t="n"/>
      <c r="U312" s="32" t="n"/>
      <c r="V312" s="33" t="n"/>
      <c r="W312" s="33" t="n"/>
      <c r="X312" s="33" t="n"/>
      <c r="Y312" s="33" t="n"/>
      <c r="Z312" s="33" t="n"/>
      <c r="AA312" s="33" t="n"/>
      <c r="AB312" s="33" t="n"/>
      <c r="AC312" s="33" t="n"/>
      <c r="AD312" s="33" t="n"/>
      <c r="AE312" s="33" t="n"/>
      <c r="AF312" s="32" t="n"/>
      <c r="AG312" s="32" t="n"/>
      <c r="AH312" s="32" t="n"/>
      <c r="AI312" s="32" t="n"/>
      <c r="AJ312" s="32" t="n"/>
      <c r="AK312" s="32" t="n"/>
      <c r="AL312" s="32" t="n"/>
      <c r="AM312" s="32" t="n"/>
      <c r="AN312" s="32" t="n"/>
      <c r="AO312" s="32" t="n"/>
      <c r="AP312" s="32" t="n"/>
      <c r="AQ312" s="32" t="n"/>
      <c r="AR312" s="29">
        <f>IF(NOT(COUNTA(A312:AE312)&gt;0),"",IF(A312="","New client","Update"))</f>
        <v/>
      </c>
      <c r="AS312" s="29">
        <f>IF(BA312&lt;&gt;"",BA312,IF(LEN(AZ312)=15,MID(AZ312,3,10),""))</f>
        <v/>
      </c>
      <c r="AT312" s="29">
        <f>IF(BB312="","",BB312&amp;IF(D312="","  (guessed from PAN)",""))</f>
        <v/>
      </c>
      <c r="AU312" s="29">
        <f>IF(AZ312="","",IFERROR(INDEX(Lists!$L$2:$L$38,MATCH(LEFT(AZ312,2),Lists!$K$2:$K$38,0)),"Unknown code"))</f>
        <v/>
      </c>
      <c r="AV312" s="29">
        <f>IF(AZ312="","",IFERROR(IF(NOT(AND(LEN(AZ312)=15,ISNUMBER(MATCH(LEFT(AZ312,2),Lists!$K$2:$K$38,0)),SUMPRODUCT(--ISERROR(FIND(MID(MID(AZ312,3,10),{1,2,3,4,5,10},1),"ABCDEFGHIJKLMNOPQRSTUVWXYZ")))=0,SUMPRODUCT(--ISERROR(FIND(MID(MID(AZ312,3,10),{6,7,8,9},1),"0123456789")))=0,ISNUMBER(FIND(MID(AZ312,13,1),"123456789ABCDEFGHIJKLMNOPQRSTUVWXYZ")),MID(AZ312,14,1)="Z")),"Wrong format",IF(MID("0123456789ABCDEFGHIJKLMNOPQRSTUVWXYZ",MOD(36-MOD(SUMPRODUCT(INT((FIND(MID(AZ312,{1,2,3,4,5,6,7,8,9,10,11,12,13,14},1),"0123456789ABCDEFGHIJKLMNOPQRSTUVWXYZ")-1)*{1,2,1,2,1,2,1,2,1,2,1,2,1,2}/36)+MOD((FIND(MID(AZ312,{1,2,3,4,5,6,7,8,9,10,11,12,13,14},1),"0123456789ABCDEFGHIJKLMNOPQRSTUVWXYZ")-1)*{1,2,1,2,1,2,1,2,1,2,1,2,1,2},36)),36),36)+1,1)=MID(AZ312,15,1),"OK","Typo? check digit wrong")),"Wrong format"))</f>
        <v/>
      </c>
      <c r="AW312" s="29">
        <f>IF(BA312="","",IF(AND(LEN(BA312)=10,SUMPRODUCT(--ISERROR(FIND(MID(BA312,{1,2,3,4,5,10},1),"ABCDEFGHIJKLMNOPQRSTUVWXYZ")))=0,SUMPRODUCT(--ISERROR(FIND(MID(BA312,{6,7,8,9},1),"0123456789")))=0),"OK","Wrong format"))</f>
        <v/>
      </c>
      <c r="AX312" s="29">
        <f>IF(TRIM(H312)="","",IF(AND(LEN(UPPER(TRIM(H312)))=10,SUMPRODUCT(--ISERROR(FIND(MID(UPPER(TRIM(H312)),{1,2,3,4,10},1),"ABCDEFGHIJKLMNOPQRSTUVWXYZ")))=0,SUMPRODUCT(--ISERROR(FIND(MID(UPPER(TRIM(H312)),{5,6,7,8,9},1),"0123456789")))=0),"OK","Wrong format"))</f>
        <v/>
      </c>
      <c r="AY312" s="30">
        <f>IF(NOT(COUNTA(A312:AE312)&gt;0),"",IF(BE312&lt;&gt;"","✖ "&amp;LEFT(BE312,LEN(BE312)-2),IF(BD312&gt;0,"✔ Ready — client + "&amp;BD312&amp;" service(s)","✔ Ready — client only")))</f>
        <v/>
      </c>
      <c r="AZ312" s="31">
        <f>UPPER(SUBSTITUTE(TRIM(F312)," ",""))</f>
        <v/>
      </c>
      <c r="BA312" s="31">
        <f>UPPER(SUBSTITUTE(TRIM(E312)," ",""))</f>
        <v/>
      </c>
      <c r="BB312" s="31">
        <f>IF(D312&lt;&gt;"",D312,IFERROR(VLOOKUP(MID(AS312,4,1),Lists!$E$2:$F$8,2,FALSE),""))</f>
        <v/>
      </c>
      <c r="BC312" s="31">
        <f>IFERROR(VLOOKUP(BB312,Lists!$A$2:$C$12,3,FALSE),"")</f>
        <v/>
      </c>
      <c r="BD312" s="31">
        <f>COUNTIF(W312:AC312,"Yes")</f>
        <v/>
      </c>
      <c r="BE312" s="31">
        <f>IF(TRIM(B312)="","Legal name missing; ","")&amp;IF(AND(AV312&lt;&gt;"",AV312&lt;&gt;"OK"),"GSTIN: "&amp;AV312&amp;"; ","")&amp;IF(AND(AW312&lt;&gt;"",AW312&lt;&gt;"OK"),"PAN wrong format; ","")&amp;IF(AND(BA312&lt;&gt;"",LEN(AZ312)=15,MID(AZ312,3,10)&lt;&gt;BA312),"PAN does not match GSTIN; ","")&amp;IF(AND(AX312&lt;&gt;"",AX312&lt;&gt;"OK"),"TAN wrong format; ","")&amp;IF(AS312="","PAN missing; ","")&amp;IF(BB312="","Entity type missing; ","")&amp;IF(AND(AZ312&lt;&gt;"",COUNTIF($AZ$6:$AZ$1005,AZ312)&gt;1),"GSTIN repeated in this sheet; ","")&amp;IF(AND(AS312&lt;&gt;"",COUNTIF($AS$6:$AS$1005,AS312)&gt;1),"PAN repeated in this sheet (same client? put extra GSTINs in Other GSTINs); ","")&amp;IF(AND(BD312&gt;0,V312=""),"Financial year missing; ","")&amp;IF(AND(BD312=0,V312&lt;&gt;""),"Financial year given but no service is Yes; ","")&amp;IF(AND(W312="Yes",AZ312=""),"GST needs a GSTIN; ","")&amp;IF(AND(W312="Yes",X312=""),"GST return frequency missing; ","")&amp;IF(AND(Y312="Yes",TRIM(H312)=""),"TDS needs a TAN; ","")&amp;IF(AND(AA312="Yes",BC312&lt;&gt;"",BC312&lt;&gt;"company",BC312&lt;&gt;"llp"),"ROC is only for a company / LLP; ","")&amp;IF(AND(AA312="Yes",OR(BC312="company",BC312="llp"),TRIM(I312)=""),"ROC needs the CIN / LLPIN; ","")&amp;IF((TRIM(AF312)="")&lt;&gt;(TRIM(AG312)=""),"GST login needs both user ID and password; ","")&amp;IF((TRIM(AH312)="")&lt;&gt;(TRIM(AI312)=""),"Income-tax login needs both user ID and password; ","")&amp;IF((TRIM(AJ312)="")&lt;&gt;(TRIM(AK312)=""),"Income-tax login needs both user ID and password; ","")&amp;IF((TRIM(AL312)="")&lt;&gt;(TRIM(AM312)=""),"TRACES login needs both user ID and password; ","")&amp;IF((TRIM(AN312)="")&lt;&gt;(TRIM(AO312)=""),"MCA login needs both user ID and password; ","")&amp;IF((TRIM(AP312)="")&lt;&gt;(TRIM(AQ312)=""),"E-way bill login needs both user ID and password; ","")</f>
        <v/>
      </c>
    </row>
    <row r="313">
      <c r="A313" s="32" t="n"/>
      <c r="B313" s="33" t="n"/>
      <c r="C313" s="33" t="n"/>
      <c r="D313" s="33" t="n"/>
      <c r="E313" s="32" t="n"/>
      <c r="F313" s="32" t="n"/>
      <c r="G313" s="32" t="n"/>
      <c r="H313" s="32" t="n"/>
      <c r="I313" s="32" t="n"/>
      <c r="J313" s="34" t="n"/>
      <c r="K313" s="33" t="n"/>
      <c r="L313" s="32" t="n"/>
      <c r="M313" s="33" t="n"/>
      <c r="N313" s="33" t="n"/>
      <c r="O313" s="33" t="n"/>
      <c r="P313" s="32" t="n"/>
      <c r="Q313" s="33" t="n"/>
      <c r="R313" s="33" t="n"/>
      <c r="S313" s="33" t="n"/>
      <c r="T313" s="33" t="n"/>
      <c r="U313" s="32" t="n"/>
      <c r="V313" s="33" t="n"/>
      <c r="W313" s="33" t="n"/>
      <c r="X313" s="33" t="n"/>
      <c r="Y313" s="33" t="n"/>
      <c r="Z313" s="33" t="n"/>
      <c r="AA313" s="33" t="n"/>
      <c r="AB313" s="33" t="n"/>
      <c r="AC313" s="33" t="n"/>
      <c r="AD313" s="33" t="n"/>
      <c r="AE313" s="33" t="n"/>
      <c r="AF313" s="32" t="n"/>
      <c r="AG313" s="32" t="n"/>
      <c r="AH313" s="32" t="n"/>
      <c r="AI313" s="32" t="n"/>
      <c r="AJ313" s="32" t="n"/>
      <c r="AK313" s="32" t="n"/>
      <c r="AL313" s="32" t="n"/>
      <c r="AM313" s="32" t="n"/>
      <c r="AN313" s="32" t="n"/>
      <c r="AO313" s="32" t="n"/>
      <c r="AP313" s="32" t="n"/>
      <c r="AQ313" s="32" t="n"/>
      <c r="AR313" s="29">
        <f>IF(NOT(COUNTA(A313:AE313)&gt;0),"",IF(A313="","New client","Update"))</f>
        <v/>
      </c>
      <c r="AS313" s="29">
        <f>IF(BA313&lt;&gt;"",BA313,IF(LEN(AZ313)=15,MID(AZ313,3,10),""))</f>
        <v/>
      </c>
      <c r="AT313" s="29">
        <f>IF(BB313="","",BB313&amp;IF(D313="","  (guessed from PAN)",""))</f>
        <v/>
      </c>
      <c r="AU313" s="29">
        <f>IF(AZ313="","",IFERROR(INDEX(Lists!$L$2:$L$38,MATCH(LEFT(AZ313,2),Lists!$K$2:$K$38,0)),"Unknown code"))</f>
        <v/>
      </c>
      <c r="AV313" s="29">
        <f>IF(AZ313="","",IFERROR(IF(NOT(AND(LEN(AZ313)=15,ISNUMBER(MATCH(LEFT(AZ313,2),Lists!$K$2:$K$38,0)),SUMPRODUCT(--ISERROR(FIND(MID(MID(AZ313,3,10),{1,2,3,4,5,10},1),"ABCDEFGHIJKLMNOPQRSTUVWXYZ")))=0,SUMPRODUCT(--ISERROR(FIND(MID(MID(AZ313,3,10),{6,7,8,9},1),"0123456789")))=0,ISNUMBER(FIND(MID(AZ313,13,1),"123456789ABCDEFGHIJKLMNOPQRSTUVWXYZ")),MID(AZ313,14,1)="Z")),"Wrong format",IF(MID("0123456789ABCDEFGHIJKLMNOPQRSTUVWXYZ",MOD(36-MOD(SUMPRODUCT(INT((FIND(MID(AZ313,{1,2,3,4,5,6,7,8,9,10,11,12,13,14},1),"0123456789ABCDEFGHIJKLMNOPQRSTUVWXYZ")-1)*{1,2,1,2,1,2,1,2,1,2,1,2,1,2}/36)+MOD((FIND(MID(AZ313,{1,2,3,4,5,6,7,8,9,10,11,12,13,14},1),"0123456789ABCDEFGHIJKLMNOPQRSTUVWXYZ")-1)*{1,2,1,2,1,2,1,2,1,2,1,2,1,2},36)),36),36)+1,1)=MID(AZ313,15,1),"OK","Typo? check digit wrong")),"Wrong format"))</f>
        <v/>
      </c>
      <c r="AW313" s="29">
        <f>IF(BA313="","",IF(AND(LEN(BA313)=10,SUMPRODUCT(--ISERROR(FIND(MID(BA313,{1,2,3,4,5,10},1),"ABCDEFGHIJKLMNOPQRSTUVWXYZ")))=0,SUMPRODUCT(--ISERROR(FIND(MID(BA313,{6,7,8,9},1),"0123456789")))=0),"OK","Wrong format"))</f>
        <v/>
      </c>
      <c r="AX313" s="29">
        <f>IF(TRIM(H313)="","",IF(AND(LEN(UPPER(TRIM(H313)))=10,SUMPRODUCT(--ISERROR(FIND(MID(UPPER(TRIM(H313)),{1,2,3,4,10},1),"ABCDEFGHIJKLMNOPQRSTUVWXYZ")))=0,SUMPRODUCT(--ISERROR(FIND(MID(UPPER(TRIM(H313)),{5,6,7,8,9},1),"0123456789")))=0),"OK","Wrong format"))</f>
        <v/>
      </c>
      <c r="AY313" s="30">
        <f>IF(NOT(COUNTA(A313:AE313)&gt;0),"",IF(BE313&lt;&gt;"","✖ "&amp;LEFT(BE313,LEN(BE313)-2),IF(BD313&gt;0,"✔ Ready — client + "&amp;BD313&amp;" service(s)","✔ Ready — client only")))</f>
        <v/>
      </c>
      <c r="AZ313" s="31">
        <f>UPPER(SUBSTITUTE(TRIM(F313)," ",""))</f>
        <v/>
      </c>
      <c r="BA313" s="31">
        <f>UPPER(SUBSTITUTE(TRIM(E313)," ",""))</f>
        <v/>
      </c>
      <c r="BB313" s="31">
        <f>IF(D313&lt;&gt;"",D313,IFERROR(VLOOKUP(MID(AS313,4,1),Lists!$E$2:$F$8,2,FALSE),""))</f>
        <v/>
      </c>
      <c r="BC313" s="31">
        <f>IFERROR(VLOOKUP(BB313,Lists!$A$2:$C$12,3,FALSE),"")</f>
        <v/>
      </c>
      <c r="BD313" s="31">
        <f>COUNTIF(W313:AC313,"Yes")</f>
        <v/>
      </c>
      <c r="BE313" s="31">
        <f>IF(TRIM(B313)="","Legal name missing; ","")&amp;IF(AND(AV313&lt;&gt;"",AV313&lt;&gt;"OK"),"GSTIN: "&amp;AV313&amp;"; ","")&amp;IF(AND(AW313&lt;&gt;"",AW313&lt;&gt;"OK"),"PAN wrong format; ","")&amp;IF(AND(BA313&lt;&gt;"",LEN(AZ313)=15,MID(AZ313,3,10)&lt;&gt;BA313),"PAN does not match GSTIN; ","")&amp;IF(AND(AX313&lt;&gt;"",AX313&lt;&gt;"OK"),"TAN wrong format; ","")&amp;IF(AS313="","PAN missing; ","")&amp;IF(BB313="","Entity type missing; ","")&amp;IF(AND(AZ313&lt;&gt;"",COUNTIF($AZ$6:$AZ$1005,AZ313)&gt;1),"GSTIN repeated in this sheet; ","")&amp;IF(AND(AS313&lt;&gt;"",COUNTIF($AS$6:$AS$1005,AS313)&gt;1),"PAN repeated in this sheet (same client? put extra GSTINs in Other GSTINs); ","")&amp;IF(AND(BD313&gt;0,V313=""),"Financial year missing; ","")&amp;IF(AND(BD313=0,V313&lt;&gt;""),"Financial year given but no service is Yes; ","")&amp;IF(AND(W313="Yes",AZ313=""),"GST needs a GSTIN; ","")&amp;IF(AND(W313="Yes",X313=""),"GST return frequency missing; ","")&amp;IF(AND(Y313="Yes",TRIM(H313)=""),"TDS needs a TAN; ","")&amp;IF(AND(AA313="Yes",BC313&lt;&gt;"",BC313&lt;&gt;"company",BC313&lt;&gt;"llp"),"ROC is only for a company / LLP; ","")&amp;IF(AND(AA313="Yes",OR(BC313="company",BC313="llp"),TRIM(I313)=""),"ROC needs the CIN / LLPIN; ","")&amp;IF((TRIM(AF313)="")&lt;&gt;(TRIM(AG313)=""),"GST login needs both user ID and password; ","")&amp;IF((TRIM(AH313)="")&lt;&gt;(TRIM(AI313)=""),"Income-tax login needs both user ID and password; ","")&amp;IF((TRIM(AJ313)="")&lt;&gt;(TRIM(AK313)=""),"Income-tax login needs both user ID and password; ","")&amp;IF((TRIM(AL313)="")&lt;&gt;(TRIM(AM313)=""),"TRACES login needs both user ID and password; ","")&amp;IF((TRIM(AN313)="")&lt;&gt;(TRIM(AO313)=""),"MCA login needs both user ID and password; ","")&amp;IF((TRIM(AP313)="")&lt;&gt;(TRIM(AQ313)=""),"E-way bill login needs both user ID and password; ","")</f>
        <v/>
      </c>
    </row>
    <row r="314">
      <c r="A314" s="32" t="n"/>
      <c r="B314" s="33" t="n"/>
      <c r="C314" s="33" t="n"/>
      <c r="D314" s="33" t="n"/>
      <c r="E314" s="32" t="n"/>
      <c r="F314" s="32" t="n"/>
      <c r="G314" s="32" t="n"/>
      <c r="H314" s="32" t="n"/>
      <c r="I314" s="32" t="n"/>
      <c r="J314" s="34" t="n"/>
      <c r="K314" s="33" t="n"/>
      <c r="L314" s="32" t="n"/>
      <c r="M314" s="33" t="n"/>
      <c r="N314" s="33" t="n"/>
      <c r="O314" s="33" t="n"/>
      <c r="P314" s="32" t="n"/>
      <c r="Q314" s="33" t="n"/>
      <c r="R314" s="33" t="n"/>
      <c r="S314" s="33" t="n"/>
      <c r="T314" s="33" t="n"/>
      <c r="U314" s="32" t="n"/>
      <c r="V314" s="33" t="n"/>
      <c r="W314" s="33" t="n"/>
      <c r="X314" s="33" t="n"/>
      <c r="Y314" s="33" t="n"/>
      <c r="Z314" s="33" t="n"/>
      <c r="AA314" s="33" t="n"/>
      <c r="AB314" s="33" t="n"/>
      <c r="AC314" s="33" t="n"/>
      <c r="AD314" s="33" t="n"/>
      <c r="AE314" s="33" t="n"/>
      <c r="AF314" s="32" t="n"/>
      <c r="AG314" s="32" t="n"/>
      <c r="AH314" s="32" t="n"/>
      <c r="AI314" s="32" t="n"/>
      <c r="AJ314" s="32" t="n"/>
      <c r="AK314" s="32" t="n"/>
      <c r="AL314" s="32" t="n"/>
      <c r="AM314" s="32" t="n"/>
      <c r="AN314" s="32" t="n"/>
      <c r="AO314" s="32" t="n"/>
      <c r="AP314" s="32" t="n"/>
      <c r="AQ314" s="32" t="n"/>
      <c r="AR314" s="29">
        <f>IF(NOT(COUNTA(A314:AE314)&gt;0),"",IF(A314="","New client","Update"))</f>
        <v/>
      </c>
      <c r="AS314" s="29">
        <f>IF(BA314&lt;&gt;"",BA314,IF(LEN(AZ314)=15,MID(AZ314,3,10),""))</f>
        <v/>
      </c>
      <c r="AT314" s="29">
        <f>IF(BB314="","",BB314&amp;IF(D314="","  (guessed from PAN)",""))</f>
        <v/>
      </c>
      <c r="AU314" s="29">
        <f>IF(AZ314="","",IFERROR(INDEX(Lists!$L$2:$L$38,MATCH(LEFT(AZ314,2),Lists!$K$2:$K$38,0)),"Unknown code"))</f>
        <v/>
      </c>
      <c r="AV314" s="29">
        <f>IF(AZ314="","",IFERROR(IF(NOT(AND(LEN(AZ314)=15,ISNUMBER(MATCH(LEFT(AZ314,2),Lists!$K$2:$K$38,0)),SUMPRODUCT(--ISERROR(FIND(MID(MID(AZ314,3,10),{1,2,3,4,5,10},1),"ABCDEFGHIJKLMNOPQRSTUVWXYZ")))=0,SUMPRODUCT(--ISERROR(FIND(MID(MID(AZ314,3,10),{6,7,8,9},1),"0123456789")))=0,ISNUMBER(FIND(MID(AZ314,13,1),"123456789ABCDEFGHIJKLMNOPQRSTUVWXYZ")),MID(AZ314,14,1)="Z")),"Wrong format",IF(MID("0123456789ABCDEFGHIJKLMNOPQRSTUVWXYZ",MOD(36-MOD(SUMPRODUCT(INT((FIND(MID(AZ314,{1,2,3,4,5,6,7,8,9,10,11,12,13,14},1),"0123456789ABCDEFGHIJKLMNOPQRSTUVWXYZ")-1)*{1,2,1,2,1,2,1,2,1,2,1,2,1,2}/36)+MOD((FIND(MID(AZ314,{1,2,3,4,5,6,7,8,9,10,11,12,13,14},1),"0123456789ABCDEFGHIJKLMNOPQRSTUVWXYZ")-1)*{1,2,1,2,1,2,1,2,1,2,1,2,1,2},36)),36),36)+1,1)=MID(AZ314,15,1),"OK","Typo? check digit wrong")),"Wrong format"))</f>
        <v/>
      </c>
      <c r="AW314" s="29">
        <f>IF(BA314="","",IF(AND(LEN(BA314)=10,SUMPRODUCT(--ISERROR(FIND(MID(BA314,{1,2,3,4,5,10},1),"ABCDEFGHIJKLMNOPQRSTUVWXYZ")))=0,SUMPRODUCT(--ISERROR(FIND(MID(BA314,{6,7,8,9},1),"0123456789")))=0),"OK","Wrong format"))</f>
        <v/>
      </c>
      <c r="AX314" s="29">
        <f>IF(TRIM(H314)="","",IF(AND(LEN(UPPER(TRIM(H314)))=10,SUMPRODUCT(--ISERROR(FIND(MID(UPPER(TRIM(H314)),{1,2,3,4,10},1),"ABCDEFGHIJKLMNOPQRSTUVWXYZ")))=0,SUMPRODUCT(--ISERROR(FIND(MID(UPPER(TRIM(H314)),{5,6,7,8,9},1),"0123456789")))=0),"OK","Wrong format"))</f>
        <v/>
      </c>
      <c r="AY314" s="30">
        <f>IF(NOT(COUNTA(A314:AE314)&gt;0),"",IF(BE314&lt;&gt;"","✖ "&amp;LEFT(BE314,LEN(BE314)-2),IF(BD314&gt;0,"✔ Ready — client + "&amp;BD314&amp;" service(s)","✔ Ready — client only")))</f>
        <v/>
      </c>
      <c r="AZ314" s="31">
        <f>UPPER(SUBSTITUTE(TRIM(F314)," ",""))</f>
        <v/>
      </c>
      <c r="BA314" s="31">
        <f>UPPER(SUBSTITUTE(TRIM(E314)," ",""))</f>
        <v/>
      </c>
      <c r="BB314" s="31">
        <f>IF(D314&lt;&gt;"",D314,IFERROR(VLOOKUP(MID(AS314,4,1),Lists!$E$2:$F$8,2,FALSE),""))</f>
        <v/>
      </c>
      <c r="BC314" s="31">
        <f>IFERROR(VLOOKUP(BB314,Lists!$A$2:$C$12,3,FALSE),"")</f>
        <v/>
      </c>
      <c r="BD314" s="31">
        <f>COUNTIF(W314:AC314,"Yes")</f>
        <v/>
      </c>
      <c r="BE314" s="31">
        <f>IF(TRIM(B314)="","Legal name missing; ","")&amp;IF(AND(AV314&lt;&gt;"",AV314&lt;&gt;"OK"),"GSTIN: "&amp;AV314&amp;"; ","")&amp;IF(AND(AW314&lt;&gt;"",AW314&lt;&gt;"OK"),"PAN wrong format; ","")&amp;IF(AND(BA314&lt;&gt;"",LEN(AZ314)=15,MID(AZ314,3,10)&lt;&gt;BA314),"PAN does not match GSTIN; ","")&amp;IF(AND(AX314&lt;&gt;"",AX314&lt;&gt;"OK"),"TAN wrong format; ","")&amp;IF(AS314="","PAN missing; ","")&amp;IF(BB314="","Entity type missing; ","")&amp;IF(AND(AZ314&lt;&gt;"",COUNTIF($AZ$6:$AZ$1005,AZ314)&gt;1),"GSTIN repeated in this sheet; ","")&amp;IF(AND(AS314&lt;&gt;"",COUNTIF($AS$6:$AS$1005,AS314)&gt;1),"PAN repeated in this sheet (same client? put extra GSTINs in Other GSTINs); ","")&amp;IF(AND(BD314&gt;0,V314=""),"Financial year missing; ","")&amp;IF(AND(BD314=0,V314&lt;&gt;""),"Financial year given but no service is Yes; ","")&amp;IF(AND(W314="Yes",AZ314=""),"GST needs a GSTIN; ","")&amp;IF(AND(W314="Yes",X314=""),"GST return frequency missing; ","")&amp;IF(AND(Y314="Yes",TRIM(H314)=""),"TDS needs a TAN; ","")&amp;IF(AND(AA314="Yes",BC314&lt;&gt;"",BC314&lt;&gt;"company",BC314&lt;&gt;"llp"),"ROC is only for a company / LLP; ","")&amp;IF(AND(AA314="Yes",OR(BC314="company",BC314="llp"),TRIM(I314)=""),"ROC needs the CIN / LLPIN; ","")&amp;IF((TRIM(AF314)="")&lt;&gt;(TRIM(AG314)=""),"GST login needs both user ID and password; ","")&amp;IF((TRIM(AH314)="")&lt;&gt;(TRIM(AI314)=""),"Income-tax login needs both user ID and password; ","")&amp;IF((TRIM(AJ314)="")&lt;&gt;(TRIM(AK314)=""),"Income-tax login needs both user ID and password; ","")&amp;IF((TRIM(AL314)="")&lt;&gt;(TRIM(AM314)=""),"TRACES login needs both user ID and password; ","")&amp;IF((TRIM(AN314)="")&lt;&gt;(TRIM(AO314)=""),"MCA login needs both user ID and password; ","")&amp;IF((TRIM(AP314)="")&lt;&gt;(TRIM(AQ314)=""),"E-way bill login needs both user ID and password; ","")</f>
        <v/>
      </c>
    </row>
    <row r="315">
      <c r="A315" s="32" t="n"/>
      <c r="B315" s="33" t="n"/>
      <c r="C315" s="33" t="n"/>
      <c r="D315" s="33" t="n"/>
      <c r="E315" s="32" t="n"/>
      <c r="F315" s="32" t="n"/>
      <c r="G315" s="32" t="n"/>
      <c r="H315" s="32" t="n"/>
      <c r="I315" s="32" t="n"/>
      <c r="J315" s="34" t="n"/>
      <c r="K315" s="33" t="n"/>
      <c r="L315" s="32" t="n"/>
      <c r="M315" s="33" t="n"/>
      <c r="N315" s="33" t="n"/>
      <c r="O315" s="33" t="n"/>
      <c r="P315" s="32" t="n"/>
      <c r="Q315" s="33" t="n"/>
      <c r="R315" s="33" t="n"/>
      <c r="S315" s="33" t="n"/>
      <c r="T315" s="33" t="n"/>
      <c r="U315" s="32" t="n"/>
      <c r="V315" s="33" t="n"/>
      <c r="W315" s="33" t="n"/>
      <c r="X315" s="33" t="n"/>
      <c r="Y315" s="33" t="n"/>
      <c r="Z315" s="33" t="n"/>
      <c r="AA315" s="33" t="n"/>
      <c r="AB315" s="33" t="n"/>
      <c r="AC315" s="33" t="n"/>
      <c r="AD315" s="33" t="n"/>
      <c r="AE315" s="33" t="n"/>
      <c r="AF315" s="32" t="n"/>
      <c r="AG315" s="32" t="n"/>
      <c r="AH315" s="32" t="n"/>
      <c r="AI315" s="32" t="n"/>
      <c r="AJ315" s="32" t="n"/>
      <c r="AK315" s="32" t="n"/>
      <c r="AL315" s="32" t="n"/>
      <c r="AM315" s="32" t="n"/>
      <c r="AN315" s="32" t="n"/>
      <c r="AO315" s="32" t="n"/>
      <c r="AP315" s="32" t="n"/>
      <c r="AQ315" s="32" t="n"/>
      <c r="AR315" s="29">
        <f>IF(NOT(COUNTA(A315:AE315)&gt;0),"",IF(A315="","New client","Update"))</f>
        <v/>
      </c>
      <c r="AS315" s="29">
        <f>IF(BA315&lt;&gt;"",BA315,IF(LEN(AZ315)=15,MID(AZ315,3,10),""))</f>
        <v/>
      </c>
      <c r="AT315" s="29">
        <f>IF(BB315="","",BB315&amp;IF(D315="","  (guessed from PAN)",""))</f>
        <v/>
      </c>
      <c r="AU315" s="29">
        <f>IF(AZ315="","",IFERROR(INDEX(Lists!$L$2:$L$38,MATCH(LEFT(AZ315,2),Lists!$K$2:$K$38,0)),"Unknown code"))</f>
        <v/>
      </c>
      <c r="AV315" s="29">
        <f>IF(AZ315="","",IFERROR(IF(NOT(AND(LEN(AZ315)=15,ISNUMBER(MATCH(LEFT(AZ315,2),Lists!$K$2:$K$38,0)),SUMPRODUCT(--ISERROR(FIND(MID(MID(AZ315,3,10),{1,2,3,4,5,10},1),"ABCDEFGHIJKLMNOPQRSTUVWXYZ")))=0,SUMPRODUCT(--ISERROR(FIND(MID(MID(AZ315,3,10),{6,7,8,9},1),"0123456789")))=0,ISNUMBER(FIND(MID(AZ315,13,1),"123456789ABCDEFGHIJKLMNOPQRSTUVWXYZ")),MID(AZ315,14,1)="Z")),"Wrong format",IF(MID("0123456789ABCDEFGHIJKLMNOPQRSTUVWXYZ",MOD(36-MOD(SUMPRODUCT(INT((FIND(MID(AZ315,{1,2,3,4,5,6,7,8,9,10,11,12,13,14},1),"0123456789ABCDEFGHIJKLMNOPQRSTUVWXYZ")-1)*{1,2,1,2,1,2,1,2,1,2,1,2,1,2}/36)+MOD((FIND(MID(AZ315,{1,2,3,4,5,6,7,8,9,10,11,12,13,14},1),"0123456789ABCDEFGHIJKLMNOPQRSTUVWXYZ")-1)*{1,2,1,2,1,2,1,2,1,2,1,2,1,2},36)),36),36)+1,1)=MID(AZ315,15,1),"OK","Typo? check digit wrong")),"Wrong format"))</f>
        <v/>
      </c>
      <c r="AW315" s="29">
        <f>IF(BA315="","",IF(AND(LEN(BA315)=10,SUMPRODUCT(--ISERROR(FIND(MID(BA315,{1,2,3,4,5,10},1),"ABCDEFGHIJKLMNOPQRSTUVWXYZ")))=0,SUMPRODUCT(--ISERROR(FIND(MID(BA315,{6,7,8,9},1),"0123456789")))=0),"OK","Wrong format"))</f>
        <v/>
      </c>
      <c r="AX315" s="29">
        <f>IF(TRIM(H315)="","",IF(AND(LEN(UPPER(TRIM(H315)))=10,SUMPRODUCT(--ISERROR(FIND(MID(UPPER(TRIM(H315)),{1,2,3,4,10},1),"ABCDEFGHIJKLMNOPQRSTUVWXYZ")))=0,SUMPRODUCT(--ISERROR(FIND(MID(UPPER(TRIM(H315)),{5,6,7,8,9},1),"0123456789")))=0),"OK","Wrong format"))</f>
        <v/>
      </c>
      <c r="AY315" s="30">
        <f>IF(NOT(COUNTA(A315:AE315)&gt;0),"",IF(BE315&lt;&gt;"","✖ "&amp;LEFT(BE315,LEN(BE315)-2),IF(BD315&gt;0,"✔ Ready — client + "&amp;BD315&amp;" service(s)","✔ Ready — client only")))</f>
        <v/>
      </c>
      <c r="AZ315" s="31">
        <f>UPPER(SUBSTITUTE(TRIM(F315)," ",""))</f>
        <v/>
      </c>
      <c r="BA315" s="31">
        <f>UPPER(SUBSTITUTE(TRIM(E315)," ",""))</f>
        <v/>
      </c>
      <c r="BB315" s="31">
        <f>IF(D315&lt;&gt;"",D315,IFERROR(VLOOKUP(MID(AS315,4,1),Lists!$E$2:$F$8,2,FALSE),""))</f>
        <v/>
      </c>
      <c r="BC315" s="31">
        <f>IFERROR(VLOOKUP(BB315,Lists!$A$2:$C$12,3,FALSE),"")</f>
        <v/>
      </c>
      <c r="BD315" s="31">
        <f>COUNTIF(W315:AC315,"Yes")</f>
        <v/>
      </c>
      <c r="BE315" s="31">
        <f>IF(TRIM(B315)="","Legal name missing; ","")&amp;IF(AND(AV315&lt;&gt;"",AV315&lt;&gt;"OK"),"GSTIN: "&amp;AV315&amp;"; ","")&amp;IF(AND(AW315&lt;&gt;"",AW315&lt;&gt;"OK"),"PAN wrong format; ","")&amp;IF(AND(BA315&lt;&gt;"",LEN(AZ315)=15,MID(AZ315,3,10)&lt;&gt;BA315),"PAN does not match GSTIN; ","")&amp;IF(AND(AX315&lt;&gt;"",AX315&lt;&gt;"OK"),"TAN wrong format; ","")&amp;IF(AS315="","PAN missing; ","")&amp;IF(BB315="","Entity type missing; ","")&amp;IF(AND(AZ315&lt;&gt;"",COUNTIF($AZ$6:$AZ$1005,AZ315)&gt;1),"GSTIN repeated in this sheet; ","")&amp;IF(AND(AS315&lt;&gt;"",COUNTIF($AS$6:$AS$1005,AS315)&gt;1),"PAN repeated in this sheet (same client? put extra GSTINs in Other GSTINs); ","")&amp;IF(AND(BD315&gt;0,V315=""),"Financial year missing; ","")&amp;IF(AND(BD315=0,V315&lt;&gt;""),"Financial year given but no service is Yes; ","")&amp;IF(AND(W315="Yes",AZ315=""),"GST needs a GSTIN; ","")&amp;IF(AND(W315="Yes",X315=""),"GST return frequency missing; ","")&amp;IF(AND(Y315="Yes",TRIM(H315)=""),"TDS needs a TAN; ","")&amp;IF(AND(AA315="Yes",BC315&lt;&gt;"",BC315&lt;&gt;"company",BC315&lt;&gt;"llp"),"ROC is only for a company / LLP; ","")&amp;IF(AND(AA315="Yes",OR(BC315="company",BC315="llp"),TRIM(I315)=""),"ROC needs the CIN / LLPIN; ","")&amp;IF((TRIM(AF315)="")&lt;&gt;(TRIM(AG315)=""),"GST login needs both user ID and password; ","")&amp;IF((TRIM(AH315)="")&lt;&gt;(TRIM(AI315)=""),"Income-tax login needs both user ID and password; ","")&amp;IF((TRIM(AJ315)="")&lt;&gt;(TRIM(AK315)=""),"Income-tax login needs both user ID and password; ","")&amp;IF((TRIM(AL315)="")&lt;&gt;(TRIM(AM315)=""),"TRACES login needs both user ID and password; ","")&amp;IF((TRIM(AN315)="")&lt;&gt;(TRIM(AO315)=""),"MCA login needs both user ID and password; ","")&amp;IF((TRIM(AP315)="")&lt;&gt;(TRIM(AQ315)=""),"E-way bill login needs both user ID and password; ","")</f>
        <v/>
      </c>
    </row>
    <row r="316">
      <c r="A316" s="32" t="n"/>
      <c r="B316" s="33" t="n"/>
      <c r="C316" s="33" t="n"/>
      <c r="D316" s="33" t="n"/>
      <c r="E316" s="32" t="n"/>
      <c r="F316" s="32" t="n"/>
      <c r="G316" s="32" t="n"/>
      <c r="H316" s="32" t="n"/>
      <c r="I316" s="32" t="n"/>
      <c r="J316" s="34" t="n"/>
      <c r="K316" s="33" t="n"/>
      <c r="L316" s="32" t="n"/>
      <c r="M316" s="33" t="n"/>
      <c r="N316" s="33" t="n"/>
      <c r="O316" s="33" t="n"/>
      <c r="P316" s="32" t="n"/>
      <c r="Q316" s="33" t="n"/>
      <c r="R316" s="33" t="n"/>
      <c r="S316" s="33" t="n"/>
      <c r="T316" s="33" t="n"/>
      <c r="U316" s="32" t="n"/>
      <c r="V316" s="33" t="n"/>
      <c r="W316" s="33" t="n"/>
      <c r="X316" s="33" t="n"/>
      <c r="Y316" s="33" t="n"/>
      <c r="Z316" s="33" t="n"/>
      <c r="AA316" s="33" t="n"/>
      <c r="AB316" s="33" t="n"/>
      <c r="AC316" s="33" t="n"/>
      <c r="AD316" s="33" t="n"/>
      <c r="AE316" s="33" t="n"/>
      <c r="AF316" s="32" t="n"/>
      <c r="AG316" s="32" t="n"/>
      <c r="AH316" s="32" t="n"/>
      <c r="AI316" s="32" t="n"/>
      <c r="AJ316" s="32" t="n"/>
      <c r="AK316" s="32" t="n"/>
      <c r="AL316" s="32" t="n"/>
      <c r="AM316" s="32" t="n"/>
      <c r="AN316" s="32" t="n"/>
      <c r="AO316" s="32" t="n"/>
      <c r="AP316" s="32" t="n"/>
      <c r="AQ316" s="32" t="n"/>
      <c r="AR316" s="29">
        <f>IF(NOT(COUNTA(A316:AE316)&gt;0),"",IF(A316="","New client","Update"))</f>
        <v/>
      </c>
      <c r="AS316" s="29">
        <f>IF(BA316&lt;&gt;"",BA316,IF(LEN(AZ316)=15,MID(AZ316,3,10),""))</f>
        <v/>
      </c>
      <c r="AT316" s="29">
        <f>IF(BB316="","",BB316&amp;IF(D316="","  (guessed from PAN)",""))</f>
        <v/>
      </c>
      <c r="AU316" s="29">
        <f>IF(AZ316="","",IFERROR(INDEX(Lists!$L$2:$L$38,MATCH(LEFT(AZ316,2),Lists!$K$2:$K$38,0)),"Unknown code"))</f>
        <v/>
      </c>
      <c r="AV316" s="29">
        <f>IF(AZ316="","",IFERROR(IF(NOT(AND(LEN(AZ316)=15,ISNUMBER(MATCH(LEFT(AZ316,2),Lists!$K$2:$K$38,0)),SUMPRODUCT(--ISERROR(FIND(MID(MID(AZ316,3,10),{1,2,3,4,5,10},1),"ABCDEFGHIJKLMNOPQRSTUVWXYZ")))=0,SUMPRODUCT(--ISERROR(FIND(MID(MID(AZ316,3,10),{6,7,8,9},1),"0123456789")))=0,ISNUMBER(FIND(MID(AZ316,13,1),"123456789ABCDEFGHIJKLMNOPQRSTUVWXYZ")),MID(AZ316,14,1)="Z")),"Wrong format",IF(MID("0123456789ABCDEFGHIJKLMNOPQRSTUVWXYZ",MOD(36-MOD(SUMPRODUCT(INT((FIND(MID(AZ316,{1,2,3,4,5,6,7,8,9,10,11,12,13,14},1),"0123456789ABCDEFGHIJKLMNOPQRSTUVWXYZ")-1)*{1,2,1,2,1,2,1,2,1,2,1,2,1,2}/36)+MOD((FIND(MID(AZ316,{1,2,3,4,5,6,7,8,9,10,11,12,13,14},1),"0123456789ABCDEFGHIJKLMNOPQRSTUVWXYZ")-1)*{1,2,1,2,1,2,1,2,1,2,1,2,1,2},36)),36),36)+1,1)=MID(AZ316,15,1),"OK","Typo? check digit wrong")),"Wrong format"))</f>
        <v/>
      </c>
      <c r="AW316" s="29">
        <f>IF(BA316="","",IF(AND(LEN(BA316)=10,SUMPRODUCT(--ISERROR(FIND(MID(BA316,{1,2,3,4,5,10},1),"ABCDEFGHIJKLMNOPQRSTUVWXYZ")))=0,SUMPRODUCT(--ISERROR(FIND(MID(BA316,{6,7,8,9},1),"0123456789")))=0),"OK","Wrong format"))</f>
        <v/>
      </c>
      <c r="AX316" s="29">
        <f>IF(TRIM(H316)="","",IF(AND(LEN(UPPER(TRIM(H316)))=10,SUMPRODUCT(--ISERROR(FIND(MID(UPPER(TRIM(H316)),{1,2,3,4,10},1),"ABCDEFGHIJKLMNOPQRSTUVWXYZ")))=0,SUMPRODUCT(--ISERROR(FIND(MID(UPPER(TRIM(H316)),{5,6,7,8,9},1),"0123456789")))=0),"OK","Wrong format"))</f>
        <v/>
      </c>
      <c r="AY316" s="30">
        <f>IF(NOT(COUNTA(A316:AE316)&gt;0),"",IF(BE316&lt;&gt;"","✖ "&amp;LEFT(BE316,LEN(BE316)-2),IF(BD316&gt;0,"✔ Ready — client + "&amp;BD316&amp;" service(s)","✔ Ready — client only")))</f>
        <v/>
      </c>
      <c r="AZ316" s="31">
        <f>UPPER(SUBSTITUTE(TRIM(F316)," ",""))</f>
        <v/>
      </c>
      <c r="BA316" s="31">
        <f>UPPER(SUBSTITUTE(TRIM(E316)," ",""))</f>
        <v/>
      </c>
      <c r="BB316" s="31">
        <f>IF(D316&lt;&gt;"",D316,IFERROR(VLOOKUP(MID(AS316,4,1),Lists!$E$2:$F$8,2,FALSE),""))</f>
        <v/>
      </c>
      <c r="BC316" s="31">
        <f>IFERROR(VLOOKUP(BB316,Lists!$A$2:$C$12,3,FALSE),"")</f>
        <v/>
      </c>
      <c r="BD316" s="31">
        <f>COUNTIF(W316:AC316,"Yes")</f>
        <v/>
      </c>
      <c r="BE316" s="31">
        <f>IF(TRIM(B316)="","Legal name missing; ","")&amp;IF(AND(AV316&lt;&gt;"",AV316&lt;&gt;"OK"),"GSTIN: "&amp;AV316&amp;"; ","")&amp;IF(AND(AW316&lt;&gt;"",AW316&lt;&gt;"OK"),"PAN wrong format; ","")&amp;IF(AND(BA316&lt;&gt;"",LEN(AZ316)=15,MID(AZ316,3,10)&lt;&gt;BA316),"PAN does not match GSTIN; ","")&amp;IF(AND(AX316&lt;&gt;"",AX316&lt;&gt;"OK"),"TAN wrong format; ","")&amp;IF(AS316="","PAN missing; ","")&amp;IF(BB316="","Entity type missing; ","")&amp;IF(AND(AZ316&lt;&gt;"",COUNTIF($AZ$6:$AZ$1005,AZ316)&gt;1),"GSTIN repeated in this sheet; ","")&amp;IF(AND(AS316&lt;&gt;"",COUNTIF($AS$6:$AS$1005,AS316)&gt;1),"PAN repeated in this sheet (same client? put extra GSTINs in Other GSTINs); ","")&amp;IF(AND(BD316&gt;0,V316=""),"Financial year missing; ","")&amp;IF(AND(BD316=0,V316&lt;&gt;""),"Financial year given but no service is Yes; ","")&amp;IF(AND(W316="Yes",AZ316=""),"GST needs a GSTIN; ","")&amp;IF(AND(W316="Yes",X316=""),"GST return frequency missing; ","")&amp;IF(AND(Y316="Yes",TRIM(H316)=""),"TDS needs a TAN; ","")&amp;IF(AND(AA316="Yes",BC316&lt;&gt;"",BC316&lt;&gt;"company",BC316&lt;&gt;"llp"),"ROC is only for a company / LLP; ","")&amp;IF(AND(AA316="Yes",OR(BC316="company",BC316="llp"),TRIM(I316)=""),"ROC needs the CIN / LLPIN; ","")&amp;IF((TRIM(AF316)="")&lt;&gt;(TRIM(AG316)=""),"GST login needs both user ID and password; ","")&amp;IF((TRIM(AH316)="")&lt;&gt;(TRIM(AI316)=""),"Income-tax login needs both user ID and password; ","")&amp;IF((TRIM(AJ316)="")&lt;&gt;(TRIM(AK316)=""),"Income-tax login needs both user ID and password; ","")&amp;IF((TRIM(AL316)="")&lt;&gt;(TRIM(AM316)=""),"TRACES login needs both user ID and password; ","")&amp;IF((TRIM(AN316)="")&lt;&gt;(TRIM(AO316)=""),"MCA login needs both user ID and password; ","")&amp;IF((TRIM(AP316)="")&lt;&gt;(TRIM(AQ316)=""),"E-way bill login needs both user ID and password; ","")</f>
        <v/>
      </c>
    </row>
    <row r="317">
      <c r="A317" s="32" t="n"/>
      <c r="B317" s="33" t="n"/>
      <c r="C317" s="33" t="n"/>
      <c r="D317" s="33" t="n"/>
      <c r="E317" s="32" t="n"/>
      <c r="F317" s="32" t="n"/>
      <c r="G317" s="32" t="n"/>
      <c r="H317" s="32" t="n"/>
      <c r="I317" s="32" t="n"/>
      <c r="J317" s="34" t="n"/>
      <c r="K317" s="33" t="n"/>
      <c r="L317" s="32" t="n"/>
      <c r="M317" s="33" t="n"/>
      <c r="N317" s="33" t="n"/>
      <c r="O317" s="33" t="n"/>
      <c r="P317" s="32" t="n"/>
      <c r="Q317" s="33" t="n"/>
      <c r="R317" s="33" t="n"/>
      <c r="S317" s="33" t="n"/>
      <c r="T317" s="33" t="n"/>
      <c r="U317" s="32" t="n"/>
      <c r="V317" s="33" t="n"/>
      <c r="W317" s="33" t="n"/>
      <c r="X317" s="33" t="n"/>
      <c r="Y317" s="33" t="n"/>
      <c r="Z317" s="33" t="n"/>
      <c r="AA317" s="33" t="n"/>
      <c r="AB317" s="33" t="n"/>
      <c r="AC317" s="33" t="n"/>
      <c r="AD317" s="33" t="n"/>
      <c r="AE317" s="33" t="n"/>
      <c r="AF317" s="32" t="n"/>
      <c r="AG317" s="32" t="n"/>
      <c r="AH317" s="32" t="n"/>
      <c r="AI317" s="32" t="n"/>
      <c r="AJ317" s="32" t="n"/>
      <c r="AK317" s="32" t="n"/>
      <c r="AL317" s="32" t="n"/>
      <c r="AM317" s="32" t="n"/>
      <c r="AN317" s="32" t="n"/>
      <c r="AO317" s="32" t="n"/>
      <c r="AP317" s="32" t="n"/>
      <c r="AQ317" s="32" t="n"/>
      <c r="AR317" s="29">
        <f>IF(NOT(COUNTA(A317:AE317)&gt;0),"",IF(A317="","New client","Update"))</f>
        <v/>
      </c>
      <c r="AS317" s="29">
        <f>IF(BA317&lt;&gt;"",BA317,IF(LEN(AZ317)=15,MID(AZ317,3,10),""))</f>
        <v/>
      </c>
      <c r="AT317" s="29">
        <f>IF(BB317="","",BB317&amp;IF(D317="","  (guessed from PAN)",""))</f>
        <v/>
      </c>
      <c r="AU317" s="29">
        <f>IF(AZ317="","",IFERROR(INDEX(Lists!$L$2:$L$38,MATCH(LEFT(AZ317,2),Lists!$K$2:$K$38,0)),"Unknown code"))</f>
        <v/>
      </c>
      <c r="AV317" s="29">
        <f>IF(AZ317="","",IFERROR(IF(NOT(AND(LEN(AZ317)=15,ISNUMBER(MATCH(LEFT(AZ317,2),Lists!$K$2:$K$38,0)),SUMPRODUCT(--ISERROR(FIND(MID(MID(AZ317,3,10),{1,2,3,4,5,10},1),"ABCDEFGHIJKLMNOPQRSTUVWXYZ")))=0,SUMPRODUCT(--ISERROR(FIND(MID(MID(AZ317,3,10),{6,7,8,9},1),"0123456789")))=0,ISNUMBER(FIND(MID(AZ317,13,1),"123456789ABCDEFGHIJKLMNOPQRSTUVWXYZ")),MID(AZ317,14,1)="Z")),"Wrong format",IF(MID("0123456789ABCDEFGHIJKLMNOPQRSTUVWXYZ",MOD(36-MOD(SUMPRODUCT(INT((FIND(MID(AZ317,{1,2,3,4,5,6,7,8,9,10,11,12,13,14},1),"0123456789ABCDEFGHIJKLMNOPQRSTUVWXYZ")-1)*{1,2,1,2,1,2,1,2,1,2,1,2,1,2}/36)+MOD((FIND(MID(AZ317,{1,2,3,4,5,6,7,8,9,10,11,12,13,14},1),"0123456789ABCDEFGHIJKLMNOPQRSTUVWXYZ")-1)*{1,2,1,2,1,2,1,2,1,2,1,2,1,2},36)),36),36)+1,1)=MID(AZ317,15,1),"OK","Typo? check digit wrong")),"Wrong format"))</f>
        <v/>
      </c>
      <c r="AW317" s="29">
        <f>IF(BA317="","",IF(AND(LEN(BA317)=10,SUMPRODUCT(--ISERROR(FIND(MID(BA317,{1,2,3,4,5,10},1),"ABCDEFGHIJKLMNOPQRSTUVWXYZ")))=0,SUMPRODUCT(--ISERROR(FIND(MID(BA317,{6,7,8,9},1),"0123456789")))=0),"OK","Wrong format"))</f>
        <v/>
      </c>
      <c r="AX317" s="29">
        <f>IF(TRIM(H317)="","",IF(AND(LEN(UPPER(TRIM(H317)))=10,SUMPRODUCT(--ISERROR(FIND(MID(UPPER(TRIM(H317)),{1,2,3,4,10},1),"ABCDEFGHIJKLMNOPQRSTUVWXYZ")))=0,SUMPRODUCT(--ISERROR(FIND(MID(UPPER(TRIM(H317)),{5,6,7,8,9},1),"0123456789")))=0),"OK","Wrong format"))</f>
        <v/>
      </c>
      <c r="AY317" s="30">
        <f>IF(NOT(COUNTA(A317:AE317)&gt;0),"",IF(BE317&lt;&gt;"","✖ "&amp;LEFT(BE317,LEN(BE317)-2),IF(BD317&gt;0,"✔ Ready — client + "&amp;BD317&amp;" service(s)","✔ Ready — client only")))</f>
        <v/>
      </c>
      <c r="AZ317" s="31">
        <f>UPPER(SUBSTITUTE(TRIM(F317)," ",""))</f>
        <v/>
      </c>
      <c r="BA317" s="31">
        <f>UPPER(SUBSTITUTE(TRIM(E317)," ",""))</f>
        <v/>
      </c>
      <c r="BB317" s="31">
        <f>IF(D317&lt;&gt;"",D317,IFERROR(VLOOKUP(MID(AS317,4,1),Lists!$E$2:$F$8,2,FALSE),""))</f>
        <v/>
      </c>
      <c r="BC317" s="31">
        <f>IFERROR(VLOOKUP(BB317,Lists!$A$2:$C$12,3,FALSE),"")</f>
        <v/>
      </c>
      <c r="BD317" s="31">
        <f>COUNTIF(W317:AC317,"Yes")</f>
        <v/>
      </c>
      <c r="BE317" s="31">
        <f>IF(TRIM(B317)="","Legal name missing; ","")&amp;IF(AND(AV317&lt;&gt;"",AV317&lt;&gt;"OK"),"GSTIN: "&amp;AV317&amp;"; ","")&amp;IF(AND(AW317&lt;&gt;"",AW317&lt;&gt;"OK"),"PAN wrong format; ","")&amp;IF(AND(BA317&lt;&gt;"",LEN(AZ317)=15,MID(AZ317,3,10)&lt;&gt;BA317),"PAN does not match GSTIN; ","")&amp;IF(AND(AX317&lt;&gt;"",AX317&lt;&gt;"OK"),"TAN wrong format; ","")&amp;IF(AS317="","PAN missing; ","")&amp;IF(BB317="","Entity type missing; ","")&amp;IF(AND(AZ317&lt;&gt;"",COUNTIF($AZ$6:$AZ$1005,AZ317)&gt;1),"GSTIN repeated in this sheet; ","")&amp;IF(AND(AS317&lt;&gt;"",COUNTIF($AS$6:$AS$1005,AS317)&gt;1),"PAN repeated in this sheet (same client? put extra GSTINs in Other GSTINs); ","")&amp;IF(AND(BD317&gt;0,V317=""),"Financial year missing; ","")&amp;IF(AND(BD317=0,V317&lt;&gt;""),"Financial year given but no service is Yes; ","")&amp;IF(AND(W317="Yes",AZ317=""),"GST needs a GSTIN; ","")&amp;IF(AND(W317="Yes",X317=""),"GST return frequency missing; ","")&amp;IF(AND(Y317="Yes",TRIM(H317)=""),"TDS needs a TAN; ","")&amp;IF(AND(AA317="Yes",BC317&lt;&gt;"",BC317&lt;&gt;"company",BC317&lt;&gt;"llp"),"ROC is only for a company / LLP; ","")&amp;IF(AND(AA317="Yes",OR(BC317="company",BC317="llp"),TRIM(I317)=""),"ROC needs the CIN / LLPIN; ","")&amp;IF((TRIM(AF317)="")&lt;&gt;(TRIM(AG317)=""),"GST login needs both user ID and password; ","")&amp;IF((TRIM(AH317)="")&lt;&gt;(TRIM(AI317)=""),"Income-tax login needs both user ID and password; ","")&amp;IF((TRIM(AJ317)="")&lt;&gt;(TRIM(AK317)=""),"Income-tax login needs both user ID and password; ","")&amp;IF((TRIM(AL317)="")&lt;&gt;(TRIM(AM317)=""),"TRACES login needs both user ID and password; ","")&amp;IF((TRIM(AN317)="")&lt;&gt;(TRIM(AO317)=""),"MCA login needs both user ID and password; ","")&amp;IF((TRIM(AP317)="")&lt;&gt;(TRIM(AQ317)=""),"E-way bill login needs both user ID and password; ","")</f>
        <v/>
      </c>
    </row>
    <row r="318">
      <c r="A318" s="32" t="n"/>
      <c r="B318" s="33" t="n"/>
      <c r="C318" s="33" t="n"/>
      <c r="D318" s="33" t="n"/>
      <c r="E318" s="32" t="n"/>
      <c r="F318" s="32" t="n"/>
      <c r="G318" s="32" t="n"/>
      <c r="H318" s="32" t="n"/>
      <c r="I318" s="32" t="n"/>
      <c r="J318" s="34" t="n"/>
      <c r="K318" s="33" t="n"/>
      <c r="L318" s="32" t="n"/>
      <c r="M318" s="33" t="n"/>
      <c r="N318" s="33" t="n"/>
      <c r="O318" s="33" t="n"/>
      <c r="P318" s="32" t="n"/>
      <c r="Q318" s="33" t="n"/>
      <c r="R318" s="33" t="n"/>
      <c r="S318" s="33" t="n"/>
      <c r="T318" s="33" t="n"/>
      <c r="U318" s="32" t="n"/>
      <c r="V318" s="33" t="n"/>
      <c r="W318" s="33" t="n"/>
      <c r="X318" s="33" t="n"/>
      <c r="Y318" s="33" t="n"/>
      <c r="Z318" s="33" t="n"/>
      <c r="AA318" s="33" t="n"/>
      <c r="AB318" s="33" t="n"/>
      <c r="AC318" s="33" t="n"/>
      <c r="AD318" s="33" t="n"/>
      <c r="AE318" s="33" t="n"/>
      <c r="AF318" s="32" t="n"/>
      <c r="AG318" s="32" t="n"/>
      <c r="AH318" s="32" t="n"/>
      <c r="AI318" s="32" t="n"/>
      <c r="AJ318" s="32" t="n"/>
      <c r="AK318" s="32" t="n"/>
      <c r="AL318" s="32" t="n"/>
      <c r="AM318" s="32" t="n"/>
      <c r="AN318" s="32" t="n"/>
      <c r="AO318" s="32" t="n"/>
      <c r="AP318" s="32" t="n"/>
      <c r="AQ318" s="32" t="n"/>
      <c r="AR318" s="29">
        <f>IF(NOT(COUNTA(A318:AE318)&gt;0),"",IF(A318="","New client","Update"))</f>
        <v/>
      </c>
      <c r="AS318" s="29">
        <f>IF(BA318&lt;&gt;"",BA318,IF(LEN(AZ318)=15,MID(AZ318,3,10),""))</f>
        <v/>
      </c>
      <c r="AT318" s="29">
        <f>IF(BB318="","",BB318&amp;IF(D318="","  (guessed from PAN)",""))</f>
        <v/>
      </c>
      <c r="AU318" s="29">
        <f>IF(AZ318="","",IFERROR(INDEX(Lists!$L$2:$L$38,MATCH(LEFT(AZ318,2),Lists!$K$2:$K$38,0)),"Unknown code"))</f>
        <v/>
      </c>
      <c r="AV318" s="29">
        <f>IF(AZ318="","",IFERROR(IF(NOT(AND(LEN(AZ318)=15,ISNUMBER(MATCH(LEFT(AZ318,2),Lists!$K$2:$K$38,0)),SUMPRODUCT(--ISERROR(FIND(MID(MID(AZ318,3,10),{1,2,3,4,5,10},1),"ABCDEFGHIJKLMNOPQRSTUVWXYZ")))=0,SUMPRODUCT(--ISERROR(FIND(MID(MID(AZ318,3,10),{6,7,8,9},1),"0123456789")))=0,ISNUMBER(FIND(MID(AZ318,13,1),"123456789ABCDEFGHIJKLMNOPQRSTUVWXYZ")),MID(AZ318,14,1)="Z")),"Wrong format",IF(MID("0123456789ABCDEFGHIJKLMNOPQRSTUVWXYZ",MOD(36-MOD(SUMPRODUCT(INT((FIND(MID(AZ318,{1,2,3,4,5,6,7,8,9,10,11,12,13,14},1),"0123456789ABCDEFGHIJKLMNOPQRSTUVWXYZ")-1)*{1,2,1,2,1,2,1,2,1,2,1,2,1,2}/36)+MOD((FIND(MID(AZ318,{1,2,3,4,5,6,7,8,9,10,11,12,13,14},1),"0123456789ABCDEFGHIJKLMNOPQRSTUVWXYZ")-1)*{1,2,1,2,1,2,1,2,1,2,1,2,1,2},36)),36),36)+1,1)=MID(AZ318,15,1),"OK","Typo? check digit wrong")),"Wrong format"))</f>
        <v/>
      </c>
      <c r="AW318" s="29">
        <f>IF(BA318="","",IF(AND(LEN(BA318)=10,SUMPRODUCT(--ISERROR(FIND(MID(BA318,{1,2,3,4,5,10},1),"ABCDEFGHIJKLMNOPQRSTUVWXYZ")))=0,SUMPRODUCT(--ISERROR(FIND(MID(BA318,{6,7,8,9},1),"0123456789")))=0),"OK","Wrong format"))</f>
        <v/>
      </c>
      <c r="AX318" s="29">
        <f>IF(TRIM(H318)="","",IF(AND(LEN(UPPER(TRIM(H318)))=10,SUMPRODUCT(--ISERROR(FIND(MID(UPPER(TRIM(H318)),{1,2,3,4,10},1),"ABCDEFGHIJKLMNOPQRSTUVWXYZ")))=0,SUMPRODUCT(--ISERROR(FIND(MID(UPPER(TRIM(H318)),{5,6,7,8,9},1),"0123456789")))=0),"OK","Wrong format"))</f>
        <v/>
      </c>
      <c r="AY318" s="30">
        <f>IF(NOT(COUNTA(A318:AE318)&gt;0),"",IF(BE318&lt;&gt;"","✖ "&amp;LEFT(BE318,LEN(BE318)-2),IF(BD318&gt;0,"✔ Ready — client + "&amp;BD318&amp;" service(s)","✔ Ready — client only")))</f>
        <v/>
      </c>
      <c r="AZ318" s="31">
        <f>UPPER(SUBSTITUTE(TRIM(F318)," ",""))</f>
        <v/>
      </c>
      <c r="BA318" s="31">
        <f>UPPER(SUBSTITUTE(TRIM(E318)," ",""))</f>
        <v/>
      </c>
      <c r="BB318" s="31">
        <f>IF(D318&lt;&gt;"",D318,IFERROR(VLOOKUP(MID(AS318,4,1),Lists!$E$2:$F$8,2,FALSE),""))</f>
        <v/>
      </c>
      <c r="BC318" s="31">
        <f>IFERROR(VLOOKUP(BB318,Lists!$A$2:$C$12,3,FALSE),"")</f>
        <v/>
      </c>
      <c r="BD318" s="31">
        <f>COUNTIF(W318:AC318,"Yes")</f>
        <v/>
      </c>
      <c r="BE318" s="31">
        <f>IF(TRIM(B318)="","Legal name missing; ","")&amp;IF(AND(AV318&lt;&gt;"",AV318&lt;&gt;"OK"),"GSTIN: "&amp;AV318&amp;"; ","")&amp;IF(AND(AW318&lt;&gt;"",AW318&lt;&gt;"OK"),"PAN wrong format; ","")&amp;IF(AND(BA318&lt;&gt;"",LEN(AZ318)=15,MID(AZ318,3,10)&lt;&gt;BA318),"PAN does not match GSTIN; ","")&amp;IF(AND(AX318&lt;&gt;"",AX318&lt;&gt;"OK"),"TAN wrong format; ","")&amp;IF(AS318="","PAN missing; ","")&amp;IF(BB318="","Entity type missing; ","")&amp;IF(AND(AZ318&lt;&gt;"",COUNTIF($AZ$6:$AZ$1005,AZ318)&gt;1),"GSTIN repeated in this sheet; ","")&amp;IF(AND(AS318&lt;&gt;"",COUNTIF($AS$6:$AS$1005,AS318)&gt;1),"PAN repeated in this sheet (same client? put extra GSTINs in Other GSTINs); ","")&amp;IF(AND(BD318&gt;0,V318=""),"Financial year missing; ","")&amp;IF(AND(BD318=0,V318&lt;&gt;""),"Financial year given but no service is Yes; ","")&amp;IF(AND(W318="Yes",AZ318=""),"GST needs a GSTIN; ","")&amp;IF(AND(W318="Yes",X318=""),"GST return frequency missing; ","")&amp;IF(AND(Y318="Yes",TRIM(H318)=""),"TDS needs a TAN; ","")&amp;IF(AND(AA318="Yes",BC318&lt;&gt;"",BC318&lt;&gt;"company",BC318&lt;&gt;"llp"),"ROC is only for a company / LLP; ","")&amp;IF(AND(AA318="Yes",OR(BC318="company",BC318="llp"),TRIM(I318)=""),"ROC needs the CIN / LLPIN; ","")&amp;IF((TRIM(AF318)="")&lt;&gt;(TRIM(AG318)=""),"GST login needs both user ID and password; ","")&amp;IF((TRIM(AH318)="")&lt;&gt;(TRIM(AI318)=""),"Income-tax login needs both user ID and password; ","")&amp;IF((TRIM(AJ318)="")&lt;&gt;(TRIM(AK318)=""),"Income-tax login needs both user ID and password; ","")&amp;IF((TRIM(AL318)="")&lt;&gt;(TRIM(AM318)=""),"TRACES login needs both user ID and password; ","")&amp;IF((TRIM(AN318)="")&lt;&gt;(TRIM(AO318)=""),"MCA login needs both user ID and password; ","")&amp;IF((TRIM(AP318)="")&lt;&gt;(TRIM(AQ318)=""),"E-way bill login needs both user ID and password; ","")</f>
        <v/>
      </c>
    </row>
    <row r="319">
      <c r="A319" s="32" t="n"/>
      <c r="B319" s="33" t="n"/>
      <c r="C319" s="33" t="n"/>
      <c r="D319" s="33" t="n"/>
      <c r="E319" s="32" t="n"/>
      <c r="F319" s="32" t="n"/>
      <c r="G319" s="32" t="n"/>
      <c r="H319" s="32" t="n"/>
      <c r="I319" s="32" t="n"/>
      <c r="J319" s="34" t="n"/>
      <c r="K319" s="33" t="n"/>
      <c r="L319" s="32" t="n"/>
      <c r="M319" s="33" t="n"/>
      <c r="N319" s="33" t="n"/>
      <c r="O319" s="33" t="n"/>
      <c r="P319" s="32" t="n"/>
      <c r="Q319" s="33" t="n"/>
      <c r="R319" s="33" t="n"/>
      <c r="S319" s="33" t="n"/>
      <c r="T319" s="33" t="n"/>
      <c r="U319" s="32" t="n"/>
      <c r="V319" s="33" t="n"/>
      <c r="W319" s="33" t="n"/>
      <c r="X319" s="33" t="n"/>
      <c r="Y319" s="33" t="n"/>
      <c r="Z319" s="33" t="n"/>
      <c r="AA319" s="33" t="n"/>
      <c r="AB319" s="33" t="n"/>
      <c r="AC319" s="33" t="n"/>
      <c r="AD319" s="33" t="n"/>
      <c r="AE319" s="33" t="n"/>
      <c r="AF319" s="32" t="n"/>
      <c r="AG319" s="32" t="n"/>
      <c r="AH319" s="32" t="n"/>
      <c r="AI319" s="32" t="n"/>
      <c r="AJ319" s="32" t="n"/>
      <c r="AK319" s="32" t="n"/>
      <c r="AL319" s="32" t="n"/>
      <c r="AM319" s="32" t="n"/>
      <c r="AN319" s="32" t="n"/>
      <c r="AO319" s="32" t="n"/>
      <c r="AP319" s="32" t="n"/>
      <c r="AQ319" s="32" t="n"/>
      <c r="AR319" s="29">
        <f>IF(NOT(COUNTA(A319:AE319)&gt;0),"",IF(A319="","New client","Update"))</f>
        <v/>
      </c>
      <c r="AS319" s="29">
        <f>IF(BA319&lt;&gt;"",BA319,IF(LEN(AZ319)=15,MID(AZ319,3,10),""))</f>
        <v/>
      </c>
      <c r="AT319" s="29">
        <f>IF(BB319="","",BB319&amp;IF(D319="","  (guessed from PAN)",""))</f>
        <v/>
      </c>
      <c r="AU319" s="29">
        <f>IF(AZ319="","",IFERROR(INDEX(Lists!$L$2:$L$38,MATCH(LEFT(AZ319,2),Lists!$K$2:$K$38,0)),"Unknown code"))</f>
        <v/>
      </c>
      <c r="AV319" s="29">
        <f>IF(AZ319="","",IFERROR(IF(NOT(AND(LEN(AZ319)=15,ISNUMBER(MATCH(LEFT(AZ319,2),Lists!$K$2:$K$38,0)),SUMPRODUCT(--ISERROR(FIND(MID(MID(AZ319,3,10),{1,2,3,4,5,10},1),"ABCDEFGHIJKLMNOPQRSTUVWXYZ")))=0,SUMPRODUCT(--ISERROR(FIND(MID(MID(AZ319,3,10),{6,7,8,9},1),"0123456789")))=0,ISNUMBER(FIND(MID(AZ319,13,1),"123456789ABCDEFGHIJKLMNOPQRSTUVWXYZ")),MID(AZ319,14,1)="Z")),"Wrong format",IF(MID("0123456789ABCDEFGHIJKLMNOPQRSTUVWXYZ",MOD(36-MOD(SUMPRODUCT(INT((FIND(MID(AZ319,{1,2,3,4,5,6,7,8,9,10,11,12,13,14},1),"0123456789ABCDEFGHIJKLMNOPQRSTUVWXYZ")-1)*{1,2,1,2,1,2,1,2,1,2,1,2,1,2}/36)+MOD((FIND(MID(AZ319,{1,2,3,4,5,6,7,8,9,10,11,12,13,14},1),"0123456789ABCDEFGHIJKLMNOPQRSTUVWXYZ")-1)*{1,2,1,2,1,2,1,2,1,2,1,2,1,2},36)),36),36)+1,1)=MID(AZ319,15,1),"OK","Typo? check digit wrong")),"Wrong format"))</f>
        <v/>
      </c>
      <c r="AW319" s="29">
        <f>IF(BA319="","",IF(AND(LEN(BA319)=10,SUMPRODUCT(--ISERROR(FIND(MID(BA319,{1,2,3,4,5,10},1),"ABCDEFGHIJKLMNOPQRSTUVWXYZ")))=0,SUMPRODUCT(--ISERROR(FIND(MID(BA319,{6,7,8,9},1),"0123456789")))=0),"OK","Wrong format"))</f>
        <v/>
      </c>
      <c r="AX319" s="29">
        <f>IF(TRIM(H319)="","",IF(AND(LEN(UPPER(TRIM(H319)))=10,SUMPRODUCT(--ISERROR(FIND(MID(UPPER(TRIM(H319)),{1,2,3,4,10},1),"ABCDEFGHIJKLMNOPQRSTUVWXYZ")))=0,SUMPRODUCT(--ISERROR(FIND(MID(UPPER(TRIM(H319)),{5,6,7,8,9},1),"0123456789")))=0),"OK","Wrong format"))</f>
        <v/>
      </c>
      <c r="AY319" s="30">
        <f>IF(NOT(COUNTA(A319:AE319)&gt;0),"",IF(BE319&lt;&gt;"","✖ "&amp;LEFT(BE319,LEN(BE319)-2),IF(BD319&gt;0,"✔ Ready — client + "&amp;BD319&amp;" service(s)","✔ Ready — client only")))</f>
        <v/>
      </c>
      <c r="AZ319" s="31">
        <f>UPPER(SUBSTITUTE(TRIM(F319)," ",""))</f>
        <v/>
      </c>
      <c r="BA319" s="31">
        <f>UPPER(SUBSTITUTE(TRIM(E319)," ",""))</f>
        <v/>
      </c>
      <c r="BB319" s="31">
        <f>IF(D319&lt;&gt;"",D319,IFERROR(VLOOKUP(MID(AS319,4,1),Lists!$E$2:$F$8,2,FALSE),""))</f>
        <v/>
      </c>
      <c r="BC319" s="31">
        <f>IFERROR(VLOOKUP(BB319,Lists!$A$2:$C$12,3,FALSE),"")</f>
        <v/>
      </c>
      <c r="BD319" s="31">
        <f>COUNTIF(W319:AC319,"Yes")</f>
        <v/>
      </c>
      <c r="BE319" s="31">
        <f>IF(TRIM(B319)="","Legal name missing; ","")&amp;IF(AND(AV319&lt;&gt;"",AV319&lt;&gt;"OK"),"GSTIN: "&amp;AV319&amp;"; ","")&amp;IF(AND(AW319&lt;&gt;"",AW319&lt;&gt;"OK"),"PAN wrong format; ","")&amp;IF(AND(BA319&lt;&gt;"",LEN(AZ319)=15,MID(AZ319,3,10)&lt;&gt;BA319),"PAN does not match GSTIN; ","")&amp;IF(AND(AX319&lt;&gt;"",AX319&lt;&gt;"OK"),"TAN wrong format; ","")&amp;IF(AS319="","PAN missing; ","")&amp;IF(BB319="","Entity type missing; ","")&amp;IF(AND(AZ319&lt;&gt;"",COUNTIF($AZ$6:$AZ$1005,AZ319)&gt;1),"GSTIN repeated in this sheet; ","")&amp;IF(AND(AS319&lt;&gt;"",COUNTIF($AS$6:$AS$1005,AS319)&gt;1),"PAN repeated in this sheet (same client? put extra GSTINs in Other GSTINs); ","")&amp;IF(AND(BD319&gt;0,V319=""),"Financial year missing; ","")&amp;IF(AND(BD319=0,V319&lt;&gt;""),"Financial year given but no service is Yes; ","")&amp;IF(AND(W319="Yes",AZ319=""),"GST needs a GSTIN; ","")&amp;IF(AND(W319="Yes",X319=""),"GST return frequency missing; ","")&amp;IF(AND(Y319="Yes",TRIM(H319)=""),"TDS needs a TAN; ","")&amp;IF(AND(AA319="Yes",BC319&lt;&gt;"",BC319&lt;&gt;"company",BC319&lt;&gt;"llp"),"ROC is only for a company / LLP; ","")&amp;IF(AND(AA319="Yes",OR(BC319="company",BC319="llp"),TRIM(I319)=""),"ROC needs the CIN / LLPIN; ","")&amp;IF((TRIM(AF319)="")&lt;&gt;(TRIM(AG319)=""),"GST login needs both user ID and password; ","")&amp;IF((TRIM(AH319)="")&lt;&gt;(TRIM(AI319)=""),"Income-tax login needs both user ID and password; ","")&amp;IF((TRIM(AJ319)="")&lt;&gt;(TRIM(AK319)=""),"Income-tax login needs both user ID and password; ","")&amp;IF((TRIM(AL319)="")&lt;&gt;(TRIM(AM319)=""),"TRACES login needs both user ID and password; ","")&amp;IF((TRIM(AN319)="")&lt;&gt;(TRIM(AO319)=""),"MCA login needs both user ID and password; ","")&amp;IF((TRIM(AP319)="")&lt;&gt;(TRIM(AQ319)=""),"E-way bill login needs both user ID and password; ","")</f>
        <v/>
      </c>
    </row>
    <row r="320">
      <c r="A320" s="32" t="n"/>
      <c r="B320" s="33" t="n"/>
      <c r="C320" s="33" t="n"/>
      <c r="D320" s="33" t="n"/>
      <c r="E320" s="32" t="n"/>
      <c r="F320" s="32" t="n"/>
      <c r="G320" s="32" t="n"/>
      <c r="H320" s="32" t="n"/>
      <c r="I320" s="32" t="n"/>
      <c r="J320" s="34" t="n"/>
      <c r="K320" s="33" t="n"/>
      <c r="L320" s="32" t="n"/>
      <c r="M320" s="33" t="n"/>
      <c r="N320" s="33" t="n"/>
      <c r="O320" s="33" t="n"/>
      <c r="P320" s="32" t="n"/>
      <c r="Q320" s="33" t="n"/>
      <c r="R320" s="33" t="n"/>
      <c r="S320" s="33" t="n"/>
      <c r="T320" s="33" t="n"/>
      <c r="U320" s="32" t="n"/>
      <c r="V320" s="33" t="n"/>
      <c r="W320" s="33" t="n"/>
      <c r="X320" s="33" t="n"/>
      <c r="Y320" s="33" t="n"/>
      <c r="Z320" s="33" t="n"/>
      <c r="AA320" s="33" t="n"/>
      <c r="AB320" s="33" t="n"/>
      <c r="AC320" s="33" t="n"/>
      <c r="AD320" s="33" t="n"/>
      <c r="AE320" s="33" t="n"/>
      <c r="AF320" s="32" t="n"/>
      <c r="AG320" s="32" t="n"/>
      <c r="AH320" s="32" t="n"/>
      <c r="AI320" s="32" t="n"/>
      <c r="AJ320" s="32" t="n"/>
      <c r="AK320" s="32" t="n"/>
      <c r="AL320" s="32" t="n"/>
      <c r="AM320" s="32" t="n"/>
      <c r="AN320" s="32" t="n"/>
      <c r="AO320" s="32" t="n"/>
      <c r="AP320" s="32" t="n"/>
      <c r="AQ320" s="32" t="n"/>
      <c r="AR320" s="29">
        <f>IF(NOT(COUNTA(A320:AE320)&gt;0),"",IF(A320="","New client","Update"))</f>
        <v/>
      </c>
      <c r="AS320" s="29">
        <f>IF(BA320&lt;&gt;"",BA320,IF(LEN(AZ320)=15,MID(AZ320,3,10),""))</f>
        <v/>
      </c>
      <c r="AT320" s="29">
        <f>IF(BB320="","",BB320&amp;IF(D320="","  (guessed from PAN)",""))</f>
        <v/>
      </c>
      <c r="AU320" s="29">
        <f>IF(AZ320="","",IFERROR(INDEX(Lists!$L$2:$L$38,MATCH(LEFT(AZ320,2),Lists!$K$2:$K$38,0)),"Unknown code"))</f>
        <v/>
      </c>
      <c r="AV320" s="29">
        <f>IF(AZ320="","",IFERROR(IF(NOT(AND(LEN(AZ320)=15,ISNUMBER(MATCH(LEFT(AZ320,2),Lists!$K$2:$K$38,0)),SUMPRODUCT(--ISERROR(FIND(MID(MID(AZ320,3,10),{1,2,3,4,5,10},1),"ABCDEFGHIJKLMNOPQRSTUVWXYZ")))=0,SUMPRODUCT(--ISERROR(FIND(MID(MID(AZ320,3,10),{6,7,8,9},1),"0123456789")))=0,ISNUMBER(FIND(MID(AZ320,13,1),"123456789ABCDEFGHIJKLMNOPQRSTUVWXYZ")),MID(AZ320,14,1)="Z")),"Wrong format",IF(MID("0123456789ABCDEFGHIJKLMNOPQRSTUVWXYZ",MOD(36-MOD(SUMPRODUCT(INT((FIND(MID(AZ320,{1,2,3,4,5,6,7,8,9,10,11,12,13,14},1),"0123456789ABCDEFGHIJKLMNOPQRSTUVWXYZ")-1)*{1,2,1,2,1,2,1,2,1,2,1,2,1,2}/36)+MOD((FIND(MID(AZ320,{1,2,3,4,5,6,7,8,9,10,11,12,13,14},1),"0123456789ABCDEFGHIJKLMNOPQRSTUVWXYZ")-1)*{1,2,1,2,1,2,1,2,1,2,1,2,1,2},36)),36),36)+1,1)=MID(AZ320,15,1),"OK","Typo? check digit wrong")),"Wrong format"))</f>
        <v/>
      </c>
      <c r="AW320" s="29">
        <f>IF(BA320="","",IF(AND(LEN(BA320)=10,SUMPRODUCT(--ISERROR(FIND(MID(BA320,{1,2,3,4,5,10},1),"ABCDEFGHIJKLMNOPQRSTUVWXYZ")))=0,SUMPRODUCT(--ISERROR(FIND(MID(BA320,{6,7,8,9},1),"0123456789")))=0),"OK","Wrong format"))</f>
        <v/>
      </c>
      <c r="AX320" s="29">
        <f>IF(TRIM(H320)="","",IF(AND(LEN(UPPER(TRIM(H320)))=10,SUMPRODUCT(--ISERROR(FIND(MID(UPPER(TRIM(H320)),{1,2,3,4,10},1),"ABCDEFGHIJKLMNOPQRSTUVWXYZ")))=0,SUMPRODUCT(--ISERROR(FIND(MID(UPPER(TRIM(H320)),{5,6,7,8,9},1),"0123456789")))=0),"OK","Wrong format"))</f>
        <v/>
      </c>
      <c r="AY320" s="30">
        <f>IF(NOT(COUNTA(A320:AE320)&gt;0),"",IF(BE320&lt;&gt;"","✖ "&amp;LEFT(BE320,LEN(BE320)-2),IF(BD320&gt;0,"✔ Ready — client + "&amp;BD320&amp;" service(s)","✔ Ready — client only")))</f>
        <v/>
      </c>
      <c r="AZ320" s="31">
        <f>UPPER(SUBSTITUTE(TRIM(F320)," ",""))</f>
        <v/>
      </c>
      <c r="BA320" s="31">
        <f>UPPER(SUBSTITUTE(TRIM(E320)," ",""))</f>
        <v/>
      </c>
      <c r="BB320" s="31">
        <f>IF(D320&lt;&gt;"",D320,IFERROR(VLOOKUP(MID(AS320,4,1),Lists!$E$2:$F$8,2,FALSE),""))</f>
        <v/>
      </c>
      <c r="BC320" s="31">
        <f>IFERROR(VLOOKUP(BB320,Lists!$A$2:$C$12,3,FALSE),"")</f>
        <v/>
      </c>
      <c r="BD320" s="31">
        <f>COUNTIF(W320:AC320,"Yes")</f>
        <v/>
      </c>
      <c r="BE320" s="31">
        <f>IF(TRIM(B320)="","Legal name missing; ","")&amp;IF(AND(AV320&lt;&gt;"",AV320&lt;&gt;"OK"),"GSTIN: "&amp;AV320&amp;"; ","")&amp;IF(AND(AW320&lt;&gt;"",AW320&lt;&gt;"OK"),"PAN wrong format; ","")&amp;IF(AND(BA320&lt;&gt;"",LEN(AZ320)=15,MID(AZ320,3,10)&lt;&gt;BA320),"PAN does not match GSTIN; ","")&amp;IF(AND(AX320&lt;&gt;"",AX320&lt;&gt;"OK"),"TAN wrong format; ","")&amp;IF(AS320="","PAN missing; ","")&amp;IF(BB320="","Entity type missing; ","")&amp;IF(AND(AZ320&lt;&gt;"",COUNTIF($AZ$6:$AZ$1005,AZ320)&gt;1),"GSTIN repeated in this sheet; ","")&amp;IF(AND(AS320&lt;&gt;"",COUNTIF($AS$6:$AS$1005,AS320)&gt;1),"PAN repeated in this sheet (same client? put extra GSTINs in Other GSTINs); ","")&amp;IF(AND(BD320&gt;0,V320=""),"Financial year missing; ","")&amp;IF(AND(BD320=0,V320&lt;&gt;""),"Financial year given but no service is Yes; ","")&amp;IF(AND(W320="Yes",AZ320=""),"GST needs a GSTIN; ","")&amp;IF(AND(W320="Yes",X320=""),"GST return frequency missing; ","")&amp;IF(AND(Y320="Yes",TRIM(H320)=""),"TDS needs a TAN; ","")&amp;IF(AND(AA320="Yes",BC320&lt;&gt;"",BC320&lt;&gt;"company",BC320&lt;&gt;"llp"),"ROC is only for a company / LLP; ","")&amp;IF(AND(AA320="Yes",OR(BC320="company",BC320="llp"),TRIM(I320)=""),"ROC needs the CIN / LLPIN; ","")&amp;IF((TRIM(AF320)="")&lt;&gt;(TRIM(AG320)=""),"GST login needs both user ID and password; ","")&amp;IF((TRIM(AH320)="")&lt;&gt;(TRIM(AI320)=""),"Income-tax login needs both user ID and password; ","")&amp;IF((TRIM(AJ320)="")&lt;&gt;(TRIM(AK320)=""),"Income-tax login needs both user ID and password; ","")&amp;IF((TRIM(AL320)="")&lt;&gt;(TRIM(AM320)=""),"TRACES login needs both user ID and password; ","")&amp;IF((TRIM(AN320)="")&lt;&gt;(TRIM(AO320)=""),"MCA login needs both user ID and password; ","")&amp;IF((TRIM(AP320)="")&lt;&gt;(TRIM(AQ320)=""),"E-way bill login needs both user ID and password; ","")</f>
        <v/>
      </c>
    </row>
    <row r="321">
      <c r="A321" s="32" t="n"/>
      <c r="B321" s="33" t="n"/>
      <c r="C321" s="33" t="n"/>
      <c r="D321" s="33" t="n"/>
      <c r="E321" s="32" t="n"/>
      <c r="F321" s="32" t="n"/>
      <c r="G321" s="32" t="n"/>
      <c r="H321" s="32" t="n"/>
      <c r="I321" s="32" t="n"/>
      <c r="J321" s="34" t="n"/>
      <c r="K321" s="33" t="n"/>
      <c r="L321" s="32" t="n"/>
      <c r="M321" s="33" t="n"/>
      <c r="N321" s="33" t="n"/>
      <c r="O321" s="33" t="n"/>
      <c r="P321" s="32" t="n"/>
      <c r="Q321" s="33" t="n"/>
      <c r="R321" s="33" t="n"/>
      <c r="S321" s="33" t="n"/>
      <c r="T321" s="33" t="n"/>
      <c r="U321" s="32" t="n"/>
      <c r="V321" s="33" t="n"/>
      <c r="W321" s="33" t="n"/>
      <c r="X321" s="33" t="n"/>
      <c r="Y321" s="33" t="n"/>
      <c r="Z321" s="33" t="n"/>
      <c r="AA321" s="33" t="n"/>
      <c r="AB321" s="33" t="n"/>
      <c r="AC321" s="33" t="n"/>
      <c r="AD321" s="33" t="n"/>
      <c r="AE321" s="33" t="n"/>
      <c r="AF321" s="32" t="n"/>
      <c r="AG321" s="32" t="n"/>
      <c r="AH321" s="32" t="n"/>
      <c r="AI321" s="32" t="n"/>
      <c r="AJ321" s="32" t="n"/>
      <c r="AK321" s="32" t="n"/>
      <c r="AL321" s="32" t="n"/>
      <c r="AM321" s="32" t="n"/>
      <c r="AN321" s="32" t="n"/>
      <c r="AO321" s="32" t="n"/>
      <c r="AP321" s="32" t="n"/>
      <c r="AQ321" s="32" t="n"/>
      <c r="AR321" s="29">
        <f>IF(NOT(COUNTA(A321:AE321)&gt;0),"",IF(A321="","New client","Update"))</f>
        <v/>
      </c>
      <c r="AS321" s="29">
        <f>IF(BA321&lt;&gt;"",BA321,IF(LEN(AZ321)=15,MID(AZ321,3,10),""))</f>
        <v/>
      </c>
      <c r="AT321" s="29">
        <f>IF(BB321="","",BB321&amp;IF(D321="","  (guessed from PAN)",""))</f>
        <v/>
      </c>
      <c r="AU321" s="29">
        <f>IF(AZ321="","",IFERROR(INDEX(Lists!$L$2:$L$38,MATCH(LEFT(AZ321,2),Lists!$K$2:$K$38,0)),"Unknown code"))</f>
        <v/>
      </c>
      <c r="AV321" s="29">
        <f>IF(AZ321="","",IFERROR(IF(NOT(AND(LEN(AZ321)=15,ISNUMBER(MATCH(LEFT(AZ321,2),Lists!$K$2:$K$38,0)),SUMPRODUCT(--ISERROR(FIND(MID(MID(AZ321,3,10),{1,2,3,4,5,10},1),"ABCDEFGHIJKLMNOPQRSTUVWXYZ")))=0,SUMPRODUCT(--ISERROR(FIND(MID(MID(AZ321,3,10),{6,7,8,9},1),"0123456789")))=0,ISNUMBER(FIND(MID(AZ321,13,1),"123456789ABCDEFGHIJKLMNOPQRSTUVWXYZ")),MID(AZ321,14,1)="Z")),"Wrong format",IF(MID("0123456789ABCDEFGHIJKLMNOPQRSTUVWXYZ",MOD(36-MOD(SUMPRODUCT(INT((FIND(MID(AZ321,{1,2,3,4,5,6,7,8,9,10,11,12,13,14},1),"0123456789ABCDEFGHIJKLMNOPQRSTUVWXYZ")-1)*{1,2,1,2,1,2,1,2,1,2,1,2,1,2}/36)+MOD((FIND(MID(AZ321,{1,2,3,4,5,6,7,8,9,10,11,12,13,14},1),"0123456789ABCDEFGHIJKLMNOPQRSTUVWXYZ")-1)*{1,2,1,2,1,2,1,2,1,2,1,2,1,2},36)),36),36)+1,1)=MID(AZ321,15,1),"OK","Typo? check digit wrong")),"Wrong format"))</f>
        <v/>
      </c>
      <c r="AW321" s="29">
        <f>IF(BA321="","",IF(AND(LEN(BA321)=10,SUMPRODUCT(--ISERROR(FIND(MID(BA321,{1,2,3,4,5,10},1),"ABCDEFGHIJKLMNOPQRSTUVWXYZ")))=0,SUMPRODUCT(--ISERROR(FIND(MID(BA321,{6,7,8,9},1),"0123456789")))=0),"OK","Wrong format"))</f>
        <v/>
      </c>
      <c r="AX321" s="29">
        <f>IF(TRIM(H321)="","",IF(AND(LEN(UPPER(TRIM(H321)))=10,SUMPRODUCT(--ISERROR(FIND(MID(UPPER(TRIM(H321)),{1,2,3,4,10},1),"ABCDEFGHIJKLMNOPQRSTUVWXYZ")))=0,SUMPRODUCT(--ISERROR(FIND(MID(UPPER(TRIM(H321)),{5,6,7,8,9},1),"0123456789")))=0),"OK","Wrong format"))</f>
        <v/>
      </c>
      <c r="AY321" s="30">
        <f>IF(NOT(COUNTA(A321:AE321)&gt;0),"",IF(BE321&lt;&gt;"","✖ "&amp;LEFT(BE321,LEN(BE321)-2),IF(BD321&gt;0,"✔ Ready — client + "&amp;BD321&amp;" service(s)","✔ Ready — client only")))</f>
        <v/>
      </c>
      <c r="AZ321" s="31">
        <f>UPPER(SUBSTITUTE(TRIM(F321)," ",""))</f>
        <v/>
      </c>
      <c r="BA321" s="31">
        <f>UPPER(SUBSTITUTE(TRIM(E321)," ",""))</f>
        <v/>
      </c>
      <c r="BB321" s="31">
        <f>IF(D321&lt;&gt;"",D321,IFERROR(VLOOKUP(MID(AS321,4,1),Lists!$E$2:$F$8,2,FALSE),""))</f>
        <v/>
      </c>
      <c r="BC321" s="31">
        <f>IFERROR(VLOOKUP(BB321,Lists!$A$2:$C$12,3,FALSE),"")</f>
        <v/>
      </c>
      <c r="BD321" s="31">
        <f>COUNTIF(W321:AC321,"Yes")</f>
        <v/>
      </c>
      <c r="BE321" s="31">
        <f>IF(TRIM(B321)="","Legal name missing; ","")&amp;IF(AND(AV321&lt;&gt;"",AV321&lt;&gt;"OK"),"GSTIN: "&amp;AV321&amp;"; ","")&amp;IF(AND(AW321&lt;&gt;"",AW321&lt;&gt;"OK"),"PAN wrong format; ","")&amp;IF(AND(BA321&lt;&gt;"",LEN(AZ321)=15,MID(AZ321,3,10)&lt;&gt;BA321),"PAN does not match GSTIN; ","")&amp;IF(AND(AX321&lt;&gt;"",AX321&lt;&gt;"OK"),"TAN wrong format; ","")&amp;IF(AS321="","PAN missing; ","")&amp;IF(BB321="","Entity type missing; ","")&amp;IF(AND(AZ321&lt;&gt;"",COUNTIF($AZ$6:$AZ$1005,AZ321)&gt;1),"GSTIN repeated in this sheet; ","")&amp;IF(AND(AS321&lt;&gt;"",COUNTIF($AS$6:$AS$1005,AS321)&gt;1),"PAN repeated in this sheet (same client? put extra GSTINs in Other GSTINs); ","")&amp;IF(AND(BD321&gt;0,V321=""),"Financial year missing; ","")&amp;IF(AND(BD321=0,V321&lt;&gt;""),"Financial year given but no service is Yes; ","")&amp;IF(AND(W321="Yes",AZ321=""),"GST needs a GSTIN; ","")&amp;IF(AND(W321="Yes",X321=""),"GST return frequency missing; ","")&amp;IF(AND(Y321="Yes",TRIM(H321)=""),"TDS needs a TAN; ","")&amp;IF(AND(AA321="Yes",BC321&lt;&gt;"",BC321&lt;&gt;"company",BC321&lt;&gt;"llp"),"ROC is only for a company / LLP; ","")&amp;IF(AND(AA321="Yes",OR(BC321="company",BC321="llp"),TRIM(I321)=""),"ROC needs the CIN / LLPIN; ","")&amp;IF((TRIM(AF321)="")&lt;&gt;(TRIM(AG321)=""),"GST login needs both user ID and password; ","")&amp;IF((TRIM(AH321)="")&lt;&gt;(TRIM(AI321)=""),"Income-tax login needs both user ID and password; ","")&amp;IF((TRIM(AJ321)="")&lt;&gt;(TRIM(AK321)=""),"Income-tax login needs both user ID and password; ","")&amp;IF((TRIM(AL321)="")&lt;&gt;(TRIM(AM321)=""),"TRACES login needs both user ID and password; ","")&amp;IF((TRIM(AN321)="")&lt;&gt;(TRIM(AO321)=""),"MCA login needs both user ID and password; ","")&amp;IF((TRIM(AP321)="")&lt;&gt;(TRIM(AQ321)=""),"E-way bill login needs both user ID and password; ","")</f>
        <v/>
      </c>
    </row>
    <row r="322">
      <c r="A322" s="32" t="n"/>
      <c r="B322" s="33" t="n"/>
      <c r="C322" s="33" t="n"/>
      <c r="D322" s="33" t="n"/>
      <c r="E322" s="32" t="n"/>
      <c r="F322" s="32" t="n"/>
      <c r="G322" s="32" t="n"/>
      <c r="H322" s="32" t="n"/>
      <c r="I322" s="32" t="n"/>
      <c r="J322" s="34" t="n"/>
      <c r="K322" s="33" t="n"/>
      <c r="L322" s="32" t="n"/>
      <c r="M322" s="33" t="n"/>
      <c r="N322" s="33" t="n"/>
      <c r="O322" s="33" t="n"/>
      <c r="P322" s="32" t="n"/>
      <c r="Q322" s="33" t="n"/>
      <c r="R322" s="33" t="n"/>
      <c r="S322" s="33" t="n"/>
      <c r="T322" s="33" t="n"/>
      <c r="U322" s="32" t="n"/>
      <c r="V322" s="33" t="n"/>
      <c r="W322" s="33" t="n"/>
      <c r="X322" s="33" t="n"/>
      <c r="Y322" s="33" t="n"/>
      <c r="Z322" s="33" t="n"/>
      <c r="AA322" s="33" t="n"/>
      <c r="AB322" s="33" t="n"/>
      <c r="AC322" s="33" t="n"/>
      <c r="AD322" s="33" t="n"/>
      <c r="AE322" s="33" t="n"/>
      <c r="AF322" s="32" t="n"/>
      <c r="AG322" s="32" t="n"/>
      <c r="AH322" s="32" t="n"/>
      <c r="AI322" s="32" t="n"/>
      <c r="AJ322" s="32" t="n"/>
      <c r="AK322" s="32" t="n"/>
      <c r="AL322" s="32" t="n"/>
      <c r="AM322" s="32" t="n"/>
      <c r="AN322" s="32" t="n"/>
      <c r="AO322" s="32" t="n"/>
      <c r="AP322" s="32" t="n"/>
      <c r="AQ322" s="32" t="n"/>
      <c r="AR322" s="29">
        <f>IF(NOT(COUNTA(A322:AE322)&gt;0),"",IF(A322="","New client","Update"))</f>
        <v/>
      </c>
      <c r="AS322" s="29">
        <f>IF(BA322&lt;&gt;"",BA322,IF(LEN(AZ322)=15,MID(AZ322,3,10),""))</f>
        <v/>
      </c>
      <c r="AT322" s="29">
        <f>IF(BB322="","",BB322&amp;IF(D322="","  (guessed from PAN)",""))</f>
        <v/>
      </c>
      <c r="AU322" s="29">
        <f>IF(AZ322="","",IFERROR(INDEX(Lists!$L$2:$L$38,MATCH(LEFT(AZ322,2),Lists!$K$2:$K$38,0)),"Unknown code"))</f>
        <v/>
      </c>
      <c r="AV322" s="29">
        <f>IF(AZ322="","",IFERROR(IF(NOT(AND(LEN(AZ322)=15,ISNUMBER(MATCH(LEFT(AZ322,2),Lists!$K$2:$K$38,0)),SUMPRODUCT(--ISERROR(FIND(MID(MID(AZ322,3,10),{1,2,3,4,5,10},1),"ABCDEFGHIJKLMNOPQRSTUVWXYZ")))=0,SUMPRODUCT(--ISERROR(FIND(MID(MID(AZ322,3,10),{6,7,8,9},1),"0123456789")))=0,ISNUMBER(FIND(MID(AZ322,13,1),"123456789ABCDEFGHIJKLMNOPQRSTUVWXYZ")),MID(AZ322,14,1)="Z")),"Wrong format",IF(MID("0123456789ABCDEFGHIJKLMNOPQRSTUVWXYZ",MOD(36-MOD(SUMPRODUCT(INT((FIND(MID(AZ322,{1,2,3,4,5,6,7,8,9,10,11,12,13,14},1),"0123456789ABCDEFGHIJKLMNOPQRSTUVWXYZ")-1)*{1,2,1,2,1,2,1,2,1,2,1,2,1,2}/36)+MOD((FIND(MID(AZ322,{1,2,3,4,5,6,7,8,9,10,11,12,13,14},1),"0123456789ABCDEFGHIJKLMNOPQRSTUVWXYZ")-1)*{1,2,1,2,1,2,1,2,1,2,1,2,1,2},36)),36),36)+1,1)=MID(AZ322,15,1),"OK","Typo? check digit wrong")),"Wrong format"))</f>
        <v/>
      </c>
      <c r="AW322" s="29">
        <f>IF(BA322="","",IF(AND(LEN(BA322)=10,SUMPRODUCT(--ISERROR(FIND(MID(BA322,{1,2,3,4,5,10},1),"ABCDEFGHIJKLMNOPQRSTUVWXYZ")))=0,SUMPRODUCT(--ISERROR(FIND(MID(BA322,{6,7,8,9},1),"0123456789")))=0),"OK","Wrong format"))</f>
        <v/>
      </c>
      <c r="AX322" s="29">
        <f>IF(TRIM(H322)="","",IF(AND(LEN(UPPER(TRIM(H322)))=10,SUMPRODUCT(--ISERROR(FIND(MID(UPPER(TRIM(H322)),{1,2,3,4,10},1),"ABCDEFGHIJKLMNOPQRSTUVWXYZ")))=0,SUMPRODUCT(--ISERROR(FIND(MID(UPPER(TRIM(H322)),{5,6,7,8,9},1),"0123456789")))=0),"OK","Wrong format"))</f>
        <v/>
      </c>
      <c r="AY322" s="30">
        <f>IF(NOT(COUNTA(A322:AE322)&gt;0),"",IF(BE322&lt;&gt;"","✖ "&amp;LEFT(BE322,LEN(BE322)-2),IF(BD322&gt;0,"✔ Ready — client + "&amp;BD322&amp;" service(s)","✔ Ready — client only")))</f>
        <v/>
      </c>
      <c r="AZ322" s="31">
        <f>UPPER(SUBSTITUTE(TRIM(F322)," ",""))</f>
        <v/>
      </c>
      <c r="BA322" s="31">
        <f>UPPER(SUBSTITUTE(TRIM(E322)," ",""))</f>
        <v/>
      </c>
      <c r="BB322" s="31">
        <f>IF(D322&lt;&gt;"",D322,IFERROR(VLOOKUP(MID(AS322,4,1),Lists!$E$2:$F$8,2,FALSE),""))</f>
        <v/>
      </c>
      <c r="BC322" s="31">
        <f>IFERROR(VLOOKUP(BB322,Lists!$A$2:$C$12,3,FALSE),"")</f>
        <v/>
      </c>
      <c r="BD322" s="31">
        <f>COUNTIF(W322:AC322,"Yes")</f>
        <v/>
      </c>
      <c r="BE322" s="31">
        <f>IF(TRIM(B322)="","Legal name missing; ","")&amp;IF(AND(AV322&lt;&gt;"",AV322&lt;&gt;"OK"),"GSTIN: "&amp;AV322&amp;"; ","")&amp;IF(AND(AW322&lt;&gt;"",AW322&lt;&gt;"OK"),"PAN wrong format; ","")&amp;IF(AND(BA322&lt;&gt;"",LEN(AZ322)=15,MID(AZ322,3,10)&lt;&gt;BA322),"PAN does not match GSTIN; ","")&amp;IF(AND(AX322&lt;&gt;"",AX322&lt;&gt;"OK"),"TAN wrong format; ","")&amp;IF(AS322="","PAN missing; ","")&amp;IF(BB322="","Entity type missing; ","")&amp;IF(AND(AZ322&lt;&gt;"",COUNTIF($AZ$6:$AZ$1005,AZ322)&gt;1),"GSTIN repeated in this sheet; ","")&amp;IF(AND(AS322&lt;&gt;"",COUNTIF($AS$6:$AS$1005,AS322)&gt;1),"PAN repeated in this sheet (same client? put extra GSTINs in Other GSTINs); ","")&amp;IF(AND(BD322&gt;0,V322=""),"Financial year missing; ","")&amp;IF(AND(BD322=0,V322&lt;&gt;""),"Financial year given but no service is Yes; ","")&amp;IF(AND(W322="Yes",AZ322=""),"GST needs a GSTIN; ","")&amp;IF(AND(W322="Yes",X322=""),"GST return frequency missing; ","")&amp;IF(AND(Y322="Yes",TRIM(H322)=""),"TDS needs a TAN; ","")&amp;IF(AND(AA322="Yes",BC322&lt;&gt;"",BC322&lt;&gt;"company",BC322&lt;&gt;"llp"),"ROC is only for a company / LLP; ","")&amp;IF(AND(AA322="Yes",OR(BC322="company",BC322="llp"),TRIM(I322)=""),"ROC needs the CIN / LLPIN; ","")&amp;IF((TRIM(AF322)="")&lt;&gt;(TRIM(AG322)=""),"GST login needs both user ID and password; ","")&amp;IF((TRIM(AH322)="")&lt;&gt;(TRIM(AI322)=""),"Income-tax login needs both user ID and password; ","")&amp;IF((TRIM(AJ322)="")&lt;&gt;(TRIM(AK322)=""),"Income-tax login needs both user ID and password; ","")&amp;IF((TRIM(AL322)="")&lt;&gt;(TRIM(AM322)=""),"TRACES login needs both user ID and password; ","")&amp;IF((TRIM(AN322)="")&lt;&gt;(TRIM(AO322)=""),"MCA login needs both user ID and password; ","")&amp;IF((TRIM(AP322)="")&lt;&gt;(TRIM(AQ322)=""),"E-way bill login needs both user ID and password; ","")</f>
        <v/>
      </c>
    </row>
    <row r="323">
      <c r="A323" s="32" t="n"/>
      <c r="B323" s="33" t="n"/>
      <c r="C323" s="33" t="n"/>
      <c r="D323" s="33" t="n"/>
      <c r="E323" s="32" t="n"/>
      <c r="F323" s="32" t="n"/>
      <c r="G323" s="32" t="n"/>
      <c r="H323" s="32" t="n"/>
      <c r="I323" s="32" t="n"/>
      <c r="J323" s="34" t="n"/>
      <c r="K323" s="33" t="n"/>
      <c r="L323" s="32" t="n"/>
      <c r="M323" s="33" t="n"/>
      <c r="N323" s="33" t="n"/>
      <c r="O323" s="33" t="n"/>
      <c r="P323" s="32" t="n"/>
      <c r="Q323" s="33" t="n"/>
      <c r="R323" s="33" t="n"/>
      <c r="S323" s="33" t="n"/>
      <c r="T323" s="33" t="n"/>
      <c r="U323" s="32" t="n"/>
      <c r="V323" s="33" t="n"/>
      <c r="W323" s="33" t="n"/>
      <c r="X323" s="33" t="n"/>
      <c r="Y323" s="33" t="n"/>
      <c r="Z323" s="33" t="n"/>
      <c r="AA323" s="33" t="n"/>
      <c r="AB323" s="33" t="n"/>
      <c r="AC323" s="33" t="n"/>
      <c r="AD323" s="33" t="n"/>
      <c r="AE323" s="33" t="n"/>
      <c r="AF323" s="32" t="n"/>
      <c r="AG323" s="32" t="n"/>
      <c r="AH323" s="32" t="n"/>
      <c r="AI323" s="32" t="n"/>
      <c r="AJ323" s="32" t="n"/>
      <c r="AK323" s="32" t="n"/>
      <c r="AL323" s="32" t="n"/>
      <c r="AM323" s="32" t="n"/>
      <c r="AN323" s="32" t="n"/>
      <c r="AO323" s="32" t="n"/>
      <c r="AP323" s="32" t="n"/>
      <c r="AQ323" s="32" t="n"/>
      <c r="AR323" s="29">
        <f>IF(NOT(COUNTA(A323:AE323)&gt;0),"",IF(A323="","New client","Update"))</f>
        <v/>
      </c>
      <c r="AS323" s="29">
        <f>IF(BA323&lt;&gt;"",BA323,IF(LEN(AZ323)=15,MID(AZ323,3,10),""))</f>
        <v/>
      </c>
      <c r="AT323" s="29">
        <f>IF(BB323="","",BB323&amp;IF(D323="","  (guessed from PAN)",""))</f>
        <v/>
      </c>
      <c r="AU323" s="29">
        <f>IF(AZ323="","",IFERROR(INDEX(Lists!$L$2:$L$38,MATCH(LEFT(AZ323,2),Lists!$K$2:$K$38,0)),"Unknown code"))</f>
        <v/>
      </c>
      <c r="AV323" s="29">
        <f>IF(AZ323="","",IFERROR(IF(NOT(AND(LEN(AZ323)=15,ISNUMBER(MATCH(LEFT(AZ323,2),Lists!$K$2:$K$38,0)),SUMPRODUCT(--ISERROR(FIND(MID(MID(AZ323,3,10),{1,2,3,4,5,10},1),"ABCDEFGHIJKLMNOPQRSTUVWXYZ")))=0,SUMPRODUCT(--ISERROR(FIND(MID(MID(AZ323,3,10),{6,7,8,9},1),"0123456789")))=0,ISNUMBER(FIND(MID(AZ323,13,1),"123456789ABCDEFGHIJKLMNOPQRSTUVWXYZ")),MID(AZ323,14,1)="Z")),"Wrong format",IF(MID("0123456789ABCDEFGHIJKLMNOPQRSTUVWXYZ",MOD(36-MOD(SUMPRODUCT(INT((FIND(MID(AZ323,{1,2,3,4,5,6,7,8,9,10,11,12,13,14},1),"0123456789ABCDEFGHIJKLMNOPQRSTUVWXYZ")-1)*{1,2,1,2,1,2,1,2,1,2,1,2,1,2}/36)+MOD((FIND(MID(AZ323,{1,2,3,4,5,6,7,8,9,10,11,12,13,14},1),"0123456789ABCDEFGHIJKLMNOPQRSTUVWXYZ")-1)*{1,2,1,2,1,2,1,2,1,2,1,2,1,2},36)),36),36)+1,1)=MID(AZ323,15,1),"OK","Typo? check digit wrong")),"Wrong format"))</f>
        <v/>
      </c>
      <c r="AW323" s="29">
        <f>IF(BA323="","",IF(AND(LEN(BA323)=10,SUMPRODUCT(--ISERROR(FIND(MID(BA323,{1,2,3,4,5,10},1),"ABCDEFGHIJKLMNOPQRSTUVWXYZ")))=0,SUMPRODUCT(--ISERROR(FIND(MID(BA323,{6,7,8,9},1),"0123456789")))=0),"OK","Wrong format"))</f>
        <v/>
      </c>
      <c r="AX323" s="29">
        <f>IF(TRIM(H323)="","",IF(AND(LEN(UPPER(TRIM(H323)))=10,SUMPRODUCT(--ISERROR(FIND(MID(UPPER(TRIM(H323)),{1,2,3,4,10},1),"ABCDEFGHIJKLMNOPQRSTUVWXYZ")))=0,SUMPRODUCT(--ISERROR(FIND(MID(UPPER(TRIM(H323)),{5,6,7,8,9},1),"0123456789")))=0),"OK","Wrong format"))</f>
        <v/>
      </c>
      <c r="AY323" s="30">
        <f>IF(NOT(COUNTA(A323:AE323)&gt;0),"",IF(BE323&lt;&gt;"","✖ "&amp;LEFT(BE323,LEN(BE323)-2),IF(BD323&gt;0,"✔ Ready — client + "&amp;BD323&amp;" service(s)","✔ Ready — client only")))</f>
        <v/>
      </c>
      <c r="AZ323" s="31">
        <f>UPPER(SUBSTITUTE(TRIM(F323)," ",""))</f>
        <v/>
      </c>
      <c r="BA323" s="31">
        <f>UPPER(SUBSTITUTE(TRIM(E323)," ",""))</f>
        <v/>
      </c>
      <c r="BB323" s="31">
        <f>IF(D323&lt;&gt;"",D323,IFERROR(VLOOKUP(MID(AS323,4,1),Lists!$E$2:$F$8,2,FALSE),""))</f>
        <v/>
      </c>
      <c r="BC323" s="31">
        <f>IFERROR(VLOOKUP(BB323,Lists!$A$2:$C$12,3,FALSE),"")</f>
        <v/>
      </c>
      <c r="BD323" s="31">
        <f>COUNTIF(W323:AC323,"Yes")</f>
        <v/>
      </c>
      <c r="BE323" s="31">
        <f>IF(TRIM(B323)="","Legal name missing; ","")&amp;IF(AND(AV323&lt;&gt;"",AV323&lt;&gt;"OK"),"GSTIN: "&amp;AV323&amp;"; ","")&amp;IF(AND(AW323&lt;&gt;"",AW323&lt;&gt;"OK"),"PAN wrong format; ","")&amp;IF(AND(BA323&lt;&gt;"",LEN(AZ323)=15,MID(AZ323,3,10)&lt;&gt;BA323),"PAN does not match GSTIN; ","")&amp;IF(AND(AX323&lt;&gt;"",AX323&lt;&gt;"OK"),"TAN wrong format; ","")&amp;IF(AS323="","PAN missing; ","")&amp;IF(BB323="","Entity type missing; ","")&amp;IF(AND(AZ323&lt;&gt;"",COUNTIF($AZ$6:$AZ$1005,AZ323)&gt;1),"GSTIN repeated in this sheet; ","")&amp;IF(AND(AS323&lt;&gt;"",COUNTIF($AS$6:$AS$1005,AS323)&gt;1),"PAN repeated in this sheet (same client? put extra GSTINs in Other GSTINs); ","")&amp;IF(AND(BD323&gt;0,V323=""),"Financial year missing; ","")&amp;IF(AND(BD323=0,V323&lt;&gt;""),"Financial year given but no service is Yes; ","")&amp;IF(AND(W323="Yes",AZ323=""),"GST needs a GSTIN; ","")&amp;IF(AND(W323="Yes",X323=""),"GST return frequency missing; ","")&amp;IF(AND(Y323="Yes",TRIM(H323)=""),"TDS needs a TAN; ","")&amp;IF(AND(AA323="Yes",BC323&lt;&gt;"",BC323&lt;&gt;"company",BC323&lt;&gt;"llp"),"ROC is only for a company / LLP; ","")&amp;IF(AND(AA323="Yes",OR(BC323="company",BC323="llp"),TRIM(I323)=""),"ROC needs the CIN / LLPIN; ","")&amp;IF((TRIM(AF323)="")&lt;&gt;(TRIM(AG323)=""),"GST login needs both user ID and password; ","")&amp;IF((TRIM(AH323)="")&lt;&gt;(TRIM(AI323)=""),"Income-tax login needs both user ID and password; ","")&amp;IF((TRIM(AJ323)="")&lt;&gt;(TRIM(AK323)=""),"Income-tax login needs both user ID and password; ","")&amp;IF((TRIM(AL323)="")&lt;&gt;(TRIM(AM323)=""),"TRACES login needs both user ID and password; ","")&amp;IF((TRIM(AN323)="")&lt;&gt;(TRIM(AO323)=""),"MCA login needs both user ID and password; ","")&amp;IF((TRIM(AP323)="")&lt;&gt;(TRIM(AQ323)=""),"E-way bill login needs both user ID and password; ","")</f>
        <v/>
      </c>
    </row>
    <row r="324">
      <c r="A324" s="32" t="n"/>
      <c r="B324" s="33" t="n"/>
      <c r="C324" s="33" t="n"/>
      <c r="D324" s="33" t="n"/>
      <c r="E324" s="32" t="n"/>
      <c r="F324" s="32" t="n"/>
      <c r="G324" s="32" t="n"/>
      <c r="H324" s="32" t="n"/>
      <c r="I324" s="32" t="n"/>
      <c r="J324" s="34" t="n"/>
      <c r="K324" s="33" t="n"/>
      <c r="L324" s="32" t="n"/>
      <c r="M324" s="33" t="n"/>
      <c r="N324" s="33" t="n"/>
      <c r="O324" s="33" t="n"/>
      <c r="P324" s="32" t="n"/>
      <c r="Q324" s="33" t="n"/>
      <c r="R324" s="33" t="n"/>
      <c r="S324" s="33" t="n"/>
      <c r="T324" s="33" t="n"/>
      <c r="U324" s="32" t="n"/>
      <c r="V324" s="33" t="n"/>
      <c r="W324" s="33" t="n"/>
      <c r="X324" s="33" t="n"/>
      <c r="Y324" s="33" t="n"/>
      <c r="Z324" s="33" t="n"/>
      <c r="AA324" s="33" t="n"/>
      <c r="AB324" s="33" t="n"/>
      <c r="AC324" s="33" t="n"/>
      <c r="AD324" s="33" t="n"/>
      <c r="AE324" s="33" t="n"/>
      <c r="AF324" s="32" t="n"/>
      <c r="AG324" s="32" t="n"/>
      <c r="AH324" s="32" t="n"/>
      <c r="AI324" s="32" t="n"/>
      <c r="AJ324" s="32" t="n"/>
      <c r="AK324" s="32" t="n"/>
      <c r="AL324" s="32" t="n"/>
      <c r="AM324" s="32" t="n"/>
      <c r="AN324" s="32" t="n"/>
      <c r="AO324" s="32" t="n"/>
      <c r="AP324" s="32" t="n"/>
      <c r="AQ324" s="32" t="n"/>
      <c r="AR324" s="29">
        <f>IF(NOT(COUNTA(A324:AE324)&gt;0),"",IF(A324="","New client","Update"))</f>
        <v/>
      </c>
      <c r="AS324" s="29">
        <f>IF(BA324&lt;&gt;"",BA324,IF(LEN(AZ324)=15,MID(AZ324,3,10),""))</f>
        <v/>
      </c>
      <c r="AT324" s="29">
        <f>IF(BB324="","",BB324&amp;IF(D324="","  (guessed from PAN)",""))</f>
        <v/>
      </c>
      <c r="AU324" s="29">
        <f>IF(AZ324="","",IFERROR(INDEX(Lists!$L$2:$L$38,MATCH(LEFT(AZ324,2),Lists!$K$2:$K$38,0)),"Unknown code"))</f>
        <v/>
      </c>
      <c r="AV324" s="29">
        <f>IF(AZ324="","",IFERROR(IF(NOT(AND(LEN(AZ324)=15,ISNUMBER(MATCH(LEFT(AZ324,2),Lists!$K$2:$K$38,0)),SUMPRODUCT(--ISERROR(FIND(MID(MID(AZ324,3,10),{1,2,3,4,5,10},1),"ABCDEFGHIJKLMNOPQRSTUVWXYZ")))=0,SUMPRODUCT(--ISERROR(FIND(MID(MID(AZ324,3,10),{6,7,8,9},1),"0123456789")))=0,ISNUMBER(FIND(MID(AZ324,13,1),"123456789ABCDEFGHIJKLMNOPQRSTUVWXYZ")),MID(AZ324,14,1)="Z")),"Wrong format",IF(MID("0123456789ABCDEFGHIJKLMNOPQRSTUVWXYZ",MOD(36-MOD(SUMPRODUCT(INT((FIND(MID(AZ324,{1,2,3,4,5,6,7,8,9,10,11,12,13,14},1),"0123456789ABCDEFGHIJKLMNOPQRSTUVWXYZ")-1)*{1,2,1,2,1,2,1,2,1,2,1,2,1,2}/36)+MOD((FIND(MID(AZ324,{1,2,3,4,5,6,7,8,9,10,11,12,13,14},1),"0123456789ABCDEFGHIJKLMNOPQRSTUVWXYZ")-1)*{1,2,1,2,1,2,1,2,1,2,1,2,1,2},36)),36),36)+1,1)=MID(AZ324,15,1),"OK","Typo? check digit wrong")),"Wrong format"))</f>
        <v/>
      </c>
      <c r="AW324" s="29">
        <f>IF(BA324="","",IF(AND(LEN(BA324)=10,SUMPRODUCT(--ISERROR(FIND(MID(BA324,{1,2,3,4,5,10},1),"ABCDEFGHIJKLMNOPQRSTUVWXYZ")))=0,SUMPRODUCT(--ISERROR(FIND(MID(BA324,{6,7,8,9},1),"0123456789")))=0),"OK","Wrong format"))</f>
        <v/>
      </c>
      <c r="AX324" s="29">
        <f>IF(TRIM(H324)="","",IF(AND(LEN(UPPER(TRIM(H324)))=10,SUMPRODUCT(--ISERROR(FIND(MID(UPPER(TRIM(H324)),{1,2,3,4,10},1),"ABCDEFGHIJKLMNOPQRSTUVWXYZ")))=0,SUMPRODUCT(--ISERROR(FIND(MID(UPPER(TRIM(H324)),{5,6,7,8,9},1),"0123456789")))=0),"OK","Wrong format"))</f>
        <v/>
      </c>
      <c r="AY324" s="30">
        <f>IF(NOT(COUNTA(A324:AE324)&gt;0),"",IF(BE324&lt;&gt;"","✖ "&amp;LEFT(BE324,LEN(BE324)-2),IF(BD324&gt;0,"✔ Ready — client + "&amp;BD324&amp;" service(s)","✔ Ready — client only")))</f>
        <v/>
      </c>
      <c r="AZ324" s="31">
        <f>UPPER(SUBSTITUTE(TRIM(F324)," ",""))</f>
        <v/>
      </c>
      <c r="BA324" s="31">
        <f>UPPER(SUBSTITUTE(TRIM(E324)," ",""))</f>
        <v/>
      </c>
      <c r="BB324" s="31">
        <f>IF(D324&lt;&gt;"",D324,IFERROR(VLOOKUP(MID(AS324,4,1),Lists!$E$2:$F$8,2,FALSE),""))</f>
        <v/>
      </c>
      <c r="BC324" s="31">
        <f>IFERROR(VLOOKUP(BB324,Lists!$A$2:$C$12,3,FALSE),"")</f>
        <v/>
      </c>
      <c r="BD324" s="31">
        <f>COUNTIF(W324:AC324,"Yes")</f>
        <v/>
      </c>
      <c r="BE324" s="31">
        <f>IF(TRIM(B324)="","Legal name missing; ","")&amp;IF(AND(AV324&lt;&gt;"",AV324&lt;&gt;"OK"),"GSTIN: "&amp;AV324&amp;"; ","")&amp;IF(AND(AW324&lt;&gt;"",AW324&lt;&gt;"OK"),"PAN wrong format; ","")&amp;IF(AND(BA324&lt;&gt;"",LEN(AZ324)=15,MID(AZ324,3,10)&lt;&gt;BA324),"PAN does not match GSTIN; ","")&amp;IF(AND(AX324&lt;&gt;"",AX324&lt;&gt;"OK"),"TAN wrong format; ","")&amp;IF(AS324="","PAN missing; ","")&amp;IF(BB324="","Entity type missing; ","")&amp;IF(AND(AZ324&lt;&gt;"",COUNTIF($AZ$6:$AZ$1005,AZ324)&gt;1),"GSTIN repeated in this sheet; ","")&amp;IF(AND(AS324&lt;&gt;"",COUNTIF($AS$6:$AS$1005,AS324)&gt;1),"PAN repeated in this sheet (same client? put extra GSTINs in Other GSTINs); ","")&amp;IF(AND(BD324&gt;0,V324=""),"Financial year missing; ","")&amp;IF(AND(BD324=0,V324&lt;&gt;""),"Financial year given but no service is Yes; ","")&amp;IF(AND(W324="Yes",AZ324=""),"GST needs a GSTIN; ","")&amp;IF(AND(W324="Yes",X324=""),"GST return frequency missing; ","")&amp;IF(AND(Y324="Yes",TRIM(H324)=""),"TDS needs a TAN; ","")&amp;IF(AND(AA324="Yes",BC324&lt;&gt;"",BC324&lt;&gt;"company",BC324&lt;&gt;"llp"),"ROC is only for a company / LLP; ","")&amp;IF(AND(AA324="Yes",OR(BC324="company",BC324="llp"),TRIM(I324)=""),"ROC needs the CIN / LLPIN; ","")&amp;IF((TRIM(AF324)="")&lt;&gt;(TRIM(AG324)=""),"GST login needs both user ID and password; ","")&amp;IF((TRIM(AH324)="")&lt;&gt;(TRIM(AI324)=""),"Income-tax login needs both user ID and password; ","")&amp;IF((TRIM(AJ324)="")&lt;&gt;(TRIM(AK324)=""),"Income-tax login needs both user ID and password; ","")&amp;IF((TRIM(AL324)="")&lt;&gt;(TRIM(AM324)=""),"TRACES login needs both user ID and password; ","")&amp;IF((TRIM(AN324)="")&lt;&gt;(TRIM(AO324)=""),"MCA login needs both user ID and password; ","")&amp;IF((TRIM(AP324)="")&lt;&gt;(TRIM(AQ324)=""),"E-way bill login needs both user ID and password; ","")</f>
        <v/>
      </c>
    </row>
    <row r="325">
      <c r="A325" s="32" t="n"/>
      <c r="B325" s="33" t="n"/>
      <c r="C325" s="33" t="n"/>
      <c r="D325" s="33" t="n"/>
      <c r="E325" s="32" t="n"/>
      <c r="F325" s="32" t="n"/>
      <c r="G325" s="32" t="n"/>
      <c r="H325" s="32" t="n"/>
      <c r="I325" s="32" t="n"/>
      <c r="J325" s="34" t="n"/>
      <c r="K325" s="33" t="n"/>
      <c r="L325" s="32" t="n"/>
      <c r="M325" s="33" t="n"/>
      <c r="N325" s="33" t="n"/>
      <c r="O325" s="33" t="n"/>
      <c r="P325" s="32" t="n"/>
      <c r="Q325" s="33" t="n"/>
      <c r="R325" s="33" t="n"/>
      <c r="S325" s="33" t="n"/>
      <c r="T325" s="33" t="n"/>
      <c r="U325" s="32" t="n"/>
      <c r="V325" s="33" t="n"/>
      <c r="W325" s="33" t="n"/>
      <c r="X325" s="33" t="n"/>
      <c r="Y325" s="33" t="n"/>
      <c r="Z325" s="33" t="n"/>
      <c r="AA325" s="33" t="n"/>
      <c r="AB325" s="33" t="n"/>
      <c r="AC325" s="33" t="n"/>
      <c r="AD325" s="33" t="n"/>
      <c r="AE325" s="33" t="n"/>
      <c r="AF325" s="32" t="n"/>
      <c r="AG325" s="32" t="n"/>
      <c r="AH325" s="32" t="n"/>
      <c r="AI325" s="32" t="n"/>
      <c r="AJ325" s="32" t="n"/>
      <c r="AK325" s="32" t="n"/>
      <c r="AL325" s="32" t="n"/>
      <c r="AM325" s="32" t="n"/>
      <c r="AN325" s="32" t="n"/>
      <c r="AO325" s="32" t="n"/>
      <c r="AP325" s="32" t="n"/>
      <c r="AQ325" s="32" t="n"/>
      <c r="AR325" s="29">
        <f>IF(NOT(COUNTA(A325:AE325)&gt;0),"",IF(A325="","New client","Update"))</f>
        <v/>
      </c>
      <c r="AS325" s="29">
        <f>IF(BA325&lt;&gt;"",BA325,IF(LEN(AZ325)=15,MID(AZ325,3,10),""))</f>
        <v/>
      </c>
      <c r="AT325" s="29">
        <f>IF(BB325="","",BB325&amp;IF(D325="","  (guessed from PAN)",""))</f>
        <v/>
      </c>
      <c r="AU325" s="29">
        <f>IF(AZ325="","",IFERROR(INDEX(Lists!$L$2:$L$38,MATCH(LEFT(AZ325,2),Lists!$K$2:$K$38,0)),"Unknown code"))</f>
        <v/>
      </c>
      <c r="AV325" s="29">
        <f>IF(AZ325="","",IFERROR(IF(NOT(AND(LEN(AZ325)=15,ISNUMBER(MATCH(LEFT(AZ325,2),Lists!$K$2:$K$38,0)),SUMPRODUCT(--ISERROR(FIND(MID(MID(AZ325,3,10),{1,2,3,4,5,10},1),"ABCDEFGHIJKLMNOPQRSTUVWXYZ")))=0,SUMPRODUCT(--ISERROR(FIND(MID(MID(AZ325,3,10),{6,7,8,9},1),"0123456789")))=0,ISNUMBER(FIND(MID(AZ325,13,1),"123456789ABCDEFGHIJKLMNOPQRSTUVWXYZ")),MID(AZ325,14,1)="Z")),"Wrong format",IF(MID("0123456789ABCDEFGHIJKLMNOPQRSTUVWXYZ",MOD(36-MOD(SUMPRODUCT(INT((FIND(MID(AZ325,{1,2,3,4,5,6,7,8,9,10,11,12,13,14},1),"0123456789ABCDEFGHIJKLMNOPQRSTUVWXYZ")-1)*{1,2,1,2,1,2,1,2,1,2,1,2,1,2}/36)+MOD((FIND(MID(AZ325,{1,2,3,4,5,6,7,8,9,10,11,12,13,14},1),"0123456789ABCDEFGHIJKLMNOPQRSTUVWXYZ")-1)*{1,2,1,2,1,2,1,2,1,2,1,2,1,2},36)),36),36)+1,1)=MID(AZ325,15,1),"OK","Typo? check digit wrong")),"Wrong format"))</f>
        <v/>
      </c>
      <c r="AW325" s="29">
        <f>IF(BA325="","",IF(AND(LEN(BA325)=10,SUMPRODUCT(--ISERROR(FIND(MID(BA325,{1,2,3,4,5,10},1),"ABCDEFGHIJKLMNOPQRSTUVWXYZ")))=0,SUMPRODUCT(--ISERROR(FIND(MID(BA325,{6,7,8,9},1),"0123456789")))=0),"OK","Wrong format"))</f>
        <v/>
      </c>
      <c r="AX325" s="29">
        <f>IF(TRIM(H325)="","",IF(AND(LEN(UPPER(TRIM(H325)))=10,SUMPRODUCT(--ISERROR(FIND(MID(UPPER(TRIM(H325)),{1,2,3,4,10},1),"ABCDEFGHIJKLMNOPQRSTUVWXYZ")))=0,SUMPRODUCT(--ISERROR(FIND(MID(UPPER(TRIM(H325)),{5,6,7,8,9},1),"0123456789")))=0),"OK","Wrong format"))</f>
        <v/>
      </c>
      <c r="AY325" s="30">
        <f>IF(NOT(COUNTA(A325:AE325)&gt;0),"",IF(BE325&lt;&gt;"","✖ "&amp;LEFT(BE325,LEN(BE325)-2),IF(BD325&gt;0,"✔ Ready — client + "&amp;BD325&amp;" service(s)","✔ Ready — client only")))</f>
        <v/>
      </c>
      <c r="AZ325" s="31">
        <f>UPPER(SUBSTITUTE(TRIM(F325)," ",""))</f>
        <v/>
      </c>
      <c r="BA325" s="31">
        <f>UPPER(SUBSTITUTE(TRIM(E325)," ",""))</f>
        <v/>
      </c>
      <c r="BB325" s="31">
        <f>IF(D325&lt;&gt;"",D325,IFERROR(VLOOKUP(MID(AS325,4,1),Lists!$E$2:$F$8,2,FALSE),""))</f>
        <v/>
      </c>
      <c r="BC325" s="31">
        <f>IFERROR(VLOOKUP(BB325,Lists!$A$2:$C$12,3,FALSE),"")</f>
        <v/>
      </c>
      <c r="BD325" s="31">
        <f>COUNTIF(W325:AC325,"Yes")</f>
        <v/>
      </c>
      <c r="BE325" s="31">
        <f>IF(TRIM(B325)="","Legal name missing; ","")&amp;IF(AND(AV325&lt;&gt;"",AV325&lt;&gt;"OK"),"GSTIN: "&amp;AV325&amp;"; ","")&amp;IF(AND(AW325&lt;&gt;"",AW325&lt;&gt;"OK"),"PAN wrong format; ","")&amp;IF(AND(BA325&lt;&gt;"",LEN(AZ325)=15,MID(AZ325,3,10)&lt;&gt;BA325),"PAN does not match GSTIN; ","")&amp;IF(AND(AX325&lt;&gt;"",AX325&lt;&gt;"OK"),"TAN wrong format; ","")&amp;IF(AS325="","PAN missing; ","")&amp;IF(BB325="","Entity type missing; ","")&amp;IF(AND(AZ325&lt;&gt;"",COUNTIF($AZ$6:$AZ$1005,AZ325)&gt;1),"GSTIN repeated in this sheet; ","")&amp;IF(AND(AS325&lt;&gt;"",COUNTIF($AS$6:$AS$1005,AS325)&gt;1),"PAN repeated in this sheet (same client? put extra GSTINs in Other GSTINs); ","")&amp;IF(AND(BD325&gt;0,V325=""),"Financial year missing; ","")&amp;IF(AND(BD325=0,V325&lt;&gt;""),"Financial year given but no service is Yes; ","")&amp;IF(AND(W325="Yes",AZ325=""),"GST needs a GSTIN; ","")&amp;IF(AND(W325="Yes",X325=""),"GST return frequency missing; ","")&amp;IF(AND(Y325="Yes",TRIM(H325)=""),"TDS needs a TAN; ","")&amp;IF(AND(AA325="Yes",BC325&lt;&gt;"",BC325&lt;&gt;"company",BC325&lt;&gt;"llp"),"ROC is only for a company / LLP; ","")&amp;IF(AND(AA325="Yes",OR(BC325="company",BC325="llp"),TRIM(I325)=""),"ROC needs the CIN / LLPIN; ","")&amp;IF((TRIM(AF325)="")&lt;&gt;(TRIM(AG325)=""),"GST login needs both user ID and password; ","")&amp;IF((TRIM(AH325)="")&lt;&gt;(TRIM(AI325)=""),"Income-tax login needs both user ID and password; ","")&amp;IF((TRIM(AJ325)="")&lt;&gt;(TRIM(AK325)=""),"Income-tax login needs both user ID and password; ","")&amp;IF((TRIM(AL325)="")&lt;&gt;(TRIM(AM325)=""),"TRACES login needs both user ID and password; ","")&amp;IF((TRIM(AN325)="")&lt;&gt;(TRIM(AO325)=""),"MCA login needs both user ID and password; ","")&amp;IF((TRIM(AP325)="")&lt;&gt;(TRIM(AQ325)=""),"E-way bill login needs both user ID and password; ","")</f>
        <v/>
      </c>
    </row>
    <row r="326">
      <c r="A326" s="32" t="n"/>
      <c r="B326" s="33" t="n"/>
      <c r="C326" s="33" t="n"/>
      <c r="D326" s="33" t="n"/>
      <c r="E326" s="32" t="n"/>
      <c r="F326" s="32" t="n"/>
      <c r="G326" s="32" t="n"/>
      <c r="H326" s="32" t="n"/>
      <c r="I326" s="32" t="n"/>
      <c r="J326" s="34" t="n"/>
      <c r="K326" s="33" t="n"/>
      <c r="L326" s="32" t="n"/>
      <c r="M326" s="33" t="n"/>
      <c r="N326" s="33" t="n"/>
      <c r="O326" s="33" t="n"/>
      <c r="P326" s="32" t="n"/>
      <c r="Q326" s="33" t="n"/>
      <c r="R326" s="33" t="n"/>
      <c r="S326" s="33" t="n"/>
      <c r="T326" s="33" t="n"/>
      <c r="U326" s="32" t="n"/>
      <c r="V326" s="33" t="n"/>
      <c r="W326" s="33" t="n"/>
      <c r="X326" s="33" t="n"/>
      <c r="Y326" s="33" t="n"/>
      <c r="Z326" s="33" t="n"/>
      <c r="AA326" s="33" t="n"/>
      <c r="AB326" s="33" t="n"/>
      <c r="AC326" s="33" t="n"/>
      <c r="AD326" s="33" t="n"/>
      <c r="AE326" s="33" t="n"/>
      <c r="AF326" s="32" t="n"/>
      <c r="AG326" s="32" t="n"/>
      <c r="AH326" s="32" t="n"/>
      <c r="AI326" s="32" t="n"/>
      <c r="AJ326" s="32" t="n"/>
      <c r="AK326" s="32" t="n"/>
      <c r="AL326" s="32" t="n"/>
      <c r="AM326" s="32" t="n"/>
      <c r="AN326" s="32" t="n"/>
      <c r="AO326" s="32" t="n"/>
      <c r="AP326" s="32" t="n"/>
      <c r="AQ326" s="32" t="n"/>
      <c r="AR326" s="29">
        <f>IF(NOT(COUNTA(A326:AE326)&gt;0),"",IF(A326="","New client","Update"))</f>
        <v/>
      </c>
      <c r="AS326" s="29">
        <f>IF(BA326&lt;&gt;"",BA326,IF(LEN(AZ326)=15,MID(AZ326,3,10),""))</f>
        <v/>
      </c>
      <c r="AT326" s="29">
        <f>IF(BB326="","",BB326&amp;IF(D326="","  (guessed from PAN)",""))</f>
        <v/>
      </c>
      <c r="AU326" s="29">
        <f>IF(AZ326="","",IFERROR(INDEX(Lists!$L$2:$L$38,MATCH(LEFT(AZ326,2),Lists!$K$2:$K$38,0)),"Unknown code"))</f>
        <v/>
      </c>
      <c r="AV326" s="29">
        <f>IF(AZ326="","",IFERROR(IF(NOT(AND(LEN(AZ326)=15,ISNUMBER(MATCH(LEFT(AZ326,2),Lists!$K$2:$K$38,0)),SUMPRODUCT(--ISERROR(FIND(MID(MID(AZ326,3,10),{1,2,3,4,5,10},1),"ABCDEFGHIJKLMNOPQRSTUVWXYZ")))=0,SUMPRODUCT(--ISERROR(FIND(MID(MID(AZ326,3,10),{6,7,8,9},1),"0123456789")))=0,ISNUMBER(FIND(MID(AZ326,13,1),"123456789ABCDEFGHIJKLMNOPQRSTUVWXYZ")),MID(AZ326,14,1)="Z")),"Wrong format",IF(MID("0123456789ABCDEFGHIJKLMNOPQRSTUVWXYZ",MOD(36-MOD(SUMPRODUCT(INT((FIND(MID(AZ326,{1,2,3,4,5,6,7,8,9,10,11,12,13,14},1),"0123456789ABCDEFGHIJKLMNOPQRSTUVWXYZ")-1)*{1,2,1,2,1,2,1,2,1,2,1,2,1,2}/36)+MOD((FIND(MID(AZ326,{1,2,3,4,5,6,7,8,9,10,11,12,13,14},1),"0123456789ABCDEFGHIJKLMNOPQRSTUVWXYZ")-1)*{1,2,1,2,1,2,1,2,1,2,1,2,1,2},36)),36),36)+1,1)=MID(AZ326,15,1),"OK","Typo? check digit wrong")),"Wrong format"))</f>
        <v/>
      </c>
      <c r="AW326" s="29">
        <f>IF(BA326="","",IF(AND(LEN(BA326)=10,SUMPRODUCT(--ISERROR(FIND(MID(BA326,{1,2,3,4,5,10},1),"ABCDEFGHIJKLMNOPQRSTUVWXYZ")))=0,SUMPRODUCT(--ISERROR(FIND(MID(BA326,{6,7,8,9},1),"0123456789")))=0),"OK","Wrong format"))</f>
        <v/>
      </c>
      <c r="AX326" s="29">
        <f>IF(TRIM(H326)="","",IF(AND(LEN(UPPER(TRIM(H326)))=10,SUMPRODUCT(--ISERROR(FIND(MID(UPPER(TRIM(H326)),{1,2,3,4,10},1),"ABCDEFGHIJKLMNOPQRSTUVWXYZ")))=0,SUMPRODUCT(--ISERROR(FIND(MID(UPPER(TRIM(H326)),{5,6,7,8,9},1),"0123456789")))=0),"OK","Wrong format"))</f>
        <v/>
      </c>
      <c r="AY326" s="30">
        <f>IF(NOT(COUNTA(A326:AE326)&gt;0),"",IF(BE326&lt;&gt;"","✖ "&amp;LEFT(BE326,LEN(BE326)-2),IF(BD326&gt;0,"✔ Ready — client + "&amp;BD326&amp;" service(s)","✔ Ready — client only")))</f>
        <v/>
      </c>
      <c r="AZ326" s="31">
        <f>UPPER(SUBSTITUTE(TRIM(F326)," ",""))</f>
        <v/>
      </c>
      <c r="BA326" s="31">
        <f>UPPER(SUBSTITUTE(TRIM(E326)," ",""))</f>
        <v/>
      </c>
      <c r="BB326" s="31">
        <f>IF(D326&lt;&gt;"",D326,IFERROR(VLOOKUP(MID(AS326,4,1),Lists!$E$2:$F$8,2,FALSE),""))</f>
        <v/>
      </c>
      <c r="BC326" s="31">
        <f>IFERROR(VLOOKUP(BB326,Lists!$A$2:$C$12,3,FALSE),"")</f>
        <v/>
      </c>
      <c r="BD326" s="31">
        <f>COUNTIF(W326:AC326,"Yes")</f>
        <v/>
      </c>
      <c r="BE326" s="31">
        <f>IF(TRIM(B326)="","Legal name missing; ","")&amp;IF(AND(AV326&lt;&gt;"",AV326&lt;&gt;"OK"),"GSTIN: "&amp;AV326&amp;"; ","")&amp;IF(AND(AW326&lt;&gt;"",AW326&lt;&gt;"OK"),"PAN wrong format; ","")&amp;IF(AND(BA326&lt;&gt;"",LEN(AZ326)=15,MID(AZ326,3,10)&lt;&gt;BA326),"PAN does not match GSTIN; ","")&amp;IF(AND(AX326&lt;&gt;"",AX326&lt;&gt;"OK"),"TAN wrong format; ","")&amp;IF(AS326="","PAN missing; ","")&amp;IF(BB326="","Entity type missing; ","")&amp;IF(AND(AZ326&lt;&gt;"",COUNTIF($AZ$6:$AZ$1005,AZ326)&gt;1),"GSTIN repeated in this sheet; ","")&amp;IF(AND(AS326&lt;&gt;"",COUNTIF($AS$6:$AS$1005,AS326)&gt;1),"PAN repeated in this sheet (same client? put extra GSTINs in Other GSTINs); ","")&amp;IF(AND(BD326&gt;0,V326=""),"Financial year missing; ","")&amp;IF(AND(BD326=0,V326&lt;&gt;""),"Financial year given but no service is Yes; ","")&amp;IF(AND(W326="Yes",AZ326=""),"GST needs a GSTIN; ","")&amp;IF(AND(W326="Yes",X326=""),"GST return frequency missing; ","")&amp;IF(AND(Y326="Yes",TRIM(H326)=""),"TDS needs a TAN; ","")&amp;IF(AND(AA326="Yes",BC326&lt;&gt;"",BC326&lt;&gt;"company",BC326&lt;&gt;"llp"),"ROC is only for a company / LLP; ","")&amp;IF(AND(AA326="Yes",OR(BC326="company",BC326="llp"),TRIM(I326)=""),"ROC needs the CIN / LLPIN; ","")&amp;IF((TRIM(AF326)="")&lt;&gt;(TRIM(AG326)=""),"GST login needs both user ID and password; ","")&amp;IF((TRIM(AH326)="")&lt;&gt;(TRIM(AI326)=""),"Income-tax login needs both user ID and password; ","")&amp;IF((TRIM(AJ326)="")&lt;&gt;(TRIM(AK326)=""),"Income-tax login needs both user ID and password; ","")&amp;IF((TRIM(AL326)="")&lt;&gt;(TRIM(AM326)=""),"TRACES login needs both user ID and password; ","")&amp;IF((TRIM(AN326)="")&lt;&gt;(TRIM(AO326)=""),"MCA login needs both user ID and password; ","")&amp;IF((TRIM(AP326)="")&lt;&gt;(TRIM(AQ326)=""),"E-way bill login needs both user ID and password; ","")</f>
        <v/>
      </c>
    </row>
    <row r="327">
      <c r="A327" s="32" t="n"/>
      <c r="B327" s="33" t="n"/>
      <c r="C327" s="33" t="n"/>
      <c r="D327" s="33" t="n"/>
      <c r="E327" s="32" t="n"/>
      <c r="F327" s="32" t="n"/>
      <c r="G327" s="32" t="n"/>
      <c r="H327" s="32" t="n"/>
      <c r="I327" s="32" t="n"/>
      <c r="J327" s="34" t="n"/>
      <c r="K327" s="33" t="n"/>
      <c r="L327" s="32" t="n"/>
      <c r="M327" s="33" t="n"/>
      <c r="N327" s="33" t="n"/>
      <c r="O327" s="33" t="n"/>
      <c r="P327" s="32" t="n"/>
      <c r="Q327" s="33" t="n"/>
      <c r="R327" s="33" t="n"/>
      <c r="S327" s="33" t="n"/>
      <c r="T327" s="33" t="n"/>
      <c r="U327" s="32" t="n"/>
      <c r="V327" s="33" t="n"/>
      <c r="W327" s="33" t="n"/>
      <c r="X327" s="33" t="n"/>
      <c r="Y327" s="33" t="n"/>
      <c r="Z327" s="33" t="n"/>
      <c r="AA327" s="33" t="n"/>
      <c r="AB327" s="33" t="n"/>
      <c r="AC327" s="33" t="n"/>
      <c r="AD327" s="33" t="n"/>
      <c r="AE327" s="33" t="n"/>
      <c r="AF327" s="32" t="n"/>
      <c r="AG327" s="32" t="n"/>
      <c r="AH327" s="32" t="n"/>
      <c r="AI327" s="32" t="n"/>
      <c r="AJ327" s="32" t="n"/>
      <c r="AK327" s="32" t="n"/>
      <c r="AL327" s="32" t="n"/>
      <c r="AM327" s="32" t="n"/>
      <c r="AN327" s="32" t="n"/>
      <c r="AO327" s="32" t="n"/>
      <c r="AP327" s="32" t="n"/>
      <c r="AQ327" s="32" t="n"/>
      <c r="AR327" s="29">
        <f>IF(NOT(COUNTA(A327:AE327)&gt;0),"",IF(A327="","New client","Update"))</f>
        <v/>
      </c>
      <c r="AS327" s="29">
        <f>IF(BA327&lt;&gt;"",BA327,IF(LEN(AZ327)=15,MID(AZ327,3,10),""))</f>
        <v/>
      </c>
      <c r="AT327" s="29">
        <f>IF(BB327="","",BB327&amp;IF(D327="","  (guessed from PAN)",""))</f>
        <v/>
      </c>
      <c r="AU327" s="29">
        <f>IF(AZ327="","",IFERROR(INDEX(Lists!$L$2:$L$38,MATCH(LEFT(AZ327,2),Lists!$K$2:$K$38,0)),"Unknown code"))</f>
        <v/>
      </c>
      <c r="AV327" s="29">
        <f>IF(AZ327="","",IFERROR(IF(NOT(AND(LEN(AZ327)=15,ISNUMBER(MATCH(LEFT(AZ327,2),Lists!$K$2:$K$38,0)),SUMPRODUCT(--ISERROR(FIND(MID(MID(AZ327,3,10),{1,2,3,4,5,10},1),"ABCDEFGHIJKLMNOPQRSTUVWXYZ")))=0,SUMPRODUCT(--ISERROR(FIND(MID(MID(AZ327,3,10),{6,7,8,9},1),"0123456789")))=0,ISNUMBER(FIND(MID(AZ327,13,1),"123456789ABCDEFGHIJKLMNOPQRSTUVWXYZ")),MID(AZ327,14,1)="Z")),"Wrong format",IF(MID("0123456789ABCDEFGHIJKLMNOPQRSTUVWXYZ",MOD(36-MOD(SUMPRODUCT(INT((FIND(MID(AZ327,{1,2,3,4,5,6,7,8,9,10,11,12,13,14},1),"0123456789ABCDEFGHIJKLMNOPQRSTUVWXYZ")-1)*{1,2,1,2,1,2,1,2,1,2,1,2,1,2}/36)+MOD((FIND(MID(AZ327,{1,2,3,4,5,6,7,8,9,10,11,12,13,14},1),"0123456789ABCDEFGHIJKLMNOPQRSTUVWXYZ")-1)*{1,2,1,2,1,2,1,2,1,2,1,2,1,2},36)),36),36)+1,1)=MID(AZ327,15,1),"OK","Typo? check digit wrong")),"Wrong format"))</f>
        <v/>
      </c>
      <c r="AW327" s="29">
        <f>IF(BA327="","",IF(AND(LEN(BA327)=10,SUMPRODUCT(--ISERROR(FIND(MID(BA327,{1,2,3,4,5,10},1),"ABCDEFGHIJKLMNOPQRSTUVWXYZ")))=0,SUMPRODUCT(--ISERROR(FIND(MID(BA327,{6,7,8,9},1),"0123456789")))=0),"OK","Wrong format"))</f>
        <v/>
      </c>
      <c r="AX327" s="29">
        <f>IF(TRIM(H327)="","",IF(AND(LEN(UPPER(TRIM(H327)))=10,SUMPRODUCT(--ISERROR(FIND(MID(UPPER(TRIM(H327)),{1,2,3,4,10},1),"ABCDEFGHIJKLMNOPQRSTUVWXYZ")))=0,SUMPRODUCT(--ISERROR(FIND(MID(UPPER(TRIM(H327)),{5,6,7,8,9},1),"0123456789")))=0),"OK","Wrong format"))</f>
        <v/>
      </c>
      <c r="AY327" s="30">
        <f>IF(NOT(COUNTA(A327:AE327)&gt;0),"",IF(BE327&lt;&gt;"","✖ "&amp;LEFT(BE327,LEN(BE327)-2),IF(BD327&gt;0,"✔ Ready — client + "&amp;BD327&amp;" service(s)","✔ Ready — client only")))</f>
        <v/>
      </c>
      <c r="AZ327" s="31">
        <f>UPPER(SUBSTITUTE(TRIM(F327)," ",""))</f>
        <v/>
      </c>
      <c r="BA327" s="31">
        <f>UPPER(SUBSTITUTE(TRIM(E327)," ",""))</f>
        <v/>
      </c>
      <c r="BB327" s="31">
        <f>IF(D327&lt;&gt;"",D327,IFERROR(VLOOKUP(MID(AS327,4,1),Lists!$E$2:$F$8,2,FALSE),""))</f>
        <v/>
      </c>
      <c r="BC327" s="31">
        <f>IFERROR(VLOOKUP(BB327,Lists!$A$2:$C$12,3,FALSE),"")</f>
        <v/>
      </c>
      <c r="BD327" s="31">
        <f>COUNTIF(W327:AC327,"Yes")</f>
        <v/>
      </c>
      <c r="BE327" s="31">
        <f>IF(TRIM(B327)="","Legal name missing; ","")&amp;IF(AND(AV327&lt;&gt;"",AV327&lt;&gt;"OK"),"GSTIN: "&amp;AV327&amp;"; ","")&amp;IF(AND(AW327&lt;&gt;"",AW327&lt;&gt;"OK"),"PAN wrong format; ","")&amp;IF(AND(BA327&lt;&gt;"",LEN(AZ327)=15,MID(AZ327,3,10)&lt;&gt;BA327),"PAN does not match GSTIN; ","")&amp;IF(AND(AX327&lt;&gt;"",AX327&lt;&gt;"OK"),"TAN wrong format; ","")&amp;IF(AS327="","PAN missing; ","")&amp;IF(BB327="","Entity type missing; ","")&amp;IF(AND(AZ327&lt;&gt;"",COUNTIF($AZ$6:$AZ$1005,AZ327)&gt;1),"GSTIN repeated in this sheet; ","")&amp;IF(AND(AS327&lt;&gt;"",COUNTIF($AS$6:$AS$1005,AS327)&gt;1),"PAN repeated in this sheet (same client? put extra GSTINs in Other GSTINs); ","")&amp;IF(AND(BD327&gt;0,V327=""),"Financial year missing; ","")&amp;IF(AND(BD327=0,V327&lt;&gt;""),"Financial year given but no service is Yes; ","")&amp;IF(AND(W327="Yes",AZ327=""),"GST needs a GSTIN; ","")&amp;IF(AND(W327="Yes",X327=""),"GST return frequency missing; ","")&amp;IF(AND(Y327="Yes",TRIM(H327)=""),"TDS needs a TAN; ","")&amp;IF(AND(AA327="Yes",BC327&lt;&gt;"",BC327&lt;&gt;"company",BC327&lt;&gt;"llp"),"ROC is only for a company / LLP; ","")&amp;IF(AND(AA327="Yes",OR(BC327="company",BC327="llp"),TRIM(I327)=""),"ROC needs the CIN / LLPIN; ","")&amp;IF((TRIM(AF327)="")&lt;&gt;(TRIM(AG327)=""),"GST login needs both user ID and password; ","")&amp;IF((TRIM(AH327)="")&lt;&gt;(TRIM(AI327)=""),"Income-tax login needs both user ID and password; ","")&amp;IF((TRIM(AJ327)="")&lt;&gt;(TRIM(AK327)=""),"Income-tax login needs both user ID and password; ","")&amp;IF((TRIM(AL327)="")&lt;&gt;(TRIM(AM327)=""),"TRACES login needs both user ID and password; ","")&amp;IF((TRIM(AN327)="")&lt;&gt;(TRIM(AO327)=""),"MCA login needs both user ID and password; ","")&amp;IF((TRIM(AP327)="")&lt;&gt;(TRIM(AQ327)=""),"E-way bill login needs both user ID and password; ","")</f>
        <v/>
      </c>
    </row>
    <row r="328">
      <c r="A328" s="32" t="n"/>
      <c r="B328" s="33" t="n"/>
      <c r="C328" s="33" t="n"/>
      <c r="D328" s="33" t="n"/>
      <c r="E328" s="32" t="n"/>
      <c r="F328" s="32" t="n"/>
      <c r="G328" s="32" t="n"/>
      <c r="H328" s="32" t="n"/>
      <c r="I328" s="32" t="n"/>
      <c r="J328" s="34" t="n"/>
      <c r="K328" s="33" t="n"/>
      <c r="L328" s="32" t="n"/>
      <c r="M328" s="33" t="n"/>
      <c r="N328" s="33" t="n"/>
      <c r="O328" s="33" t="n"/>
      <c r="P328" s="32" t="n"/>
      <c r="Q328" s="33" t="n"/>
      <c r="R328" s="33" t="n"/>
      <c r="S328" s="33" t="n"/>
      <c r="T328" s="33" t="n"/>
      <c r="U328" s="32" t="n"/>
      <c r="V328" s="33" t="n"/>
      <c r="W328" s="33" t="n"/>
      <c r="X328" s="33" t="n"/>
      <c r="Y328" s="33" t="n"/>
      <c r="Z328" s="33" t="n"/>
      <c r="AA328" s="33" t="n"/>
      <c r="AB328" s="33" t="n"/>
      <c r="AC328" s="33" t="n"/>
      <c r="AD328" s="33" t="n"/>
      <c r="AE328" s="33" t="n"/>
      <c r="AF328" s="32" t="n"/>
      <c r="AG328" s="32" t="n"/>
      <c r="AH328" s="32" t="n"/>
      <c r="AI328" s="32" t="n"/>
      <c r="AJ328" s="32" t="n"/>
      <c r="AK328" s="32" t="n"/>
      <c r="AL328" s="32" t="n"/>
      <c r="AM328" s="32" t="n"/>
      <c r="AN328" s="32" t="n"/>
      <c r="AO328" s="32" t="n"/>
      <c r="AP328" s="32" t="n"/>
      <c r="AQ328" s="32" t="n"/>
      <c r="AR328" s="29">
        <f>IF(NOT(COUNTA(A328:AE328)&gt;0),"",IF(A328="","New client","Update"))</f>
        <v/>
      </c>
      <c r="AS328" s="29">
        <f>IF(BA328&lt;&gt;"",BA328,IF(LEN(AZ328)=15,MID(AZ328,3,10),""))</f>
        <v/>
      </c>
      <c r="AT328" s="29">
        <f>IF(BB328="","",BB328&amp;IF(D328="","  (guessed from PAN)",""))</f>
        <v/>
      </c>
      <c r="AU328" s="29">
        <f>IF(AZ328="","",IFERROR(INDEX(Lists!$L$2:$L$38,MATCH(LEFT(AZ328,2),Lists!$K$2:$K$38,0)),"Unknown code"))</f>
        <v/>
      </c>
      <c r="AV328" s="29">
        <f>IF(AZ328="","",IFERROR(IF(NOT(AND(LEN(AZ328)=15,ISNUMBER(MATCH(LEFT(AZ328,2),Lists!$K$2:$K$38,0)),SUMPRODUCT(--ISERROR(FIND(MID(MID(AZ328,3,10),{1,2,3,4,5,10},1),"ABCDEFGHIJKLMNOPQRSTUVWXYZ")))=0,SUMPRODUCT(--ISERROR(FIND(MID(MID(AZ328,3,10),{6,7,8,9},1),"0123456789")))=0,ISNUMBER(FIND(MID(AZ328,13,1),"123456789ABCDEFGHIJKLMNOPQRSTUVWXYZ")),MID(AZ328,14,1)="Z")),"Wrong format",IF(MID("0123456789ABCDEFGHIJKLMNOPQRSTUVWXYZ",MOD(36-MOD(SUMPRODUCT(INT((FIND(MID(AZ328,{1,2,3,4,5,6,7,8,9,10,11,12,13,14},1),"0123456789ABCDEFGHIJKLMNOPQRSTUVWXYZ")-1)*{1,2,1,2,1,2,1,2,1,2,1,2,1,2}/36)+MOD((FIND(MID(AZ328,{1,2,3,4,5,6,7,8,9,10,11,12,13,14},1),"0123456789ABCDEFGHIJKLMNOPQRSTUVWXYZ")-1)*{1,2,1,2,1,2,1,2,1,2,1,2,1,2},36)),36),36)+1,1)=MID(AZ328,15,1),"OK","Typo? check digit wrong")),"Wrong format"))</f>
        <v/>
      </c>
      <c r="AW328" s="29">
        <f>IF(BA328="","",IF(AND(LEN(BA328)=10,SUMPRODUCT(--ISERROR(FIND(MID(BA328,{1,2,3,4,5,10},1),"ABCDEFGHIJKLMNOPQRSTUVWXYZ")))=0,SUMPRODUCT(--ISERROR(FIND(MID(BA328,{6,7,8,9},1),"0123456789")))=0),"OK","Wrong format"))</f>
        <v/>
      </c>
      <c r="AX328" s="29">
        <f>IF(TRIM(H328)="","",IF(AND(LEN(UPPER(TRIM(H328)))=10,SUMPRODUCT(--ISERROR(FIND(MID(UPPER(TRIM(H328)),{1,2,3,4,10},1),"ABCDEFGHIJKLMNOPQRSTUVWXYZ")))=0,SUMPRODUCT(--ISERROR(FIND(MID(UPPER(TRIM(H328)),{5,6,7,8,9},1),"0123456789")))=0),"OK","Wrong format"))</f>
        <v/>
      </c>
      <c r="AY328" s="30">
        <f>IF(NOT(COUNTA(A328:AE328)&gt;0),"",IF(BE328&lt;&gt;"","✖ "&amp;LEFT(BE328,LEN(BE328)-2),IF(BD328&gt;0,"✔ Ready — client + "&amp;BD328&amp;" service(s)","✔ Ready — client only")))</f>
        <v/>
      </c>
      <c r="AZ328" s="31">
        <f>UPPER(SUBSTITUTE(TRIM(F328)," ",""))</f>
        <v/>
      </c>
      <c r="BA328" s="31">
        <f>UPPER(SUBSTITUTE(TRIM(E328)," ",""))</f>
        <v/>
      </c>
      <c r="BB328" s="31">
        <f>IF(D328&lt;&gt;"",D328,IFERROR(VLOOKUP(MID(AS328,4,1),Lists!$E$2:$F$8,2,FALSE),""))</f>
        <v/>
      </c>
      <c r="BC328" s="31">
        <f>IFERROR(VLOOKUP(BB328,Lists!$A$2:$C$12,3,FALSE),"")</f>
        <v/>
      </c>
      <c r="BD328" s="31">
        <f>COUNTIF(W328:AC328,"Yes")</f>
        <v/>
      </c>
      <c r="BE328" s="31">
        <f>IF(TRIM(B328)="","Legal name missing; ","")&amp;IF(AND(AV328&lt;&gt;"",AV328&lt;&gt;"OK"),"GSTIN: "&amp;AV328&amp;"; ","")&amp;IF(AND(AW328&lt;&gt;"",AW328&lt;&gt;"OK"),"PAN wrong format; ","")&amp;IF(AND(BA328&lt;&gt;"",LEN(AZ328)=15,MID(AZ328,3,10)&lt;&gt;BA328),"PAN does not match GSTIN; ","")&amp;IF(AND(AX328&lt;&gt;"",AX328&lt;&gt;"OK"),"TAN wrong format; ","")&amp;IF(AS328="","PAN missing; ","")&amp;IF(BB328="","Entity type missing; ","")&amp;IF(AND(AZ328&lt;&gt;"",COUNTIF($AZ$6:$AZ$1005,AZ328)&gt;1),"GSTIN repeated in this sheet; ","")&amp;IF(AND(AS328&lt;&gt;"",COUNTIF($AS$6:$AS$1005,AS328)&gt;1),"PAN repeated in this sheet (same client? put extra GSTINs in Other GSTINs); ","")&amp;IF(AND(BD328&gt;0,V328=""),"Financial year missing; ","")&amp;IF(AND(BD328=0,V328&lt;&gt;""),"Financial year given but no service is Yes; ","")&amp;IF(AND(W328="Yes",AZ328=""),"GST needs a GSTIN; ","")&amp;IF(AND(W328="Yes",X328=""),"GST return frequency missing; ","")&amp;IF(AND(Y328="Yes",TRIM(H328)=""),"TDS needs a TAN; ","")&amp;IF(AND(AA328="Yes",BC328&lt;&gt;"",BC328&lt;&gt;"company",BC328&lt;&gt;"llp"),"ROC is only for a company / LLP; ","")&amp;IF(AND(AA328="Yes",OR(BC328="company",BC328="llp"),TRIM(I328)=""),"ROC needs the CIN / LLPIN; ","")&amp;IF((TRIM(AF328)="")&lt;&gt;(TRIM(AG328)=""),"GST login needs both user ID and password; ","")&amp;IF((TRIM(AH328)="")&lt;&gt;(TRIM(AI328)=""),"Income-tax login needs both user ID and password; ","")&amp;IF((TRIM(AJ328)="")&lt;&gt;(TRIM(AK328)=""),"Income-tax login needs both user ID and password; ","")&amp;IF((TRIM(AL328)="")&lt;&gt;(TRIM(AM328)=""),"TRACES login needs both user ID and password; ","")&amp;IF((TRIM(AN328)="")&lt;&gt;(TRIM(AO328)=""),"MCA login needs both user ID and password; ","")&amp;IF((TRIM(AP328)="")&lt;&gt;(TRIM(AQ328)=""),"E-way bill login needs both user ID and password; ","")</f>
        <v/>
      </c>
    </row>
    <row r="329">
      <c r="A329" s="32" t="n"/>
      <c r="B329" s="33" t="n"/>
      <c r="C329" s="33" t="n"/>
      <c r="D329" s="33" t="n"/>
      <c r="E329" s="32" t="n"/>
      <c r="F329" s="32" t="n"/>
      <c r="G329" s="32" t="n"/>
      <c r="H329" s="32" t="n"/>
      <c r="I329" s="32" t="n"/>
      <c r="J329" s="34" t="n"/>
      <c r="K329" s="33" t="n"/>
      <c r="L329" s="32" t="n"/>
      <c r="M329" s="33" t="n"/>
      <c r="N329" s="33" t="n"/>
      <c r="O329" s="33" t="n"/>
      <c r="P329" s="32" t="n"/>
      <c r="Q329" s="33" t="n"/>
      <c r="R329" s="33" t="n"/>
      <c r="S329" s="33" t="n"/>
      <c r="T329" s="33" t="n"/>
      <c r="U329" s="32" t="n"/>
      <c r="V329" s="33" t="n"/>
      <c r="W329" s="33" t="n"/>
      <c r="X329" s="33" t="n"/>
      <c r="Y329" s="33" t="n"/>
      <c r="Z329" s="33" t="n"/>
      <c r="AA329" s="33" t="n"/>
      <c r="AB329" s="33" t="n"/>
      <c r="AC329" s="33" t="n"/>
      <c r="AD329" s="33" t="n"/>
      <c r="AE329" s="33" t="n"/>
      <c r="AF329" s="32" t="n"/>
      <c r="AG329" s="32" t="n"/>
      <c r="AH329" s="32" t="n"/>
      <c r="AI329" s="32" t="n"/>
      <c r="AJ329" s="32" t="n"/>
      <c r="AK329" s="32" t="n"/>
      <c r="AL329" s="32" t="n"/>
      <c r="AM329" s="32" t="n"/>
      <c r="AN329" s="32" t="n"/>
      <c r="AO329" s="32" t="n"/>
      <c r="AP329" s="32" t="n"/>
      <c r="AQ329" s="32" t="n"/>
      <c r="AR329" s="29">
        <f>IF(NOT(COUNTA(A329:AE329)&gt;0),"",IF(A329="","New client","Update"))</f>
        <v/>
      </c>
      <c r="AS329" s="29">
        <f>IF(BA329&lt;&gt;"",BA329,IF(LEN(AZ329)=15,MID(AZ329,3,10),""))</f>
        <v/>
      </c>
      <c r="AT329" s="29">
        <f>IF(BB329="","",BB329&amp;IF(D329="","  (guessed from PAN)",""))</f>
        <v/>
      </c>
      <c r="AU329" s="29">
        <f>IF(AZ329="","",IFERROR(INDEX(Lists!$L$2:$L$38,MATCH(LEFT(AZ329,2),Lists!$K$2:$K$38,0)),"Unknown code"))</f>
        <v/>
      </c>
      <c r="AV329" s="29">
        <f>IF(AZ329="","",IFERROR(IF(NOT(AND(LEN(AZ329)=15,ISNUMBER(MATCH(LEFT(AZ329,2),Lists!$K$2:$K$38,0)),SUMPRODUCT(--ISERROR(FIND(MID(MID(AZ329,3,10),{1,2,3,4,5,10},1),"ABCDEFGHIJKLMNOPQRSTUVWXYZ")))=0,SUMPRODUCT(--ISERROR(FIND(MID(MID(AZ329,3,10),{6,7,8,9},1),"0123456789")))=0,ISNUMBER(FIND(MID(AZ329,13,1),"123456789ABCDEFGHIJKLMNOPQRSTUVWXYZ")),MID(AZ329,14,1)="Z")),"Wrong format",IF(MID("0123456789ABCDEFGHIJKLMNOPQRSTUVWXYZ",MOD(36-MOD(SUMPRODUCT(INT((FIND(MID(AZ329,{1,2,3,4,5,6,7,8,9,10,11,12,13,14},1),"0123456789ABCDEFGHIJKLMNOPQRSTUVWXYZ")-1)*{1,2,1,2,1,2,1,2,1,2,1,2,1,2}/36)+MOD((FIND(MID(AZ329,{1,2,3,4,5,6,7,8,9,10,11,12,13,14},1),"0123456789ABCDEFGHIJKLMNOPQRSTUVWXYZ")-1)*{1,2,1,2,1,2,1,2,1,2,1,2,1,2},36)),36),36)+1,1)=MID(AZ329,15,1),"OK","Typo? check digit wrong")),"Wrong format"))</f>
        <v/>
      </c>
      <c r="AW329" s="29">
        <f>IF(BA329="","",IF(AND(LEN(BA329)=10,SUMPRODUCT(--ISERROR(FIND(MID(BA329,{1,2,3,4,5,10},1),"ABCDEFGHIJKLMNOPQRSTUVWXYZ")))=0,SUMPRODUCT(--ISERROR(FIND(MID(BA329,{6,7,8,9},1),"0123456789")))=0),"OK","Wrong format"))</f>
        <v/>
      </c>
      <c r="AX329" s="29">
        <f>IF(TRIM(H329)="","",IF(AND(LEN(UPPER(TRIM(H329)))=10,SUMPRODUCT(--ISERROR(FIND(MID(UPPER(TRIM(H329)),{1,2,3,4,10},1),"ABCDEFGHIJKLMNOPQRSTUVWXYZ")))=0,SUMPRODUCT(--ISERROR(FIND(MID(UPPER(TRIM(H329)),{5,6,7,8,9},1),"0123456789")))=0),"OK","Wrong format"))</f>
        <v/>
      </c>
      <c r="AY329" s="30">
        <f>IF(NOT(COUNTA(A329:AE329)&gt;0),"",IF(BE329&lt;&gt;"","✖ "&amp;LEFT(BE329,LEN(BE329)-2),IF(BD329&gt;0,"✔ Ready — client + "&amp;BD329&amp;" service(s)","✔ Ready — client only")))</f>
        <v/>
      </c>
      <c r="AZ329" s="31">
        <f>UPPER(SUBSTITUTE(TRIM(F329)," ",""))</f>
        <v/>
      </c>
      <c r="BA329" s="31">
        <f>UPPER(SUBSTITUTE(TRIM(E329)," ",""))</f>
        <v/>
      </c>
      <c r="BB329" s="31">
        <f>IF(D329&lt;&gt;"",D329,IFERROR(VLOOKUP(MID(AS329,4,1),Lists!$E$2:$F$8,2,FALSE),""))</f>
        <v/>
      </c>
      <c r="BC329" s="31">
        <f>IFERROR(VLOOKUP(BB329,Lists!$A$2:$C$12,3,FALSE),"")</f>
        <v/>
      </c>
      <c r="BD329" s="31">
        <f>COUNTIF(W329:AC329,"Yes")</f>
        <v/>
      </c>
      <c r="BE329" s="31">
        <f>IF(TRIM(B329)="","Legal name missing; ","")&amp;IF(AND(AV329&lt;&gt;"",AV329&lt;&gt;"OK"),"GSTIN: "&amp;AV329&amp;"; ","")&amp;IF(AND(AW329&lt;&gt;"",AW329&lt;&gt;"OK"),"PAN wrong format; ","")&amp;IF(AND(BA329&lt;&gt;"",LEN(AZ329)=15,MID(AZ329,3,10)&lt;&gt;BA329),"PAN does not match GSTIN; ","")&amp;IF(AND(AX329&lt;&gt;"",AX329&lt;&gt;"OK"),"TAN wrong format; ","")&amp;IF(AS329="","PAN missing; ","")&amp;IF(BB329="","Entity type missing; ","")&amp;IF(AND(AZ329&lt;&gt;"",COUNTIF($AZ$6:$AZ$1005,AZ329)&gt;1),"GSTIN repeated in this sheet; ","")&amp;IF(AND(AS329&lt;&gt;"",COUNTIF($AS$6:$AS$1005,AS329)&gt;1),"PAN repeated in this sheet (same client? put extra GSTINs in Other GSTINs); ","")&amp;IF(AND(BD329&gt;0,V329=""),"Financial year missing; ","")&amp;IF(AND(BD329=0,V329&lt;&gt;""),"Financial year given but no service is Yes; ","")&amp;IF(AND(W329="Yes",AZ329=""),"GST needs a GSTIN; ","")&amp;IF(AND(W329="Yes",X329=""),"GST return frequency missing; ","")&amp;IF(AND(Y329="Yes",TRIM(H329)=""),"TDS needs a TAN; ","")&amp;IF(AND(AA329="Yes",BC329&lt;&gt;"",BC329&lt;&gt;"company",BC329&lt;&gt;"llp"),"ROC is only for a company / LLP; ","")&amp;IF(AND(AA329="Yes",OR(BC329="company",BC329="llp"),TRIM(I329)=""),"ROC needs the CIN / LLPIN; ","")&amp;IF((TRIM(AF329)="")&lt;&gt;(TRIM(AG329)=""),"GST login needs both user ID and password; ","")&amp;IF((TRIM(AH329)="")&lt;&gt;(TRIM(AI329)=""),"Income-tax login needs both user ID and password; ","")&amp;IF((TRIM(AJ329)="")&lt;&gt;(TRIM(AK329)=""),"Income-tax login needs both user ID and password; ","")&amp;IF((TRIM(AL329)="")&lt;&gt;(TRIM(AM329)=""),"TRACES login needs both user ID and password; ","")&amp;IF((TRIM(AN329)="")&lt;&gt;(TRIM(AO329)=""),"MCA login needs both user ID and password; ","")&amp;IF((TRIM(AP329)="")&lt;&gt;(TRIM(AQ329)=""),"E-way bill login needs both user ID and password; ","")</f>
        <v/>
      </c>
    </row>
    <row r="330">
      <c r="A330" s="32" t="n"/>
      <c r="B330" s="33" t="n"/>
      <c r="C330" s="33" t="n"/>
      <c r="D330" s="33" t="n"/>
      <c r="E330" s="32" t="n"/>
      <c r="F330" s="32" t="n"/>
      <c r="G330" s="32" t="n"/>
      <c r="H330" s="32" t="n"/>
      <c r="I330" s="32" t="n"/>
      <c r="J330" s="34" t="n"/>
      <c r="K330" s="33" t="n"/>
      <c r="L330" s="32" t="n"/>
      <c r="M330" s="33" t="n"/>
      <c r="N330" s="33" t="n"/>
      <c r="O330" s="33" t="n"/>
      <c r="P330" s="32" t="n"/>
      <c r="Q330" s="33" t="n"/>
      <c r="R330" s="33" t="n"/>
      <c r="S330" s="33" t="n"/>
      <c r="T330" s="33" t="n"/>
      <c r="U330" s="32" t="n"/>
      <c r="V330" s="33" t="n"/>
      <c r="W330" s="33" t="n"/>
      <c r="X330" s="33" t="n"/>
      <c r="Y330" s="33" t="n"/>
      <c r="Z330" s="33" t="n"/>
      <c r="AA330" s="33" t="n"/>
      <c r="AB330" s="33" t="n"/>
      <c r="AC330" s="33" t="n"/>
      <c r="AD330" s="33" t="n"/>
      <c r="AE330" s="33" t="n"/>
      <c r="AF330" s="32" t="n"/>
      <c r="AG330" s="32" t="n"/>
      <c r="AH330" s="32" t="n"/>
      <c r="AI330" s="32" t="n"/>
      <c r="AJ330" s="32" t="n"/>
      <c r="AK330" s="32" t="n"/>
      <c r="AL330" s="32" t="n"/>
      <c r="AM330" s="32" t="n"/>
      <c r="AN330" s="32" t="n"/>
      <c r="AO330" s="32" t="n"/>
      <c r="AP330" s="32" t="n"/>
      <c r="AQ330" s="32" t="n"/>
      <c r="AR330" s="29">
        <f>IF(NOT(COUNTA(A330:AE330)&gt;0),"",IF(A330="","New client","Update"))</f>
        <v/>
      </c>
      <c r="AS330" s="29">
        <f>IF(BA330&lt;&gt;"",BA330,IF(LEN(AZ330)=15,MID(AZ330,3,10),""))</f>
        <v/>
      </c>
      <c r="AT330" s="29">
        <f>IF(BB330="","",BB330&amp;IF(D330="","  (guessed from PAN)",""))</f>
        <v/>
      </c>
      <c r="AU330" s="29">
        <f>IF(AZ330="","",IFERROR(INDEX(Lists!$L$2:$L$38,MATCH(LEFT(AZ330,2),Lists!$K$2:$K$38,0)),"Unknown code"))</f>
        <v/>
      </c>
      <c r="AV330" s="29">
        <f>IF(AZ330="","",IFERROR(IF(NOT(AND(LEN(AZ330)=15,ISNUMBER(MATCH(LEFT(AZ330,2),Lists!$K$2:$K$38,0)),SUMPRODUCT(--ISERROR(FIND(MID(MID(AZ330,3,10),{1,2,3,4,5,10},1),"ABCDEFGHIJKLMNOPQRSTUVWXYZ")))=0,SUMPRODUCT(--ISERROR(FIND(MID(MID(AZ330,3,10),{6,7,8,9},1),"0123456789")))=0,ISNUMBER(FIND(MID(AZ330,13,1),"123456789ABCDEFGHIJKLMNOPQRSTUVWXYZ")),MID(AZ330,14,1)="Z")),"Wrong format",IF(MID("0123456789ABCDEFGHIJKLMNOPQRSTUVWXYZ",MOD(36-MOD(SUMPRODUCT(INT((FIND(MID(AZ330,{1,2,3,4,5,6,7,8,9,10,11,12,13,14},1),"0123456789ABCDEFGHIJKLMNOPQRSTUVWXYZ")-1)*{1,2,1,2,1,2,1,2,1,2,1,2,1,2}/36)+MOD((FIND(MID(AZ330,{1,2,3,4,5,6,7,8,9,10,11,12,13,14},1),"0123456789ABCDEFGHIJKLMNOPQRSTUVWXYZ")-1)*{1,2,1,2,1,2,1,2,1,2,1,2,1,2},36)),36),36)+1,1)=MID(AZ330,15,1),"OK","Typo? check digit wrong")),"Wrong format"))</f>
        <v/>
      </c>
      <c r="AW330" s="29">
        <f>IF(BA330="","",IF(AND(LEN(BA330)=10,SUMPRODUCT(--ISERROR(FIND(MID(BA330,{1,2,3,4,5,10},1),"ABCDEFGHIJKLMNOPQRSTUVWXYZ")))=0,SUMPRODUCT(--ISERROR(FIND(MID(BA330,{6,7,8,9},1),"0123456789")))=0),"OK","Wrong format"))</f>
        <v/>
      </c>
      <c r="AX330" s="29">
        <f>IF(TRIM(H330)="","",IF(AND(LEN(UPPER(TRIM(H330)))=10,SUMPRODUCT(--ISERROR(FIND(MID(UPPER(TRIM(H330)),{1,2,3,4,10},1),"ABCDEFGHIJKLMNOPQRSTUVWXYZ")))=0,SUMPRODUCT(--ISERROR(FIND(MID(UPPER(TRIM(H330)),{5,6,7,8,9},1),"0123456789")))=0),"OK","Wrong format"))</f>
        <v/>
      </c>
      <c r="AY330" s="30">
        <f>IF(NOT(COUNTA(A330:AE330)&gt;0),"",IF(BE330&lt;&gt;"","✖ "&amp;LEFT(BE330,LEN(BE330)-2),IF(BD330&gt;0,"✔ Ready — client + "&amp;BD330&amp;" service(s)","✔ Ready — client only")))</f>
        <v/>
      </c>
      <c r="AZ330" s="31">
        <f>UPPER(SUBSTITUTE(TRIM(F330)," ",""))</f>
        <v/>
      </c>
      <c r="BA330" s="31">
        <f>UPPER(SUBSTITUTE(TRIM(E330)," ",""))</f>
        <v/>
      </c>
      <c r="BB330" s="31">
        <f>IF(D330&lt;&gt;"",D330,IFERROR(VLOOKUP(MID(AS330,4,1),Lists!$E$2:$F$8,2,FALSE),""))</f>
        <v/>
      </c>
      <c r="BC330" s="31">
        <f>IFERROR(VLOOKUP(BB330,Lists!$A$2:$C$12,3,FALSE),"")</f>
        <v/>
      </c>
      <c r="BD330" s="31">
        <f>COUNTIF(W330:AC330,"Yes")</f>
        <v/>
      </c>
      <c r="BE330" s="31">
        <f>IF(TRIM(B330)="","Legal name missing; ","")&amp;IF(AND(AV330&lt;&gt;"",AV330&lt;&gt;"OK"),"GSTIN: "&amp;AV330&amp;"; ","")&amp;IF(AND(AW330&lt;&gt;"",AW330&lt;&gt;"OK"),"PAN wrong format; ","")&amp;IF(AND(BA330&lt;&gt;"",LEN(AZ330)=15,MID(AZ330,3,10)&lt;&gt;BA330),"PAN does not match GSTIN; ","")&amp;IF(AND(AX330&lt;&gt;"",AX330&lt;&gt;"OK"),"TAN wrong format; ","")&amp;IF(AS330="","PAN missing; ","")&amp;IF(BB330="","Entity type missing; ","")&amp;IF(AND(AZ330&lt;&gt;"",COUNTIF($AZ$6:$AZ$1005,AZ330)&gt;1),"GSTIN repeated in this sheet; ","")&amp;IF(AND(AS330&lt;&gt;"",COUNTIF($AS$6:$AS$1005,AS330)&gt;1),"PAN repeated in this sheet (same client? put extra GSTINs in Other GSTINs); ","")&amp;IF(AND(BD330&gt;0,V330=""),"Financial year missing; ","")&amp;IF(AND(BD330=0,V330&lt;&gt;""),"Financial year given but no service is Yes; ","")&amp;IF(AND(W330="Yes",AZ330=""),"GST needs a GSTIN; ","")&amp;IF(AND(W330="Yes",X330=""),"GST return frequency missing; ","")&amp;IF(AND(Y330="Yes",TRIM(H330)=""),"TDS needs a TAN; ","")&amp;IF(AND(AA330="Yes",BC330&lt;&gt;"",BC330&lt;&gt;"company",BC330&lt;&gt;"llp"),"ROC is only for a company / LLP; ","")&amp;IF(AND(AA330="Yes",OR(BC330="company",BC330="llp"),TRIM(I330)=""),"ROC needs the CIN / LLPIN; ","")&amp;IF((TRIM(AF330)="")&lt;&gt;(TRIM(AG330)=""),"GST login needs both user ID and password; ","")&amp;IF((TRIM(AH330)="")&lt;&gt;(TRIM(AI330)=""),"Income-tax login needs both user ID and password; ","")&amp;IF((TRIM(AJ330)="")&lt;&gt;(TRIM(AK330)=""),"Income-tax login needs both user ID and password; ","")&amp;IF((TRIM(AL330)="")&lt;&gt;(TRIM(AM330)=""),"TRACES login needs both user ID and password; ","")&amp;IF((TRIM(AN330)="")&lt;&gt;(TRIM(AO330)=""),"MCA login needs both user ID and password; ","")&amp;IF((TRIM(AP330)="")&lt;&gt;(TRIM(AQ330)=""),"E-way bill login needs both user ID and password; ","")</f>
        <v/>
      </c>
    </row>
    <row r="331">
      <c r="A331" s="32" t="n"/>
      <c r="B331" s="33" t="n"/>
      <c r="C331" s="33" t="n"/>
      <c r="D331" s="33" t="n"/>
      <c r="E331" s="32" t="n"/>
      <c r="F331" s="32" t="n"/>
      <c r="G331" s="32" t="n"/>
      <c r="H331" s="32" t="n"/>
      <c r="I331" s="32" t="n"/>
      <c r="J331" s="34" t="n"/>
      <c r="K331" s="33" t="n"/>
      <c r="L331" s="32" t="n"/>
      <c r="M331" s="33" t="n"/>
      <c r="N331" s="33" t="n"/>
      <c r="O331" s="33" t="n"/>
      <c r="P331" s="32" t="n"/>
      <c r="Q331" s="33" t="n"/>
      <c r="R331" s="33" t="n"/>
      <c r="S331" s="33" t="n"/>
      <c r="T331" s="33" t="n"/>
      <c r="U331" s="32" t="n"/>
      <c r="V331" s="33" t="n"/>
      <c r="W331" s="33" t="n"/>
      <c r="X331" s="33" t="n"/>
      <c r="Y331" s="33" t="n"/>
      <c r="Z331" s="33" t="n"/>
      <c r="AA331" s="33" t="n"/>
      <c r="AB331" s="33" t="n"/>
      <c r="AC331" s="33" t="n"/>
      <c r="AD331" s="33" t="n"/>
      <c r="AE331" s="33" t="n"/>
      <c r="AF331" s="32" t="n"/>
      <c r="AG331" s="32" t="n"/>
      <c r="AH331" s="32" t="n"/>
      <c r="AI331" s="32" t="n"/>
      <c r="AJ331" s="32" t="n"/>
      <c r="AK331" s="32" t="n"/>
      <c r="AL331" s="32" t="n"/>
      <c r="AM331" s="32" t="n"/>
      <c r="AN331" s="32" t="n"/>
      <c r="AO331" s="32" t="n"/>
      <c r="AP331" s="32" t="n"/>
      <c r="AQ331" s="32" t="n"/>
      <c r="AR331" s="29">
        <f>IF(NOT(COUNTA(A331:AE331)&gt;0),"",IF(A331="","New client","Update"))</f>
        <v/>
      </c>
      <c r="AS331" s="29">
        <f>IF(BA331&lt;&gt;"",BA331,IF(LEN(AZ331)=15,MID(AZ331,3,10),""))</f>
        <v/>
      </c>
      <c r="AT331" s="29">
        <f>IF(BB331="","",BB331&amp;IF(D331="","  (guessed from PAN)",""))</f>
        <v/>
      </c>
      <c r="AU331" s="29">
        <f>IF(AZ331="","",IFERROR(INDEX(Lists!$L$2:$L$38,MATCH(LEFT(AZ331,2),Lists!$K$2:$K$38,0)),"Unknown code"))</f>
        <v/>
      </c>
      <c r="AV331" s="29">
        <f>IF(AZ331="","",IFERROR(IF(NOT(AND(LEN(AZ331)=15,ISNUMBER(MATCH(LEFT(AZ331,2),Lists!$K$2:$K$38,0)),SUMPRODUCT(--ISERROR(FIND(MID(MID(AZ331,3,10),{1,2,3,4,5,10},1),"ABCDEFGHIJKLMNOPQRSTUVWXYZ")))=0,SUMPRODUCT(--ISERROR(FIND(MID(MID(AZ331,3,10),{6,7,8,9},1),"0123456789")))=0,ISNUMBER(FIND(MID(AZ331,13,1),"123456789ABCDEFGHIJKLMNOPQRSTUVWXYZ")),MID(AZ331,14,1)="Z")),"Wrong format",IF(MID("0123456789ABCDEFGHIJKLMNOPQRSTUVWXYZ",MOD(36-MOD(SUMPRODUCT(INT((FIND(MID(AZ331,{1,2,3,4,5,6,7,8,9,10,11,12,13,14},1),"0123456789ABCDEFGHIJKLMNOPQRSTUVWXYZ")-1)*{1,2,1,2,1,2,1,2,1,2,1,2,1,2}/36)+MOD((FIND(MID(AZ331,{1,2,3,4,5,6,7,8,9,10,11,12,13,14},1),"0123456789ABCDEFGHIJKLMNOPQRSTUVWXYZ")-1)*{1,2,1,2,1,2,1,2,1,2,1,2,1,2},36)),36),36)+1,1)=MID(AZ331,15,1),"OK","Typo? check digit wrong")),"Wrong format"))</f>
        <v/>
      </c>
      <c r="AW331" s="29">
        <f>IF(BA331="","",IF(AND(LEN(BA331)=10,SUMPRODUCT(--ISERROR(FIND(MID(BA331,{1,2,3,4,5,10},1),"ABCDEFGHIJKLMNOPQRSTUVWXYZ")))=0,SUMPRODUCT(--ISERROR(FIND(MID(BA331,{6,7,8,9},1),"0123456789")))=0),"OK","Wrong format"))</f>
        <v/>
      </c>
      <c r="AX331" s="29">
        <f>IF(TRIM(H331)="","",IF(AND(LEN(UPPER(TRIM(H331)))=10,SUMPRODUCT(--ISERROR(FIND(MID(UPPER(TRIM(H331)),{1,2,3,4,10},1),"ABCDEFGHIJKLMNOPQRSTUVWXYZ")))=0,SUMPRODUCT(--ISERROR(FIND(MID(UPPER(TRIM(H331)),{5,6,7,8,9},1),"0123456789")))=0),"OK","Wrong format"))</f>
        <v/>
      </c>
      <c r="AY331" s="30">
        <f>IF(NOT(COUNTA(A331:AE331)&gt;0),"",IF(BE331&lt;&gt;"","✖ "&amp;LEFT(BE331,LEN(BE331)-2),IF(BD331&gt;0,"✔ Ready — client + "&amp;BD331&amp;" service(s)","✔ Ready — client only")))</f>
        <v/>
      </c>
      <c r="AZ331" s="31">
        <f>UPPER(SUBSTITUTE(TRIM(F331)," ",""))</f>
        <v/>
      </c>
      <c r="BA331" s="31">
        <f>UPPER(SUBSTITUTE(TRIM(E331)," ",""))</f>
        <v/>
      </c>
      <c r="BB331" s="31">
        <f>IF(D331&lt;&gt;"",D331,IFERROR(VLOOKUP(MID(AS331,4,1),Lists!$E$2:$F$8,2,FALSE),""))</f>
        <v/>
      </c>
      <c r="BC331" s="31">
        <f>IFERROR(VLOOKUP(BB331,Lists!$A$2:$C$12,3,FALSE),"")</f>
        <v/>
      </c>
      <c r="BD331" s="31">
        <f>COUNTIF(W331:AC331,"Yes")</f>
        <v/>
      </c>
      <c r="BE331" s="31">
        <f>IF(TRIM(B331)="","Legal name missing; ","")&amp;IF(AND(AV331&lt;&gt;"",AV331&lt;&gt;"OK"),"GSTIN: "&amp;AV331&amp;"; ","")&amp;IF(AND(AW331&lt;&gt;"",AW331&lt;&gt;"OK"),"PAN wrong format; ","")&amp;IF(AND(BA331&lt;&gt;"",LEN(AZ331)=15,MID(AZ331,3,10)&lt;&gt;BA331),"PAN does not match GSTIN; ","")&amp;IF(AND(AX331&lt;&gt;"",AX331&lt;&gt;"OK"),"TAN wrong format; ","")&amp;IF(AS331="","PAN missing; ","")&amp;IF(BB331="","Entity type missing; ","")&amp;IF(AND(AZ331&lt;&gt;"",COUNTIF($AZ$6:$AZ$1005,AZ331)&gt;1),"GSTIN repeated in this sheet; ","")&amp;IF(AND(AS331&lt;&gt;"",COUNTIF($AS$6:$AS$1005,AS331)&gt;1),"PAN repeated in this sheet (same client? put extra GSTINs in Other GSTINs); ","")&amp;IF(AND(BD331&gt;0,V331=""),"Financial year missing; ","")&amp;IF(AND(BD331=0,V331&lt;&gt;""),"Financial year given but no service is Yes; ","")&amp;IF(AND(W331="Yes",AZ331=""),"GST needs a GSTIN; ","")&amp;IF(AND(W331="Yes",X331=""),"GST return frequency missing; ","")&amp;IF(AND(Y331="Yes",TRIM(H331)=""),"TDS needs a TAN; ","")&amp;IF(AND(AA331="Yes",BC331&lt;&gt;"",BC331&lt;&gt;"company",BC331&lt;&gt;"llp"),"ROC is only for a company / LLP; ","")&amp;IF(AND(AA331="Yes",OR(BC331="company",BC331="llp"),TRIM(I331)=""),"ROC needs the CIN / LLPIN; ","")&amp;IF((TRIM(AF331)="")&lt;&gt;(TRIM(AG331)=""),"GST login needs both user ID and password; ","")&amp;IF((TRIM(AH331)="")&lt;&gt;(TRIM(AI331)=""),"Income-tax login needs both user ID and password; ","")&amp;IF((TRIM(AJ331)="")&lt;&gt;(TRIM(AK331)=""),"Income-tax login needs both user ID and password; ","")&amp;IF((TRIM(AL331)="")&lt;&gt;(TRIM(AM331)=""),"TRACES login needs both user ID and password; ","")&amp;IF((TRIM(AN331)="")&lt;&gt;(TRIM(AO331)=""),"MCA login needs both user ID and password; ","")&amp;IF((TRIM(AP331)="")&lt;&gt;(TRIM(AQ331)=""),"E-way bill login needs both user ID and password; ","")</f>
        <v/>
      </c>
    </row>
    <row r="332">
      <c r="A332" s="32" t="n"/>
      <c r="B332" s="33" t="n"/>
      <c r="C332" s="33" t="n"/>
      <c r="D332" s="33" t="n"/>
      <c r="E332" s="32" t="n"/>
      <c r="F332" s="32" t="n"/>
      <c r="G332" s="32" t="n"/>
      <c r="H332" s="32" t="n"/>
      <c r="I332" s="32" t="n"/>
      <c r="J332" s="34" t="n"/>
      <c r="K332" s="33" t="n"/>
      <c r="L332" s="32" t="n"/>
      <c r="M332" s="33" t="n"/>
      <c r="N332" s="33" t="n"/>
      <c r="O332" s="33" t="n"/>
      <c r="P332" s="32" t="n"/>
      <c r="Q332" s="33" t="n"/>
      <c r="R332" s="33" t="n"/>
      <c r="S332" s="33" t="n"/>
      <c r="T332" s="33" t="n"/>
      <c r="U332" s="32" t="n"/>
      <c r="V332" s="33" t="n"/>
      <c r="W332" s="33" t="n"/>
      <c r="X332" s="33" t="n"/>
      <c r="Y332" s="33" t="n"/>
      <c r="Z332" s="33" t="n"/>
      <c r="AA332" s="33" t="n"/>
      <c r="AB332" s="33" t="n"/>
      <c r="AC332" s="33" t="n"/>
      <c r="AD332" s="33" t="n"/>
      <c r="AE332" s="33" t="n"/>
      <c r="AF332" s="32" t="n"/>
      <c r="AG332" s="32" t="n"/>
      <c r="AH332" s="32" t="n"/>
      <c r="AI332" s="32" t="n"/>
      <c r="AJ332" s="32" t="n"/>
      <c r="AK332" s="32" t="n"/>
      <c r="AL332" s="32" t="n"/>
      <c r="AM332" s="32" t="n"/>
      <c r="AN332" s="32" t="n"/>
      <c r="AO332" s="32" t="n"/>
      <c r="AP332" s="32" t="n"/>
      <c r="AQ332" s="32" t="n"/>
      <c r="AR332" s="29">
        <f>IF(NOT(COUNTA(A332:AE332)&gt;0),"",IF(A332="","New client","Update"))</f>
        <v/>
      </c>
      <c r="AS332" s="29">
        <f>IF(BA332&lt;&gt;"",BA332,IF(LEN(AZ332)=15,MID(AZ332,3,10),""))</f>
        <v/>
      </c>
      <c r="AT332" s="29">
        <f>IF(BB332="","",BB332&amp;IF(D332="","  (guessed from PAN)",""))</f>
        <v/>
      </c>
      <c r="AU332" s="29">
        <f>IF(AZ332="","",IFERROR(INDEX(Lists!$L$2:$L$38,MATCH(LEFT(AZ332,2),Lists!$K$2:$K$38,0)),"Unknown code"))</f>
        <v/>
      </c>
      <c r="AV332" s="29">
        <f>IF(AZ332="","",IFERROR(IF(NOT(AND(LEN(AZ332)=15,ISNUMBER(MATCH(LEFT(AZ332,2),Lists!$K$2:$K$38,0)),SUMPRODUCT(--ISERROR(FIND(MID(MID(AZ332,3,10),{1,2,3,4,5,10},1),"ABCDEFGHIJKLMNOPQRSTUVWXYZ")))=0,SUMPRODUCT(--ISERROR(FIND(MID(MID(AZ332,3,10),{6,7,8,9},1),"0123456789")))=0,ISNUMBER(FIND(MID(AZ332,13,1),"123456789ABCDEFGHIJKLMNOPQRSTUVWXYZ")),MID(AZ332,14,1)="Z")),"Wrong format",IF(MID("0123456789ABCDEFGHIJKLMNOPQRSTUVWXYZ",MOD(36-MOD(SUMPRODUCT(INT((FIND(MID(AZ332,{1,2,3,4,5,6,7,8,9,10,11,12,13,14},1),"0123456789ABCDEFGHIJKLMNOPQRSTUVWXYZ")-1)*{1,2,1,2,1,2,1,2,1,2,1,2,1,2}/36)+MOD((FIND(MID(AZ332,{1,2,3,4,5,6,7,8,9,10,11,12,13,14},1),"0123456789ABCDEFGHIJKLMNOPQRSTUVWXYZ")-1)*{1,2,1,2,1,2,1,2,1,2,1,2,1,2},36)),36),36)+1,1)=MID(AZ332,15,1),"OK","Typo? check digit wrong")),"Wrong format"))</f>
        <v/>
      </c>
      <c r="AW332" s="29">
        <f>IF(BA332="","",IF(AND(LEN(BA332)=10,SUMPRODUCT(--ISERROR(FIND(MID(BA332,{1,2,3,4,5,10},1),"ABCDEFGHIJKLMNOPQRSTUVWXYZ")))=0,SUMPRODUCT(--ISERROR(FIND(MID(BA332,{6,7,8,9},1),"0123456789")))=0),"OK","Wrong format"))</f>
        <v/>
      </c>
      <c r="AX332" s="29">
        <f>IF(TRIM(H332)="","",IF(AND(LEN(UPPER(TRIM(H332)))=10,SUMPRODUCT(--ISERROR(FIND(MID(UPPER(TRIM(H332)),{1,2,3,4,10},1),"ABCDEFGHIJKLMNOPQRSTUVWXYZ")))=0,SUMPRODUCT(--ISERROR(FIND(MID(UPPER(TRIM(H332)),{5,6,7,8,9},1),"0123456789")))=0),"OK","Wrong format"))</f>
        <v/>
      </c>
      <c r="AY332" s="30">
        <f>IF(NOT(COUNTA(A332:AE332)&gt;0),"",IF(BE332&lt;&gt;"","✖ "&amp;LEFT(BE332,LEN(BE332)-2),IF(BD332&gt;0,"✔ Ready — client + "&amp;BD332&amp;" service(s)","✔ Ready — client only")))</f>
        <v/>
      </c>
      <c r="AZ332" s="31">
        <f>UPPER(SUBSTITUTE(TRIM(F332)," ",""))</f>
        <v/>
      </c>
      <c r="BA332" s="31">
        <f>UPPER(SUBSTITUTE(TRIM(E332)," ",""))</f>
        <v/>
      </c>
      <c r="BB332" s="31">
        <f>IF(D332&lt;&gt;"",D332,IFERROR(VLOOKUP(MID(AS332,4,1),Lists!$E$2:$F$8,2,FALSE),""))</f>
        <v/>
      </c>
      <c r="BC332" s="31">
        <f>IFERROR(VLOOKUP(BB332,Lists!$A$2:$C$12,3,FALSE),"")</f>
        <v/>
      </c>
      <c r="BD332" s="31">
        <f>COUNTIF(W332:AC332,"Yes")</f>
        <v/>
      </c>
      <c r="BE332" s="31">
        <f>IF(TRIM(B332)="","Legal name missing; ","")&amp;IF(AND(AV332&lt;&gt;"",AV332&lt;&gt;"OK"),"GSTIN: "&amp;AV332&amp;"; ","")&amp;IF(AND(AW332&lt;&gt;"",AW332&lt;&gt;"OK"),"PAN wrong format; ","")&amp;IF(AND(BA332&lt;&gt;"",LEN(AZ332)=15,MID(AZ332,3,10)&lt;&gt;BA332),"PAN does not match GSTIN; ","")&amp;IF(AND(AX332&lt;&gt;"",AX332&lt;&gt;"OK"),"TAN wrong format; ","")&amp;IF(AS332="","PAN missing; ","")&amp;IF(BB332="","Entity type missing; ","")&amp;IF(AND(AZ332&lt;&gt;"",COUNTIF($AZ$6:$AZ$1005,AZ332)&gt;1),"GSTIN repeated in this sheet; ","")&amp;IF(AND(AS332&lt;&gt;"",COUNTIF($AS$6:$AS$1005,AS332)&gt;1),"PAN repeated in this sheet (same client? put extra GSTINs in Other GSTINs); ","")&amp;IF(AND(BD332&gt;0,V332=""),"Financial year missing; ","")&amp;IF(AND(BD332=0,V332&lt;&gt;""),"Financial year given but no service is Yes; ","")&amp;IF(AND(W332="Yes",AZ332=""),"GST needs a GSTIN; ","")&amp;IF(AND(W332="Yes",X332=""),"GST return frequency missing; ","")&amp;IF(AND(Y332="Yes",TRIM(H332)=""),"TDS needs a TAN; ","")&amp;IF(AND(AA332="Yes",BC332&lt;&gt;"",BC332&lt;&gt;"company",BC332&lt;&gt;"llp"),"ROC is only for a company / LLP; ","")&amp;IF(AND(AA332="Yes",OR(BC332="company",BC332="llp"),TRIM(I332)=""),"ROC needs the CIN / LLPIN; ","")&amp;IF((TRIM(AF332)="")&lt;&gt;(TRIM(AG332)=""),"GST login needs both user ID and password; ","")&amp;IF((TRIM(AH332)="")&lt;&gt;(TRIM(AI332)=""),"Income-tax login needs both user ID and password; ","")&amp;IF((TRIM(AJ332)="")&lt;&gt;(TRIM(AK332)=""),"Income-tax login needs both user ID and password; ","")&amp;IF((TRIM(AL332)="")&lt;&gt;(TRIM(AM332)=""),"TRACES login needs both user ID and password; ","")&amp;IF((TRIM(AN332)="")&lt;&gt;(TRIM(AO332)=""),"MCA login needs both user ID and password; ","")&amp;IF((TRIM(AP332)="")&lt;&gt;(TRIM(AQ332)=""),"E-way bill login needs both user ID and password; ","")</f>
        <v/>
      </c>
    </row>
    <row r="333">
      <c r="A333" s="32" t="n"/>
      <c r="B333" s="33" t="n"/>
      <c r="C333" s="33" t="n"/>
      <c r="D333" s="33" t="n"/>
      <c r="E333" s="32" t="n"/>
      <c r="F333" s="32" t="n"/>
      <c r="G333" s="32" t="n"/>
      <c r="H333" s="32" t="n"/>
      <c r="I333" s="32" t="n"/>
      <c r="J333" s="34" t="n"/>
      <c r="K333" s="33" t="n"/>
      <c r="L333" s="32" t="n"/>
      <c r="M333" s="33" t="n"/>
      <c r="N333" s="33" t="n"/>
      <c r="O333" s="33" t="n"/>
      <c r="P333" s="32" t="n"/>
      <c r="Q333" s="33" t="n"/>
      <c r="R333" s="33" t="n"/>
      <c r="S333" s="33" t="n"/>
      <c r="T333" s="33" t="n"/>
      <c r="U333" s="32" t="n"/>
      <c r="V333" s="33" t="n"/>
      <c r="W333" s="33" t="n"/>
      <c r="X333" s="33" t="n"/>
      <c r="Y333" s="33" t="n"/>
      <c r="Z333" s="33" t="n"/>
      <c r="AA333" s="33" t="n"/>
      <c r="AB333" s="33" t="n"/>
      <c r="AC333" s="33" t="n"/>
      <c r="AD333" s="33" t="n"/>
      <c r="AE333" s="33" t="n"/>
      <c r="AF333" s="32" t="n"/>
      <c r="AG333" s="32" t="n"/>
      <c r="AH333" s="32" t="n"/>
      <c r="AI333" s="32" t="n"/>
      <c r="AJ333" s="32" t="n"/>
      <c r="AK333" s="32" t="n"/>
      <c r="AL333" s="32" t="n"/>
      <c r="AM333" s="32" t="n"/>
      <c r="AN333" s="32" t="n"/>
      <c r="AO333" s="32" t="n"/>
      <c r="AP333" s="32" t="n"/>
      <c r="AQ333" s="32" t="n"/>
      <c r="AR333" s="29">
        <f>IF(NOT(COUNTA(A333:AE333)&gt;0),"",IF(A333="","New client","Update"))</f>
        <v/>
      </c>
      <c r="AS333" s="29">
        <f>IF(BA333&lt;&gt;"",BA333,IF(LEN(AZ333)=15,MID(AZ333,3,10),""))</f>
        <v/>
      </c>
      <c r="AT333" s="29">
        <f>IF(BB333="","",BB333&amp;IF(D333="","  (guessed from PAN)",""))</f>
        <v/>
      </c>
      <c r="AU333" s="29">
        <f>IF(AZ333="","",IFERROR(INDEX(Lists!$L$2:$L$38,MATCH(LEFT(AZ333,2),Lists!$K$2:$K$38,0)),"Unknown code"))</f>
        <v/>
      </c>
      <c r="AV333" s="29">
        <f>IF(AZ333="","",IFERROR(IF(NOT(AND(LEN(AZ333)=15,ISNUMBER(MATCH(LEFT(AZ333,2),Lists!$K$2:$K$38,0)),SUMPRODUCT(--ISERROR(FIND(MID(MID(AZ333,3,10),{1,2,3,4,5,10},1),"ABCDEFGHIJKLMNOPQRSTUVWXYZ")))=0,SUMPRODUCT(--ISERROR(FIND(MID(MID(AZ333,3,10),{6,7,8,9},1),"0123456789")))=0,ISNUMBER(FIND(MID(AZ333,13,1),"123456789ABCDEFGHIJKLMNOPQRSTUVWXYZ")),MID(AZ333,14,1)="Z")),"Wrong format",IF(MID("0123456789ABCDEFGHIJKLMNOPQRSTUVWXYZ",MOD(36-MOD(SUMPRODUCT(INT((FIND(MID(AZ333,{1,2,3,4,5,6,7,8,9,10,11,12,13,14},1),"0123456789ABCDEFGHIJKLMNOPQRSTUVWXYZ")-1)*{1,2,1,2,1,2,1,2,1,2,1,2,1,2}/36)+MOD((FIND(MID(AZ333,{1,2,3,4,5,6,7,8,9,10,11,12,13,14},1),"0123456789ABCDEFGHIJKLMNOPQRSTUVWXYZ")-1)*{1,2,1,2,1,2,1,2,1,2,1,2,1,2},36)),36),36)+1,1)=MID(AZ333,15,1),"OK","Typo? check digit wrong")),"Wrong format"))</f>
        <v/>
      </c>
      <c r="AW333" s="29">
        <f>IF(BA333="","",IF(AND(LEN(BA333)=10,SUMPRODUCT(--ISERROR(FIND(MID(BA333,{1,2,3,4,5,10},1),"ABCDEFGHIJKLMNOPQRSTUVWXYZ")))=0,SUMPRODUCT(--ISERROR(FIND(MID(BA333,{6,7,8,9},1),"0123456789")))=0),"OK","Wrong format"))</f>
        <v/>
      </c>
      <c r="AX333" s="29">
        <f>IF(TRIM(H333)="","",IF(AND(LEN(UPPER(TRIM(H333)))=10,SUMPRODUCT(--ISERROR(FIND(MID(UPPER(TRIM(H333)),{1,2,3,4,10},1),"ABCDEFGHIJKLMNOPQRSTUVWXYZ")))=0,SUMPRODUCT(--ISERROR(FIND(MID(UPPER(TRIM(H333)),{5,6,7,8,9},1),"0123456789")))=0),"OK","Wrong format"))</f>
        <v/>
      </c>
      <c r="AY333" s="30">
        <f>IF(NOT(COUNTA(A333:AE333)&gt;0),"",IF(BE333&lt;&gt;"","✖ "&amp;LEFT(BE333,LEN(BE333)-2),IF(BD333&gt;0,"✔ Ready — client + "&amp;BD333&amp;" service(s)","✔ Ready — client only")))</f>
        <v/>
      </c>
      <c r="AZ333" s="31">
        <f>UPPER(SUBSTITUTE(TRIM(F333)," ",""))</f>
        <v/>
      </c>
      <c r="BA333" s="31">
        <f>UPPER(SUBSTITUTE(TRIM(E333)," ",""))</f>
        <v/>
      </c>
      <c r="BB333" s="31">
        <f>IF(D333&lt;&gt;"",D333,IFERROR(VLOOKUP(MID(AS333,4,1),Lists!$E$2:$F$8,2,FALSE),""))</f>
        <v/>
      </c>
      <c r="BC333" s="31">
        <f>IFERROR(VLOOKUP(BB333,Lists!$A$2:$C$12,3,FALSE),"")</f>
        <v/>
      </c>
      <c r="BD333" s="31">
        <f>COUNTIF(W333:AC333,"Yes")</f>
        <v/>
      </c>
      <c r="BE333" s="31">
        <f>IF(TRIM(B333)="","Legal name missing; ","")&amp;IF(AND(AV333&lt;&gt;"",AV333&lt;&gt;"OK"),"GSTIN: "&amp;AV333&amp;"; ","")&amp;IF(AND(AW333&lt;&gt;"",AW333&lt;&gt;"OK"),"PAN wrong format; ","")&amp;IF(AND(BA333&lt;&gt;"",LEN(AZ333)=15,MID(AZ333,3,10)&lt;&gt;BA333),"PAN does not match GSTIN; ","")&amp;IF(AND(AX333&lt;&gt;"",AX333&lt;&gt;"OK"),"TAN wrong format; ","")&amp;IF(AS333="","PAN missing; ","")&amp;IF(BB333="","Entity type missing; ","")&amp;IF(AND(AZ333&lt;&gt;"",COUNTIF($AZ$6:$AZ$1005,AZ333)&gt;1),"GSTIN repeated in this sheet; ","")&amp;IF(AND(AS333&lt;&gt;"",COUNTIF($AS$6:$AS$1005,AS333)&gt;1),"PAN repeated in this sheet (same client? put extra GSTINs in Other GSTINs); ","")&amp;IF(AND(BD333&gt;0,V333=""),"Financial year missing; ","")&amp;IF(AND(BD333=0,V333&lt;&gt;""),"Financial year given but no service is Yes; ","")&amp;IF(AND(W333="Yes",AZ333=""),"GST needs a GSTIN; ","")&amp;IF(AND(W333="Yes",X333=""),"GST return frequency missing; ","")&amp;IF(AND(Y333="Yes",TRIM(H333)=""),"TDS needs a TAN; ","")&amp;IF(AND(AA333="Yes",BC333&lt;&gt;"",BC333&lt;&gt;"company",BC333&lt;&gt;"llp"),"ROC is only for a company / LLP; ","")&amp;IF(AND(AA333="Yes",OR(BC333="company",BC333="llp"),TRIM(I333)=""),"ROC needs the CIN / LLPIN; ","")&amp;IF((TRIM(AF333)="")&lt;&gt;(TRIM(AG333)=""),"GST login needs both user ID and password; ","")&amp;IF((TRIM(AH333)="")&lt;&gt;(TRIM(AI333)=""),"Income-tax login needs both user ID and password; ","")&amp;IF((TRIM(AJ333)="")&lt;&gt;(TRIM(AK333)=""),"Income-tax login needs both user ID and password; ","")&amp;IF((TRIM(AL333)="")&lt;&gt;(TRIM(AM333)=""),"TRACES login needs both user ID and password; ","")&amp;IF((TRIM(AN333)="")&lt;&gt;(TRIM(AO333)=""),"MCA login needs both user ID and password; ","")&amp;IF((TRIM(AP333)="")&lt;&gt;(TRIM(AQ333)=""),"E-way bill login needs both user ID and password; ","")</f>
        <v/>
      </c>
    </row>
    <row r="334">
      <c r="A334" s="32" t="n"/>
      <c r="B334" s="33" t="n"/>
      <c r="C334" s="33" t="n"/>
      <c r="D334" s="33" t="n"/>
      <c r="E334" s="32" t="n"/>
      <c r="F334" s="32" t="n"/>
      <c r="G334" s="32" t="n"/>
      <c r="H334" s="32" t="n"/>
      <c r="I334" s="32" t="n"/>
      <c r="J334" s="34" t="n"/>
      <c r="K334" s="33" t="n"/>
      <c r="L334" s="32" t="n"/>
      <c r="M334" s="33" t="n"/>
      <c r="N334" s="33" t="n"/>
      <c r="O334" s="33" t="n"/>
      <c r="P334" s="32" t="n"/>
      <c r="Q334" s="33" t="n"/>
      <c r="R334" s="33" t="n"/>
      <c r="S334" s="33" t="n"/>
      <c r="T334" s="33" t="n"/>
      <c r="U334" s="32" t="n"/>
      <c r="V334" s="33" t="n"/>
      <c r="W334" s="33" t="n"/>
      <c r="X334" s="33" t="n"/>
      <c r="Y334" s="33" t="n"/>
      <c r="Z334" s="33" t="n"/>
      <c r="AA334" s="33" t="n"/>
      <c r="AB334" s="33" t="n"/>
      <c r="AC334" s="33" t="n"/>
      <c r="AD334" s="33" t="n"/>
      <c r="AE334" s="33" t="n"/>
      <c r="AF334" s="32" t="n"/>
      <c r="AG334" s="32" t="n"/>
      <c r="AH334" s="32" t="n"/>
      <c r="AI334" s="32" t="n"/>
      <c r="AJ334" s="32" t="n"/>
      <c r="AK334" s="32" t="n"/>
      <c r="AL334" s="32" t="n"/>
      <c r="AM334" s="32" t="n"/>
      <c r="AN334" s="32" t="n"/>
      <c r="AO334" s="32" t="n"/>
      <c r="AP334" s="32" t="n"/>
      <c r="AQ334" s="32" t="n"/>
      <c r="AR334" s="29">
        <f>IF(NOT(COUNTA(A334:AE334)&gt;0),"",IF(A334="","New client","Update"))</f>
        <v/>
      </c>
      <c r="AS334" s="29">
        <f>IF(BA334&lt;&gt;"",BA334,IF(LEN(AZ334)=15,MID(AZ334,3,10),""))</f>
        <v/>
      </c>
      <c r="AT334" s="29">
        <f>IF(BB334="","",BB334&amp;IF(D334="","  (guessed from PAN)",""))</f>
        <v/>
      </c>
      <c r="AU334" s="29">
        <f>IF(AZ334="","",IFERROR(INDEX(Lists!$L$2:$L$38,MATCH(LEFT(AZ334,2),Lists!$K$2:$K$38,0)),"Unknown code"))</f>
        <v/>
      </c>
      <c r="AV334" s="29">
        <f>IF(AZ334="","",IFERROR(IF(NOT(AND(LEN(AZ334)=15,ISNUMBER(MATCH(LEFT(AZ334,2),Lists!$K$2:$K$38,0)),SUMPRODUCT(--ISERROR(FIND(MID(MID(AZ334,3,10),{1,2,3,4,5,10},1),"ABCDEFGHIJKLMNOPQRSTUVWXYZ")))=0,SUMPRODUCT(--ISERROR(FIND(MID(MID(AZ334,3,10),{6,7,8,9},1),"0123456789")))=0,ISNUMBER(FIND(MID(AZ334,13,1),"123456789ABCDEFGHIJKLMNOPQRSTUVWXYZ")),MID(AZ334,14,1)="Z")),"Wrong format",IF(MID("0123456789ABCDEFGHIJKLMNOPQRSTUVWXYZ",MOD(36-MOD(SUMPRODUCT(INT((FIND(MID(AZ334,{1,2,3,4,5,6,7,8,9,10,11,12,13,14},1),"0123456789ABCDEFGHIJKLMNOPQRSTUVWXYZ")-1)*{1,2,1,2,1,2,1,2,1,2,1,2,1,2}/36)+MOD((FIND(MID(AZ334,{1,2,3,4,5,6,7,8,9,10,11,12,13,14},1),"0123456789ABCDEFGHIJKLMNOPQRSTUVWXYZ")-1)*{1,2,1,2,1,2,1,2,1,2,1,2,1,2},36)),36),36)+1,1)=MID(AZ334,15,1),"OK","Typo? check digit wrong")),"Wrong format"))</f>
        <v/>
      </c>
      <c r="AW334" s="29">
        <f>IF(BA334="","",IF(AND(LEN(BA334)=10,SUMPRODUCT(--ISERROR(FIND(MID(BA334,{1,2,3,4,5,10},1),"ABCDEFGHIJKLMNOPQRSTUVWXYZ")))=0,SUMPRODUCT(--ISERROR(FIND(MID(BA334,{6,7,8,9},1),"0123456789")))=0),"OK","Wrong format"))</f>
        <v/>
      </c>
      <c r="AX334" s="29">
        <f>IF(TRIM(H334)="","",IF(AND(LEN(UPPER(TRIM(H334)))=10,SUMPRODUCT(--ISERROR(FIND(MID(UPPER(TRIM(H334)),{1,2,3,4,10},1),"ABCDEFGHIJKLMNOPQRSTUVWXYZ")))=0,SUMPRODUCT(--ISERROR(FIND(MID(UPPER(TRIM(H334)),{5,6,7,8,9},1),"0123456789")))=0),"OK","Wrong format"))</f>
        <v/>
      </c>
      <c r="AY334" s="30">
        <f>IF(NOT(COUNTA(A334:AE334)&gt;0),"",IF(BE334&lt;&gt;"","✖ "&amp;LEFT(BE334,LEN(BE334)-2),IF(BD334&gt;0,"✔ Ready — client + "&amp;BD334&amp;" service(s)","✔ Ready — client only")))</f>
        <v/>
      </c>
      <c r="AZ334" s="31">
        <f>UPPER(SUBSTITUTE(TRIM(F334)," ",""))</f>
        <v/>
      </c>
      <c r="BA334" s="31">
        <f>UPPER(SUBSTITUTE(TRIM(E334)," ",""))</f>
        <v/>
      </c>
      <c r="BB334" s="31">
        <f>IF(D334&lt;&gt;"",D334,IFERROR(VLOOKUP(MID(AS334,4,1),Lists!$E$2:$F$8,2,FALSE),""))</f>
        <v/>
      </c>
      <c r="BC334" s="31">
        <f>IFERROR(VLOOKUP(BB334,Lists!$A$2:$C$12,3,FALSE),"")</f>
        <v/>
      </c>
      <c r="BD334" s="31">
        <f>COUNTIF(W334:AC334,"Yes")</f>
        <v/>
      </c>
      <c r="BE334" s="31">
        <f>IF(TRIM(B334)="","Legal name missing; ","")&amp;IF(AND(AV334&lt;&gt;"",AV334&lt;&gt;"OK"),"GSTIN: "&amp;AV334&amp;"; ","")&amp;IF(AND(AW334&lt;&gt;"",AW334&lt;&gt;"OK"),"PAN wrong format; ","")&amp;IF(AND(BA334&lt;&gt;"",LEN(AZ334)=15,MID(AZ334,3,10)&lt;&gt;BA334),"PAN does not match GSTIN; ","")&amp;IF(AND(AX334&lt;&gt;"",AX334&lt;&gt;"OK"),"TAN wrong format; ","")&amp;IF(AS334="","PAN missing; ","")&amp;IF(BB334="","Entity type missing; ","")&amp;IF(AND(AZ334&lt;&gt;"",COUNTIF($AZ$6:$AZ$1005,AZ334)&gt;1),"GSTIN repeated in this sheet; ","")&amp;IF(AND(AS334&lt;&gt;"",COUNTIF($AS$6:$AS$1005,AS334)&gt;1),"PAN repeated in this sheet (same client? put extra GSTINs in Other GSTINs); ","")&amp;IF(AND(BD334&gt;0,V334=""),"Financial year missing; ","")&amp;IF(AND(BD334=0,V334&lt;&gt;""),"Financial year given but no service is Yes; ","")&amp;IF(AND(W334="Yes",AZ334=""),"GST needs a GSTIN; ","")&amp;IF(AND(W334="Yes",X334=""),"GST return frequency missing; ","")&amp;IF(AND(Y334="Yes",TRIM(H334)=""),"TDS needs a TAN; ","")&amp;IF(AND(AA334="Yes",BC334&lt;&gt;"",BC334&lt;&gt;"company",BC334&lt;&gt;"llp"),"ROC is only for a company / LLP; ","")&amp;IF(AND(AA334="Yes",OR(BC334="company",BC334="llp"),TRIM(I334)=""),"ROC needs the CIN / LLPIN; ","")&amp;IF((TRIM(AF334)="")&lt;&gt;(TRIM(AG334)=""),"GST login needs both user ID and password; ","")&amp;IF((TRIM(AH334)="")&lt;&gt;(TRIM(AI334)=""),"Income-tax login needs both user ID and password; ","")&amp;IF((TRIM(AJ334)="")&lt;&gt;(TRIM(AK334)=""),"Income-tax login needs both user ID and password; ","")&amp;IF((TRIM(AL334)="")&lt;&gt;(TRIM(AM334)=""),"TRACES login needs both user ID and password; ","")&amp;IF((TRIM(AN334)="")&lt;&gt;(TRIM(AO334)=""),"MCA login needs both user ID and password; ","")&amp;IF((TRIM(AP334)="")&lt;&gt;(TRIM(AQ334)=""),"E-way bill login needs both user ID and password; ","")</f>
        <v/>
      </c>
    </row>
    <row r="335">
      <c r="A335" s="32" t="n"/>
      <c r="B335" s="33" t="n"/>
      <c r="C335" s="33" t="n"/>
      <c r="D335" s="33" t="n"/>
      <c r="E335" s="32" t="n"/>
      <c r="F335" s="32" t="n"/>
      <c r="G335" s="32" t="n"/>
      <c r="H335" s="32" t="n"/>
      <c r="I335" s="32" t="n"/>
      <c r="J335" s="34" t="n"/>
      <c r="K335" s="33" t="n"/>
      <c r="L335" s="32" t="n"/>
      <c r="M335" s="33" t="n"/>
      <c r="N335" s="33" t="n"/>
      <c r="O335" s="33" t="n"/>
      <c r="P335" s="32" t="n"/>
      <c r="Q335" s="33" t="n"/>
      <c r="R335" s="33" t="n"/>
      <c r="S335" s="33" t="n"/>
      <c r="T335" s="33" t="n"/>
      <c r="U335" s="32" t="n"/>
      <c r="V335" s="33" t="n"/>
      <c r="W335" s="33" t="n"/>
      <c r="X335" s="33" t="n"/>
      <c r="Y335" s="33" t="n"/>
      <c r="Z335" s="33" t="n"/>
      <c r="AA335" s="33" t="n"/>
      <c r="AB335" s="33" t="n"/>
      <c r="AC335" s="33" t="n"/>
      <c r="AD335" s="33" t="n"/>
      <c r="AE335" s="33" t="n"/>
      <c r="AF335" s="32" t="n"/>
      <c r="AG335" s="32" t="n"/>
      <c r="AH335" s="32" t="n"/>
      <c r="AI335" s="32" t="n"/>
      <c r="AJ335" s="32" t="n"/>
      <c r="AK335" s="32" t="n"/>
      <c r="AL335" s="32" t="n"/>
      <c r="AM335" s="32" t="n"/>
      <c r="AN335" s="32" t="n"/>
      <c r="AO335" s="32" t="n"/>
      <c r="AP335" s="32" t="n"/>
      <c r="AQ335" s="32" t="n"/>
      <c r="AR335" s="29">
        <f>IF(NOT(COUNTA(A335:AE335)&gt;0),"",IF(A335="","New client","Update"))</f>
        <v/>
      </c>
      <c r="AS335" s="29">
        <f>IF(BA335&lt;&gt;"",BA335,IF(LEN(AZ335)=15,MID(AZ335,3,10),""))</f>
        <v/>
      </c>
      <c r="AT335" s="29">
        <f>IF(BB335="","",BB335&amp;IF(D335="","  (guessed from PAN)",""))</f>
        <v/>
      </c>
      <c r="AU335" s="29">
        <f>IF(AZ335="","",IFERROR(INDEX(Lists!$L$2:$L$38,MATCH(LEFT(AZ335,2),Lists!$K$2:$K$38,0)),"Unknown code"))</f>
        <v/>
      </c>
      <c r="AV335" s="29">
        <f>IF(AZ335="","",IFERROR(IF(NOT(AND(LEN(AZ335)=15,ISNUMBER(MATCH(LEFT(AZ335,2),Lists!$K$2:$K$38,0)),SUMPRODUCT(--ISERROR(FIND(MID(MID(AZ335,3,10),{1,2,3,4,5,10},1),"ABCDEFGHIJKLMNOPQRSTUVWXYZ")))=0,SUMPRODUCT(--ISERROR(FIND(MID(MID(AZ335,3,10),{6,7,8,9},1),"0123456789")))=0,ISNUMBER(FIND(MID(AZ335,13,1),"123456789ABCDEFGHIJKLMNOPQRSTUVWXYZ")),MID(AZ335,14,1)="Z")),"Wrong format",IF(MID("0123456789ABCDEFGHIJKLMNOPQRSTUVWXYZ",MOD(36-MOD(SUMPRODUCT(INT((FIND(MID(AZ335,{1,2,3,4,5,6,7,8,9,10,11,12,13,14},1),"0123456789ABCDEFGHIJKLMNOPQRSTUVWXYZ")-1)*{1,2,1,2,1,2,1,2,1,2,1,2,1,2}/36)+MOD((FIND(MID(AZ335,{1,2,3,4,5,6,7,8,9,10,11,12,13,14},1),"0123456789ABCDEFGHIJKLMNOPQRSTUVWXYZ")-1)*{1,2,1,2,1,2,1,2,1,2,1,2,1,2},36)),36),36)+1,1)=MID(AZ335,15,1),"OK","Typo? check digit wrong")),"Wrong format"))</f>
        <v/>
      </c>
      <c r="AW335" s="29">
        <f>IF(BA335="","",IF(AND(LEN(BA335)=10,SUMPRODUCT(--ISERROR(FIND(MID(BA335,{1,2,3,4,5,10},1),"ABCDEFGHIJKLMNOPQRSTUVWXYZ")))=0,SUMPRODUCT(--ISERROR(FIND(MID(BA335,{6,7,8,9},1),"0123456789")))=0),"OK","Wrong format"))</f>
        <v/>
      </c>
      <c r="AX335" s="29">
        <f>IF(TRIM(H335)="","",IF(AND(LEN(UPPER(TRIM(H335)))=10,SUMPRODUCT(--ISERROR(FIND(MID(UPPER(TRIM(H335)),{1,2,3,4,10},1),"ABCDEFGHIJKLMNOPQRSTUVWXYZ")))=0,SUMPRODUCT(--ISERROR(FIND(MID(UPPER(TRIM(H335)),{5,6,7,8,9},1),"0123456789")))=0),"OK","Wrong format"))</f>
        <v/>
      </c>
      <c r="AY335" s="30">
        <f>IF(NOT(COUNTA(A335:AE335)&gt;0),"",IF(BE335&lt;&gt;"","✖ "&amp;LEFT(BE335,LEN(BE335)-2),IF(BD335&gt;0,"✔ Ready — client + "&amp;BD335&amp;" service(s)","✔ Ready — client only")))</f>
        <v/>
      </c>
      <c r="AZ335" s="31">
        <f>UPPER(SUBSTITUTE(TRIM(F335)," ",""))</f>
        <v/>
      </c>
      <c r="BA335" s="31">
        <f>UPPER(SUBSTITUTE(TRIM(E335)," ",""))</f>
        <v/>
      </c>
      <c r="BB335" s="31">
        <f>IF(D335&lt;&gt;"",D335,IFERROR(VLOOKUP(MID(AS335,4,1),Lists!$E$2:$F$8,2,FALSE),""))</f>
        <v/>
      </c>
      <c r="BC335" s="31">
        <f>IFERROR(VLOOKUP(BB335,Lists!$A$2:$C$12,3,FALSE),"")</f>
        <v/>
      </c>
      <c r="BD335" s="31">
        <f>COUNTIF(W335:AC335,"Yes")</f>
        <v/>
      </c>
      <c r="BE335" s="31">
        <f>IF(TRIM(B335)="","Legal name missing; ","")&amp;IF(AND(AV335&lt;&gt;"",AV335&lt;&gt;"OK"),"GSTIN: "&amp;AV335&amp;"; ","")&amp;IF(AND(AW335&lt;&gt;"",AW335&lt;&gt;"OK"),"PAN wrong format; ","")&amp;IF(AND(BA335&lt;&gt;"",LEN(AZ335)=15,MID(AZ335,3,10)&lt;&gt;BA335),"PAN does not match GSTIN; ","")&amp;IF(AND(AX335&lt;&gt;"",AX335&lt;&gt;"OK"),"TAN wrong format; ","")&amp;IF(AS335="","PAN missing; ","")&amp;IF(BB335="","Entity type missing; ","")&amp;IF(AND(AZ335&lt;&gt;"",COUNTIF($AZ$6:$AZ$1005,AZ335)&gt;1),"GSTIN repeated in this sheet; ","")&amp;IF(AND(AS335&lt;&gt;"",COUNTIF($AS$6:$AS$1005,AS335)&gt;1),"PAN repeated in this sheet (same client? put extra GSTINs in Other GSTINs); ","")&amp;IF(AND(BD335&gt;0,V335=""),"Financial year missing; ","")&amp;IF(AND(BD335=0,V335&lt;&gt;""),"Financial year given but no service is Yes; ","")&amp;IF(AND(W335="Yes",AZ335=""),"GST needs a GSTIN; ","")&amp;IF(AND(W335="Yes",X335=""),"GST return frequency missing; ","")&amp;IF(AND(Y335="Yes",TRIM(H335)=""),"TDS needs a TAN; ","")&amp;IF(AND(AA335="Yes",BC335&lt;&gt;"",BC335&lt;&gt;"company",BC335&lt;&gt;"llp"),"ROC is only for a company / LLP; ","")&amp;IF(AND(AA335="Yes",OR(BC335="company",BC335="llp"),TRIM(I335)=""),"ROC needs the CIN / LLPIN; ","")&amp;IF((TRIM(AF335)="")&lt;&gt;(TRIM(AG335)=""),"GST login needs both user ID and password; ","")&amp;IF((TRIM(AH335)="")&lt;&gt;(TRIM(AI335)=""),"Income-tax login needs both user ID and password; ","")&amp;IF((TRIM(AJ335)="")&lt;&gt;(TRIM(AK335)=""),"Income-tax login needs both user ID and password; ","")&amp;IF((TRIM(AL335)="")&lt;&gt;(TRIM(AM335)=""),"TRACES login needs both user ID and password; ","")&amp;IF((TRIM(AN335)="")&lt;&gt;(TRIM(AO335)=""),"MCA login needs both user ID and password; ","")&amp;IF((TRIM(AP335)="")&lt;&gt;(TRIM(AQ335)=""),"E-way bill login needs both user ID and password; ","")</f>
        <v/>
      </c>
    </row>
    <row r="336">
      <c r="A336" s="32" t="n"/>
      <c r="B336" s="33" t="n"/>
      <c r="C336" s="33" t="n"/>
      <c r="D336" s="33" t="n"/>
      <c r="E336" s="32" t="n"/>
      <c r="F336" s="32" t="n"/>
      <c r="G336" s="32" t="n"/>
      <c r="H336" s="32" t="n"/>
      <c r="I336" s="32" t="n"/>
      <c r="J336" s="34" t="n"/>
      <c r="K336" s="33" t="n"/>
      <c r="L336" s="32" t="n"/>
      <c r="M336" s="33" t="n"/>
      <c r="N336" s="33" t="n"/>
      <c r="O336" s="33" t="n"/>
      <c r="P336" s="32" t="n"/>
      <c r="Q336" s="33" t="n"/>
      <c r="R336" s="33" t="n"/>
      <c r="S336" s="33" t="n"/>
      <c r="T336" s="33" t="n"/>
      <c r="U336" s="32" t="n"/>
      <c r="V336" s="33" t="n"/>
      <c r="W336" s="33" t="n"/>
      <c r="X336" s="33" t="n"/>
      <c r="Y336" s="33" t="n"/>
      <c r="Z336" s="33" t="n"/>
      <c r="AA336" s="33" t="n"/>
      <c r="AB336" s="33" t="n"/>
      <c r="AC336" s="33" t="n"/>
      <c r="AD336" s="33" t="n"/>
      <c r="AE336" s="33" t="n"/>
      <c r="AF336" s="32" t="n"/>
      <c r="AG336" s="32" t="n"/>
      <c r="AH336" s="32" t="n"/>
      <c r="AI336" s="32" t="n"/>
      <c r="AJ336" s="32" t="n"/>
      <c r="AK336" s="32" t="n"/>
      <c r="AL336" s="32" t="n"/>
      <c r="AM336" s="32" t="n"/>
      <c r="AN336" s="32" t="n"/>
      <c r="AO336" s="32" t="n"/>
      <c r="AP336" s="32" t="n"/>
      <c r="AQ336" s="32" t="n"/>
      <c r="AR336" s="29">
        <f>IF(NOT(COUNTA(A336:AE336)&gt;0),"",IF(A336="","New client","Update"))</f>
        <v/>
      </c>
      <c r="AS336" s="29">
        <f>IF(BA336&lt;&gt;"",BA336,IF(LEN(AZ336)=15,MID(AZ336,3,10),""))</f>
        <v/>
      </c>
      <c r="AT336" s="29">
        <f>IF(BB336="","",BB336&amp;IF(D336="","  (guessed from PAN)",""))</f>
        <v/>
      </c>
      <c r="AU336" s="29">
        <f>IF(AZ336="","",IFERROR(INDEX(Lists!$L$2:$L$38,MATCH(LEFT(AZ336,2),Lists!$K$2:$K$38,0)),"Unknown code"))</f>
        <v/>
      </c>
      <c r="AV336" s="29">
        <f>IF(AZ336="","",IFERROR(IF(NOT(AND(LEN(AZ336)=15,ISNUMBER(MATCH(LEFT(AZ336,2),Lists!$K$2:$K$38,0)),SUMPRODUCT(--ISERROR(FIND(MID(MID(AZ336,3,10),{1,2,3,4,5,10},1),"ABCDEFGHIJKLMNOPQRSTUVWXYZ")))=0,SUMPRODUCT(--ISERROR(FIND(MID(MID(AZ336,3,10),{6,7,8,9},1),"0123456789")))=0,ISNUMBER(FIND(MID(AZ336,13,1),"123456789ABCDEFGHIJKLMNOPQRSTUVWXYZ")),MID(AZ336,14,1)="Z")),"Wrong format",IF(MID("0123456789ABCDEFGHIJKLMNOPQRSTUVWXYZ",MOD(36-MOD(SUMPRODUCT(INT((FIND(MID(AZ336,{1,2,3,4,5,6,7,8,9,10,11,12,13,14},1),"0123456789ABCDEFGHIJKLMNOPQRSTUVWXYZ")-1)*{1,2,1,2,1,2,1,2,1,2,1,2,1,2}/36)+MOD((FIND(MID(AZ336,{1,2,3,4,5,6,7,8,9,10,11,12,13,14},1),"0123456789ABCDEFGHIJKLMNOPQRSTUVWXYZ")-1)*{1,2,1,2,1,2,1,2,1,2,1,2,1,2},36)),36),36)+1,1)=MID(AZ336,15,1),"OK","Typo? check digit wrong")),"Wrong format"))</f>
        <v/>
      </c>
      <c r="AW336" s="29">
        <f>IF(BA336="","",IF(AND(LEN(BA336)=10,SUMPRODUCT(--ISERROR(FIND(MID(BA336,{1,2,3,4,5,10},1),"ABCDEFGHIJKLMNOPQRSTUVWXYZ")))=0,SUMPRODUCT(--ISERROR(FIND(MID(BA336,{6,7,8,9},1),"0123456789")))=0),"OK","Wrong format"))</f>
        <v/>
      </c>
      <c r="AX336" s="29">
        <f>IF(TRIM(H336)="","",IF(AND(LEN(UPPER(TRIM(H336)))=10,SUMPRODUCT(--ISERROR(FIND(MID(UPPER(TRIM(H336)),{1,2,3,4,10},1),"ABCDEFGHIJKLMNOPQRSTUVWXYZ")))=0,SUMPRODUCT(--ISERROR(FIND(MID(UPPER(TRIM(H336)),{5,6,7,8,9},1),"0123456789")))=0),"OK","Wrong format"))</f>
        <v/>
      </c>
      <c r="AY336" s="30">
        <f>IF(NOT(COUNTA(A336:AE336)&gt;0),"",IF(BE336&lt;&gt;"","✖ "&amp;LEFT(BE336,LEN(BE336)-2),IF(BD336&gt;0,"✔ Ready — client + "&amp;BD336&amp;" service(s)","✔ Ready — client only")))</f>
        <v/>
      </c>
      <c r="AZ336" s="31">
        <f>UPPER(SUBSTITUTE(TRIM(F336)," ",""))</f>
        <v/>
      </c>
      <c r="BA336" s="31">
        <f>UPPER(SUBSTITUTE(TRIM(E336)," ",""))</f>
        <v/>
      </c>
      <c r="BB336" s="31">
        <f>IF(D336&lt;&gt;"",D336,IFERROR(VLOOKUP(MID(AS336,4,1),Lists!$E$2:$F$8,2,FALSE),""))</f>
        <v/>
      </c>
      <c r="BC336" s="31">
        <f>IFERROR(VLOOKUP(BB336,Lists!$A$2:$C$12,3,FALSE),"")</f>
        <v/>
      </c>
      <c r="BD336" s="31">
        <f>COUNTIF(W336:AC336,"Yes")</f>
        <v/>
      </c>
      <c r="BE336" s="31">
        <f>IF(TRIM(B336)="","Legal name missing; ","")&amp;IF(AND(AV336&lt;&gt;"",AV336&lt;&gt;"OK"),"GSTIN: "&amp;AV336&amp;"; ","")&amp;IF(AND(AW336&lt;&gt;"",AW336&lt;&gt;"OK"),"PAN wrong format; ","")&amp;IF(AND(BA336&lt;&gt;"",LEN(AZ336)=15,MID(AZ336,3,10)&lt;&gt;BA336),"PAN does not match GSTIN; ","")&amp;IF(AND(AX336&lt;&gt;"",AX336&lt;&gt;"OK"),"TAN wrong format; ","")&amp;IF(AS336="","PAN missing; ","")&amp;IF(BB336="","Entity type missing; ","")&amp;IF(AND(AZ336&lt;&gt;"",COUNTIF($AZ$6:$AZ$1005,AZ336)&gt;1),"GSTIN repeated in this sheet; ","")&amp;IF(AND(AS336&lt;&gt;"",COUNTIF($AS$6:$AS$1005,AS336)&gt;1),"PAN repeated in this sheet (same client? put extra GSTINs in Other GSTINs); ","")&amp;IF(AND(BD336&gt;0,V336=""),"Financial year missing; ","")&amp;IF(AND(BD336=0,V336&lt;&gt;""),"Financial year given but no service is Yes; ","")&amp;IF(AND(W336="Yes",AZ336=""),"GST needs a GSTIN; ","")&amp;IF(AND(W336="Yes",X336=""),"GST return frequency missing; ","")&amp;IF(AND(Y336="Yes",TRIM(H336)=""),"TDS needs a TAN; ","")&amp;IF(AND(AA336="Yes",BC336&lt;&gt;"",BC336&lt;&gt;"company",BC336&lt;&gt;"llp"),"ROC is only for a company / LLP; ","")&amp;IF(AND(AA336="Yes",OR(BC336="company",BC336="llp"),TRIM(I336)=""),"ROC needs the CIN / LLPIN; ","")&amp;IF((TRIM(AF336)="")&lt;&gt;(TRIM(AG336)=""),"GST login needs both user ID and password; ","")&amp;IF((TRIM(AH336)="")&lt;&gt;(TRIM(AI336)=""),"Income-tax login needs both user ID and password; ","")&amp;IF((TRIM(AJ336)="")&lt;&gt;(TRIM(AK336)=""),"Income-tax login needs both user ID and password; ","")&amp;IF((TRIM(AL336)="")&lt;&gt;(TRIM(AM336)=""),"TRACES login needs both user ID and password; ","")&amp;IF((TRIM(AN336)="")&lt;&gt;(TRIM(AO336)=""),"MCA login needs both user ID and password; ","")&amp;IF((TRIM(AP336)="")&lt;&gt;(TRIM(AQ336)=""),"E-way bill login needs both user ID and password; ","")</f>
        <v/>
      </c>
    </row>
    <row r="337">
      <c r="A337" s="32" t="n"/>
      <c r="B337" s="33" t="n"/>
      <c r="C337" s="33" t="n"/>
      <c r="D337" s="33" t="n"/>
      <c r="E337" s="32" t="n"/>
      <c r="F337" s="32" t="n"/>
      <c r="G337" s="32" t="n"/>
      <c r="H337" s="32" t="n"/>
      <c r="I337" s="32" t="n"/>
      <c r="J337" s="34" t="n"/>
      <c r="K337" s="33" t="n"/>
      <c r="L337" s="32" t="n"/>
      <c r="M337" s="33" t="n"/>
      <c r="N337" s="33" t="n"/>
      <c r="O337" s="33" t="n"/>
      <c r="P337" s="32" t="n"/>
      <c r="Q337" s="33" t="n"/>
      <c r="R337" s="33" t="n"/>
      <c r="S337" s="33" t="n"/>
      <c r="T337" s="33" t="n"/>
      <c r="U337" s="32" t="n"/>
      <c r="V337" s="33" t="n"/>
      <c r="W337" s="33" t="n"/>
      <c r="X337" s="33" t="n"/>
      <c r="Y337" s="33" t="n"/>
      <c r="Z337" s="33" t="n"/>
      <c r="AA337" s="33" t="n"/>
      <c r="AB337" s="33" t="n"/>
      <c r="AC337" s="33" t="n"/>
      <c r="AD337" s="33" t="n"/>
      <c r="AE337" s="33" t="n"/>
      <c r="AF337" s="32" t="n"/>
      <c r="AG337" s="32" t="n"/>
      <c r="AH337" s="32" t="n"/>
      <c r="AI337" s="32" t="n"/>
      <c r="AJ337" s="32" t="n"/>
      <c r="AK337" s="32" t="n"/>
      <c r="AL337" s="32" t="n"/>
      <c r="AM337" s="32" t="n"/>
      <c r="AN337" s="32" t="n"/>
      <c r="AO337" s="32" t="n"/>
      <c r="AP337" s="32" t="n"/>
      <c r="AQ337" s="32" t="n"/>
      <c r="AR337" s="29">
        <f>IF(NOT(COUNTA(A337:AE337)&gt;0),"",IF(A337="","New client","Update"))</f>
        <v/>
      </c>
      <c r="AS337" s="29">
        <f>IF(BA337&lt;&gt;"",BA337,IF(LEN(AZ337)=15,MID(AZ337,3,10),""))</f>
        <v/>
      </c>
      <c r="AT337" s="29">
        <f>IF(BB337="","",BB337&amp;IF(D337="","  (guessed from PAN)",""))</f>
        <v/>
      </c>
      <c r="AU337" s="29">
        <f>IF(AZ337="","",IFERROR(INDEX(Lists!$L$2:$L$38,MATCH(LEFT(AZ337,2),Lists!$K$2:$K$38,0)),"Unknown code"))</f>
        <v/>
      </c>
      <c r="AV337" s="29">
        <f>IF(AZ337="","",IFERROR(IF(NOT(AND(LEN(AZ337)=15,ISNUMBER(MATCH(LEFT(AZ337,2),Lists!$K$2:$K$38,0)),SUMPRODUCT(--ISERROR(FIND(MID(MID(AZ337,3,10),{1,2,3,4,5,10},1),"ABCDEFGHIJKLMNOPQRSTUVWXYZ")))=0,SUMPRODUCT(--ISERROR(FIND(MID(MID(AZ337,3,10),{6,7,8,9},1),"0123456789")))=0,ISNUMBER(FIND(MID(AZ337,13,1),"123456789ABCDEFGHIJKLMNOPQRSTUVWXYZ")),MID(AZ337,14,1)="Z")),"Wrong format",IF(MID("0123456789ABCDEFGHIJKLMNOPQRSTUVWXYZ",MOD(36-MOD(SUMPRODUCT(INT((FIND(MID(AZ337,{1,2,3,4,5,6,7,8,9,10,11,12,13,14},1),"0123456789ABCDEFGHIJKLMNOPQRSTUVWXYZ")-1)*{1,2,1,2,1,2,1,2,1,2,1,2,1,2}/36)+MOD((FIND(MID(AZ337,{1,2,3,4,5,6,7,8,9,10,11,12,13,14},1),"0123456789ABCDEFGHIJKLMNOPQRSTUVWXYZ")-1)*{1,2,1,2,1,2,1,2,1,2,1,2,1,2},36)),36),36)+1,1)=MID(AZ337,15,1),"OK","Typo? check digit wrong")),"Wrong format"))</f>
        <v/>
      </c>
      <c r="AW337" s="29">
        <f>IF(BA337="","",IF(AND(LEN(BA337)=10,SUMPRODUCT(--ISERROR(FIND(MID(BA337,{1,2,3,4,5,10},1),"ABCDEFGHIJKLMNOPQRSTUVWXYZ")))=0,SUMPRODUCT(--ISERROR(FIND(MID(BA337,{6,7,8,9},1),"0123456789")))=0),"OK","Wrong format"))</f>
        <v/>
      </c>
      <c r="AX337" s="29">
        <f>IF(TRIM(H337)="","",IF(AND(LEN(UPPER(TRIM(H337)))=10,SUMPRODUCT(--ISERROR(FIND(MID(UPPER(TRIM(H337)),{1,2,3,4,10},1),"ABCDEFGHIJKLMNOPQRSTUVWXYZ")))=0,SUMPRODUCT(--ISERROR(FIND(MID(UPPER(TRIM(H337)),{5,6,7,8,9},1),"0123456789")))=0),"OK","Wrong format"))</f>
        <v/>
      </c>
      <c r="AY337" s="30">
        <f>IF(NOT(COUNTA(A337:AE337)&gt;0),"",IF(BE337&lt;&gt;"","✖ "&amp;LEFT(BE337,LEN(BE337)-2),IF(BD337&gt;0,"✔ Ready — client + "&amp;BD337&amp;" service(s)","✔ Ready — client only")))</f>
        <v/>
      </c>
      <c r="AZ337" s="31">
        <f>UPPER(SUBSTITUTE(TRIM(F337)," ",""))</f>
        <v/>
      </c>
      <c r="BA337" s="31">
        <f>UPPER(SUBSTITUTE(TRIM(E337)," ",""))</f>
        <v/>
      </c>
      <c r="BB337" s="31">
        <f>IF(D337&lt;&gt;"",D337,IFERROR(VLOOKUP(MID(AS337,4,1),Lists!$E$2:$F$8,2,FALSE),""))</f>
        <v/>
      </c>
      <c r="BC337" s="31">
        <f>IFERROR(VLOOKUP(BB337,Lists!$A$2:$C$12,3,FALSE),"")</f>
        <v/>
      </c>
      <c r="BD337" s="31">
        <f>COUNTIF(W337:AC337,"Yes")</f>
        <v/>
      </c>
      <c r="BE337" s="31">
        <f>IF(TRIM(B337)="","Legal name missing; ","")&amp;IF(AND(AV337&lt;&gt;"",AV337&lt;&gt;"OK"),"GSTIN: "&amp;AV337&amp;"; ","")&amp;IF(AND(AW337&lt;&gt;"",AW337&lt;&gt;"OK"),"PAN wrong format; ","")&amp;IF(AND(BA337&lt;&gt;"",LEN(AZ337)=15,MID(AZ337,3,10)&lt;&gt;BA337),"PAN does not match GSTIN; ","")&amp;IF(AND(AX337&lt;&gt;"",AX337&lt;&gt;"OK"),"TAN wrong format; ","")&amp;IF(AS337="","PAN missing; ","")&amp;IF(BB337="","Entity type missing; ","")&amp;IF(AND(AZ337&lt;&gt;"",COUNTIF($AZ$6:$AZ$1005,AZ337)&gt;1),"GSTIN repeated in this sheet; ","")&amp;IF(AND(AS337&lt;&gt;"",COUNTIF($AS$6:$AS$1005,AS337)&gt;1),"PAN repeated in this sheet (same client? put extra GSTINs in Other GSTINs); ","")&amp;IF(AND(BD337&gt;0,V337=""),"Financial year missing; ","")&amp;IF(AND(BD337=0,V337&lt;&gt;""),"Financial year given but no service is Yes; ","")&amp;IF(AND(W337="Yes",AZ337=""),"GST needs a GSTIN; ","")&amp;IF(AND(W337="Yes",X337=""),"GST return frequency missing; ","")&amp;IF(AND(Y337="Yes",TRIM(H337)=""),"TDS needs a TAN; ","")&amp;IF(AND(AA337="Yes",BC337&lt;&gt;"",BC337&lt;&gt;"company",BC337&lt;&gt;"llp"),"ROC is only for a company / LLP; ","")&amp;IF(AND(AA337="Yes",OR(BC337="company",BC337="llp"),TRIM(I337)=""),"ROC needs the CIN / LLPIN; ","")&amp;IF((TRIM(AF337)="")&lt;&gt;(TRIM(AG337)=""),"GST login needs both user ID and password; ","")&amp;IF((TRIM(AH337)="")&lt;&gt;(TRIM(AI337)=""),"Income-tax login needs both user ID and password; ","")&amp;IF((TRIM(AJ337)="")&lt;&gt;(TRIM(AK337)=""),"Income-tax login needs both user ID and password; ","")&amp;IF((TRIM(AL337)="")&lt;&gt;(TRIM(AM337)=""),"TRACES login needs both user ID and password; ","")&amp;IF((TRIM(AN337)="")&lt;&gt;(TRIM(AO337)=""),"MCA login needs both user ID and password; ","")&amp;IF((TRIM(AP337)="")&lt;&gt;(TRIM(AQ337)=""),"E-way bill login needs both user ID and password; ","")</f>
        <v/>
      </c>
    </row>
    <row r="338">
      <c r="A338" s="32" t="n"/>
      <c r="B338" s="33" t="n"/>
      <c r="C338" s="33" t="n"/>
      <c r="D338" s="33" t="n"/>
      <c r="E338" s="32" t="n"/>
      <c r="F338" s="32" t="n"/>
      <c r="G338" s="32" t="n"/>
      <c r="H338" s="32" t="n"/>
      <c r="I338" s="32" t="n"/>
      <c r="J338" s="34" t="n"/>
      <c r="K338" s="33" t="n"/>
      <c r="L338" s="32" t="n"/>
      <c r="M338" s="33" t="n"/>
      <c r="N338" s="33" t="n"/>
      <c r="O338" s="33" t="n"/>
      <c r="P338" s="32" t="n"/>
      <c r="Q338" s="33" t="n"/>
      <c r="R338" s="33" t="n"/>
      <c r="S338" s="33" t="n"/>
      <c r="T338" s="33" t="n"/>
      <c r="U338" s="32" t="n"/>
      <c r="V338" s="33" t="n"/>
      <c r="W338" s="33" t="n"/>
      <c r="X338" s="33" t="n"/>
      <c r="Y338" s="33" t="n"/>
      <c r="Z338" s="33" t="n"/>
      <c r="AA338" s="33" t="n"/>
      <c r="AB338" s="33" t="n"/>
      <c r="AC338" s="33" t="n"/>
      <c r="AD338" s="33" t="n"/>
      <c r="AE338" s="33" t="n"/>
      <c r="AF338" s="32" t="n"/>
      <c r="AG338" s="32" t="n"/>
      <c r="AH338" s="32" t="n"/>
      <c r="AI338" s="32" t="n"/>
      <c r="AJ338" s="32" t="n"/>
      <c r="AK338" s="32" t="n"/>
      <c r="AL338" s="32" t="n"/>
      <c r="AM338" s="32" t="n"/>
      <c r="AN338" s="32" t="n"/>
      <c r="AO338" s="32" t="n"/>
      <c r="AP338" s="32" t="n"/>
      <c r="AQ338" s="32" t="n"/>
      <c r="AR338" s="29">
        <f>IF(NOT(COUNTA(A338:AE338)&gt;0),"",IF(A338="","New client","Update"))</f>
        <v/>
      </c>
      <c r="AS338" s="29">
        <f>IF(BA338&lt;&gt;"",BA338,IF(LEN(AZ338)=15,MID(AZ338,3,10),""))</f>
        <v/>
      </c>
      <c r="AT338" s="29">
        <f>IF(BB338="","",BB338&amp;IF(D338="","  (guessed from PAN)",""))</f>
        <v/>
      </c>
      <c r="AU338" s="29">
        <f>IF(AZ338="","",IFERROR(INDEX(Lists!$L$2:$L$38,MATCH(LEFT(AZ338,2),Lists!$K$2:$K$38,0)),"Unknown code"))</f>
        <v/>
      </c>
      <c r="AV338" s="29">
        <f>IF(AZ338="","",IFERROR(IF(NOT(AND(LEN(AZ338)=15,ISNUMBER(MATCH(LEFT(AZ338,2),Lists!$K$2:$K$38,0)),SUMPRODUCT(--ISERROR(FIND(MID(MID(AZ338,3,10),{1,2,3,4,5,10},1),"ABCDEFGHIJKLMNOPQRSTUVWXYZ")))=0,SUMPRODUCT(--ISERROR(FIND(MID(MID(AZ338,3,10),{6,7,8,9},1),"0123456789")))=0,ISNUMBER(FIND(MID(AZ338,13,1),"123456789ABCDEFGHIJKLMNOPQRSTUVWXYZ")),MID(AZ338,14,1)="Z")),"Wrong format",IF(MID("0123456789ABCDEFGHIJKLMNOPQRSTUVWXYZ",MOD(36-MOD(SUMPRODUCT(INT((FIND(MID(AZ338,{1,2,3,4,5,6,7,8,9,10,11,12,13,14},1),"0123456789ABCDEFGHIJKLMNOPQRSTUVWXYZ")-1)*{1,2,1,2,1,2,1,2,1,2,1,2,1,2}/36)+MOD((FIND(MID(AZ338,{1,2,3,4,5,6,7,8,9,10,11,12,13,14},1),"0123456789ABCDEFGHIJKLMNOPQRSTUVWXYZ")-1)*{1,2,1,2,1,2,1,2,1,2,1,2,1,2},36)),36),36)+1,1)=MID(AZ338,15,1),"OK","Typo? check digit wrong")),"Wrong format"))</f>
        <v/>
      </c>
      <c r="AW338" s="29">
        <f>IF(BA338="","",IF(AND(LEN(BA338)=10,SUMPRODUCT(--ISERROR(FIND(MID(BA338,{1,2,3,4,5,10},1),"ABCDEFGHIJKLMNOPQRSTUVWXYZ")))=0,SUMPRODUCT(--ISERROR(FIND(MID(BA338,{6,7,8,9},1),"0123456789")))=0),"OK","Wrong format"))</f>
        <v/>
      </c>
      <c r="AX338" s="29">
        <f>IF(TRIM(H338)="","",IF(AND(LEN(UPPER(TRIM(H338)))=10,SUMPRODUCT(--ISERROR(FIND(MID(UPPER(TRIM(H338)),{1,2,3,4,10},1),"ABCDEFGHIJKLMNOPQRSTUVWXYZ")))=0,SUMPRODUCT(--ISERROR(FIND(MID(UPPER(TRIM(H338)),{5,6,7,8,9},1),"0123456789")))=0),"OK","Wrong format"))</f>
        <v/>
      </c>
      <c r="AY338" s="30">
        <f>IF(NOT(COUNTA(A338:AE338)&gt;0),"",IF(BE338&lt;&gt;"","✖ "&amp;LEFT(BE338,LEN(BE338)-2),IF(BD338&gt;0,"✔ Ready — client + "&amp;BD338&amp;" service(s)","✔ Ready — client only")))</f>
        <v/>
      </c>
      <c r="AZ338" s="31">
        <f>UPPER(SUBSTITUTE(TRIM(F338)," ",""))</f>
        <v/>
      </c>
      <c r="BA338" s="31">
        <f>UPPER(SUBSTITUTE(TRIM(E338)," ",""))</f>
        <v/>
      </c>
      <c r="BB338" s="31">
        <f>IF(D338&lt;&gt;"",D338,IFERROR(VLOOKUP(MID(AS338,4,1),Lists!$E$2:$F$8,2,FALSE),""))</f>
        <v/>
      </c>
      <c r="BC338" s="31">
        <f>IFERROR(VLOOKUP(BB338,Lists!$A$2:$C$12,3,FALSE),"")</f>
        <v/>
      </c>
      <c r="BD338" s="31">
        <f>COUNTIF(W338:AC338,"Yes")</f>
        <v/>
      </c>
      <c r="BE338" s="31">
        <f>IF(TRIM(B338)="","Legal name missing; ","")&amp;IF(AND(AV338&lt;&gt;"",AV338&lt;&gt;"OK"),"GSTIN: "&amp;AV338&amp;"; ","")&amp;IF(AND(AW338&lt;&gt;"",AW338&lt;&gt;"OK"),"PAN wrong format; ","")&amp;IF(AND(BA338&lt;&gt;"",LEN(AZ338)=15,MID(AZ338,3,10)&lt;&gt;BA338),"PAN does not match GSTIN; ","")&amp;IF(AND(AX338&lt;&gt;"",AX338&lt;&gt;"OK"),"TAN wrong format; ","")&amp;IF(AS338="","PAN missing; ","")&amp;IF(BB338="","Entity type missing; ","")&amp;IF(AND(AZ338&lt;&gt;"",COUNTIF($AZ$6:$AZ$1005,AZ338)&gt;1),"GSTIN repeated in this sheet; ","")&amp;IF(AND(AS338&lt;&gt;"",COUNTIF($AS$6:$AS$1005,AS338)&gt;1),"PAN repeated in this sheet (same client? put extra GSTINs in Other GSTINs); ","")&amp;IF(AND(BD338&gt;0,V338=""),"Financial year missing; ","")&amp;IF(AND(BD338=0,V338&lt;&gt;""),"Financial year given but no service is Yes; ","")&amp;IF(AND(W338="Yes",AZ338=""),"GST needs a GSTIN; ","")&amp;IF(AND(W338="Yes",X338=""),"GST return frequency missing; ","")&amp;IF(AND(Y338="Yes",TRIM(H338)=""),"TDS needs a TAN; ","")&amp;IF(AND(AA338="Yes",BC338&lt;&gt;"",BC338&lt;&gt;"company",BC338&lt;&gt;"llp"),"ROC is only for a company / LLP; ","")&amp;IF(AND(AA338="Yes",OR(BC338="company",BC338="llp"),TRIM(I338)=""),"ROC needs the CIN / LLPIN; ","")&amp;IF((TRIM(AF338)="")&lt;&gt;(TRIM(AG338)=""),"GST login needs both user ID and password; ","")&amp;IF((TRIM(AH338)="")&lt;&gt;(TRIM(AI338)=""),"Income-tax login needs both user ID and password; ","")&amp;IF((TRIM(AJ338)="")&lt;&gt;(TRIM(AK338)=""),"Income-tax login needs both user ID and password; ","")&amp;IF((TRIM(AL338)="")&lt;&gt;(TRIM(AM338)=""),"TRACES login needs both user ID and password; ","")&amp;IF((TRIM(AN338)="")&lt;&gt;(TRIM(AO338)=""),"MCA login needs both user ID and password; ","")&amp;IF((TRIM(AP338)="")&lt;&gt;(TRIM(AQ338)=""),"E-way bill login needs both user ID and password; ","")</f>
        <v/>
      </c>
    </row>
    <row r="339">
      <c r="A339" s="32" t="n"/>
      <c r="B339" s="33" t="n"/>
      <c r="C339" s="33" t="n"/>
      <c r="D339" s="33" t="n"/>
      <c r="E339" s="32" t="n"/>
      <c r="F339" s="32" t="n"/>
      <c r="G339" s="32" t="n"/>
      <c r="H339" s="32" t="n"/>
      <c r="I339" s="32" t="n"/>
      <c r="J339" s="34" t="n"/>
      <c r="K339" s="33" t="n"/>
      <c r="L339" s="32" t="n"/>
      <c r="M339" s="33" t="n"/>
      <c r="N339" s="33" t="n"/>
      <c r="O339" s="33" t="n"/>
      <c r="P339" s="32" t="n"/>
      <c r="Q339" s="33" t="n"/>
      <c r="R339" s="33" t="n"/>
      <c r="S339" s="33" t="n"/>
      <c r="T339" s="33" t="n"/>
      <c r="U339" s="32" t="n"/>
      <c r="V339" s="33" t="n"/>
      <c r="W339" s="33" t="n"/>
      <c r="X339" s="33" t="n"/>
      <c r="Y339" s="33" t="n"/>
      <c r="Z339" s="33" t="n"/>
      <c r="AA339" s="33" t="n"/>
      <c r="AB339" s="33" t="n"/>
      <c r="AC339" s="33" t="n"/>
      <c r="AD339" s="33" t="n"/>
      <c r="AE339" s="33" t="n"/>
      <c r="AF339" s="32" t="n"/>
      <c r="AG339" s="32" t="n"/>
      <c r="AH339" s="32" t="n"/>
      <c r="AI339" s="32" t="n"/>
      <c r="AJ339" s="32" t="n"/>
      <c r="AK339" s="32" t="n"/>
      <c r="AL339" s="32" t="n"/>
      <c r="AM339" s="32" t="n"/>
      <c r="AN339" s="32" t="n"/>
      <c r="AO339" s="32" t="n"/>
      <c r="AP339" s="32" t="n"/>
      <c r="AQ339" s="32" t="n"/>
      <c r="AR339" s="29">
        <f>IF(NOT(COUNTA(A339:AE339)&gt;0),"",IF(A339="","New client","Update"))</f>
        <v/>
      </c>
      <c r="AS339" s="29">
        <f>IF(BA339&lt;&gt;"",BA339,IF(LEN(AZ339)=15,MID(AZ339,3,10),""))</f>
        <v/>
      </c>
      <c r="AT339" s="29">
        <f>IF(BB339="","",BB339&amp;IF(D339="","  (guessed from PAN)",""))</f>
        <v/>
      </c>
      <c r="AU339" s="29">
        <f>IF(AZ339="","",IFERROR(INDEX(Lists!$L$2:$L$38,MATCH(LEFT(AZ339,2),Lists!$K$2:$K$38,0)),"Unknown code"))</f>
        <v/>
      </c>
      <c r="AV339" s="29">
        <f>IF(AZ339="","",IFERROR(IF(NOT(AND(LEN(AZ339)=15,ISNUMBER(MATCH(LEFT(AZ339,2),Lists!$K$2:$K$38,0)),SUMPRODUCT(--ISERROR(FIND(MID(MID(AZ339,3,10),{1,2,3,4,5,10},1),"ABCDEFGHIJKLMNOPQRSTUVWXYZ")))=0,SUMPRODUCT(--ISERROR(FIND(MID(MID(AZ339,3,10),{6,7,8,9},1),"0123456789")))=0,ISNUMBER(FIND(MID(AZ339,13,1),"123456789ABCDEFGHIJKLMNOPQRSTUVWXYZ")),MID(AZ339,14,1)="Z")),"Wrong format",IF(MID("0123456789ABCDEFGHIJKLMNOPQRSTUVWXYZ",MOD(36-MOD(SUMPRODUCT(INT((FIND(MID(AZ339,{1,2,3,4,5,6,7,8,9,10,11,12,13,14},1),"0123456789ABCDEFGHIJKLMNOPQRSTUVWXYZ")-1)*{1,2,1,2,1,2,1,2,1,2,1,2,1,2}/36)+MOD((FIND(MID(AZ339,{1,2,3,4,5,6,7,8,9,10,11,12,13,14},1),"0123456789ABCDEFGHIJKLMNOPQRSTUVWXYZ")-1)*{1,2,1,2,1,2,1,2,1,2,1,2,1,2},36)),36),36)+1,1)=MID(AZ339,15,1),"OK","Typo? check digit wrong")),"Wrong format"))</f>
        <v/>
      </c>
      <c r="AW339" s="29">
        <f>IF(BA339="","",IF(AND(LEN(BA339)=10,SUMPRODUCT(--ISERROR(FIND(MID(BA339,{1,2,3,4,5,10},1),"ABCDEFGHIJKLMNOPQRSTUVWXYZ")))=0,SUMPRODUCT(--ISERROR(FIND(MID(BA339,{6,7,8,9},1),"0123456789")))=0),"OK","Wrong format"))</f>
        <v/>
      </c>
      <c r="AX339" s="29">
        <f>IF(TRIM(H339)="","",IF(AND(LEN(UPPER(TRIM(H339)))=10,SUMPRODUCT(--ISERROR(FIND(MID(UPPER(TRIM(H339)),{1,2,3,4,10},1),"ABCDEFGHIJKLMNOPQRSTUVWXYZ")))=0,SUMPRODUCT(--ISERROR(FIND(MID(UPPER(TRIM(H339)),{5,6,7,8,9},1),"0123456789")))=0),"OK","Wrong format"))</f>
        <v/>
      </c>
      <c r="AY339" s="30">
        <f>IF(NOT(COUNTA(A339:AE339)&gt;0),"",IF(BE339&lt;&gt;"","✖ "&amp;LEFT(BE339,LEN(BE339)-2),IF(BD339&gt;0,"✔ Ready — client + "&amp;BD339&amp;" service(s)","✔ Ready — client only")))</f>
        <v/>
      </c>
      <c r="AZ339" s="31">
        <f>UPPER(SUBSTITUTE(TRIM(F339)," ",""))</f>
        <v/>
      </c>
      <c r="BA339" s="31">
        <f>UPPER(SUBSTITUTE(TRIM(E339)," ",""))</f>
        <v/>
      </c>
      <c r="BB339" s="31">
        <f>IF(D339&lt;&gt;"",D339,IFERROR(VLOOKUP(MID(AS339,4,1),Lists!$E$2:$F$8,2,FALSE),""))</f>
        <v/>
      </c>
      <c r="BC339" s="31">
        <f>IFERROR(VLOOKUP(BB339,Lists!$A$2:$C$12,3,FALSE),"")</f>
        <v/>
      </c>
      <c r="BD339" s="31">
        <f>COUNTIF(W339:AC339,"Yes")</f>
        <v/>
      </c>
      <c r="BE339" s="31">
        <f>IF(TRIM(B339)="","Legal name missing; ","")&amp;IF(AND(AV339&lt;&gt;"",AV339&lt;&gt;"OK"),"GSTIN: "&amp;AV339&amp;"; ","")&amp;IF(AND(AW339&lt;&gt;"",AW339&lt;&gt;"OK"),"PAN wrong format; ","")&amp;IF(AND(BA339&lt;&gt;"",LEN(AZ339)=15,MID(AZ339,3,10)&lt;&gt;BA339),"PAN does not match GSTIN; ","")&amp;IF(AND(AX339&lt;&gt;"",AX339&lt;&gt;"OK"),"TAN wrong format; ","")&amp;IF(AS339="","PAN missing; ","")&amp;IF(BB339="","Entity type missing; ","")&amp;IF(AND(AZ339&lt;&gt;"",COUNTIF($AZ$6:$AZ$1005,AZ339)&gt;1),"GSTIN repeated in this sheet; ","")&amp;IF(AND(AS339&lt;&gt;"",COUNTIF($AS$6:$AS$1005,AS339)&gt;1),"PAN repeated in this sheet (same client? put extra GSTINs in Other GSTINs); ","")&amp;IF(AND(BD339&gt;0,V339=""),"Financial year missing; ","")&amp;IF(AND(BD339=0,V339&lt;&gt;""),"Financial year given but no service is Yes; ","")&amp;IF(AND(W339="Yes",AZ339=""),"GST needs a GSTIN; ","")&amp;IF(AND(W339="Yes",X339=""),"GST return frequency missing; ","")&amp;IF(AND(Y339="Yes",TRIM(H339)=""),"TDS needs a TAN; ","")&amp;IF(AND(AA339="Yes",BC339&lt;&gt;"",BC339&lt;&gt;"company",BC339&lt;&gt;"llp"),"ROC is only for a company / LLP; ","")&amp;IF(AND(AA339="Yes",OR(BC339="company",BC339="llp"),TRIM(I339)=""),"ROC needs the CIN / LLPIN; ","")&amp;IF((TRIM(AF339)="")&lt;&gt;(TRIM(AG339)=""),"GST login needs both user ID and password; ","")&amp;IF((TRIM(AH339)="")&lt;&gt;(TRIM(AI339)=""),"Income-tax login needs both user ID and password; ","")&amp;IF((TRIM(AJ339)="")&lt;&gt;(TRIM(AK339)=""),"Income-tax login needs both user ID and password; ","")&amp;IF((TRIM(AL339)="")&lt;&gt;(TRIM(AM339)=""),"TRACES login needs both user ID and password; ","")&amp;IF((TRIM(AN339)="")&lt;&gt;(TRIM(AO339)=""),"MCA login needs both user ID and password; ","")&amp;IF((TRIM(AP339)="")&lt;&gt;(TRIM(AQ339)=""),"E-way bill login needs both user ID and password; ","")</f>
        <v/>
      </c>
    </row>
    <row r="340">
      <c r="A340" s="32" t="n"/>
      <c r="B340" s="33" t="n"/>
      <c r="C340" s="33" t="n"/>
      <c r="D340" s="33" t="n"/>
      <c r="E340" s="32" t="n"/>
      <c r="F340" s="32" t="n"/>
      <c r="G340" s="32" t="n"/>
      <c r="H340" s="32" t="n"/>
      <c r="I340" s="32" t="n"/>
      <c r="J340" s="34" t="n"/>
      <c r="K340" s="33" t="n"/>
      <c r="L340" s="32" t="n"/>
      <c r="M340" s="33" t="n"/>
      <c r="N340" s="33" t="n"/>
      <c r="O340" s="33" t="n"/>
      <c r="P340" s="32" t="n"/>
      <c r="Q340" s="33" t="n"/>
      <c r="R340" s="33" t="n"/>
      <c r="S340" s="33" t="n"/>
      <c r="T340" s="33" t="n"/>
      <c r="U340" s="32" t="n"/>
      <c r="V340" s="33" t="n"/>
      <c r="W340" s="33" t="n"/>
      <c r="X340" s="33" t="n"/>
      <c r="Y340" s="33" t="n"/>
      <c r="Z340" s="33" t="n"/>
      <c r="AA340" s="33" t="n"/>
      <c r="AB340" s="33" t="n"/>
      <c r="AC340" s="33" t="n"/>
      <c r="AD340" s="33" t="n"/>
      <c r="AE340" s="33" t="n"/>
      <c r="AF340" s="32" t="n"/>
      <c r="AG340" s="32" t="n"/>
      <c r="AH340" s="32" t="n"/>
      <c r="AI340" s="32" t="n"/>
      <c r="AJ340" s="32" t="n"/>
      <c r="AK340" s="32" t="n"/>
      <c r="AL340" s="32" t="n"/>
      <c r="AM340" s="32" t="n"/>
      <c r="AN340" s="32" t="n"/>
      <c r="AO340" s="32" t="n"/>
      <c r="AP340" s="32" t="n"/>
      <c r="AQ340" s="32" t="n"/>
      <c r="AR340" s="29">
        <f>IF(NOT(COUNTA(A340:AE340)&gt;0),"",IF(A340="","New client","Update"))</f>
        <v/>
      </c>
      <c r="AS340" s="29">
        <f>IF(BA340&lt;&gt;"",BA340,IF(LEN(AZ340)=15,MID(AZ340,3,10),""))</f>
        <v/>
      </c>
      <c r="AT340" s="29">
        <f>IF(BB340="","",BB340&amp;IF(D340="","  (guessed from PAN)",""))</f>
        <v/>
      </c>
      <c r="AU340" s="29">
        <f>IF(AZ340="","",IFERROR(INDEX(Lists!$L$2:$L$38,MATCH(LEFT(AZ340,2),Lists!$K$2:$K$38,0)),"Unknown code"))</f>
        <v/>
      </c>
      <c r="AV340" s="29">
        <f>IF(AZ340="","",IFERROR(IF(NOT(AND(LEN(AZ340)=15,ISNUMBER(MATCH(LEFT(AZ340,2),Lists!$K$2:$K$38,0)),SUMPRODUCT(--ISERROR(FIND(MID(MID(AZ340,3,10),{1,2,3,4,5,10},1),"ABCDEFGHIJKLMNOPQRSTUVWXYZ")))=0,SUMPRODUCT(--ISERROR(FIND(MID(MID(AZ340,3,10),{6,7,8,9},1),"0123456789")))=0,ISNUMBER(FIND(MID(AZ340,13,1),"123456789ABCDEFGHIJKLMNOPQRSTUVWXYZ")),MID(AZ340,14,1)="Z")),"Wrong format",IF(MID("0123456789ABCDEFGHIJKLMNOPQRSTUVWXYZ",MOD(36-MOD(SUMPRODUCT(INT((FIND(MID(AZ340,{1,2,3,4,5,6,7,8,9,10,11,12,13,14},1),"0123456789ABCDEFGHIJKLMNOPQRSTUVWXYZ")-1)*{1,2,1,2,1,2,1,2,1,2,1,2,1,2}/36)+MOD((FIND(MID(AZ340,{1,2,3,4,5,6,7,8,9,10,11,12,13,14},1),"0123456789ABCDEFGHIJKLMNOPQRSTUVWXYZ")-1)*{1,2,1,2,1,2,1,2,1,2,1,2,1,2},36)),36),36)+1,1)=MID(AZ340,15,1),"OK","Typo? check digit wrong")),"Wrong format"))</f>
        <v/>
      </c>
      <c r="AW340" s="29">
        <f>IF(BA340="","",IF(AND(LEN(BA340)=10,SUMPRODUCT(--ISERROR(FIND(MID(BA340,{1,2,3,4,5,10},1),"ABCDEFGHIJKLMNOPQRSTUVWXYZ")))=0,SUMPRODUCT(--ISERROR(FIND(MID(BA340,{6,7,8,9},1),"0123456789")))=0),"OK","Wrong format"))</f>
        <v/>
      </c>
      <c r="AX340" s="29">
        <f>IF(TRIM(H340)="","",IF(AND(LEN(UPPER(TRIM(H340)))=10,SUMPRODUCT(--ISERROR(FIND(MID(UPPER(TRIM(H340)),{1,2,3,4,10},1),"ABCDEFGHIJKLMNOPQRSTUVWXYZ")))=0,SUMPRODUCT(--ISERROR(FIND(MID(UPPER(TRIM(H340)),{5,6,7,8,9},1),"0123456789")))=0),"OK","Wrong format"))</f>
        <v/>
      </c>
      <c r="AY340" s="30">
        <f>IF(NOT(COUNTA(A340:AE340)&gt;0),"",IF(BE340&lt;&gt;"","✖ "&amp;LEFT(BE340,LEN(BE340)-2),IF(BD340&gt;0,"✔ Ready — client + "&amp;BD340&amp;" service(s)","✔ Ready — client only")))</f>
        <v/>
      </c>
      <c r="AZ340" s="31">
        <f>UPPER(SUBSTITUTE(TRIM(F340)," ",""))</f>
        <v/>
      </c>
      <c r="BA340" s="31">
        <f>UPPER(SUBSTITUTE(TRIM(E340)," ",""))</f>
        <v/>
      </c>
      <c r="BB340" s="31">
        <f>IF(D340&lt;&gt;"",D340,IFERROR(VLOOKUP(MID(AS340,4,1),Lists!$E$2:$F$8,2,FALSE),""))</f>
        <v/>
      </c>
      <c r="BC340" s="31">
        <f>IFERROR(VLOOKUP(BB340,Lists!$A$2:$C$12,3,FALSE),"")</f>
        <v/>
      </c>
      <c r="BD340" s="31">
        <f>COUNTIF(W340:AC340,"Yes")</f>
        <v/>
      </c>
      <c r="BE340" s="31">
        <f>IF(TRIM(B340)="","Legal name missing; ","")&amp;IF(AND(AV340&lt;&gt;"",AV340&lt;&gt;"OK"),"GSTIN: "&amp;AV340&amp;"; ","")&amp;IF(AND(AW340&lt;&gt;"",AW340&lt;&gt;"OK"),"PAN wrong format; ","")&amp;IF(AND(BA340&lt;&gt;"",LEN(AZ340)=15,MID(AZ340,3,10)&lt;&gt;BA340),"PAN does not match GSTIN; ","")&amp;IF(AND(AX340&lt;&gt;"",AX340&lt;&gt;"OK"),"TAN wrong format; ","")&amp;IF(AS340="","PAN missing; ","")&amp;IF(BB340="","Entity type missing; ","")&amp;IF(AND(AZ340&lt;&gt;"",COUNTIF($AZ$6:$AZ$1005,AZ340)&gt;1),"GSTIN repeated in this sheet; ","")&amp;IF(AND(AS340&lt;&gt;"",COUNTIF($AS$6:$AS$1005,AS340)&gt;1),"PAN repeated in this sheet (same client? put extra GSTINs in Other GSTINs); ","")&amp;IF(AND(BD340&gt;0,V340=""),"Financial year missing; ","")&amp;IF(AND(BD340=0,V340&lt;&gt;""),"Financial year given but no service is Yes; ","")&amp;IF(AND(W340="Yes",AZ340=""),"GST needs a GSTIN; ","")&amp;IF(AND(W340="Yes",X340=""),"GST return frequency missing; ","")&amp;IF(AND(Y340="Yes",TRIM(H340)=""),"TDS needs a TAN; ","")&amp;IF(AND(AA340="Yes",BC340&lt;&gt;"",BC340&lt;&gt;"company",BC340&lt;&gt;"llp"),"ROC is only for a company / LLP; ","")&amp;IF(AND(AA340="Yes",OR(BC340="company",BC340="llp"),TRIM(I340)=""),"ROC needs the CIN / LLPIN; ","")&amp;IF((TRIM(AF340)="")&lt;&gt;(TRIM(AG340)=""),"GST login needs both user ID and password; ","")&amp;IF((TRIM(AH340)="")&lt;&gt;(TRIM(AI340)=""),"Income-tax login needs both user ID and password; ","")&amp;IF((TRIM(AJ340)="")&lt;&gt;(TRIM(AK340)=""),"Income-tax login needs both user ID and password; ","")&amp;IF((TRIM(AL340)="")&lt;&gt;(TRIM(AM340)=""),"TRACES login needs both user ID and password; ","")&amp;IF((TRIM(AN340)="")&lt;&gt;(TRIM(AO340)=""),"MCA login needs both user ID and password; ","")&amp;IF((TRIM(AP340)="")&lt;&gt;(TRIM(AQ340)=""),"E-way bill login needs both user ID and password; ","")</f>
        <v/>
      </c>
    </row>
    <row r="341">
      <c r="A341" s="32" t="n"/>
      <c r="B341" s="33" t="n"/>
      <c r="C341" s="33" t="n"/>
      <c r="D341" s="33" t="n"/>
      <c r="E341" s="32" t="n"/>
      <c r="F341" s="32" t="n"/>
      <c r="G341" s="32" t="n"/>
      <c r="H341" s="32" t="n"/>
      <c r="I341" s="32" t="n"/>
      <c r="J341" s="34" t="n"/>
      <c r="K341" s="33" t="n"/>
      <c r="L341" s="32" t="n"/>
      <c r="M341" s="33" t="n"/>
      <c r="N341" s="33" t="n"/>
      <c r="O341" s="33" t="n"/>
      <c r="P341" s="32" t="n"/>
      <c r="Q341" s="33" t="n"/>
      <c r="R341" s="33" t="n"/>
      <c r="S341" s="33" t="n"/>
      <c r="T341" s="33" t="n"/>
      <c r="U341" s="32" t="n"/>
      <c r="V341" s="33" t="n"/>
      <c r="W341" s="33" t="n"/>
      <c r="X341" s="33" t="n"/>
      <c r="Y341" s="33" t="n"/>
      <c r="Z341" s="33" t="n"/>
      <c r="AA341" s="33" t="n"/>
      <c r="AB341" s="33" t="n"/>
      <c r="AC341" s="33" t="n"/>
      <c r="AD341" s="33" t="n"/>
      <c r="AE341" s="33" t="n"/>
      <c r="AF341" s="32" t="n"/>
      <c r="AG341" s="32" t="n"/>
      <c r="AH341" s="32" t="n"/>
      <c r="AI341" s="32" t="n"/>
      <c r="AJ341" s="32" t="n"/>
      <c r="AK341" s="32" t="n"/>
      <c r="AL341" s="32" t="n"/>
      <c r="AM341" s="32" t="n"/>
      <c r="AN341" s="32" t="n"/>
      <c r="AO341" s="32" t="n"/>
      <c r="AP341" s="32" t="n"/>
      <c r="AQ341" s="32" t="n"/>
      <c r="AR341" s="29">
        <f>IF(NOT(COUNTA(A341:AE341)&gt;0),"",IF(A341="","New client","Update"))</f>
        <v/>
      </c>
      <c r="AS341" s="29">
        <f>IF(BA341&lt;&gt;"",BA341,IF(LEN(AZ341)=15,MID(AZ341,3,10),""))</f>
        <v/>
      </c>
      <c r="AT341" s="29">
        <f>IF(BB341="","",BB341&amp;IF(D341="","  (guessed from PAN)",""))</f>
        <v/>
      </c>
      <c r="AU341" s="29">
        <f>IF(AZ341="","",IFERROR(INDEX(Lists!$L$2:$L$38,MATCH(LEFT(AZ341,2),Lists!$K$2:$K$38,0)),"Unknown code"))</f>
        <v/>
      </c>
      <c r="AV341" s="29">
        <f>IF(AZ341="","",IFERROR(IF(NOT(AND(LEN(AZ341)=15,ISNUMBER(MATCH(LEFT(AZ341,2),Lists!$K$2:$K$38,0)),SUMPRODUCT(--ISERROR(FIND(MID(MID(AZ341,3,10),{1,2,3,4,5,10},1),"ABCDEFGHIJKLMNOPQRSTUVWXYZ")))=0,SUMPRODUCT(--ISERROR(FIND(MID(MID(AZ341,3,10),{6,7,8,9},1),"0123456789")))=0,ISNUMBER(FIND(MID(AZ341,13,1),"123456789ABCDEFGHIJKLMNOPQRSTUVWXYZ")),MID(AZ341,14,1)="Z")),"Wrong format",IF(MID("0123456789ABCDEFGHIJKLMNOPQRSTUVWXYZ",MOD(36-MOD(SUMPRODUCT(INT((FIND(MID(AZ341,{1,2,3,4,5,6,7,8,9,10,11,12,13,14},1),"0123456789ABCDEFGHIJKLMNOPQRSTUVWXYZ")-1)*{1,2,1,2,1,2,1,2,1,2,1,2,1,2}/36)+MOD((FIND(MID(AZ341,{1,2,3,4,5,6,7,8,9,10,11,12,13,14},1),"0123456789ABCDEFGHIJKLMNOPQRSTUVWXYZ")-1)*{1,2,1,2,1,2,1,2,1,2,1,2,1,2},36)),36),36)+1,1)=MID(AZ341,15,1),"OK","Typo? check digit wrong")),"Wrong format"))</f>
        <v/>
      </c>
      <c r="AW341" s="29">
        <f>IF(BA341="","",IF(AND(LEN(BA341)=10,SUMPRODUCT(--ISERROR(FIND(MID(BA341,{1,2,3,4,5,10},1),"ABCDEFGHIJKLMNOPQRSTUVWXYZ")))=0,SUMPRODUCT(--ISERROR(FIND(MID(BA341,{6,7,8,9},1),"0123456789")))=0),"OK","Wrong format"))</f>
        <v/>
      </c>
      <c r="AX341" s="29">
        <f>IF(TRIM(H341)="","",IF(AND(LEN(UPPER(TRIM(H341)))=10,SUMPRODUCT(--ISERROR(FIND(MID(UPPER(TRIM(H341)),{1,2,3,4,10},1),"ABCDEFGHIJKLMNOPQRSTUVWXYZ")))=0,SUMPRODUCT(--ISERROR(FIND(MID(UPPER(TRIM(H341)),{5,6,7,8,9},1),"0123456789")))=0),"OK","Wrong format"))</f>
        <v/>
      </c>
      <c r="AY341" s="30">
        <f>IF(NOT(COUNTA(A341:AE341)&gt;0),"",IF(BE341&lt;&gt;"","✖ "&amp;LEFT(BE341,LEN(BE341)-2),IF(BD341&gt;0,"✔ Ready — client + "&amp;BD341&amp;" service(s)","✔ Ready — client only")))</f>
        <v/>
      </c>
      <c r="AZ341" s="31">
        <f>UPPER(SUBSTITUTE(TRIM(F341)," ",""))</f>
        <v/>
      </c>
      <c r="BA341" s="31">
        <f>UPPER(SUBSTITUTE(TRIM(E341)," ",""))</f>
        <v/>
      </c>
      <c r="BB341" s="31">
        <f>IF(D341&lt;&gt;"",D341,IFERROR(VLOOKUP(MID(AS341,4,1),Lists!$E$2:$F$8,2,FALSE),""))</f>
        <v/>
      </c>
      <c r="BC341" s="31">
        <f>IFERROR(VLOOKUP(BB341,Lists!$A$2:$C$12,3,FALSE),"")</f>
        <v/>
      </c>
      <c r="BD341" s="31">
        <f>COUNTIF(W341:AC341,"Yes")</f>
        <v/>
      </c>
      <c r="BE341" s="31">
        <f>IF(TRIM(B341)="","Legal name missing; ","")&amp;IF(AND(AV341&lt;&gt;"",AV341&lt;&gt;"OK"),"GSTIN: "&amp;AV341&amp;"; ","")&amp;IF(AND(AW341&lt;&gt;"",AW341&lt;&gt;"OK"),"PAN wrong format; ","")&amp;IF(AND(BA341&lt;&gt;"",LEN(AZ341)=15,MID(AZ341,3,10)&lt;&gt;BA341),"PAN does not match GSTIN; ","")&amp;IF(AND(AX341&lt;&gt;"",AX341&lt;&gt;"OK"),"TAN wrong format; ","")&amp;IF(AS341="","PAN missing; ","")&amp;IF(BB341="","Entity type missing; ","")&amp;IF(AND(AZ341&lt;&gt;"",COUNTIF($AZ$6:$AZ$1005,AZ341)&gt;1),"GSTIN repeated in this sheet; ","")&amp;IF(AND(AS341&lt;&gt;"",COUNTIF($AS$6:$AS$1005,AS341)&gt;1),"PAN repeated in this sheet (same client? put extra GSTINs in Other GSTINs); ","")&amp;IF(AND(BD341&gt;0,V341=""),"Financial year missing; ","")&amp;IF(AND(BD341=0,V341&lt;&gt;""),"Financial year given but no service is Yes; ","")&amp;IF(AND(W341="Yes",AZ341=""),"GST needs a GSTIN; ","")&amp;IF(AND(W341="Yes",X341=""),"GST return frequency missing; ","")&amp;IF(AND(Y341="Yes",TRIM(H341)=""),"TDS needs a TAN; ","")&amp;IF(AND(AA341="Yes",BC341&lt;&gt;"",BC341&lt;&gt;"company",BC341&lt;&gt;"llp"),"ROC is only for a company / LLP; ","")&amp;IF(AND(AA341="Yes",OR(BC341="company",BC341="llp"),TRIM(I341)=""),"ROC needs the CIN / LLPIN; ","")&amp;IF((TRIM(AF341)="")&lt;&gt;(TRIM(AG341)=""),"GST login needs both user ID and password; ","")&amp;IF((TRIM(AH341)="")&lt;&gt;(TRIM(AI341)=""),"Income-tax login needs both user ID and password; ","")&amp;IF((TRIM(AJ341)="")&lt;&gt;(TRIM(AK341)=""),"Income-tax login needs both user ID and password; ","")&amp;IF((TRIM(AL341)="")&lt;&gt;(TRIM(AM341)=""),"TRACES login needs both user ID and password; ","")&amp;IF((TRIM(AN341)="")&lt;&gt;(TRIM(AO341)=""),"MCA login needs both user ID and password; ","")&amp;IF((TRIM(AP341)="")&lt;&gt;(TRIM(AQ341)=""),"E-way bill login needs both user ID and password; ","")</f>
        <v/>
      </c>
    </row>
    <row r="342">
      <c r="A342" s="32" t="n"/>
      <c r="B342" s="33" t="n"/>
      <c r="C342" s="33" t="n"/>
      <c r="D342" s="33" t="n"/>
      <c r="E342" s="32" t="n"/>
      <c r="F342" s="32" t="n"/>
      <c r="G342" s="32" t="n"/>
      <c r="H342" s="32" t="n"/>
      <c r="I342" s="32" t="n"/>
      <c r="J342" s="34" t="n"/>
      <c r="K342" s="33" t="n"/>
      <c r="L342" s="32" t="n"/>
      <c r="M342" s="33" t="n"/>
      <c r="N342" s="33" t="n"/>
      <c r="O342" s="33" t="n"/>
      <c r="P342" s="32" t="n"/>
      <c r="Q342" s="33" t="n"/>
      <c r="R342" s="33" t="n"/>
      <c r="S342" s="33" t="n"/>
      <c r="T342" s="33" t="n"/>
      <c r="U342" s="32" t="n"/>
      <c r="V342" s="33" t="n"/>
      <c r="W342" s="33" t="n"/>
      <c r="X342" s="33" t="n"/>
      <c r="Y342" s="33" t="n"/>
      <c r="Z342" s="33" t="n"/>
      <c r="AA342" s="33" t="n"/>
      <c r="AB342" s="33" t="n"/>
      <c r="AC342" s="33" t="n"/>
      <c r="AD342" s="33" t="n"/>
      <c r="AE342" s="33" t="n"/>
      <c r="AF342" s="32" t="n"/>
      <c r="AG342" s="32" t="n"/>
      <c r="AH342" s="32" t="n"/>
      <c r="AI342" s="32" t="n"/>
      <c r="AJ342" s="32" t="n"/>
      <c r="AK342" s="32" t="n"/>
      <c r="AL342" s="32" t="n"/>
      <c r="AM342" s="32" t="n"/>
      <c r="AN342" s="32" t="n"/>
      <c r="AO342" s="32" t="n"/>
      <c r="AP342" s="32" t="n"/>
      <c r="AQ342" s="32" t="n"/>
      <c r="AR342" s="29">
        <f>IF(NOT(COUNTA(A342:AE342)&gt;0),"",IF(A342="","New client","Update"))</f>
        <v/>
      </c>
      <c r="AS342" s="29">
        <f>IF(BA342&lt;&gt;"",BA342,IF(LEN(AZ342)=15,MID(AZ342,3,10),""))</f>
        <v/>
      </c>
      <c r="AT342" s="29">
        <f>IF(BB342="","",BB342&amp;IF(D342="","  (guessed from PAN)",""))</f>
        <v/>
      </c>
      <c r="AU342" s="29">
        <f>IF(AZ342="","",IFERROR(INDEX(Lists!$L$2:$L$38,MATCH(LEFT(AZ342,2),Lists!$K$2:$K$38,0)),"Unknown code"))</f>
        <v/>
      </c>
      <c r="AV342" s="29">
        <f>IF(AZ342="","",IFERROR(IF(NOT(AND(LEN(AZ342)=15,ISNUMBER(MATCH(LEFT(AZ342,2),Lists!$K$2:$K$38,0)),SUMPRODUCT(--ISERROR(FIND(MID(MID(AZ342,3,10),{1,2,3,4,5,10},1),"ABCDEFGHIJKLMNOPQRSTUVWXYZ")))=0,SUMPRODUCT(--ISERROR(FIND(MID(MID(AZ342,3,10),{6,7,8,9},1),"0123456789")))=0,ISNUMBER(FIND(MID(AZ342,13,1),"123456789ABCDEFGHIJKLMNOPQRSTUVWXYZ")),MID(AZ342,14,1)="Z")),"Wrong format",IF(MID("0123456789ABCDEFGHIJKLMNOPQRSTUVWXYZ",MOD(36-MOD(SUMPRODUCT(INT((FIND(MID(AZ342,{1,2,3,4,5,6,7,8,9,10,11,12,13,14},1),"0123456789ABCDEFGHIJKLMNOPQRSTUVWXYZ")-1)*{1,2,1,2,1,2,1,2,1,2,1,2,1,2}/36)+MOD((FIND(MID(AZ342,{1,2,3,4,5,6,7,8,9,10,11,12,13,14},1),"0123456789ABCDEFGHIJKLMNOPQRSTUVWXYZ")-1)*{1,2,1,2,1,2,1,2,1,2,1,2,1,2},36)),36),36)+1,1)=MID(AZ342,15,1),"OK","Typo? check digit wrong")),"Wrong format"))</f>
        <v/>
      </c>
      <c r="AW342" s="29">
        <f>IF(BA342="","",IF(AND(LEN(BA342)=10,SUMPRODUCT(--ISERROR(FIND(MID(BA342,{1,2,3,4,5,10},1),"ABCDEFGHIJKLMNOPQRSTUVWXYZ")))=0,SUMPRODUCT(--ISERROR(FIND(MID(BA342,{6,7,8,9},1),"0123456789")))=0),"OK","Wrong format"))</f>
        <v/>
      </c>
      <c r="AX342" s="29">
        <f>IF(TRIM(H342)="","",IF(AND(LEN(UPPER(TRIM(H342)))=10,SUMPRODUCT(--ISERROR(FIND(MID(UPPER(TRIM(H342)),{1,2,3,4,10},1),"ABCDEFGHIJKLMNOPQRSTUVWXYZ")))=0,SUMPRODUCT(--ISERROR(FIND(MID(UPPER(TRIM(H342)),{5,6,7,8,9},1),"0123456789")))=0),"OK","Wrong format"))</f>
        <v/>
      </c>
      <c r="AY342" s="30">
        <f>IF(NOT(COUNTA(A342:AE342)&gt;0),"",IF(BE342&lt;&gt;"","✖ "&amp;LEFT(BE342,LEN(BE342)-2),IF(BD342&gt;0,"✔ Ready — client + "&amp;BD342&amp;" service(s)","✔ Ready — client only")))</f>
        <v/>
      </c>
      <c r="AZ342" s="31">
        <f>UPPER(SUBSTITUTE(TRIM(F342)," ",""))</f>
        <v/>
      </c>
      <c r="BA342" s="31">
        <f>UPPER(SUBSTITUTE(TRIM(E342)," ",""))</f>
        <v/>
      </c>
      <c r="BB342" s="31">
        <f>IF(D342&lt;&gt;"",D342,IFERROR(VLOOKUP(MID(AS342,4,1),Lists!$E$2:$F$8,2,FALSE),""))</f>
        <v/>
      </c>
      <c r="BC342" s="31">
        <f>IFERROR(VLOOKUP(BB342,Lists!$A$2:$C$12,3,FALSE),"")</f>
        <v/>
      </c>
      <c r="BD342" s="31">
        <f>COUNTIF(W342:AC342,"Yes")</f>
        <v/>
      </c>
      <c r="BE342" s="31">
        <f>IF(TRIM(B342)="","Legal name missing; ","")&amp;IF(AND(AV342&lt;&gt;"",AV342&lt;&gt;"OK"),"GSTIN: "&amp;AV342&amp;"; ","")&amp;IF(AND(AW342&lt;&gt;"",AW342&lt;&gt;"OK"),"PAN wrong format; ","")&amp;IF(AND(BA342&lt;&gt;"",LEN(AZ342)=15,MID(AZ342,3,10)&lt;&gt;BA342),"PAN does not match GSTIN; ","")&amp;IF(AND(AX342&lt;&gt;"",AX342&lt;&gt;"OK"),"TAN wrong format; ","")&amp;IF(AS342="","PAN missing; ","")&amp;IF(BB342="","Entity type missing; ","")&amp;IF(AND(AZ342&lt;&gt;"",COUNTIF($AZ$6:$AZ$1005,AZ342)&gt;1),"GSTIN repeated in this sheet; ","")&amp;IF(AND(AS342&lt;&gt;"",COUNTIF($AS$6:$AS$1005,AS342)&gt;1),"PAN repeated in this sheet (same client? put extra GSTINs in Other GSTINs); ","")&amp;IF(AND(BD342&gt;0,V342=""),"Financial year missing; ","")&amp;IF(AND(BD342=0,V342&lt;&gt;""),"Financial year given but no service is Yes; ","")&amp;IF(AND(W342="Yes",AZ342=""),"GST needs a GSTIN; ","")&amp;IF(AND(W342="Yes",X342=""),"GST return frequency missing; ","")&amp;IF(AND(Y342="Yes",TRIM(H342)=""),"TDS needs a TAN; ","")&amp;IF(AND(AA342="Yes",BC342&lt;&gt;"",BC342&lt;&gt;"company",BC342&lt;&gt;"llp"),"ROC is only for a company / LLP; ","")&amp;IF(AND(AA342="Yes",OR(BC342="company",BC342="llp"),TRIM(I342)=""),"ROC needs the CIN / LLPIN; ","")&amp;IF((TRIM(AF342)="")&lt;&gt;(TRIM(AG342)=""),"GST login needs both user ID and password; ","")&amp;IF((TRIM(AH342)="")&lt;&gt;(TRIM(AI342)=""),"Income-tax login needs both user ID and password; ","")&amp;IF((TRIM(AJ342)="")&lt;&gt;(TRIM(AK342)=""),"Income-tax login needs both user ID and password; ","")&amp;IF((TRIM(AL342)="")&lt;&gt;(TRIM(AM342)=""),"TRACES login needs both user ID and password; ","")&amp;IF((TRIM(AN342)="")&lt;&gt;(TRIM(AO342)=""),"MCA login needs both user ID and password; ","")&amp;IF((TRIM(AP342)="")&lt;&gt;(TRIM(AQ342)=""),"E-way bill login needs both user ID and password; ","")</f>
        <v/>
      </c>
    </row>
    <row r="343">
      <c r="A343" s="32" t="n"/>
      <c r="B343" s="33" t="n"/>
      <c r="C343" s="33" t="n"/>
      <c r="D343" s="33" t="n"/>
      <c r="E343" s="32" t="n"/>
      <c r="F343" s="32" t="n"/>
      <c r="G343" s="32" t="n"/>
      <c r="H343" s="32" t="n"/>
      <c r="I343" s="32" t="n"/>
      <c r="J343" s="34" t="n"/>
      <c r="K343" s="33" t="n"/>
      <c r="L343" s="32" t="n"/>
      <c r="M343" s="33" t="n"/>
      <c r="N343" s="33" t="n"/>
      <c r="O343" s="33" t="n"/>
      <c r="P343" s="32" t="n"/>
      <c r="Q343" s="33" t="n"/>
      <c r="R343" s="33" t="n"/>
      <c r="S343" s="33" t="n"/>
      <c r="T343" s="33" t="n"/>
      <c r="U343" s="32" t="n"/>
      <c r="V343" s="33" t="n"/>
      <c r="W343" s="33" t="n"/>
      <c r="X343" s="33" t="n"/>
      <c r="Y343" s="33" t="n"/>
      <c r="Z343" s="33" t="n"/>
      <c r="AA343" s="33" t="n"/>
      <c r="AB343" s="33" t="n"/>
      <c r="AC343" s="33" t="n"/>
      <c r="AD343" s="33" t="n"/>
      <c r="AE343" s="33" t="n"/>
      <c r="AF343" s="32" t="n"/>
      <c r="AG343" s="32" t="n"/>
      <c r="AH343" s="32" t="n"/>
      <c r="AI343" s="32" t="n"/>
      <c r="AJ343" s="32" t="n"/>
      <c r="AK343" s="32" t="n"/>
      <c r="AL343" s="32" t="n"/>
      <c r="AM343" s="32" t="n"/>
      <c r="AN343" s="32" t="n"/>
      <c r="AO343" s="32" t="n"/>
      <c r="AP343" s="32" t="n"/>
      <c r="AQ343" s="32" t="n"/>
      <c r="AR343" s="29">
        <f>IF(NOT(COUNTA(A343:AE343)&gt;0),"",IF(A343="","New client","Update"))</f>
        <v/>
      </c>
      <c r="AS343" s="29">
        <f>IF(BA343&lt;&gt;"",BA343,IF(LEN(AZ343)=15,MID(AZ343,3,10),""))</f>
        <v/>
      </c>
      <c r="AT343" s="29">
        <f>IF(BB343="","",BB343&amp;IF(D343="","  (guessed from PAN)",""))</f>
        <v/>
      </c>
      <c r="AU343" s="29">
        <f>IF(AZ343="","",IFERROR(INDEX(Lists!$L$2:$L$38,MATCH(LEFT(AZ343,2),Lists!$K$2:$K$38,0)),"Unknown code"))</f>
        <v/>
      </c>
      <c r="AV343" s="29">
        <f>IF(AZ343="","",IFERROR(IF(NOT(AND(LEN(AZ343)=15,ISNUMBER(MATCH(LEFT(AZ343,2),Lists!$K$2:$K$38,0)),SUMPRODUCT(--ISERROR(FIND(MID(MID(AZ343,3,10),{1,2,3,4,5,10},1),"ABCDEFGHIJKLMNOPQRSTUVWXYZ")))=0,SUMPRODUCT(--ISERROR(FIND(MID(MID(AZ343,3,10),{6,7,8,9},1),"0123456789")))=0,ISNUMBER(FIND(MID(AZ343,13,1),"123456789ABCDEFGHIJKLMNOPQRSTUVWXYZ")),MID(AZ343,14,1)="Z")),"Wrong format",IF(MID("0123456789ABCDEFGHIJKLMNOPQRSTUVWXYZ",MOD(36-MOD(SUMPRODUCT(INT((FIND(MID(AZ343,{1,2,3,4,5,6,7,8,9,10,11,12,13,14},1),"0123456789ABCDEFGHIJKLMNOPQRSTUVWXYZ")-1)*{1,2,1,2,1,2,1,2,1,2,1,2,1,2}/36)+MOD((FIND(MID(AZ343,{1,2,3,4,5,6,7,8,9,10,11,12,13,14},1),"0123456789ABCDEFGHIJKLMNOPQRSTUVWXYZ")-1)*{1,2,1,2,1,2,1,2,1,2,1,2,1,2},36)),36),36)+1,1)=MID(AZ343,15,1),"OK","Typo? check digit wrong")),"Wrong format"))</f>
        <v/>
      </c>
      <c r="AW343" s="29">
        <f>IF(BA343="","",IF(AND(LEN(BA343)=10,SUMPRODUCT(--ISERROR(FIND(MID(BA343,{1,2,3,4,5,10},1),"ABCDEFGHIJKLMNOPQRSTUVWXYZ")))=0,SUMPRODUCT(--ISERROR(FIND(MID(BA343,{6,7,8,9},1),"0123456789")))=0),"OK","Wrong format"))</f>
        <v/>
      </c>
      <c r="AX343" s="29">
        <f>IF(TRIM(H343)="","",IF(AND(LEN(UPPER(TRIM(H343)))=10,SUMPRODUCT(--ISERROR(FIND(MID(UPPER(TRIM(H343)),{1,2,3,4,10},1),"ABCDEFGHIJKLMNOPQRSTUVWXYZ")))=0,SUMPRODUCT(--ISERROR(FIND(MID(UPPER(TRIM(H343)),{5,6,7,8,9},1),"0123456789")))=0),"OK","Wrong format"))</f>
        <v/>
      </c>
      <c r="AY343" s="30">
        <f>IF(NOT(COUNTA(A343:AE343)&gt;0),"",IF(BE343&lt;&gt;"","✖ "&amp;LEFT(BE343,LEN(BE343)-2),IF(BD343&gt;0,"✔ Ready — client + "&amp;BD343&amp;" service(s)","✔ Ready — client only")))</f>
        <v/>
      </c>
      <c r="AZ343" s="31">
        <f>UPPER(SUBSTITUTE(TRIM(F343)," ",""))</f>
        <v/>
      </c>
      <c r="BA343" s="31">
        <f>UPPER(SUBSTITUTE(TRIM(E343)," ",""))</f>
        <v/>
      </c>
      <c r="BB343" s="31">
        <f>IF(D343&lt;&gt;"",D343,IFERROR(VLOOKUP(MID(AS343,4,1),Lists!$E$2:$F$8,2,FALSE),""))</f>
        <v/>
      </c>
      <c r="BC343" s="31">
        <f>IFERROR(VLOOKUP(BB343,Lists!$A$2:$C$12,3,FALSE),"")</f>
        <v/>
      </c>
      <c r="BD343" s="31">
        <f>COUNTIF(W343:AC343,"Yes")</f>
        <v/>
      </c>
      <c r="BE343" s="31">
        <f>IF(TRIM(B343)="","Legal name missing; ","")&amp;IF(AND(AV343&lt;&gt;"",AV343&lt;&gt;"OK"),"GSTIN: "&amp;AV343&amp;"; ","")&amp;IF(AND(AW343&lt;&gt;"",AW343&lt;&gt;"OK"),"PAN wrong format; ","")&amp;IF(AND(BA343&lt;&gt;"",LEN(AZ343)=15,MID(AZ343,3,10)&lt;&gt;BA343),"PAN does not match GSTIN; ","")&amp;IF(AND(AX343&lt;&gt;"",AX343&lt;&gt;"OK"),"TAN wrong format; ","")&amp;IF(AS343="","PAN missing; ","")&amp;IF(BB343="","Entity type missing; ","")&amp;IF(AND(AZ343&lt;&gt;"",COUNTIF($AZ$6:$AZ$1005,AZ343)&gt;1),"GSTIN repeated in this sheet; ","")&amp;IF(AND(AS343&lt;&gt;"",COUNTIF($AS$6:$AS$1005,AS343)&gt;1),"PAN repeated in this sheet (same client? put extra GSTINs in Other GSTINs); ","")&amp;IF(AND(BD343&gt;0,V343=""),"Financial year missing; ","")&amp;IF(AND(BD343=0,V343&lt;&gt;""),"Financial year given but no service is Yes; ","")&amp;IF(AND(W343="Yes",AZ343=""),"GST needs a GSTIN; ","")&amp;IF(AND(W343="Yes",X343=""),"GST return frequency missing; ","")&amp;IF(AND(Y343="Yes",TRIM(H343)=""),"TDS needs a TAN; ","")&amp;IF(AND(AA343="Yes",BC343&lt;&gt;"",BC343&lt;&gt;"company",BC343&lt;&gt;"llp"),"ROC is only for a company / LLP; ","")&amp;IF(AND(AA343="Yes",OR(BC343="company",BC343="llp"),TRIM(I343)=""),"ROC needs the CIN / LLPIN; ","")&amp;IF((TRIM(AF343)="")&lt;&gt;(TRIM(AG343)=""),"GST login needs both user ID and password; ","")&amp;IF((TRIM(AH343)="")&lt;&gt;(TRIM(AI343)=""),"Income-tax login needs both user ID and password; ","")&amp;IF((TRIM(AJ343)="")&lt;&gt;(TRIM(AK343)=""),"Income-tax login needs both user ID and password; ","")&amp;IF((TRIM(AL343)="")&lt;&gt;(TRIM(AM343)=""),"TRACES login needs both user ID and password; ","")&amp;IF((TRIM(AN343)="")&lt;&gt;(TRIM(AO343)=""),"MCA login needs both user ID and password; ","")&amp;IF((TRIM(AP343)="")&lt;&gt;(TRIM(AQ343)=""),"E-way bill login needs both user ID and password; ","")</f>
        <v/>
      </c>
    </row>
    <row r="344">
      <c r="A344" s="32" t="n"/>
      <c r="B344" s="33" t="n"/>
      <c r="C344" s="33" t="n"/>
      <c r="D344" s="33" t="n"/>
      <c r="E344" s="32" t="n"/>
      <c r="F344" s="32" t="n"/>
      <c r="G344" s="32" t="n"/>
      <c r="H344" s="32" t="n"/>
      <c r="I344" s="32" t="n"/>
      <c r="J344" s="34" t="n"/>
      <c r="K344" s="33" t="n"/>
      <c r="L344" s="32" t="n"/>
      <c r="M344" s="33" t="n"/>
      <c r="N344" s="33" t="n"/>
      <c r="O344" s="33" t="n"/>
      <c r="P344" s="32" t="n"/>
      <c r="Q344" s="33" t="n"/>
      <c r="R344" s="33" t="n"/>
      <c r="S344" s="33" t="n"/>
      <c r="T344" s="33" t="n"/>
      <c r="U344" s="32" t="n"/>
      <c r="V344" s="33" t="n"/>
      <c r="W344" s="33" t="n"/>
      <c r="X344" s="33" t="n"/>
      <c r="Y344" s="33" t="n"/>
      <c r="Z344" s="33" t="n"/>
      <c r="AA344" s="33" t="n"/>
      <c r="AB344" s="33" t="n"/>
      <c r="AC344" s="33" t="n"/>
      <c r="AD344" s="33" t="n"/>
      <c r="AE344" s="33" t="n"/>
      <c r="AF344" s="32" t="n"/>
      <c r="AG344" s="32" t="n"/>
      <c r="AH344" s="32" t="n"/>
      <c r="AI344" s="32" t="n"/>
      <c r="AJ344" s="32" t="n"/>
      <c r="AK344" s="32" t="n"/>
      <c r="AL344" s="32" t="n"/>
      <c r="AM344" s="32" t="n"/>
      <c r="AN344" s="32" t="n"/>
      <c r="AO344" s="32" t="n"/>
      <c r="AP344" s="32" t="n"/>
      <c r="AQ344" s="32" t="n"/>
      <c r="AR344" s="29">
        <f>IF(NOT(COUNTA(A344:AE344)&gt;0),"",IF(A344="","New client","Update"))</f>
        <v/>
      </c>
      <c r="AS344" s="29">
        <f>IF(BA344&lt;&gt;"",BA344,IF(LEN(AZ344)=15,MID(AZ344,3,10),""))</f>
        <v/>
      </c>
      <c r="AT344" s="29">
        <f>IF(BB344="","",BB344&amp;IF(D344="","  (guessed from PAN)",""))</f>
        <v/>
      </c>
      <c r="AU344" s="29">
        <f>IF(AZ344="","",IFERROR(INDEX(Lists!$L$2:$L$38,MATCH(LEFT(AZ344,2),Lists!$K$2:$K$38,0)),"Unknown code"))</f>
        <v/>
      </c>
      <c r="AV344" s="29">
        <f>IF(AZ344="","",IFERROR(IF(NOT(AND(LEN(AZ344)=15,ISNUMBER(MATCH(LEFT(AZ344,2),Lists!$K$2:$K$38,0)),SUMPRODUCT(--ISERROR(FIND(MID(MID(AZ344,3,10),{1,2,3,4,5,10},1),"ABCDEFGHIJKLMNOPQRSTUVWXYZ")))=0,SUMPRODUCT(--ISERROR(FIND(MID(MID(AZ344,3,10),{6,7,8,9},1),"0123456789")))=0,ISNUMBER(FIND(MID(AZ344,13,1),"123456789ABCDEFGHIJKLMNOPQRSTUVWXYZ")),MID(AZ344,14,1)="Z")),"Wrong format",IF(MID("0123456789ABCDEFGHIJKLMNOPQRSTUVWXYZ",MOD(36-MOD(SUMPRODUCT(INT((FIND(MID(AZ344,{1,2,3,4,5,6,7,8,9,10,11,12,13,14},1),"0123456789ABCDEFGHIJKLMNOPQRSTUVWXYZ")-1)*{1,2,1,2,1,2,1,2,1,2,1,2,1,2}/36)+MOD((FIND(MID(AZ344,{1,2,3,4,5,6,7,8,9,10,11,12,13,14},1),"0123456789ABCDEFGHIJKLMNOPQRSTUVWXYZ")-1)*{1,2,1,2,1,2,1,2,1,2,1,2,1,2},36)),36),36)+1,1)=MID(AZ344,15,1),"OK","Typo? check digit wrong")),"Wrong format"))</f>
        <v/>
      </c>
      <c r="AW344" s="29">
        <f>IF(BA344="","",IF(AND(LEN(BA344)=10,SUMPRODUCT(--ISERROR(FIND(MID(BA344,{1,2,3,4,5,10},1),"ABCDEFGHIJKLMNOPQRSTUVWXYZ")))=0,SUMPRODUCT(--ISERROR(FIND(MID(BA344,{6,7,8,9},1),"0123456789")))=0),"OK","Wrong format"))</f>
        <v/>
      </c>
      <c r="AX344" s="29">
        <f>IF(TRIM(H344)="","",IF(AND(LEN(UPPER(TRIM(H344)))=10,SUMPRODUCT(--ISERROR(FIND(MID(UPPER(TRIM(H344)),{1,2,3,4,10},1),"ABCDEFGHIJKLMNOPQRSTUVWXYZ")))=0,SUMPRODUCT(--ISERROR(FIND(MID(UPPER(TRIM(H344)),{5,6,7,8,9},1),"0123456789")))=0),"OK","Wrong format"))</f>
        <v/>
      </c>
      <c r="AY344" s="30">
        <f>IF(NOT(COUNTA(A344:AE344)&gt;0),"",IF(BE344&lt;&gt;"","✖ "&amp;LEFT(BE344,LEN(BE344)-2),IF(BD344&gt;0,"✔ Ready — client + "&amp;BD344&amp;" service(s)","✔ Ready — client only")))</f>
        <v/>
      </c>
      <c r="AZ344" s="31">
        <f>UPPER(SUBSTITUTE(TRIM(F344)," ",""))</f>
        <v/>
      </c>
      <c r="BA344" s="31">
        <f>UPPER(SUBSTITUTE(TRIM(E344)," ",""))</f>
        <v/>
      </c>
      <c r="BB344" s="31">
        <f>IF(D344&lt;&gt;"",D344,IFERROR(VLOOKUP(MID(AS344,4,1),Lists!$E$2:$F$8,2,FALSE),""))</f>
        <v/>
      </c>
      <c r="BC344" s="31">
        <f>IFERROR(VLOOKUP(BB344,Lists!$A$2:$C$12,3,FALSE),"")</f>
        <v/>
      </c>
      <c r="BD344" s="31">
        <f>COUNTIF(W344:AC344,"Yes")</f>
        <v/>
      </c>
      <c r="BE344" s="31">
        <f>IF(TRIM(B344)="","Legal name missing; ","")&amp;IF(AND(AV344&lt;&gt;"",AV344&lt;&gt;"OK"),"GSTIN: "&amp;AV344&amp;"; ","")&amp;IF(AND(AW344&lt;&gt;"",AW344&lt;&gt;"OK"),"PAN wrong format; ","")&amp;IF(AND(BA344&lt;&gt;"",LEN(AZ344)=15,MID(AZ344,3,10)&lt;&gt;BA344),"PAN does not match GSTIN; ","")&amp;IF(AND(AX344&lt;&gt;"",AX344&lt;&gt;"OK"),"TAN wrong format; ","")&amp;IF(AS344="","PAN missing; ","")&amp;IF(BB344="","Entity type missing; ","")&amp;IF(AND(AZ344&lt;&gt;"",COUNTIF($AZ$6:$AZ$1005,AZ344)&gt;1),"GSTIN repeated in this sheet; ","")&amp;IF(AND(AS344&lt;&gt;"",COUNTIF($AS$6:$AS$1005,AS344)&gt;1),"PAN repeated in this sheet (same client? put extra GSTINs in Other GSTINs); ","")&amp;IF(AND(BD344&gt;0,V344=""),"Financial year missing; ","")&amp;IF(AND(BD344=0,V344&lt;&gt;""),"Financial year given but no service is Yes; ","")&amp;IF(AND(W344="Yes",AZ344=""),"GST needs a GSTIN; ","")&amp;IF(AND(W344="Yes",X344=""),"GST return frequency missing; ","")&amp;IF(AND(Y344="Yes",TRIM(H344)=""),"TDS needs a TAN; ","")&amp;IF(AND(AA344="Yes",BC344&lt;&gt;"",BC344&lt;&gt;"company",BC344&lt;&gt;"llp"),"ROC is only for a company / LLP; ","")&amp;IF(AND(AA344="Yes",OR(BC344="company",BC344="llp"),TRIM(I344)=""),"ROC needs the CIN / LLPIN; ","")&amp;IF((TRIM(AF344)="")&lt;&gt;(TRIM(AG344)=""),"GST login needs both user ID and password; ","")&amp;IF((TRIM(AH344)="")&lt;&gt;(TRIM(AI344)=""),"Income-tax login needs both user ID and password; ","")&amp;IF((TRIM(AJ344)="")&lt;&gt;(TRIM(AK344)=""),"Income-tax login needs both user ID and password; ","")&amp;IF((TRIM(AL344)="")&lt;&gt;(TRIM(AM344)=""),"TRACES login needs both user ID and password; ","")&amp;IF((TRIM(AN344)="")&lt;&gt;(TRIM(AO344)=""),"MCA login needs both user ID and password; ","")&amp;IF((TRIM(AP344)="")&lt;&gt;(TRIM(AQ344)=""),"E-way bill login needs both user ID and password; ","")</f>
        <v/>
      </c>
    </row>
    <row r="345">
      <c r="A345" s="32" t="n"/>
      <c r="B345" s="33" t="n"/>
      <c r="C345" s="33" t="n"/>
      <c r="D345" s="33" t="n"/>
      <c r="E345" s="32" t="n"/>
      <c r="F345" s="32" t="n"/>
      <c r="G345" s="32" t="n"/>
      <c r="H345" s="32" t="n"/>
      <c r="I345" s="32" t="n"/>
      <c r="J345" s="34" t="n"/>
      <c r="K345" s="33" t="n"/>
      <c r="L345" s="32" t="n"/>
      <c r="M345" s="33" t="n"/>
      <c r="N345" s="33" t="n"/>
      <c r="O345" s="33" t="n"/>
      <c r="P345" s="32" t="n"/>
      <c r="Q345" s="33" t="n"/>
      <c r="R345" s="33" t="n"/>
      <c r="S345" s="33" t="n"/>
      <c r="T345" s="33" t="n"/>
      <c r="U345" s="32" t="n"/>
      <c r="V345" s="33" t="n"/>
      <c r="W345" s="33" t="n"/>
      <c r="X345" s="33" t="n"/>
      <c r="Y345" s="33" t="n"/>
      <c r="Z345" s="33" t="n"/>
      <c r="AA345" s="33" t="n"/>
      <c r="AB345" s="33" t="n"/>
      <c r="AC345" s="33" t="n"/>
      <c r="AD345" s="33" t="n"/>
      <c r="AE345" s="33" t="n"/>
      <c r="AF345" s="32" t="n"/>
      <c r="AG345" s="32" t="n"/>
      <c r="AH345" s="32" t="n"/>
      <c r="AI345" s="32" t="n"/>
      <c r="AJ345" s="32" t="n"/>
      <c r="AK345" s="32" t="n"/>
      <c r="AL345" s="32" t="n"/>
      <c r="AM345" s="32" t="n"/>
      <c r="AN345" s="32" t="n"/>
      <c r="AO345" s="32" t="n"/>
      <c r="AP345" s="32" t="n"/>
      <c r="AQ345" s="32" t="n"/>
      <c r="AR345" s="29">
        <f>IF(NOT(COUNTA(A345:AE345)&gt;0),"",IF(A345="","New client","Update"))</f>
        <v/>
      </c>
      <c r="AS345" s="29">
        <f>IF(BA345&lt;&gt;"",BA345,IF(LEN(AZ345)=15,MID(AZ345,3,10),""))</f>
        <v/>
      </c>
      <c r="AT345" s="29">
        <f>IF(BB345="","",BB345&amp;IF(D345="","  (guessed from PAN)",""))</f>
        <v/>
      </c>
      <c r="AU345" s="29">
        <f>IF(AZ345="","",IFERROR(INDEX(Lists!$L$2:$L$38,MATCH(LEFT(AZ345,2),Lists!$K$2:$K$38,0)),"Unknown code"))</f>
        <v/>
      </c>
      <c r="AV345" s="29">
        <f>IF(AZ345="","",IFERROR(IF(NOT(AND(LEN(AZ345)=15,ISNUMBER(MATCH(LEFT(AZ345,2),Lists!$K$2:$K$38,0)),SUMPRODUCT(--ISERROR(FIND(MID(MID(AZ345,3,10),{1,2,3,4,5,10},1),"ABCDEFGHIJKLMNOPQRSTUVWXYZ")))=0,SUMPRODUCT(--ISERROR(FIND(MID(MID(AZ345,3,10),{6,7,8,9},1),"0123456789")))=0,ISNUMBER(FIND(MID(AZ345,13,1),"123456789ABCDEFGHIJKLMNOPQRSTUVWXYZ")),MID(AZ345,14,1)="Z")),"Wrong format",IF(MID("0123456789ABCDEFGHIJKLMNOPQRSTUVWXYZ",MOD(36-MOD(SUMPRODUCT(INT((FIND(MID(AZ345,{1,2,3,4,5,6,7,8,9,10,11,12,13,14},1),"0123456789ABCDEFGHIJKLMNOPQRSTUVWXYZ")-1)*{1,2,1,2,1,2,1,2,1,2,1,2,1,2}/36)+MOD((FIND(MID(AZ345,{1,2,3,4,5,6,7,8,9,10,11,12,13,14},1),"0123456789ABCDEFGHIJKLMNOPQRSTUVWXYZ")-1)*{1,2,1,2,1,2,1,2,1,2,1,2,1,2},36)),36),36)+1,1)=MID(AZ345,15,1),"OK","Typo? check digit wrong")),"Wrong format"))</f>
        <v/>
      </c>
      <c r="AW345" s="29">
        <f>IF(BA345="","",IF(AND(LEN(BA345)=10,SUMPRODUCT(--ISERROR(FIND(MID(BA345,{1,2,3,4,5,10},1),"ABCDEFGHIJKLMNOPQRSTUVWXYZ")))=0,SUMPRODUCT(--ISERROR(FIND(MID(BA345,{6,7,8,9},1),"0123456789")))=0),"OK","Wrong format"))</f>
        <v/>
      </c>
      <c r="AX345" s="29">
        <f>IF(TRIM(H345)="","",IF(AND(LEN(UPPER(TRIM(H345)))=10,SUMPRODUCT(--ISERROR(FIND(MID(UPPER(TRIM(H345)),{1,2,3,4,10},1),"ABCDEFGHIJKLMNOPQRSTUVWXYZ")))=0,SUMPRODUCT(--ISERROR(FIND(MID(UPPER(TRIM(H345)),{5,6,7,8,9},1),"0123456789")))=0),"OK","Wrong format"))</f>
        <v/>
      </c>
      <c r="AY345" s="30">
        <f>IF(NOT(COUNTA(A345:AE345)&gt;0),"",IF(BE345&lt;&gt;"","✖ "&amp;LEFT(BE345,LEN(BE345)-2),IF(BD345&gt;0,"✔ Ready — client + "&amp;BD345&amp;" service(s)","✔ Ready — client only")))</f>
        <v/>
      </c>
      <c r="AZ345" s="31">
        <f>UPPER(SUBSTITUTE(TRIM(F345)," ",""))</f>
        <v/>
      </c>
      <c r="BA345" s="31">
        <f>UPPER(SUBSTITUTE(TRIM(E345)," ",""))</f>
        <v/>
      </c>
      <c r="BB345" s="31">
        <f>IF(D345&lt;&gt;"",D345,IFERROR(VLOOKUP(MID(AS345,4,1),Lists!$E$2:$F$8,2,FALSE),""))</f>
        <v/>
      </c>
      <c r="BC345" s="31">
        <f>IFERROR(VLOOKUP(BB345,Lists!$A$2:$C$12,3,FALSE),"")</f>
        <v/>
      </c>
      <c r="BD345" s="31">
        <f>COUNTIF(W345:AC345,"Yes")</f>
        <v/>
      </c>
      <c r="BE345" s="31">
        <f>IF(TRIM(B345)="","Legal name missing; ","")&amp;IF(AND(AV345&lt;&gt;"",AV345&lt;&gt;"OK"),"GSTIN: "&amp;AV345&amp;"; ","")&amp;IF(AND(AW345&lt;&gt;"",AW345&lt;&gt;"OK"),"PAN wrong format; ","")&amp;IF(AND(BA345&lt;&gt;"",LEN(AZ345)=15,MID(AZ345,3,10)&lt;&gt;BA345),"PAN does not match GSTIN; ","")&amp;IF(AND(AX345&lt;&gt;"",AX345&lt;&gt;"OK"),"TAN wrong format; ","")&amp;IF(AS345="","PAN missing; ","")&amp;IF(BB345="","Entity type missing; ","")&amp;IF(AND(AZ345&lt;&gt;"",COUNTIF($AZ$6:$AZ$1005,AZ345)&gt;1),"GSTIN repeated in this sheet; ","")&amp;IF(AND(AS345&lt;&gt;"",COUNTIF($AS$6:$AS$1005,AS345)&gt;1),"PAN repeated in this sheet (same client? put extra GSTINs in Other GSTINs); ","")&amp;IF(AND(BD345&gt;0,V345=""),"Financial year missing; ","")&amp;IF(AND(BD345=0,V345&lt;&gt;""),"Financial year given but no service is Yes; ","")&amp;IF(AND(W345="Yes",AZ345=""),"GST needs a GSTIN; ","")&amp;IF(AND(W345="Yes",X345=""),"GST return frequency missing; ","")&amp;IF(AND(Y345="Yes",TRIM(H345)=""),"TDS needs a TAN; ","")&amp;IF(AND(AA345="Yes",BC345&lt;&gt;"",BC345&lt;&gt;"company",BC345&lt;&gt;"llp"),"ROC is only for a company / LLP; ","")&amp;IF(AND(AA345="Yes",OR(BC345="company",BC345="llp"),TRIM(I345)=""),"ROC needs the CIN / LLPIN; ","")&amp;IF((TRIM(AF345)="")&lt;&gt;(TRIM(AG345)=""),"GST login needs both user ID and password; ","")&amp;IF((TRIM(AH345)="")&lt;&gt;(TRIM(AI345)=""),"Income-tax login needs both user ID and password; ","")&amp;IF((TRIM(AJ345)="")&lt;&gt;(TRIM(AK345)=""),"Income-tax login needs both user ID and password; ","")&amp;IF((TRIM(AL345)="")&lt;&gt;(TRIM(AM345)=""),"TRACES login needs both user ID and password; ","")&amp;IF((TRIM(AN345)="")&lt;&gt;(TRIM(AO345)=""),"MCA login needs both user ID and password; ","")&amp;IF((TRIM(AP345)="")&lt;&gt;(TRIM(AQ345)=""),"E-way bill login needs both user ID and password; ","")</f>
        <v/>
      </c>
    </row>
    <row r="346">
      <c r="A346" s="32" t="n"/>
      <c r="B346" s="33" t="n"/>
      <c r="C346" s="33" t="n"/>
      <c r="D346" s="33" t="n"/>
      <c r="E346" s="32" t="n"/>
      <c r="F346" s="32" t="n"/>
      <c r="G346" s="32" t="n"/>
      <c r="H346" s="32" t="n"/>
      <c r="I346" s="32" t="n"/>
      <c r="J346" s="34" t="n"/>
      <c r="K346" s="33" t="n"/>
      <c r="L346" s="32" t="n"/>
      <c r="M346" s="33" t="n"/>
      <c r="N346" s="33" t="n"/>
      <c r="O346" s="33" t="n"/>
      <c r="P346" s="32" t="n"/>
      <c r="Q346" s="33" t="n"/>
      <c r="R346" s="33" t="n"/>
      <c r="S346" s="33" t="n"/>
      <c r="T346" s="33" t="n"/>
      <c r="U346" s="32" t="n"/>
      <c r="V346" s="33" t="n"/>
      <c r="W346" s="33" t="n"/>
      <c r="X346" s="33" t="n"/>
      <c r="Y346" s="33" t="n"/>
      <c r="Z346" s="33" t="n"/>
      <c r="AA346" s="33" t="n"/>
      <c r="AB346" s="33" t="n"/>
      <c r="AC346" s="33" t="n"/>
      <c r="AD346" s="33" t="n"/>
      <c r="AE346" s="33" t="n"/>
      <c r="AF346" s="32" t="n"/>
      <c r="AG346" s="32" t="n"/>
      <c r="AH346" s="32" t="n"/>
      <c r="AI346" s="32" t="n"/>
      <c r="AJ346" s="32" t="n"/>
      <c r="AK346" s="32" t="n"/>
      <c r="AL346" s="32" t="n"/>
      <c r="AM346" s="32" t="n"/>
      <c r="AN346" s="32" t="n"/>
      <c r="AO346" s="32" t="n"/>
      <c r="AP346" s="32" t="n"/>
      <c r="AQ346" s="32" t="n"/>
      <c r="AR346" s="29">
        <f>IF(NOT(COUNTA(A346:AE346)&gt;0),"",IF(A346="","New client","Update"))</f>
        <v/>
      </c>
      <c r="AS346" s="29">
        <f>IF(BA346&lt;&gt;"",BA346,IF(LEN(AZ346)=15,MID(AZ346,3,10),""))</f>
        <v/>
      </c>
      <c r="AT346" s="29">
        <f>IF(BB346="","",BB346&amp;IF(D346="","  (guessed from PAN)",""))</f>
        <v/>
      </c>
      <c r="AU346" s="29">
        <f>IF(AZ346="","",IFERROR(INDEX(Lists!$L$2:$L$38,MATCH(LEFT(AZ346,2),Lists!$K$2:$K$38,0)),"Unknown code"))</f>
        <v/>
      </c>
      <c r="AV346" s="29">
        <f>IF(AZ346="","",IFERROR(IF(NOT(AND(LEN(AZ346)=15,ISNUMBER(MATCH(LEFT(AZ346,2),Lists!$K$2:$K$38,0)),SUMPRODUCT(--ISERROR(FIND(MID(MID(AZ346,3,10),{1,2,3,4,5,10},1),"ABCDEFGHIJKLMNOPQRSTUVWXYZ")))=0,SUMPRODUCT(--ISERROR(FIND(MID(MID(AZ346,3,10),{6,7,8,9},1),"0123456789")))=0,ISNUMBER(FIND(MID(AZ346,13,1),"123456789ABCDEFGHIJKLMNOPQRSTUVWXYZ")),MID(AZ346,14,1)="Z")),"Wrong format",IF(MID("0123456789ABCDEFGHIJKLMNOPQRSTUVWXYZ",MOD(36-MOD(SUMPRODUCT(INT((FIND(MID(AZ346,{1,2,3,4,5,6,7,8,9,10,11,12,13,14},1),"0123456789ABCDEFGHIJKLMNOPQRSTUVWXYZ")-1)*{1,2,1,2,1,2,1,2,1,2,1,2,1,2}/36)+MOD((FIND(MID(AZ346,{1,2,3,4,5,6,7,8,9,10,11,12,13,14},1),"0123456789ABCDEFGHIJKLMNOPQRSTUVWXYZ")-1)*{1,2,1,2,1,2,1,2,1,2,1,2,1,2},36)),36),36)+1,1)=MID(AZ346,15,1),"OK","Typo? check digit wrong")),"Wrong format"))</f>
        <v/>
      </c>
      <c r="AW346" s="29">
        <f>IF(BA346="","",IF(AND(LEN(BA346)=10,SUMPRODUCT(--ISERROR(FIND(MID(BA346,{1,2,3,4,5,10},1),"ABCDEFGHIJKLMNOPQRSTUVWXYZ")))=0,SUMPRODUCT(--ISERROR(FIND(MID(BA346,{6,7,8,9},1),"0123456789")))=0),"OK","Wrong format"))</f>
        <v/>
      </c>
      <c r="AX346" s="29">
        <f>IF(TRIM(H346)="","",IF(AND(LEN(UPPER(TRIM(H346)))=10,SUMPRODUCT(--ISERROR(FIND(MID(UPPER(TRIM(H346)),{1,2,3,4,10},1),"ABCDEFGHIJKLMNOPQRSTUVWXYZ")))=0,SUMPRODUCT(--ISERROR(FIND(MID(UPPER(TRIM(H346)),{5,6,7,8,9},1),"0123456789")))=0),"OK","Wrong format"))</f>
        <v/>
      </c>
      <c r="AY346" s="30">
        <f>IF(NOT(COUNTA(A346:AE346)&gt;0),"",IF(BE346&lt;&gt;"","✖ "&amp;LEFT(BE346,LEN(BE346)-2),IF(BD346&gt;0,"✔ Ready — client + "&amp;BD346&amp;" service(s)","✔ Ready — client only")))</f>
        <v/>
      </c>
      <c r="AZ346" s="31">
        <f>UPPER(SUBSTITUTE(TRIM(F346)," ",""))</f>
        <v/>
      </c>
      <c r="BA346" s="31">
        <f>UPPER(SUBSTITUTE(TRIM(E346)," ",""))</f>
        <v/>
      </c>
      <c r="BB346" s="31">
        <f>IF(D346&lt;&gt;"",D346,IFERROR(VLOOKUP(MID(AS346,4,1),Lists!$E$2:$F$8,2,FALSE),""))</f>
        <v/>
      </c>
      <c r="BC346" s="31">
        <f>IFERROR(VLOOKUP(BB346,Lists!$A$2:$C$12,3,FALSE),"")</f>
        <v/>
      </c>
      <c r="BD346" s="31">
        <f>COUNTIF(W346:AC346,"Yes")</f>
        <v/>
      </c>
      <c r="BE346" s="31">
        <f>IF(TRIM(B346)="","Legal name missing; ","")&amp;IF(AND(AV346&lt;&gt;"",AV346&lt;&gt;"OK"),"GSTIN: "&amp;AV346&amp;"; ","")&amp;IF(AND(AW346&lt;&gt;"",AW346&lt;&gt;"OK"),"PAN wrong format; ","")&amp;IF(AND(BA346&lt;&gt;"",LEN(AZ346)=15,MID(AZ346,3,10)&lt;&gt;BA346),"PAN does not match GSTIN; ","")&amp;IF(AND(AX346&lt;&gt;"",AX346&lt;&gt;"OK"),"TAN wrong format; ","")&amp;IF(AS346="","PAN missing; ","")&amp;IF(BB346="","Entity type missing; ","")&amp;IF(AND(AZ346&lt;&gt;"",COUNTIF($AZ$6:$AZ$1005,AZ346)&gt;1),"GSTIN repeated in this sheet; ","")&amp;IF(AND(AS346&lt;&gt;"",COUNTIF($AS$6:$AS$1005,AS346)&gt;1),"PAN repeated in this sheet (same client? put extra GSTINs in Other GSTINs); ","")&amp;IF(AND(BD346&gt;0,V346=""),"Financial year missing; ","")&amp;IF(AND(BD346=0,V346&lt;&gt;""),"Financial year given but no service is Yes; ","")&amp;IF(AND(W346="Yes",AZ346=""),"GST needs a GSTIN; ","")&amp;IF(AND(W346="Yes",X346=""),"GST return frequency missing; ","")&amp;IF(AND(Y346="Yes",TRIM(H346)=""),"TDS needs a TAN; ","")&amp;IF(AND(AA346="Yes",BC346&lt;&gt;"",BC346&lt;&gt;"company",BC346&lt;&gt;"llp"),"ROC is only for a company / LLP; ","")&amp;IF(AND(AA346="Yes",OR(BC346="company",BC346="llp"),TRIM(I346)=""),"ROC needs the CIN / LLPIN; ","")&amp;IF((TRIM(AF346)="")&lt;&gt;(TRIM(AG346)=""),"GST login needs both user ID and password; ","")&amp;IF((TRIM(AH346)="")&lt;&gt;(TRIM(AI346)=""),"Income-tax login needs both user ID and password; ","")&amp;IF((TRIM(AJ346)="")&lt;&gt;(TRIM(AK346)=""),"Income-tax login needs both user ID and password; ","")&amp;IF((TRIM(AL346)="")&lt;&gt;(TRIM(AM346)=""),"TRACES login needs both user ID and password; ","")&amp;IF((TRIM(AN346)="")&lt;&gt;(TRIM(AO346)=""),"MCA login needs both user ID and password; ","")&amp;IF((TRIM(AP346)="")&lt;&gt;(TRIM(AQ346)=""),"E-way bill login needs both user ID and password; ","")</f>
        <v/>
      </c>
    </row>
    <row r="347">
      <c r="A347" s="32" t="n"/>
      <c r="B347" s="33" t="n"/>
      <c r="C347" s="33" t="n"/>
      <c r="D347" s="33" t="n"/>
      <c r="E347" s="32" t="n"/>
      <c r="F347" s="32" t="n"/>
      <c r="G347" s="32" t="n"/>
      <c r="H347" s="32" t="n"/>
      <c r="I347" s="32" t="n"/>
      <c r="J347" s="34" t="n"/>
      <c r="K347" s="33" t="n"/>
      <c r="L347" s="32" t="n"/>
      <c r="M347" s="33" t="n"/>
      <c r="N347" s="33" t="n"/>
      <c r="O347" s="33" t="n"/>
      <c r="P347" s="32" t="n"/>
      <c r="Q347" s="33" t="n"/>
      <c r="R347" s="33" t="n"/>
      <c r="S347" s="33" t="n"/>
      <c r="T347" s="33" t="n"/>
      <c r="U347" s="32" t="n"/>
      <c r="V347" s="33" t="n"/>
      <c r="W347" s="33" t="n"/>
      <c r="X347" s="33" t="n"/>
      <c r="Y347" s="33" t="n"/>
      <c r="Z347" s="33" t="n"/>
      <c r="AA347" s="33" t="n"/>
      <c r="AB347" s="33" t="n"/>
      <c r="AC347" s="33" t="n"/>
      <c r="AD347" s="33" t="n"/>
      <c r="AE347" s="33" t="n"/>
      <c r="AF347" s="32" t="n"/>
      <c r="AG347" s="32" t="n"/>
      <c r="AH347" s="32" t="n"/>
      <c r="AI347" s="32" t="n"/>
      <c r="AJ347" s="32" t="n"/>
      <c r="AK347" s="32" t="n"/>
      <c r="AL347" s="32" t="n"/>
      <c r="AM347" s="32" t="n"/>
      <c r="AN347" s="32" t="n"/>
      <c r="AO347" s="32" t="n"/>
      <c r="AP347" s="32" t="n"/>
      <c r="AQ347" s="32" t="n"/>
      <c r="AR347" s="29">
        <f>IF(NOT(COUNTA(A347:AE347)&gt;0),"",IF(A347="","New client","Update"))</f>
        <v/>
      </c>
      <c r="AS347" s="29">
        <f>IF(BA347&lt;&gt;"",BA347,IF(LEN(AZ347)=15,MID(AZ347,3,10),""))</f>
        <v/>
      </c>
      <c r="AT347" s="29">
        <f>IF(BB347="","",BB347&amp;IF(D347="","  (guessed from PAN)",""))</f>
        <v/>
      </c>
      <c r="AU347" s="29">
        <f>IF(AZ347="","",IFERROR(INDEX(Lists!$L$2:$L$38,MATCH(LEFT(AZ347,2),Lists!$K$2:$K$38,0)),"Unknown code"))</f>
        <v/>
      </c>
      <c r="AV347" s="29">
        <f>IF(AZ347="","",IFERROR(IF(NOT(AND(LEN(AZ347)=15,ISNUMBER(MATCH(LEFT(AZ347,2),Lists!$K$2:$K$38,0)),SUMPRODUCT(--ISERROR(FIND(MID(MID(AZ347,3,10),{1,2,3,4,5,10},1),"ABCDEFGHIJKLMNOPQRSTUVWXYZ")))=0,SUMPRODUCT(--ISERROR(FIND(MID(MID(AZ347,3,10),{6,7,8,9},1),"0123456789")))=0,ISNUMBER(FIND(MID(AZ347,13,1),"123456789ABCDEFGHIJKLMNOPQRSTUVWXYZ")),MID(AZ347,14,1)="Z")),"Wrong format",IF(MID("0123456789ABCDEFGHIJKLMNOPQRSTUVWXYZ",MOD(36-MOD(SUMPRODUCT(INT((FIND(MID(AZ347,{1,2,3,4,5,6,7,8,9,10,11,12,13,14},1),"0123456789ABCDEFGHIJKLMNOPQRSTUVWXYZ")-1)*{1,2,1,2,1,2,1,2,1,2,1,2,1,2}/36)+MOD((FIND(MID(AZ347,{1,2,3,4,5,6,7,8,9,10,11,12,13,14},1),"0123456789ABCDEFGHIJKLMNOPQRSTUVWXYZ")-1)*{1,2,1,2,1,2,1,2,1,2,1,2,1,2},36)),36),36)+1,1)=MID(AZ347,15,1),"OK","Typo? check digit wrong")),"Wrong format"))</f>
        <v/>
      </c>
      <c r="AW347" s="29">
        <f>IF(BA347="","",IF(AND(LEN(BA347)=10,SUMPRODUCT(--ISERROR(FIND(MID(BA347,{1,2,3,4,5,10},1),"ABCDEFGHIJKLMNOPQRSTUVWXYZ")))=0,SUMPRODUCT(--ISERROR(FIND(MID(BA347,{6,7,8,9},1),"0123456789")))=0),"OK","Wrong format"))</f>
        <v/>
      </c>
      <c r="AX347" s="29">
        <f>IF(TRIM(H347)="","",IF(AND(LEN(UPPER(TRIM(H347)))=10,SUMPRODUCT(--ISERROR(FIND(MID(UPPER(TRIM(H347)),{1,2,3,4,10},1),"ABCDEFGHIJKLMNOPQRSTUVWXYZ")))=0,SUMPRODUCT(--ISERROR(FIND(MID(UPPER(TRIM(H347)),{5,6,7,8,9},1),"0123456789")))=0),"OK","Wrong format"))</f>
        <v/>
      </c>
      <c r="AY347" s="30">
        <f>IF(NOT(COUNTA(A347:AE347)&gt;0),"",IF(BE347&lt;&gt;"","✖ "&amp;LEFT(BE347,LEN(BE347)-2),IF(BD347&gt;0,"✔ Ready — client + "&amp;BD347&amp;" service(s)","✔ Ready — client only")))</f>
        <v/>
      </c>
      <c r="AZ347" s="31">
        <f>UPPER(SUBSTITUTE(TRIM(F347)," ",""))</f>
        <v/>
      </c>
      <c r="BA347" s="31">
        <f>UPPER(SUBSTITUTE(TRIM(E347)," ",""))</f>
        <v/>
      </c>
      <c r="BB347" s="31">
        <f>IF(D347&lt;&gt;"",D347,IFERROR(VLOOKUP(MID(AS347,4,1),Lists!$E$2:$F$8,2,FALSE),""))</f>
        <v/>
      </c>
      <c r="BC347" s="31">
        <f>IFERROR(VLOOKUP(BB347,Lists!$A$2:$C$12,3,FALSE),"")</f>
        <v/>
      </c>
      <c r="BD347" s="31">
        <f>COUNTIF(W347:AC347,"Yes")</f>
        <v/>
      </c>
      <c r="BE347" s="31">
        <f>IF(TRIM(B347)="","Legal name missing; ","")&amp;IF(AND(AV347&lt;&gt;"",AV347&lt;&gt;"OK"),"GSTIN: "&amp;AV347&amp;"; ","")&amp;IF(AND(AW347&lt;&gt;"",AW347&lt;&gt;"OK"),"PAN wrong format; ","")&amp;IF(AND(BA347&lt;&gt;"",LEN(AZ347)=15,MID(AZ347,3,10)&lt;&gt;BA347),"PAN does not match GSTIN; ","")&amp;IF(AND(AX347&lt;&gt;"",AX347&lt;&gt;"OK"),"TAN wrong format; ","")&amp;IF(AS347="","PAN missing; ","")&amp;IF(BB347="","Entity type missing; ","")&amp;IF(AND(AZ347&lt;&gt;"",COUNTIF($AZ$6:$AZ$1005,AZ347)&gt;1),"GSTIN repeated in this sheet; ","")&amp;IF(AND(AS347&lt;&gt;"",COUNTIF($AS$6:$AS$1005,AS347)&gt;1),"PAN repeated in this sheet (same client? put extra GSTINs in Other GSTINs); ","")&amp;IF(AND(BD347&gt;0,V347=""),"Financial year missing; ","")&amp;IF(AND(BD347=0,V347&lt;&gt;""),"Financial year given but no service is Yes; ","")&amp;IF(AND(W347="Yes",AZ347=""),"GST needs a GSTIN; ","")&amp;IF(AND(W347="Yes",X347=""),"GST return frequency missing; ","")&amp;IF(AND(Y347="Yes",TRIM(H347)=""),"TDS needs a TAN; ","")&amp;IF(AND(AA347="Yes",BC347&lt;&gt;"",BC347&lt;&gt;"company",BC347&lt;&gt;"llp"),"ROC is only for a company / LLP; ","")&amp;IF(AND(AA347="Yes",OR(BC347="company",BC347="llp"),TRIM(I347)=""),"ROC needs the CIN / LLPIN; ","")&amp;IF((TRIM(AF347)="")&lt;&gt;(TRIM(AG347)=""),"GST login needs both user ID and password; ","")&amp;IF((TRIM(AH347)="")&lt;&gt;(TRIM(AI347)=""),"Income-tax login needs both user ID and password; ","")&amp;IF((TRIM(AJ347)="")&lt;&gt;(TRIM(AK347)=""),"Income-tax login needs both user ID and password; ","")&amp;IF((TRIM(AL347)="")&lt;&gt;(TRIM(AM347)=""),"TRACES login needs both user ID and password; ","")&amp;IF((TRIM(AN347)="")&lt;&gt;(TRIM(AO347)=""),"MCA login needs both user ID and password; ","")&amp;IF((TRIM(AP347)="")&lt;&gt;(TRIM(AQ347)=""),"E-way bill login needs both user ID and password; ","")</f>
        <v/>
      </c>
    </row>
    <row r="348">
      <c r="A348" s="32" t="n"/>
      <c r="B348" s="33" t="n"/>
      <c r="C348" s="33" t="n"/>
      <c r="D348" s="33" t="n"/>
      <c r="E348" s="32" t="n"/>
      <c r="F348" s="32" t="n"/>
      <c r="G348" s="32" t="n"/>
      <c r="H348" s="32" t="n"/>
      <c r="I348" s="32" t="n"/>
      <c r="J348" s="34" t="n"/>
      <c r="K348" s="33" t="n"/>
      <c r="L348" s="32" t="n"/>
      <c r="M348" s="33" t="n"/>
      <c r="N348" s="33" t="n"/>
      <c r="O348" s="33" t="n"/>
      <c r="P348" s="32" t="n"/>
      <c r="Q348" s="33" t="n"/>
      <c r="R348" s="33" t="n"/>
      <c r="S348" s="33" t="n"/>
      <c r="T348" s="33" t="n"/>
      <c r="U348" s="32" t="n"/>
      <c r="V348" s="33" t="n"/>
      <c r="W348" s="33" t="n"/>
      <c r="X348" s="33" t="n"/>
      <c r="Y348" s="33" t="n"/>
      <c r="Z348" s="33" t="n"/>
      <c r="AA348" s="33" t="n"/>
      <c r="AB348" s="33" t="n"/>
      <c r="AC348" s="33" t="n"/>
      <c r="AD348" s="33" t="n"/>
      <c r="AE348" s="33" t="n"/>
      <c r="AF348" s="32" t="n"/>
      <c r="AG348" s="32" t="n"/>
      <c r="AH348" s="32" t="n"/>
      <c r="AI348" s="32" t="n"/>
      <c r="AJ348" s="32" t="n"/>
      <c r="AK348" s="32" t="n"/>
      <c r="AL348" s="32" t="n"/>
      <c r="AM348" s="32" t="n"/>
      <c r="AN348" s="32" t="n"/>
      <c r="AO348" s="32" t="n"/>
      <c r="AP348" s="32" t="n"/>
      <c r="AQ348" s="32" t="n"/>
      <c r="AR348" s="29">
        <f>IF(NOT(COUNTA(A348:AE348)&gt;0),"",IF(A348="","New client","Update"))</f>
        <v/>
      </c>
      <c r="AS348" s="29">
        <f>IF(BA348&lt;&gt;"",BA348,IF(LEN(AZ348)=15,MID(AZ348,3,10),""))</f>
        <v/>
      </c>
      <c r="AT348" s="29">
        <f>IF(BB348="","",BB348&amp;IF(D348="","  (guessed from PAN)",""))</f>
        <v/>
      </c>
      <c r="AU348" s="29">
        <f>IF(AZ348="","",IFERROR(INDEX(Lists!$L$2:$L$38,MATCH(LEFT(AZ348,2),Lists!$K$2:$K$38,0)),"Unknown code"))</f>
        <v/>
      </c>
      <c r="AV348" s="29">
        <f>IF(AZ348="","",IFERROR(IF(NOT(AND(LEN(AZ348)=15,ISNUMBER(MATCH(LEFT(AZ348,2),Lists!$K$2:$K$38,0)),SUMPRODUCT(--ISERROR(FIND(MID(MID(AZ348,3,10),{1,2,3,4,5,10},1),"ABCDEFGHIJKLMNOPQRSTUVWXYZ")))=0,SUMPRODUCT(--ISERROR(FIND(MID(MID(AZ348,3,10),{6,7,8,9},1),"0123456789")))=0,ISNUMBER(FIND(MID(AZ348,13,1),"123456789ABCDEFGHIJKLMNOPQRSTUVWXYZ")),MID(AZ348,14,1)="Z")),"Wrong format",IF(MID("0123456789ABCDEFGHIJKLMNOPQRSTUVWXYZ",MOD(36-MOD(SUMPRODUCT(INT((FIND(MID(AZ348,{1,2,3,4,5,6,7,8,9,10,11,12,13,14},1),"0123456789ABCDEFGHIJKLMNOPQRSTUVWXYZ")-1)*{1,2,1,2,1,2,1,2,1,2,1,2,1,2}/36)+MOD((FIND(MID(AZ348,{1,2,3,4,5,6,7,8,9,10,11,12,13,14},1),"0123456789ABCDEFGHIJKLMNOPQRSTUVWXYZ")-1)*{1,2,1,2,1,2,1,2,1,2,1,2,1,2},36)),36),36)+1,1)=MID(AZ348,15,1),"OK","Typo? check digit wrong")),"Wrong format"))</f>
        <v/>
      </c>
      <c r="AW348" s="29">
        <f>IF(BA348="","",IF(AND(LEN(BA348)=10,SUMPRODUCT(--ISERROR(FIND(MID(BA348,{1,2,3,4,5,10},1),"ABCDEFGHIJKLMNOPQRSTUVWXYZ")))=0,SUMPRODUCT(--ISERROR(FIND(MID(BA348,{6,7,8,9},1),"0123456789")))=0),"OK","Wrong format"))</f>
        <v/>
      </c>
      <c r="AX348" s="29">
        <f>IF(TRIM(H348)="","",IF(AND(LEN(UPPER(TRIM(H348)))=10,SUMPRODUCT(--ISERROR(FIND(MID(UPPER(TRIM(H348)),{1,2,3,4,10},1),"ABCDEFGHIJKLMNOPQRSTUVWXYZ")))=0,SUMPRODUCT(--ISERROR(FIND(MID(UPPER(TRIM(H348)),{5,6,7,8,9},1),"0123456789")))=0),"OK","Wrong format"))</f>
        <v/>
      </c>
      <c r="AY348" s="30">
        <f>IF(NOT(COUNTA(A348:AE348)&gt;0),"",IF(BE348&lt;&gt;"","✖ "&amp;LEFT(BE348,LEN(BE348)-2),IF(BD348&gt;0,"✔ Ready — client + "&amp;BD348&amp;" service(s)","✔ Ready — client only")))</f>
        <v/>
      </c>
      <c r="AZ348" s="31">
        <f>UPPER(SUBSTITUTE(TRIM(F348)," ",""))</f>
        <v/>
      </c>
      <c r="BA348" s="31">
        <f>UPPER(SUBSTITUTE(TRIM(E348)," ",""))</f>
        <v/>
      </c>
      <c r="BB348" s="31">
        <f>IF(D348&lt;&gt;"",D348,IFERROR(VLOOKUP(MID(AS348,4,1),Lists!$E$2:$F$8,2,FALSE),""))</f>
        <v/>
      </c>
      <c r="BC348" s="31">
        <f>IFERROR(VLOOKUP(BB348,Lists!$A$2:$C$12,3,FALSE),"")</f>
        <v/>
      </c>
      <c r="BD348" s="31">
        <f>COUNTIF(W348:AC348,"Yes")</f>
        <v/>
      </c>
      <c r="BE348" s="31">
        <f>IF(TRIM(B348)="","Legal name missing; ","")&amp;IF(AND(AV348&lt;&gt;"",AV348&lt;&gt;"OK"),"GSTIN: "&amp;AV348&amp;"; ","")&amp;IF(AND(AW348&lt;&gt;"",AW348&lt;&gt;"OK"),"PAN wrong format; ","")&amp;IF(AND(BA348&lt;&gt;"",LEN(AZ348)=15,MID(AZ348,3,10)&lt;&gt;BA348),"PAN does not match GSTIN; ","")&amp;IF(AND(AX348&lt;&gt;"",AX348&lt;&gt;"OK"),"TAN wrong format; ","")&amp;IF(AS348="","PAN missing; ","")&amp;IF(BB348="","Entity type missing; ","")&amp;IF(AND(AZ348&lt;&gt;"",COUNTIF($AZ$6:$AZ$1005,AZ348)&gt;1),"GSTIN repeated in this sheet; ","")&amp;IF(AND(AS348&lt;&gt;"",COUNTIF($AS$6:$AS$1005,AS348)&gt;1),"PAN repeated in this sheet (same client? put extra GSTINs in Other GSTINs); ","")&amp;IF(AND(BD348&gt;0,V348=""),"Financial year missing; ","")&amp;IF(AND(BD348=0,V348&lt;&gt;""),"Financial year given but no service is Yes; ","")&amp;IF(AND(W348="Yes",AZ348=""),"GST needs a GSTIN; ","")&amp;IF(AND(W348="Yes",X348=""),"GST return frequency missing; ","")&amp;IF(AND(Y348="Yes",TRIM(H348)=""),"TDS needs a TAN; ","")&amp;IF(AND(AA348="Yes",BC348&lt;&gt;"",BC348&lt;&gt;"company",BC348&lt;&gt;"llp"),"ROC is only for a company / LLP; ","")&amp;IF(AND(AA348="Yes",OR(BC348="company",BC348="llp"),TRIM(I348)=""),"ROC needs the CIN / LLPIN; ","")&amp;IF((TRIM(AF348)="")&lt;&gt;(TRIM(AG348)=""),"GST login needs both user ID and password; ","")&amp;IF((TRIM(AH348)="")&lt;&gt;(TRIM(AI348)=""),"Income-tax login needs both user ID and password; ","")&amp;IF((TRIM(AJ348)="")&lt;&gt;(TRIM(AK348)=""),"Income-tax login needs both user ID and password; ","")&amp;IF((TRIM(AL348)="")&lt;&gt;(TRIM(AM348)=""),"TRACES login needs both user ID and password; ","")&amp;IF((TRIM(AN348)="")&lt;&gt;(TRIM(AO348)=""),"MCA login needs both user ID and password; ","")&amp;IF((TRIM(AP348)="")&lt;&gt;(TRIM(AQ348)=""),"E-way bill login needs both user ID and password; ","")</f>
        <v/>
      </c>
    </row>
    <row r="349">
      <c r="A349" s="32" t="n"/>
      <c r="B349" s="33" t="n"/>
      <c r="C349" s="33" t="n"/>
      <c r="D349" s="33" t="n"/>
      <c r="E349" s="32" t="n"/>
      <c r="F349" s="32" t="n"/>
      <c r="G349" s="32" t="n"/>
      <c r="H349" s="32" t="n"/>
      <c r="I349" s="32" t="n"/>
      <c r="J349" s="34" t="n"/>
      <c r="K349" s="33" t="n"/>
      <c r="L349" s="32" t="n"/>
      <c r="M349" s="33" t="n"/>
      <c r="N349" s="33" t="n"/>
      <c r="O349" s="33" t="n"/>
      <c r="P349" s="32" t="n"/>
      <c r="Q349" s="33" t="n"/>
      <c r="R349" s="33" t="n"/>
      <c r="S349" s="33" t="n"/>
      <c r="T349" s="33" t="n"/>
      <c r="U349" s="32" t="n"/>
      <c r="V349" s="33" t="n"/>
      <c r="W349" s="33" t="n"/>
      <c r="X349" s="33" t="n"/>
      <c r="Y349" s="33" t="n"/>
      <c r="Z349" s="33" t="n"/>
      <c r="AA349" s="33" t="n"/>
      <c r="AB349" s="33" t="n"/>
      <c r="AC349" s="33" t="n"/>
      <c r="AD349" s="33" t="n"/>
      <c r="AE349" s="33" t="n"/>
      <c r="AF349" s="32" t="n"/>
      <c r="AG349" s="32" t="n"/>
      <c r="AH349" s="32" t="n"/>
      <c r="AI349" s="32" t="n"/>
      <c r="AJ349" s="32" t="n"/>
      <c r="AK349" s="32" t="n"/>
      <c r="AL349" s="32" t="n"/>
      <c r="AM349" s="32" t="n"/>
      <c r="AN349" s="32" t="n"/>
      <c r="AO349" s="32" t="n"/>
      <c r="AP349" s="32" t="n"/>
      <c r="AQ349" s="32" t="n"/>
      <c r="AR349" s="29">
        <f>IF(NOT(COUNTA(A349:AE349)&gt;0),"",IF(A349="","New client","Update"))</f>
        <v/>
      </c>
      <c r="AS349" s="29">
        <f>IF(BA349&lt;&gt;"",BA349,IF(LEN(AZ349)=15,MID(AZ349,3,10),""))</f>
        <v/>
      </c>
      <c r="AT349" s="29">
        <f>IF(BB349="","",BB349&amp;IF(D349="","  (guessed from PAN)",""))</f>
        <v/>
      </c>
      <c r="AU349" s="29">
        <f>IF(AZ349="","",IFERROR(INDEX(Lists!$L$2:$L$38,MATCH(LEFT(AZ349,2),Lists!$K$2:$K$38,0)),"Unknown code"))</f>
        <v/>
      </c>
      <c r="AV349" s="29">
        <f>IF(AZ349="","",IFERROR(IF(NOT(AND(LEN(AZ349)=15,ISNUMBER(MATCH(LEFT(AZ349,2),Lists!$K$2:$K$38,0)),SUMPRODUCT(--ISERROR(FIND(MID(MID(AZ349,3,10),{1,2,3,4,5,10},1),"ABCDEFGHIJKLMNOPQRSTUVWXYZ")))=0,SUMPRODUCT(--ISERROR(FIND(MID(MID(AZ349,3,10),{6,7,8,9},1),"0123456789")))=0,ISNUMBER(FIND(MID(AZ349,13,1),"123456789ABCDEFGHIJKLMNOPQRSTUVWXYZ")),MID(AZ349,14,1)="Z")),"Wrong format",IF(MID("0123456789ABCDEFGHIJKLMNOPQRSTUVWXYZ",MOD(36-MOD(SUMPRODUCT(INT((FIND(MID(AZ349,{1,2,3,4,5,6,7,8,9,10,11,12,13,14},1),"0123456789ABCDEFGHIJKLMNOPQRSTUVWXYZ")-1)*{1,2,1,2,1,2,1,2,1,2,1,2,1,2}/36)+MOD((FIND(MID(AZ349,{1,2,3,4,5,6,7,8,9,10,11,12,13,14},1),"0123456789ABCDEFGHIJKLMNOPQRSTUVWXYZ")-1)*{1,2,1,2,1,2,1,2,1,2,1,2,1,2},36)),36),36)+1,1)=MID(AZ349,15,1),"OK","Typo? check digit wrong")),"Wrong format"))</f>
        <v/>
      </c>
      <c r="AW349" s="29">
        <f>IF(BA349="","",IF(AND(LEN(BA349)=10,SUMPRODUCT(--ISERROR(FIND(MID(BA349,{1,2,3,4,5,10},1),"ABCDEFGHIJKLMNOPQRSTUVWXYZ")))=0,SUMPRODUCT(--ISERROR(FIND(MID(BA349,{6,7,8,9},1),"0123456789")))=0),"OK","Wrong format"))</f>
        <v/>
      </c>
      <c r="AX349" s="29">
        <f>IF(TRIM(H349)="","",IF(AND(LEN(UPPER(TRIM(H349)))=10,SUMPRODUCT(--ISERROR(FIND(MID(UPPER(TRIM(H349)),{1,2,3,4,10},1),"ABCDEFGHIJKLMNOPQRSTUVWXYZ")))=0,SUMPRODUCT(--ISERROR(FIND(MID(UPPER(TRIM(H349)),{5,6,7,8,9},1),"0123456789")))=0),"OK","Wrong format"))</f>
        <v/>
      </c>
      <c r="AY349" s="30">
        <f>IF(NOT(COUNTA(A349:AE349)&gt;0),"",IF(BE349&lt;&gt;"","✖ "&amp;LEFT(BE349,LEN(BE349)-2),IF(BD349&gt;0,"✔ Ready — client + "&amp;BD349&amp;" service(s)","✔ Ready — client only")))</f>
        <v/>
      </c>
      <c r="AZ349" s="31">
        <f>UPPER(SUBSTITUTE(TRIM(F349)," ",""))</f>
        <v/>
      </c>
      <c r="BA349" s="31">
        <f>UPPER(SUBSTITUTE(TRIM(E349)," ",""))</f>
        <v/>
      </c>
      <c r="BB349" s="31">
        <f>IF(D349&lt;&gt;"",D349,IFERROR(VLOOKUP(MID(AS349,4,1),Lists!$E$2:$F$8,2,FALSE),""))</f>
        <v/>
      </c>
      <c r="BC349" s="31">
        <f>IFERROR(VLOOKUP(BB349,Lists!$A$2:$C$12,3,FALSE),"")</f>
        <v/>
      </c>
      <c r="BD349" s="31">
        <f>COUNTIF(W349:AC349,"Yes")</f>
        <v/>
      </c>
      <c r="BE349" s="31">
        <f>IF(TRIM(B349)="","Legal name missing; ","")&amp;IF(AND(AV349&lt;&gt;"",AV349&lt;&gt;"OK"),"GSTIN: "&amp;AV349&amp;"; ","")&amp;IF(AND(AW349&lt;&gt;"",AW349&lt;&gt;"OK"),"PAN wrong format; ","")&amp;IF(AND(BA349&lt;&gt;"",LEN(AZ349)=15,MID(AZ349,3,10)&lt;&gt;BA349),"PAN does not match GSTIN; ","")&amp;IF(AND(AX349&lt;&gt;"",AX349&lt;&gt;"OK"),"TAN wrong format; ","")&amp;IF(AS349="","PAN missing; ","")&amp;IF(BB349="","Entity type missing; ","")&amp;IF(AND(AZ349&lt;&gt;"",COUNTIF($AZ$6:$AZ$1005,AZ349)&gt;1),"GSTIN repeated in this sheet; ","")&amp;IF(AND(AS349&lt;&gt;"",COUNTIF($AS$6:$AS$1005,AS349)&gt;1),"PAN repeated in this sheet (same client? put extra GSTINs in Other GSTINs); ","")&amp;IF(AND(BD349&gt;0,V349=""),"Financial year missing; ","")&amp;IF(AND(BD349=0,V349&lt;&gt;""),"Financial year given but no service is Yes; ","")&amp;IF(AND(W349="Yes",AZ349=""),"GST needs a GSTIN; ","")&amp;IF(AND(W349="Yes",X349=""),"GST return frequency missing; ","")&amp;IF(AND(Y349="Yes",TRIM(H349)=""),"TDS needs a TAN; ","")&amp;IF(AND(AA349="Yes",BC349&lt;&gt;"",BC349&lt;&gt;"company",BC349&lt;&gt;"llp"),"ROC is only for a company / LLP; ","")&amp;IF(AND(AA349="Yes",OR(BC349="company",BC349="llp"),TRIM(I349)=""),"ROC needs the CIN / LLPIN; ","")&amp;IF((TRIM(AF349)="")&lt;&gt;(TRIM(AG349)=""),"GST login needs both user ID and password; ","")&amp;IF((TRIM(AH349)="")&lt;&gt;(TRIM(AI349)=""),"Income-tax login needs both user ID and password; ","")&amp;IF((TRIM(AJ349)="")&lt;&gt;(TRIM(AK349)=""),"Income-tax login needs both user ID and password; ","")&amp;IF((TRIM(AL349)="")&lt;&gt;(TRIM(AM349)=""),"TRACES login needs both user ID and password; ","")&amp;IF((TRIM(AN349)="")&lt;&gt;(TRIM(AO349)=""),"MCA login needs both user ID and password; ","")&amp;IF((TRIM(AP349)="")&lt;&gt;(TRIM(AQ349)=""),"E-way bill login needs both user ID and password; ","")</f>
        <v/>
      </c>
    </row>
    <row r="350">
      <c r="A350" s="32" t="n"/>
      <c r="B350" s="33" t="n"/>
      <c r="C350" s="33" t="n"/>
      <c r="D350" s="33" t="n"/>
      <c r="E350" s="32" t="n"/>
      <c r="F350" s="32" t="n"/>
      <c r="G350" s="32" t="n"/>
      <c r="H350" s="32" t="n"/>
      <c r="I350" s="32" t="n"/>
      <c r="J350" s="34" t="n"/>
      <c r="K350" s="33" t="n"/>
      <c r="L350" s="32" t="n"/>
      <c r="M350" s="33" t="n"/>
      <c r="N350" s="33" t="n"/>
      <c r="O350" s="33" t="n"/>
      <c r="P350" s="32" t="n"/>
      <c r="Q350" s="33" t="n"/>
      <c r="R350" s="33" t="n"/>
      <c r="S350" s="33" t="n"/>
      <c r="T350" s="33" t="n"/>
      <c r="U350" s="32" t="n"/>
      <c r="V350" s="33" t="n"/>
      <c r="W350" s="33" t="n"/>
      <c r="X350" s="33" t="n"/>
      <c r="Y350" s="33" t="n"/>
      <c r="Z350" s="33" t="n"/>
      <c r="AA350" s="33" t="n"/>
      <c r="AB350" s="33" t="n"/>
      <c r="AC350" s="33" t="n"/>
      <c r="AD350" s="33" t="n"/>
      <c r="AE350" s="33" t="n"/>
      <c r="AF350" s="32" t="n"/>
      <c r="AG350" s="32" t="n"/>
      <c r="AH350" s="32" t="n"/>
      <c r="AI350" s="32" t="n"/>
      <c r="AJ350" s="32" t="n"/>
      <c r="AK350" s="32" t="n"/>
      <c r="AL350" s="32" t="n"/>
      <c r="AM350" s="32" t="n"/>
      <c r="AN350" s="32" t="n"/>
      <c r="AO350" s="32" t="n"/>
      <c r="AP350" s="32" t="n"/>
      <c r="AQ350" s="32" t="n"/>
      <c r="AR350" s="29">
        <f>IF(NOT(COUNTA(A350:AE350)&gt;0),"",IF(A350="","New client","Update"))</f>
        <v/>
      </c>
      <c r="AS350" s="29">
        <f>IF(BA350&lt;&gt;"",BA350,IF(LEN(AZ350)=15,MID(AZ350,3,10),""))</f>
        <v/>
      </c>
      <c r="AT350" s="29">
        <f>IF(BB350="","",BB350&amp;IF(D350="","  (guessed from PAN)",""))</f>
        <v/>
      </c>
      <c r="AU350" s="29">
        <f>IF(AZ350="","",IFERROR(INDEX(Lists!$L$2:$L$38,MATCH(LEFT(AZ350,2),Lists!$K$2:$K$38,0)),"Unknown code"))</f>
        <v/>
      </c>
      <c r="AV350" s="29">
        <f>IF(AZ350="","",IFERROR(IF(NOT(AND(LEN(AZ350)=15,ISNUMBER(MATCH(LEFT(AZ350,2),Lists!$K$2:$K$38,0)),SUMPRODUCT(--ISERROR(FIND(MID(MID(AZ350,3,10),{1,2,3,4,5,10},1),"ABCDEFGHIJKLMNOPQRSTUVWXYZ")))=0,SUMPRODUCT(--ISERROR(FIND(MID(MID(AZ350,3,10),{6,7,8,9},1),"0123456789")))=0,ISNUMBER(FIND(MID(AZ350,13,1),"123456789ABCDEFGHIJKLMNOPQRSTUVWXYZ")),MID(AZ350,14,1)="Z")),"Wrong format",IF(MID("0123456789ABCDEFGHIJKLMNOPQRSTUVWXYZ",MOD(36-MOD(SUMPRODUCT(INT((FIND(MID(AZ350,{1,2,3,4,5,6,7,8,9,10,11,12,13,14},1),"0123456789ABCDEFGHIJKLMNOPQRSTUVWXYZ")-1)*{1,2,1,2,1,2,1,2,1,2,1,2,1,2}/36)+MOD((FIND(MID(AZ350,{1,2,3,4,5,6,7,8,9,10,11,12,13,14},1),"0123456789ABCDEFGHIJKLMNOPQRSTUVWXYZ")-1)*{1,2,1,2,1,2,1,2,1,2,1,2,1,2},36)),36),36)+1,1)=MID(AZ350,15,1),"OK","Typo? check digit wrong")),"Wrong format"))</f>
        <v/>
      </c>
      <c r="AW350" s="29">
        <f>IF(BA350="","",IF(AND(LEN(BA350)=10,SUMPRODUCT(--ISERROR(FIND(MID(BA350,{1,2,3,4,5,10},1),"ABCDEFGHIJKLMNOPQRSTUVWXYZ")))=0,SUMPRODUCT(--ISERROR(FIND(MID(BA350,{6,7,8,9},1),"0123456789")))=0),"OK","Wrong format"))</f>
        <v/>
      </c>
      <c r="AX350" s="29">
        <f>IF(TRIM(H350)="","",IF(AND(LEN(UPPER(TRIM(H350)))=10,SUMPRODUCT(--ISERROR(FIND(MID(UPPER(TRIM(H350)),{1,2,3,4,10},1),"ABCDEFGHIJKLMNOPQRSTUVWXYZ")))=0,SUMPRODUCT(--ISERROR(FIND(MID(UPPER(TRIM(H350)),{5,6,7,8,9},1),"0123456789")))=0),"OK","Wrong format"))</f>
        <v/>
      </c>
      <c r="AY350" s="30">
        <f>IF(NOT(COUNTA(A350:AE350)&gt;0),"",IF(BE350&lt;&gt;"","✖ "&amp;LEFT(BE350,LEN(BE350)-2),IF(BD350&gt;0,"✔ Ready — client + "&amp;BD350&amp;" service(s)","✔ Ready — client only")))</f>
        <v/>
      </c>
      <c r="AZ350" s="31">
        <f>UPPER(SUBSTITUTE(TRIM(F350)," ",""))</f>
        <v/>
      </c>
      <c r="BA350" s="31">
        <f>UPPER(SUBSTITUTE(TRIM(E350)," ",""))</f>
        <v/>
      </c>
      <c r="BB350" s="31">
        <f>IF(D350&lt;&gt;"",D350,IFERROR(VLOOKUP(MID(AS350,4,1),Lists!$E$2:$F$8,2,FALSE),""))</f>
        <v/>
      </c>
      <c r="BC350" s="31">
        <f>IFERROR(VLOOKUP(BB350,Lists!$A$2:$C$12,3,FALSE),"")</f>
        <v/>
      </c>
      <c r="BD350" s="31">
        <f>COUNTIF(W350:AC350,"Yes")</f>
        <v/>
      </c>
      <c r="BE350" s="31">
        <f>IF(TRIM(B350)="","Legal name missing; ","")&amp;IF(AND(AV350&lt;&gt;"",AV350&lt;&gt;"OK"),"GSTIN: "&amp;AV350&amp;"; ","")&amp;IF(AND(AW350&lt;&gt;"",AW350&lt;&gt;"OK"),"PAN wrong format; ","")&amp;IF(AND(BA350&lt;&gt;"",LEN(AZ350)=15,MID(AZ350,3,10)&lt;&gt;BA350),"PAN does not match GSTIN; ","")&amp;IF(AND(AX350&lt;&gt;"",AX350&lt;&gt;"OK"),"TAN wrong format; ","")&amp;IF(AS350="","PAN missing; ","")&amp;IF(BB350="","Entity type missing; ","")&amp;IF(AND(AZ350&lt;&gt;"",COUNTIF($AZ$6:$AZ$1005,AZ350)&gt;1),"GSTIN repeated in this sheet; ","")&amp;IF(AND(AS350&lt;&gt;"",COUNTIF($AS$6:$AS$1005,AS350)&gt;1),"PAN repeated in this sheet (same client? put extra GSTINs in Other GSTINs); ","")&amp;IF(AND(BD350&gt;0,V350=""),"Financial year missing; ","")&amp;IF(AND(BD350=0,V350&lt;&gt;""),"Financial year given but no service is Yes; ","")&amp;IF(AND(W350="Yes",AZ350=""),"GST needs a GSTIN; ","")&amp;IF(AND(W350="Yes",X350=""),"GST return frequency missing; ","")&amp;IF(AND(Y350="Yes",TRIM(H350)=""),"TDS needs a TAN; ","")&amp;IF(AND(AA350="Yes",BC350&lt;&gt;"",BC350&lt;&gt;"company",BC350&lt;&gt;"llp"),"ROC is only for a company / LLP; ","")&amp;IF(AND(AA350="Yes",OR(BC350="company",BC350="llp"),TRIM(I350)=""),"ROC needs the CIN / LLPIN; ","")&amp;IF((TRIM(AF350)="")&lt;&gt;(TRIM(AG350)=""),"GST login needs both user ID and password; ","")&amp;IF((TRIM(AH350)="")&lt;&gt;(TRIM(AI350)=""),"Income-tax login needs both user ID and password; ","")&amp;IF((TRIM(AJ350)="")&lt;&gt;(TRIM(AK350)=""),"Income-tax login needs both user ID and password; ","")&amp;IF((TRIM(AL350)="")&lt;&gt;(TRIM(AM350)=""),"TRACES login needs both user ID and password; ","")&amp;IF((TRIM(AN350)="")&lt;&gt;(TRIM(AO350)=""),"MCA login needs both user ID and password; ","")&amp;IF((TRIM(AP350)="")&lt;&gt;(TRIM(AQ350)=""),"E-way bill login needs both user ID and password; ","")</f>
        <v/>
      </c>
    </row>
    <row r="351">
      <c r="A351" s="32" t="n"/>
      <c r="B351" s="33" t="n"/>
      <c r="C351" s="33" t="n"/>
      <c r="D351" s="33" t="n"/>
      <c r="E351" s="32" t="n"/>
      <c r="F351" s="32" t="n"/>
      <c r="G351" s="32" t="n"/>
      <c r="H351" s="32" t="n"/>
      <c r="I351" s="32" t="n"/>
      <c r="J351" s="34" t="n"/>
      <c r="K351" s="33" t="n"/>
      <c r="L351" s="32" t="n"/>
      <c r="M351" s="33" t="n"/>
      <c r="N351" s="33" t="n"/>
      <c r="O351" s="33" t="n"/>
      <c r="P351" s="32" t="n"/>
      <c r="Q351" s="33" t="n"/>
      <c r="R351" s="33" t="n"/>
      <c r="S351" s="33" t="n"/>
      <c r="T351" s="33" t="n"/>
      <c r="U351" s="32" t="n"/>
      <c r="V351" s="33" t="n"/>
      <c r="W351" s="33" t="n"/>
      <c r="X351" s="33" t="n"/>
      <c r="Y351" s="33" t="n"/>
      <c r="Z351" s="33" t="n"/>
      <c r="AA351" s="33" t="n"/>
      <c r="AB351" s="33" t="n"/>
      <c r="AC351" s="33" t="n"/>
      <c r="AD351" s="33" t="n"/>
      <c r="AE351" s="33" t="n"/>
      <c r="AF351" s="32" t="n"/>
      <c r="AG351" s="32" t="n"/>
      <c r="AH351" s="32" t="n"/>
      <c r="AI351" s="32" t="n"/>
      <c r="AJ351" s="32" t="n"/>
      <c r="AK351" s="32" t="n"/>
      <c r="AL351" s="32" t="n"/>
      <c r="AM351" s="32" t="n"/>
      <c r="AN351" s="32" t="n"/>
      <c r="AO351" s="32" t="n"/>
      <c r="AP351" s="32" t="n"/>
      <c r="AQ351" s="32" t="n"/>
      <c r="AR351" s="29">
        <f>IF(NOT(COUNTA(A351:AE351)&gt;0),"",IF(A351="","New client","Update"))</f>
        <v/>
      </c>
      <c r="AS351" s="29">
        <f>IF(BA351&lt;&gt;"",BA351,IF(LEN(AZ351)=15,MID(AZ351,3,10),""))</f>
        <v/>
      </c>
      <c r="AT351" s="29">
        <f>IF(BB351="","",BB351&amp;IF(D351="","  (guessed from PAN)",""))</f>
        <v/>
      </c>
      <c r="AU351" s="29">
        <f>IF(AZ351="","",IFERROR(INDEX(Lists!$L$2:$L$38,MATCH(LEFT(AZ351,2),Lists!$K$2:$K$38,0)),"Unknown code"))</f>
        <v/>
      </c>
      <c r="AV351" s="29">
        <f>IF(AZ351="","",IFERROR(IF(NOT(AND(LEN(AZ351)=15,ISNUMBER(MATCH(LEFT(AZ351,2),Lists!$K$2:$K$38,0)),SUMPRODUCT(--ISERROR(FIND(MID(MID(AZ351,3,10),{1,2,3,4,5,10},1),"ABCDEFGHIJKLMNOPQRSTUVWXYZ")))=0,SUMPRODUCT(--ISERROR(FIND(MID(MID(AZ351,3,10),{6,7,8,9},1),"0123456789")))=0,ISNUMBER(FIND(MID(AZ351,13,1),"123456789ABCDEFGHIJKLMNOPQRSTUVWXYZ")),MID(AZ351,14,1)="Z")),"Wrong format",IF(MID("0123456789ABCDEFGHIJKLMNOPQRSTUVWXYZ",MOD(36-MOD(SUMPRODUCT(INT((FIND(MID(AZ351,{1,2,3,4,5,6,7,8,9,10,11,12,13,14},1),"0123456789ABCDEFGHIJKLMNOPQRSTUVWXYZ")-1)*{1,2,1,2,1,2,1,2,1,2,1,2,1,2}/36)+MOD((FIND(MID(AZ351,{1,2,3,4,5,6,7,8,9,10,11,12,13,14},1),"0123456789ABCDEFGHIJKLMNOPQRSTUVWXYZ")-1)*{1,2,1,2,1,2,1,2,1,2,1,2,1,2},36)),36),36)+1,1)=MID(AZ351,15,1),"OK","Typo? check digit wrong")),"Wrong format"))</f>
        <v/>
      </c>
      <c r="AW351" s="29">
        <f>IF(BA351="","",IF(AND(LEN(BA351)=10,SUMPRODUCT(--ISERROR(FIND(MID(BA351,{1,2,3,4,5,10},1),"ABCDEFGHIJKLMNOPQRSTUVWXYZ")))=0,SUMPRODUCT(--ISERROR(FIND(MID(BA351,{6,7,8,9},1),"0123456789")))=0),"OK","Wrong format"))</f>
        <v/>
      </c>
      <c r="AX351" s="29">
        <f>IF(TRIM(H351)="","",IF(AND(LEN(UPPER(TRIM(H351)))=10,SUMPRODUCT(--ISERROR(FIND(MID(UPPER(TRIM(H351)),{1,2,3,4,10},1),"ABCDEFGHIJKLMNOPQRSTUVWXYZ")))=0,SUMPRODUCT(--ISERROR(FIND(MID(UPPER(TRIM(H351)),{5,6,7,8,9},1),"0123456789")))=0),"OK","Wrong format"))</f>
        <v/>
      </c>
      <c r="AY351" s="30">
        <f>IF(NOT(COUNTA(A351:AE351)&gt;0),"",IF(BE351&lt;&gt;"","✖ "&amp;LEFT(BE351,LEN(BE351)-2),IF(BD351&gt;0,"✔ Ready — client + "&amp;BD351&amp;" service(s)","✔ Ready — client only")))</f>
        <v/>
      </c>
      <c r="AZ351" s="31">
        <f>UPPER(SUBSTITUTE(TRIM(F351)," ",""))</f>
        <v/>
      </c>
      <c r="BA351" s="31">
        <f>UPPER(SUBSTITUTE(TRIM(E351)," ",""))</f>
        <v/>
      </c>
      <c r="BB351" s="31">
        <f>IF(D351&lt;&gt;"",D351,IFERROR(VLOOKUP(MID(AS351,4,1),Lists!$E$2:$F$8,2,FALSE),""))</f>
        <v/>
      </c>
      <c r="BC351" s="31">
        <f>IFERROR(VLOOKUP(BB351,Lists!$A$2:$C$12,3,FALSE),"")</f>
        <v/>
      </c>
      <c r="BD351" s="31">
        <f>COUNTIF(W351:AC351,"Yes")</f>
        <v/>
      </c>
      <c r="BE351" s="31">
        <f>IF(TRIM(B351)="","Legal name missing; ","")&amp;IF(AND(AV351&lt;&gt;"",AV351&lt;&gt;"OK"),"GSTIN: "&amp;AV351&amp;"; ","")&amp;IF(AND(AW351&lt;&gt;"",AW351&lt;&gt;"OK"),"PAN wrong format; ","")&amp;IF(AND(BA351&lt;&gt;"",LEN(AZ351)=15,MID(AZ351,3,10)&lt;&gt;BA351),"PAN does not match GSTIN; ","")&amp;IF(AND(AX351&lt;&gt;"",AX351&lt;&gt;"OK"),"TAN wrong format; ","")&amp;IF(AS351="","PAN missing; ","")&amp;IF(BB351="","Entity type missing; ","")&amp;IF(AND(AZ351&lt;&gt;"",COUNTIF($AZ$6:$AZ$1005,AZ351)&gt;1),"GSTIN repeated in this sheet; ","")&amp;IF(AND(AS351&lt;&gt;"",COUNTIF($AS$6:$AS$1005,AS351)&gt;1),"PAN repeated in this sheet (same client? put extra GSTINs in Other GSTINs); ","")&amp;IF(AND(BD351&gt;0,V351=""),"Financial year missing; ","")&amp;IF(AND(BD351=0,V351&lt;&gt;""),"Financial year given but no service is Yes; ","")&amp;IF(AND(W351="Yes",AZ351=""),"GST needs a GSTIN; ","")&amp;IF(AND(W351="Yes",X351=""),"GST return frequency missing; ","")&amp;IF(AND(Y351="Yes",TRIM(H351)=""),"TDS needs a TAN; ","")&amp;IF(AND(AA351="Yes",BC351&lt;&gt;"",BC351&lt;&gt;"company",BC351&lt;&gt;"llp"),"ROC is only for a company / LLP; ","")&amp;IF(AND(AA351="Yes",OR(BC351="company",BC351="llp"),TRIM(I351)=""),"ROC needs the CIN / LLPIN; ","")&amp;IF((TRIM(AF351)="")&lt;&gt;(TRIM(AG351)=""),"GST login needs both user ID and password; ","")&amp;IF((TRIM(AH351)="")&lt;&gt;(TRIM(AI351)=""),"Income-tax login needs both user ID and password; ","")&amp;IF((TRIM(AJ351)="")&lt;&gt;(TRIM(AK351)=""),"Income-tax login needs both user ID and password; ","")&amp;IF((TRIM(AL351)="")&lt;&gt;(TRIM(AM351)=""),"TRACES login needs both user ID and password; ","")&amp;IF((TRIM(AN351)="")&lt;&gt;(TRIM(AO351)=""),"MCA login needs both user ID and password; ","")&amp;IF((TRIM(AP351)="")&lt;&gt;(TRIM(AQ351)=""),"E-way bill login needs both user ID and password; ","")</f>
        <v/>
      </c>
    </row>
    <row r="352">
      <c r="A352" s="32" t="n"/>
      <c r="B352" s="33" t="n"/>
      <c r="C352" s="33" t="n"/>
      <c r="D352" s="33" t="n"/>
      <c r="E352" s="32" t="n"/>
      <c r="F352" s="32" t="n"/>
      <c r="G352" s="32" t="n"/>
      <c r="H352" s="32" t="n"/>
      <c r="I352" s="32" t="n"/>
      <c r="J352" s="34" t="n"/>
      <c r="K352" s="33" t="n"/>
      <c r="L352" s="32" t="n"/>
      <c r="M352" s="33" t="n"/>
      <c r="N352" s="33" t="n"/>
      <c r="O352" s="33" t="n"/>
      <c r="P352" s="32" t="n"/>
      <c r="Q352" s="33" t="n"/>
      <c r="R352" s="33" t="n"/>
      <c r="S352" s="33" t="n"/>
      <c r="T352" s="33" t="n"/>
      <c r="U352" s="32" t="n"/>
      <c r="V352" s="33" t="n"/>
      <c r="W352" s="33" t="n"/>
      <c r="X352" s="33" t="n"/>
      <c r="Y352" s="33" t="n"/>
      <c r="Z352" s="33" t="n"/>
      <c r="AA352" s="33" t="n"/>
      <c r="AB352" s="33" t="n"/>
      <c r="AC352" s="33" t="n"/>
      <c r="AD352" s="33" t="n"/>
      <c r="AE352" s="33" t="n"/>
      <c r="AF352" s="32" t="n"/>
      <c r="AG352" s="32" t="n"/>
      <c r="AH352" s="32" t="n"/>
      <c r="AI352" s="32" t="n"/>
      <c r="AJ352" s="32" t="n"/>
      <c r="AK352" s="32" t="n"/>
      <c r="AL352" s="32" t="n"/>
      <c r="AM352" s="32" t="n"/>
      <c r="AN352" s="32" t="n"/>
      <c r="AO352" s="32" t="n"/>
      <c r="AP352" s="32" t="n"/>
      <c r="AQ352" s="32" t="n"/>
      <c r="AR352" s="29">
        <f>IF(NOT(COUNTA(A352:AE352)&gt;0),"",IF(A352="","New client","Update"))</f>
        <v/>
      </c>
      <c r="AS352" s="29">
        <f>IF(BA352&lt;&gt;"",BA352,IF(LEN(AZ352)=15,MID(AZ352,3,10),""))</f>
        <v/>
      </c>
      <c r="AT352" s="29">
        <f>IF(BB352="","",BB352&amp;IF(D352="","  (guessed from PAN)",""))</f>
        <v/>
      </c>
      <c r="AU352" s="29">
        <f>IF(AZ352="","",IFERROR(INDEX(Lists!$L$2:$L$38,MATCH(LEFT(AZ352,2),Lists!$K$2:$K$38,0)),"Unknown code"))</f>
        <v/>
      </c>
      <c r="AV352" s="29">
        <f>IF(AZ352="","",IFERROR(IF(NOT(AND(LEN(AZ352)=15,ISNUMBER(MATCH(LEFT(AZ352,2),Lists!$K$2:$K$38,0)),SUMPRODUCT(--ISERROR(FIND(MID(MID(AZ352,3,10),{1,2,3,4,5,10},1),"ABCDEFGHIJKLMNOPQRSTUVWXYZ")))=0,SUMPRODUCT(--ISERROR(FIND(MID(MID(AZ352,3,10),{6,7,8,9},1),"0123456789")))=0,ISNUMBER(FIND(MID(AZ352,13,1),"123456789ABCDEFGHIJKLMNOPQRSTUVWXYZ")),MID(AZ352,14,1)="Z")),"Wrong format",IF(MID("0123456789ABCDEFGHIJKLMNOPQRSTUVWXYZ",MOD(36-MOD(SUMPRODUCT(INT((FIND(MID(AZ352,{1,2,3,4,5,6,7,8,9,10,11,12,13,14},1),"0123456789ABCDEFGHIJKLMNOPQRSTUVWXYZ")-1)*{1,2,1,2,1,2,1,2,1,2,1,2,1,2}/36)+MOD((FIND(MID(AZ352,{1,2,3,4,5,6,7,8,9,10,11,12,13,14},1),"0123456789ABCDEFGHIJKLMNOPQRSTUVWXYZ")-1)*{1,2,1,2,1,2,1,2,1,2,1,2,1,2},36)),36),36)+1,1)=MID(AZ352,15,1),"OK","Typo? check digit wrong")),"Wrong format"))</f>
        <v/>
      </c>
      <c r="AW352" s="29">
        <f>IF(BA352="","",IF(AND(LEN(BA352)=10,SUMPRODUCT(--ISERROR(FIND(MID(BA352,{1,2,3,4,5,10},1),"ABCDEFGHIJKLMNOPQRSTUVWXYZ")))=0,SUMPRODUCT(--ISERROR(FIND(MID(BA352,{6,7,8,9},1),"0123456789")))=0),"OK","Wrong format"))</f>
        <v/>
      </c>
      <c r="AX352" s="29">
        <f>IF(TRIM(H352)="","",IF(AND(LEN(UPPER(TRIM(H352)))=10,SUMPRODUCT(--ISERROR(FIND(MID(UPPER(TRIM(H352)),{1,2,3,4,10},1),"ABCDEFGHIJKLMNOPQRSTUVWXYZ")))=0,SUMPRODUCT(--ISERROR(FIND(MID(UPPER(TRIM(H352)),{5,6,7,8,9},1),"0123456789")))=0),"OK","Wrong format"))</f>
        <v/>
      </c>
      <c r="AY352" s="30">
        <f>IF(NOT(COUNTA(A352:AE352)&gt;0),"",IF(BE352&lt;&gt;"","✖ "&amp;LEFT(BE352,LEN(BE352)-2),IF(BD352&gt;0,"✔ Ready — client + "&amp;BD352&amp;" service(s)","✔ Ready — client only")))</f>
        <v/>
      </c>
      <c r="AZ352" s="31">
        <f>UPPER(SUBSTITUTE(TRIM(F352)," ",""))</f>
        <v/>
      </c>
      <c r="BA352" s="31">
        <f>UPPER(SUBSTITUTE(TRIM(E352)," ",""))</f>
        <v/>
      </c>
      <c r="BB352" s="31">
        <f>IF(D352&lt;&gt;"",D352,IFERROR(VLOOKUP(MID(AS352,4,1),Lists!$E$2:$F$8,2,FALSE),""))</f>
        <v/>
      </c>
      <c r="BC352" s="31">
        <f>IFERROR(VLOOKUP(BB352,Lists!$A$2:$C$12,3,FALSE),"")</f>
        <v/>
      </c>
      <c r="BD352" s="31">
        <f>COUNTIF(W352:AC352,"Yes")</f>
        <v/>
      </c>
      <c r="BE352" s="31">
        <f>IF(TRIM(B352)="","Legal name missing; ","")&amp;IF(AND(AV352&lt;&gt;"",AV352&lt;&gt;"OK"),"GSTIN: "&amp;AV352&amp;"; ","")&amp;IF(AND(AW352&lt;&gt;"",AW352&lt;&gt;"OK"),"PAN wrong format; ","")&amp;IF(AND(BA352&lt;&gt;"",LEN(AZ352)=15,MID(AZ352,3,10)&lt;&gt;BA352),"PAN does not match GSTIN; ","")&amp;IF(AND(AX352&lt;&gt;"",AX352&lt;&gt;"OK"),"TAN wrong format; ","")&amp;IF(AS352="","PAN missing; ","")&amp;IF(BB352="","Entity type missing; ","")&amp;IF(AND(AZ352&lt;&gt;"",COUNTIF($AZ$6:$AZ$1005,AZ352)&gt;1),"GSTIN repeated in this sheet; ","")&amp;IF(AND(AS352&lt;&gt;"",COUNTIF($AS$6:$AS$1005,AS352)&gt;1),"PAN repeated in this sheet (same client? put extra GSTINs in Other GSTINs); ","")&amp;IF(AND(BD352&gt;0,V352=""),"Financial year missing; ","")&amp;IF(AND(BD352=0,V352&lt;&gt;""),"Financial year given but no service is Yes; ","")&amp;IF(AND(W352="Yes",AZ352=""),"GST needs a GSTIN; ","")&amp;IF(AND(W352="Yes",X352=""),"GST return frequency missing; ","")&amp;IF(AND(Y352="Yes",TRIM(H352)=""),"TDS needs a TAN; ","")&amp;IF(AND(AA352="Yes",BC352&lt;&gt;"",BC352&lt;&gt;"company",BC352&lt;&gt;"llp"),"ROC is only for a company / LLP; ","")&amp;IF(AND(AA352="Yes",OR(BC352="company",BC352="llp"),TRIM(I352)=""),"ROC needs the CIN / LLPIN; ","")&amp;IF((TRIM(AF352)="")&lt;&gt;(TRIM(AG352)=""),"GST login needs both user ID and password; ","")&amp;IF((TRIM(AH352)="")&lt;&gt;(TRIM(AI352)=""),"Income-tax login needs both user ID and password; ","")&amp;IF((TRIM(AJ352)="")&lt;&gt;(TRIM(AK352)=""),"Income-tax login needs both user ID and password; ","")&amp;IF((TRIM(AL352)="")&lt;&gt;(TRIM(AM352)=""),"TRACES login needs both user ID and password; ","")&amp;IF((TRIM(AN352)="")&lt;&gt;(TRIM(AO352)=""),"MCA login needs both user ID and password; ","")&amp;IF((TRIM(AP352)="")&lt;&gt;(TRIM(AQ352)=""),"E-way bill login needs both user ID and password; ","")</f>
        <v/>
      </c>
    </row>
    <row r="353">
      <c r="A353" s="32" t="n"/>
      <c r="B353" s="33" t="n"/>
      <c r="C353" s="33" t="n"/>
      <c r="D353" s="33" t="n"/>
      <c r="E353" s="32" t="n"/>
      <c r="F353" s="32" t="n"/>
      <c r="G353" s="32" t="n"/>
      <c r="H353" s="32" t="n"/>
      <c r="I353" s="32" t="n"/>
      <c r="J353" s="34" t="n"/>
      <c r="K353" s="33" t="n"/>
      <c r="L353" s="32" t="n"/>
      <c r="M353" s="33" t="n"/>
      <c r="N353" s="33" t="n"/>
      <c r="O353" s="33" t="n"/>
      <c r="P353" s="32" t="n"/>
      <c r="Q353" s="33" t="n"/>
      <c r="R353" s="33" t="n"/>
      <c r="S353" s="33" t="n"/>
      <c r="T353" s="33" t="n"/>
      <c r="U353" s="32" t="n"/>
      <c r="V353" s="33" t="n"/>
      <c r="W353" s="33" t="n"/>
      <c r="X353" s="33" t="n"/>
      <c r="Y353" s="33" t="n"/>
      <c r="Z353" s="33" t="n"/>
      <c r="AA353" s="33" t="n"/>
      <c r="AB353" s="33" t="n"/>
      <c r="AC353" s="33" t="n"/>
      <c r="AD353" s="33" t="n"/>
      <c r="AE353" s="33" t="n"/>
      <c r="AF353" s="32" t="n"/>
      <c r="AG353" s="32" t="n"/>
      <c r="AH353" s="32" t="n"/>
      <c r="AI353" s="32" t="n"/>
      <c r="AJ353" s="32" t="n"/>
      <c r="AK353" s="32" t="n"/>
      <c r="AL353" s="32" t="n"/>
      <c r="AM353" s="32" t="n"/>
      <c r="AN353" s="32" t="n"/>
      <c r="AO353" s="32" t="n"/>
      <c r="AP353" s="32" t="n"/>
      <c r="AQ353" s="32" t="n"/>
      <c r="AR353" s="29">
        <f>IF(NOT(COUNTA(A353:AE353)&gt;0),"",IF(A353="","New client","Update"))</f>
        <v/>
      </c>
      <c r="AS353" s="29">
        <f>IF(BA353&lt;&gt;"",BA353,IF(LEN(AZ353)=15,MID(AZ353,3,10),""))</f>
        <v/>
      </c>
      <c r="AT353" s="29">
        <f>IF(BB353="","",BB353&amp;IF(D353="","  (guessed from PAN)",""))</f>
        <v/>
      </c>
      <c r="AU353" s="29">
        <f>IF(AZ353="","",IFERROR(INDEX(Lists!$L$2:$L$38,MATCH(LEFT(AZ353,2),Lists!$K$2:$K$38,0)),"Unknown code"))</f>
        <v/>
      </c>
      <c r="AV353" s="29">
        <f>IF(AZ353="","",IFERROR(IF(NOT(AND(LEN(AZ353)=15,ISNUMBER(MATCH(LEFT(AZ353,2),Lists!$K$2:$K$38,0)),SUMPRODUCT(--ISERROR(FIND(MID(MID(AZ353,3,10),{1,2,3,4,5,10},1),"ABCDEFGHIJKLMNOPQRSTUVWXYZ")))=0,SUMPRODUCT(--ISERROR(FIND(MID(MID(AZ353,3,10),{6,7,8,9},1),"0123456789")))=0,ISNUMBER(FIND(MID(AZ353,13,1),"123456789ABCDEFGHIJKLMNOPQRSTUVWXYZ")),MID(AZ353,14,1)="Z")),"Wrong format",IF(MID("0123456789ABCDEFGHIJKLMNOPQRSTUVWXYZ",MOD(36-MOD(SUMPRODUCT(INT((FIND(MID(AZ353,{1,2,3,4,5,6,7,8,9,10,11,12,13,14},1),"0123456789ABCDEFGHIJKLMNOPQRSTUVWXYZ")-1)*{1,2,1,2,1,2,1,2,1,2,1,2,1,2}/36)+MOD((FIND(MID(AZ353,{1,2,3,4,5,6,7,8,9,10,11,12,13,14},1),"0123456789ABCDEFGHIJKLMNOPQRSTUVWXYZ")-1)*{1,2,1,2,1,2,1,2,1,2,1,2,1,2},36)),36),36)+1,1)=MID(AZ353,15,1),"OK","Typo? check digit wrong")),"Wrong format"))</f>
        <v/>
      </c>
      <c r="AW353" s="29">
        <f>IF(BA353="","",IF(AND(LEN(BA353)=10,SUMPRODUCT(--ISERROR(FIND(MID(BA353,{1,2,3,4,5,10},1),"ABCDEFGHIJKLMNOPQRSTUVWXYZ")))=0,SUMPRODUCT(--ISERROR(FIND(MID(BA353,{6,7,8,9},1),"0123456789")))=0),"OK","Wrong format"))</f>
        <v/>
      </c>
      <c r="AX353" s="29">
        <f>IF(TRIM(H353)="","",IF(AND(LEN(UPPER(TRIM(H353)))=10,SUMPRODUCT(--ISERROR(FIND(MID(UPPER(TRIM(H353)),{1,2,3,4,10},1),"ABCDEFGHIJKLMNOPQRSTUVWXYZ")))=0,SUMPRODUCT(--ISERROR(FIND(MID(UPPER(TRIM(H353)),{5,6,7,8,9},1),"0123456789")))=0),"OK","Wrong format"))</f>
        <v/>
      </c>
      <c r="AY353" s="30">
        <f>IF(NOT(COUNTA(A353:AE353)&gt;0),"",IF(BE353&lt;&gt;"","✖ "&amp;LEFT(BE353,LEN(BE353)-2),IF(BD353&gt;0,"✔ Ready — client + "&amp;BD353&amp;" service(s)","✔ Ready — client only")))</f>
        <v/>
      </c>
      <c r="AZ353" s="31">
        <f>UPPER(SUBSTITUTE(TRIM(F353)," ",""))</f>
        <v/>
      </c>
      <c r="BA353" s="31">
        <f>UPPER(SUBSTITUTE(TRIM(E353)," ",""))</f>
        <v/>
      </c>
      <c r="BB353" s="31">
        <f>IF(D353&lt;&gt;"",D353,IFERROR(VLOOKUP(MID(AS353,4,1),Lists!$E$2:$F$8,2,FALSE),""))</f>
        <v/>
      </c>
      <c r="BC353" s="31">
        <f>IFERROR(VLOOKUP(BB353,Lists!$A$2:$C$12,3,FALSE),"")</f>
        <v/>
      </c>
      <c r="BD353" s="31">
        <f>COUNTIF(W353:AC353,"Yes")</f>
        <v/>
      </c>
      <c r="BE353" s="31">
        <f>IF(TRIM(B353)="","Legal name missing; ","")&amp;IF(AND(AV353&lt;&gt;"",AV353&lt;&gt;"OK"),"GSTIN: "&amp;AV353&amp;"; ","")&amp;IF(AND(AW353&lt;&gt;"",AW353&lt;&gt;"OK"),"PAN wrong format; ","")&amp;IF(AND(BA353&lt;&gt;"",LEN(AZ353)=15,MID(AZ353,3,10)&lt;&gt;BA353),"PAN does not match GSTIN; ","")&amp;IF(AND(AX353&lt;&gt;"",AX353&lt;&gt;"OK"),"TAN wrong format; ","")&amp;IF(AS353="","PAN missing; ","")&amp;IF(BB353="","Entity type missing; ","")&amp;IF(AND(AZ353&lt;&gt;"",COUNTIF($AZ$6:$AZ$1005,AZ353)&gt;1),"GSTIN repeated in this sheet; ","")&amp;IF(AND(AS353&lt;&gt;"",COUNTIF($AS$6:$AS$1005,AS353)&gt;1),"PAN repeated in this sheet (same client? put extra GSTINs in Other GSTINs); ","")&amp;IF(AND(BD353&gt;0,V353=""),"Financial year missing; ","")&amp;IF(AND(BD353=0,V353&lt;&gt;""),"Financial year given but no service is Yes; ","")&amp;IF(AND(W353="Yes",AZ353=""),"GST needs a GSTIN; ","")&amp;IF(AND(W353="Yes",X353=""),"GST return frequency missing; ","")&amp;IF(AND(Y353="Yes",TRIM(H353)=""),"TDS needs a TAN; ","")&amp;IF(AND(AA353="Yes",BC353&lt;&gt;"",BC353&lt;&gt;"company",BC353&lt;&gt;"llp"),"ROC is only for a company / LLP; ","")&amp;IF(AND(AA353="Yes",OR(BC353="company",BC353="llp"),TRIM(I353)=""),"ROC needs the CIN / LLPIN; ","")&amp;IF((TRIM(AF353)="")&lt;&gt;(TRIM(AG353)=""),"GST login needs both user ID and password; ","")&amp;IF((TRIM(AH353)="")&lt;&gt;(TRIM(AI353)=""),"Income-tax login needs both user ID and password; ","")&amp;IF((TRIM(AJ353)="")&lt;&gt;(TRIM(AK353)=""),"Income-tax login needs both user ID and password; ","")&amp;IF((TRIM(AL353)="")&lt;&gt;(TRIM(AM353)=""),"TRACES login needs both user ID and password; ","")&amp;IF((TRIM(AN353)="")&lt;&gt;(TRIM(AO353)=""),"MCA login needs both user ID and password; ","")&amp;IF((TRIM(AP353)="")&lt;&gt;(TRIM(AQ353)=""),"E-way bill login needs both user ID and password; ","")</f>
        <v/>
      </c>
    </row>
    <row r="354">
      <c r="A354" s="32" t="n"/>
      <c r="B354" s="33" t="n"/>
      <c r="C354" s="33" t="n"/>
      <c r="D354" s="33" t="n"/>
      <c r="E354" s="32" t="n"/>
      <c r="F354" s="32" t="n"/>
      <c r="G354" s="32" t="n"/>
      <c r="H354" s="32" t="n"/>
      <c r="I354" s="32" t="n"/>
      <c r="J354" s="34" t="n"/>
      <c r="K354" s="33" t="n"/>
      <c r="L354" s="32" t="n"/>
      <c r="M354" s="33" t="n"/>
      <c r="N354" s="33" t="n"/>
      <c r="O354" s="33" t="n"/>
      <c r="P354" s="32" t="n"/>
      <c r="Q354" s="33" t="n"/>
      <c r="R354" s="33" t="n"/>
      <c r="S354" s="33" t="n"/>
      <c r="T354" s="33" t="n"/>
      <c r="U354" s="32" t="n"/>
      <c r="V354" s="33" t="n"/>
      <c r="W354" s="33" t="n"/>
      <c r="X354" s="33" t="n"/>
      <c r="Y354" s="33" t="n"/>
      <c r="Z354" s="33" t="n"/>
      <c r="AA354" s="33" t="n"/>
      <c r="AB354" s="33" t="n"/>
      <c r="AC354" s="33" t="n"/>
      <c r="AD354" s="33" t="n"/>
      <c r="AE354" s="33" t="n"/>
      <c r="AF354" s="32" t="n"/>
      <c r="AG354" s="32" t="n"/>
      <c r="AH354" s="32" t="n"/>
      <c r="AI354" s="32" t="n"/>
      <c r="AJ354" s="32" t="n"/>
      <c r="AK354" s="32" t="n"/>
      <c r="AL354" s="32" t="n"/>
      <c r="AM354" s="32" t="n"/>
      <c r="AN354" s="32" t="n"/>
      <c r="AO354" s="32" t="n"/>
      <c r="AP354" s="32" t="n"/>
      <c r="AQ354" s="32" t="n"/>
      <c r="AR354" s="29">
        <f>IF(NOT(COUNTA(A354:AE354)&gt;0),"",IF(A354="","New client","Update"))</f>
        <v/>
      </c>
      <c r="AS354" s="29">
        <f>IF(BA354&lt;&gt;"",BA354,IF(LEN(AZ354)=15,MID(AZ354,3,10),""))</f>
        <v/>
      </c>
      <c r="AT354" s="29">
        <f>IF(BB354="","",BB354&amp;IF(D354="","  (guessed from PAN)",""))</f>
        <v/>
      </c>
      <c r="AU354" s="29">
        <f>IF(AZ354="","",IFERROR(INDEX(Lists!$L$2:$L$38,MATCH(LEFT(AZ354,2),Lists!$K$2:$K$38,0)),"Unknown code"))</f>
        <v/>
      </c>
      <c r="AV354" s="29">
        <f>IF(AZ354="","",IFERROR(IF(NOT(AND(LEN(AZ354)=15,ISNUMBER(MATCH(LEFT(AZ354,2),Lists!$K$2:$K$38,0)),SUMPRODUCT(--ISERROR(FIND(MID(MID(AZ354,3,10),{1,2,3,4,5,10},1),"ABCDEFGHIJKLMNOPQRSTUVWXYZ")))=0,SUMPRODUCT(--ISERROR(FIND(MID(MID(AZ354,3,10),{6,7,8,9},1),"0123456789")))=0,ISNUMBER(FIND(MID(AZ354,13,1),"123456789ABCDEFGHIJKLMNOPQRSTUVWXYZ")),MID(AZ354,14,1)="Z")),"Wrong format",IF(MID("0123456789ABCDEFGHIJKLMNOPQRSTUVWXYZ",MOD(36-MOD(SUMPRODUCT(INT((FIND(MID(AZ354,{1,2,3,4,5,6,7,8,9,10,11,12,13,14},1),"0123456789ABCDEFGHIJKLMNOPQRSTUVWXYZ")-1)*{1,2,1,2,1,2,1,2,1,2,1,2,1,2}/36)+MOD((FIND(MID(AZ354,{1,2,3,4,5,6,7,8,9,10,11,12,13,14},1),"0123456789ABCDEFGHIJKLMNOPQRSTUVWXYZ")-1)*{1,2,1,2,1,2,1,2,1,2,1,2,1,2},36)),36),36)+1,1)=MID(AZ354,15,1),"OK","Typo? check digit wrong")),"Wrong format"))</f>
        <v/>
      </c>
      <c r="AW354" s="29">
        <f>IF(BA354="","",IF(AND(LEN(BA354)=10,SUMPRODUCT(--ISERROR(FIND(MID(BA354,{1,2,3,4,5,10},1),"ABCDEFGHIJKLMNOPQRSTUVWXYZ")))=0,SUMPRODUCT(--ISERROR(FIND(MID(BA354,{6,7,8,9},1),"0123456789")))=0),"OK","Wrong format"))</f>
        <v/>
      </c>
      <c r="AX354" s="29">
        <f>IF(TRIM(H354)="","",IF(AND(LEN(UPPER(TRIM(H354)))=10,SUMPRODUCT(--ISERROR(FIND(MID(UPPER(TRIM(H354)),{1,2,3,4,10},1),"ABCDEFGHIJKLMNOPQRSTUVWXYZ")))=0,SUMPRODUCT(--ISERROR(FIND(MID(UPPER(TRIM(H354)),{5,6,7,8,9},1),"0123456789")))=0),"OK","Wrong format"))</f>
        <v/>
      </c>
      <c r="AY354" s="30">
        <f>IF(NOT(COUNTA(A354:AE354)&gt;0),"",IF(BE354&lt;&gt;"","✖ "&amp;LEFT(BE354,LEN(BE354)-2),IF(BD354&gt;0,"✔ Ready — client + "&amp;BD354&amp;" service(s)","✔ Ready — client only")))</f>
        <v/>
      </c>
      <c r="AZ354" s="31">
        <f>UPPER(SUBSTITUTE(TRIM(F354)," ",""))</f>
        <v/>
      </c>
      <c r="BA354" s="31">
        <f>UPPER(SUBSTITUTE(TRIM(E354)," ",""))</f>
        <v/>
      </c>
      <c r="BB354" s="31">
        <f>IF(D354&lt;&gt;"",D354,IFERROR(VLOOKUP(MID(AS354,4,1),Lists!$E$2:$F$8,2,FALSE),""))</f>
        <v/>
      </c>
      <c r="BC354" s="31">
        <f>IFERROR(VLOOKUP(BB354,Lists!$A$2:$C$12,3,FALSE),"")</f>
        <v/>
      </c>
      <c r="BD354" s="31">
        <f>COUNTIF(W354:AC354,"Yes")</f>
        <v/>
      </c>
      <c r="BE354" s="31">
        <f>IF(TRIM(B354)="","Legal name missing; ","")&amp;IF(AND(AV354&lt;&gt;"",AV354&lt;&gt;"OK"),"GSTIN: "&amp;AV354&amp;"; ","")&amp;IF(AND(AW354&lt;&gt;"",AW354&lt;&gt;"OK"),"PAN wrong format; ","")&amp;IF(AND(BA354&lt;&gt;"",LEN(AZ354)=15,MID(AZ354,3,10)&lt;&gt;BA354),"PAN does not match GSTIN; ","")&amp;IF(AND(AX354&lt;&gt;"",AX354&lt;&gt;"OK"),"TAN wrong format; ","")&amp;IF(AS354="","PAN missing; ","")&amp;IF(BB354="","Entity type missing; ","")&amp;IF(AND(AZ354&lt;&gt;"",COUNTIF($AZ$6:$AZ$1005,AZ354)&gt;1),"GSTIN repeated in this sheet; ","")&amp;IF(AND(AS354&lt;&gt;"",COUNTIF($AS$6:$AS$1005,AS354)&gt;1),"PAN repeated in this sheet (same client? put extra GSTINs in Other GSTINs); ","")&amp;IF(AND(BD354&gt;0,V354=""),"Financial year missing; ","")&amp;IF(AND(BD354=0,V354&lt;&gt;""),"Financial year given but no service is Yes; ","")&amp;IF(AND(W354="Yes",AZ354=""),"GST needs a GSTIN; ","")&amp;IF(AND(W354="Yes",X354=""),"GST return frequency missing; ","")&amp;IF(AND(Y354="Yes",TRIM(H354)=""),"TDS needs a TAN; ","")&amp;IF(AND(AA354="Yes",BC354&lt;&gt;"",BC354&lt;&gt;"company",BC354&lt;&gt;"llp"),"ROC is only for a company / LLP; ","")&amp;IF(AND(AA354="Yes",OR(BC354="company",BC354="llp"),TRIM(I354)=""),"ROC needs the CIN / LLPIN; ","")&amp;IF((TRIM(AF354)="")&lt;&gt;(TRIM(AG354)=""),"GST login needs both user ID and password; ","")&amp;IF((TRIM(AH354)="")&lt;&gt;(TRIM(AI354)=""),"Income-tax login needs both user ID and password; ","")&amp;IF((TRIM(AJ354)="")&lt;&gt;(TRIM(AK354)=""),"Income-tax login needs both user ID and password; ","")&amp;IF((TRIM(AL354)="")&lt;&gt;(TRIM(AM354)=""),"TRACES login needs both user ID and password; ","")&amp;IF((TRIM(AN354)="")&lt;&gt;(TRIM(AO354)=""),"MCA login needs both user ID and password; ","")&amp;IF((TRIM(AP354)="")&lt;&gt;(TRIM(AQ354)=""),"E-way bill login needs both user ID and password; ","")</f>
        <v/>
      </c>
    </row>
    <row r="355">
      <c r="A355" s="32" t="n"/>
      <c r="B355" s="33" t="n"/>
      <c r="C355" s="33" t="n"/>
      <c r="D355" s="33" t="n"/>
      <c r="E355" s="32" t="n"/>
      <c r="F355" s="32" t="n"/>
      <c r="G355" s="32" t="n"/>
      <c r="H355" s="32" t="n"/>
      <c r="I355" s="32" t="n"/>
      <c r="J355" s="34" t="n"/>
      <c r="K355" s="33" t="n"/>
      <c r="L355" s="32" t="n"/>
      <c r="M355" s="33" t="n"/>
      <c r="N355" s="33" t="n"/>
      <c r="O355" s="33" t="n"/>
      <c r="P355" s="32" t="n"/>
      <c r="Q355" s="33" t="n"/>
      <c r="R355" s="33" t="n"/>
      <c r="S355" s="33" t="n"/>
      <c r="T355" s="33" t="n"/>
      <c r="U355" s="32" t="n"/>
      <c r="V355" s="33" t="n"/>
      <c r="W355" s="33" t="n"/>
      <c r="X355" s="33" t="n"/>
      <c r="Y355" s="33" t="n"/>
      <c r="Z355" s="33" t="n"/>
      <c r="AA355" s="33" t="n"/>
      <c r="AB355" s="33" t="n"/>
      <c r="AC355" s="33" t="n"/>
      <c r="AD355" s="33" t="n"/>
      <c r="AE355" s="33" t="n"/>
      <c r="AF355" s="32" t="n"/>
      <c r="AG355" s="32" t="n"/>
      <c r="AH355" s="32" t="n"/>
      <c r="AI355" s="32" t="n"/>
      <c r="AJ355" s="32" t="n"/>
      <c r="AK355" s="32" t="n"/>
      <c r="AL355" s="32" t="n"/>
      <c r="AM355" s="32" t="n"/>
      <c r="AN355" s="32" t="n"/>
      <c r="AO355" s="32" t="n"/>
      <c r="AP355" s="32" t="n"/>
      <c r="AQ355" s="32" t="n"/>
      <c r="AR355" s="29">
        <f>IF(NOT(COUNTA(A355:AE355)&gt;0),"",IF(A355="","New client","Update"))</f>
        <v/>
      </c>
      <c r="AS355" s="29">
        <f>IF(BA355&lt;&gt;"",BA355,IF(LEN(AZ355)=15,MID(AZ355,3,10),""))</f>
        <v/>
      </c>
      <c r="AT355" s="29">
        <f>IF(BB355="","",BB355&amp;IF(D355="","  (guessed from PAN)",""))</f>
        <v/>
      </c>
      <c r="AU355" s="29">
        <f>IF(AZ355="","",IFERROR(INDEX(Lists!$L$2:$L$38,MATCH(LEFT(AZ355,2),Lists!$K$2:$K$38,0)),"Unknown code"))</f>
        <v/>
      </c>
      <c r="AV355" s="29">
        <f>IF(AZ355="","",IFERROR(IF(NOT(AND(LEN(AZ355)=15,ISNUMBER(MATCH(LEFT(AZ355,2),Lists!$K$2:$K$38,0)),SUMPRODUCT(--ISERROR(FIND(MID(MID(AZ355,3,10),{1,2,3,4,5,10},1),"ABCDEFGHIJKLMNOPQRSTUVWXYZ")))=0,SUMPRODUCT(--ISERROR(FIND(MID(MID(AZ355,3,10),{6,7,8,9},1),"0123456789")))=0,ISNUMBER(FIND(MID(AZ355,13,1),"123456789ABCDEFGHIJKLMNOPQRSTUVWXYZ")),MID(AZ355,14,1)="Z")),"Wrong format",IF(MID("0123456789ABCDEFGHIJKLMNOPQRSTUVWXYZ",MOD(36-MOD(SUMPRODUCT(INT((FIND(MID(AZ355,{1,2,3,4,5,6,7,8,9,10,11,12,13,14},1),"0123456789ABCDEFGHIJKLMNOPQRSTUVWXYZ")-1)*{1,2,1,2,1,2,1,2,1,2,1,2,1,2}/36)+MOD((FIND(MID(AZ355,{1,2,3,4,5,6,7,8,9,10,11,12,13,14},1),"0123456789ABCDEFGHIJKLMNOPQRSTUVWXYZ")-1)*{1,2,1,2,1,2,1,2,1,2,1,2,1,2},36)),36),36)+1,1)=MID(AZ355,15,1),"OK","Typo? check digit wrong")),"Wrong format"))</f>
        <v/>
      </c>
      <c r="AW355" s="29">
        <f>IF(BA355="","",IF(AND(LEN(BA355)=10,SUMPRODUCT(--ISERROR(FIND(MID(BA355,{1,2,3,4,5,10},1),"ABCDEFGHIJKLMNOPQRSTUVWXYZ")))=0,SUMPRODUCT(--ISERROR(FIND(MID(BA355,{6,7,8,9},1),"0123456789")))=0),"OK","Wrong format"))</f>
        <v/>
      </c>
      <c r="AX355" s="29">
        <f>IF(TRIM(H355)="","",IF(AND(LEN(UPPER(TRIM(H355)))=10,SUMPRODUCT(--ISERROR(FIND(MID(UPPER(TRIM(H355)),{1,2,3,4,10},1),"ABCDEFGHIJKLMNOPQRSTUVWXYZ")))=0,SUMPRODUCT(--ISERROR(FIND(MID(UPPER(TRIM(H355)),{5,6,7,8,9},1),"0123456789")))=0),"OK","Wrong format"))</f>
        <v/>
      </c>
      <c r="AY355" s="30">
        <f>IF(NOT(COUNTA(A355:AE355)&gt;0),"",IF(BE355&lt;&gt;"","✖ "&amp;LEFT(BE355,LEN(BE355)-2),IF(BD355&gt;0,"✔ Ready — client + "&amp;BD355&amp;" service(s)","✔ Ready — client only")))</f>
        <v/>
      </c>
      <c r="AZ355" s="31">
        <f>UPPER(SUBSTITUTE(TRIM(F355)," ",""))</f>
        <v/>
      </c>
      <c r="BA355" s="31">
        <f>UPPER(SUBSTITUTE(TRIM(E355)," ",""))</f>
        <v/>
      </c>
      <c r="BB355" s="31">
        <f>IF(D355&lt;&gt;"",D355,IFERROR(VLOOKUP(MID(AS355,4,1),Lists!$E$2:$F$8,2,FALSE),""))</f>
        <v/>
      </c>
      <c r="BC355" s="31">
        <f>IFERROR(VLOOKUP(BB355,Lists!$A$2:$C$12,3,FALSE),"")</f>
        <v/>
      </c>
      <c r="BD355" s="31">
        <f>COUNTIF(W355:AC355,"Yes")</f>
        <v/>
      </c>
      <c r="BE355" s="31">
        <f>IF(TRIM(B355)="","Legal name missing; ","")&amp;IF(AND(AV355&lt;&gt;"",AV355&lt;&gt;"OK"),"GSTIN: "&amp;AV355&amp;"; ","")&amp;IF(AND(AW355&lt;&gt;"",AW355&lt;&gt;"OK"),"PAN wrong format; ","")&amp;IF(AND(BA355&lt;&gt;"",LEN(AZ355)=15,MID(AZ355,3,10)&lt;&gt;BA355),"PAN does not match GSTIN; ","")&amp;IF(AND(AX355&lt;&gt;"",AX355&lt;&gt;"OK"),"TAN wrong format; ","")&amp;IF(AS355="","PAN missing; ","")&amp;IF(BB355="","Entity type missing; ","")&amp;IF(AND(AZ355&lt;&gt;"",COUNTIF($AZ$6:$AZ$1005,AZ355)&gt;1),"GSTIN repeated in this sheet; ","")&amp;IF(AND(AS355&lt;&gt;"",COUNTIF($AS$6:$AS$1005,AS355)&gt;1),"PAN repeated in this sheet (same client? put extra GSTINs in Other GSTINs); ","")&amp;IF(AND(BD355&gt;0,V355=""),"Financial year missing; ","")&amp;IF(AND(BD355=0,V355&lt;&gt;""),"Financial year given but no service is Yes; ","")&amp;IF(AND(W355="Yes",AZ355=""),"GST needs a GSTIN; ","")&amp;IF(AND(W355="Yes",X355=""),"GST return frequency missing; ","")&amp;IF(AND(Y355="Yes",TRIM(H355)=""),"TDS needs a TAN; ","")&amp;IF(AND(AA355="Yes",BC355&lt;&gt;"",BC355&lt;&gt;"company",BC355&lt;&gt;"llp"),"ROC is only for a company / LLP; ","")&amp;IF(AND(AA355="Yes",OR(BC355="company",BC355="llp"),TRIM(I355)=""),"ROC needs the CIN / LLPIN; ","")&amp;IF((TRIM(AF355)="")&lt;&gt;(TRIM(AG355)=""),"GST login needs both user ID and password; ","")&amp;IF((TRIM(AH355)="")&lt;&gt;(TRIM(AI355)=""),"Income-tax login needs both user ID and password; ","")&amp;IF((TRIM(AJ355)="")&lt;&gt;(TRIM(AK355)=""),"Income-tax login needs both user ID and password; ","")&amp;IF((TRIM(AL355)="")&lt;&gt;(TRIM(AM355)=""),"TRACES login needs both user ID and password; ","")&amp;IF((TRIM(AN355)="")&lt;&gt;(TRIM(AO355)=""),"MCA login needs both user ID and password; ","")&amp;IF((TRIM(AP355)="")&lt;&gt;(TRIM(AQ355)=""),"E-way bill login needs both user ID and password; ","")</f>
        <v/>
      </c>
    </row>
    <row r="356">
      <c r="A356" s="32" t="n"/>
      <c r="B356" s="33" t="n"/>
      <c r="C356" s="33" t="n"/>
      <c r="D356" s="33" t="n"/>
      <c r="E356" s="32" t="n"/>
      <c r="F356" s="32" t="n"/>
      <c r="G356" s="32" t="n"/>
      <c r="H356" s="32" t="n"/>
      <c r="I356" s="32" t="n"/>
      <c r="J356" s="34" t="n"/>
      <c r="K356" s="33" t="n"/>
      <c r="L356" s="32" t="n"/>
      <c r="M356" s="33" t="n"/>
      <c r="N356" s="33" t="n"/>
      <c r="O356" s="33" t="n"/>
      <c r="P356" s="32" t="n"/>
      <c r="Q356" s="33" t="n"/>
      <c r="R356" s="33" t="n"/>
      <c r="S356" s="33" t="n"/>
      <c r="T356" s="33" t="n"/>
      <c r="U356" s="32" t="n"/>
      <c r="V356" s="33" t="n"/>
      <c r="W356" s="33" t="n"/>
      <c r="X356" s="33" t="n"/>
      <c r="Y356" s="33" t="n"/>
      <c r="Z356" s="33" t="n"/>
      <c r="AA356" s="33" t="n"/>
      <c r="AB356" s="33" t="n"/>
      <c r="AC356" s="33" t="n"/>
      <c r="AD356" s="33" t="n"/>
      <c r="AE356" s="33" t="n"/>
      <c r="AF356" s="32" t="n"/>
      <c r="AG356" s="32" t="n"/>
      <c r="AH356" s="32" t="n"/>
      <c r="AI356" s="32" t="n"/>
      <c r="AJ356" s="32" t="n"/>
      <c r="AK356" s="32" t="n"/>
      <c r="AL356" s="32" t="n"/>
      <c r="AM356" s="32" t="n"/>
      <c r="AN356" s="32" t="n"/>
      <c r="AO356" s="32" t="n"/>
      <c r="AP356" s="32" t="n"/>
      <c r="AQ356" s="32" t="n"/>
      <c r="AR356" s="29">
        <f>IF(NOT(COUNTA(A356:AE356)&gt;0),"",IF(A356="","New client","Update"))</f>
        <v/>
      </c>
      <c r="AS356" s="29">
        <f>IF(BA356&lt;&gt;"",BA356,IF(LEN(AZ356)=15,MID(AZ356,3,10),""))</f>
        <v/>
      </c>
      <c r="AT356" s="29">
        <f>IF(BB356="","",BB356&amp;IF(D356="","  (guessed from PAN)",""))</f>
        <v/>
      </c>
      <c r="AU356" s="29">
        <f>IF(AZ356="","",IFERROR(INDEX(Lists!$L$2:$L$38,MATCH(LEFT(AZ356,2),Lists!$K$2:$K$38,0)),"Unknown code"))</f>
        <v/>
      </c>
      <c r="AV356" s="29">
        <f>IF(AZ356="","",IFERROR(IF(NOT(AND(LEN(AZ356)=15,ISNUMBER(MATCH(LEFT(AZ356,2),Lists!$K$2:$K$38,0)),SUMPRODUCT(--ISERROR(FIND(MID(MID(AZ356,3,10),{1,2,3,4,5,10},1),"ABCDEFGHIJKLMNOPQRSTUVWXYZ")))=0,SUMPRODUCT(--ISERROR(FIND(MID(MID(AZ356,3,10),{6,7,8,9},1),"0123456789")))=0,ISNUMBER(FIND(MID(AZ356,13,1),"123456789ABCDEFGHIJKLMNOPQRSTUVWXYZ")),MID(AZ356,14,1)="Z")),"Wrong format",IF(MID("0123456789ABCDEFGHIJKLMNOPQRSTUVWXYZ",MOD(36-MOD(SUMPRODUCT(INT((FIND(MID(AZ356,{1,2,3,4,5,6,7,8,9,10,11,12,13,14},1),"0123456789ABCDEFGHIJKLMNOPQRSTUVWXYZ")-1)*{1,2,1,2,1,2,1,2,1,2,1,2,1,2}/36)+MOD((FIND(MID(AZ356,{1,2,3,4,5,6,7,8,9,10,11,12,13,14},1),"0123456789ABCDEFGHIJKLMNOPQRSTUVWXYZ")-1)*{1,2,1,2,1,2,1,2,1,2,1,2,1,2},36)),36),36)+1,1)=MID(AZ356,15,1),"OK","Typo? check digit wrong")),"Wrong format"))</f>
        <v/>
      </c>
      <c r="AW356" s="29">
        <f>IF(BA356="","",IF(AND(LEN(BA356)=10,SUMPRODUCT(--ISERROR(FIND(MID(BA356,{1,2,3,4,5,10},1),"ABCDEFGHIJKLMNOPQRSTUVWXYZ")))=0,SUMPRODUCT(--ISERROR(FIND(MID(BA356,{6,7,8,9},1),"0123456789")))=0),"OK","Wrong format"))</f>
        <v/>
      </c>
      <c r="AX356" s="29">
        <f>IF(TRIM(H356)="","",IF(AND(LEN(UPPER(TRIM(H356)))=10,SUMPRODUCT(--ISERROR(FIND(MID(UPPER(TRIM(H356)),{1,2,3,4,10},1),"ABCDEFGHIJKLMNOPQRSTUVWXYZ")))=0,SUMPRODUCT(--ISERROR(FIND(MID(UPPER(TRIM(H356)),{5,6,7,8,9},1),"0123456789")))=0),"OK","Wrong format"))</f>
        <v/>
      </c>
      <c r="AY356" s="30">
        <f>IF(NOT(COUNTA(A356:AE356)&gt;0),"",IF(BE356&lt;&gt;"","✖ "&amp;LEFT(BE356,LEN(BE356)-2),IF(BD356&gt;0,"✔ Ready — client + "&amp;BD356&amp;" service(s)","✔ Ready — client only")))</f>
        <v/>
      </c>
      <c r="AZ356" s="31">
        <f>UPPER(SUBSTITUTE(TRIM(F356)," ",""))</f>
        <v/>
      </c>
      <c r="BA356" s="31">
        <f>UPPER(SUBSTITUTE(TRIM(E356)," ",""))</f>
        <v/>
      </c>
      <c r="BB356" s="31">
        <f>IF(D356&lt;&gt;"",D356,IFERROR(VLOOKUP(MID(AS356,4,1),Lists!$E$2:$F$8,2,FALSE),""))</f>
        <v/>
      </c>
      <c r="BC356" s="31">
        <f>IFERROR(VLOOKUP(BB356,Lists!$A$2:$C$12,3,FALSE),"")</f>
        <v/>
      </c>
      <c r="BD356" s="31">
        <f>COUNTIF(W356:AC356,"Yes")</f>
        <v/>
      </c>
      <c r="BE356" s="31">
        <f>IF(TRIM(B356)="","Legal name missing; ","")&amp;IF(AND(AV356&lt;&gt;"",AV356&lt;&gt;"OK"),"GSTIN: "&amp;AV356&amp;"; ","")&amp;IF(AND(AW356&lt;&gt;"",AW356&lt;&gt;"OK"),"PAN wrong format; ","")&amp;IF(AND(BA356&lt;&gt;"",LEN(AZ356)=15,MID(AZ356,3,10)&lt;&gt;BA356),"PAN does not match GSTIN; ","")&amp;IF(AND(AX356&lt;&gt;"",AX356&lt;&gt;"OK"),"TAN wrong format; ","")&amp;IF(AS356="","PAN missing; ","")&amp;IF(BB356="","Entity type missing; ","")&amp;IF(AND(AZ356&lt;&gt;"",COUNTIF($AZ$6:$AZ$1005,AZ356)&gt;1),"GSTIN repeated in this sheet; ","")&amp;IF(AND(AS356&lt;&gt;"",COUNTIF($AS$6:$AS$1005,AS356)&gt;1),"PAN repeated in this sheet (same client? put extra GSTINs in Other GSTINs); ","")&amp;IF(AND(BD356&gt;0,V356=""),"Financial year missing; ","")&amp;IF(AND(BD356=0,V356&lt;&gt;""),"Financial year given but no service is Yes; ","")&amp;IF(AND(W356="Yes",AZ356=""),"GST needs a GSTIN; ","")&amp;IF(AND(W356="Yes",X356=""),"GST return frequency missing; ","")&amp;IF(AND(Y356="Yes",TRIM(H356)=""),"TDS needs a TAN; ","")&amp;IF(AND(AA356="Yes",BC356&lt;&gt;"",BC356&lt;&gt;"company",BC356&lt;&gt;"llp"),"ROC is only for a company / LLP; ","")&amp;IF(AND(AA356="Yes",OR(BC356="company",BC356="llp"),TRIM(I356)=""),"ROC needs the CIN / LLPIN; ","")&amp;IF((TRIM(AF356)="")&lt;&gt;(TRIM(AG356)=""),"GST login needs both user ID and password; ","")&amp;IF((TRIM(AH356)="")&lt;&gt;(TRIM(AI356)=""),"Income-tax login needs both user ID and password; ","")&amp;IF((TRIM(AJ356)="")&lt;&gt;(TRIM(AK356)=""),"Income-tax login needs both user ID and password; ","")&amp;IF((TRIM(AL356)="")&lt;&gt;(TRIM(AM356)=""),"TRACES login needs both user ID and password; ","")&amp;IF((TRIM(AN356)="")&lt;&gt;(TRIM(AO356)=""),"MCA login needs both user ID and password; ","")&amp;IF((TRIM(AP356)="")&lt;&gt;(TRIM(AQ356)=""),"E-way bill login needs both user ID and password; ","")</f>
        <v/>
      </c>
    </row>
    <row r="357">
      <c r="A357" s="32" t="n"/>
      <c r="B357" s="33" t="n"/>
      <c r="C357" s="33" t="n"/>
      <c r="D357" s="33" t="n"/>
      <c r="E357" s="32" t="n"/>
      <c r="F357" s="32" t="n"/>
      <c r="G357" s="32" t="n"/>
      <c r="H357" s="32" t="n"/>
      <c r="I357" s="32" t="n"/>
      <c r="J357" s="34" t="n"/>
      <c r="K357" s="33" t="n"/>
      <c r="L357" s="32" t="n"/>
      <c r="M357" s="33" t="n"/>
      <c r="N357" s="33" t="n"/>
      <c r="O357" s="33" t="n"/>
      <c r="P357" s="32" t="n"/>
      <c r="Q357" s="33" t="n"/>
      <c r="R357" s="33" t="n"/>
      <c r="S357" s="33" t="n"/>
      <c r="T357" s="33" t="n"/>
      <c r="U357" s="32" t="n"/>
      <c r="V357" s="33" t="n"/>
      <c r="W357" s="33" t="n"/>
      <c r="X357" s="33" t="n"/>
      <c r="Y357" s="33" t="n"/>
      <c r="Z357" s="33" t="n"/>
      <c r="AA357" s="33" t="n"/>
      <c r="AB357" s="33" t="n"/>
      <c r="AC357" s="33" t="n"/>
      <c r="AD357" s="33" t="n"/>
      <c r="AE357" s="33" t="n"/>
      <c r="AF357" s="32" t="n"/>
      <c r="AG357" s="32" t="n"/>
      <c r="AH357" s="32" t="n"/>
      <c r="AI357" s="32" t="n"/>
      <c r="AJ357" s="32" t="n"/>
      <c r="AK357" s="32" t="n"/>
      <c r="AL357" s="32" t="n"/>
      <c r="AM357" s="32" t="n"/>
      <c r="AN357" s="32" t="n"/>
      <c r="AO357" s="32" t="n"/>
      <c r="AP357" s="32" t="n"/>
      <c r="AQ357" s="32" t="n"/>
      <c r="AR357" s="29">
        <f>IF(NOT(COUNTA(A357:AE357)&gt;0),"",IF(A357="","New client","Update"))</f>
        <v/>
      </c>
      <c r="AS357" s="29">
        <f>IF(BA357&lt;&gt;"",BA357,IF(LEN(AZ357)=15,MID(AZ357,3,10),""))</f>
        <v/>
      </c>
      <c r="AT357" s="29">
        <f>IF(BB357="","",BB357&amp;IF(D357="","  (guessed from PAN)",""))</f>
        <v/>
      </c>
      <c r="AU357" s="29">
        <f>IF(AZ357="","",IFERROR(INDEX(Lists!$L$2:$L$38,MATCH(LEFT(AZ357,2),Lists!$K$2:$K$38,0)),"Unknown code"))</f>
        <v/>
      </c>
      <c r="AV357" s="29">
        <f>IF(AZ357="","",IFERROR(IF(NOT(AND(LEN(AZ357)=15,ISNUMBER(MATCH(LEFT(AZ357,2),Lists!$K$2:$K$38,0)),SUMPRODUCT(--ISERROR(FIND(MID(MID(AZ357,3,10),{1,2,3,4,5,10},1),"ABCDEFGHIJKLMNOPQRSTUVWXYZ")))=0,SUMPRODUCT(--ISERROR(FIND(MID(MID(AZ357,3,10),{6,7,8,9},1),"0123456789")))=0,ISNUMBER(FIND(MID(AZ357,13,1),"123456789ABCDEFGHIJKLMNOPQRSTUVWXYZ")),MID(AZ357,14,1)="Z")),"Wrong format",IF(MID("0123456789ABCDEFGHIJKLMNOPQRSTUVWXYZ",MOD(36-MOD(SUMPRODUCT(INT((FIND(MID(AZ357,{1,2,3,4,5,6,7,8,9,10,11,12,13,14},1),"0123456789ABCDEFGHIJKLMNOPQRSTUVWXYZ")-1)*{1,2,1,2,1,2,1,2,1,2,1,2,1,2}/36)+MOD((FIND(MID(AZ357,{1,2,3,4,5,6,7,8,9,10,11,12,13,14},1),"0123456789ABCDEFGHIJKLMNOPQRSTUVWXYZ")-1)*{1,2,1,2,1,2,1,2,1,2,1,2,1,2},36)),36),36)+1,1)=MID(AZ357,15,1),"OK","Typo? check digit wrong")),"Wrong format"))</f>
        <v/>
      </c>
      <c r="AW357" s="29">
        <f>IF(BA357="","",IF(AND(LEN(BA357)=10,SUMPRODUCT(--ISERROR(FIND(MID(BA357,{1,2,3,4,5,10},1),"ABCDEFGHIJKLMNOPQRSTUVWXYZ")))=0,SUMPRODUCT(--ISERROR(FIND(MID(BA357,{6,7,8,9},1),"0123456789")))=0),"OK","Wrong format"))</f>
        <v/>
      </c>
      <c r="AX357" s="29">
        <f>IF(TRIM(H357)="","",IF(AND(LEN(UPPER(TRIM(H357)))=10,SUMPRODUCT(--ISERROR(FIND(MID(UPPER(TRIM(H357)),{1,2,3,4,10},1),"ABCDEFGHIJKLMNOPQRSTUVWXYZ")))=0,SUMPRODUCT(--ISERROR(FIND(MID(UPPER(TRIM(H357)),{5,6,7,8,9},1),"0123456789")))=0),"OK","Wrong format"))</f>
        <v/>
      </c>
      <c r="AY357" s="30">
        <f>IF(NOT(COUNTA(A357:AE357)&gt;0),"",IF(BE357&lt;&gt;"","✖ "&amp;LEFT(BE357,LEN(BE357)-2),IF(BD357&gt;0,"✔ Ready — client + "&amp;BD357&amp;" service(s)","✔ Ready — client only")))</f>
        <v/>
      </c>
      <c r="AZ357" s="31">
        <f>UPPER(SUBSTITUTE(TRIM(F357)," ",""))</f>
        <v/>
      </c>
      <c r="BA357" s="31">
        <f>UPPER(SUBSTITUTE(TRIM(E357)," ",""))</f>
        <v/>
      </c>
      <c r="BB357" s="31">
        <f>IF(D357&lt;&gt;"",D357,IFERROR(VLOOKUP(MID(AS357,4,1),Lists!$E$2:$F$8,2,FALSE),""))</f>
        <v/>
      </c>
      <c r="BC357" s="31">
        <f>IFERROR(VLOOKUP(BB357,Lists!$A$2:$C$12,3,FALSE),"")</f>
        <v/>
      </c>
      <c r="BD357" s="31">
        <f>COUNTIF(W357:AC357,"Yes")</f>
        <v/>
      </c>
      <c r="BE357" s="31">
        <f>IF(TRIM(B357)="","Legal name missing; ","")&amp;IF(AND(AV357&lt;&gt;"",AV357&lt;&gt;"OK"),"GSTIN: "&amp;AV357&amp;"; ","")&amp;IF(AND(AW357&lt;&gt;"",AW357&lt;&gt;"OK"),"PAN wrong format; ","")&amp;IF(AND(BA357&lt;&gt;"",LEN(AZ357)=15,MID(AZ357,3,10)&lt;&gt;BA357),"PAN does not match GSTIN; ","")&amp;IF(AND(AX357&lt;&gt;"",AX357&lt;&gt;"OK"),"TAN wrong format; ","")&amp;IF(AS357="","PAN missing; ","")&amp;IF(BB357="","Entity type missing; ","")&amp;IF(AND(AZ357&lt;&gt;"",COUNTIF($AZ$6:$AZ$1005,AZ357)&gt;1),"GSTIN repeated in this sheet; ","")&amp;IF(AND(AS357&lt;&gt;"",COUNTIF($AS$6:$AS$1005,AS357)&gt;1),"PAN repeated in this sheet (same client? put extra GSTINs in Other GSTINs); ","")&amp;IF(AND(BD357&gt;0,V357=""),"Financial year missing; ","")&amp;IF(AND(BD357=0,V357&lt;&gt;""),"Financial year given but no service is Yes; ","")&amp;IF(AND(W357="Yes",AZ357=""),"GST needs a GSTIN; ","")&amp;IF(AND(W357="Yes",X357=""),"GST return frequency missing; ","")&amp;IF(AND(Y357="Yes",TRIM(H357)=""),"TDS needs a TAN; ","")&amp;IF(AND(AA357="Yes",BC357&lt;&gt;"",BC357&lt;&gt;"company",BC357&lt;&gt;"llp"),"ROC is only for a company / LLP; ","")&amp;IF(AND(AA357="Yes",OR(BC357="company",BC357="llp"),TRIM(I357)=""),"ROC needs the CIN / LLPIN; ","")&amp;IF((TRIM(AF357)="")&lt;&gt;(TRIM(AG357)=""),"GST login needs both user ID and password; ","")&amp;IF((TRIM(AH357)="")&lt;&gt;(TRIM(AI357)=""),"Income-tax login needs both user ID and password; ","")&amp;IF((TRIM(AJ357)="")&lt;&gt;(TRIM(AK357)=""),"Income-tax login needs both user ID and password; ","")&amp;IF((TRIM(AL357)="")&lt;&gt;(TRIM(AM357)=""),"TRACES login needs both user ID and password; ","")&amp;IF((TRIM(AN357)="")&lt;&gt;(TRIM(AO357)=""),"MCA login needs both user ID and password; ","")&amp;IF((TRIM(AP357)="")&lt;&gt;(TRIM(AQ357)=""),"E-way bill login needs both user ID and password; ","")</f>
        <v/>
      </c>
    </row>
    <row r="358">
      <c r="A358" s="32" t="n"/>
      <c r="B358" s="33" t="n"/>
      <c r="C358" s="33" t="n"/>
      <c r="D358" s="33" t="n"/>
      <c r="E358" s="32" t="n"/>
      <c r="F358" s="32" t="n"/>
      <c r="G358" s="32" t="n"/>
      <c r="H358" s="32" t="n"/>
      <c r="I358" s="32" t="n"/>
      <c r="J358" s="34" t="n"/>
      <c r="K358" s="33" t="n"/>
      <c r="L358" s="32" t="n"/>
      <c r="M358" s="33" t="n"/>
      <c r="N358" s="33" t="n"/>
      <c r="O358" s="33" t="n"/>
      <c r="P358" s="32" t="n"/>
      <c r="Q358" s="33" t="n"/>
      <c r="R358" s="33" t="n"/>
      <c r="S358" s="33" t="n"/>
      <c r="T358" s="33" t="n"/>
      <c r="U358" s="32" t="n"/>
      <c r="V358" s="33" t="n"/>
      <c r="W358" s="33" t="n"/>
      <c r="X358" s="33" t="n"/>
      <c r="Y358" s="33" t="n"/>
      <c r="Z358" s="33" t="n"/>
      <c r="AA358" s="33" t="n"/>
      <c r="AB358" s="33" t="n"/>
      <c r="AC358" s="33" t="n"/>
      <c r="AD358" s="33" t="n"/>
      <c r="AE358" s="33" t="n"/>
      <c r="AF358" s="32" t="n"/>
      <c r="AG358" s="32" t="n"/>
      <c r="AH358" s="32" t="n"/>
      <c r="AI358" s="32" t="n"/>
      <c r="AJ358" s="32" t="n"/>
      <c r="AK358" s="32" t="n"/>
      <c r="AL358" s="32" t="n"/>
      <c r="AM358" s="32" t="n"/>
      <c r="AN358" s="32" t="n"/>
      <c r="AO358" s="32" t="n"/>
      <c r="AP358" s="32" t="n"/>
      <c r="AQ358" s="32" t="n"/>
      <c r="AR358" s="29">
        <f>IF(NOT(COUNTA(A358:AE358)&gt;0),"",IF(A358="","New client","Update"))</f>
        <v/>
      </c>
      <c r="AS358" s="29">
        <f>IF(BA358&lt;&gt;"",BA358,IF(LEN(AZ358)=15,MID(AZ358,3,10),""))</f>
        <v/>
      </c>
      <c r="AT358" s="29">
        <f>IF(BB358="","",BB358&amp;IF(D358="","  (guessed from PAN)",""))</f>
        <v/>
      </c>
      <c r="AU358" s="29">
        <f>IF(AZ358="","",IFERROR(INDEX(Lists!$L$2:$L$38,MATCH(LEFT(AZ358,2),Lists!$K$2:$K$38,0)),"Unknown code"))</f>
        <v/>
      </c>
      <c r="AV358" s="29">
        <f>IF(AZ358="","",IFERROR(IF(NOT(AND(LEN(AZ358)=15,ISNUMBER(MATCH(LEFT(AZ358,2),Lists!$K$2:$K$38,0)),SUMPRODUCT(--ISERROR(FIND(MID(MID(AZ358,3,10),{1,2,3,4,5,10},1),"ABCDEFGHIJKLMNOPQRSTUVWXYZ")))=0,SUMPRODUCT(--ISERROR(FIND(MID(MID(AZ358,3,10),{6,7,8,9},1),"0123456789")))=0,ISNUMBER(FIND(MID(AZ358,13,1),"123456789ABCDEFGHIJKLMNOPQRSTUVWXYZ")),MID(AZ358,14,1)="Z")),"Wrong format",IF(MID("0123456789ABCDEFGHIJKLMNOPQRSTUVWXYZ",MOD(36-MOD(SUMPRODUCT(INT((FIND(MID(AZ358,{1,2,3,4,5,6,7,8,9,10,11,12,13,14},1),"0123456789ABCDEFGHIJKLMNOPQRSTUVWXYZ")-1)*{1,2,1,2,1,2,1,2,1,2,1,2,1,2}/36)+MOD((FIND(MID(AZ358,{1,2,3,4,5,6,7,8,9,10,11,12,13,14},1),"0123456789ABCDEFGHIJKLMNOPQRSTUVWXYZ")-1)*{1,2,1,2,1,2,1,2,1,2,1,2,1,2},36)),36),36)+1,1)=MID(AZ358,15,1),"OK","Typo? check digit wrong")),"Wrong format"))</f>
        <v/>
      </c>
      <c r="AW358" s="29">
        <f>IF(BA358="","",IF(AND(LEN(BA358)=10,SUMPRODUCT(--ISERROR(FIND(MID(BA358,{1,2,3,4,5,10},1),"ABCDEFGHIJKLMNOPQRSTUVWXYZ")))=0,SUMPRODUCT(--ISERROR(FIND(MID(BA358,{6,7,8,9},1),"0123456789")))=0),"OK","Wrong format"))</f>
        <v/>
      </c>
      <c r="AX358" s="29">
        <f>IF(TRIM(H358)="","",IF(AND(LEN(UPPER(TRIM(H358)))=10,SUMPRODUCT(--ISERROR(FIND(MID(UPPER(TRIM(H358)),{1,2,3,4,10},1),"ABCDEFGHIJKLMNOPQRSTUVWXYZ")))=0,SUMPRODUCT(--ISERROR(FIND(MID(UPPER(TRIM(H358)),{5,6,7,8,9},1),"0123456789")))=0),"OK","Wrong format"))</f>
        <v/>
      </c>
      <c r="AY358" s="30">
        <f>IF(NOT(COUNTA(A358:AE358)&gt;0),"",IF(BE358&lt;&gt;"","✖ "&amp;LEFT(BE358,LEN(BE358)-2),IF(BD358&gt;0,"✔ Ready — client + "&amp;BD358&amp;" service(s)","✔ Ready — client only")))</f>
        <v/>
      </c>
      <c r="AZ358" s="31">
        <f>UPPER(SUBSTITUTE(TRIM(F358)," ",""))</f>
        <v/>
      </c>
      <c r="BA358" s="31">
        <f>UPPER(SUBSTITUTE(TRIM(E358)," ",""))</f>
        <v/>
      </c>
      <c r="BB358" s="31">
        <f>IF(D358&lt;&gt;"",D358,IFERROR(VLOOKUP(MID(AS358,4,1),Lists!$E$2:$F$8,2,FALSE),""))</f>
        <v/>
      </c>
      <c r="BC358" s="31">
        <f>IFERROR(VLOOKUP(BB358,Lists!$A$2:$C$12,3,FALSE),"")</f>
        <v/>
      </c>
      <c r="BD358" s="31">
        <f>COUNTIF(W358:AC358,"Yes")</f>
        <v/>
      </c>
      <c r="BE358" s="31">
        <f>IF(TRIM(B358)="","Legal name missing; ","")&amp;IF(AND(AV358&lt;&gt;"",AV358&lt;&gt;"OK"),"GSTIN: "&amp;AV358&amp;"; ","")&amp;IF(AND(AW358&lt;&gt;"",AW358&lt;&gt;"OK"),"PAN wrong format; ","")&amp;IF(AND(BA358&lt;&gt;"",LEN(AZ358)=15,MID(AZ358,3,10)&lt;&gt;BA358),"PAN does not match GSTIN; ","")&amp;IF(AND(AX358&lt;&gt;"",AX358&lt;&gt;"OK"),"TAN wrong format; ","")&amp;IF(AS358="","PAN missing; ","")&amp;IF(BB358="","Entity type missing; ","")&amp;IF(AND(AZ358&lt;&gt;"",COUNTIF($AZ$6:$AZ$1005,AZ358)&gt;1),"GSTIN repeated in this sheet; ","")&amp;IF(AND(AS358&lt;&gt;"",COUNTIF($AS$6:$AS$1005,AS358)&gt;1),"PAN repeated in this sheet (same client? put extra GSTINs in Other GSTINs); ","")&amp;IF(AND(BD358&gt;0,V358=""),"Financial year missing; ","")&amp;IF(AND(BD358=0,V358&lt;&gt;""),"Financial year given but no service is Yes; ","")&amp;IF(AND(W358="Yes",AZ358=""),"GST needs a GSTIN; ","")&amp;IF(AND(W358="Yes",X358=""),"GST return frequency missing; ","")&amp;IF(AND(Y358="Yes",TRIM(H358)=""),"TDS needs a TAN; ","")&amp;IF(AND(AA358="Yes",BC358&lt;&gt;"",BC358&lt;&gt;"company",BC358&lt;&gt;"llp"),"ROC is only for a company / LLP; ","")&amp;IF(AND(AA358="Yes",OR(BC358="company",BC358="llp"),TRIM(I358)=""),"ROC needs the CIN / LLPIN; ","")&amp;IF((TRIM(AF358)="")&lt;&gt;(TRIM(AG358)=""),"GST login needs both user ID and password; ","")&amp;IF((TRIM(AH358)="")&lt;&gt;(TRIM(AI358)=""),"Income-tax login needs both user ID and password; ","")&amp;IF((TRIM(AJ358)="")&lt;&gt;(TRIM(AK358)=""),"Income-tax login needs both user ID and password; ","")&amp;IF((TRIM(AL358)="")&lt;&gt;(TRIM(AM358)=""),"TRACES login needs both user ID and password; ","")&amp;IF((TRIM(AN358)="")&lt;&gt;(TRIM(AO358)=""),"MCA login needs both user ID and password; ","")&amp;IF((TRIM(AP358)="")&lt;&gt;(TRIM(AQ358)=""),"E-way bill login needs both user ID and password; ","")</f>
        <v/>
      </c>
    </row>
    <row r="359">
      <c r="A359" s="32" t="n"/>
      <c r="B359" s="33" t="n"/>
      <c r="C359" s="33" t="n"/>
      <c r="D359" s="33" t="n"/>
      <c r="E359" s="32" t="n"/>
      <c r="F359" s="32" t="n"/>
      <c r="G359" s="32" t="n"/>
      <c r="H359" s="32" t="n"/>
      <c r="I359" s="32" t="n"/>
      <c r="J359" s="34" t="n"/>
      <c r="K359" s="33" t="n"/>
      <c r="L359" s="32" t="n"/>
      <c r="M359" s="33" t="n"/>
      <c r="N359" s="33" t="n"/>
      <c r="O359" s="33" t="n"/>
      <c r="P359" s="32" t="n"/>
      <c r="Q359" s="33" t="n"/>
      <c r="R359" s="33" t="n"/>
      <c r="S359" s="33" t="n"/>
      <c r="T359" s="33" t="n"/>
      <c r="U359" s="32" t="n"/>
      <c r="V359" s="33" t="n"/>
      <c r="W359" s="33" t="n"/>
      <c r="X359" s="33" t="n"/>
      <c r="Y359" s="33" t="n"/>
      <c r="Z359" s="33" t="n"/>
      <c r="AA359" s="33" t="n"/>
      <c r="AB359" s="33" t="n"/>
      <c r="AC359" s="33" t="n"/>
      <c r="AD359" s="33" t="n"/>
      <c r="AE359" s="33" t="n"/>
      <c r="AF359" s="32" t="n"/>
      <c r="AG359" s="32" t="n"/>
      <c r="AH359" s="32" t="n"/>
      <c r="AI359" s="32" t="n"/>
      <c r="AJ359" s="32" t="n"/>
      <c r="AK359" s="32" t="n"/>
      <c r="AL359" s="32" t="n"/>
      <c r="AM359" s="32" t="n"/>
      <c r="AN359" s="32" t="n"/>
      <c r="AO359" s="32" t="n"/>
      <c r="AP359" s="32" t="n"/>
      <c r="AQ359" s="32" t="n"/>
      <c r="AR359" s="29">
        <f>IF(NOT(COUNTA(A359:AE359)&gt;0),"",IF(A359="","New client","Update"))</f>
        <v/>
      </c>
      <c r="AS359" s="29">
        <f>IF(BA359&lt;&gt;"",BA359,IF(LEN(AZ359)=15,MID(AZ359,3,10),""))</f>
        <v/>
      </c>
      <c r="AT359" s="29">
        <f>IF(BB359="","",BB359&amp;IF(D359="","  (guessed from PAN)",""))</f>
        <v/>
      </c>
      <c r="AU359" s="29">
        <f>IF(AZ359="","",IFERROR(INDEX(Lists!$L$2:$L$38,MATCH(LEFT(AZ359,2),Lists!$K$2:$K$38,0)),"Unknown code"))</f>
        <v/>
      </c>
      <c r="AV359" s="29">
        <f>IF(AZ359="","",IFERROR(IF(NOT(AND(LEN(AZ359)=15,ISNUMBER(MATCH(LEFT(AZ359,2),Lists!$K$2:$K$38,0)),SUMPRODUCT(--ISERROR(FIND(MID(MID(AZ359,3,10),{1,2,3,4,5,10},1),"ABCDEFGHIJKLMNOPQRSTUVWXYZ")))=0,SUMPRODUCT(--ISERROR(FIND(MID(MID(AZ359,3,10),{6,7,8,9},1),"0123456789")))=0,ISNUMBER(FIND(MID(AZ359,13,1),"123456789ABCDEFGHIJKLMNOPQRSTUVWXYZ")),MID(AZ359,14,1)="Z")),"Wrong format",IF(MID("0123456789ABCDEFGHIJKLMNOPQRSTUVWXYZ",MOD(36-MOD(SUMPRODUCT(INT((FIND(MID(AZ359,{1,2,3,4,5,6,7,8,9,10,11,12,13,14},1),"0123456789ABCDEFGHIJKLMNOPQRSTUVWXYZ")-1)*{1,2,1,2,1,2,1,2,1,2,1,2,1,2}/36)+MOD((FIND(MID(AZ359,{1,2,3,4,5,6,7,8,9,10,11,12,13,14},1),"0123456789ABCDEFGHIJKLMNOPQRSTUVWXYZ")-1)*{1,2,1,2,1,2,1,2,1,2,1,2,1,2},36)),36),36)+1,1)=MID(AZ359,15,1),"OK","Typo? check digit wrong")),"Wrong format"))</f>
        <v/>
      </c>
      <c r="AW359" s="29">
        <f>IF(BA359="","",IF(AND(LEN(BA359)=10,SUMPRODUCT(--ISERROR(FIND(MID(BA359,{1,2,3,4,5,10},1),"ABCDEFGHIJKLMNOPQRSTUVWXYZ")))=0,SUMPRODUCT(--ISERROR(FIND(MID(BA359,{6,7,8,9},1),"0123456789")))=0),"OK","Wrong format"))</f>
        <v/>
      </c>
      <c r="AX359" s="29">
        <f>IF(TRIM(H359)="","",IF(AND(LEN(UPPER(TRIM(H359)))=10,SUMPRODUCT(--ISERROR(FIND(MID(UPPER(TRIM(H359)),{1,2,3,4,10},1),"ABCDEFGHIJKLMNOPQRSTUVWXYZ")))=0,SUMPRODUCT(--ISERROR(FIND(MID(UPPER(TRIM(H359)),{5,6,7,8,9},1),"0123456789")))=0),"OK","Wrong format"))</f>
        <v/>
      </c>
      <c r="AY359" s="30">
        <f>IF(NOT(COUNTA(A359:AE359)&gt;0),"",IF(BE359&lt;&gt;"","✖ "&amp;LEFT(BE359,LEN(BE359)-2),IF(BD359&gt;0,"✔ Ready — client + "&amp;BD359&amp;" service(s)","✔ Ready — client only")))</f>
        <v/>
      </c>
      <c r="AZ359" s="31">
        <f>UPPER(SUBSTITUTE(TRIM(F359)," ",""))</f>
        <v/>
      </c>
      <c r="BA359" s="31">
        <f>UPPER(SUBSTITUTE(TRIM(E359)," ",""))</f>
        <v/>
      </c>
      <c r="BB359" s="31">
        <f>IF(D359&lt;&gt;"",D359,IFERROR(VLOOKUP(MID(AS359,4,1),Lists!$E$2:$F$8,2,FALSE),""))</f>
        <v/>
      </c>
      <c r="BC359" s="31">
        <f>IFERROR(VLOOKUP(BB359,Lists!$A$2:$C$12,3,FALSE),"")</f>
        <v/>
      </c>
      <c r="BD359" s="31">
        <f>COUNTIF(W359:AC359,"Yes")</f>
        <v/>
      </c>
      <c r="BE359" s="31">
        <f>IF(TRIM(B359)="","Legal name missing; ","")&amp;IF(AND(AV359&lt;&gt;"",AV359&lt;&gt;"OK"),"GSTIN: "&amp;AV359&amp;"; ","")&amp;IF(AND(AW359&lt;&gt;"",AW359&lt;&gt;"OK"),"PAN wrong format; ","")&amp;IF(AND(BA359&lt;&gt;"",LEN(AZ359)=15,MID(AZ359,3,10)&lt;&gt;BA359),"PAN does not match GSTIN; ","")&amp;IF(AND(AX359&lt;&gt;"",AX359&lt;&gt;"OK"),"TAN wrong format; ","")&amp;IF(AS359="","PAN missing; ","")&amp;IF(BB359="","Entity type missing; ","")&amp;IF(AND(AZ359&lt;&gt;"",COUNTIF($AZ$6:$AZ$1005,AZ359)&gt;1),"GSTIN repeated in this sheet; ","")&amp;IF(AND(AS359&lt;&gt;"",COUNTIF($AS$6:$AS$1005,AS359)&gt;1),"PAN repeated in this sheet (same client? put extra GSTINs in Other GSTINs); ","")&amp;IF(AND(BD359&gt;0,V359=""),"Financial year missing; ","")&amp;IF(AND(BD359=0,V359&lt;&gt;""),"Financial year given but no service is Yes; ","")&amp;IF(AND(W359="Yes",AZ359=""),"GST needs a GSTIN; ","")&amp;IF(AND(W359="Yes",X359=""),"GST return frequency missing; ","")&amp;IF(AND(Y359="Yes",TRIM(H359)=""),"TDS needs a TAN; ","")&amp;IF(AND(AA359="Yes",BC359&lt;&gt;"",BC359&lt;&gt;"company",BC359&lt;&gt;"llp"),"ROC is only for a company / LLP; ","")&amp;IF(AND(AA359="Yes",OR(BC359="company",BC359="llp"),TRIM(I359)=""),"ROC needs the CIN / LLPIN; ","")&amp;IF((TRIM(AF359)="")&lt;&gt;(TRIM(AG359)=""),"GST login needs both user ID and password; ","")&amp;IF((TRIM(AH359)="")&lt;&gt;(TRIM(AI359)=""),"Income-tax login needs both user ID and password; ","")&amp;IF((TRIM(AJ359)="")&lt;&gt;(TRIM(AK359)=""),"Income-tax login needs both user ID and password; ","")&amp;IF((TRIM(AL359)="")&lt;&gt;(TRIM(AM359)=""),"TRACES login needs both user ID and password; ","")&amp;IF((TRIM(AN359)="")&lt;&gt;(TRIM(AO359)=""),"MCA login needs both user ID and password; ","")&amp;IF((TRIM(AP359)="")&lt;&gt;(TRIM(AQ359)=""),"E-way bill login needs both user ID and password; ","")</f>
        <v/>
      </c>
    </row>
    <row r="360">
      <c r="A360" s="32" t="n"/>
      <c r="B360" s="33" t="n"/>
      <c r="C360" s="33" t="n"/>
      <c r="D360" s="33" t="n"/>
      <c r="E360" s="32" t="n"/>
      <c r="F360" s="32" t="n"/>
      <c r="G360" s="32" t="n"/>
      <c r="H360" s="32" t="n"/>
      <c r="I360" s="32" t="n"/>
      <c r="J360" s="34" t="n"/>
      <c r="K360" s="33" t="n"/>
      <c r="L360" s="32" t="n"/>
      <c r="M360" s="33" t="n"/>
      <c r="N360" s="33" t="n"/>
      <c r="O360" s="33" t="n"/>
      <c r="P360" s="32" t="n"/>
      <c r="Q360" s="33" t="n"/>
      <c r="R360" s="33" t="n"/>
      <c r="S360" s="33" t="n"/>
      <c r="T360" s="33" t="n"/>
      <c r="U360" s="32" t="n"/>
      <c r="V360" s="33" t="n"/>
      <c r="W360" s="33" t="n"/>
      <c r="X360" s="33" t="n"/>
      <c r="Y360" s="33" t="n"/>
      <c r="Z360" s="33" t="n"/>
      <c r="AA360" s="33" t="n"/>
      <c r="AB360" s="33" t="n"/>
      <c r="AC360" s="33" t="n"/>
      <c r="AD360" s="33" t="n"/>
      <c r="AE360" s="33" t="n"/>
      <c r="AF360" s="32" t="n"/>
      <c r="AG360" s="32" t="n"/>
      <c r="AH360" s="32" t="n"/>
      <c r="AI360" s="32" t="n"/>
      <c r="AJ360" s="32" t="n"/>
      <c r="AK360" s="32" t="n"/>
      <c r="AL360" s="32" t="n"/>
      <c r="AM360" s="32" t="n"/>
      <c r="AN360" s="32" t="n"/>
      <c r="AO360" s="32" t="n"/>
      <c r="AP360" s="32" t="n"/>
      <c r="AQ360" s="32" t="n"/>
      <c r="AR360" s="29">
        <f>IF(NOT(COUNTA(A360:AE360)&gt;0),"",IF(A360="","New client","Update"))</f>
        <v/>
      </c>
      <c r="AS360" s="29">
        <f>IF(BA360&lt;&gt;"",BA360,IF(LEN(AZ360)=15,MID(AZ360,3,10),""))</f>
        <v/>
      </c>
      <c r="AT360" s="29">
        <f>IF(BB360="","",BB360&amp;IF(D360="","  (guessed from PAN)",""))</f>
        <v/>
      </c>
      <c r="AU360" s="29">
        <f>IF(AZ360="","",IFERROR(INDEX(Lists!$L$2:$L$38,MATCH(LEFT(AZ360,2),Lists!$K$2:$K$38,0)),"Unknown code"))</f>
        <v/>
      </c>
      <c r="AV360" s="29">
        <f>IF(AZ360="","",IFERROR(IF(NOT(AND(LEN(AZ360)=15,ISNUMBER(MATCH(LEFT(AZ360,2),Lists!$K$2:$K$38,0)),SUMPRODUCT(--ISERROR(FIND(MID(MID(AZ360,3,10),{1,2,3,4,5,10},1),"ABCDEFGHIJKLMNOPQRSTUVWXYZ")))=0,SUMPRODUCT(--ISERROR(FIND(MID(MID(AZ360,3,10),{6,7,8,9},1),"0123456789")))=0,ISNUMBER(FIND(MID(AZ360,13,1),"123456789ABCDEFGHIJKLMNOPQRSTUVWXYZ")),MID(AZ360,14,1)="Z")),"Wrong format",IF(MID("0123456789ABCDEFGHIJKLMNOPQRSTUVWXYZ",MOD(36-MOD(SUMPRODUCT(INT((FIND(MID(AZ360,{1,2,3,4,5,6,7,8,9,10,11,12,13,14},1),"0123456789ABCDEFGHIJKLMNOPQRSTUVWXYZ")-1)*{1,2,1,2,1,2,1,2,1,2,1,2,1,2}/36)+MOD((FIND(MID(AZ360,{1,2,3,4,5,6,7,8,9,10,11,12,13,14},1),"0123456789ABCDEFGHIJKLMNOPQRSTUVWXYZ")-1)*{1,2,1,2,1,2,1,2,1,2,1,2,1,2},36)),36),36)+1,1)=MID(AZ360,15,1),"OK","Typo? check digit wrong")),"Wrong format"))</f>
        <v/>
      </c>
      <c r="AW360" s="29">
        <f>IF(BA360="","",IF(AND(LEN(BA360)=10,SUMPRODUCT(--ISERROR(FIND(MID(BA360,{1,2,3,4,5,10},1),"ABCDEFGHIJKLMNOPQRSTUVWXYZ")))=0,SUMPRODUCT(--ISERROR(FIND(MID(BA360,{6,7,8,9},1),"0123456789")))=0),"OK","Wrong format"))</f>
        <v/>
      </c>
      <c r="AX360" s="29">
        <f>IF(TRIM(H360)="","",IF(AND(LEN(UPPER(TRIM(H360)))=10,SUMPRODUCT(--ISERROR(FIND(MID(UPPER(TRIM(H360)),{1,2,3,4,10},1),"ABCDEFGHIJKLMNOPQRSTUVWXYZ")))=0,SUMPRODUCT(--ISERROR(FIND(MID(UPPER(TRIM(H360)),{5,6,7,8,9},1),"0123456789")))=0),"OK","Wrong format"))</f>
        <v/>
      </c>
      <c r="AY360" s="30">
        <f>IF(NOT(COUNTA(A360:AE360)&gt;0),"",IF(BE360&lt;&gt;"","✖ "&amp;LEFT(BE360,LEN(BE360)-2),IF(BD360&gt;0,"✔ Ready — client + "&amp;BD360&amp;" service(s)","✔ Ready — client only")))</f>
        <v/>
      </c>
      <c r="AZ360" s="31">
        <f>UPPER(SUBSTITUTE(TRIM(F360)," ",""))</f>
        <v/>
      </c>
      <c r="BA360" s="31">
        <f>UPPER(SUBSTITUTE(TRIM(E360)," ",""))</f>
        <v/>
      </c>
      <c r="BB360" s="31">
        <f>IF(D360&lt;&gt;"",D360,IFERROR(VLOOKUP(MID(AS360,4,1),Lists!$E$2:$F$8,2,FALSE),""))</f>
        <v/>
      </c>
      <c r="BC360" s="31">
        <f>IFERROR(VLOOKUP(BB360,Lists!$A$2:$C$12,3,FALSE),"")</f>
        <v/>
      </c>
      <c r="BD360" s="31">
        <f>COUNTIF(W360:AC360,"Yes")</f>
        <v/>
      </c>
      <c r="BE360" s="31">
        <f>IF(TRIM(B360)="","Legal name missing; ","")&amp;IF(AND(AV360&lt;&gt;"",AV360&lt;&gt;"OK"),"GSTIN: "&amp;AV360&amp;"; ","")&amp;IF(AND(AW360&lt;&gt;"",AW360&lt;&gt;"OK"),"PAN wrong format; ","")&amp;IF(AND(BA360&lt;&gt;"",LEN(AZ360)=15,MID(AZ360,3,10)&lt;&gt;BA360),"PAN does not match GSTIN; ","")&amp;IF(AND(AX360&lt;&gt;"",AX360&lt;&gt;"OK"),"TAN wrong format; ","")&amp;IF(AS360="","PAN missing; ","")&amp;IF(BB360="","Entity type missing; ","")&amp;IF(AND(AZ360&lt;&gt;"",COUNTIF($AZ$6:$AZ$1005,AZ360)&gt;1),"GSTIN repeated in this sheet; ","")&amp;IF(AND(AS360&lt;&gt;"",COUNTIF($AS$6:$AS$1005,AS360)&gt;1),"PAN repeated in this sheet (same client? put extra GSTINs in Other GSTINs); ","")&amp;IF(AND(BD360&gt;0,V360=""),"Financial year missing; ","")&amp;IF(AND(BD360=0,V360&lt;&gt;""),"Financial year given but no service is Yes; ","")&amp;IF(AND(W360="Yes",AZ360=""),"GST needs a GSTIN; ","")&amp;IF(AND(W360="Yes",X360=""),"GST return frequency missing; ","")&amp;IF(AND(Y360="Yes",TRIM(H360)=""),"TDS needs a TAN; ","")&amp;IF(AND(AA360="Yes",BC360&lt;&gt;"",BC360&lt;&gt;"company",BC360&lt;&gt;"llp"),"ROC is only for a company / LLP; ","")&amp;IF(AND(AA360="Yes",OR(BC360="company",BC360="llp"),TRIM(I360)=""),"ROC needs the CIN / LLPIN; ","")&amp;IF((TRIM(AF360)="")&lt;&gt;(TRIM(AG360)=""),"GST login needs both user ID and password; ","")&amp;IF((TRIM(AH360)="")&lt;&gt;(TRIM(AI360)=""),"Income-tax login needs both user ID and password; ","")&amp;IF((TRIM(AJ360)="")&lt;&gt;(TRIM(AK360)=""),"Income-tax login needs both user ID and password; ","")&amp;IF((TRIM(AL360)="")&lt;&gt;(TRIM(AM360)=""),"TRACES login needs both user ID and password; ","")&amp;IF((TRIM(AN360)="")&lt;&gt;(TRIM(AO360)=""),"MCA login needs both user ID and password; ","")&amp;IF((TRIM(AP360)="")&lt;&gt;(TRIM(AQ360)=""),"E-way bill login needs both user ID and password; ","")</f>
        <v/>
      </c>
    </row>
    <row r="361">
      <c r="A361" s="32" t="n"/>
      <c r="B361" s="33" t="n"/>
      <c r="C361" s="33" t="n"/>
      <c r="D361" s="33" t="n"/>
      <c r="E361" s="32" t="n"/>
      <c r="F361" s="32" t="n"/>
      <c r="G361" s="32" t="n"/>
      <c r="H361" s="32" t="n"/>
      <c r="I361" s="32" t="n"/>
      <c r="J361" s="34" t="n"/>
      <c r="K361" s="33" t="n"/>
      <c r="L361" s="32" t="n"/>
      <c r="M361" s="33" t="n"/>
      <c r="N361" s="33" t="n"/>
      <c r="O361" s="33" t="n"/>
      <c r="P361" s="32" t="n"/>
      <c r="Q361" s="33" t="n"/>
      <c r="R361" s="33" t="n"/>
      <c r="S361" s="33" t="n"/>
      <c r="T361" s="33" t="n"/>
      <c r="U361" s="32" t="n"/>
      <c r="V361" s="33" t="n"/>
      <c r="W361" s="33" t="n"/>
      <c r="X361" s="33" t="n"/>
      <c r="Y361" s="33" t="n"/>
      <c r="Z361" s="33" t="n"/>
      <c r="AA361" s="33" t="n"/>
      <c r="AB361" s="33" t="n"/>
      <c r="AC361" s="33" t="n"/>
      <c r="AD361" s="33" t="n"/>
      <c r="AE361" s="33" t="n"/>
      <c r="AF361" s="32" t="n"/>
      <c r="AG361" s="32" t="n"/>
      <c r="AH361" s="32" t="n"/>
      <c r="AI361" s="32" t="n"/>
      <c r="AJ361" s="32" t="n"/>
      <c r="AK361" s="32" t="n"/>
      <c r="AL361" s="32" t="n"/>
      <c r="AM361" s="32" t="n"/>
      <c r="AN361" s="32" t="n"/>
      <c r="AO361" s="32" t="n"/>
      <c r="AP361" s="32" t="n"/>
      <c r="AQ361" s="32" t="n"/>
      <c r="AR361" s="29">
        <f>IF(NOT(COUNTA(A361:AE361)&gt;0),"",IF(A361="","New client","Update"))</f>
        <v/>
      </c>
      <c r="AS361" s="29">
        <f>IF(BA361&lt;&gt;"",BA361,IF(LEN(AZ361)=15,MID(AZ361,3,10),""))</f>
        <v/>
      </c>
      <c r="AT361" s="29">
        <f>IF(BB361="","",BB361&amp;IF(D361="","  (guessed from PAN)",""))</f>
        <v/>
      </c>
      <c r="AU361" s="29">
        <f>IF(AZ361="","",IFERROR(INDEX(Lists!$L$2:$L$38,MATCH(LEFT(AZ361,2),Lists!$K$2:$K$38,0)),"Unknown code"))</f>
        <v/>
      </c>
      <c r="AV361" s="29">
        <f>IF(AZ361="","",IFERROR(IF(NOT(AND(LEN(AZ361)=15,ISNUMBER(MATCH(LEFT(AZ361,2),Lists!$K$2:$K$38,0)),SUMPRODUCT(--ISERROR(FIND(MID(MID(AZ361,3,10),{1,2,3,4,5,10},1),"ABCDEFGHIJKLMNOPQRSTUVWXYZ")))=0,SUMPRODUCT(--ISERROR(FIND(MID(MID(AZ361,3,10),{6,7,8,9},1),"0123456789")))=0,ISNUMBER(FIND(MID(AZ361,13,1),"123456789ABCDEFGHIJKLMNOPQRSTUVWXYZ")),MID(AZ361,14,1)="Z")),"Wrong format",IF(MID("0123456789ABCDEFGHIJKLMNOPQRSTUVWXYZ",MOD(36-MOD(SUMPRODUCT(INT((FIND(MID(AZ361,{1,2,3,4,5,6,7,8,9,10,11,12,13,14},1),"0123456789ABCDEFGHIJKLMNOPQRSTUVWXYZ")-1)*{1,2,1,2,1,2,1,2,1,2,1,2,1,2}/36)+MOD((FIND(MID(AZ361,{1,2,3,4,5,6,7,8,9,10,11,12,13,14},1),"0123456789ABCDEFGHIJKLMNOPQRSTUVWXYZ")-1)*{1,2,1,2,1,2,1,2,1,2,1,2,1,2},36)),36),36)+1,1)=MID(AZ361,15,1),"OK","Typo? check digit wrong")),"Wrong format"))</f>
        <v/>
      </c>
      <c r="AW361" s="29">
        <f>IF(BA361="","",IF(AND(LEN(BA361)=10,SUMPRODUCT(--ISERROR(FIND(MID(BA361,{1,2,3,4,5,10},1),"ABCDEFGHIJKLMNOPQRSTUVWXYZ")))=0,SUMPRODUCT(--ISERROR(FIND(MID(BA361,{6,7,8,9},1),"0123456789")))=0),"OK","Wrong format"))</f>
        <v/>
      </c>
      <c r="AX361" s="29">
        <f>IF(TRIM(H361)="","",IF(AND(LEN(UPPER(TRIM(H361)))=10,SUMPRODUCT(--ISERROR(FIND(MID(UPPER(TRIM(H361)),{1,2,3,4,10},1),"ABCDEFGHIJKLMNOPQRSTUVWXYZ")))=0,SUMPRODUCT(--ISERROR(FIND(MID(UPPER(TRIM(H361)),{5,6,7,8,9},1),"0123456789")))=0),"OK","Wrong format"))</f>
        <v/>
      </c>
      <c r="AY361" s="30">
        <f>IF(NOT(COUNTA(A361:AE361)&gt;0),"",IF(BE361&lt;&gt;"","✖ "&amp;LEFT(BE361,LEN(BE361)-2),IF(BD361&gt;0,"✔ Ready — client + "&amp;BD361&amp;" service(s)","✔ Ready — client only")))</f>
        <v/>
      </c>
      <c r="AZ361" s="31">
        <f>UPPER(SUBSTITUTE(TRIM(F361)," ",""))</f>
        <v/>
      </c>
      <c r="BA361" s="31">
        <f>UPPER(SUBSTITUTE(TRIM(E361)," ",""))</f>
        <v/>
      </c>
      <c r="BB361" s="31">
        <f>IF(D361&lt;&gt;"",D361,IFERROR(VLOOKUP(MID(AS361,4,1),Lists!$E$2:$F$8,2,FALSE),""))</f>
        <v/>
      </c>
      <c r="BC361" s="31">
        <f>IFERROR(VLOOKUP(BB361,Lists!$A$2:$C$12,3,FALSE),"")</f>
        <v/>
      </c>
      <c r="BD361" s="31">
        <f>COUNTIF(W361:AC361,"Yes")</f>
        <v/>
      </c>
      <c r="BE361" s="31">
        <f>IF(TRIM(B361)="","Legal name missing; ","")&amp;IF(AND(AV361&lt;&gt;"",AV361&lt;&gt;"OK"),"GSTIN: "&amp;AV361&amp;"; ","")&amp;IF(AND(AW361&lt;&gt;"",AW361&lt;&gt;"OK"),"PAN wrong format; ","")&amp;IF(AND(BA361&lt;&gt;"",LEN(AZ361)=15,MID(AZ361,3,10)&lt;&gt;BA361),"PAN does not match GSTIN; ","")&amp;IF(AND(AX361&lt;&gt;"",AX361&lt;&gt;"OK"),"TAN wrong format; ","")&amp;IF(AS361="","PAN missing; ","")&amp;IF(BB361="","Entity type missing; ","")&amp;IF(AND(AZ361&lt;&gt;"",COUNTIF($AZ$6:$AZ$1005,AZ361)&gt;1),"GSTIN repeated in this sheet; ","")&amp;IF(AND(AS361&lt;&gt;"",COUNTIF($AS$6:$AS$1005,AS361)&gt;1),"PAN repeated in this sheet (same client? put extra GSTINs in Other GSTINs); ","")&amp;IF(AND(BD361&gt;0,V361=""),"Financial year missing; ","")&amp;IF(AND(BD361=0,V361&lt;&gt;""),"Financial year given but no service is Yes; ","")&amp;IF(AND(W361="Yes",AZ361=""),"GST needs a GSTIN; ","")&amp;IF(AND(W361="Yes",X361=""),"GST return frequency missing; ","")&amp;IF(AND(Y361="Yes",TRIM(H361)=""),"TDS needs a TAN; ","")&amp;IF(AND(AA361="Yes",BC361&lt;&gt;"",BC361&lt;&gt;"company",BC361&lt;&gt;"llp"),"ROC is only for a company / LLP; ","")&amp;IF(AND(AA361="Yes",OR(BC361="company",BC361="llp"),TRIM(I361)=""),"ROC needs the CIN / LLPIN; ","")&amp;IF((TRIM(AF361)="")&lt;&gt;(TRIM(AG361)=""),"GST login needs both user ID and password; ","")&amp;IF((TRIM(AH361)="")&lt;&gt;(TRIM(AI361)=""),"Income-tax login needs both user ID and password; ","")&amp;IF((TRIM(AJ361)="")&lt;&gt;(TRIM(AK361)=""),"Income-tax login needs both user ID and password; ","")&amp;IF((TRIM(AL361)="")&lt;&gt;(TRIM(AM361)=""),"TRACES login needs both user ID and password; ","")&amp;IF((TRIM(AN361)="")&lt;&gt;(TRIM(AO361)=""),"MCA login needs both user ID and password; ","")&amp;IF((TRIM(AP361)="")&lt;&gt;(TRIM(AQ361)=""),"E-way bill login needs both user ID and password; ","")</f>
        <v/>
      </c>
    </row>
    <row r="362">
      <c r="A362" s="32" t="n"/>
      <c r="B362" s="33" t="n"/>
      <c r="C362" s="33" t="n"/>
      <c r="D362" s="33" t="n"/>
      <c r="E362" s="32" t="n"/>
      <c r="F362" s="32" t="n"/>
      <c r="G362" s="32" t="n"/>
      <c r="H362" s="32" t="n"/>
      <c r="I362" s="32" t="n"/>
      <c r="J362" s="34" t="n"/>
      <c r="K362" s="33" t="n"/>
      <c r="L362" s="32" t="n"/>
      <c r="M362" s="33" t="n"/>
      <c r="N362" s="33" t="n"/>
      <c r="O362" s="33" t="n"/>
      <c r="P362" s="32" t="n"/>
      <c r="Q362" s="33" t="n"/>
      <c r="R362" s="33" t="n"/>
      <c r="S362" s="33" t="n"/>
      <c r="T362" s="33" t="n"/>
      <c r="U362" s="32" t="n"/>
      <c r="V362" s="33" t="n"/>
      <c r="W362" s="33" t="n"/>
      <c r="X362" s="33" t="n"/>
      <c r="Y362" s="33" t="n"/>
      <c r="Z362" s="33" t="n"/>
      <c r="AA362" s="33" t="n"/>
      <c r="AB362" s="33" t="n"/>
      <c r="AC362" s="33" t="n"/>
      <c r="AD362" s="33" t="n"/>
      <c r="AE362" s="33" t="n"/>
      <c r="AF362" s="32" t="n"/>
      <c r="AG362" s="32" t="n"/>
      <c r="AH362" s="32" t="n"/>
      <c r="AI362" s="32" t="n"/>
      <c r="AJ362" s="32" t="n"/>
      <c r="AK362" s="32" t="n"/>
      <c r="AL362" s="32" t="n"/>
      <c r="AM362" s="32" t="n"/>
      <c r="AN362" s="32" t="n"/>
      <c r="AO362" s="32" t="n"/>
      <c r="AP362" s="32" t="n"/>
      <c r="AQ362" s="32" t="n"/>
      <c r="AR362" s="29">
        <f>IF(NOT(COUNTA(A362:AE362)&gt;0),"",IF(A362="","New client","Update"))</f>
        <v/>
      </c>
      <c r="AS362" s="29">
        <f>IF(BA362&lt;&gt;"",BA362,IF(LEN(AZ362)=15,MID(AZ362,3,10),""))</f>
        <v/>
      </c>
      <c r="AT362" s="29">
        <f>IF(BB362="","",BB362&amp;IF(D362="","  (guessed from PAN)",""))</f>
        <v/>
      </c>
      <c r="AU362" s="29">
        <f>IF(AZ362="","",IFERROR(INDEX(Lists!$L$2:$L$38,MATCH(LEFT(AZ362,2),Lists!$K$2:$K$38,0)),"Unknown code"))</f>
        <v/>
      </c>
      <c r="AV362" s="29">
        <f>IF(AZ362="","",IFERROR(IF(NOT(AND(LEN(AZ362)=15,ISNUMBER(MATCH(LEFT(AZ362,2),Lists!$K$2:$K$38,0)),SUMPRODUCT(--ISERROR(FIND(MID(MID(AZ362,3,10),{1,2,3,4,5,10},1),"ABCDEFGHIJKLMNOPQRSTUVWXYZ")))=0,SUMPRODUCT(--ISERROR(FIND(MID(MID(AZ362,3,10),{6,7,8,9},1),"0123456789")))=0,ISNUMBER(FIND(MID(AZ362,13,1),"123456789ABCDEFGHIJKLMNOPQRSTUVWXYZ")),MID(AZ362,14,1)="Z")),"Wrong format",IF(MID("0123456789ABCDEFGHIJKLMNOPQRSTUVWXYZ",MOD(36-MOD(SUMPRODUCT(INT((FIND(MID(AZ362,{1,2,3,4,5,6,7,8,9,10,11,12,13,14},1),"0123456789ABCDEFGHIJKLMNOPQRSTUVWXYZ")-1)*{1,2,1,2,1,2,1,2,1,2,1,2,1,2}/36)+MOD((FIND(MID(AZ362,{1,2,3,4,5,6,7,8,9,10,11,12,13,14},1),"0123456789ABCDEFGHIJKLMNOPQRSTUVWXYZ")-1)*{1,2,1,2,1,2,1,2,1,2,1,2,1,2},36)),36),36)+1,1)=MID(AZ362,15,1),"OK","Typo? check digit wrong")),"Wrong format"))</f>
        <v/>
      </c>
      <c r="AW362" s="29">
        <f>IF(BA362="","",IF(AND(LEN(BA362)=10,SUMPRODUCT(--ISERROR(FIND(MID(BA362,{1,2,3,4,5,10},1),"ABCDEFGHIJKLMNOPQRSTUVWXYZ")))=0,SUMPRODUCT(--ISERROR(FIND(MID(BA362,{6,7,8,9},1),"0123456789")))=0),"OK","Wrong format"))</f>
        <v/>
      </c>
      <c r="AX362" s="29">
        <f>IF(TRIM(H362)="","",IF(AND(LEN(UPPER(TRIM(H362)))=10,SUMPRODUCT(--ISERROR(FIND(MID(UPPER(TRIM(H362)),{1,2,3,4,10},1),"ABCDEFGHIJKLMNOPQRSTUVWXYZ")))=0,SUMPRODUCT(--ISERROR(FIND(MID(UPPER(TRIM(H362)),{5,6,7,8,9},1),"0123456789")))=0),"OK","Wrong format"))</f>
        <v/>
      </c>
      <c r="AY362" s="30">
        <f>IF(NOT(COUNTA(A362:AE362)&gt;0),"",IF(BE362&lt;&gt;"","✖ "&amp;LEFT(BE362,LEN(BE362)-2),IF(BD362&gt;0,"✔ Ready — client + "&amp;BD362&amp;" service(s)","✔ Ready — client only")))</f>
        <v/>
      </c>
      <c r="AZ362" s="31">
        <f>UPPER(SUBSTITUTE(TRIM(F362)," ",""))</f>
        <v/>
      </c>
      <c r="BA362" s="31">
        <f>UPPER(SUBSTITUTE(TRIM(E362)," ",""))</f>
        <v/>
      </c>
      <c r="BB362" s="31">
        <f>IF(D362&lt;&gt;"",D362,IFERROR(VLOOKUP(MID(AS362,4,1),Lists!$E$2:$F$8,2,FALSE),""))</f>
        <v/>
      </c>
      <c r="BC362" s="31">
        <f>IFERROR(VLOOKUP(BB362,Lists!$A$2:$C$12,3,FALSE),"")</f>
        <v/>
      </c>
      <c r="BD362" s="31">
        <f>COUNTIF(W362:AC362,"Yes")</f>
        <v/>
      </c>
      <c r="BE362" s="31">
        <f>IF(TRIM(B362)="","Legal name missing; ","")&amp;IF(AND(AV362&lt;&gt;"",AV362&lt;&gt;"OK"),"GSTIN: "&amp;AV362&amp;"; ","")&amp;IF(AND(AW362&lt;&gt;"",AW362&lt;&gt;"OK"),"PAN wrong format; ","")&amp;IF(AND(BA362&lt;&gt;"",LEN(AZ362)=15,MID(AZ362,3,10)&lt;&gt;BA362),"PAN does not match GSTIN; ","")&amp;IF(AND(AX362&lt;&gt;"",AX362&lt;&gt;"OK"),"TAN wrong format; ","")&amp;IF(AS362="","PAN missing; ","")&amp;IF(BB362="","Entity type missing; ","")&amp;IF(AND(AZ362&lt;&gt;"",COUNTIF($AZ$6:$AZ$1005,AZ362)&gt;1),"GSTIN repeated in this sheet; ","")&amp;IF(AND(AS362&lt;&gt;"",COUNTIF($AS$6:$AS$1005,AS362)&gt;1),"PAN repeated in this sheet (same client? put extra GSTINs in Other GSTINs); ","")&amp;IF(AND(BD362&gt;0,V362=""),"Financial year missing; ","")&amp;IF(AND(BD362=0,V362&lt;&gt;""),"Financial year given but no service is Yes; ","")&amp;IF(AND(W362="Yes",AZ362=""),"GST needs a GSTIN; ","")&amp;IF(AND(W362="Yes",X362=""),"GST return frequency missing; ","")&amp;IF(AND(Y362="Yes",TRIM(H362)=""),"TDS needs a TAN; ","")&amp;IF(AND(AA362="Yes",BC362&lt;&gt;"",BC362&lt;&gt;"company",BC362&lt;&gt;"llp"),"ROC is only for a company / LLP; ","")&amp;IF(AND(AA362="Yes",OR(BC362="company",BC362="llp"),TRIM(I362)=""),"ROC needs the CIN / LLPIN; ","")&amp;IF((TRIM(AF362)="")&lt;&gt;(TRIM(AG362)=""),"GST login needs both user ID and password; ","")&amp;IF((TRIM(AH362)="")&lt;&gt;(TRIM(AI362)=""),"Income-tax login needs both user ID and password; ","")&amp;IF((TRIM(AJ362)="")&lt;&gt;(TRIM(AK362)=""),"Income-tax login needs both user ID and password; ","")&amp;IF((TRIM(AL362)="")&lt;&gt;(TRIM(AM362)=""),"TRACES login needs both user ID and password; ","")&amp;IF((TRIM(AN362)="")&lt;&gt;(TRIM(AO362)=""),"MCA login needs both user ID and password; ","")&amp;IF((TRIM(AP362)="")&lt;&gt;(TRIM(AQ362)=""),"E-way bill login needs both user ID and password; ","")</f>
        <v/>
      </c>
    </row>
    <row r="363">
      <c r="A363" s="32" t="n"/>
      <c r="B363" s="33" t="n"/>
      <c r="C363" s="33" t="n"/>
      <c r="D363" s="33" t="n"/>
      <c r="E363" s="32" t="n"/>
      <c r="F363" s="32" t="n"/>
      <c r="G363" s="32" t="n"/>
      <c r="H363" s="32" t="n"/>
      <c r="I363" s="32" t="n"/>
      <c r="J363" s="34" t="n"/>
      <c r="K363" s="33" t="n"/>
      <c r="L363" s="32" t="n"/>
      <c r="M363" s="33" t="n"/>
      <c r="N363" s="33" t="n"/>
      <c r="O363" s="33" t="n"/>
      <c r="P363" s="32" t="n"/>
      <c r="Q363" s="33" t="n"/>
      <c r="R363" s="33" t="n"/>
      <c r="S363" s="33" t="n"/>
      <c r="T363" s="33" t="n"/>
      <c r="U363" s="32" t="n"/>
      <c r="V363" s="33" t="n"/>
      <c r="W363" s="33" t="n"/>
      <c r="X363" s="33" t="n"/>
      <c r="Y363" s="33" t="n"/>
      <c r="Z363" s="33" t="n"/>
      <c r="AA363" s="33" t="n"/>
      <c r="AB363" s="33" t="n"/>
      <c r="AC363" s="33" t="n"/>
      <c r="AD363" s="33" t="n"/>
      <c r="AE363" s="33" t="n"/>
      <c r="AF363" s="32" t="n"/>
      <c r="AG363" s="32" t="n"/>
      <c r="AH363" s="32" t="n"/>
      <c r="AI363" s="32" t="n"/>
      <c r="AJ363" s="32" t="n"/>
      <c r="AK363" s="32" t="n"/>
      <c r="AL363" s="32" t="n"/>
      <c r="AM363" s="32" t="n"/>
      <c r="AN363" s="32" t="n"/>
      <c r="AO363" s="32" t="n"/>
      <c r="AP363" s="32" t="n"/>
      <c r="AQ363" s="32" t="n"/>
      <c r="AR363" s="29">
        <f>IF(NOT(COUNTA(A363:AE363)&gt;0),"",IF(A363="","New client","Update"))</f>
        <v/>
      </c>
      <c r="AS363" s="29">
        <f>IF(BA363&lt;&gt;"",BA363,IF(LEN(AZ363)=15,MID(AZ363,3,10),""))</f>
        <v/>
      </c>
      <c r="AT363" s="29">
        <f>IF(BB363="","",BB363&amp;IF(D363="","  (guessed from PAN)",""))</f>
        <v/>
      </c>
      <c r="AU363" s="29">
        <f>IF(AZ363="","",IFERROR(INDEX(Lists!$L$2:$L$38,MATCH(LEFT(AZ363,2),Lists!$K$2:$K$38,0)),"Unknown code"))</f>
        <v/>
      </c>
      <c r="AV363" s="29">
        <f>IF(AZ363="","",IFERROR(IF(NOT(AND(LEN(AZ363)=15,ISNUMBER(MATCH(LEFT(AZ363,2),Lists!$K$2:$K$38,0)),SUMPRODUCT(--ISERROR(FIND(MID(MID(AZ363,3,10),{1,2,3,4,5,10},1),"ABCDEFGHIJKLMNOPQRSTUVWXYZ")))=0,SUMPRODUCT(--ISERROR(FIND(MID(MID(AZ363,3,10),{6,7,8,9},1),"0123456789")))=0,ISNUMBER(FIND(MID(AZ363,13,1),"123456789ABCDEFGHIJKLMNOPQRSTUVWXYZ")),MID(AZ363,14,1)="Z")),"Wrong format",IF(MID("0123456789ABCDEFGHIJKLMNOPQRSTUVWXYZ",MOD(36-MOD(SUMPRODUCT(INT((FIND(MID(AZ363,{1,2,3,4,5,6,7,8,9,10,11,12,13,14},1),"0123456789ABCDEFGHIJKLMNOPQRSTUVWXYZ")-1)*{1,2,1,2,1,2,1,2,1,2,1,2,1,2}/36)+MOD((FIND(MID(AZ363,{1,2,3,4,5,6,7,8,9,10,11,12,13,14},1),"0123456789ABCDEFGHIJKLMNOPQRSTUVWXYZ")-1)*{1,2,1,2,1,2,1,2,1,2,1,2,1,2},36)),36),36)+1,1)=MID(AZ363,15,1),"OK","Typo? check digit wrong")),"Wrong format"))</f>
        <v/>
      </c>
      <c r="AW363" s="29">
        <f>IF(BA363="","",IF(AND(LEN(BA363)=10,SUMPRODUCT(--ISERROR(FIND(MID(BA363,{1,2,3,4,5,10},1),"ABCDEFGHIJKLMNOPQRSTUVWXYZ")))=0,SUMPRODUCT(--ISERROR(FIND(MID(BA363,{6,7,8,9},1),"0123456789")))=0),"OK","Wrong format"))</f>
        <v/>
      </c>
      <c r="AX363" s="29">
        <f>IF(TRIM(H363)="","",IF(AND(LEN(UPPER(TRIM(H363)))=10,SUMPRODUCT(--ISERROR(FIND(MID(UPPER(TRIM(H363)),{1,2,3,4,10},1),"ABCDEFGHIJKLMNOPQRSTUVWXYZ")))=0,SUMPRODUCT(--ISERROR(FIND(MID(UPPER(TRIM(H363)),{5,6,7,8,9},1),"0123456789")))=0),"OK","Wrong format"))</f>
        <v/>
      </c>
      <c r="AY363" s="30">
        <f>IF(NOT(COUNTA(A363:AE363)&gt;0),"",IF(BE363&lt;&gt;"","✖ "&amp;LEFT(BE363,LEN(BE363)-2),IF(BD363&gt;0,"✔ Ready — client + "&amp;BD363&amp;" service(s)","✔ Ready — client only")))</f>
        <v/>
      </c>
      <c r="AZ363" s="31">
        <f>UPPER(SUBSTITUTE(TRIM(F363)," ",""))</f>
        <v/>
      </c>
      <c r="BA363" s="31">
        <f>UPPER(SUBSTITUTE(TRIM(E363)," ",""))</f>
        <v/>
      </c>
      <c r="BB363" s="31">
        <f>IF(D363&lt;&gt;"",D363,IFERROR(VLOOKUP(MID(AS363,4,1),Lists!$E$2:$F$8,2,FALSE),""))</f>
        <v/>
      </c>
      <c r="BC363" s="31">
        <f>IFERROR(VLOOKUP(BB363,Lists!$A$2:$C$12,3,FALSE),"")</f>
        <v/>
      </c>
      <c r="BD363" s="31">
        <f>COUNTIF(W363:AC363,"Yes")</f>
        <v/>
      </c>
      <c r="BE363" s="31">
        <f>IF(TRIM(B363)="","Legal name missing; ","")&amp;IF(AND(AV363&lt;&gt;"",AV363&lt;&gt;"OK"),"GSTIN: "&amp;AV363&amp;"; ","")&amp;IF(AND(AW363&lt;&gt;"",AW363&lt;&gt;"OK"),"PAN wrong format; ","")&amp;IF(AND(BA363&lt;&gt;"",LEN(AZ363)=15,MID(AZ363,3,10)&lt;&gt;BA363),"PAN does not match GSTIN; ","")&amp;IF(AND(AX363&lt;&gt;"",AX363&lt;&gt;"OK"),"TAN wrong format; ","")&amp;IF(AS363="","PAN missing; ","")&amp;IF(BB363="","Entity type missing; ","")&amp;IF(AND(AZ363&lt;&gt;"",COUNTIF($AZ$6:$AZ$1005,AZ363)&gt;1),"GSTIN repeated in this sheet; ","")&amp;IF(AND(AS363&lt;&gt;"",COUNTIF($AS$6:$AS$1005,AS363)&gt;1),"PAN repeated in this sheet (same client? put extra GSTINs in Other GSTINs); ","")&amp;IF(AND(BD363&gt;0,V363=""),"Financial year missing; ","")&amp;IF(AND(BD363=0,V363&lt;&gt;""),"Financial year given but no service is Yes; ","")&amp;IF(AND(W363="Yes",AZ363=""),"GST needs a GSTIN; ","")&amp;IF(AND(W363="Yes",X363=""),"GST return frequency missing; ","")&amp;IF(AND(Y363="Yes",TRIM(H363)=""),"TDS needs a TAN; ","")&amp;IF(AND(AA363="Yes",BC363&lt;&gt;"",BC363&lt;&gt;"company",BC363&lt;&gt;"llp"),"ROC is only for a company / LLP; ","")&amp;IF(AND(AA363="Yes",OR(BC363="company",BC363="llp"),TRIM(I363)=""),"ROC needs the CIN / LLPIN; ","")&amp;IF((TRIM(AF363)="")&lt;&gt;(TRIM(AG363)=""),"GST login needs both user ID and password; ","")&amp;IF((TRIM(AH363)="")&lt;&gt;(TRIM(AI363)=""),"Income-tax login needs both user ID and password; ","")&amp;IF((TRIM(AJ363)="")&lt;&gt;(TRIM(AK363)=""),"Income-tax login needs both user ID and password; ","")&amp;IF((TRIM(AL363)="")&lt;&gt;(TRIM(AM363)=""),"TRACES login needs both user ID and password; ","")&amp;IF((TRIM(AN363)="")&lt;&gt;(TRIM(AO363)=""),"MCA login needs both user ID and password; ","")&amp;IF((TRIM(AP363)="")&lt;&gt;(TRIM(AQ363)=""),"E-way bill login needs both user ID and password; ","")</f>
        <v/>
      </c>
    </row>
    <row r="364">
      <c r="A364" s="32" t="n"/>
      <c r="B364" s="33" t="n"/>
      <c r="C364" s="33" t="n"/>
      <c r="D364" s="33" t="n"/>
      <c r="E364" s="32" t="n"/>
      <c r="F364" s="32" t="n"/>
      <c r="G364" s="32" t="n"/>
      <c r="H364" s="32" t="n"/>
      <c r="I364" s="32" t="n"/>
      <c r="J364" s="34" t="n"/>
      <c r="K364" s="33" t="n"/>
      <c r="L364" s="32" t="n"/>
      <c r="M364" s="33" t="n"/>
      <c r="N364" s="33" t="n"/>
      <c r="O364" s="33" t="n"/>
      <c r="P364" s="32" t="n"/>
      <c r="Q364" s="33" t="n"/>
      <c r="R364" s="33" t="n"/>
      <c r="S364" s="33" t="n"/>
      <c r="T364" s="33" t="n"/>
      <c r="U364" s="32" t="n"/>
      <c r="V364" s="33" t="n"/>
      <c r="W364" s="33" t="n"/>
      <c r="X364" s="33" t="n"/>
      <c r="Y364" s="33" t="n"/>
      <c r="Z364" s="33" t="n"/>
      <c r="AA364" s="33" t="n"/>
      <c r="AB364" s="33" t="n"/>
      <c r="AC364" s="33" t="n"/>
      <c r="AD364" s="33" t="n"/>
      <c r="AE364" s="33" t="n"/>
      <c r="AF364" s="32" t="n"/>
      <c r="AG364" s="32" t="n"/>
      <c r="AH364" s="32" t="n"/>
      <c r="AI364" s="32" t="n"/>
      <c r="AJ364" s="32" t="n"/>
      <c r="AK364" s="32" t="n"/>
      <c r="AL364" s="32" t="n"/>
      <c r="AM364" s="32" t="n"/>
      <c r="AN364" s="32" t="n"/>
      <c r="AO364" s="32" t="n"/>
      <c r="AP364" s="32" t="n"/>
      <c r="AQ364" s="32" t="n"/>
      <c r="AR364" s="29">
        <f>IF(NOT(COUNTA(A364:AE364)&gt;0),"",IF(A364="","New client","Update"))</f>
        <v/>
      </c>
      <c r="AS364" s="29">
        <f>IF(BA364&lt;&gt;"",BA364,IF(LEN(AZ364)=15,MID(AZ364,3,10),""))</f>
        <v/>
      </c>
      <c r="AT364" s="29">
        <f>IF(BB364="","",BB364&amp;IF(D364="","  (guessed from PAN)",""))</f>
        <v/>
      </c>
      <c r="AU364" s="29">
        <f>IF(AZ364="","",IFERROR(INDEX(Lists!$L$2:$L$38,MATCH(LEFT(AZ364,2),Lists!$K$2:$K$38,0)),"Unknown code"))</f>
        <v/>
      </c>
      <c r="AV364" s="29">
        <f>IF(AZ364="","",IFERROR(IF(NOT(AND(LEN(AZ364)=15,ISNUMBER(MATCH(LEFT(AZ364,2),Lists!$K$2:$K$38,0)),SUMPRODUCT(--ISERROR(FIND(MID(MID(AZ364,3,10),{1,2,3,4,5,10},1),"ABCDEFGHIJKLMNOPQRSTUVWXYZ")))=0,SUMPRODUCT(--ISERROR(FIND(MID(MID(AZ364,3,10),{6,7,8,9},1),"0123456789")))=0,ISNUMBER(FIND(MID(AZ364,13,1),"123456789ABCDEFGHIJKLMNOPQRSTUVWXYZ")),MID(AZ364,14,1)="Z")),"Wrong format",IF(MID("0123456789ABCDEFGHIJKLMNOPQRSTUVWXYZ",MOD(36-MOD(SUMPRODUCT(INT((FIND(MID(AZ364,{1,2,3,4,5,6,7,8,9,10,11,12,13,14},1),"0123456789ABCDEFGHIJKLMNOPQRSTUVWXYZ")-1)*{1,2,1,2,1,2,1,2,1,2,1,2,1,2}/36)+MOD((FIND(MID(AZ364,{1,2,3,4,5,6,7,8,9,10,11,12,13,14},1),"0123456789ABCDEFGHIJKLMNOPQRSTUVWXYZ")-1)*{1,2,1,2,1,2,1,2,1,2,1,2,1,2},36)),36),36)+1,1)=MID(AZ364,15,1),"OK","Typo? check digit wrong")),"Wrong format"))</f>
        <v/>
      </c>
      <c r="AW364" s="29">
        <f>IF(BA364="","",IF(AND(LEN(BA364)=10,SUMPRODUCT(--ISERROR(FIND(MID(BA364,{1,2,3,4,5,10},1),"ABCDEFGHIJKLMNOPQRSTUVWXYZ")))=0,SUMPRODUCT(--ISERROR(FIND(MID(BA364,{6,7,8,9},1),"0123456789")))=0),"OK","Wrong format"))</f>
        <v/>
      </c>
      <c r="AX364" s="29">
        <f>IF(TRIM(H364)="","",IF(AND(LEN(UPPER(TRIM(H364)))=10,SUMPRODUCT(--ISERROR(FIND(MID(UPPER(TRIM(H364)),{1,2,3,4,10},1),"ABCDEFGHIJKLMNOPQRSTUVWXYZ")))=0,SUMPRODUCT(--ISERROR(FIND(MID(UPPER(TRIM(H364)),{5,6,7,8,9},1),"0123456789")))=0),"OK","Wrong format"))</f>
        <v/>
      </c>
      <c r="AY364" s="30">
        <f>IF(NOT(COUNTA(A364:AE364)&gt;0),"",IF(BE364&lt;&gt;"","✖ "&amp;LEFT(BE364,LEN(BE364)-2),IF(BD364&gt;0,"✔ Ready — client + "&amp;BD364&amp;" service(s)","✔ Ready — client only")))</f>
        <v/>
      </c>
      <c r="AZ364" s="31">
        <f>UPPER(SUBSTITUTE(TRIM(F364)," ",""))</f>
        <v/>
      </c>
      <c r="BA364" s="31">
        <f>UPPER(SUBSTITUTE(TRIM(E364)," ",""))</f>
        <v/>
      </c>
      <c r="BB364" s="31">
        <f>IF(D364&lt;&gt;"",D364,IFERROR(VLOOKUP(MID(AS364,4,1),Lists!$E$2:$F$8,2,FALSE),""))</f>
        <v/>
      </c>
      <c r="BC364" s="31">
        <f>IFERROR(VLOOKUP(BB364,Lists!$A$2:$C$12,3,FALSE),"")</f>
        <v/>
      </c>
      <c r="BD364" s="31">
        <f>COUNTIF(W364:AC364,"Yes")</f>
        <v/>
      </c>
      <c r="BE364" s="31">
        <f>IF(TRIM(B364)="","Legal name missing; ","")&amp;IF(AND(AV364&lt;&gt;"",AV364&lt;&gt;"OK"),"GSTIN: "&amp;AV364&amp;"; ","")&amp;IF(AND(AW364&lt;&gt;"",AW364&lt;&gt;"OK"),"PAN wrong format; ","")&amp;IF(AND(BA364&lt;&gt;"",LEN(AZ364)=15,MID(AZ364,3,10)&lt;&gt;BA364),"PAN does not match GSTIN; ","")&amp;IF(AND(AX364&lt;&gt;"",AX364&lt;&gt;"OK"),"TAN wrong format; ","")&amp;IF(AS364="","PAN missing; ","")&amp;IF(BB364="","Entity type missing; ","")&amp;IF(AND(AZ364&lt;&gt;"",COUNTIF($AZ$6:$AZ$1005,AZ364)&gt;1),"GSTIN repeated in this sheet; ","")&amp;IF(AND(AS364&lt;&gt;"",COUNTIF($AS$6:$AS$1005,AS364)&gt;1),"PAN repeated in this sheet (same client? put extra GSTINs in Other GSTINs); ","")&amp;IF(AND(BD364&gt;0,V364=""),"Financial year missing; ","")&amp;IF(AND(BD364=0,V364&lt;&gt;""),"Financial year given but no service is Yes; ","")&amp;IF(AND(W364="Yes",AZ364=""),"GST needs a GSTIN; ","")&amp;IF(AND(W364="Yes",X364=""),"GST return frequency missing; ","")&amp;IF(AND(Y364="Yes",TRIM(H364)=""),"TDS needs a TAN; ","")&amp;IF(AND(AA364="Yes",BC364&lt;&gt;"",BC364&lt;&gt;"company",BC364&lt;&gt;"llp"),"ROC is only for a company / LLP; ","")&amp;IF(AND(AA364="Yes",OR(BC364="company",BC364="llp"),TRIM(I364)=""),"ROC needs the CIN / LLPIN; ","")&amp;IF((TRIM(AF364)="")&lt;&gt;(TRIM(AG364)=""),"GST login needs both user ID and password; ","")&amp;IF((TRIM(AH364)="")&lt;&gt;(TRIM(AI364)=""),"Income-tax login needs both user ID and password; ","")&amp;IF((TRIM(AJ364)="")&lt;&gt;(TRIM(AK364)=""),"Income-tax login needs both user ID and password; ","")&amp;IF((TRIM(AL364)="")&lt;&gt;(TRIM(AM364)=""),"TRACES login needs both user ID and password; ","")&amp;IF((TRIM(AN364)="")&lt;&gt;(TRIM(AO364)=""),"MCA login needs both user ID and password; ","")&amp;IF((TRIM(AP364)="")&lt;&gt;(TRIM(AQ364)=""),"E-way bill login needs both user ID and password; ","")</f>
        <v/>
      </c>
    </row>
    <row r="365">
      <c r="A365" s="32" t="n"/>
      <c r="B365" s="33" t="n"/>
      <c r="C365" s="33" t="n"/>
      <c r="D365" s="33" t="n"/>
      <c r="E365" s="32" t="n"/>
      <c r="F365" s="32" t="n"/>
      <c r="G365" s="32" t="n"/>
      <c r="H365" s="32" t="n"/>
      <c r="I365" s="32" t="n"/>
      <c r="J365" s="34" t="n"/>
      <c r="K365" s="33" t="n"/>
      <c r="L365" s="32" t="n"/>
      <c r="M365" s="33" t="n"/>
      <c r="N365" s="33" t="n"/>
      <c r="O365" s="33" t="n"/>
      <c r="P365" s="32" t="n"/>
      <c r="Q365" s="33" t="n"/>
      <c r="R365" s="33" t="n"/>
      <c r="S365" s="33" t="n"/>
      <c r="T365" s="33" t="n"/>
      <c r="U365" s="32" t="n"/>
      <c r="V365" s="33" t="n"/>
      <c r="W365" s="33" t="n"/>
      <c r="X365" s="33" t="n"/>
      <c r="Y365" s="33" t="n"/>
      <c r="Z365" s="33" t="n"/>
      <c r="AA365" s="33" t="n"/>
      <c r="AB365" s="33" t="n"/>
      <c r="AC365" s="33" t="n"/>
      <c r="AD365" s="33" t="n"/>
      <c r="AE365" s="33" t="n"/>
      <c r="AF365" s="32" t="n"/>
      <c r="AG365" s="32" t="n"/>
      <c r="AH365" s="32" t="n"/>
      <c r="AI365" s="32" t="n"/>
      <c r="AJ365" s="32" t="n"/>
      <c r="AK365" s="32" t="n"/>
      <c r="AL365" s="32" t="n"/>
      <c r="AM365" s="32" t="n"/>
      <c r="AN365" s="32" t="n"/>
      <c r="AO365" s="32" t="n"/>
      <c r="AP365" s="32" t="n"/>
      <c r="AQ365" s="32" t="n"/>
      <c r="AR365" s="29">
        <f>IF(NOT(COUNTA(A365:AE365)&gt;0),"",IF(A365="","New client","Update"))</f>
        <v/>
      </c>
      <c r="AS365" s="29">
        <f>IF(BA365&lt;&gt;"",BA365,IF(LEN(AZ365)=15,MID(AZ365,3,10),""))</f>
        <v/>
      </c>
      <c r="AT365" s="29">
        <f>IF(BB365="","",BB365&amp;IF(D365="","  (guessed from PAN)",""))</f>
        <v/>
      </c>
      <c r="AU365" s="29">
        <f>IF(AZ365="","",IFERROR(INDEX(Lists!$L$2:$L$38,MATCH(LEFT(AZ365,2),Lists!$K$2:$K$38,0)),"Unknown code"))</f>
        <v/>
      </c>
      <c r="AV365" s="29">
        <f>IF(AZ365="","",IFERROR(IF(NOT(AND(LEN(AZ365)=15,ISNUMBER(MATCH(LEFT(AZ365,2),Lists!$K$2:$K$38,0)),SUMPRODUCT(--ISERROR(FIND(MID(MID(AZ365,3,10),{1,2,3,4,5,10},1),"ABCDEFGHIJKLMNOPQRSTUVWXYZ")))=0,SUMPRODUCT(--ISERROR(FIND(MID(MID(AZ365,3,10),{6,7,8,9},1),"0123456789")))=0,ISNUMBER(FIND(MID(AZ365,13,1),"123456789ABCDEFGHIJKLMNOPQRSTUVWXYZ")),MID(AZ365,14,1)="Z")),"Wrong format",IF(MID("0123456789ABCDEFGHIJKLMNOPQRSTUVWXYZ",MOD(36-MOD(SUMPRODUCT(INT((FIND(MID(AZ365,{1,2,3,4,5,6,7,8,9,10,11,12,13,14},1),"0123456789ABCDEFGHIJKLMNOPQRSTUVWXYZ")-1)*{1,2,1,2,1,2,1,2,1,2,1,2,1,2}/36)+MOD((FIND(MID(AZ365,{1,2,3,4,5,6,7,8,9,10,11,12,13,14},1),"0123456789ABCDEFGHIJKLMNOPQRSTUVWXYZ")-1)*{1,2,1,2,1,2,1,2,1,2,1,2,1,2},36)),36),36)+1,1)=MID(AZ365,15,1),"OK","Typo? check digit wrong")),"Wrong format"))</f>
        <v/>
      </c>
      <c r="AW365" s="29">
        <f>IF(BA365="","",IF(AND(LEN(BA365)=10,SUMPRODUCT(--ISERROR(FIND(MID(BA365,{1,2,3,4,5,10},1),"ABCDEFGHIJKLMNOPQRSTUVWXYZ")))=0,SUMPRODUCT(--ISERROR(FIND(MID(BA365,{6,7,8,9},1),"0123456789")))=0),"OK","Wrong format"))</f>
        <v/>
      </c>
      <c r="AX365" s="29">
        <f>IF(TRIM(H365)="","",IF(AND(LEN(UPPER(TRIM(H365)))=10,SUMPRODUCT(--ISERROR(FIND(MID(UPPER(TRIM(H365)),{1,2,3,4,10},1),"ABCDEFGHIJKLMNOPQRSTUVWXYZ")))=0,SUMPRODUCT(--ISERROR(FIND(MID(UPPER(TRIM(H365)),{5,6,7,8,9},1),"0123456789")))=0),"OK","Wrong format"))</f>
        <v/>
      </c>
      <c r="AY365" s="30">
        <f>IF(NOT(COUNTA(A365:AE365)&gt;0),"",IF(BE365&lt;&gt;"","✖ "&amp;LEFT(BE365,LEN(BE365)-2),IF(BD365&gt;0,"✔ Ready — client + "&amp;BD365&amp;" service(s)","✔ Ready — client only")))</f>
        <v/>
      </c>
      <c r="AZ365" s="31">
        <f>UPPER(SUBSTITUTE(TRIM(F365)," ",""))</f>
        <v/>
      </c>
      <c r="BA365" s="31">
        <f>UPPER(SUBSTITUTE(TRIM(E365)," ",""))</f>
        <v/>
      </c>
      <c r="BB365" s="31">
        <f>IF(D365&lt;&gt;"",D365,IFERROR(VLOOKUP(MID(AS365,4,1),Lists!$E$2:$F$8,2,FALSE),""))</f>
        <v/>
      </c>
      <c r="BC365" s="31">
        <f>IFERROR(VLOOKUP(BB365,Lists!$A$2:$C$12,3,FALSE),"")</f>
        <v/>
      </c>
      <c r="BD365" s="31">
        <f>COUNTIF(W365:AC365,"Yes")</f>
        <v/>
      </c>
      <c r="BE365" s="31">
        <f>IF(TRIM(B365)="","Legal name missing; ","")&amp;IF(AND(AV365&lt;&gt;"",AV365&lt;&gt;"OK"),"GSTIN: "&amp;AV365&amp;"; ","")&amp;IF(AND(AW365&lt;&gt;"",AW365&lt;&gt;"OK"),"PAN wrong format; ","")&amp;IF(AND(BA365&lt;&gt;"",LEN(AZ365)=15,MID(AZ365,3,10)&lt;&gt;BA365),"PAN does not match GSTIN; ","")&amp;IF(AND(AX365&lt;&gt;"",AX365&lt;&gt;"OK"),"TAN wrong format; ","")&amp;IF(AS365="","PAN missing; ","")&amp;IF(BB365="","Entity type missing; ","")&amp;IF(AND(AZ365&lt;&gt;"",COUNTIF($AZ$6:$AZ$1005,AZ365)&gt;1),"GSTIN repeated in this sheet; ","")&amp;IF(AND(AS365&lt;&gt;"",COUNTIF($AS$6:$AS$1005,AS365)&gt;1),"PAN repeated in this sheet (same client? put extra GSTINs in Other GSTINs); ","")&amp;IF(AND(BD365&gt;0,V365=""),"Financial year missing; ","")&amp;IF(AND(BD365=0,V365&lt;&gt;""),"Financial year given but no service is Yes; ","")&amp;IF(AND(W365="Yes",AZ365=""),"GST needs a GSTIN; ","")&amp;IF(AND(W365="Yes",X365=""),"GST return frequency missing; ","")&amp;IF(AND(Y365="Yes",TRIM(H365)=""),"TDS needs a TAN; ","")&amp;IF(AND(AA365="Yes",BC365&lt;&gt;"",BC365&lt;&gt;"company",BC365&lt;&gt;"llp"),"ROC is only for a company / LLP; ","")&amp;IF(AND(AA365="Yes",OR(BC365="company",BC365="llp"),TRIM(I365)=""),"ROC needs the CIN / LLPIN; ","")&amp;IF((TRIM(AF365)="")&lt;&gt;(TRIM(AG365)=""),"GST login needs both user ID and password; ","")&amp;IF((TRIM(AH365)="")&lt;&gt;(TRIM(AI365)=""),"Income-tax login needs both user ID and password; ","")&amp;IF((TRIM(AJ365)="")&lt;&gt;(TRIM(AK365)=""),"Income-tax login needs both user ID and password; ","")&amp;IF((TRIM(AL365)="")&lt;&gt;(TRIM(AM365)=""),"TRACES login needs both user ID and password; ","")&amp;IF((TRIM(AN365)="")&lt;&gt;(TRIM(AO365)=""),"MCA login needs both user ID and password; ","")&amp;IF((TRIM(AP365)="")&lt;&gt;(TRIM(AQ365)=""),"E-way bill login needs both user ID and password; ","")</f>
        <v/>
      </c>
    </row>
    <row r="366">
      <c r="A366" s="32" t="n"/>
      <c r="B366" s="33" t="n"/>
      <c r="C366" s="33" t="n"/>
      <c r="D366" s="33" t="n"/>
      <c r="E366" s="32" t="n"/>
      <c r="F366" s="32" t="n"/>
      <c r="G366" s="32" t="n"/>
      <c r="H366" s="32" t="n"/>
      <c r="I366" s="32" t="n"/>
      <c r="J366" s="34" t="n"/>
      <c r="K366" s="33" t="n"/>
      <c r="L366" s="32" t="n"/>
      <c r="M366" s="33" t="n"/>
      <c r="N366" s="33" t="n"/>
      <c r="O366" s="33" t="n"/>
      <c r="P366" s="32" t="n"/>
      <c r="Q366" s="33" t="n"/>
      <c r="R366" s="33" t="n"/>
      <c r="S366" s="33" t="n"/>
      <c r="T366" s="33" t="n"/>
      <c r="U366" s="32" t="n"/>
      <c r="V366" s="33" t="n"/>
      <c r="W366" s="33" t="n"/>
      <c r="X366" s="33" t="n"/>
      <c r="Y366" s="33" t="n"/>
      <c r="Z366" s="33" t="n"/>
      <c r="AA366" s="33" t="n"/>
      <c r="AB366" s="33" t="n"/>
      <c r="AC366" s="33" t="n"/>
      <c r="AD366" s="33" t="n"/>
      <c r="AE366" s="33" t="n"/>
      <c r="AF366" s="32" t="n"/>
      <c r="AG366" s="32" t="n"/>
      <c r="AH366" s="32" t="n"/>
      <c r="AI366" s="32" t="n"/>
      <c r="AJ366" s="32" t="n"/>
      <c r="AK366" s="32" t="n"/>
      <c r="AL366" s="32" t="n"/>
      <c r="AM366" s="32" t="n"/>
      <c r="AN366" s="32" t="n"/>
      <c r="AO366" s="32" t="n"/>
      <c r="AP366" s="32" t="n"/>
      <c r="AQ366" s="32" t="n"/>
      <c r="AR366" s="29">
        <f>IF(NOT(COUNTA(A366:AE366)&gt;0),"",IF(A366="","New client","Update"))</f>
        <v/>
      </c>
      <c r="AS366" s="29">
        <f>IF(BA366&lt;&gt;"",BA366,IF(LEN(AZ366)=15,MID(AZ366,3,10),""))</f>
        <v/>
      </c>
      <c r="AT366" s="29">
        <f>IF(BB366="","",BB366&amp;IF(D366="","  (guessed from PAN)",""))</f>
        <v/>
      </c>
      <c r="AU366" s="29">
        <f>IF(AZ366="","",IFERROR(INDEX(Lists!$L$2:$L$38,MATCH(LEFT(AZ366,2),Lists!$K$2:$K$38,0)),"Unknown code"))</f>
        <v/>
      </c>
      <c r="AV366" s="29">
        <f>IF(AZ366="","",IFERROR(IF(NOT(AND(LEN(AZ366)=15,ISNUMBER(MATCH(LEFT(AZ366,2),Lists!$K$2:$K$38,0)),SUMPRODUCT(--ISERROR(FIND(MID(MID(AZ366,3,10),{1,2,3,4,5,10},1),"ABCDEFGHIJKLMNOPQRSTUVWXYZ")))=0,SUMPRODUCT(--ISERROR(FIND(MID(MID(AZ366,3,10),{6,7,8,9},1),"0123456789")))=0,ISNUMBER(FIND(MID(AZ366,13,1),"123456789ABCDEFGHIJKLMNOPQRSTUVWXYZ")),MID(AZ366,14,1)="Z")),"Wrong format",IF(MID("0123456789ABCDEFGHIJKLMNOPQRSTUVWXYZ",MOD(36-MOD(SUMPRODUCT(INT((FIND(MID(AZ366,{1,2,3,4,5,6,7,8,9,10,11,12,13,14},1),"0123456789ABCDEFGHIJKLMNOPQRSTUVWXYZ")-1)*{1,2,1,2,1,2,1,2,1,2,1,2,1,2}/36)+MOD((FIND(MID(AZ366,{1,2,3,4,5,6,7,8,9,10,11,12,13,14},1),"0123456789ABCDEFGHIJKLMNOPQRSTUVWXYZ")-1)*{1,2,1,2,1,2,1,2,1,2,1,2,1,2},36)),36),36)+1,1)=MID(AZ366,15,1),"OK","Typo? check digit wrong")),"Wrong format"))</f>
        <v/>
      </c>
      <c r="AW366" s="29">
        <f>IF(BA366="","",IF(AND(LEN(BA366)=10,SUMPRODUCT(--ISERROR(FIND(MID(BA366,{1,2,3,4,5,10},1),"ABCDEFGHIJKLMNOPQRSTUVWXYZ")))=0,SUMPRODUCT(--ISERROR(FIND(MID(BA366,{6,7,8,9},1),"0123456789")))=0),"OK","Wrong format"))</f>
        <v/>
      </c>
      <c r="AX366" s="29">
        <f>IF(TRIM(H366)="","",IF(AND(LEN(UPPER(TRIM(H366)))=10,SUMPRODUCT(--ISERROR(FIND(MID(UPPER(TRIM(H366)),{1,2,3,4,10},1),"ABCDEFGHIJKLMNOPQRSTUVWXYZ")))=0,SUMPRODUCT(--ISERROR(FIND(MID(UPPER(TRIM(H366)),{5,6,7,8,9},1),"0123456789")))=0),"OK","Wrong format"))</f>
        <v/>
      </c>
      <c r="AY366" s="30">
        <f>IF(NOT(COUNTA(A366:AE366)&gt;0),"",IF(BE366&lt;&gt;"","✖ "&amp;LEFT(BE366,LEN(BE366)-2),IF(BD366&gt;0,"✔ Ready — client + "&amp;BD366&amp;" service(s)","✔ Ready — client only")))</f>
        <v/>
      </c>
      <c r="AZ366" s="31">
        <f>UPPER(SUBSTITUTE(TRIM(F366)," ",""))</f>
        <v/>
      </c>
      <c r="BA366" s="31">
        <f>UPPER(SUBSTITUTE(TRIM(E366)," ",""))</f>
        <v/>
      </c>
      <c r="BB366" s="31">
        <f>IF(D366&lt;&gt;"",D366,IFERROR(VLOOKUP(MID(AS366,4,1),Lists!$E$2:$F$8,2,FALSE),""))</f>
        <v/>
      </c>
      <c r="BC366" s="31">
        <f>IFERROR(VLOOKUP(BB366,Lists!$A$2:$C$12,3,FALSE),"")</f>
        <v/>
      </c>
      <c r="BD366" s="31">
        <f>COUNTIF(W366:AC366,"Yes")</f>
        <v/>
      </c>
      <c r="BE366" s="31">
        <f>IF(TRIM(B366)="","Legal name missing; ","")&amp;IF(AND(AV366&lt;&gt;"",AV366&lt;&gt;"OK"),"GSTIN: "&amp;AV366&amp;"; ","")&amp;IF(AND(AW366&lt;&gt;"",AW366&lt;&gt;"OK"),"PAN wrong format; ","")&amp;IF(AND(BA366&lt;&gt;"",LEN(AZ366)=15,MID(AZ366,3,10)&lt;&gt;BA366),"PAN does not match GSTIN; ","")&amp;IF(AND(AX366&lt;&gt;"",AX366&lt;&gt;"OK"),"TAN wrong format; ","")&amp;IF(AS366="","PAN missing; ","")&amp;IF(BB366="","Entity type missing; ","")&amp;IF(AND(AZ366&lt;&gt;"",COUNTIF($AZ$6:$AZ$1005,AZ366)&gt;1),"GSTIN repeated in this sheet; ","")&amp;IF(AND(AS366&lt;&gt;"",COUNTIF($AS$6:$AS$1005,AS366)&gt;1),"PAN repeated in this sheet (same client? put extra GSTINs in Other GSTINs); ","")&amp;IF(AND(BD366&gt;0,V366=""),"Financial year missing; ","")&amp;IF(AND(BD366=0,V366&lt;&gt;""),"Financial year given but no service is Yes; ","")&amp;IF(AND(W366="Yes",AZ366=""),"GST needs a GSTIN; ","")&amp;IF(AND(W366="Yes",X366=""),"GST return frequency missing; ","")&amp;IF(AND(Y366="Yes",TRIM(H366)=""),"TDS needs a TAN; ","")&amp;IF(AND(AA366="Yes",BC366&lt;&gt;"",BC366&lt;&gt;"company",BC366&lt;&gt;"llp"),"ROC is only for a company / LLP; ","")&amp;IF(AND(AA366="Yes",OR(BC366="company",BC366="llp"),TRIM(I366)=""),"ROC needs the CIN / LLPIN; ","")&amp;IF((TRIM(AF366)="")&lt;&gt;(TRIM(AG366)=""),"GST login needs both user ID and password; ","")&amp;IF((TRIM(AH366)="")&lt;&gt;(TRIM(AI366)=""),"Income-tax login needs both user ID and password; ","")&amp;IF((TRIM(AJ366)="")&lt;&gt;(TRIM(AK366)=""),"Income-tax login needs both user ID and password; ","")&amp;IF((TRIM(AL366)="")&lt;&gt;(TRIM(AM366)=""),"TRACES login needs both user ID and password; ","")&amp;IF((TRIM(AN366)="")&lt;&gt;(TRIM(AO366)=""),"MCA login needs both user ID and password; ","")&amp;IF((TRIM(AP366)="")&lt;&gt;(TRIM(AQ366)=""),"E-way bill login needs both user ID and password; ","")</f>
        <v/>
      </c>
    </row>
    <row r="367">
      <c r="A367" s="32" t="n"/>
      <c r="B367" s="33" t="n"/>
      <c r="C367" s="33" t="n"/>
      <c r="D367" s="33" t="n"/>
      <c r="E367" s="32" t="n"/>
      <c r="F367" s="32" t="n"/>
      <c r="G367" s="32" t="n"/>
      <c r="H367" s="32" t="n"/>
      <c r="I367" s="32" t="n"/>
      <c r="J367" s="34" t="n"/>
      <c r="K367" s="33" t="n"/>
      <c r="L367" s="32" t="n"/>
      <c r="M367" s="33" t="n"/>
      <c r="N367" s="33" t="n"/>
      <c r="O367" s="33" t="n"/>
      <c r="P367" s="32" t="n"/>
      <c r="Q367" s="33" t="n"/>
      <c r="R367" s="33" t="n"/>
      <c r="S367" s="33" t="n"/>
      <c r="T367" s="33" t="n"/>
      <c r="U367" s="32" t="n"/>
      <c r="V367" s="33" t="n"/>
      <c r="W367" s="33" t="n"/>
      <c r="X367" s="33" t="n"/>
      <c r="Y367" s="33" t="n"/>
      <c r="Z367" s="33" t="n"/>
      <c r="AA367" s="33" t="n"/>
      <c r="AB367" s="33" t="n"/>
      <c r="AC367" s="33" t="n"/>
      <c r="AD367" s="33" t="n"/>
      <c r="AE367" s="33" t="n"/>
      <c r="AF367" s="32" t="n"/>
      <c r="AG367" s="32" t="n"/>
      <c r="AH367" s="32" t="n"/>
      <c r="AI367" s="32" t="n"/>
      <c r="AJ367" s="32" t="n"/>
      <c r="AK367" s="32" t="n"/>
      <c r="AL367" s="32" t="n"/>
      <c r="AM367" s="32" t="n"/>
      <c r="AN367" s="32" t="n"/>
      <c r="AO367" s="32" t="n"/>
      <c r="AP367" s="32" t="n"/>
      <c r="AQ367" s="32" t="n"/>
      <c r="AR367" s="29">
        <f>IF(NOT(COUNTA(A367:AE367)&gt;0),"",IF(A367="","New client","Update"))</f>
        <v/>
      </c>
      <c r="AS367" s="29">
        <f>IF(BA367&lt;&gt;"",BA367,IF(LEN(AZ367)=15,MID(AZ367,3,10),""))</f>
        <v/>
      </c>
      <c r="AT367" s="29">
        <f>IF(BB367="","",BB367&amp;IF(D367="","  (guessed from PAN)",""))</f>
        <v/>
      </c>
      <c r="AU367" s="29">
        <f>IF(AZ367="","",IFERROR(INDEX(Lists!$L$2:$L$38,MATCH(LEFT(AZ367,2),Lists!$K$2:$K$38,0)),"Unknown code"))</f>
        <v/>
      </c>
      <c r="AV367" s="29">
        <f>IF(AZ367="","",IFERROR(IF(NOT(AND(LEN(AZ367)=15,ISNUMBER(MATCH(LEFT(AZ367,2),Lists!$K$2:$K$38,0)),SUMPRODUCT(--ISERROR(FIND(MID(MID(AZ367,3,10),{1,2,3,4,5,10},1),"ABCDEFGHIJKLMNOPQRSTUVWXYZ")))=0,SUMPRODUCT(--ISERROR(FIND(MID(MID(AZ367,3,10),{6,7,8,9},1),"0123456789")))=0,ISNUMBER(FIND(MID(AZ367,13,1),"123456789ABCDEFGHIJKLMNOPQRSTUVWXYZ")),MID(AZ367,14,1)="Z")),"Wrong format",IF(MID("0123456789ABCDEFGHIJKLMNOPQRSTUVWXYZ",MOD(36-MOD(SUMPRODUCT(INT((FIND(MID(AZ367,{1,2,3,4,5,6,7,8,9,10,11,12,13,14},1),"0123456789ABCDEFGHIJKLMNOPQRSTUVWXYZ")-1)*{1,2,1,2,1,2,1,2,1,2,1,2,1,2}/36)+MOD((FIND(MID(AZ367,{1,2,3,4,5,6,7,8,9,10,11,12,13,14},1),"0123456789ABCDEFGHIJKLMNOPQRSTUVWXYZ")-1)*{1,2,1,2,1,2,1,2,1,2,1,2,1,2},36)),36),36)+1,1)=MID(AZ367,15,1),"OK","Typo? check digit wrong")),"Wrong format"))</f>
        <v/>
      </c>
      <c r="AW367" s="29">
        <f>IF(BA367="","",IF(AND(LEN(BA367)=10,SUMPRODUCT(--ISERROR(FIND(MID(BA367,{1,2,3,4,5,10},1),"ABCDEFGHIJKLMNOPQRSTUVWXYZ")))=0,SUMPRODUCT(--ISERROR(FIND(MID(BA367,{6,7,8,9},1),"0123456789")))=0),"OK","Wrong format"))</f>
        <v/>
      </c>
      <c r="AX367" s="29">
        <f>IF(TRIM(H367)="","",IF(AND(LEN(UPPER(TRIM(H367)))=10,SUMPRODUCT(--ISERROR(FIND(MID(UPPER(TRIM(H367)),{1,2,3,4,10},1),"ABCDEFGHIJKLMNOPQRSTUVWXYZ")))=0,SUMPRODUCT(--ISERROR(FIND(MID(UPPER(TRIM(H367)),{5,6,7,8,9},1),"0123456789")))=0),"OK","Wrong format"))</f>
        <v/>
      </c>
      <c r="AY367" s="30">
        <f>IF(NOT(COUNTA(A367:AE367)&gt;0),"",IF(BE367&lt;&gt;"","✖ "&amp;LEFT(BE367,LEN(BE367)-2),IF(BD367&gt;0,"✔ Ready — client + "&amp;BD367&amp;" service(s)","✔ Ready — client only")))</f>
        <v/>
      </c>
      <c r="AZ367" s="31">
        <f>UPPER(SUBSTITUTE(TRIM(F367)," ",""))</f>
        <v/>
      </c>
      <c r="BA367" s="31">
        <f>UPPER(SUBSTITUTE(TRIM(E367)," ",""))</f>
        <v/>
      </c>
      <c r="BB367" s="31">
        <f>IF(D367&lt;&gt;"",D367,IFERROR(VLOOKUP(MID(AS367,4,1),Lists!$E$2:$F$8,2,FALSE),""))</f>
        <v/>
      </c>
      <c r="BC367" s="31">
        <f>IFERROR(VLOOKUP(BB367,Lists!$A$2:$C$12,3,FALSE),"")</f>
        <v/>
      </c>
      <c r="BD367" s="31">
        <f>COUNTIF(W367:AC367,"Yes")</f>
        <v/>
      </c>
      <c r="BE367" s="31">
        <f>IF(TRIM(B367)="","Legal name missing; ","")&amp;IF(AND(AV367&lt;&gt;"",AV367&lt;&gt;"OK"),"GSTIN: "&amp;AV367&amp;"; ","")&amp;IF(AND(AW367&lt;&gt;"",AW367&lt;&gt;"OK"),"PAN wrong format; ","")&amp;IF(AND(BA367&lt;&gt;"",LEN(AZ367)=15,MID(AZ367,3,10)&lt;&gt;BA367),"PAN does not match GSTIN; ","")&amp;IF(AND(AX367&lt;&gt;"",AX367&lt;&gt;"OK"),"TAN wrong format; ","")&amp;IF(AS367="","PAN missing; ","")&amp;IF(BB367="","Entity type missing; ","")&amp;IF(AND(AZ367&lt;&gt;"",COUNTIF($AZ$6:$AZ$1005,AZ367)&gt;1),"GSTIN repeated in this sheet; ","")&amp;IF(AND(AS367&lt;&gt;"",COUNTIF($AS$6:$AS$1005,AS367)&gt;1),"PAN repeated in this sheet (same client? put extra GSTINs in Other GSTINs); ","")&amp;IF(AND(BD367&gt;0,V367=""),"Financial year missing; ","")&amp;IF(AND(BD367=0,V367&lt;&gt;""),"Financial year given but no service is Yes; ","")&amp;IF(AND(W367="Yes",AZ367=""),"GST needs a GSTIN; ","")&amp;IF(AND(W367="Yes",X367=""),"GST return frequency missing; ","")&amp;IF(AND(Y367="Yes",TRIM(H367)=""),"TDS needs a TAN; ","")&amp;IF(AND(AA367="Yes",BC367&lt;&gt;"",BC367&lt;&gt;"company",BC367&lt;&gt;"llp"),"ROC is only for a company / LLP; ","")&amp;IF(AND(AA367="Yes",OR(BC367="company",BC367="llp"),TRIM(I367)=""),"ROC needs the CIN / LLPIN; ","")&amp;IF((TRIM(AF367)="")&lt;&gt;(TRIM(AG367)=""),"GST login needs both user ID and password; ","")&amp;IF((TRIM(AH367)="")&lt;&gt;(TRIM(AI367)=""),"Income-tax login needs both user ID and password; ","")&amp;IF((TRIM(AJ367)="")&lt;&gt;(TRIM(AK367)=""),"Income-tax login needs both user ID and password; ","")&amp;IF((TRIM(AL367)="")&lt;&gt;(TRIM(AM367)=""),"TRACES login needs both user ID and password; ","")&amp;IF((TRIM(AN367)="")&lt;&gt;(TRIM(AO367)=""),"MCA login needs both user ID and password; ","")&amp;IF((TRIM(AP367)="")&lt;&gt;(TRIM(AQ367)=""),"E-way bill login needs both user ID and password; ","")</f>
        <v/>
      </c>
    </row>
    <row r="368">
      <c r="A368" s="32" t="n"/>
      <c r="B368" s="33" t="n"/>
      <c r="C368" s="33" t="n"/>
      <c r="D368" s="33" t="n"/>
      <c r="E368" s="32" t="n"/>
      <c r="F368" s="32" t="n"/>
      <c r="G368" s="32" t="n"/>
      <c r="H368" s="32" t="n"/>
      <c r="I368" s="32" t="n"/>
      <c r="J368" s="34" t="n"/>
      <c r="K368" s="33" t="n"/>
      <c r="L368" s="32" t="n"/>
      <c r="M368" s="33" t="n"/>
      <c r="N368" s="33" t="n"/>
      <c r="O368" s="33" t="n"/>
      <c r="P368" s="32" t="n"/>
      <c r="Q368" s="33" t="n"/>
      <c r="R368" s="33" t="n"/>
      <c r="S368" s="33" t="n"/>
      <c r="T368" s="33" t="n"/>
      <c r="U368" s="32" t="n"/>
      <c r="V368" s="33" t="n"/>
      <c r="W368" s="33" t="n"/>
      <c r="X368" s="33" t="n"/>
      <c r="Y368" s="33" t="n"/>
      <c r="Z368" s="33" t="n"/>
      <c r="AA368" s="33" t="n"/>
      <c r="AB368" s="33" t="n"/>
      <c r="AC368" s="33" t="n"/>
      <c r="AD368" s="33" t="n"/>
      <c r="AE368" s="33" t="n"/>
      <c r="AF368" s="32" t="n"/>
      <c r="AG368" s="32" t="n"/>
      <c r="AH368" s="32" t="n"/>
      <c r="AI368" s="32" t="n"/>
      <c r="AJ368" s="32" t="n"/>
      <c r="AK368" s="32" t="n"/>
      <c r="AL368" s="32" t="n"/>
      <c r="AM368" s="32" t="n"/>
      <c r="AN368" s="32" t="n"/>
      <c r="AO368" s="32" t="n"/>
      <c r="AP368" s="32" t="n"/>
      <c r="AQ368" s="32" t="n"/>
      <c r="AR368" s="29">
        <f>IF(NOT(COUNTA(A368:AE368)&gt;0),"",IF(A368="","New client","Update"))</f>
        <v/>
      </c>
      <c r="AS368" s="29">
        <f>IF(BA368&lt;&gt;"",BA368,IF(LEN(AZ368)=15,MID(AZ368,3,10),""))</f>
        <v/>
      </c>
      <c r="AT368" s="29">
        <f>IF(BB368="","",BB368&amp;IF(D368="","  (guessed from PAN)",""))</f>
        <v/>
      </c>
      <c r="AU368" s="29">
        <f>IF(AZ368="","",IFERROR(INDEX(Lists!$L$2:$L$38,MATCH(LEFT(AZ368,2),Lists!$K$2:$K$38,0)),"Unknown code"))</f>
        <v/>
      </c>
      <c r="AV368" s="29">
        <f>IF(AZ368="","",IFERROR(IF(NOT(AND(LEN(AZ368)=15,ISNUMBER(MATCH(LEFT(AZ368,2),Lists!$K$2:$K$38,0)),SUMPRODUCT(--ISERROR(FIND(MID(MID(AZ368,3,10),{1,2,3,4,5,10},1),"ABCDEFGHIJKLMNOPQRSTUVWXYZ")))=0,SUMPRODUCT(--ISERROR(FIND(MID(MID(AZ368,3,10),{6,7,8,9},1),"0123456789")))=0,ISNUMBER(FIND(MID(AZ368,13,1),"123456789ABCDEFGHIJKLMNOPQRSTUVWXYZ")),MID(AZ368,14,1)="Z")),"Wrong format",IF(MID("0123456789ABCDEFGHIJKLMNOPQRSTUVWXYZ",MOD(36-MOD(SUMPRODUCT(INT((FIND(MID(AZ368,{1,2,3,4,5,6,7,8,9,10,11,12,13,14},1),"0123456789ABCDEFGHIJKLMNOPQRSTUVWXYZ")-1)*{1,2,1,2,1,2,1,2,1,2,1,2,1,2}/36)+MOD((FIND(MID(AZ368,{1,2,3,4,5,6,7,8,9,10,11,12,13,14},1),"0123456789ABCDEFGHIJKLMNOPQRSTUVWXYZ")-1)*{1,2,1,2,1,2,1,2,1,2,1,2,1,2},36)),36),36)+1,1)=MID(AZ368,15,1),"OK","Typo? check digit wrong")),"Wrong format"))</f>
        <v/>
      </c>
      <c r="AW368" s="29">
        <f>IF(BA368="","",IF(AND(LEN(BA368)=10,SUMPRODUCT(--ISERROR(FIND(MID(BA368,{1,2,3,4,5,10},1),"ABCDEFGHIJKLMNOPQRSTUVWXYZ")))=0,SUMPRODUCT(--ISERROR(FIND(MID(BA368,{6,7,8,9},1),"0123456789")))=0),"OK","Wrong format"))</f>
        <v/>
      </c>
      <c r="AX368" s="29">
        <f>IF(TRIM(H368)="","",IF(AND(LEN(UPPER(TRIM(H368)))=10,SUMPRODUCT(--ISERROR(FIND(MID(UPPER(TRIM(H368)),{1,2,3,4,10},1),"ABCDEFGHIJKLMNOPQRSTUVWXYZ")))=0,SUMPRODUCT(--ISERROR(FIND(MID(UPPER(TRIM(H368)),{5,6,7,8,9},1),"0123456789")))=0),"OK","Wrong format"))</f>
        <v/>
      </c>
      <c r="AY368" s="30">
        <f>IF(NOT(COUNTA(A368:AE368)&gt;0),"",IF(BE368&lt;&gt;"","✖ "&amp;LEFT(BE368,LEN(BE368)-2),IF(BD368&gt;0,"✔ Ready — client + "&amp;BD368&amp;" service(s)","✔ Ready — client only")))</f>
        <v/>
      </c>
      <c r="AZ368" s="31">
        <f>UPPER(SUBSTITUTE(TRIM(F368)," ",""))</f>
        <v/>
      </c>
      <c r="BA368" s="31">
        <f>UPPER(SUBSTITUTE(TRIM(E368)," ",""))</f>
        <v/>
      </c>
      <c r="BB368" s="31">
        <f>IF(D368&lt;&gt;"",D368,IFERROR(VLOOKUP(MID(AS368,4,1),Lists!$E$2:$F$8,2,FALSE),""))</f>
        <v/>
      </c>
      <c r="BC368" s="31">
        <f>IFERROR(VLOOKUP(BB368,Lists!$A$2:$C$12,3,FALSE),"")</f>
        <v/>
      </c>
      <c r="BD368" s="31">
        <f>COUNTIF(W368:AC368,"Yes")</f>
        <v/>
      </c>
      <c r="BE368" s="31">
        <f>IF(TRIM(B368)="","Legal name missing; ","")&amp;IF(AND(AV368&lt;&gt;"",AV368&lt;&gt;"OK"),"GSTIN: "&amp;AV368&amp;"; ","")&amp;IF(AND(AW368&lt;&gt;"",AW368&lt;&gt;"OK"),"PAN wrong format; ","")&amp;IF(AND(BA368&lt;&gt;"",LEN(AZ368)=15,MID(AZ368,3,10)&lt;&gt;BA368),"PAN does not match GSTIN; ","")&amp;IF(AND(AX368&lt;&gt;"",AX368&lt;&gt;"OK"),"TAN wrong format; ","")&amp;IF(AS368="","PAN missing; ","")&amp;IF(BB368="","Entity type missing; ","")&amp;IF(AND(AZ368&lt;&gt;"",COUNTIF($AZ$6:$AZ$1005,AZ368)&gt;1),"GSTIN repeated in this sheet; ","")&amp;IF(AND(AS368&lt;&gt;"",COUNTIF($AS$6:$AS$1005,AS368)&gt;1),"PAN repeated in this sheet (same client? put extra GSTINs in Other GSTINs); ","")&amp;IF(AND(BD368&gt;0,V368=""),"Financial year missing; ","")&amp;IF(AND(BD368=0,V368&lt;&gt;""),"Financial year given but no service is Yes; ","")&amp;IF(AND(W368="Yes",AZ368=""),"GST needs a GSTIN; ","")&amp;IF(AND(W368="Yes",X368=""),"GST return frequency missing; ","")&amp;IF(AND(Y368="Yes",TRIM(H368)=""),"TDS needs a TAN; ","")&amp;IF(AND(AA368="Yes",BC368&lt;&gt;"",BC368&lt;&gt;"company",BC368&lt;&gt;"llp"),"ROC is only for a company / LLP; ","")&amp;IF(AND(AA368="Yes",OR(BC368="company",BC368="llp"),TRIM(I368)=""),"ROC needs the CIN / LLPIN; ","")&amp;IF((TRIM(AF368)="")&lt;&gt;(TRIM(AG368)=""),"GST login needs both user ID and password; ","")&amp;IF((TRIM(AH368)="")&lt;&gt;(TRIM(AI368)=""),"Income-tax login needs both user ID and password; ","")&amp;IF((TRIM(AJ368)="")&lt;&gt;(TRIM(AK368)=""),"Income-tax login needs both user ID and password; ","")&amp;IF((TRIM(AL368)="")&lt;&gt;(TRIM(AM368)=""),"TRACES login needs both user ID and password; ","")&amp;IF((TRIM(AN368)="")&lt;&gt;(TRIM(AO368)=""),"MCA login needs both user ID and password; ","")&amp;IF((TRIM(AP368)="")&lt;&gt;(TRIM(AQ368)=""),"E-way bill login needs both user ID and password; ","")</f>
        <v/>
      </c>
    </row>
    <row r="369">
      <c r="A369" s="32" t="n"/>
      <c r="B369" s="33" t="n"/>
      <c r="C369" s="33" t="n"/>
      <c r="D369" s="33" t="n"/>
      <c r="E369" s="32" t="n"/>
      <c r="F369" s="32" t="n"/>
      <c r="G369" s="32" t="n"/>
      <c r="H369" s="32" t="n"/>
      <c r="I369" s="32" t="n"/>
      <c r="J369" s="34" t="n"/>
      <c r="K369" s="33" t="n"/>
      <c r="L369" s="32" t="n"/>
      <c r="M369" s="33" t="n"/>
      <c r="N369" s="33" t="n"/>
      <c r="O369" s="33" t="n"/>
      <c r="P369" s="32" t="n"/>
      <c r="Q369" s="33" t="n"/>
      <c r="R369" s="33" t="n"/>
      <c r="S369" s="33" t="n"/>
      <c r="T369" s="33" t="n"/>
      <c r="U369" s="32" t="n"/>
      <c r="V369" s="33" t="n"/>
      <c r="W369" s="33" t="n"/>
      <c r="X369" s="33" t="n"/>
      <c r="Y369" s="33" t="n"/>
      <c r="Z369" s="33" t="n"/>
      <c r="AA369" s="33" t="n"/>
      <c r="AB369" s="33" t="n"/>
      <c r="AC369" s="33" t="n"/>
      <c r="AD369" s="33" t="n"/>
      <c r="AE369" s="33" t="n"/>
      <c r="AF369" s="32" t="n"/>
      <c r="AG369" s="32" t="n"/>
      <c r="AH369" s="32" t="n"/>
      <c r="AI369" s="32" t="n"/>
      <c r="AJ369" s="32" t="n"/>
      <c r="AK369" s="32" t="n"/>
      <c r="AL369" s="32" t="n"/>
      <c r="AM369" s="32" t="n"/>
      <c r="AN369" s="32" t="n"/>
      <c r="AO369" s="32" t="n"/>
      <c r="AP369" s="32" t="n"/>
      <c r="AQ369" s="32" t="n"/>
      <c r="AR369" s="29">
        <f>IF(NOT(COUNTA(A369:AE369)&gt;0),"",IF(A369="","New client","Update"))</f>
        <v/>
      </c>
      <c r="AS369" s="29">
        <f>IF(BA369&lt;&gt;"",BA369,IF(LEN(AZ369)=15,MID(AZ369,3,10),""))</f>
        <v/>
      </c>
      <c r="AT369" s="29">
        <f>IF(BB369="","",BB369&amp;IF(D369="","  (guessed from PAN)",""))</f>
        <v/>
      </c>
      <c r="AU369" s="29">
        <f>IF(AZ369="","",IFERROR(INDEX(Lists!$L$2:$L$38,MATCH(LEFT(AZ369,2),Lists!$K$2:$K$38,0)),"Unknown code"))</f>
        <v/>
      </c>
      <c r="AV369" s="29">
        <f>IF(AZ369="","",IFERROR(IF(NOT(AND(LEN(AZ369)=15,ISNUMBER(MATCH(LEFT(AZ369,2),Lists!$K$2:$K$38,0)),SUMPRODUCT(--ISERROR(FIND(MID(MID(AZ369,3,10),{1,2,3,4,5,10},1),"ABCDEFGHIJKLMNOPQRSTUVWXYZ")))=0,SUMPRODUCT(--ISERROR(FIND(MID(MID(AZ369,3,10),{6,7,8,9},1),"0123456789")))=0,ISNUMBER(FIND(MID(AZ369,13,1),"123456789ABCDEFGHIJKLMNOPQRSTUVWXYZ")),MID(AZ369,14,1)="Z")),"Wrong format",IF(MID("0123456789ABCDEFGHIJKLMNOPQRSTUVWXYZ",MOD(36-MOD(SUMPRODUCT(INT((FIND(MID(AZ369,{1,2,3,4,5,6,7,8,9,10,11,12,13,14},1),"0123456789ABCDEFGHIJKLMNOPQRSTUVWXYZ")-1)*{1,2,1,2,1,2,1,2,1,2,1,2,1,2}/36)+MOD((FIND(MID(AZ369,{1,2,3,4,5,6,7,8,9,10,11,12,13,14},1),"0123456789ABCDEFGHIJKLMNOPQRSTUVWXYZ")-1)*{1,2,1,2,1,2,1,2,1,2,1,2,1,2},36)),36),36)+1,1)=MID(AZ369,15,1),"OK","Typo? check digit wrong")),"Wrong format"))</f>
        <v/>
      </c>
      <c r="AW369" s="29">
        <f>IF(BA369="","",IF(AND(LEN(BA369)=10,SUMPRODUCT(--ISERROR(FIND(MID(BA369,{1,2,3,4,5,10},1),"ABCDEFGHIJKLMNOPQRSTUVWXYZ")))=0,SUMPRODUCT(--ISERROR(FIND(MID(BA369,{6,7,8,9},1),"0123456789")))=0),"OK","Wrong format"))</f>
        <v/>
      </c>
      <c r="AX369" s="29">
        <f>IF(TRIM(H369)="","",IF(AND(LEN(UPPER(TRIM(H369)))=10,SUMPRODUCT(--ISERROR(FIND(MID(UPPER(TRIM(H369)),{1,2,3,4,10},1),"ABCDEFGHIJKLMNOPQRSTUVWXYZ")))=0,SUMPRODUCT(--ISERROR(FIND(MID(UPPER(TRIM(H369)),{5,6,7,8,9},1),"0123456789")))=0),"OK","Wrong format"))</f>
        <v/>
      </c>
      <c r="AY369" s="30">
        <f>IF(NOT(COUNTA(A369:AE369)&gt;0),"",IF(BE369&lt;&gt;"","✖ "&amp;LEFT(BE369,LEN(BE369)-2),IF(BD369&gt;0,"✔ Ready — client + "&amp;BD369&amp;" service(s)","✔ Ready — client only")))</f>
        <v/>
      </c>
      <c r="AZ369" s="31">
        <f>UPPER(SUBSTITUTE(TRIM(F369)," ",""))</f>
        <v/>
      </c>
      <c r="BA369" s="31">
        <f>UPPER(SUBSTITUTE(TRIM(E369)," ",""))</f>
        <v/>
      </c>
      <c r="BB369" s="31">
        <f>IF(D369&lt;&gt;"",D369,IFERROR(VLOOKUP(MID(AS369,4,1),Lists!$E$2:$F$8,2,FALSE),""))</f>
        <v/>
      </c>
      <c r="BC369" s="31">
        <f>IFERROR(VLOOKUP(BB369,Lists!$A$2:$C$12,3,FALSE),"")</f>
        <v/>
      </c>
      <c r="BD369" s="31">
        <f>COUNTIF(W369:AC369,"Yes")</f>
        <v/>
      </c>
      <c r="BE369" s="31">
        <f>IF(TRIM(B369)="","Legal name missing; ","")&amp;IF(AND(AV369&lt;&gt;"",AV369&lt;&gt;"OK"),"GSTIN: "&amp;AV369&amp;"; ","")&amp;IF(AND(AW369&lt;&gt;"",AW369&lt;&gt;"OK"),"PAN wrong format; ","")&amp;IF(AND(BA369&lt;&gt;"",LEN(AZ369)=15,MID(AZ369,3,10)&lt;&gt;BA369),"PAN does not match GSTIN; ","")&amp;IF(AND(AX369&lt;&gt;"",AX369&lt;&gt;"OK"),"TAN wrong format; ","")&amp;IF(AS369="","PAN missing; ","")&amp;IF(BB369="","Entity type missing; ","")&amp;IF(AND(AZ369&lt;&gt;"",COUNTIF($AZ$6:$AZ$1005,AZ369)&gt;1),"GSTIN repeated in this sheet; ","")&amp;IF(AND(AS369&lt;&gt;"",COUNTIF($AS$6:$AS$1005,AS369)&gt;1),"PAN repeated in this sheet (same client? put extra GSTINs in Other GSTINs); ","")&amp;IF(AND(BD369&gt;0,V369=""),"Financial year missing; ","")&amp;IF(AND(BD369=0,V369&lt;&gt;""),"Financial year given but no service is Yes; ","")&amp;IF(AND(W369="Yes",AZ369=""),"GST needs a GSTIN; ","")&amp;IF(AND(W369="Yes",X369=""),"GST return frequency missing; ","")&amp;IF(AND(Y369="Yes",TRIM(H369)=""),"TDS needs a TAN; ","")&amp;IF(AND(AA369="Yes",BC369&lt;&gt;"",BC369&lt;&gt;"company",BC369&lt;&gt;"llp"),"ROC is only for a company / LLP; ","")&amp;IF(AND(AA369="Yes",OR(BC369="company",BC369="llp"),TRIM(I369)=""),"ROC needs the CIN / LLPIN; ","")&amp;IF((TRIM(AF369)="")&lt;&gt;(TRIM(AG369)=""),"GST login needs both user ID and password; ","")&amp;IF((TRIM(AH369)="")&lt;&gt;(TRIM(AI369)=""),"Income-tax login needs both user ID and password; ","")&amp;IF((TRIM(AJ369)="")&lt;&gt;(TRIM(AK369)=""),"Income-tax login needs both user ID and password; ","")&amp;IF((TRIM(AL369)="")&lt;&gt;(TRIM(AM369)=""),"TRACES login needs both user ID and password; ","")&amp;IF((TRIM(AN369)="")&lt;&gt;(TRIM(AO369)=""),"MCA login needs both user ID and password; ","")&amp;IF((TRIM(AP369)="")&lt;&gt;(TRIM(AQ369)=""),"E-way bill login needs both user ID and password; ","")</f>
        <v/>
      </c>
    </row>
    <row r="370">
      <c r="A370" s="32" t="n"/>
      <c r="B370" s="33" t="n"/>
      <c r="C370" s="33" t="n"/>
      <c r="D370" s="33" t="n"/>
      <c r="E370" s="32" t="n"/>
      <c r="F370" s="32" t="n"/>
      <c r="G370" s="32" t="n"/>
      <c r="H370" s="32" t="n"/>
      <c r="I370" s="32" t="n"/>
      <c r="J370" s="34" t="n"/>
      <c r="K370" s="33" t="n"/>
      <c r="L370" s="32" t="n"/>
      <c r="M370" s="33" t="n"/>
      <c r="N370" s="33" t="n"/>
      <c r="O370" s="33" t="n"/>
      <c r="P370" s="32" t="n"/>
      <c r="Q370" s="33" t="n"/>
      <c r="R370" s="33" t="n"/>
      <c r="S370" s="33" t="n"/>
      <c r="T370" s="33" t="n"/>
      <c r="U370" s="32" t="n"/>
      <c r="V370" s="33" t="n"/>
      <c r="W370" s="33" t="n"/>
      <c r="X370" s="33" t="n"/>
      <c r="Y370" s="33" t="n"/>
      <c r="Z370" s="33" t="n"/>
      <c r="AA370" s="33" t="n"/>
      <c r="AB370" s="33" t="n"/>
      <c r="AC370" s="33" t="n"/>
      <c r="AD370" s="33" t="n"/>
      <c r="AE370" s="33" t="n"/>
      <c r="AF370" s="32" t="n"/>
      <c r="AG370" s="32" t="n"/>
      <c r="AH370" s="32" t="n"/>
      <c r="AI370" s="32" t="n"/>
      <c r="AJ370" s="32" t="n"/>
      <c r="AK370" s="32" t="n"/>
      <c r="AL370" s="32" t="n"/>
      <c r="AM370" s="32" t="n"/>
      <c r="AN370" s="32" t="n"/>
      <c r="AO370" s="32" t="n"/>
      <c r="AP370" s="32" t="n"/>
      <c r="AQ370" s="32" t="n"/>
      <c r="AR370" s="29">
        <f>IF(NOT(COUNTA(A370:AE370)&gt;0),"",IF(A370="","New client","Update"))</f>
        <v/>
      </c>
      <c r="AS370" s="29">
        <f>IF(BA370&lt;&gt;"",BA370,IF(LEN(AZ370)=15,MID(AZ370,3,10),""))</f>
        <v/>
      </c>
      <c r="AT370" s="29">
        <f>IF(BB370="","",BB370&amp;IF(D370="","  (guessed from PAN)",""))</f>
        <v/>
      </c>
      <c r="AU370" s="29">
        <f>IF(AZ370="","",IFERROR(INDEX(Lists!$L$2:$L$38,MATCH(LEFT(AZ370,2),Lists!$K$2:$K$38,0)),"Unknown code"))</f>
        <v/>
      </c>
      <c r="AV370" s="29">
        <f>IF(AZ370="","",IFERROR(IF(NOT(AND(LEN(AZ370)=15,ISNUMBER(MATCH(LEFT(AZ370,2),Lists!$K$2:$K$38,0)),SUMPRODUCT(--ISERROR(FIND(MID(MID(AZ370,3,10),{1,2,3,4,5,10},1),"ABCDEFGHIJKLMNOPQRSTUVWXYZ")))=0,SUMPRODUCT(--ISERROR(FIND(MID(MID(AZ370,3,10),{6,7,8,9},1),"0123456789")))=0,ISNUMBER(FIND(MID(AZ370,13,1),"123456789ABCDEFGHIJKLMNOPQRSTUVWXYZ")),MID(AZ370,14,1)="Z")),"Wrong format",IF(MID("0123456789ABCDEFGHIJKLMNOPQRSTUVWXYZ",MOD(36-MOD(SUMPRODUCT(INT((FIND(MID(AZ370,{1,2,3,4,5,6,7,8,9,10,11,12,13,14},1),"0123456789ABCDEFGHIJKLMNOPQRSTUVWXYZ")-1)*{1,2,1,2,1,2,1,2,1,2,1,2,1,2}/36)+MOD((FIND(MID(AZ370,{1,2,3,4,5,6,7,8,9,10,11,12,13,14},1),"0123456789ABCDEFGHIJKLMNOPQRSTUVWXYZ")-1)*{1,2,1,2,1,2,1,2,1,2,1,2,1,2},36)),36),36)+1,1)=MID(AZ370,15,1),"OK","Typo? check digit wrong")),"Wrong format"))</f>
        <v/>
      </c>
      <c r="AW370" s="29">
        <f>IF(BA370="","",IF(AND(LEN(BA370)=10,SUMPRODUCT(--ISERROR(FIND(MID(BA370,{1,2,3,4,5,10},1),"ABCDEFGHIJKLMNOPQRSTUVWXYZ")))=0,SUMPRODUCT(--ISERROR(FIND(MID(BA370,{6,7,8,9},1),"0123456789")))=0),"OK","Wrong format"))</f>
        <v/>
      </c>
      <c r="AX370" s="29">
        <f>IF(TRIM(H370)="","",IF(AND(LEN(UPPER(TRIM(H370)))=10,SUMPRODUCT(--ISERROR(FIND(MID(UPPER(TRIM(H370)),{1,2,3,4,10},1),"ABCDEFGHIJKLMNOPQRSTUVWXYZ")))=0,SUMPRODUCT(--ISERROR(FIND(MID(UPPER(TRIM(H370)),{5,6,7,8,9},1),"0123456789")))=0),"OK","Wrong format"))</f>
        <v/>
      </c>
      <c r="AY370" s="30">
        <f>IF(NOT(COUNTA(A370:AE370)&gt;0),"",IF(BE370&lt;&gt;"","✖ "&amp;LEFT(BE370,LEN(BE370)-2),IF(BD370&gt;0,"✔ Ready — client + "&amp;BD370&amp;" service(s)","✔ Ready — client only")))</f>
        <v/>
      </c>
      <c r="AZ370" s="31">
        <f>UPPER(SUBSTITUTE(TRIM(F370)," ",""))</f>
        <v/>
      </c>
      <c r="BA370" s="31">
        <f>UPPER(SUBSTITUTE(TRIM(E370)," ",""))</f>
        <v/>
      </c>
      <c r="BB370" s="31">
        <f>IF(D370&lt;&gt;"",D370,IFERROR(VLOOKUP(MID(AS370,4,1),Lists!$E$2:$F$8,2,FALSE),""))</f>
        <v/>
      </c>
      <c r="BC370" s="31">
        <f>IFERROR(VLOOKUP(BB370,Lists!$A$2:$C$12,3,FALSE),"")</f>
        <v/>
      </c>
      <c r="BD370" s="31">
        <f>COUNTIF(W370:AC370,"Yes")</f>
        <v/>
      </c>
      <c r="BE370" s="31">
        <f>IF(TRIM(B370)="","Legal name missing; ","")&amp;IF(AND(AV370&lt;&gt;"",AV370&lt;&gt;"OK"),"GSTIN: "&amp;AV370&amp;"; ","")&amp;IF(AND(AW370&lt;&gt;"",AW370&lt;&gt;"OK"),"PAN wrong format; ","")&amp;IF(AND(BA370&lt;&gt;"",LEN(AZ370)=15,MID(AZ370,3,10)&lt;&gt;BA370),"PAN does not match GSTIN; ","")&amp;IF(AND(AX370&lt;&gt;"",AX370&lt;&gt;"OK"),"TAN wrong format; ","")&amp;IF(AS370="","PAN missing; ","")&amp;IF(BB370="","Entity type missing; ","")&amp;IF(AND(AZ370&lt;&gt;"",COUNTIF($AZ$6:$AZ$1005,AZ370)&gt;1),"GSTIN repeated in this sheet; ","")&amp;IF(AND(AS370&lt;&gt;"",COUNTIF($AS$6:$AS$1005,AS370)&gt;1),"PAN repeated in this sheet (same client? put extra GSTINs in Other GSTINs); ","")&amp;IF(AND(BD370&gt;0,V370=""),"Financial year missing; ","")&amp;IF(AND(BD370=0,V370&lt;&gt;""),"Financial year given but no service is Yes; ","")&amp;IF(AND(W370="Yes",AZ370=""),"GST needs a GSTIN; ","")&amp;IF(AND(W370="Yes",X370=""),"GST return frequency missing; ","")&amp;IF(AND(Y370="Yes",TRIM(H370)=""),"TDS needs a TAN; ","")&amp;IF(AND(AA370="Yes",BC370&lt;&gt;"",BC370&lt;&gt;"company",BC370&lt;&gt;"llp"),"ROC is only for a company / LLP; ","")&amp;IF(AND(AA370="Yes",OR(BC370="company",BC370="llp"),TRIM(I370)=""),"ROC needs the CIN / LLPIN; ","")&amp;IF((TRIM(AF370)="")&lt;&gt;(TRIM(AG370)=""),"GST login needs both user ID and password; ","")&amp;IF((TRIM(AH370)="")&lt;&gt;(TRIM(AI370)=""),"Income-tax login needs both user ID and password; ","")&amp;IF((TRIM(AJ370)="")&lt;&gt;(TRIM(AK370)=""),"Income-tax login needs both user ID and password; ","")&amp;IF((TRIM(AL370)="")&lt;&gt;(TRIM(AM370)=""),"TRACES login needs both user ID and password; ","")&amp;IF((TRIM(AN370)="")&lt;&gt;(TRIM(AO370)=""),"MCA login needs both user ID and password; ","")&amp;IF((TRIM(AP370)="")&lt;&gt;(TRIM(AQ370)=""),"E-way bill login needs both user ID and password; ","")</f>
        <v/>
      </c>
    </row>
    <row r="371">
      <c r="A371" s="32" t="n"/>
      <c r="B371" s="33" t="n"/>
      <c r="C371" s="33" t="n"/>
      <c r="D371" s="33" t="n"/>
      <c r="E371" s="32" t="n"/>
      <c r="F371" s="32" t="n"/>
      <c r="G371" s="32" t="n"/>
      <c r="H371" s="32" t="n"/>
      <c r="I371" s="32" t="n"/>
      <c r="J371" s="34" t="n"/>
      <c r="K371" s="33" t="n"/>
      <c r="L371" s="32" t="n"/>
      <c r="M371" s="33" t="n"/>
      <c r="N371" s="33" t="n"/>
      <c r="O371" s="33" t="n"/>
      <c r="P371" s="32" t="n"/>
      <c r="Q371" s="33" t="n"/>
      <c r="R371" s="33" t="n"/>
      <c r="S371" s="33" t="n"/>
      <c r="T371" s="33" t="n"/>
      <c r="U371" s="32" t="n"/>
      <c r="V371" s="33" t="n"/>
      <c r="W371" s="33" t="n"/>
      <c r="X371" s="33" t="n"/>
      <c r="Y371" s="33" t="n"/>
      <c r="Z371" s="33" t="n"/>
      <c r="AA371" s="33" t="n"/>
      <c r="AB371" s="33" t="n"/>
      <c r="AC371" s="33" t="n"/>
      <c r="AD371" s="33" t="n"/>
      <c r="AE371" s="33" t="n"/>
      <c r="AF371" s="32" t="n"/>
      <c r="AG371" s="32" t="n"/>
      <c r="AH371" s="32" t="n"/>
      <c r="AI371" s="32" t="n"/>
      <c r="AJ371" s="32" t="n"/>
      <c r="AK371" s="32" t="n"/>
      <c r="AL371" s="32" t="n"/>
      <c r="AM371" s="32" t="n"/>
      <c r="AN371" s="32" t="n"/>
      <c r="AO371" s="32" t="n"/>
      <c r="AP371" s="32" t="n"/>
      <c r="AQ371" s="32" t="n"/>
      <c r="AR371" s="29">
        <f>IF(NOT(COUNTA(A371:AE371)&gt;0),"",IF(A371="","New client","Update"))</f>
        <v/>
      </c>
      <c r="AS371" s="29">
        <f>IF(BA371&lt;&gt;"",BA371,IF(LEN(AZ371)=15,MID(AZ371,3,10),""))</f>
        <v/>
      </c>
      <c r="AT371" s="29">
        <f>IF(BB371="","",BB371&amp;IF(D371="","  (guessed from PAN)",""))</f>
        <v/>
      </c>
      <c r="AU371" s="29">
        <f>IF(AZ371="","",IFERROR(INDEX(Lists!$L$2:$L$38,MATCH(LEFT(AZ371,2),Lists!$K$2:$K$38,0)),"Unknown code"))</f>
        <v/>
      </c>
      <c r="AV371" s="29">
        <f>IF(AZ371="","",IFERROR(IF(NOT(AND(LEN(AZ371)=15,ISNUMBER(MATCH(LEFT(AZ371,2),Lists!$K$2:$K$38,0)),SUMPRODUCT(--ISERROR(FIND(MID(MID(AZ371,3,10),{1,2,3,4,5,10},1),"ABCDEFGHIJKLMNOPQRSTUVWXYZ")))=0,SUMPRODUCT(--ISERROR(FIND(MID(MID(AZ371,3,10),{6,7,8,9},1),"0123456789")))=0,ISNUMBER(FIND(MID(AZ371,13,1),"123456789ABCDEFGHIJKLMNOPQRSTUVWXYZ")),MID(AZ371,14,1)="Z")),"Wrong format",IF(MID("0123456789ABCDEFGHIJKLMNOPQRSTUVWXYZ",MOD(36-MOD(SUMPRODUCT(INT((FIND(MID(AZ371,{1,2,3,4,5,6,7,8,9,10,11,12,13,14},1),"0123456789ABCDEFGHIJKLMNOPQRSTUVWXYZ")-1)*{1,2,1,2,1,2,1,2,1,2,1,2,1,2}/36)+MOD((FIND(MID(AZ371,{1,2,3,4,5,6,7,8,9,10,11,12,13,14},1),"0123456789ABCDEFGHIJKLMNOPQRSTUVWXYZ")-1)*{1,2,1,2,1,2,1,2,1,2,1,2,1,2},36)),36),36)+1,1)=MID(AZ371,15,1),"OK","Typo? check digit wrong")),"Wrong format"))</f>
        <v/>
      </c>
      <c r="AW371" s="29">
        <f>IF(BA371="","",IF(AND(LEN(BA371)=10,SUMPRODUCT(--ISERROR(FIND(MID(BA371,{1,2,3,4,5,10},1),"ABCDEFGHIJKLMNOPQRSTUVWXYZ")))=0,SUMPRODUCT(--ISERROR(FIND(MID(BA371,{6,7,8,9},1),"0123456789")))=0),"OK","Wrong format"))</f>
        <v/>
      </c>
      <c r="AX371" s="29">
        <f>IF(TRIM(H371)="","",IF(AND(LEN(UPPER(TRIM(H371)))=10,SUMPRODUCT(--ISERROR(FIND(MID(UPPER(TRIM(H371)),{1,2,3,4,10},1),"ABCDEFGHIJKLMNOPQRSTUVWXYZ")))=0,SUMPRODUCT(--ISERROR(FIND(MID(UPPER(TRIM(H371)),{5,6,7,8,9},1),"0123456789")))=0),"OK","Wrong format"))</f>
        <v/>
      </c>
      <c r="AY371" s="30">
        <f>IF(NOT(COUNTA(A371:AE371)&gt;0),"",IF(BE371&lt;&gt;"","✖ "&amp;LEFT(BE371,LEN(BE371)-2),IF(BD371&gt;0,"✔ Ready — client + "&amp;BD371&amp;" service(s)","✔ Ready — client only")))</f>
        <v/>
      </c>
      <c r="AZ371" s="31">
        <f>UPPER(SUBSTITUTE(TRIM(F371)," ",""))</f>
        <v/>
      </c>
      <c r="BA371" s="31">
        <f>UPPER(SUBSTITUTE(TRIM(E371)," ",""))</f>
        <v/>
      </c>
      <c r="BB371" s="31">
        <f>IF(D371&lt;&gt;"",D371,IFERROR(VLOOKUP(MID(AS371,4,1),Lists!$E$2:$F$8,2,FALSE),""))</f>
        <v/>
      </c>
      <c r="BC371" s="31">
        <f>IFERROR(VLOOKUP(BB371,Lists!$A$2:$C$12,3,FALSE),"")</f>
        <v/>
      </c>
      <c r="BD371" s="31">
        <f>COUNTIF(W371:AC371,"Yes")</f>
        <v/>
      </c>
      <c r="BE371" s="31">
        <f>IF(TRIM(B371)="","Legal name missing; ","")&amp;IF(AND(AV371&lt;&gt;"",AV371&lt;&gt;"OK"),"GSTIN: "&amp;AV371&amp;"; ","")&amp;IF(AND(AW371&lt;&gt;"",AW371&lt;&gt;"OK"),"PAN wrong format; ","")&amp;IF(AND(BA371&lt;&gt;"",LEN(AZ371)=15,MID(AZ371,3,10)&lt;&gt;BA371),"PAN does not match GSTIN; ","")&amp;IF(AND(AX371&lt;&gt;"",AX371&lt;&gt;"OK"),"TAN wrong format; ","")&amp;IF(AS371="","PAN missing; ","")&amp;IF(BB371="","Entity type missing; ","")&amp;IF(AND(AZ371&lt;&gt;"",COUNTIF($AZ$6:$AZ$1005,AZ371)&gt;1),"GSTIN repeated in this sheet; ","")&amp;IF(AND(AS371&lt;&gt;"",COUNTIF($AS$6:$AS$1005,AS371)&gt;1),"PAN repeated in this sheet (same client? put extra GSTINs in Other GSTINs); ","")&amp;IF(AND(BD371&gt;0,V371=""),"Financial year missing; ","")&amp;IF(AND(BD371=0,V371&lt;&gt;""),"Financial year given but no service is Yes; ","")&amp;IF(AND(W371="Yes",AZ371=""),"GST needs a GSTIN; ","")&amp;IF(AND(W371="Yes",X371=""),"GST return frequency missing; ","")&amp;IF(AND(Y371="Yes",TRIM(H371)=""),"TDS needs a TAN; ","")&amp;IF(AND(AA371="Yes",BC371&lt;&gt;"",BC371&lt;&gt;"company",BC371&lt;&gt;"llp"),"ROC is only for a company / LLP; ","")&amp;IF(AND(AA371="Yes",OR(BC371="company",BC371="llp"),TRIM(I371)=""),"ROC needs the CIN / LLPIN; ","")&amp;IF((TRIM(AF371)="")&lt;&gt;(TRIM(AG371)=""),"GST login needs both user ID and password; ","")&amp;IF((TRIM(AH371)="")&lt;&gt;(TRIM(AI371)=""),"Income-tax login needs both user ID and password; ","")&amp;IF((TRIM(AJ371)="")&lt;&gt;(TRIM(AK371)=""),"Income-tax login needs both user ID and password; ","")&amp;IF((TRIM(AL371)="")&lt;&gt;(TRIM(AM371)=""),"TRACES login needs both user ID and password; ","")&amp;IF((TRIM(AN371)="")&lt;&gt;(TRIM(AO371)=""),"MCA login needs both user ID and password; ","")&amp;IF((TRIM(AP371)="")&lt;&gt;(TRIM(AQ371)=""),"E-way bill login needs both user ID and password; ","")</f>
        <v/>
      </c>
    </row>
    <row r="372">
      <c r="A372" s="32" t="n"/>
      <c r="B372" s="33" t="n"/>
      <c r="C372" s="33" t="n"/>
      <c r="D372" s="33" t="n"/>
      <c r="E372" s="32" t="n"/>
      <c r="F372" s="32" t="n"/>
      <c r="G372" s="32" t="n"/>
      <c r="H372" s="32" t="n"/>
      <c r="I372" s="32" t="n"/>
      <c r="J372" s="34" t="n"/>
      <c r="K372" s="33" t="n"/>
      <c r="L372" s="32" t="n"/>
      <c r="M372" s="33" t="n"/>
      <c r="N372" s="33" t="n"/>
      <c r="O372" s="33" t="n"/>
      <c r="P372" s="32" t="n"/>
      <c r="Q372" s="33" t="n"/>
      <c r="R372" s="33" t="n"/>
      <c r="S372" s="33" t="n"/>
      <c r="T372" s="33" t="n"/>
      <c r="U372" s="32" t="n"/>
      <c r="V372" s="33" t="n"/>
      <c r="W372" s="33" t="n"/>
      <c r="X372" s="33" t="n"/>
      <c r="Y372" s="33" t="n"/>
      <c r="Z372" s="33" t="n"/>
      <c r="AA372" s="33" t="n"/>
      <c r="AB372" s="33" t="n"/>
      <c r="AC372" s="33" t="n"/>
      <c r="AD372" s="33" t="n"/>
      <c r="AE372" s="33" t="n"/>
      <c r="AF372" s="32" t="n"/>
      <c r="AG372" s="32" t="n"/>
      <c r="AH372" s="32" t="n"/>
      <c r="AI372" s="32" t="n"/>
      <c r="AJ372" s="32" t="n"/>
      <c r="AK372" s="32" t="n"/>
      <c r="AL372" s="32" t="n"/>
      <c r="AM372" s="32" t="n"/>
      <c r="AN372" s="32" t="n"/>
      <c r="AO372" s="32" t="n"/>
      <c r="AP372" s="32" t="n"/>
      <c r="AQ372" s="32" t="n"/>
      <c r="AR372" s="29">
        <f>IF(NOT(COUNTA(A372:AE372)&gt;0),"",IF(A372="","New client","Update"))</f>
        <v/>
      </c>
      <c r="AS372" s="29">
        <f>IF(BA372&lt;&gt;"",BA372,IF(LEN(AZ372)=15,MID(AZ372,3,10),""))</f>
        <v/>
      </c>
      <c r="AT372" s="29">
        <f>IF(BB372="","",BB372&amp;IF(D372="","  (guessed from PAN)",""))</f>
        <v/>
      </c>
      <c r="AU372" s="29">
        <f>IF(AZ372="","",IFERROR(INDEX(Lists!$L$2:$L$38,MATCH(LEFT(AZ372,2),Lists!$K$2:$K$38,0)),"Unknown code"))</f>
        <v/>
      </c>
      <c r="AV372" s="29">
        <f>IF(AZ372="","",IFERROR(IF(NOT(AND(LEN(AZ372)=15,ISNUMBER(MATCH(LEFT(AZ372,2),Lists!$K$2:$K$38,0)),SUMPRODUCT(--ISERROR(FIND(MID(MID(AZ372,3,10),{1,2,3,4,5,10},1),"ABCDEFGHIJKLMNOPQRSTUVWXYZ")))=0,SUMPRODUCT(--ISERROR(FIND(MID(MID(AZ372,3,10),{6,7,8,9},1),"0123456789")))=0,ISNUMBER(FIND(MID(AZ372,13,1),"123456789ABCDEFGHIJKLMNOPQRSTUVWXYZ")),MID(AZ372,14,1)="Z")),"Wrong format",IF(MID("0123456789ABCDEFGHIJKLMNOPQRSTUVWXYZ",MOD(36-MOD(SUMPRODUCT(INT((FIND(MID(AZ372,{1,2,3,4,5,6,7,8,9,10,11,12,13,14},1),"0123456789ABCDEFGHIJKLMNOPQRSTUVWXYZ")-1)*{1,2,1,2,1,2,1,2,1,2,1,2,1,2}/36)+MOD((FIND(MID(AZ372,{1,2,3,4,5,6,7,8,9,10,11,12,13,14},1),"0123456789ABCDEFGHIJKLMNOPQRSTUVWXYZ")-1)*{1,2,1,2,1,2,1,2,1,2,1,2,1,2},36)),36),36)+1,1)=MID(AZ372,15,1),"OK","Typo? check digit wrong")),"Wrong format"))</f>
        <v/>
      </c>
      <c r="AW372" s="29">
        <f>IF(BA372="","",IF(AND(LEN(BA372)=10,SUMPRODUCT(--ISERROR(FIND(MID(BA372,{1,2,3,4,5,10},1),"ABCDEFGHIJKLMNOPQRSTUVWXYZ")))=0,SUMPRODUCT(--ISERROR(FIND(MID(BA372,{6,7,8,9},1),"0123456789")))=0),"OK","Wrong format"))</f>
        <v/>
      </c>
      <c r="AX372" s="29">
        <f>IF(TRIM(H372)="","",IF(AND(LEN(UPPER(TRIM(H372)))=10,SUMPRODUCT(--ISERROR(FIND(MID(UPPER(TRIM(H372)),{1,2,3,4,10},1),"ABCDEFGHIJKLMNOPQRSTUVWXYZ")))=0,SUMPRODUCT(--ISERROR(FIND(MID(UPPER(TRIM(H372)),{5,6,7,8,9},1),"0123456789")))=0),"OK","Wrong format"))</f>
        <v/>
      </c>
      <c r="AY372" s="30">
        <f>IF(NOT(COUNTA(A372:AE372)&gt;0),"",IF(BE372&lt;&gt;"","✖ "&amp;LEFT(BE372,LEN(BE372)-2),IF(BD372&gt;0,"✔ Ready — client + "&amp;BD372&amp;" service(s)","✔ Ready — client only")))</f>
        <v/>
      </c>
      <c r="AZ372" s="31">
        <f>UPPER(SUBSTITUTE(TRIM(F372)," ",""))</f>
        <v/>
      </c>
      <c r="BA372" s="31">
        <f>UPPER(SUBSTITUTE(TRIM(E372)," ",""))</f>
        <v/>
      </c>
      <c r="BB372" s="31">
        <f>IF(D372&lt;&gt;"",D372,IFERROR(VLOOKUP(MID(AS372,4,1),Lists!$E$2:$F$8,2,FALSE),""))</f>
        <v/>
      </c>
      <c r="BC372" s="31">
        <f>IFERROR(VLOOKUP(BB372,Lists!$A$2:$C$12,3,FALSE),"")</f>
        <v/>
      </c>
      <c r="BD372" s="31">
        <f>COUNTIF(W372:AC372,"Yes")</f>
        <v/>
      </c>
      <c r="BE372" s="31">
        <f>IF(TRIM(B372)="","Legal name missing; ","")&amp;IF(AND(AV372&lt;&gt;"",AV372&lt;&gt;"OK"),"GSTIN: "&amp;AV372&amp;"; ","")&amp;IF(AND(AW372&lt;&gt;"",AW372&lt;&gt;"OK"),"PAN wrong format; ","")&amp;IF(AND(BA372&lt;&gt;"",LEN(AZ372)=15,MID(AZ372,3,10)&lt;&gt;BA372),"PAN does not match GSTIN; ","")&amp;IF(AND(AX372&lt;&gt;"",AX372&lt;&gt;"OK"),"TAN wrong format; ","")&amp;IF(AS372="","PAN missing; ","")&amp;IF(BB372="","Entity type missing; ","")&amp;IF(AND(AZ372&lt;&gt;"",COUNTIF($AZ$6:$AZ$1005,AZ372)&gt;1),"GSTIN repeated in this sheet; ","")&amp;IF(AND(AS372&lt;&gt;"",COUNTIF($AS$6:$AS$1005,AS372)&gt;1),"PAN repeated in this sheet (same client? put extra GSTINs in Other GSTINs); ","")&amp;IF(AND(BD372&gt;0,V372=""),"Financial year missing; ","")&amp;IF(AND(BD372=0,V372&lt;&gt;""),"Financial year given but no service is Yes; ","")&amp;IF(AND(W372="Yes",AZ372=""),"GST needs a GSTIN; ","")&amp;IF(AND(W372="Yes",X372=""),"GST return frequency missing; ","")&amp;IF(AND(Y372="Yes",TRIM(H372)=""),"TDS needs a TAN; ","")&amp;IF(AND(AA372="Yes",BC372&lt;&gt;"",BC372&lt;&gt;"company",BC372&lt;&gt;"llp"),"ROC is only for a company / LLP; ","")&amp;IF(AND(AA372="Yes",OR(BC372="company",BC372="llp"),TRIM(I372)=""),"ROC needs the CIN / LLPIN; ","")&amp;IF((TRIM(AF372)="")&lt;&gt;(TRIM(AG372)=""),"GST login needs both user ID and password; ","")&amp;IF((TRIM(AH372)="")&lt;&gt;(TRIM(AI372)=""),"Income-tax login needs both user ID and password; ","")&amp;IF((TRIM(AJ372)="")&lt;&gt;(TRIM(AK372)=""),"Income-tax login needs both user ID and password; ","")&amp;IF((TRIM(AL372)="")&lt;&gt;(TRIM(AM372)=""),"TRACES login needs both user ID and password; ","")&amp;IF((TRIM(AN372)="")&lt;&gt;(TRIM(AO372)=""),"MCA login needs both user ID and password; ","")&amp;IF((TRIM(AP372)="")&lt;&gt;(TRIM(AQ372)=""),"E-way bill login needs both user ID and password; ","")</f>
        <v/>
      </c>
    </row>
    <row r="373">
      <c r="A373" s="32" t="n"/>
      <c r="B373" s="33" t="n"/>
      <c r="C373" s="33" t="n"/>
      <c r="D373" s="33" t="n"/>
      <c r="E373" s="32" t="n"/>
      <c r="F373" s="32" t="n"/>
      <c r="G373" s="32" t="n"/>
      <c r="H373" s="32" t="n"/>
      <c r="I373" s="32" t="n"/>
      <c r="J373" s="34" t="n"/>
      <c r="K373" s="33" t="n"/>
      <c r="L373" s="32" t="n"/>
      <c r="M373" s="33" t="n"/>
      <c r="N373" s="33" t="n"/>
      <c r="O373" s="33" t="n"/>
      <c r="P373" s="32" t="n"/>
      <c r="Q373" s="33" t="n"/>
      <c r="R373" s="33" t="n"/>
      <c r="S373" s="33" t="n"/>
      <c r="T373" s="33" t="n"/>
      <c r="U373" s="32" t="n"/>
      <c r="V373" s="33" t="n"/>
      <c r="W373" s="33" t="n"/>
      <c r="X373" s="33" t="n"/>
      <c r="Y373" s="33" t="n"/>
      <c r="Z373" s="33" t="n"/>
      <c r="AA373" s="33" t="n"/>
      <c r="AB373" s="33" t="n"/>
      <c r="AC373" s="33" t="n"/>
      <c r="AD373" s="33" t="n"/>
      <c r="AE373" s="33" t="n"/>
      <c r="AF373" s="32" t="n"/>
      <c r="AG373" s="32" t="n"/>
      <c r="AH373" s="32" t="n"/>
      <c r="AI373" s="32" t="n"/>
      <c r="AJ373" s="32" t="n"/>
      <c r="AK373" s="32" t="n"/>
      <c r="AL373" s="32" t="n"/>
      <c r="AM373" s="32" t="n"/>
      <c r="AN373" s="32" t="n"/>
      <c r="AO373" s="32" t="n"/>
      <c r="AP373" s="32" t="n"/>
      <c r="AQ373" s="32" t="n"/>
      <c r="AR373" s="29">
        <f>IF(NOT(COUNTA(A373:AE373)&gt;0),"",IF(A373="","New client","Update"))</f>
        <v/>
      </c>
      <c r="AS373" s="29">
        <f>IF(BA373&lt;&gt;"",BA373,IF(LEN(AZ373)=15,MID(AZ373,3,10),""))</f>
        <v/>
      </c>
      <c r="AT373" s="29">
        <f>IF(BB373="","",BB373&amp;IF(D373="","  (guessed from PAN)",""))</f>
        <v/>
      </c>
      <c r="AU373" s="29">
        <f>IF(AZ373="","",IFERROR(INDEX(Lists!$L$2:$L$38,MATCH(LEFT(AZ373,2),Lists!$K$2:$K$38,0)),"Unknown code"))</f>
        <v/>
      </c>
      <c r="AV373" s="29">
        <f>IF(AZ373="","",IFERROR(IF(NOT(AND(LEN(AZ373)=15,ISNUMBER(MATCH(LEFT(AZ373,2),Lists!$K$2:$K$38,0)),SUMPRODUCT(--ISERROR(FIND(MID(MID(AZ373,3,10),{1,2,3,4,5,10},1),"ABCDEFGHIJKLMNOPQRSTUVWXYZ")))=0,SUMPRODUCT(--ISERROR(FIND(MID(MID(AZ373,3,10),{6,7,8,9},1),"0123456789")))=0,ISNUMBER(FIND(MID(AZ373,13,1),"123456789ABCDEFGHIJKLMNOPQRSTUVWXYZ")),MID(AZ373,14,1)="Z")),"Wrong format",IF(MID("0123456789ABCDEFGHIJKLMNOPQRSTUVWXYZ",MOD(36-MOD(SUMPRODUCT(INT((FIND(MID(AZ373,{1,2,3,4,5,6,7,8,9,10,11,12,13,14},1),"0123456789ABCDEFGHIJKLMNOPQRSTUVWXYZ")-1)*{1,2,1,2,1,2,1,2,1,2,1,2,1,2}/36)+MOD((FIND(MID(AZ373,{1,2,3,4,5,6,7,8,9,10,11,12,13,14},1),"0123456789ABCDEFGHIJKLMNOPQRSTUVWXYZ")-1)*{1,2,1,2,1,2,1,2,1,2,1,2,1,2},36)),36),36)+1,1)=MID(AZ373,15,1),"OK","Typo? check digit wrong")),"Wrong format"))</f>
        <v/>
      </c>
      <c r="AW373" s="29">
        <f>IF(BA373="","",IF(AND(LEN(BA373)=10,SUMPRODUCT(--ISERROR(FIND(MID(BA373,{1,2,3,4,5,10},1),"ABCDEFGHIJKLMNOPQRSTUVWXYZ")))=0,SUMPRODUCT(--ISERROR(FIND(MID(BA373,{6,7,8,9},1),"0123456789")))=0),"OK","Wrong format"))</f>
        <v/>
      </c>
      <c r="AX373" s="29">
        <f>IF(TRIM(H373)="","",IF(AND(LEN(UPPER(TRIM(H373)))=10,SUMPRODUCT(--ISERROR(FIND(MID(UPPER(TRIM(H373)),{1,2,3,4,10},1),"ABCDEFGHIJKLMNOPQRSTUVWXYZ")))=0,SUMPRODUCT(--ISERROR(FIND(MID(UPPER(TRIM(H373)),{5,6,7,8,9},1),"0123456789")))=0),"OK","Wrong format"))</f>
        <v/>
      </c>
      <c r="AY373" s="30">
        <f>IF(NOT(COUNTA(A373:AE373)&gt;0),"",IF(BE373&lt;&gt;"","✖ "&amp;LEFT(BE373,LEN(BE373)-2),IF(BD373&gt;0,"✔ Ready — client + "&amp;BD373&amp;" service(s)","✔ Ready — client only")))</f>
        <v/>
      </c>
      <c r="AZ373" s="31">
        <f>UPPER(SUBSTITUTE(TRIM(F373)," ",""))</f>
        <v/>
      </c>
      <c r="BA373" s="31">
        <f>UPPER(SUBSTITUTE(TRIM(E373)," ",""))</f>
        <v/>
      </c>
      <c r="BB373" s="31">
        <f>IF(D373&lt;&gt;"",D373,IFERROR(VLOOKUP(MID(AS373,4,1),Lists!$E$2:$F$8,2,FALSE),""))</f>
        <v/>
      </c>
      <c r="BC373" s="31">
        <f>IFERROR(VLOOKUP(BB373,Lists!$A$2:$C$12,3,FALSE),"")</f>
        <v/>
      </c>
      <c r="BD373" s="31">
        <f>COUNTIF(W373:AC373,"Yes")</f>
        <v/>
      </c>
      <c r="BE373" s="31">
        <f>IF(TRIM(B373)="","Legal name missing; ","")&amp;IF(AND(AV373&lt;&gt;"",AV373&lt;&gt;"OK"),"GSTIN: "&amp;AV373&amp;"; ","")&amp;IF(AND(AW373&lt;&gt;"",AW373&lt;&gt;"OK"),"PAN wrong format; ","")&amp;IF(AND(BA373&lt;&gt;"",LEN(AZ373)=15,MID(AZ373,3,10)&lt;&gt;BA373),"PAN does not match GSTIN; ","")&amp;IF(AND(AX373&lt;&gt;"",AX373&lt;&gt;"OK"),"TAN wrong format; ","")&amp;IF(AS373="","PAN missing; ","")&amp;IF(BB373="","Entity type missing; ","")&amp;IF(AND(AZ373&lt;&gt;"",COUNTIF($AZ$6:$AZ$1005,AZ373)&gt;1),"GSTIN repeated in this sheet; ","")&amp;IF(AND(AS373&lt;&gt;"",COUNTIF($AS$6:$AS$1005,AS373)&gt;1),"PAN repeated in this sheet (same client? put extra GSTINs in Other GSTINs); ","")&amp;IF(AND(BD373&gt;0,V373=""),"Financial year missing; ","")&amp;IF(AND(BD373=0,V373&lt;&gt;""),"Financial year given but no service is Yes; ","")&amp;IF(AND(W373="Yes",AZ373=""),"GST needs a GSTIN; ","")&amp;IF(AND(W373="Yes",X373=""),"GST return frequency missing; ","")&amp;IF(AND(Y373="Yes",TRIM(H373)=""),"TDS needs a TAN; ","")&amp;IF(AND(AA373="Yes",BC373&lt;&gt;"",BC373&lt;&gt;"company",BC373&lt;&gt;"llp"),"ROC is only for a company / LLP; ","")&amp;IF(AND(AA373="Yes",OR(BC373="company",BC373="llp"),TRIM(I373)=""),"ROC needs the CIN / LLPIN; ","")&amp;IF((TRIM(AF373)="")&lt;&gt;(TRIM(AG373)=""),"GST login needs both user ID and password; ","")&amp;IF((TRIM(AH373)="")&lt;&gt;(TRIM(AI373)=""),"Income-tax login needs both user ID and password; ","")&amp;IF((TRIM(AJ373)="")&lt;&gt;(TRIM(AK373)=""),"Income-tax login needs both user ID and password; ","")&amp;IF((TRIM(AL373)="")&lt;&gt;(TRIM(AM373)=""),"TRACES login needs both user ID and password; ","")&amp;IF((TRIM(AN373)="")&lt;&gt;(TRIM(AO373)=""),"MCA login needs both user ID and password; ","")&amp;IF((TRIM(AP373)="")&lt;&gt;(TRIM(AQ373)=""),"E-way bill login needs both user ID and password; ","")</f>
        <v/>
      </c>
    </row>
    <row r="374">
      <c r="A374" s="32" t="n"/>
      <c r="B374" s="33" t="n"/>
      <c r="C374" s="33" t="n"/>
      <c r="D374" s="33" t="n"/>
      <c r="E374" s="32" t="n"/>
      <c r="F374" s="32" t="n"/>
      <c r="G374" s="32" t="n"/>
      <c r="H374" s="32" t="n"/>
      <c r="I374" s="32" t="n"/>
      <c r="J374" s="34" t="n"/>
      <c r="K374" s="33" t="n"/>
      <c r="L374" s="32" t="n"/>
      <c r="M374" s="33" t="n"/>
      <c r="N374" s="33" t="n"/>
      <c r="O374" s="33" t="n"/>
      <c r="P374" s="32" t="n"/>
      <c r="Q374" s="33" t="n"/>
      <c r="R374" s="33" t="n"/>
      <c r="S374" s="33" t="n"/>
      <c r="T374" s="33" t="n"/>
      <c r="U374" s="32" t="n"/>
      <c r="V374" s="33" t="n"/>
      <c r="W374" s="33" t="n"/>
      <c r="X374" s="33" t="n"/>
      <c r="Y374" s="33" t="n"/>
      <c r="Z374" s="33" t="n"/>
      <c r="AA374" s="33" t="n"/>
      <c r="AB374" s="33" t="n"/>
      <c r="AC374" s="33" t="n"/>
      <c r="AD374" s="33" t="n"/>
      <c r="AE374" s="33" t="n"/>
      <c r="AF374" s="32" t="n"/>
      <c r="AG374" s="32" t="n"/>
      <c r="AH374" s="32" t="n"/>
      <c r="AI374" s="32" t="n"/>
      <c r="AJ374" s="32" t="n"/>
      <c r="AK374" s="32" t="n"/>
      <c r="AL374" s="32" t="n"/>
      <c r="AM374" s="32" t="n"/>
      <c r="AN374" s="32" t="n"/>
      <c r="AO374" s="32" t="n"/>
      <c r="AP374" s="32" t="n"/>
      <c r="AQ374" s="32" t="n"/>
      <c r="AR374" s="29">
        <f>IF(NOT(COUNTA(A374:AE374)&gt;0),"",IF(A374="","New client","Update"))</f>
        <v/>
      </c>
      <c r="AS374" s="29">
        <f>IF(BA374&lt;&gt;"",BA374,IF(LEN(AZ374)=15,MID(AZ374,3,10),""))</f>
        <v/>
      </c>
      <c r="AT374" s="29">
        <f>IF(BB374="","",BB374&amp;IF(D374="","  (guessed from PAN)",""))</f>
        <v/>
      </c>
      <c r="AU374" s="29">
        <f>IF(AZ374="","",IFERROR(INDEX(Lists!$L$2:$L$38,MATCH(LEFT(AZ374,2),Lists!$K$2:$K$38,0)),"Unknown code"))</f>
        <v/>
      </c>
      <c r="AV374" s="29">
        <f>IF(AZ374="","",IFERROR(IF(NOT(AND(LEN(AZ374)=15,ISNUMBER(MATCH(LEFT(AZ374,2),Lists!$K$2:$K$38,0)),SUMPRODUCT(--ISERROR(FIND(MID(MID(AZ374,3,10),{1,2,3,4,5,10},1),"ABCDEFGHIJKLMNOPQRSTUVWXYZ")))=0,SUMPRODUCT(--ISERROR(FIND(MID(MID(AZ374,3,10),{6,7,8,9},1),"0123456789")))=0,ISNUMBER(FIND(MID(AZ374,13,1),"123456789ABCDEFGHIJKLMNOPQRSTUVWXYZ")),MID(AZ374,14,1)="Z")),"Wrong format",IF(MID("0123456789ABCDEFGHIJKLMNOPQRSTUVWXYZ",MOD(36-MOD(SUMPRODUCT(INT((FIND(MID(AZ374,{1,2,3,4,5,6,7,8,9,10,11,12,13,14},1),"0123456789ABCDEFGHIJKLMNOPQRSTUVWXYZ")-1)*{1,2,1,2,1,2,1,2,1,2,1,2,1,2}/36)+MOD((FIND(MID(AZ374,{1,2,3,4,5,6,7,8,9,10,11,12,13,14},1),"0123456789ABCDEFGHIJKLMNOPQRSTUVWXYZ")-1)*{1,2,1,2,1,2,1,2,1,2,1,2,1,2},36)),36),36)+1,1)=MID(AZ374,15,1),"OK","Typo? check digit wrong")),"Wrong format"))</f>
        <v/>
      </c>
      <c r="AW374" s="29">
        <f>IF(BA374="","",IF(AND(LEN(BA374)=10,SUMPRODUCT(--ISERROR(FIND(MID(BA374,{1,2,3,4,5,10},1),"ABCDEFGHIJKLMNOPQRSTUVWXYZ")))=0,SUMPRODUCT(--ISERROR(FIND(MID(BA374,{6,7,8,9},1),"0123456789")))=0),"OK","Wrong format"))</f>
        <v/>
      </c>
      <c r="AX374" s="29">
        <f>IF(TRIM(H374)="","",IF(AND(LEN(UPPER(TRIM(H374)))=10,SUMPRODUCT(--ISERROR(FIND(MID(UPPER(TRIM(H374)),{1,2,3,4,10},1),"ABCDEFGHIJKLMNOPQRSTUVWXYZ")))=0,SUMPRODUCT(--ISERROR(FIND(MID(UPPER(TRIM(H374)),{5,6,7,8,9},1),"0123456789")))=0),"OK","Wrong format"))</f>
        <v/>
      </c>
      <c r="AY374" s="30">
        <f>IF(NOT(COUNTA(A374:AE374)&gt;0),"",IF(BE374&lt;&gt;"","✖ "&amp;LEFT(BE374,LEN(BE374)-2),IF(BD374&gt;0,"✔ Ready — client + "&amp;BD374&amp;" service(s)","✔ Ready — client only")))</f>
        <v/>
      </c>
      <c r="AZ374" s="31">
        <f>UPPER(SUBSTITUTE(TRIM(F374)," ",""))</f>
        <v/>
      </c>
      <c r="BA374" s="31">
        <f>UPPER(SUBSTITUTE(TRIM(E374)," ",""))</f>
        <v/>
      </c>
      <c r="BB374" s="31">
        <f>IF(D374&lt;&gt;"",D374,IFERROR(VLOOKUP(MID(AS374,4,1),Lists!$E$2:$F$8,2,FALSE),""))</f>
        <v/>
      </c>
      <c r="BC374" s="31">
        <f>IFERROR(VLOOKUP(BB374,Lists!$A$2:$C$12,3,FALSE),"")</f>
        <v/>
      </c>
      <c r="BD374" s="31">
        <f>COUNTIF(W374:AC374,"Yes")</f>
        <v/>
      </c>
      <c r="BE374" s="31">
        <f>IF(TRIM(B374)="","Legal name missing; ","")&amp;IF(AND(AV374&lt;&gt;"",AV374&lt;&gt;"OK"),"GSTIN: "&amp;AV374&amp;"; ","")&amp;IF(AND(AW374&lt;&gt;"",AW374&lt;&gt;"OK"),"PAN wrong format; ","")&amp;IF(AND(BA374&lt;&gt;"",LEN(AZ374)=15,MID(AZ374,3,10)&lt;&gt;BA374),"PAN does not match GSTIN; ","")&amp;IF(AND(AX374&lt;&gt;"",AX374&lt;&gt;"OK"),"TAN wrong format; ","")&amp;IF(AS374="","PAN missing; ","")&amp;IF(BB374="","Entity type missing; ","")&amp;IF(AND(AZ374&lt;&gt;"",COUNTIF($AZ$6:$AZ$1005,AZ374)&gt;1),"GSTIN repeated in this sheet; ","")&amp;IF(AND(AS374&lt;&gt;"",COUNTIF($AS$6:$AS$1005,AS374)&gt;1),"PAN repeated in this sheet (same client? put extra GSTINs in Other GSTINs); ","")&amp;IF(AND(BD374&gt;0,V374=""),"Financial year missing; ","")&amp;IF(AND(BD374=0,V374&lt;&gt;""),"Financial year given but no service is Yes; ","")&amp;IF(AND(W374="Yes",AZ374=""),"GST needs a GSTIN; ","")&amp;IF(AND(W374="Yes",X374=""),"GST return frequency missing; ","")&amp;IF(AND(Y374="Yes",TRIM(H374)=""),"TDS needs a TAN; ","")&amp;IF(AND(AA374="Yes",BC374&lt;&gt;"",BC374&lt;&gt;"company",BC374&lt;&gt;"llp"),"ROC is only for a company / LLP; ","")&amp;IF(AND(AA374="Yes",OR(BC374="company",BC374="llp"),TRIM(I374)=""),"ROC needs the CIN / LLPIN; ","")&amp;IF((TRIM(AF374)="")&lt;&gt;(TRIM(AG374)=""),"GST login needs both user ID and password; ","")&amp;IF((TRIM(AH374)="")&lt;&gt;(TRIM(AI374)=""),"Income-tax login needs both user ID and password; ","")&amp;IF((TRIM(AJ374)="")&lt;&gt;(TRIM(AK374)=""),"Income-tax login needs both user ID and password; ","")&amp;IF((TRIM(AL374)="")&lt;&gt;(TRIM(AM374)=""),"TRACES login needs both user ID and password; ","")&amp;IF((TRIM(AN374)="")&lt;&gt;(TRIM(AO374)=""),"MCA login needs both user ID and password; ","")&amp;IF((TRIM(AP374)="")&lt;&gt;(TRIM(AQ374)=""),"E-way bill login needs both user ID and password; ","")</f>
        <v/>
      </c>
    </row>
    <row r="375">
      <c r="A375" s="32" t="n"/>
      <c r="B375" s="33" t="n"/>
      <c r="C375" s="33" t="n"/>
      <c r="D375" s="33" t="n"/>
      <c r="E375" s="32" t="n"/>
      <c r="F375" s="32" t="n"/>
      <c r="G375" s="32" t="n"/>
      <c r="H375" s="32" t="n"/>
      <c r="I375" s="32" t="n"/>
      <c r="J375" s="34" t="n"/>
      <c r="K375" s="33" t="n"/>
      <c r="L375" s="32" t="n"/>
      <c r="M375" s="33" t="n"/>
      <c r="N375" s="33" t="n"/>
      <c r="O375" s="33" t="n"/>
      <c r="P375" s="32" t="n"/>
      <c r="Q375" s="33" t="n"/>
      <c r="R375" s="33" t="n"/>
      <c r="S375" s="33" t="n"/>
      <c r="T375" s="33" t="n"/>
      <c r="U375" s="32" t="n"/>
      <c r="V375" s="33" t="n"/>
      <c r="W375" s="33" t="n"/>
      <c r="X375" s="33" t="n"/>
      <c r="Y375" s="33" t="n"/>
      <c r="Z375" s="33" t="n"/>
      <c r="AA375" s="33" t="n"/>
      <c r="AB375" s="33" t="n"/>
      <c r="AC375" s="33" t="n"/>
      <c r="AD375" s="33" t="n"/>
      <c r="AE375" s="33" t="n"/>
      <c r="AF375" s="32" t="n"/>
      <c r="AG375" s="32" t="n"/>
      <c r="AH375" s="32" t="n"/>
      <c r="AI375" s="32" t="n"/>
      <c r="AJ375" s="32" t="n"/>
      <c r="AK375" s="32" t="n"/>
      <c r="AL375" s="32" t="n"/>
      <c r="AM375" s="32" t="n"/>
      <c r="AN375" s="32" t="n"/>
      <c r="AO375" s="32" t="n"/>
      <c r="AP375" s="32" t="n"/>
      <c r="AQ375" s="32" t="n"/>
      <c r="AR375" s="29">
        <f>IF(NOT(COUNTA(A375:AE375)&gt;0),"",IF(A375="","New client","Update"))</f>
        <v/>
      </c>
      <c r="AS375" s="29">
        <f>IF(BA375&lt;&gt;"",BA375,IF(LEN(AZ375)=15,MID(AZ375,3,10),""))</f>
        <v/>
      </c>
      <c r="AT375" s="29">
        <f>IF(BB375="","",BB375&amp;IF(D375="","  (guessed from PAN)",""))</f>
        <v/>
      </c>
      <c r="AU375" s="29">
        <f>IF(AZ375="","",IFERROR(INDEX(Lists!$L$2:$L$38,MATCH(LEFT(AZ375,2),Lists!$K$2:$K$38,0)),"Unknown code"))</f>
        <v/>
      </c>
      <c r="AV375" s="29">
        <f>IF(AZ375="","",IFERROR(IF(NOT(AND(LEN(AZ375)=15,ISNUMBER(MATCH(LEFT(AZ375,2),Lists!$K$2:$K$38,0)),SUMPRODUCT(--ISERROR(FIND(MID(MID(AZ375,3,10),{1,2,3,4,5,10},1),"ABCDEFGHIJKLMNOPQRSTUVWXYZ")))=0,SUMPRODUCT(--ISERROR(FIND(MID(MID(AZ375,3,10),{6,7,8,9},1),"0123456789")))=0,ISNUMBER(FIND(MID(AZ375,13,1),"123456789ABCDEFGHIJKLMNOPQRSTUVWXYZ")),MID(AZ375,14,1)="Z")),"Wrong format",IF(MID("0123456789ABCDEFGHIJKLMNOPQRSTUVWXYZ",MOD(36-MOD(SUMPRODUCT(INT((FIND(MID(AZ375,{1,2,3,4,5,6,7,8,9,10,11,12,13,14},1),"0123456789ABCDEFGHIJKLMNOPQRSTUVWXYZ")-1)*{1,2,1,2,1,2,1,2,1,2,1,2,1,2}/36)+MOD((FIND(MID(AZ375,{1,2,3,4,5,6,7,8,9,10,11,12,13,14},1),"0123456789ABCDEFGHIJKLMNOPQRSTUVWXYZ")-1)*{1,2,1,2,1,2,1,2,1,2,1,2,1,2},36)),36),36)+1,1)=MID(AZ375,15,1),"OK","Typo? check digit wrong")),"Wrong format"))</f>
        <v/>
      </c>
      <c r="AW375" s="29">
        <f>IF(BA375="","",IF(AND(LEN(BA375)=10,SUMPRODUCT(--ISERROR(FIND(MID(BA375,{1,2,3,4,5,10},1),"ABCDEFGHIJKLMNOPQRSTUVWXYZ")))=0,SUMPRODUCT(--ISERROR(FIND(MID(BA375,{6,7,8,9},1),"0123456789")))=0),"OK","Wrong format"))</f>
        <v/>
      </c>
      <c r="AX375" s="29">
        <f>IF(TRIM(H375)="","",IF(AND(LEN(UPPER(TRIM(H375)))=10,SUMPRODUCT(--ISERROR(FIND(MID(UPPER(TRIM(H375)),{1,2,3,4,10},1),"ABCDEFGHIJKLMNOPQRSTUVWXYZ")))=0,SUMPRODUCT(--ISERROR(FIND(MID(UPPER(TRIM(H375)),{5,6,7,8,9},1),"0123456789")))=0),"OK","Wrong format"))</f>
        <v/>
      </c>
      <c r="AY375" s="30">
        <f>IF(NOT(COUNTA(A375:AE375)&gt;0),"",IF(BE375&lt;&gt;"","✖ "&amp;LEFT(BE375,LEN(BE375)-2),IF(BD375&gt;0,"✔ Ready — client + "&amp;BD375&amp;" service(s)","✔ Ready — client only")))</f>
        <v/>
      </c>
      <c r="AZ375" s="31">
        <f>UPPER(SUBSTITUTE(TRIM(F375)," ",""))</f>
        <v/>
      </c>
      <c r="BA375" s="31">
        <f>UPPER(SUBSTITUTE(TRIM(E375)," ",""))</f>
        <v/>
      </c>
      <c r="BB375" s="31">
        <f>IF(D375&lt;&gt;"",D375,IFERROR(VLOOKUP(MID(AS375,4,1),Lists!$E$2:$F$8,2,FALSE),""))</f>
        <v/>
      </c>
      <c r="BC375" s="31">
        <f>IFERROR(VLOOKUP(BB375,Lists!$A$2:$C$12,3,FALSE),"")</f>
        <v/>
      </c>
      <c r="BD375" s="31">
        <f>COUNTIF(W375:AC375,"Yes")</f>
        <v/>
      </c>
      <c r="BE375" s="31">
        <f>IF(TRIM(B375)="","Legal name missing; ","")&amp;IF(AND(AV375&lt;&gt;"",AV375&lt;&gt;"OK"),"GSTIN: "&amp;AV375&amp;"; ","")&amp;IF(AND(AW375&lt;&gt;"",AW375&lt;&gt;"OK"),"PAN wrong format; ","")&amp;IF(AND(BA375&lt;&gt;"",LEN(AZ375)=15,MID(AZ375,3,10)&lt;&gt;BA375),"PAN does not match GSTIN; ","")&amp;IF(AND(AX375&lt;&gt;"",AX375&lt;&gt;"OK"),"TAN wrong format; ","")&amp;IF(AS375="","PAN missing; ","")&amp;IF(BB375="","Entity type missing; ","")&amp;IF(AND(AZ375&lt;&gt;"",COUNTIF($AZ$6:$AZ$1005,AZ375)&gt;1),"GSTIN repeated in this sheet; ","")&amp;IF(AND(AS375&lt;&gt;"",COUNTIF($AS$6:$AS$1005,AS375)&gt;1),"PAN repeated in this sheet (same client? put extra GSTINs in Other GSTINs); ","")&amp;IF(AND(BD375&gt;0,V375=""),"Financial year missing; ","")&amp;IF(AND(BD375=0,V375&lt;&gt;""),"Financial year given but no service is Yes; ","")&amp;IF(AND(W375="Yes",AZ375=""),"GST needs a GSTIN; ","")&amp;IF(AND(W375="Yes",X375=""),"GST return frequency missing; ","")&amp;IF(AND(Y375="Yes",TRIM(H375)=""),"TDS needs a TAN; ","")&amp;IF(AND(AA375="Yes",BC375&lt;&gt;"",BC375&lt;&gt;"company",BC375&lt;&gt;"llp"),"ROC is only for a company / LLP; ","")&amp;IF(AND(AA375="Yes",OR(BC375="company",BC375="llp"),TRIM(I375)=""),"ROC needs the CIN / LLPIN; ","")&amp;IF((TRIM(AF375)="")&lt;&gt;(TRIM(AG375)=""),"GST login needs both user ID and password; ","")&amp;IF((TRIM(AH375)="")&lt;&gt;(TRIM(AI375)=""),"Income-tax login needs both user ID and password; ","")&amp;IF((TRIM(AJ375)="")&lt;&gt;(TRIM(AK375)=""),"Income-tax login needs both user ID and password; ","")&amp;IF((TRIM(AL375)="")&lt;&gt;(TRIM(AM375)=""),"TRACES login needs both user ID and password; ","")&amp;IF((TRIM(AN375)="")&lt;&gt;(TRIM(AO375)=""),"MCA login needs both user ID and password; ","")&amp;IF((TRIM(AP375)="")&lt;&gt;(TRIM(AQ375)=""),"E-way bill login needs both user ID and password; ","")</f>
        <v/>
      </c>
    </row>
    <row r="376">
      <c r="A376" s="32" t="n"/>
      <c r="B376" s="33" t="n"/>
      <c r="C376" s="33" t="n"/>
      <c r="D376" s="33" t="n"/>
      <c r="E376" s="32" t="n"/>
      <c r="F376" s="32" t="n"/>
      <c r="G376" s="32" t="n"/>
      <c r="H376" s="32" t="n"/>
      <c r="I376" s="32" t="n"/>
      <c r="J376" s="34" t="n"/>
      <c r="K376" s="33" t="n"/>
      <c r="L376" s="32" t="n"/>
      <c r="M376" s="33" t="n"/>
      <c r="N376" s="33" t="n"/>
      <c r="O376" s="33" t="n"/>
      <c r="P376" s="32" t="n"/>
      <c r="Q376" s="33" t="n"/>
      <c r="R376" s="33" t="n"/>
      <c r="S376" s="33" t="n"/>
      <c r="T376" s="33" t="n"/>
      <c r="U376" s="32" t="n"/>
      <c r="V376" s="33" t="n"/>
      <c r="W376" s="33" t="n"/>
      <c r="X376" s="33" t="n"/>
      <c r="Y376" s="33" t="n"/>
      <c r="Z376" s="33" t="n"/>
      <c r="AA376" s="33" t="n"/>
      <c r="AB376" s="33" t="n"/>
      <c r="AC376" s="33" t="n"/>
      <c r="AD376" s="33" t="n"/>
      <c r="AE376" s="33" t="n"/>
      <c r="AF376" s="32" t="n"/>
      <c r="AG376" s="32" t="n"/>
      <c r="AH376" s="32" t="n"/>
      <c r="AI376" s="32" t="n"/>
      <c r="AJ376" s="32" t="n"/>
      <c r="AK376" s="32" t="n"/>
      <c r="AL376" s="32" t="n"/>
      <c r="AM376" s="32" t="n"/>
      <c r="AN376" s="32" t="n"/>
      <c r="AO376" s="32" t="n"/>
      <c r="AP376" s="32" t="n"/>
      <c r="AQ376" s="32" t="n"/>
      <c r="AR376" s="29">
        <f>IF(NOT(COUNTA(A376:AE376)&gt;0),"",IF(A376="","New client","Update"))</f>
        <v/>
      </c>
      <c r="AS376" s="29">
        <f>IF(BA376&lt;&gt;"",BA376,IF(LEN(AZ376)=15,MID(AZ376,3,10),""))</f>
        <v/>
      </c>
      <c r="AT376" s="29">
        <f>IF(BB376="","",BB376&amp;IF(D376="","  (guessed from PAN)",""))</f>
        <v/>
      </c>
      <c r="AU376" s="29">
        <f>IF(AZ376="","",IFERROR(INDEX(Lists!$L$2:$L$38,MATCH(LEFT(AZ376,2),Lists!$K$2:$K$38,0)),"Unknown code"))</f>
        <v/>
      </c>
      <c r="AV376" s="29">
        <f>IF(AZ376="","",IFERROR(IF(NOT(AND(LEN(AZ376)=15,ISNUMBER(MATCH(LEFT(AZ376,2),Lists!$K$2:$K$38,0)),SUMPRODUCT(--ISERROR(FIND(MID(MID(AZ376,3,10),{1,2,3,4,5,10},1),"ABCDEFGHIJKLMNOPQRSTUVWXYZ")))=0,SUMPRODUCT(--ISERROR(FIND(MID(MID(AZ376,3,10),{6,7,8,9},1),"0123456789")))=0,ISNUMBER(FIND(MID(AZ376,13,1),"123456789ABCDEFGHIJKLMNOPQRSTUVWXYZ")),MID(AZ376,14,1)="Z")),"Wrong format",IF(MID("0123456789ABCDEFGHIJKLMNOPQRSTUVWXYZ",MOD(36-MOD(SUMPRODUCT(INT((FIND(MID(AZ376,{1,2,3,4,5,6,7,8,9,10,11,12,13,14},1),"0123456789ABCDEFGHIJKLMNOPQRSTUVWXYZ")-1)*{1,2,1,2,1,2,1,2,1,2,1,2,1,2}/36)+MOD((FIND(MID(AZ376,{1,2,3,4,5,6,7,8,9,10,11,12,13,14},1),"0123456789ABCDEFGHIJKLMNOPQRSTUVWXYZ")-1)*{1,2,1,2,1,2,1,2,1,2,1,2,1,2},36)),36),36)+1,1)=MID(AZ376,15,1),"OK","Typo? check digit wrong")),"Wrong format"))</f>
        <v/>
      </c>
      <c r="AW376" s="29">
        <f>IF(BA376="","",IF(AND(LEN(BA376)=10,SUMPRODUCT(--ISERROR(FIND(MID(BA376,{1,2,3,4,5,10},1),"ABCDEFGHIJKLMNOPQRSTUVWXYZ")))=0,SUMPRODUCT(--ISERROR(FIND(MID(BA376,{6,7,8,9},1),"0123456789")))=0),"OK","Wrong format"))</f>
        <v/>
      </c>
      <c r="AX376" s="29">
        <f>IF(TRIM(H376)="","",IF(AND(LEN(UPPER(TRIM(H376)))=10,SUMPRODUCT(--ISERROR(FIND(MID(UPPER(TRIM(H376)),{1,2,3,4,10},1),"ABCDEFGHIJKLMNOPQRSTUVWXYZ")))=0,SUMPRODUCT(--ISERROR(FIND(MID(UPPER(TRIM(H376)),{5,6,7,8,9},1),"0123456789")))=0),"OK","Wrong format"))</f>
        <v/>
      </c>
      <c r="AY376" s="30">
        <f>IF(NOT(COUNTA(A376:AE376)&gt;0),"",IF(BE376&lt;&gt;"","✖ "&amp;LEFT(BE376,LEN(BE376)-2),IF(BD376&gt;0,"✔ Ready — client + "&amp;BD376&amp;" service(s)","✔ Ready — client only")))</f>
        <v/>
      </c>
      <c r="AZ376" s="31">
        <f>UPPER(SUBSTITUTE(TRIM(F376)," ",""))</f>
        <v/>
      </c>
      <c r="BA376" s="31">
        <f>UPPER(SUBSTITUTE(TRIM(E376)," ",""))</f>
        <v/>
      </c>
      <c r="BB376" s="31">
        <f>IF(D376&lt;&gt;"",D376,IFERROR(VLOOKUP(MID(AS376,4,1),Lists!$E$2:$F$8,2,FALSE),""))</f>
        <v/>
      </c>
      <c r="BC376" s="31">
        <f>IFERROR(VLOOKUP(BB376,Lists!$A$2:$C$12,3,FALSE),"")</f>
        <v/>
      </c>
      <c r="BD376" s="31">
        <f>COUNTIF(W376:AC376,"Yes")</f>
        <v/>
      </c>
      <c r="BE376" s="31">
        <f>IF(TRIM(B376)="","Legal name missing; ","")&amp;IF(AND(AV376&lt;&gt;"",AV376&lt;&gt;"OK"),"GSTIN: "&amp;AV376&amp;"; ","")&amp;IF(AND(AW376&lt;&gt;"",AW376&lt;&gt;"OK"),"PAN wrong format; ","")&amp;IF(AND(BA376&lt;&gt;"",LEN(AZ376)=15,MID(AZ376,3,10)&lt;&gt;BA376),"PAN does not match GSTIN; ","")&amp;IF(AND(AX376&lt;&gt;"",AX376&lt;&gt;"OK"),"TAN wrong format; ","")&amp;IF(AS376="","PAN missing; ","")&amp;IF(BB376="","Entity type missing; ","")&amp;IF(AND(AZ376&lt;&gt;"",COUNTIF($AZ$6:$AZ$1005,AZ376)&gt;1),"GSTIN repeated in this sheet; ","")&amp;IF(AND(AS376&lt;&gt;"",COUNTIF($AS$6:$AS$1005,AS376)&gt;1),"PAN repeated in this sheet (same client? put extra GSTINs in Other GSTINs); ","")&amp;IF(AND(BD376&gt;0,V376=""),"Financial year missing; ","")&amp;IF(AND(BD376=0,V376&lt;&gt;""),"Financial year given but no service is Yes; ","")&amp;IF(AND(W376="Yes",AZ376=""),"GST needs a GSTIN; ","")&amp;IF(AND(W376="Yes",X376=""),"GST return frequency missing; ","")&amp;IF(AND(Y376="Yes",TRIM(H376)=""),"TDS needs a TAN; ","")&amp;IF(AND(AA376="Yes",BC376&lt;&gt;"",BC376&lt;&gt;"company",BC376&lt;&gt;"llp"),"ROC is only for a company / LLP; ","")&amp;IF(AND(AA376="Yes",OR(BC376="company",BC376="llp"),TRIM(I376)=""),"ROC needs the CIN / LLPIN; ","")&amp;IF((TRIM(AF376)="")&lt;&gt;(TRIM(AG376)=""),"GST login needs both user ID and password; ","")&amp;IF((TRIM(AH376)="")&lt;&gt;(TRIM(AI376)=""),"Income-tax login needs both user ID and password; ","")&amp;IF((TRIM(AJ376)="")&lt;&gt;(TRIM(AK376)=""),"Income-tax login needs both user ID and password; ","")&amp;IF((TRIM(AL376)="")&lt;&gt;(TRIM(AM376)=""),"TRACES login needs both user ID and password; ","")&amp;IF((TRIM(AN376)="")&lt;&gt;(TRIM(AO376)=""),"MCA login needs both user ID and password; ","")&amp;IF((TRIM(AP376)="")&lt;&gt;(TRIM(AQ376)=""),"E-way bill login needs both user ID and password; ","")</f>
        <v/>
      </c>
    </row>
    <row r="377">
      <c r="A377" s="32" t="n"/>
      <c r="B377" s="33" t="n"/>
      <c r="C377" s="33" t="n"/>
      <c r="D377" s="33" t="n"/>
      <c r="E377" s="32" t="n"/>
      <c r="F377" s="32" t="n"/>
      <c r="G377" s="32" t="n"/>
      <c r="H377" s="32" t="n"/>
      <c r="I377" s="32" t="n"/>
      <c r="J377" s="34" t="n"/>
      <c r="K377" s="33" t="n"/>
      <c r="L377" s="32" t="n"/>
      <c r="M377" s="33" t="n"/>
      <c r="N377" s="33" t="n"/>
      <c r="O377" s="33" t="n"/>
      <c r="P377" s="32" t="n"/>
      <c r="Q377" s="33" t="n"/>
      <c r="R377" s="33" t="n"/>
      <c r="S377" s="33" t="n"/>
      <c r="T377" s="33" t="n"/>
      <c r="U377" s="32" t="n"/>
      <c r="V377" s="33" t="n"/>
      <c r="W377" s="33" t="n"/>
      <c r="X377" s="33" t="n"/>
      <c r="Y377" s="33" t="n"/>
      <c r="Z377" s="33" t="n"/>
      <c r="AA377" s="33" t="n"/>
      <c r="AB377" s="33" t="n"/>
      <c r="AC377" s="33" t="n"/>
      <c r="AD377" s="33" t="n"/>
      <c r="AE377" s="33" t="n"/>
      <c r="AF377" s="32" t="n"/>
      <c r="AG377" s="32" t="n"/>
      <c r="AH377" s="32" t="n"/>
      <c r="AI377" s="32" t="n"/>
      <c r="AJ377" s="32" t="n"/>
      <c r="AK377" s="32" t="n"/>
      <c r="AL377" s="32" t="n"/>
      <c r="AM377" s="32" t="n"/>
      <c r="AN377" s="32" t="n"/>
      <c r="AO377" s="32" t="n"/>
      <c r="AP377" s="32" t="n"/>
      <c r="AQ377" s="32" t="n"/>
      <c r="AR377" s="29">
        <f>IF(NOT(COUNTA(A377:AE377)&gt;0),"",IF(A377="","New client","Update"))</f>
        <v/>
      </c>
      <c r="AS377" s="29">
        <f>IF(BA377&lt;&gt;"",BA377,IF(LEN(AZ377)=15,MID(AZ377,3,10),""))</f>
        <v/>
      </c>
      <c r="AT377" s="29">
        <f>IF(BB377="","",BB377&amp;IF(D377="","  (guessed from PAN)",""))</f>
        <v/>
      </c>
      <c r="AU377" s="29">
        <f>IF(AZ377="","",IFERROR(INDEX(Lists!$L$2:$L$38,MATCH(LEFT(AZ377,2),Lists!$K$2:$K$38,0)),"Unknown code"))</f>
        <v/>
      </c>
      <c r="AV377" s="29">
        <f>IF(AZ377="","",IFERROR(IF(NOT(AND(LEN(AZ377)=15,ISNUMBER(MATCH(LEFT(AZ377,2),Lists!$K$2:$K$38,0)),SUMPRODUCT(--ISERROR(FIND(MID(MID(AZ377,3,10),{1,2,3,4,5,10},1),"ABCDEFGHIJKLMNOPQRSTUVWXYZ")))=0,SUMPRODUCT(--ISERROR(FIND(MID(MID(AZ377,3,10),{6,7,8,9},1),"0123456789")))=0,ISNUMBER(FIND(MID(AZ377,13,1),"123456789ABCDEFGHIJKLMNOPQRSTUVWXYZ")),MID(AZ377,14,1)="Z")),"Wrong format",IF(MID("0123456789ABCDEFGHIJKLMNOPQRSTUVWXYZ",MOD(36-MOD(SUMPRODUCT(INT((FIND(MID(AZ377,{1,2,3,4,5,6,7,8,9,10,11,12,13,14},1),"0123456789ABCDEFGHIJKLMNOPQRSTUVWXYZ")-1)*{1,2,1,2,1,2,1,2,1,2,1,2,1,2}/36)+MOD((FIND(MID(AZ377,{1,2,3,4,5,6,7,8,9,10,11,12,13,14},1),"0123456789ABCDEFGHIJKLMNOPQRSTUVWXYZ")-1)*{1,2,1,2,1,2,1,2,1,2,1,2,1,2},36)),36),36)+1,1)=MID(AZ377,15,1),"OK","Typo? check digit wrong")),"Wrong format"))</f>
        <v/>
      </c>
      <c r="AW377" s="29">
        <f>IF(BA377="","",IF(AND(LEN(BA377)=10,SUMPRODUCT(--ISERROR(FIND(MID(BA377,{1,2,3,4,5,10},1),"ABCDEFGHIJKLMNOPQRSTUVWXYZ")))=0,SUMPRODUCT(--ISERROR(FIND(MID(BA377,{6,7,8,9},1),"0123456789")))=0),"OK","Wrong format"))</f>
        <v/>
      </c>
      <c r="AX377" s="29">
        <f>IF(TRIM(H377)="","",IF(AND(LEN(UPPER(TRIM(H377)))=10,SUMPRODUCT(--ISERROR(FIND(MID(UPPER(TRIM(H377)),{1,2,3,4,10},1),"ABCDEFGHIJKLMNOPQRSTUVWXYZ")))=0,SUMPRODUCT(--ISERROR(FIND(MID(UPPER(TRIM(H377)),{5,6,7,8,9},1),"0123456789")))=0),"OK","Wrong format"))</f>
        <v/>
      </c>
      <c r="AY377" s="30">
        <f>IF(NOT(COUNTA(A377:AE377)&gt;0),"",IF(BE377&lt;&gt;"","✖ "&amp;LEFT(BE377,LEN(BE377)-2),IF(BD377&gt;0,"✔ Ready — client + "&amp;BD377&amp;" service(s)","✔ Ready — client only")))</f>
        <v/>
      </c>
      <c r="AZ377" s="31">
        <f>UPPER(SUBSTITUTE(TRIM(F377)," ",""))</f>
        <v/>
      </c>
      <c r="BA377" s="31">
        <f>UPPER(SUBSTITUTE(TRIM(E377)," ",""))</f>
        <v/>
      </c>
      <c r="BB377" s="31">
        <f>IF(D377&lt;&gt;"",D377,IFERROR(VLOOKUP(MID(AS377,4,1),Lists!$E$2:$F$8,2,FALSE),""))</f>
        <v/>
      </c>
      <c r="BC377" s="31">
        <f>IFERROR(VLOOKUP(BB377,Lists!$A$2:$C$12,3,FALSE),"")</f>
        <v/>
      </c>
      <c r="BD377" s="31">
        <f>COUNTIF(W377:AC377,"Yes")</f>
        <v/>
      </c>
      <c r="BE377" s="31">
        <f>IF(TRIM(B377)="","Legal name missing; ","")&amp;IF(AND(AV377&lt;&gt;"",AV377&lt;&gt;"OK"),"GSTIN: "&amp;AV377&amp;"; ","")&amp;IF(AND(AW377&lt;&gt;"",AW377&lt;&gt;"OK"),"PAN wrong format; ","")&amp;IF(AND(BA377&lt;&gt;"",LEN(AZ377)=15,MID(AZ377,3,10)&lt;&gt;BA377),"PAN does not match GSTIN; ","")&amp;IF(AND(AX377&lt;&gt;"",AX377&lt;&gt;"OK"),"TAN wrong format; ","")&amp;IF(AS377="","PAN missing; ","")&amp;IF(BB377="","Entity type missing; ","")&amp;IF(AND(AZ377&lt;&gt;"",COUNTIF($AZ$6:$AZ$1005,AZ377)&gt;1),"GSTIN repeated in this sheet; ","")&amp;IF(AND(AS377&lt;&gt;"",COUNTIF($AS$6:$AS$1005,AS377)&gt;1),"PAN repeated in this sheet (same client? put extra GSTINs in Other GSTINs); ","")&amp;IF(AND(BD377&gt;0,V377=""),"Financial year missing; ","")&amp;IF(AND(BD377=0,V377&lt;&gt;""),"Financial year given but no service is Yes; ","")&amp;IF(AND(W377="Yes",AZ377=""),"GST needs a GSTIN; ","")&amp;IF(AND(W377="Yes",X377=""),"GST return frequency missing; ","")&amp;IF(AND(Y377="Yes",TRIM(H377)=""),"TDS needs a TAN; ","")&amp;IF(AND(AA377="Yes",BC377&lt;&gt;"",BC377&lt;&gt;"company",BC377&lt;&gt;"llp"),"ROC is only for a company / LLP; ","")&amp;IF(AND(AA377="Yes",OR(BC377="company",BC377="llp"),TRIM(I377)=""),"ROC needs the CIN / LLPIN; ","")&amp;IF((TRIM(AF377)="")&lt;&gt;(TRIM(AG377)=""),"GST login needs both user ID and password; ","")&amp;IF((TRIM(AH377)="")&lt;&gt;(TRIM(AI377)=""),"Income-tax login needs both user ID and password; ","")&amp;IF((TRIM(AJ377)="")&lt;&gt;(TRIM(AK377)=""),"Income-tax login needs both user ID and password; ","")&amp;IF((TRIM(AL377)="")&lt;&gt;(TRIM(AM377)=""),"TRACES login needs both user ID and password; ","")&amp;IF((TRIM(AN377)="")&lt;&gt;(TRIM(AO377)=""),"MCA login needs both user ID and password; ","")&amp;IF((TRIM(AP377)="")&lt;&gt;(TRIM(AQ377)=""),"E-way bill login needs both user ID and password; ","")</f>
        <v/>
      </c>
    </row>
    <row r="378">
      <c r="A378" s="32" t="n"/>
      <c r="B378" s="33" t="n"/>
      <c r="C378" s="33" t="n"/>
      <c r="D378" s="33" t="n"/>
      <c r="E378" s="32" t="n"/>
      <c r="F378" s="32" t="n"/>
      <c r="G378" s="32" t="n"/>
      <c r="H378" s="32" t="n"/>
      <c r="I378" s="32" t="n"/>
      <c r="J378" s="34" t="n"/>
      <c r="K378" s="33" t="n"/>
      <c r="L378" s="32" t="n"/>
      <c r="M378" s="33" t="n"/>
      <c r="N378" s="33" t="n"/>
      <c r="O378" s="33" t="n"/>
      <c r="P378" s="32" t="n"/>
      <c r="Q378" s="33" t="n"/>
      <c r="R378" s="33" t="n"/>
      <c r="S378" s="33" t="n"/>
      <c r="T378" s="33" t="n"/>
      <c r="U378" s="32" t="n"/>
      <c r="V378" s="33" t="n"/>
      <c r="W378" s="33" t="n"/>
      <c r="X378" s="33" t="n"/>
      <c r="Y378" s="33" t="n"/>
      <c r="Z378" s="33" t="n"/>
      <c r="AA378" s="33" t="n"/>
      <c r="AB378" s="33" t="n"/>
      <c r="AC378" s="33" t="n"/>
      <c r="AD378" s="33" t="n"/>
      <c r="AE378" s="33" t="n"/>
      <c r="AF378" s="32" t="n"/>
      <c r="AG378" s="32" t="n"/>
      <c r="AH378" s="32" t="n"/>
      <c r="AI378" s="32" t="n"/>
      <c r="AJ378" s="32" t="n"/>
      <c r="AK378" s="32" t="n"/>
      <c r="AL378" s="32" t="n"/>
      <c r="AM378" s="32" t="n"/>
      <c r="AN378" s="32" t="n"/>
      <c r="AO378" s="32" t="n"/>
      <c r="AP378" s="32" t="n"/>
      <c r="AQ378" s="32" t="n"/>
      <c r="AR378" s="29">
        <f>IF(NOT(COUNTA(A378:AE378)&gt;0),"",IF(A378="","New client","Update"))</f>
        <v/>
      </c>
      <c r="AS378" s="29">
        <f>IF(BA378&lt;&gt;"",BA378,IF(LEN(AZ378)=15,MID(AZ378,3,10),""))</f>
        <v/>
      </c>
      <c r="AT378" s="29">
        <f>IF(BB378="","",BB378&amp;IF(D378="","  (guessed from PAN)",""))</f>
        <v/>
      </c>
      <c r="AU378" s="29">
        <f>IF(AZ378="","",IFERROR(INDEX(Lists!$L$2:$L$38,MATCH(LEFT(AZ378,2),Lists!$K$2:$K$38,0)),"Unknown code"))</f>
        <v/>
      </c>
      <c r="AV378" s="29">
        <f>IF(AZ378="","",IFERROR(IF(NOT(AND(LEN(AZ378)=15,ISNUMBER(MATCH(LEFT(AZ378,2),Lists!$K$2:$K$38,0)),SUMPRODUCT(--ISERROR(FIND(MID(MID(AZ378,3,10),{1,2,3,4,5,10},1),"ABCDEFGHIJKLMNOPQRSTUVWXYZ")))=0,SUMPRODUCT(--ISERROR(FIND(MID(MID(AZ378,3,10),{6,7,8,9},1),"0123456789")))=0,ISNUMBER(FIND(MID(AZ378,13,1),"123456789ABCDEFGHIJKLMNOPQRSTUVWXYZ")),MID(AZ378,14,1)="Z")),"Wrong format",IF(MID("0123456789ABCDEFGHIJKLMNOPQRSTUVWXYZ",MOD(36-MOD(SUMPRODUCT(INT((FIND(MID(AZ378,{1,2,3,4,5,6,7,8,9,10,11,12,13,14},1),"0123456789ABCDEFGHIJKLMNOPQRSTUVWXYZ")-1)*{1,2,1,2,1,2,1,2,1,2,1,2,1,2}/36)+MOD((FIND(MID(AZ378,{1,2,3,4,5,6,7,8,9,10,11,12,13,14},1),"0123456789ABCDEFGHIJKLMNOPQRSTUVWXYZ")-1)*{1,2,1,2,1,2,1,2,1,2,1,2,1,2},36)),36),36)+1,1)=MID(AZ378,15,1),"OK","Typo? check digit wrong")),"Wrong format"))</f>
        <v/>
      </c>
      <c r="AW378" s="29">
        <f>IF(BA378="","",IF(AND(LEN(BA378)=10,SUMPRODUCT(--ISERROR(FIND(MID(BA378,{1,2,3,4,5,10},1),"ABCDEFGHIJKLMNOPQRSTUVWXYZ")))=0,SUMPRODUCT(--ISERROR(FIND(MID(BA378,{6,7,8,9},1),"0123456789")))=0),"OK","Wrong format"))</f>
        <v/>
      </c>
      <c r="AX378" s="29">
        <f>IF(TRIM(H378)="","",IF(AND(LEN(UPPER(TRIM(H378)))=10,SUMPRODUCT(--ISERROR(FIND(MID(UPPER(TRIM(H378)),{1,2,3,4,10},1),"ABCDEFGHIJKLMNOPQRSTUVWXYZ")))=0,SUMPRODUCT(--ISERROR(FIND(MID(UPPER(TRIM(H378)),{5,6,7,8,9},1),"0123456789")))=0),"OK","Wrong format"))</f>
        <v/>
      </c>
      <c r="AY378" s="30">
        <f>IF(NOT(COUNTA(A378:AE378)&gt;0),"",IF(BE378&lt;&gt;"","✖ "&amp;LEFT(BE378,LEN(BE378)-2),IF(BD378&gt;0,"✔ Ready — client + "&amp;BD378&amp;" service(s)","✔ Ready — client only")))</f>
        <v/>
      </c>
      <c r="AZ378" s="31">
        <f>UPPER(SUBSTITUTE(TRIM(F378)," ",""))</f>
        <v/>
      </c>
      <c r="BA378" s="31">
        <f>UPPER(SUBSTITUTE(TRIM(E378)," ",""))</f>
        <v/>
      </c>
      <c r="BB378" s="31">
        <f>IF(D378&lt;&gt;"",D378,IFERROR(VLOOKUP(MID(AS378,4,1),Lists!$E$2:$F$8,2,FALSE),""))</f>
        <v/>
      </c>
      <c r="BC378" s="31">
        <f>IFERROR(VLOOKUP(BB378,Lists!$A$2:$C$12,3,FALSE),"")</f>
        <v/>
      </c>
      <c r="BD378" s="31">
        <f>COUNTIF(W378:AC378,"Yes")</f>
        <v/>
      </c>
      <c r="BE378" s="31">
        <f>IF(TRIM(B378)="","Legal name missing; ","")&amp;IF(AND(AV378&lt;&gt;"",AV378&lt;&gt;"OK"),"GSTIN: "&amp;AV378&amp;"; ","")&amp;IF(AND(AW378&lt;&gt;"",AW378&lt;&gt;"OK"),"PAN wrong format; ","")&amp;IF(AND(BA378&lt;&gt;"",LEN(AZ378)=15,MID(AZ378,3,10)&lt;&gt;BA378),"PAN does not match GSTIN; ","")&amp;IF(AND(AX378&lt;&gt;"",AX378&lt;&gt;"OK"),"TAN wrong format; ","")&amp;IF(AS378="","PAN missing; ","")&amp;IF(BB378="","Entity type missing; ","")&amp;IF(AND(AZ378&lt;&gt;"",COUNTIF($AZ$6:$AZ$1005,AZ378)&gt;1),"GSTIN repeated in this sheet; ","")&amp;IF(AND(AS378&lt;&gt;"",COUNTIF($AS$6:$AS$1005,AS378)&gt;1),"PAN repeated in this sheet (same client? put extra GSTINs in Other GSTINs); ","")&amp;IF(AND(BD378&gt;0,V378=""),"Financial year missing; ","")&amp;IF(AND(BD378=0,V378&lt;&gt;""),"Financial year given but no service is Yes; ","")&amp;IF(AND(W378="Yes",AZ378=""),"GST needs a GSTIN; ","")&amp;IF(AND(W378="Yes",X378=""),"GST return frequency missing; ","")&amp;IF(AND(Y378="Yes",TRIM(H378)=""),"TDS needs a TAN; ","")&amp;IF(AND(AA378="Yes",BC378&lt;&gt;"",BC378&lt;&gt;"company",BC378&lt;&gt;"llp"),"ROC is only for a company / LLP; ","")&amp;IF(AND(AA378="Yes",OR(BC378="company",BC378="llp"),TRIM(I378)=""),"ROC needs the CIN / LLPIN; ","")&amp;IF((TRIM(AF378)="")&lt;&gt;(TRIM(AG378)=""),"GST login needs both user ID and password; ","")&amp;IF((TRIM(AH378)="")&lt;&gt;(TRIM(AI378)=""),"Income-tax login needs both user ID and password; ","")&amp;IF((TRIM(AJ378)="")&lt;&gt;(TRIM(AK378)=""),"Income-tax login needs both user ID and password; ","")&amp;IF((TRIM(AL378)="")&lt;&gt;(TRIM(AM378)=""),"TRACES login needs both user ID and password; ","")&amp;IF((TRIM(AN378)="")&lt;&gt;(TRIM(AO378)=""),"MCA login needs both user ID and password; ","")&amp;IF((TRIM(AP378)="")&lt;&gt;(TRIM(AQ378)=""),"E-way bill login needs both user ID and password; ","")</f>
        <v/>
      </c>
    </row>
    <row r="379">
      <c r="A379" s="32" t="n"/>
      <c r="B379" s="33" t="n"/>
      <c r="C379" s="33" t="n"/>
      <c r="D379" s="33" t="n"/>
      <c r="E379" s="32" t="n"/>
      <c r="F379" s="32" t="n"/>
      <c r="G379" s="32" t="n"/>
      <c r="H379" s="32" t="n"/>
      <c r="I379" s="32" t="n"/>
      <c r="J379" s="34" t="n"/>
      <c r="K379" s="33" t="n"/>
      <c r="L379" s="32" t="n"/>
      <c r="M379" s="33" t="n"/>
      <c r="N379" s="33" t="n"/>
      <c r="O379" s="33" t="n"/>
      <c r="P379" s="32" t="n"/>
      <c r="Q379" s="33" t="n"/>
      <c r="R379" s="33" t="n"/>
      <c r="S379" s="33" t="n"/>
      <c r="T379" s="33" t="n"/>
      <c r="U379" s="32" t="n"/>
      <c r="V379" s="33" t="n"/>
      <c r="W379" s="33" t="n"/>
      <c r="X379" s="33" t="n"/>
      <c r="Y379" s="33" t="n"/>
      <c r="Z379" s="33" t="n"/>
      <c r="AA379" s="33" t="n"/>
      <c r="AB379" s="33" t="n"/>
      <c r="AC379" s="33" t="n"/>
      <c r="AD379" s="33" t="n"/>
      <c r="AE379" s="33" t="n"/>
      <c r="AF379" s="32" t="n"/>
      <c r="AG379" s="32" t="n"/>
      <c r="AH379" s="32" t="n"/>
      <c r="AI379" s="32" t="n"/>
      <c r="AJ379" s="32" t="n"/>
      <c r="AK379" s="32" t="n"/>
      <c r="AL379" s="32" t="n"/>
      <c r="AM379" s="32" t="n"/>
      <c r="AN379" s="32" t="n"/>
      <c r="AO379" s="32" t="n"/>
      <c r="AP379" s="32" t="n"/>
      <c r="AQ379" s="32" t="n"/>
      <c r="AR379" s="29">
        <f>IF(NOT(COUNTA(A379:AE379)&gt;0),"",IF(A379="","New client","Update"))</f>
        <v/>
      </c>
      <c r="AS379" s="29">
        <f>IF(BA379&lt;&gt;"",BA379,IF(LEN(AZ379)=15,MID(AZ379,3,10),""))</f>
        <v/>
      </c>
      <c r="AT379" s="29">
        <f>IF(BB379="","",BB379&amp;IF(D379="","  (guessed from PAN)",""))</f>
        <v/>
      </c>
      <c r="AU379" s="29">
        <f>IF(AZ379="","",IFERROR(INDEX(Lists!$L$2:$L$38,MATCH(LEFT(AZ379,2),Lists!$K$2:$K$38,0)),"Unknown code"))</f>
        <v/>
      </c>
      <c r="AV379" s="29">
        <f>IF(AZ379="","",IFERROR(IF(NOT(AND(LEN(AZ379)=15,ISNUMBER(MATCH(LEFT(AZ379,2),Lists!$K$2:$K$38,0)),SUMPRODUCT(--ISERROR(FIND(MID(MID(AZ379,3,10),{1,2,3,4,5,10},1),"ABCDEFGHIJKLMNOPQRSTUVWXYZ")))=0,SUMPRODUCT(--ISERROR(FIND(MID(MID(AZ379,3,10),{6,7,8,9},1),"0123456789")))=0,ISNUMBER(FIND(MID(AZ379,13,1),"123456789ABCDEFGHIJKLMNOPQRSTUVWXYZ")),MID(AZ379,14,1)="Z")),"Wrong format",IF(MID("0123456789ABCDEFGHIJKLMNOPQRSTUVWXYZ",MOD(36-MOD(SUMPRODUCT(INT((FIND(MID(AZ379,{1,2,3,4,5,6,7,8,9,10,11,12,13,14},1),"0123456789ABCDEFGHIJKLMNOPQRSTUVWXYZ")-1)*{1,2,1,2,1,2,1,2,1,2,1,2,1,2}/36)+MOD((FIND(MID(AZ379,{1,2,3,4,5,6,7,8,9,10,11,12,13,14},1),"0123456789ABCDEFGHIJKLMNOPQRSTUVWXYZ")-1)*{1,2,1,2,1,2,1,2,1,2,1,2,1,2},36)),36),36)+1,1)=MID(AZ379,15,1),"OK","Typo? check digit wrong")),"Wrong format"))</f>
        <v/>
      </c>
      <c r="AW379" s="29">
        <f>IF(BA379="","",IF(AND(LEN(BA379)=10,SUMPRODUCT(--ISERROR(FIND(MID(BA379,{1,2,3,4,5,10},1),"ABCDEFGHIJKLMNOPQRSTUVWXYZ")))=0,SUMPRODUCT(--ISERROR(FIND(MID(BA379,{6,7,8,9},1),"0123456789")))=0),"OK","Wrong format"))</f>
        <v/>
      </c>
      <c r="AX379" s="29">
        <f>IF(TRIM(H379)="","",IF(AND(LEN(UPPER(TRIM(H379)))=10,SUMPRODUCT(--ISERROR(FIND(MID(UPPER(TRIM(H379)),{1,2,3,4,10},1),"ABCDEFGHIJKLMNOPQRSTUVWXYZ")))=0,SUMPRODUCT(--ISERROR(FIND(MID(UPPER(TRIM(H379)),{5,6,7,8,9},1),"0123456789")))=0),"OK","Wrong format"))</f>
        <v/>
      </c>
      <c r="AY379" s="30">
        <f>IF(NOT(COUNTA(A379:AE379)&gt;0),"",IF(BE379&lt;&gt;"","✖ "&amp;LEFT(BE379,LEN(BE379)-2),IF(BD379&gt;0,"✔ Ready — client + "&amp;BD379&amp;" service(s)","✔ Ready — client only")))</f>
        <v/>
      </c>
      <c r="AZ379" s="31">
        <f>UPPER(SUBSTITUTE(TRIM(F379)," ",""))</f>
        <v/>
      </c>
      <c r="BA379" s="31">
        <f>UPPER(SUBSTITUTE(TRIM(E379)," ",""))</f>
        <v/>
      </c>
      <c r="BB379" s="31">
        <f>IF(D379&lt;&gt;"",D379,IFERROR(VLOOKUP(MID(AS379,4,1),Lists!$E$2:$F$8,2,FALSE),""))</f>
        <v/>
      </c>
      <c r="BC379" s="31">
        <f>IFERROR(VLOOKUP(BB379,Lists!$A$2:$C$12,3,FALSE),"")</f>
        <v/>
      </c>
      <c r="BD379" s="31">
        <f>COUNTIF(W379:AC379,"Yes")</f>
        <v/>
      </c>
      <c r="BE379" s="31">
        <f>IF(TRIM(B379)="","Legal name missing; ","")&amp;IF(AND(AV379&lt;&gt;"",AV379&lt;&gt;"OK"),"GSTIN: "&amp;AV379&amp;"; ","")&amp;IF(AND(AW379&lt;&gt;"",AW379&lt;&gt;"OK"),"PAN wrong format; ","")&amp;IF(AND(BA379&lt;&gt;"",LEN(AZ379)=15,MID(AZ379,3,10)&lt;&gt;BA379),"PAN does not match GSTIN; ","")&amp;IF(AND(AX379&lt;&gt;"",AX379&lt;&gt;"OK"),"TAN wrong format; ","")&amp;IF(AS379="","PAN missing; ","")&amp;IF(BB379="","Entity type missing; ","")&amp;IF(AND(AZ379&lt;&gt;"",COUNTIF($AZ$6:$AZ$1005,AZ379)&gt;1),"GSTIN repeated in this sheet; ","")&amp;IF(AND(AS379&lt;&gt;"",COUNTIF($AS$6:$AS$1005,AS379)&gt;1),"PAN repeated in this sheet (same client? put extra GSTINs in Other GSTINs); ","")&amp;IF(AND(BD379&gt;0,V379=""),"Financial year missing; ","")&amp;IF(AND(BD379=0,V379&lt;&gt;""),"Financial year given but no service is Yes; ","")&amp;IF(AND(W379="Yes",AZ379=""),"GST needs a GSTIN; ","")&amp;IF(AND(W379="Yes",X379=""),"GST return frequency missing; ","")&amp;IF(AND(Y379="Yes",TRIM(H379)=""),"TDS needs a TAN; ","")&amp;IF(AND(AA379="Yes",BC379&lt;&gt;"",BC379&lt;&gt;"company",BC379&lt;&gt;"llp"),"ROC is only for a company / LLP; ","")&amp;IF(AND(AA379="Yes",OR(BC379="company",BC379="llp"),TRIM(I379)=""),"ROC needs the CIN / LLPIN; ","")&amp;IF((TRIM(AF379)="")&lt;&gt;(TRIM(AG379)=""),"GST login needs both user ID and password; ","")&amp;IF((TRIM(AH379)="")&lt;&gt;(TRIM(AI379)=""),"Income-tax login needs both user ID and password; ","")&amp;IF((TRIM(AJ379)="")&lt;&gt;(TRIM(AK379)=""),"Income-tax login needs both user ID and password; ","")&amp;IF((TRIM(AL379)="")&lt;&gt;(TRIM(AM379)=""),"TRACES login needs both user ID and password; ","")&amp;IF((TRIM(AN379)="")&lt;&gt;(TRIM(AO379)=""),"MCA login needs both user ID and password; ","")&amp;IF((TRIM(AP379)="")&lt;&gt;(TRIM(AQ379)=""),"E-way bill login needs both user ID and password; ","")</f>
        <v/>
      </c>
    </row>
    <row r="380">
      <c r="A380" s="32" t="n"/>
      <c r="B380" s="33" t="n"/>
      <c r="C380" s="33" t="n"/>
      <c r="D380" s="33" t="n"/>
      <c r="E380" s="32" t="n"/>
      <c r="F380" s="32" t="n"/>
      <c r="G380" s="32" t="n"/>
      <c r="H380" s="32" t="n"/>
      <c r="I380" s="32" t="n"/>
      <c r="J380" s="34" t="n"/>
      <c r="K380" s="33" t="n"/>
      <c r="L380" s="32" t="n"/>
      <c r="M380" s="33" t="n"/>
      <c r="N380" s="33" t="n"/>
      <c r="O380" s="33" t="n"/>
      <c r="P380" s="32" t="n"/>
      <c r="Q380" s="33" t="n"/>
      <c r="R380" s="33" t="n"/>
      <c r="S380" s="33" t="n"/>
      <c r="T380" s="33" t="n"/>
      <c r="U380" s="32" t="n"/>
      <c r="V380" s="33" t="n"/>
      <c r="W380" s="33" t="n"/>
      <c r="X380" s="33" t="n"/>
      <c r="Y380" s="33" t="n"/>
      <c r="Z380" s="33" t="n"/>
      <c r="AA380" s="33" t="n"/>
      <c r="AB380" s="33" t="n"/>
      <c r="AC380" s="33" t="n"/>
      <c r="AD380" s="33" t="n"/>
      <c r="AE380" s="33" t="n"/>
      <c r="AF380" s="32" t="n"/>
      <c r="AG380" s="32" t="n"/>
      <c r="AH380" s="32" t="n"/>
      <c r="AI380" s="32" t="n"/>
      <c r="AJ380" s="32" t="n"/>
      <c r="AK380" s="32" t="n"/>
      <c r="AL380" s="32" t="n"/>
      <c r="AM380" s="32" t="n"/>
      <c r="AN380" s="32" t="n"/>
      <c r="AO380" s="32" t="n"/>
      <c r="AP380" s="32" t="n"/>
      <c r="AQ380" s="32" t="n"/>
      <c r="AR380" s="29">
        <f>IF(NOT(COUNTA(A380:AE380)&gt;0),"",IF(A380="","New client","Update"))</f>
        <v/>
      </c>
      <c r="AS380" s="29">
        <f>IF(BA380&lt;&gt;"",BA380,IF(LEN(AZ380)=15,MID(AZ380,3,10),""))</f>
        <v/>
      </c>
      <c r="AT380" s="29">
        <f>IF(BB380="","",BB380&amp;IF(D380="","  (guessed from PAN)",""))</f>
        <v/>
      </c>
      <c r="AU380" s="29">
        <f>IF(AZ380="","",IFERROR(INDEX(Lists!$L$2:$L$38,MATCH(LEFT(AZ380,2),Lists!$K$2:$K$38,0)),"Unknown code"))</f>
        <v/>
      </c>
      <c r="AV380" s="29">
        <f>IF(AZ380="","",IFERROR(IF(NOT(AND(LEN(AZ380)=15,ISNUMBER(MATCH(LEFT(AZ380,2),Lists!$K$2:$K$38,0)),SUMPRODUCT(--ISERROR(FIND(MID(MID(AZ380,3,10),{1,2,3,4,5,10},1),"ABCDEFGHIJKLMNOPQRSTUVWXYZ")))=0,SUMPRODUCT(--ISERROR(FIND(MID(MID(AZ380,3,10),{6,7,8,9},1),"0123456789")))=0,ISNUMBER(FIND(MID(AZ380,13,1),"123456789ABCDEFGHIJKLMNOPQRSTUVWXYZ")),MID(AZ380,14,1)="Z")),"Wrong format",IF(MID("0123456789ABCDEFGHIJKLMNOPQRSTUVWXYZ",MOD(36-MOD(SUMPRODUCT(INT((FIND(MID(AZ380,{1,2,3,4,5,6,7,8,9,10,11,12,13,14},1),"0123456789ABCDEFGHIJKLMNOPQRSTUVWXYZ")-1)*{1,2,1,2,1,2,1,2,1,2,1,2,1,2}/36)+MOD((FIND(MID(AZ380,{1,2,3,4,5,6,7,8,9,10,11,12,13,14},1),"0123456789ABCDEFGHIJKLMNOPQRSTUVWXYZ")-1)*{1,2,1,2,1,2,1,2,1,2,1,2,1,2},36)),36),36)+1,1)=MID(AZ380,15,1),"OK","Typo? check digit wrong")),"Wrong format"))</f>
        <v/>
      </c>
      <c r="AW380" s="29">
        <f>IF(BA380="","",IF(AND(LEN(BA380)=10,SUMPRODUCT(--ISERROR(FIND(MID(BA380,{1,2,3,4,5,10},1),"ABCDEFGHIJKLMNOPQRSTUVWXYZ")))=0,SUMPRODUCT(--ISERROR(FIND(MID(BA380,{6,7,8,9},1),"0123456789")))=0),"OK","Wrong format"))</f>
        <v/>
      </c>
      <c r="AX380" s="29">
        <f>IF(TRIM(H380)="","",IF(AND(LEN(UPPER(TRIM(H380)))=10,SUMPRODUCT(--ISERROR(FIND(MID(UPPER(TRIM(H380)),{1,2,3,4,10},1),"ABCDEFGHIJKLMNOPQRSTUVWXYZ")))=0,SUMPRODUCT(--ISERROR(FIND(MID(UPPER(TRIM(H380)),{5,6,7,8,9},1),"0123456789")))=0),"OK","Wrong format"))</f>
        <v/>
      </c>
      <c r="AY380" s="30">
        <f>IF(NOT(COUNTA(A380:AE380)&gt;0),"",IF(BE380&lt;&gt;"","✖ "&amp;LEFT(BE380,LEN(BE380)-2),IF(BD380&gt;0,"✔ Ready — client + "&amp;BD380&amp;" service(s)","✔ Ready — client only")))</f>
        <v/>
      </c>
      <c r="AZ380" s="31">
        <f>UPPER(SUBSTITUTE(TRIM(F380)," ",""))</f>
        <v/>
      </c>
      <c r="BA380" s="31">
        <f>UPPER(SUBSTITUTE(TRIM(E380)," ",""))</f>
        <v/>
      </c>
      <c r="BB380" s="31">
        <f>IF(D380&lt;&gt;"",D380,IFERROR(VLOOKUP(MID(AS380,4,1),Lists!$E$2:$F$8,2,FALSE),""))</f>
        <v/>
      </c>
      <c r="BC380" s="31">
        <f>IFERROR(VLOOKUP(BB380,Lists!$A$2:$C$12,3,FALSE),"")</f>
        <v/>
      </c>
      <c r="BD380" s="31">
        <f>COUNTIF(W380:AC380,"Yes")</f>
        <v/>
      </c>
      <c r="BE380" s="31">
        <f>IF(TRIM(B380)="","Legal name missing; ","")&amp;IF(AND(AV380&lt;&gt;"",AV380&lt;&gt;"OK"),"GSTIN: "&amp;AV380&amp;"; ","")&amp;IF(AND(AW380&lt;&gt;"",AW380&lt;&gt;"OK"),"PAN wrong format; ","")&amp;IF(AND(BA380&lt;&gt;"",LEN(AZ380)=15,MID(AZ380,3,10)&lt;&gt;BA380),"PAN does not match GSTIN; ","")&amp;IF(AND(AX380&lt;&gt;"",AX380&lt;&gt;"OK"),"TAN wrong format; ","")&amp;IF(AS380="","PAN missing; ","")&amp;IF(BB380="","Entity type missing; ","")&amp;IF(AND(AZ380&lt;&gt;"",COUNTIF($AZ$6:$AZ$1005,AZ380)&gt;1),"GSTIN repeated in this sheet; ","")&amp;IF(AND(AS380&lt;&gt;"",COUNTIF($AS$6:$AS$1005,AS380)&gt;1),"PAN repeated in this sheet (same client? put extra GSTINs in Other GSTINs); ","")&amp;IF(AND(BD380&gt;0,V380=""),"Financial year missing; ","")&amp;IF(AND(BD380=0,V380&lt;&gt;""),"Financial year given but no service is Yes; ","")&amp;IF(AND(W380="Yes",AZ380=""),"GST needs a GSTIN; ","")&amp;IF(AND(W380="Yes",X380=""),"GST return frequency missing; ","")&amp;IF(AND(Y380="Yes",TRIM(H380)=""),"TDS needs a TAN; ","")&amp;IF(AND(AA380="Yes",BC380&lt;&gt;"",BC380&lt;&gt;"company",BC380&lt;&gt;"llp"),"ROC is only for a company / LLP; ","")&amp;IF(AND(AA380="Yes",OR(BC380="company",BC380="llp"),TRIM(I380)=""),"ROC needs the CIN / LLPIN; ","")&amp;IF((TRIM(AF380)="")&lt;&gt;(TRIM(AG380)=""),"GST login needs both user ID and password; ","")&amp;IF((TRIM(AH380)="")&lt;&gt;(TRIM(AI380)=""),"Income-tax login needs both user ID and password; ","")&amp;IF((TRIM(AJ380)="")&lt;&gt;(TRIM(AK380)=""),"Income-tax login needs both user ID and password; ","")&amp;IF((TRIM(AL380)="")&lt;&gt;(TRIM(AM380)=""),"TRACES login needs both user ID and password; ","")&amp;IF((TRIM(AN380)="")&lt;&gt;(TRIM(AO380)=""),"MCA login needs both user ID and password; ","")&amp;IF((TRIM(AP380)="")&lt;&gt;(TRIM(AQ380)=""),"E-way bill login needs both user ID and password; ","")</f>
        <v/>
      </c>
    </row>
    <row r="381">
      <c r="A381" s="32" t="n"/>
      <c r="B381" s="33" t="n"/>
      <c r="C381" s="33" t="n"/>
      <c r="D381" s="33" t="n"/>
      <c r="E381" s="32" t="n"/>
      <c r="F381" s="32" t="n"/>
      <c r="G381" s="32" t="n"/>
      <c r="H381" s="32" t="n"/>
      <c r="I381" s="32" t="n"/>
      <c r="J381" s="34" t="n"/>
      <c r="K381" s="33" t="n"/>
      <c r="L381" s="32" t="n"/>
      <c r="M381" s="33" t="n"/>
      <c r="N381" s="33" t="n"/>
      <c r="O381" s="33" t="n"/>
      <c r="P381" s="32" t="n"/>
      <c r="Q381" s="33" t="n"/>
      <c r="R381" s="33" t="n"/>
      <c r="S381" s="33" t="n"/>
      <c r="T381" s="33" t="n"/>
      <c r="U381" s="32" t="n"/>
      <c r="V381" s="33" t="n"/>
      <c r="W381" s="33" t="n"/>
      <c r="X381" s="33" t="n"/>
      <c r="Y381" s="33" t="n"/>
      <c r="Z381" s="33" t="n"/>
      <c r="AA381" s="33" t="n"/>
      <c r="AB381" s="33" t="n"/>
      <c r="AC381" s="33" t="n"/>
      <c r="AD381" s="33" t="n"/>
      <c r="AE381" s="33" t="n"/>
      <c r="AF381" s="32" t="n"/>
      <c r="AG381" s="32" t="n"/>
      <c r="AH381" s="32" t="n"/>
      <c r="AI381" s="32" t="n"/>
      <c r="AJ381" s="32" t="n"/>
      <c r="AK381" s="32" t="n"/>
      <c r="AL381" s="32" t="n"/>
      <c r="AM381" s="32" t="n"/>
      <c r="AN381" s="32" t="n"/>
      <c r="AO381" s="32" t="n"/>
      <c r="AP381" s="32" t="n"/>
      <c r="AQ381" s="32" t="n"/>
      <c r="AR381" s="29">
        <f>IF(NOT(COUNTA(A381:AE381)&gt;0),"",IF(A381="","New client","Update"))</f>
        <v/>
      </c>
      <c r="AS381" s="29">
        <f>IF(BA381&lt;&gt;"",BA381,IF(LEN(AZ381)=15,MID(AZ381,3,10),""))</f>
        <v/>
      </c>
      <c r="AT381" s="29">
        <f>IF(BB381="","",BB381&amp;IF(D381="","  (guessed from PAN)",""))</f>
        <v/>
      </c>
      <c r="AU381" s="29">
        <f>IF(AZ381="","",IFERROR(INDEX(Lists!$L$2:$L$38,MATCH(LEFT(AZ381,2),Lists!$K$2:$K$38,0)),"Unknown code"))</f>
        <v/>
      </c>
      <c r="AV381" s="29">
        <f>IF(AZ381="","",IFERROR(IF(NOT(AND(LEN(AZ381)=15,ISNUMBER(MATCH(LEFT(AZ381,2),Lists!$K$2:$K$38,0)),SUMPRODUCT(--ISERROR(FIND(MID(MID(AZ381,3,10),{1,2,3,4,5,10},1),"ABCDEFGHIJKLMNOPQRSTUVWXYZ")))=0,SUMPRODUCT(--ISERROR(FIND(MID(MID(AZ381,3,10),{6,7,8,9},1),"0123456789")))=0,ISNUMBER(FIND(MID(AZ381,13,1),"123456789ABCDEFGHIJKLMNOPQRSTUVWXYZ")),MID(AZ381,14,1)="Z")),"Wrong format",IF(MID("0123456789ABCDEFGHIJKLMNOPQRSTUVWXYZ",MOD(36-MOD(SUMPRODUCT(INT((FIND(MID(AZ381,{1,2,3,4,5,6,7,8,9,10,11,12,13,14},1),"0123456789ABCDEFGHIJKLMNOPQRSTUVWXYZ")-1)*{1,2,1,2,1,2,1,2,1,2,1,2,1,2}/36)+MOD((FIND(MID(AZ381,{1,2,3,4,5,6,7,8,9,10,11,12,13,14},1),"0123456789ABCDEFGHIJKLMNOPQRSTUVWXYZ")-1)*{1,2,1,2,1,2,1,2,1,2,1,2,1,2},36)),36),36)+1,1)=MID(AZ381,15,1),"OK","Typo? check digit wrong")),"Wrong format"))</f>
        <v/>
      </c>
      <c r="AW381" s="29">
        <f>IF(BA381="","",IF(AND(LEN(BA381)=10,SUMPRODUCT(--ISERROR(FIND(MID(BA381,{1,2,3,4,5,10},1),"ABCDEFGHIJKLMNOPQRSTUVWXYZ")))=0,SUMPRODUCT(--ISERROR(FIND(MID(BA381,{6,7,8,9},1),"0123456789")))=0),"OK","Wrong format"))</f>
        <v/>
      </c>
      <c r="AX381" s="29">
        <f>IF(TRIM(H381)="","",IF(AND(LEN(UPPER(TRIM(H381)))=10,SUMPRODUCT(--ISERROR(FIND(MID(UPPER(TRIM(H381)),{1,2,3,4,10},1),"ABCDEFGHIJKLMNOPQRSTUVWXYZ")))=0,SUMPRODUCT(--ISERROR(FIND(MID(UPPER(TRIM(H381)),{5,6,7,8,9},1),"0123456789")))=0),"OK","Wrong format"))</f>
        <v/>
      </c>
      <c r="AY381" s="30">
        <f>IF(NOT(COUNTA(A381:AE381)&gt;0),"",IF(BE381&lt;&gt;"","✖ "&amp;LEFT(BE381,LEN(BE381)-2),IF(BD381&gt;0,"✔ Ready — client + "&amp;BD381&amp;" service(s)","✔ Ready — client only")))</f>
        <v/>
      </c>
      <c r="AZ381" s="31">
        <f>UPPER(SUBSTITUTE(TRIM(F381)," ",""))</f>
        <v/>
      </c>
      <c r="BA381" s="31">
        <f>UPPER(SUBSTITUTE(TRIM(E381)," ",""))</f>
        <v/>
      </c>
      <c r="BB381" s="31">
        <f>IF(D381&lt;&gt;"",D381,IFERROR(VLOOKUP(MID(AS381,4,1),Lists!$E$2:$F$8,2,FALSE),""))</f>
        <v/>
      </c>
      <c r="BC381" s="31">
        <f>IFERROR(VLOOKUP(BB381,Lists!$A$2:$C$12,3,FALSE),"")</f>
        <v/>
      </c>
      <c r="BD381" s="31">
        <f>COUNTIF(W381:AC381,"Yes")</f>
        <v/>
      </c>
      <c r="BE381" s="31">
        <f>IF(TRIM(B381)="","Legal name missing; ","")&amp;IF(AND(AV381&lt;&gt;"",AV381&lt;&gt;"OK"),"GSTIN: "&amp;AV381&amp;"; ","")&amp;IF(AND(AW381&lt;&gt;"",AW381&lt;&gt;"OK"),"PAN wrong format; ","")&amp;IF(AND(BA381&lt;&gt;"",LEN(AZ381)=15,MID(AZ381,3,10)&lt;&gt;BA381),"PAN does not match GSTIN; ","")&amp;IF(AND(AX381&lt;&gt;"",AX381&lt;&gt;"OK"),"TAN wrong format; ","")&amp;IF(AS381="","PAN missing; ","")&amp;IF(BB381="","Entity type missing; ","")&amp;IF(AND(AZ381&lt;&gt;"",COUNTIF($AZ$6:$AZ$1005,AZ381)&gt;1),"GSTIN repeated in this sheet; ","")&amp;IF(AND(AS381&lt;&gt;"",COUNTIF($AS$6:$AS$1005,AS381)&gt;1),"PAN repeated in this sheet (same client? put extra GSTINs in Other GSTINs); ","")&amp;IF(AND(BD381&gt;0,V381=""),"Financial year missing; ","")&amp;IF(AND(BD381=0,V381&lt;&gt;""),"Financial year given but no service is Yes; ","")&amp;IF(AND(W381="Yes",AZ381=""),"GST needs a GSTIN; ","")&amp;IF(AND(W381="Yes",X381=""),"GST return frequency missing; ","")&amp;IF(AND(Y381="Yes",TRIM(H381)=""),"TDS needs a TAN; ","")&amp;IF(AND(AA381="Yes",BC381&lt;&gt;"",BC381&lt;&gt;"company",BC381&lt;&gt;"llp"),"ROC is only for a company / LLP; ","")&amp;IF(AND(AA381="Yes",OR(BC381="company",BC381="llp"),TRIM(I381)=""),"ROC needs the CIN / LLPIN; ","")&amp;IF((TRIM(AF381)="")&lt;&gt;(TRIM(AG381)=""),"GST login needs both user ID and password; ","")&amp;IF((TRIM(AH381)="")&lt;&gt;(TRIM(AI381)=""),"Income-tax login needs both user ID and password; ","")&amp;IF((TRIM(AJ381)="")&lt;&gt;(TRIM(AK381)=""),"Income-tax login needs both user ID and password; ","")&amp;IF((TRIM(AL381)="")&lt;&gt;(TRIM(AM381)=""),"TRACES login needs both user ID and password; ","")&amp;IF((TRIM(AN381)="")&lt;&gt;(TRIM(AO381)=""),"MCA login needs both user ID and password; ","")&amp;IF((TRIM(AP381)="")&lt;&gt;(TRIM(AQ381)=""),"E-way bill login needs both user ID and password; ","")</f>
        <v/>
      </c>
    </row>
    <row r="382">
      <c r="A382" s="32" t="n"/>
      <c r="B382" s="33" t="n"/>
      <c r="C382" s="33" t="n"/>
      <c r="D382" s="33" t="n"/>
      <c r="E382" s="32" t="n"/>
      <c r="F382" s="32" t="n"/>
      <c r="G382" s="32" t="n"/>
      <c r="H382" s="32" t="n"/>
      <c r="I382" s="32" t="n"/>
      <c r="J382" s="34" t="n"/>
      <c r="K382" s="33" t="n"/>
      <c r="L382" s="32" t="n"/>
      <c r="M382" s="33" t="n"/>
      <c r="N382" s="33" t="n"/>
      <c r="O382" s="33" t="n"/>
      <c r="P382" s="32" t="n"/>
      <c r="Q382" s="33" t="n"/>
      <c r="R382" s="33" t="n"/>
      <c r="S382" s="33" t="n"/>
      <c r="T382" s="33" t="n"/>
      <c r="U382" s="32" t="n"/>
      <c r="V382" s="33" t="n"/>
      <c r="W382" s="33" t="n"/>
      <c r="X382" s="33" t="n"/>
      <c r="Y382" s="33" t="n"/>
      <c r="Z382" s="33" t="n"/>
      <c r="AA382" s="33" t="n"/>
      <c r="AB382" s="33" t="n"/>
      <c r="AC382" s="33" t="n"/>
      <c r="AD382" s="33" t="n"/>
      <c r="AE382" s="33" t="n"/>
      <c r="AF382" s="32" t="n"/>
      <c r="AG382" s="32" t="n"/>
      <c r="AH382" s="32" t="n"/>
      <c r="AI382" s="32" t="n"/>
      <c r="AJ382" s="32" t="n"/>
      <c r="AK382" s="32" t="n"/>
      <c r="AL382" s="32" t="n"/>
      <c r="AM382" s="32" t="n"/>
      <c r="AN382" s="32" t="n"/>
      <c r="AO382" s="32" t="n"/>
      <c r="AP382" s="32" t="n"/>
      <c r="AQ382" s="32" t="n"/>
      <c r="AR382" s="29">
        <f>IF(NOT(COUNTA(A382:AE382)&gt;0),"",IF(A382="","New client","Update"))</f>
        <v/>
      </c>
      <c r="AS382" s="29">
        <f>IF(BA382&lt;&gt;"",BA382,IF(LEN(AZ382)=15,MID(AZ382,3,10),""))</f>
        <v/>
      </c>
      <c r="AT382" s="29">
        <f>IF(BB382="","",BB382&amp;IF(D382="","  (guessed from PAN)",""))</f>
        <v/>
      </c>
      <c r="AU382" s="29">
        <f>IF(AZ382="","",IFERROR(INDEX(Lists!$L$2:$L$38,MATCH(LEFT(AZ382,2),Lists!$K$2:$K$38,0)),"Unknown code"))</f>
        <v/>
      </c>
      <c r="AV382" s="29">
        <f>IF(AZ382="","",IFERROR(IF(NOT(AND(LEN(AZ382)=15,ISNUMBER(MATCH(LEFT(AZ382,2),Lists!$K$2:$K$38,0)),SUMPRODUCT(--ISERROR(FIND(MID(MID(AZ382,3,10),{1,2,3,4,5,10},1),"ABCDEFGHIJKLMNOPQRSTUVWXYZ")))=0,SUMPRODUCT(--ISERROR(FIND(MID(MID(AZ382,3,10),{6,7,8,9},1),"0123456789")))=0,ISNUMBER(FIND(MID(AZ382,13,1),"123456789ABCDEFGHIJKLMNOPQRSTUVWXYZ")),MID(AZ382,14,1)="Z")),"Wrong format",IF(MID("0123456789ABCDEFGHIJKLMNOPQRSTUVWXYZ",MOD(36-MOD(SUMPRODUCT(INT((FIND(MID(AZ382,{1,2,3,4,5,6,7,8,9,10,11,12,13,14},1),"0123456789ABCDEFGHIJKLMNOPQRSTUVWXYZ")-1)*{1,2,1,2,1,2,1,2,1,2,1,2,1,2}/36)+MOD((FIND(MID(AZ382,{1,2,3,4,5,6,7,8,9,10,11,12,13,14},1),"0123456789ABCDEFGHIJKLMNOPQRSTUVWXYZ")-1)*{1,2,1,2,1,2,1,2,1,2,1,2,1,2},36)),36),36)+1,1)=MID(AZ382,15,1),"OK","Typo? check digit wrong")),"Wrong format"))</f>
        <v/>
      </c>
      <c r="AW382" s="29">
        <f>IF(BA382="","",IF(AND(LEN(BA382)=10,SUMPRODUCT(--ISERROR(FIND(MID(BA382,{1,2,3,4,5,10},1),"ABCDEFGHIJKLMNOPQRSTUVWXYZ")))=0,SUMPRODUCT(--ISERROR(FIND(MID(BA382,{6,7,8,9},1),"0123456789")))=0),"OK","Wrong format"))</f>
        <v/>
      </c>
      <c r="AX382" s="29">
        <f>IF(TRIM(H382)="","",IF(AND(LEN(UPPER(TRIM(H382)))=10,SUMPRODUCT(--ISERROR(FIND(MID(UPPER(TRIM(H382)),{1,2,3,4,10},1),"ABCDEFGHIJKLMNOPQRSTUVWXYZ")))=0,SUMPRODUCT(--ISERROR(FIND(MID(UPPER(TRIM(H382)),{5,6,7,8,9},1),"0123456789")))=0),"OK","Wrong format"))</f>
        <v/>
      </c>
      <c r="AY382" s="30">
        <f>IF(NOT(COUNTA(A382:AE382)&gt;0),"",IF(BE382&lt;&gt;"","✖ "&amp;LEFT(BE382,LEN(BE382)-2),IF(BD382&gt;0,"✔ Ready — client + "&amp;BD382&amp;" service(s)","✔ Ready — client only")))</f>
        <v/>
      </c>
      <c r="AZ382" s="31">
        <f>UPPER(SUBSTITUTE(TRIM(F382)," ",""))</f>
        <v/>
      </c>
      <c r="BA382" s="31">
        <f>UPPER(SUBSTITUTE(TRIM(E382)," ",""))</f>
        <v/>
      </c>
      <c r="BB382" s="31">
        <f>IF(D382&lt;&gt;"",D382,IFERROR(VLOOKUP(MID(AS382,4,1),Lists!$E$2:$F$8,2,FALSE),""))</f>
        <v/>
      </c>
      <c r="BC382" s="31">
        <f>IFERROR(VLOOKUP(BB382,Lists!$A$2:$C$12,3,FALSE),"")</f>
        <v/>
      </c>
      <c r="BD382" s="31">
        <f>COUNTIF(W382:AC382,"Yes")</f>
        <v/>
      </c>
      <c r="BE382" s="31">
        <f>IF(TRIM(B382)="","Legal name missing; ","")&amp;IF(AND(AV382&lt;&gt;"",AV382&lt;&gt;"OK"),"GSTIN: "&amp;AV382&amp;"; ","")&amp;IF(AND(AW382&lt;&gt;"",AW382&lt;&gt;"OK"),"PAN wrong format; ","")&amp;IF(AND(BA382&lt;&gt;"",LEN(AZ382)=15,MID(AZ382,3,10)&lt;&gt;BA382),"PAN does not match GSTIN; ","")&amp;IF(AND(AX382&lt;&gt;"",AX382&lt;&gt;"OK"),"TAN wrong format; ","")&amp;IF(AS382="","PAN missing; ","")&amp;IF(BB382="","Entity type missing; ","")&amp;IF(AND(AZ382&lt;&gt;"",COUNTIF($AZ$6:$AZ$1005,AZ382)&gt;1),"GSTIN repeated in this sheet; ","")&amp;IF(AND(AS382&lt;&gt;"",COUNTIF($AS$6:$AS$1005,AS382)&gt;1),"PAN repeated in this sheet (same client? put extra GSTINs in Other GSTINs); ","")&amp;IF(AND(BD382&gt;0,V382=""),"Financial year missing; ","")&amp;IF(AND(BD382=0,V382&lt;&gt;""),"Financial year given but no service is Yes; ","")&amp;IF(AND(W382="Yes",AZ382=""),"GST needs a GSTIN; ","")&amp;IF(AND(W382="Yes",X382=""),"GST return frequency missing; ","")&amp;IF(AND(Y382="Yes",TRIM(H382)=""),"TDS needs a TAN; ","")&amp;IF(AND(AA382="Yes",BC382&lt;&gt;"",BC382&lt;&gt;"company",BC382&lt;&gt;"llp"),"ROC is only for a company / LLP; ","")&amp;IF(AND(AA382="Yes",OR(BC382="company",BC382="llp"),TRIM(I382)=""),"ROC needs the CIN / LLPIN; ","")&amp;IF((TRIM(AF382)="")&lt;&gt;(TRIM(AG382)=""),"GST login needs both user ID and password; ","")&amp;IF((TRIM(AH382)="")&lt;&gt;(TRIM(AI382)=""),"Income-tax login needs both user ID and password; ","")&amp;IF((TRIM(AJ382)="")&lt;&gt;(TRIM(AK382)=""),"Income-tax login needs both user ID and password; ","")&amp;IF((TRIM(AL382)="")&lt;&gt;(TRIM(AM382)=""),"TRACES login needs both user ID and password; ","")&amp;IF((TRIM(AN382)="")&lt;&gt;(TRIM(AO382)=""),"MCA login needs both user ID and password; ","")&amp;IF((TRIM(AP382)="")&lt;&gt;(TRIM(AQ382)=""),"E-way bill login needs both user ID and password; ","")</f>
        <v/>
      </c>
    </row>
    <row r="383">
      <c r="A383" s="32" t="n"/>
      <c r="B383" s="33" t="n"/>
      <c r="C383" s="33" t="n"/>
      <c r="D383" s="33" t="n"/>
      <c r="E383" s="32" t="n"/>
      <c r="F383" s="32" t="n"/>
      <c r="G383" s="32" t="n"/>
      <c r="H383" s="32" t="n"/>
      <c r="I383" s="32" t="n"/>
      <c r="J383" s="34" t="n"/>
      <c r="K383" s="33" t="n"/>
      <c r="L383" s="32" t="n"/>
      <c r="M383" s="33" t="n"/>
      <c r="N383" s="33" t="n"/>
      <c r="O383" s="33" t="n"/>
      <c r="P383" s="32" t="n"/>
      <c r="Q383" s="33" t="n"/>
      <c r="R383" s="33" t="n"/>
      <c r="S383" s="33" t="n"/>
      <c r="T383" s="33" t="n"/>
      <c r="U383" s="32" t="n"/>
      <c r="V383" s="33" t="n"/>
      <c r="W383" s="33" t="n"/>
      <c r="X383" s="33" t="n"/>
      <c r="Y383" s="33" t="n"/>
      <c r="Z383" s="33" t="n"/>
      <c r="AA383" s="33" t="n"/>
      <c r="AB383" s="33" t="n"/>
      <c r="AC383" s="33" t="n"/>
      <c r="AD383" s="33" t="n"/>
      <c r="AE383" s="33" t="n"/>
      <c r="AF383" s="32" t="n"/>
      <c r="AG383" s="32" t="n"/>
      <c r="AH383" s="32" t="n"/>
      <c r="AI383" s="32" t="n"/>
      <c r="AJ383" s="32" t="n"/>
      <c r="AK383" s="32" t="n"/>
      <c r="AL383" s="32" t="n"/>
      <c r="AM383" s="32" t="n"/>
      <c r="AN383" s="32" t="n"/>
      <c r="AO383" s="32" t="n"/>
      <c r="AP383" s="32" t="n"/>
      <c r="AQ383" s="32" t="n"/>
      <c r="AR383" s="29">
        <f>IF(NOT(COUNTA(A383:AE383)&gt;0),"",IF(A383="","New client","Update"))</f>
        <v/>
      </c>
      <c r="AS383" s="29">
        <f>IF(BA383&lt;&gt;"",BA383,IF(LEN(AZ383)=15,MID(AZ383,3,10),""))</f>
        <v/>
      </c>
      <c r="AT383" s="29">
        <f>IF(BB383="","",BB383&amp;IF(D383="","  (guessed from PAN)",""))</f>
        <v/>
      </c>
      <c r="AU383" s="29">
        <f>IF(AZ383="","",IFERROR(INDEX(Lists!$L$2:$L$38,MATCH(LEFT(AZ383,2),Lists!$K$2:$K$38,0)),"Unknown code"))</f>
        <v/>
      </c>
      <c r="AV383" s="29">
        <f>IF(AZ383="","",IFERROR(IF(NOT(AND(LEN(AZ383)=15,ISNUMBER(MATCH(LEFT(AZ383,2),Lists!$K$2:$K$38,0)),SUMPRODUCT(--ISERROR(FIND(MID(MID(AZ383,3,10),{1,2,3,4,5,10},1),"ABCDEFGHIJKLMNOPQRSTUVWXYZ")))=0,SUMPRODUCT(--ISERROR(FIND(MID(MID(AZ383,3,10),{6,7,8,9},1),"0123456789")))=0,ISNUMBER(FIND(MID(AZ383,13,1),"123456789ABCDEFGHIJKLMNOPQRSTUVWXYZ")),MID(AZ383,14,1)="Z")),"Wrong format",IF(MID("0123456789ABCDEFGHIJKLMNOPQRSTUVWXYZ",MOD(36-MOD(SUMPRODUCT(INT((FIND(MID(AZ383,{1,2,3,4,5,6,7,8,9,10,11,12,13,14},1),"0123456789ABCDEFGHIJKLMNOPQRSTUVWXYZ")-1)*{1,2,1,2,1,2,1,2,1,2,1,2,1,2}/36)+MOD((FIND(MID(AZ383,{1,2,3,4,5,6,7,8,9,10,11,12,13,14},1),"0123456789ABCDEFGHIJKLMNOPQRSTUVWXYZ")-1)*{1,2,1,2,1,2,1,2,1,2,1,2,1,2},36)),36),36)+1,1)=MID(AZ383,15,1),"OK","Typo? check digit wrong")),"Wrong format"))</f>
        <v/>
      </c>
      <c r="AW383" s="29">
        <f>IF(BA383="","",IF(AND(LEN(BA383)=10,SUMPRODUCT(--ISERROR(FIND(MID(BA383,{1,2,3,4,5,10},1),"ABCDEFGHIJKLMNOPQRSTUVWXYZ")))=0,SUMPRODUCT(--ISERROR(FIND(MID(BA383,{6,7,8,9},1),"0123456789")))=0),"OK","Wrong format"))</f>
        <v/>
      </c>
      <c r="AX383" s="29">
        <f>IF(TRIM(H383)="","",IF(AND(LEN(UPPER(TRIM(H383)))=10,SUMPRODUCT(--ISERROR(FIND(MID(UPPER(TRIM(H383)),{1,2,3,4,10},1),"ABCDEFGHIJKLMNOPQRSTUVWXYZ")))=0,SUMPRODUCT(--ISERROR(FIND(MID(UPPER(TRIM(H383)),{5,6,7,8,9},1),"0123456789")))=0),"OK","Wrong format"))</f>
        <v/>
      </c>
      <c r="AY383" s="30">
        <f>IF(NOT(COUNTA(A383:AE383)&gt;0),"",IF(BE383&lt;&gt;"","✖ "&amp;LEFT(BE383,LEN(BE383)-2),IF(BD383&gt;0,"✔ Ready — client + "&amp;BD383&amp;" service(s)","✔ Ready — client only")))</f>
        <v/>
      </c>
      <c r="AZ383" s="31">
        <f>UPPER(SUBSTITUTE(TRIM(F383)," ",""))</f>
        <v/>
      </c>
      <c r="BA383" s="31">
        <f>UPPER(SUBSTITUTE(TRIM(E383)," ",""))</f>
        <v/>
      </c>
      <c r="BB383" s="31">
        <f>IF(D383&lt;&gt;"",D383,IFERROR(VLOOKUP(MID(AS383,4,1),Lists!$E$2:$F$8,2,FALSE),""))</f>
        <v/>
      </c>
      <c r="BC383" s="31">
        <f>IFERROR(VLOOKUP(BB383,Lists!$A$2:$C$12,3,FALSE),"")</f>
        <v/>
      </c>
      <c r="BD383" s="31">
        <f>COUNTIF(W383:AC383,"Yes")</f>
        <v/>
      </c>
      <c r="BE383" s="31">
        <f>IF(TRIM(B383)="","Legal name missing; ","")&amp;IF(AND(AV383&lt;&gt;"",AV383&lt;&gt;"OK"),"GSTIN: "&amp;AV383&amp;"; ","")&amp;IF(AND(AW383&lt;&gt;"",AW383&lt;&gt;"OK"),"PAN wrong format; ","")&amp;IF(AND(BA383&lt;&gt;"",LEN(AZ383)=15,MID(AZ383,3,10)&lt;&gt;BA383),"PAN does not match GSTIN; ","")&amp;IF(AND(AX383&lt;&gt;"",AX383&lt;&gt;"OK"),"TAN wrong format; ","")&amp;IF(AS383="","PAN missing; ","")&amp;IF(BB383="","Entity type missing; ","")&amp;IF(AND(AZ383&lt;&gt;"",COUNTIF($AZ$6:$AZ$1005,AZ383)&gt;1),"GSTIN repeated in this sheet; ","")&amp;IF(AND(AS383&lt;&gt;"",COUNTIF($AS$6:$AS$1005,AS383)&gt;1),"PAN repeated in this sheet (same client? put extra GSTINs in Other GSTINs); ","")&amp;IF(AND(BD383&gt;0,V383=""),"Financial year missing; ","")&amp;IF(AND(BD383=0,V383&lt;&gt;""),"Financial year given but no service is Yes; ","")&amp;IF(AND(W383="Yes",AZ383=""),"GST needs a GSTIN; ","")&amp;IF(AND(W383="Yes",X383=""),"GST return frequency missing; ","")&amp;IF(AND(Y383="Yes",TRIM(H383)=""),"TDS needs a TAN; ","")&amp;IF(AND(AA383="Yes",BC383&lt;&gt;"",BC383&lt;&gt;"company",BC383&lt;&gt;"llp"),"ROC is only for a company / LLP; ","")&amp;IF(AND(AA383="Yes",OR(BC383="company",BC383="llp"),TRIM(I383)=""),"ROC needs the CIN / LLPIN; ","")&amp;IF((TRIM(AF383)="")&lt;&gt;(TRIM(AG383)=""),"GST login needs both user ID and password; ","")&amp;IF((TRIM(AH383)="")&lt;&gt;(TRIM(AI383)=""),"Income-tax login needs both user ID and password; ","")&amp;IF((TRIM(AJ383)="")&lt;&gt;(TRIM(AK383)=""),"Income-tax login needs both user ID and password; ","")&amp;IF((TRIM(AL383)="")&lt;&gt;(TRIM(AM383)=""),"TRACES login needs both user ID and password; ","")&amp;IF((TRIM(AN383)="")&lt;&gt;(TRIM(AO383)=""),"MCA login needs both user ID and password; ","")&amp;IF((TRIM(AP383)="")&lt;&gt;(TRIM(AQ383)=""),"E-way bill login needs both user ID and password; ","")</f>
        <v/>
      </c>
    </row>
    <row r="384">
      <c r="A384" s="32" t="n"/>
      <c r="B384" s="33" t="n"/>
      <c r="C384" s="33" t="n"/>
      <c r="D384" s="33" t="n"/>
      <c r="E384" s="32" t="n"/>
      <c r="F384" s="32" t="n"/>
      <c r="G384" s="32" t="n"/>
      <c r="H384" s="32" t="n"/>
      <c r="I384" s="32" t="n"/>
      <c r="J384" s="34" t="n"/>
      <c r="K384" s="33" t="n"/>
      <c r="L384" s="32" t="n"/>
      <c r="M384" s="33" t="n"/>
      <c r="N384" s="33" t="n"/>
      <c r="O384" s="33" t="n"/>
      <c r="P384" s="32" t="n"/>
      <c r="Q384" s="33" t="n"/>
      <c r="R384" s="33" t="n"/>
      <c r="S384" s="33" t="n"/>
      <c r="T384" s="33" t="n"/>
      <c r="U384" s="32" t="n"/>
      <c r="V384" s="33" t="n"/>
      <c r="W384" s="33" t="n"/>
      <c r="X384" s="33" t="n"/>
      <c r="Y384" s="33" t="n"/>
      <c r="Z384" s="33" t="n"/>
      <c r="AA384" s="33" t="n"/>
      <c r="AB384" s="33" t="n"/>
      <c r="AC384" s="33" t="n"/>
      <c r="AD384" s="33" t="n"/>
      <c r="AE384" s="33" t="n"/>
      <c r="AF384" s="32" t="n"/>
      <c r="AG384" s="32" t="n"/>
      <c r="AH384" s="32" t="n"/>
      <c r="AI384" s="32" t="n"/>
      <c r="AJ384" s="32" t="n"/>
      <c r="AK384" s="32" t="n"/>
      <c r="AL384" s="32" t="n"/>
      <c r="AM384" s="32" t="n"/>
      <c r="AN384" s="32" t="n"/>
      <c r="AO384" s="32" t="n"/>
      <c r="AP384" s="32" t="n"/>
      <c r="AQ384" s="32" t="n"/>
      <c r="AR384" s="29">
        <f>IF(NOT(COUNTA(A384:AE384)&gt;0),"",IF(A384="","New client","Update"))</f>
        <v/>
      </c>
      <c r="AS384" s="29">
        <f>IF(BA384&lt;&gt;"",BA384,IF(LEN(AZ384)=15,MID(AZ384,3,10),""))</f>
        <v/>
      </c>
      <c r="AT384" s="29">
        <f>IF(BB384="","",BB384&amp;IF(D384="","  (guessed from PAN)",""))</f>
        <v/>
      </c>
      <c r="AU384" s="29">
        <f>IF(AZ384="","",IFERROR(INDEX(Lists!$L$2:$L$38,MATCH(LEFT(AZ384,2),Lists!$K$2:$K$38,0)),"Unknown code"))</f>
        <v/>
      </c>
      <c r="AV384" s="29">
        <f>IF(AZ384="","",IFERROR(IF(NOT(AND(LEN(AZ384)=15,ISNUMBER(MATCH(LEFT(AZ384,2),Lists!$K$2:$K$38,0)),SUMPRODUCT(--ISERROR(FIND(MID(MID(AZ384,3,10),{1,2,3,4,5,10},1),"ABCDEFGHIJKLMNOPQRSTUVWXYZ")))=0,SUMPRODUCT(--ISERROR(FIND(MID(MID(AZ384,3,10),{6,7,8,9},1),"0123456789")))=0,ISNUMBER(FIND(MID(AZ384,13,1),"123456789ABCDEFGHIJKLMNOPQRSTUVWXYZ")),MID(AZ384,14,1)="Z")),"Wrong format",IF(MID("0123456789ABCDEFGHIJKLMNOPQRSTUVWXYZ",MOD(36-MOD(SUMPRODUCT(INT((FIND(MID(AZ384,{1,2,3,4,5,6,7,8,9,10,11,12,13,14},1),"0123456789ABCDEFGHIJKLMNOPQRSTUVWXYZ")-1)*{1,2,1,2,1,2,1,2,1,2,1,2,1,2}/36)+MOD((FIND(MID(AZ384,{1,2,3,4,5,6,7,8,9,10,11,12,13,14},1),"0123456789ABCDEFGHIJKLMNOPQRSTUVWXYZ")-1)*{1,2,1,2,1,2,1,2,1,2,1,2,1,2},36)),36),36)+1,1)=MID(AZ384,15,1),"OK","Typo? check digit wrong")),"Wrong format"))</f>
        <v/>
      </c>
      <c r="AW384" s="29">
        <f>IF(BA384="","",IF(AND(LEN(BA384)=10,SUMPRODUCT(--ISERROR(FIND(MID(BA384,{1,2,3,4,5,10},1),"ABCDEFGHIJKLMNOPQRSTUVWXYZ")))=0,SUMPRODUCT(--ISERROR(FIND(MID(BA384,{6,7,8,9},1),"0123456789")))=0),"OK","Wrong format"))</f>
        <v/>
      </c>
      <c r="AX384" s="29">
        <f>IF(TRIM(H384)="","",IF(AND(LEN(UPPER(TRIM(H384)))=10,SUMPRODUCT(--ISERROR(FIND(MID(UPPER(TRIM(H384)),{1,2,3,4,10},1),"ABCDEFGHIJKLMNOPQRSTUVWXYZ")))=0,SUMPRODUCT(--ISERROR(FIND(MID(UPPER(TRIM(H384)),{5,6,7,8,9},1),"0123456789")))=0),"OK","Wrong format"))</f>
        <v/>
      </c>
      <c r="AY384" s="30">
        <f>IF(NOT(COUNTA(A384:AE384)&gt;0),"",IF(BE384&lt;&gt;"","✖ "&amp;LEFT(BE384,LEN(BE384)-2),IF(BD384&gt;0,"✔ Ready — client + "&amp;BD384&amp;" service(s)","✔ Ready — client only")))</f>
        <v/>
      </c>
      <c r="AZ384" s="31">
        <f>UPPER(SUBSTITUTE(TRIM(F384)," ",""))</f>
        <v/>
      </c>
      <c r="BA384" s="31">
        <f>UPPER(SUBSTITUTE(TRIM(E384)," ",""))</f>
        <v/>
      </c>
      <c r="BB384" s="31">
        <f>IF(D384&lt;&gt;"",D384,IFERROR(VLOOKUP(MID(AS384,4,1),Lists!$E$2:$F$8,2,FALSE),""))</f>
        <v/>
      </c>
      <c r="BC384" s="31">
        <f>IFERROR(VLOOKUP(BB384,Lists!$A$2:$C$12,3,FALSE),"")</f>
        <v/>
      </c>
      <c r="BD384" s="31">
        <f>COUNTIF(W384:AC384,"Yes")</f>
        <v/>
      </c>
      <c r="BE384" s="31">
        <f>IF(TRIM(B384)="","Legal name missing; ","")&amp;IF(AND(AV384&lt;&gt;"",AV384&lt;&gt;"OK"),"GSTIN: "&amp;AV384&amp;"; ","")&amp;IF(AND(AW384&lt;&gt;"",AW384&lt;&gt;"OK"),"PAN wrong format; ","")&amp;IF(AND(BA384&lt;&gt;"",LEN(AZ384)=15,MID(AZ384,3,10)&lt;&gt;BA384),"PAN does not match GSTIN; ","")&amp;IF(AND(AX384&lt;&gt;"",AX384&lt;&gt;"OK"),"TAN wrong format; ","")&amp;IF(AS384="","PAN missing; ","")&amp;IF(BB384="","Entity type missing; ","")&amp;IF(AND(AZ384&lt;&gt;"",COUNTIF($AZ$6:$AZ$1005,AZ384)&gt;1),"GSTIN repeated in this sheet; ","")&amp;IF(AND(AS384&lt;&gt;"",COUNTIF($AS$6:$AS$1005,AS384)&gt;1),"PAN repeated in this sheet (same client? put extra GSTINs in Other GSTINs); ","")&amp;IF(AND(BD384&gt;0,V384=""),"Financial year missing; ","")&amp;IF(AND(BD384=0,V384&lt;&gt;""),"Financial year given but no service is Yes; ","")&amp;IF(AND(W384="Yes",AZ384=""),"GST needs a GSTIN; ","")&amp;IF(AND(W384="Yes",X384=""),"GST return frequency missing; ","")&amp;IF(AND(Y384="Yes",TRIM(H384)=""),"TDS needs a TAN; ","")&amp;IF(AND(AA384="Yes",BC384&lt;&gt;"",BC384&lt;&gt;"company",BC384&lt;&gt;"llp"),"ROC is only for a company / LLP; ","")&amp;IF(AND(AA384="Yes",OR(BC384="company",BC384="llp"),TRIM(I384)=""),"ROC needs the CIN / LLPIN; ","")&amp;IF((TRIM(AF384)="")&lt;&gt;(TRIM(AG384)=""),"GST login needs both user ID and password; ","")&amp;IF((TRIM(AH384)="")&lt;&gt;(TRIM(AI384)=""),"Income-tax login needs both user ID and password; ","")&amp;IF((TRIM(AJ384)="")&lt;&gt;(TRIM(AK384)=""),"Income-tax login needs both user ID and password; ","")&amp;IF((TRIM(AL384)="")&lt;&gt;(TRIM(AM384)=""),"TRACES login needs both user ID and password; ","")&amp;IF((TRIM(AN384)="")&lt;&gt;(TRIM(AO384)=""),"MCA login needs both user ID and password; ","")&amp;IF((TRIM(AP384)="")&lt;&gt;(TRIM(AQ384)=""),"E-way bill login needs both user ID and password; ","")</f>
        <v/>
      </c>
    </row>
    <row r="385">
      <c r="A385" s="32" t="n"/>
      <c r="B385" s="33" t="n"/>
      <c r="C385" s="33" t="n"/>
      <c r="D385" s="33" t="n"/>
      <c r="E385" s="32" t="n"/>
      <c r="F385" s="32" t="n"/>
      <c r="G385" s="32" t="n"/>
      <c r="H385" s="32" t="n"/>
      <c r="I385" s="32" t="n"/>
      <c r="J385" s="34" t="n"/>
      <c r="K385" s="33" t="n"/>
      <c r="L385" s="32" t="n"/>
      <c r="M385" s="33" t="n"/>
      <c r="N385" s="33" t="n"/>
      <c r="O385" s="33" t="n"/>
      <c r="P385" s="32" t="n"/>
      <c r="Q385" s="33" t="n"/>
      <c r="R385" s="33" t="n"/>
      <c r="S385" s="33" t="n"/>
      <c r="T385" s="33" t="n"/>
      <c r="U385" s="32" t="n"/>
      <c r="V385" s="33" t="n"/>
      <c r="W385" s="33" t="n"/>
      <c r="X385" s="33" t="n"/>
      <c r="Y385" s="33" t="n"/>
      <c r="Z385" s="33" t="n"/>
      <c r="AA385" s="33" t="n"/>
      <c r="AB385" s="33" t="n"/>
      <c r="AC385" s="33" t="n"/>
      <c r="AD385" s="33" t="n"/>
      <c r="AE385" s="33" t="n"/>
      <c r="AF385" s="32" t="n"/>
      <c r="AG385" s="32" t="n"/>
      <c r="AH385" s="32" t="n"/>
      <c r="AI385" s="32" t="n"/>
      <c r="AJ385" s="32" t="n"/>
      <c r="AK385" s="32" t="n"/>
      <c r="AL385" s="32" t="n"/>
      <c r="AM385" s="32" t="n"/>
      <c r="AN385" s="32" t="n"/>
      <c r="AO385" s="32" t="n"/>
      <c r="AP385" s="32" t="n"/>
      <c r="AQ385" s="32" t="n"/>
      <c r="AR385" s="29">
        <f>IF(NOT(COUNTA(A385:AE385)&gt;0),"",IF(A385="","New client","Update"))</f>
        <v/>
      </c>
      <c r="AS385" s="29">
        <f>IF(BA385&lt;&gt;"",BA385,IF(LEN(AZ385)=15,MID(AZ385,3,10),""))</f>
        <v/>
      </c>
      <c r="AT385" s="29">
        <f>IF(BB385="","",BB385&amp;IF(D385="","  (guessed from PAN)",""))</f>
        <v/>
      </c>
      <c r="AU385" s="29">
        <f>IF(AZ385="","",IFERROR(INDEX(Lists!$L$2:$L$38,MATCH(LEFT(AZ385,2),Lists!$K$2:$K$38,0)),"Unknown code"))</f>
        <v/>
      </c>
      <c r="AV385" s="29">
        <f>IF(AZ385="","",IFERROR(IF(NOT(AND(LEN(AZ385)=15,ISNUMBER(MATCH(LEFT(AZ385,2),Lists!$K$2:$K$38,0)),SUMPRODUCT(--ISERROR(FIND(MID(MID(AZ385,3,10),{1,2,3,4,5,10},1),"ABCDEFGHIJKLMNOPQRSTUVWXYZ")))=0,SUMPRODUCT(--ISERROR(FIND(MID(MID(AZ385,3,10),{6,7,8,9},1),"0123456789")))=0,ISNUMBER(FIND(MID(AZ385,13,1),"123456789ABCDEFGHIJKLMNOPQRSTUVWXYZ")),MID(AZ385,14,1)="Z")),"Wrong format",IF(MID("0123456789ABCDEFGHIJKLMNOPQRSTUVWXYZ",MOD(36-MOD(SUMPRODUCT(INT((FIND(MID(AZ385,{1,2,3,4,5,6,7,8,9,10,11,12,13,14},1),"0123456789ABCDEFGHIJKLMNOPQRSTUVWXYZ")-1)*{1,2,1,2,1,2,1,2,1,2,1,2,1,2}/36)+MOD((FIND(MID(AZ385,{1,2,3,4,5,6,7,8,9,10,11,12,13,14},1),"0123456789ABCDEFGHIJKLMNOPQRSTUVWXYZ")-1)*{1,2,1,2,1,2,1,2,1,2,1,2,1,2},36)),36),36)+1,1)=MID(AZ385,15,1),"OK","Typo? check digit wrong")),"Wrong format"))</f>
        <v/>
      </c>
      <c r="AW385" s="29">
        <f>IF(BA385="","",IF(AND(LEN(BA385)=10,SUMPRODUCT(--ISERROR(FIND(MID(BA385,{1,2,3,4,5,10},1),"ABCDEFGHIJKLMNOPQRSTUVWXYZ")))=0,SUMPRODUCT(--ISERROR(FIND(MID(BA385,{6,7,8,9},1),"0123456789")))=0),"OK","Wrong format"))</f>
        <v/>
      </c>
      <c r="AX385" s="29">
        <f>IF(TRIM(H385)="","",IF(AND(LEN(UPPER(TRIM(H385)))=10,SUMPRODUCT(--ISERROR(FIND(MID(UPPER(TRIM(H385)),{1,2,3,4,10},1),"ABCDEFGHIJKLMNOPQRSTUVWXYZ")))=0,SUMPRODUCT(--ISERROR(FIND(MID(UPPER(TRIM(H385)),{5,6,7,8,9},1),"0123456789")))=0),"OK","Wrong format"))</f>
        <v/>
      </c>
      <c r="AY385" s="30">
        <f>IF(NOT(COUNTA(A385:AE385)&gt;0),"",IF(BE385&lt;&gt;"","✖ "&amp;LEFT(BE385,LEN(BE385)-2),IF(BD385&gt;0,"✔ Ready — client + "&amp;BD385&amp;" service(s)","✔ Ready — client only")))</f>
        <v/>
      </c>
      <c r="AZ385" s="31">
        <f>UPPER(SUBSTITUTE(TRIM(F385)," ",""))</f>
        <v/>
      </c>
      <c r="BA385" s="31">
        <f>UPPER(SUBSTITUTE(TRIM(E385)," ",""))</f>
        <v/>
      </c>
      <c r="BB385" s="31">
        <f>IF(D385&lt;&gt;"",D385,IFERROR(VLOOKUP(MID(AS385,4,1),Lists!$E$2:$F$8,2,FALSE),""))</f>
        <v/>
      </c>
      <c r="BC385" s="31">
        <f>IFERROR(VLOOKUP(BB385,Lists!$A$2:$C$12,3,FALSE),"")</f>
        <v/>
      </c>
      <c r="BD385" s="31">
        <f>COUNTIF(W385:AC385,"Yes")</f>
        <v/>
      </c>
      <c r="BE385" s="31">
        <f>IF(TRIM(B385)="","Legal name missing; ","")&amp;IF(AND(AV385&lt;&gt;"",AV385&lt;&gt;"OK"),"GSTIN: "&amp;AV385&amp;"; ","")&amp;IF(AND(AW385&lt;&gt;"",AW385&lt;&gt;"OK"),"PAN wrong format; ","")&amp;IF(AND(BA385&lt;&gt;"",LEN(AZ385)=15,MID(AZ385,3,10)&lt;&gt;BA385),"PAN does not match GSTIN; ","")&amp;IF(AND(AX385&lt;&gt;"",AX385&lt;&gt;"OK"),"TAN wrong format; ","")&amp;IF(AS385="","PAN missing; ","")&amp;IF(BB385="","Entity type missing; ","")&amp;IF(AND(AZ385&lt;&gt;"",COUNTIF($AZ$6:$AZ$1005,AZ385)&gt;1),"GSTIN repeated in this sheet; ","")&amp;IF(AND(AS385&lt;&gt;"",COUNTIF($AS$6:$AS$1005,AS385)&gt;1),"PAN repeated in this sheet (same client? put extra GSTINs in Other GSTINs); ","")&amp;IF(AND(BD385&gt;0,V385=""),"Financial year missing; ","")&amp;IF(AND(BD385=0,V385&lt;&gt;""),"Financial year given but no service is Yes; ","")&amp;IF(AND(W385="Yes",AZ385=""),"GST needs a GSTIN; ","")&amp;IF(AND(W385="Yes",X385=""),"GST return frequency missing; ","")&amp;IF(AND(Y385="Yes",TRIM(H385)=""),"TDS needs a TAN; ","")&amp;IF(AND(AA385="Yes",BC385&lt;&gt;"",BC385&lt;&gt;"company",BC385&lt;&gt;"llp"),"ROC is only for a company / LLP; ","")&amp;IF(AND(AA385="Yes",OR(BC385="company",BC385="llp"),TRIM(I385)=""),"ROC needs the CIN / LLPIN; ","")&amp;IF((TRIM(AF385)="")&lt;&gt;(TRIM(AG385)=""),"GST login needs both user ID and password; ","")&amp;IF((TRIM(AH385)="")&lt;&gt;(TRIM(AI385)=""),"Income-tax login needs both user ID and password; ","")&amp;IF((TRIM(AJ385)="")&lt;&gt;(TRIM(AK385)=""),"Income-tax login needs both user ID and password; ","")&amp;IF((TRIM(AL385)="")&lt;&gt;(TRIM(AM385)=""),"TRACES login needs both user ID and password; ","")&amp;IF((TRIM(AN385)="")&lt;&gt;(TRIM(AO385)=""),"MCA login needs both user ID and password; ","")&amp;IF((TRIM(AP385)="")&lt;&gt;(TRIM(AQ385)=""),"E-way bill login needs both user ID and password; ","")</f>
        <v/>
      </c>
    </row>
    <row r="386">
      <c r="A386" s="32" t="n"/>
      <c r="B386" s="33" t="n"/>
      <c r="C386" s="33" t="n"/>
      <c r="D386" s="33" t="n"/>
      <c r="E386" s="32" t="n"/>
      <c r="F386" s="32" t="n"/>
      <c r="G386" s="32" t="n"/>
      <c r="H386" s="32" t="n"/>
      <c r="I386" s="32" t="n"/>
      <c r="J386" s="34" t="n"/>
      <c r="K386" s="33" t="n"/>
      <c r="L386" s="32" t="n"/>
      <c r="M386" s="33" t="n"/>
      <c r="N386" s="33" t="n"/>
      <c r="O386" s="33" t="n"/>
      <c r="P386" s="32" t="n"/>
      <c r="Q386" s="33" t="n"/>
      <c r="R386" s="33" t="n"/>
      <c r="S386" s="33" t="n"/>
      <c r="T386" s="33" t="n"/>
      <c r="U386" s="32" t="n"/>
      <c r="V386" s="33" t="n"/>
      <c r="W386" s="33" t="n"/>
      <c r="X386" s="33" t="n"/>
      <c r="Y386" s="33" t="n"/>
      <c r="Z386" s="33" t="n"/>
      <c r="AA386" s="33" t="n"/>
      <c r="AB386" s="33" t="n"/>
      <c r="AC386" s="33" t="n"/>
      <c r="AD386" s="33" t="n"/>
      <c r="AE386" s="33" t="n"/>
      <c r="AF386" s="32" t="n"/>
      <c r="AG386" s="32" t="n"/>
      <c r="AH386" s="32" t="n"/>
      <c r="AI386" s="32" t="n"/>
      <c r="AJ386" s="32" t="n"/>
      <c r="AK386" s="32" t="n"/>
      <c r="AL386" s="32" t="n"/>
      <c r="AM386" s="32" t="n"/>
      <c r="AN386" s="32" t="n"/>
      <c r="AO386" s="32" t="n"/>
      <c r="AP386" s="32" t="n"/>
      <c r="AQ386" s="32" t="n"/>
      <c r="AR386" s="29">
        <f>IF(NOT(COUNTA(A386:AE386)&gt;0),"",IF(A386="","New client","Update"))</f>
        <v/>
      </c>
      <c r="AS386" s="29">
        <f>IF(BA386&lt;&gt;"",BA386,IF(LEN(AZ386)=15,MID(AZ386,3,10),""))</f>
        <v/>
      </c>
      <c r="AT386" s="29">
        <f>IF(BB386="","",BB386&amp;IF(D386="","  (guessed from PAN)",""))</f>
        <v/>
      </c>
      <c r="AU386" s="29">
        <f>IF(AZ386="","",IFERROR(INDEX(Lists!$L$2:$L$38,MATCH(LEFT(AZ386,2),Lists!$K$2:$K$38,0)),"Unknown code"))</f>
        <v/>
      </c>
      <c r="AV386" s="29">
        <f>IF(AZ386="","",IFERROR(IF(NOT(AND(LEN(AZ386)=15,ISNUMBER(MATCH(LEFT(AZ386,2),Lists!$K$2:$K$38,0)),SUMPRODUCT(--ISERROR(FIND(MID(MID(AZ386,3,10),{1,2,3,4,5,10},1),"ABCDEFGHIJKLMNOPQRSTUVWXYZ")))=0,SUMPRODUCT(--ISERROR(FIND(MID(MID(AZ386,3,10),{6,7,8,9},1),"0123456789")))=0,ISNUMBER(FIND(MID(AZ386,13,1),"123456789ABCDEFGHIJKLMNOPQRSTUVWXYZ")),MID(AZ386,14,1)="Z")),"Wrong format",IF(MID("0123456789ABCDEFGHIJKLMNOPQRSTUVWXYZ",MOD(36-MOD(SUMPRODUCT(INT((FIND(MID(AZ386,{1,2,3,4,5,6,7,8,9,10,11,12,13,14},1),"0123456789ABCDEFGHIJKLMNOPQRSTUVWXYZ")-1)*{1,2,1,2,1,2,1,2,1,2,1,2,1,2}/36)+MOD((FIND(MID(AZ386,{1,2,3,4,5,6,7,8,9,10,11,12,13,14},1),"0123456789ABCDEFGHIJKLMNOPQRSTUVWXYZ")-1)*{1,2,1,2,1,2,1,2,1,2,1,2,1,2},36)),36),36)+1,1)=MID(AZ386,15,1),"OK","Typo? check digit wrong")),"Wrong format"))</f>
        <v/>
      </c>
      <c r="AW386" s="29">
        <f>IF(BA386="","",IF(AND(LEN(BA386)=10,SUMPRODUCT(--ISERROR(FIND(MID(BA386,{1,2,3,4,5,10},1),"ABCDEFGHIJKLMNOPQRSTUVWXYZ")))=0,SUMPRODUCT(--ISERROR(FIND(MID(BA386,{6,7,8,9},1),"0123456789")))=0),"OK","Wrong format"))</f>
        <v/>
      </c>
      <c r="AX386" s="29">
        <f>IF(TRIM(H386)="","",IF(AND(LEN(UPPER(TRIM(H386)))=10,SUMPRODUCT(--ISERROR(FIND(MID(UPPER(TRIM(H386)),{1,2,3,4,10},1),"ABCDEFGHIJKLMNOPQRSTUVWXYZ")))=0,SUMPRODUCT(--ISERROR(FIND(MID(UPPER(TRIM(H386)),{5,6,7,8,9},1),"0123456789")))=0),"OK","Wrong format"))</f>
        <v/>
      </c>
      <c r="AY386" s="30">
        <f>IF(NOT(COUNTA(A386:AE386)&gt;0),"",IF(BE386&lt;&gt;"","✖ "&amp;LEFT(BE386,LEN(BE386)-2),IF(BD386&gt;0,"✔ Ready — client + "&amp;BD386&amp;" service(s)","✔ Ready — client only")))</f>
        <v/>
      </c>
      <c r="AZ386" s="31">
        <f>UPPER(SUBSTITUTE(TRIM(F386)," ",""))</f>
        <v/>
      </c>
      <c r="BA386" s="31">
        <f>UPPER(SUBSTITUTE(TRIM(E386)," ",""))</f>
        <v/>
      </c>
      <c r="BB386" s="31">
        <f>IF(D386&lt;&gt;"",D386,IFERROR(VLOOKUP(MID(AS386,4,1),Lists!$E$2:$F$8,2,FALSE),""))</f>
        <v/>
      </c>
      <c r="BC386" s="31">
        <f>IFERROR(VLOOKUP(BB386,Lists!$A$2:$C$12,3,FALSE),"")</f>
        <v/>
      </c>
      <c r="BD386" s="31">
        <f>COUNTIF(W386:AC386,"Yes")</f>
        <v/>
      </c>
      <c r="BE386" s="31">
        <f>IF(TRIM(B386)="","Legal name missing; ","")&amp;IF(AND(AV386&lt;&gt;"",AV386&lt;&gt;"OK"),"GSTIN: "&amp;AV386&amp;"; ","")&amp;IF(AND(AW386&lt;&gt;"",AW386&lt;&gt;"OK"),"PAN wrong format; ","")&amp;IF(AND(BA386&lt;&gt;"",LEN(AZ386)=15,MID(AZ386,3,10)&lt;&gt;BA386),"PAN does not match GSTIN; ","")&amp;IF(AND(AX386&lt;&gt;"",AX386&lt;&gt;"OK"),"TAN wrong format; ","")&amp;IF(AS386="","PAN missing; ","")&amp;IF(BB386="","Entity type missing; ","")&amp;IF(AND(AZ386&lt;&gt;"",COUNTIF($AZ$6:$AZ$1005,AZ386)&gt;1),"GSTIN repeated in this sheet; ","")&amp;IF(AND(AS386&lt;&gt;"",COUNTIF($AS$6:$AS$1005,AS386)&gt;1),"PAN repeated in this sheet (same client? put extra GSTINs in Other GSTINs); ","")&amp;IF(AND(BD386&gt;0,V386=""),"Financial year missing; ","")&amp;IF(AND(BD386=0,V386&lt;&gt;""),"Financial year given but no service is Yes; ","")&amp;IF(AND(W386="Yes",AZ386=""),"GST needs a GSTIN; ","")&amp;IF(AND(W386="Yes",X386=""),"GST return frequency missing; ","")&amp;IF(AND(Y386="Yes",TRIM(H386)=""),"TDS needs a TAN; ","")&amp;IF(AND(AA386="Yes",BC386&lt;&gt;"",BC386&lt;&gt;"company",BC386&lt;&gt;"llp"),"ROC is only for a company / LLP; ","")&amp;IF(AND(AA386="Yes",OR(BC386="company",BC386="llp"),TRIM(I386)=""),"ROC needs the CIN / LLPIN; ","")&amp;IF((TRIM(AF386)="")&lt;&gt;(TRIM(AG386)=""),"GST login needs both user ID and password; ","")&amp;IF((TRIM(AH386)="")&lt;&gt;(TRIM(AI386)=""),"Income-tax login needs both user ID and password; ","")&amp;IF((TRIM(AJ386)="")&lt;&gt;(TRIM(AK386)=""),"Income-tax login needs both user ID and password; ","")&amp;IF((TRIM(AL386)="")&lt;&gt;(TRIM(AM386)=""),"TRACES login needs both user ID and password; ","")&amp;IF((TRIM(AN386)="")&lt;&gt;(TRIM(AO386)=""),"MCA login needs both user ID and password; ","")&amp;IF((TRIM(AP386)="")&lt;&gt;(TRIM(AQ386)=""),"E-way bill login needs both user ID and password; ","")</f>
        <v/>
      </c>
    </row>
    <row r="387">
      <c r="A387" s="32" t="n"/>
      <c r="B387" s="33" t="n"/>
      <c r="C387" s="33" t="n"/>
      <c r="D387" s="33" t="n"/>
      <c r="E387" s="32" t="n"/>
      <c r="F387" s="32" t="n"/>
      <c r="G387" s="32" t="n"/>
      <c r="H387" s="32" t="n"/>
      <c r="I387" s="32" t="n"/>
      <c r="J387" s="34" t="n"/>
      <c r="K387" s="33" t="n"/>
      <c r="L387" s="32" t="n"/>
      <c r="M387" s="33" t="n"/>
      <c r="N387" s="33" t="n"/>
      <c r="O387" s="33" t="n"/>
      <c r="P387" s="32" t="n"/>
      <c r="Q387" s="33" t="n"/>
      <c r="R387" s="33" t="n"/>
      <c r="S387" s="33" t="n"/>
      <c r="T387" s="33" t="n"/>
      <c r="U387" s="32" t="n"/>
      <c r="V387" s="33" t="n"/>
      <c r="W387" s="33" t="n"/>
      <c r="X387" s="33" t="n"/>
      <c r="Y387" s="33" t="n"/>
      <c r="Z387" s="33" t="n"/>
      <c r="AA387" s="33" t="n"/>
      <c r="AB387" s="33" t="n"/>
      <c r="AC387" s="33" t="n"/>
      <c r="AD387" s="33" t="n"/>
      <c r="AE387" s="33" t="n"/>
      <c r="AF387" s="32" t="n"/>
      <c r="AG387" s="32" t="n"/>
      <c r="AH387" s="32" t="n"/>
      <c r="AI387" s="32" t="n"/>
      <c r="AJ387" s="32" t="n"/>
      <c r="AK387" s="32" t="n"/>
      <c r="AL387" s="32" t="n"/>
      <c r="AM387" s="32" t="n"/>
      <c r="AN387" s="32" t="n"/>
      <c r="AO387" s="32" t="n"/>
      <c r="AP387" s="32" t="n"/>
      <c r="AQ387" s="32" t="n"/>
      <c r="AR387" s="29">
        <f>IF(NOT(COUNTA(A387:AE387)&gt;0),"",IF(A387="","New client","Update"))</f>
        <v/>
      </c>
      <c r="AS387" s="29">
        <f>IF(BA387&lt;&gt;"",BA387,IF(LEN(AZ387)=15,MID(AZ387,3,10),""))</f>
        <v/>
      </c>
      <c r="AT387" s="29">
        <f>IF(BB387="","",BB387&amp;IF(D387="","  (guessed from PAN)",""))</f>
        <v/>
      </c>
      <c r="AU387" s="29">
        <f>IF(AZ387="","",IFERROR(INDEX(Lists!$L$2:$L$38,MATCH(LEFT(AZ387,2),Lists!$K$2:$K$38,0)),"Unknown code"))</f>
        <v/>
      </c>
      <c r="AV387" s="29">
        <f>IF(AZ387="","",IFERROR(IF(NOT(AND(LEN(AZ387)=15,ISNUMBER(MATCH(LEFT(AZ387,2),Lists!$K$2:$K$38,0)),SUMPRODUCT(--ISERROR(FIND(MID(MID(AZ387,3,10),{1,2,3,4,5,10},1),"ABCDEFGHIJKLMNOPQRSTUVWXYZ")))=0,SUMPRODUCT(--ISERROR(FIND(MID(MID(AZ387,3,10),{6,7,8,9},1),"0123456789")))=0,ISNUMBER(FIND(MID(AZ387,13,1),"123456789ABCDEFGHIJKLMNOPQRSTUVWXYZ")),MID(AZ387,14,1)="Z")),"Wrong format",IF(MID("0123456789ABCDEFGHIJKLMNOPQRSTUVWXYZ",MOD(36-MOD(SUMPRODUCT(INT((FIND(MID(AZ387,{1,2,3,4,5,6,7,8,9,10,11,12,13,14},1),"0123456789ABCDEFGHIJKLMNOPQRSTUVWXYZ")-1)*{1,2,1,2,1,2,1,2,1,2,1,2,1,2}/36)+MOD((FIND(MID(AZ387,{1,2,3,4,5,6,7,8,9,10,11,12,13,14},1),"0123456789ABCDEFGHIJKLMNOPQRSTUVWXYZ")-1)*{1,2,1,2,1,2,1,2,1,2,1,2,1,2},36)),36),36)+1,1)=MID(AZ387,15,1),"OK","Typo? check digit wrong")),"Wrong format"))</f>
        <v/>
      </c>
      <c r="AW387" s="29">
        <f>IF(BA387="","",IF(AND(LEN(BA387)=10,SUMPRODUCT(--ISERROR(FIND(MID(BA387,{1,2,3,4,5,10},1),"ABCDEFGHIJKLMNOPQRSTUVWXYZ")))=0,SUMPRODUCT(--ISERROR(FIND(MID(BA387,{6,7,8,9},1),"0123456789")))=0),"OK","Wrong format"))</f>
        <v/>
      </c>
      <c r="AX387" s="29">
        <f>IF(TRIM(H387)="","",IF(AND(LEN(UPPER(TRIM(H387)))=10,SUMPRODUCT(--ISERROR(FIND(MID(UPPER(TRIM(H387)),{1,2,3,4,10},1),"ABCDEFGHIJKLMNOPQRSTUVWXYZ")))=0,SUMPRODUCT(--ISERROR(FIND(MID(UPPER(TRIM(H387)),{5,6,7,8,9},1),"0123456789")))=0),"OK","Wrong format"))</f>
        <v/>
      </c>
      <c r="AY387" s="30">
        <f>IF(NOT(COUNTA(A387:AE387)&gt;0),"",IF(BE387&lt;&gt;"","✖ "&amp;LEFT(BE387,LEN(BE387)-2),IF(BD387&gt;0,"✔ Ready — client + "&amp;BD387&amp;" service(s)","✔ Ready — client only")))</f>
        <v/>
      </c>
      <c r="AZ387" s="31">
        <f>UPPER(SUBSTITUTE(TRIM(F387)," ",""))</f>
        <v/>
      </c>
      <c r="BA387" s="31">
        <f>UPPER(SUBSTITUTE(TRIM(E387)," ",""))</f>
        <v/>
      </c>
      <c r="BB387" s="31">
        <f>IF(D387&lt;&gt;"",D387,IFERROR(VLOOKUP(MID(AS387,4,1),Lists!$E$2:$F$8,2,FALSE),""))</f>
        <v/>
      </c>
      <c r="BC387" s="31">
        <f>IFERROR(VLOOKUP(BB387,Lists!$A$2:$C$12,3,FALSE),"")</f>
        <v/>
      </c>
      <c r="BD387" s="31">
        <f>COUNTIF(W387:AC387,"Yes")</f>
        <v/>
      </c>
      <c r="BE387" s="31">
        <f>IF(TRIM(B387)="","Legal name missing; ","")&amp;IF(AND(AV387&lt;&gt;"",AV387&lt;&gt;"OK"),"GSTIN: "&amp;AV387&amp;"; ","")&amp;IF(AND(AW387&lt;&gt;"",AW387&lt;&gt;"OK"),"PAN wrong format; ","")&amp;IF(AND(BA387&lt;&gt;"",LEN(AZ387)=15,MID(AZ387,3,10)&lt;&gt;BA387),"PAN does not match GSTIN; ","")&amp;IF(AND(AX387&lt;&gt;"",AX387&lt;&gt;"OK"),"TAN wrong format; ","")&amp;IF(AS387="","PAN missing; ","")&amp;IF(BB387="","Entity type missing; ","")&amp;IF(AND(AZ387&lt;&gt;"",COUNTIF($AZ$6:$AZ$1005,AZ387)&gt;1),"GSTIN repeated in this sheet; ","")&amp;IF(AND(AS387&lt;&gt;"",COUNTIF($AS$6:$AS$1005,AS387)&gt;1),"PAN repeated in this sheet (same client? put extra GSTINs in Other GSTINs); ","")&amp;IF(AND(BD387&gt;0,V387=""),"Financial year missing; ","")&amp;IF(AND(BD387=0,V387&lt;&gt;""),"Financial year given but no service is Yes; ","")&amp;IF(AND(W387="Yes",AZ387=""),"GST needs a GSTIN; ","")&amp;IF(AND(W387="Yes",X387=""),"GST return frequency missing; ","")&amp;IF(AND(Y387="Yes",TRIM(H387)=""),"TDS needs a TAN; ","")&amp;IF(AND(AA387="Yes",BC387&lt;&gt;"",BC387&lt;&gt;"company",BC387&lt;&gt;"llp"),"ROC is only for a company / LLP; ","")&amp;IF(AND(AA387="Yes",OR(BC387="company",BC387="llp"),TRIM(I387)=""),"ROC needs the CIN / LLPIN; ","")&amp;IF((TRIM(AF387)="")&lt;&gt;(TRIM(AG387)=""),"GST login needs both user ID and password; ","")&amp;IF((TRIM(AH387)="")&lt;&gt;(TRIM(AI387)=""),"Income-tax login needs both user ID and password; ","")&amp;IF((TRIM(AJ387)="")&lt;&gt;(TRIM(AK387)=""),"Income-tax login needs both user ID and password; ","")&amp;IF((TRIM(AL387)="")&lt;&gt;(TRIM(AM387)=""),"TRACES login needs both user ID and password; ","")&amp;IF((TRIM(AN387)="")&lt;&gt;(TRIM(AO387)=""),"MCA login needs both user ID and password; ","")&amp;IF((TRIM(AP387)="")&lt;&gt;(TRIM(AQ387)=""),"E-way bill login needs both user ID and password; ","")</f>
        <v/>
      </c>
    </row>
    <row r="388">
      <c r="A388" s="32" t="n"/>
      <c r="B388" s="33" t="n"/>
      <c r="C388" s="33" t="n"/>
      <c r="D388" s="33" t="n"/>
      <c r="E388" s="32" t="n"/>
      <c r="F388" s="32" t="n"/>
      <c r="G388" s="32" t="n"/>
      <c r="H388" s="32" t="n"/>
      <c r="I388" s="32" t="n"/>
      <c r="J388" s="34" t="n"/>
      <c r="K388" s="33" t="n"/>
      <c r="L388" s="32" t="n"/>
      <c r="M388" s="33" t="n"/>
      <c r="N388" s="33" t="n"/>
      <c r="O388" s="33" t="n"/>
      <c r="P388" s="32" t="n"/>
      <c r="Q388" s="33" t="n"/>
      <c r="R388" s="33" t="n"/>
      <c r="S388" s="33" t="n"/>
      <c r="T388" s="33" t="n"/>
      <c r="U388" s="32" t="n"/>
      <c r="V388" s="33" t="n"/>
      <c r="W388" s="33" t="n"/>
      <c r="X388" s="33" t="n"/>
      <c r="Y388" s="33" t="n"/>
      <c r="Z388" s="33" t="n"/>
      <c r="AA388" s="33" t="n"/>
      <c r="AB388" s="33" t="n"/>
      <c r="AC388" s="33" t="n"/>
      <c r="AD388" s="33" t="n"/>
      <c r="AE388" s="33" t="n"/>
      <c r="AF388" s="32" t="n"/>
      <c r="AG388" s="32" t="n"/>
      <c r="AH388" s="32" t="n"/>
      <c r="AI388" s="32" t="n"/>
      <c r="AJ388" s="32" t="n"/>
      <c r="AK388" s="32" t="n"/>
      <c r="AL388" s="32" t="n"/>
      <c r="AM388" s="32" t="n"/>
      <c r="AN388" s="32" t="n"/>
      <c r="AO388" s="32" t="n"/>
      <c r="AP388" s="32" t="n"/>
      <c r="AQ388" s="32" t="n"/>
      <c r="AR388" s="29">
        <f>IF(NOT(COUNTA(A388:AE388)&gt;0),"",IF(A388="","New client","Update"))</f>
        <v/>
      </c>
      <c r="AS388" s="29">
        <f>IF(BA388&lt;&gt;"",BA388,IF(LEN(AZ388)=15,MID(AZ388,3,10),""))</f>
        <v/>
      </c>
      <c r="AT388" s="29">
        <f>IF(BB388="","",BB388&amp;IF(D388="","  (guessed from PAN)",""))</f>
        <v/>
      </c>
      <c r="AU388" s="29">
        <f>IF(AZ388="","",IFERROR(INDEX(Lists!$L$2:$L$38,MATCH(LEFT(AZ388,2),Lists!$K$2:$K$38,0)),"Unknown code"))</f>
        <v/>
      </c>
      <c r="AV388" s="29">
        <f>IF(AZ388="","",IFERROR(IF(NOT(AND(LEN(AZ388)=15,ISNUMBER(MATCH(LEFT(AZ388,2),Lists!$K$2:$K$38,0)),SUMPRODUCT(--ISERROR(FIND(MID(MID(AZ388,3,10),{1,2,3,4,5,10},1),"ABCDEFGHIJKLMNOPQRSTUVWXYZ")))=0,SUMPRODUCT(--ISERROR(FIND(MID(MID(AZ388,3,10),{6,7,8,9},1),"0123456789")))=0,ISNUMBER(FIND(MID(AZ388,13,1),"123456789ABCDEFGHIJKLMNOPQRSTUVWXYZ")),MID(AZ388,14,1)="Z")),"Wrong format",IF(MID("0123456789ABCDEFGHIJKLMNOPQRSTUVWXYZ",MOD(36-MOD(SUMPRODUCT(INT((FIND(MID(AZ388,{1,2,3,4,5,6,7,8,9,10,11,12,13,14},1),"0123456789ABCDEFGHIJKLMNOPQRSTUVWXYZ")-1)*{1,2,1,2,1,2,1,2,1,2,1,2,1,2}/36)+MOD((FIND(MID(AZ388,{1,2,3,4,5,6,7,8,9,10,11,12,13,14},1),"0123456789ABCDEFGHIJKLMNOPQRSTUVWXYZ")-1)*{1,2,1,2,1,2,1,2,1,2,1,2,1,2},36)),36),36)+1,1)=MID(AZ388,15,1),"OK","Typo? check digit wrong")),"Wrong format"))</f>
        <v/>
      </c>
      <c r="AW388" s="29">
        <f>IF(BA388="","",IF(AND(LEN(BA388)=10,SUMPRODUCT(--ISERROR(FIND(MID(BA388,{1,2,3,4,5,10},1),"ABCDEFGHIJKLMNOPQRSTUVWXYZ")))=0,SUMPRODUCT(--ISERROR(FIND(MID(BA388,{6,7,8,9},1),"0123456789")))=0),"OK","Wrong format"))</f>
        <v/>
      </c>
      <c r="AX388" s="29">
        <f>IF(TRIM(H388)="","",IF(AND(LEN(UPPER(TRIM(H388)))=10,SUMPRODUCT(--ISERROR(FIND(MID(UPPER(TRIM(H388)),{1,2,3,4,10},1),"ABCDEFGHIJKLMNOPQRSTUVWXYZ")))=0,SUMPRODUCT(--ISERROR(FIND(MID(UPPER(TRIM(H388)),{5,6,7,8,9},1),"0123456789")))=0),"OK","Wrong format"))</f>
        <v/>
      </c>
      <c r="AY388" s="30">
        <f>IF(NOT(COUNTA(A388:AE388)&gt;0),"",IF(BE388&lt;&gt;"","✖ "&amp;LEFT(BE388,LEN(BE388)-2),IF(BD388&gt;0,"✔ Ready — client + "&amp;BD388&amp;" service(s)","✔ Ready — client only")))</f>
        <v/>
      </c>
      <c r="AZ388" s="31">
        <f>UPPER(SUBSTITUTE(TRIM(F388)," ",""))</f>
        <v/>
      </c>
      <c r="BA388" s="31">
        <f>UPPER(SUBSTITUTE(TRIM(E388)," ",""))</f>
        <v/>
      </c>
      <c r="BB388" s="31">
        <f>IF(D388&lt;&gt;"",D388,IFERROR(VLOOKUP(MID(AS388,4,1),Lists!$E$2:$F$8,2,FALSE),""))</f>
        <v/>
      </c>
      <c r="BC388" s="31">
        <f>IFERROR(VLOOKUP(BB388,Lists!$A$2:$C$12,3,FALSE),"")</f>
        <v/>
      </c>
      <c r="BD388" s="31">
        <f>COUNTIF(W388:AC388,"Yes")</f>
        <v/>
      </c>
      <c r="BE388" s="31">
        <f>IF(TRIM(B388)="","Legal name missing; ","")&amp;IF(AND(AV388&lt;&gt;"",AV388&lt;&gt;"OK"),"GSTIN: "&amp;AV388&amp;"; ","")&amp;IF(AND(AW388&lt;&gt;"",AW388&lt;&gt;"OK"),"PAN wrong format; ","")&amp;IF(AND(BA388&lt;&gt;"",LEN(AZ388)=15,MID(AZ388,3,10)&lt;&gt;BA388),"PAN does not match GSTIN; ","")&amp;IF(AND(AX388&lt;&gt;"",AX388&lt;&gt;"OK"),"TAN wrong format; ","")&amp;IF(AS388="","PAN missing; ","")&amp;IF(BB388="","Entity type missing; ","")&amp;IF(AND(AZ388&lt;&gt;"",COUNTIF($AZ$6:$AZ$1005,AZ388)&gt;1),"GSTIN repeated in this sheet; ","")&amp;IF(AND(AS388&lt;&gt;"",COUNTIF($AS$6:$AS$1005,AS388)&gt;1),"PAN repeated in this sheet (same client? put extra GSTINs in Other GSTINs); ","")&amp;IF(AND(BD388&gt;0,V388=""),"Financial year missing; ","")&amp;IF(AND(BD388=0,V388&lt;&gt;""),"Financial year given but no service is Yes; ","")&amp;IF(AND(W388="Yes",AZ388=""),"GST needs a GSTIN; ","")&amp;IF(AND(W388="Yes",X388=""),"GST return frequency missing; ","")&amp;IF(AND(Y388="Yes",TRIM(H388)=""),"TDS needs a TAN; ","")&amp;IF(AND(AA388="Yes",BC388&lt;&gt;"",BC388&lt;&gt;"company",BC388&lt;&gt;"llp"),"ROC is only for a company / LLP; ","")&amp;IF(AND(AA388="Yes",OR(BC388="company",BC388="llp"),TRIM(I388)=""),"ROC needs the CIN / LLPIN; ","")&amp;IF((TRIM(AF388)="")&lt;&gt;(TRIM(AG388)=""),"GST login needs both user ID and password; ","")&amp;IF((TRIM(AH388)="")&lt;&gt;(TRIM(AI388)=""),"Income-tax login needs both user ID and password; ","")&amp;IF((TRIM(AJ388)="")&lt;&gt;(TRIM(AK388)=""),"Income-tax login needs both user ID and password; ","")&amp;IF((TRIM(AL388)="")&lt;&gt;(TRIM(AM388)=""),"TRACES login needs both user ID and password; ","")&amp;IF((TRIM(AN388)="")&lt;&gt;(TRIM(AO388)=""),"MCA login needs both user ID and password; ","")&amp;IF((TRIM(AP388)="")&lt;&gt;(TRIM(AQ388)=""),"E-way bill login needs both user ID and password; ","")</f>
        <v/>
      </c>
    </row>
    <row r="389">
      <c r="A389" s="32" t="n"/>
      <c r="B389" s="33" t="n"/>
      <c r="C389" s="33" t="n"/>
      <c r="D389" s="33" t="n"/>
      <c r="E389" s="32" t="n"/>
      <c r="F389" s="32" t="n"/>
      <c r="G389" s="32" t="n"/>
      <c r="H389" s="32" t="n"/>
      <c r="I389" s="32" t="n"/>
      <c r="J389" s="34" t="n"/>
      <c r="K389" s="33" t="n"/>
      <c r="L389" s="32" t="n"/>
      <c r="M389" s="33" t="n"/>
      <c r="N389" s="33" t="n"/>
      <c r="O389" s="33" t="n"/>
      <c r="P389" s="32" t="n"/>
      <c r="Q389" s="33" t="n"/>
      <c r="R389" s="33" t="n"/>
      <c r="S389" s="33" t="n"/>
      <c r="T389" s="33" t="n"/>
      <c r="U389" s="32" t="n"/>
      <c r="V389" s="33" t="n"/>
      <c r="W389" s="33" t="n"/>
      <c r="X389" s="33" t="n"/>
      <c r="Y389" s="33" t="n"/>
      <c r="Z389" s="33" t="n"/>
      <c r="AA389" s="33" t="n"/>
      <c r="AB389" s="33" t="n"/>
      <c r="AC389" s="33" t="n"/>
      <c r="AD389" s="33" t="n"/>
      <c r="AE389" s="33" t="n"/>
      <c r="AF389" s="32" t="n"/>
      <c r="AG389" s="32" t="n"/>
      <c r="AH389" s="32" t="n"/>
      <c r="AI389" s="32" t="n"/>
      <c r="AJ389" s="32" t="n"/>
      <c r="AK389" s="32" t="n"/>
      <c r="AL389" s="32" t="n"/>
      <c r="AM389" s="32" t="n"/>
      <c r="AN389" s="32" t="n"/>
      <c r="AO389" s="32" t="n"/>
      <c r="AP389" s="32" t="n"/>
      <c r="AQ389" s="32" t="n"/>
      <c r="AR389" s="29">
        <f>IF(NOT(COUNTA(A389:AE389)&gt;0),"",IF(A389="","New client","Update"))</f>
        <v/>
      </c>
      <c r="AS389" s="29">
        <f>IF(BA389&lt;&gt;"",BA389,IF(LEN(AZ389)=15,MID(AZ389,3,10),""))</f>
        <v/>
      </c>
      <c r="AT389" s="29">
        <f>IF(BB389="","",BB389&amp;IF(D389="","  (guessed from PAN)",""))</f>
        <v/>
      </c>
      <c r="AU389" s="29">
        <f>IF(AZ389="","",IFERROR(INDEX(Lists!$L$2:$L$38,MATCH(LEFT(AZ389,2),Lists!$K$2:$K$38,0)),"Unknown code"))</f>
        <v/>
      </c>
      <c r="AV389" s="29">
        <f>IF(AZ389="","",IFERROR(IF(NOT(AND(LEN(AZ389)=15,ISNUMBER(MATCH(LEFT(AZ389,2),Lists!$K$2:$K$38,0)),SUMPRODUCT(--ISERROR(FIND(MID(MID(AZ389,3,10),{1,2,3,4,5,10},1),"ABCDEFGHIJKLMNOPQRSTUVWXYZ")))=0,SUMPRODUCT(--ISERROR(FIND(MID(MID(AZ389,3,10),{6,7,8,9},1),"0123456789")))=0,ISNUMBER(FIND(MID(AZ389,13,1),"123456789ABCDEFGHIJKLMNOPQRSTUVWXYZ")),MID(AZ389,14,1)="Z")),"Wrong format",IF(MID("0123456789ABCDEFGHIJKLMNOPQRSTUVWXYZ",MOD(36-MOD(SUMPRODUCT(INT((FIND(MID(AZ389,{1,2,3,4,5,6,7,8,9,10,11,12,13,14},1),"0123456789ABCDEFGHIJKLMNOPQRSTUVWXYZ")-1)*{1,2,1,2,1,2,1,2,1,2,1,2,1,2}/36)+MOD((FIND(MID(AZ389,{1,2,3,4,5,6,7,8,9,10,11,12,13,14},1),"0123456789ABCDEFGHIJKLMNOPQRSTUVWXYZ")-1)*{1,2,1,2,1,2,1,2,1,2,1,2,1,2},36)),36),36)+1,1)=MID(AZ389,15,1),"OK","Typo? check digit wrong")),"Wrong format"))</f>
        <v/>
      </c>
      <c r="AW389" s="29">
        <f>IF(BA389="","",IF(AND(LEN(BA389)=10,SUMPRODUCT(--ISERROR(FIND(MID(BA389,{1,2,3,4,5,10},1),"ABCDEFGHIJKLMNOPQRSTUVWXYZ")))=0,SUMPRODUCT(--ISERROR(FIND(MID(BA389,{6,7,8,9},1),"0123456789")))=0),"OK","Wrong format"))</f>
        <v/>
      </c>
      <c r="AX389" s="29">
        <f>IF(TRIM(H389)="","",IF(AND(LEN(UPPER(TRIM(H389)))=10,SUMPRODUCT(--ISERROR(FIND(MID(UPPER(TRIM(H389)),{1,2,3,4,10},1),"ABCDEFGHIJKLMNOPQRSTUVWXYZ")))=0,SUMPRODUCT(--ISERROR(FIND(MID(UPPER(TRIM(H389)),{5,6,7,8,9},1),"0123456789")))=0),"OK","Wrong format"))</f>
        <v/>
      </c>
      <c r="AY389" s="30">
        <f>IF(NOT(COUNTA(A389:AE389)&gt;0),"",IF(BE389&lt;&gt;"","✖ "&amp;LEFT(BE389,LEN(BE389)-2),IF(BD389&gt;0,"✔ Ready — client + "&amp;BD389&amp;" service(s)","✔ Ready — client only")))</f>
        <v/>
      </c>
      <c r="AZ389" s="31">
        <f>UPPER(SUBSTITUTE(TRIM(F389)," ",""))</f>
        <v/>
      </c>
      <c r="BA389" s="31">
        <f>UPPER(SUBSTITUTE(TRIM(E389)," ",""))</f>
        <v/>
      </c>
      <c r="BB389" s="31">
        <f>IF(D389&lt;&gt;"",D389,IFERROR(VLOOKUP(MID(AS389,4,1),Lists!$E$2:$F$8,2,FALSE),""))</f>
        <v/>
      </c>
      <c r="BC389" s="31">
        <f>IFERROR(VLOOKUP(BB389,Lists!$A$2:$C$12,3,FALSE),"")</f>
        <v/>
      </c>
      <c r="BD389" s="31">
        <f>COUNTIF(W389:AC389,"Yes")</f>
        <v/>
      </c>
      <c r="BE389" s="31">
        <f>IF(TRIM(B389)="","Legal name missing; ","")&amp;IF(AND(AV389&lt;&gt;"",AV389&lt;&gt;"OK"),"GSTIN: "&amp;AV389&amp;"; ","")&amp;IF(AND(AW389&lt;&gt;"",AW389&lt;&gt;"OK"),"PAN wrong format; ","")&amp;IF(AND(BA389&lt;&gt;"",LEN(AZ389)=15,MID(AZ389,3,10)&lt;&gt;BA389),"PAN does not match GSTIN; ","")&amp;IF(AND(AX389&lt;&gt;"",AX389&lt;&gt;"OK"),"TAN wrong format; ","")&amp;IF(AS389="","PAN missing; ","")&amp;IF(BB389="","Entity type missing; ","")&amp;IF(AND(AZ389&lt;&gt;"",COUNTIF($AZ$6:$AZ$1005,AZ389)&gt;1),"GSTIN repeated in this sheet; ","")&amp;IF(AND(AS389&lt;&gt;"",COUNTIF($AS$6:$AS$1005,AS389)&gt;1),"PAN repeated in this sheet (same client? put extra GSTINs in Other GSTINs); ","")&amp;IF(AND(BD389&gt;0,V389=""),"Financial year missing; ","")&amp;IF(AND(BD389=0,V389&lt;&gt;""),"Financial year given but no service is Yes; ","")&amp;IF(AND(W389="Yes",AZ389=""),"GST needs a GSTIN; ","")&amp;IF(AND(W389="Yes",X389=""),"GST return frequency missing; ","")&amp;IF(AND(Y389="Yes",TRIM(H389)=""),"TDS needs a TAN; ","")&amp;IF(AND(AA389="Yes",BC389&lt;&gt;"",BC389&lt;&gt;"company",BC389&lt;&gt;"llp"),"ROC is only for a company / LLP; ","")&amp;IF(AND(AA389="Yes",OR(BC389="company",BC389="llp"),TRIM(I389)=""),"ROC needs the CIN / LLPIN; ","")&amp;IF((TRIM(AF389)="")&lt;&gt;(TRIM(AG389)=""),"GST login needs both user ID and password; ","")&amp;IF((TRIM(AH389)="")&lt;&gt;(TRIM(AI389)=""),"Income-tax login needs both user ID and password; ","")&amp;IF((TRIM(AJ389)="")&lt;&gt;(TRIM(AK389)=""),"Income-tax login needs both user ID and password; ","")&amp;IF((TRIM(AL389)="")&lt;&gt;(TRIM(AM389)=""),"TRACES login needs both user ID and password; ","")&amp;IF((TRIM(AN389)="")&lt;&gt;(TRIM(AO389)=""),"MCA login needs both user ID and password; ","")&amp;IF((TRIM(AP389)="")&lt;&gt;(TRIM(AQ389)=""),"E-way bill login needs both user ID and password; ","")</f>
        <v/>
      </c>
    </row>
    <row r="390">
      <c r="A390" s="32" t="n"/>
      <c r="B390" s="33" t="n"/>
      <c r="C390" s="33" t="n"/>
      <c r="D390" s="33" t="n"/>
      <c r="E390" s="32" t="n"/>
      <c r="F390" s="32" t="n"/>
      <c r="G390" s="32" t="n"/>
      <c r="H390" s="32" t="n"/>
      <c r="I390" s="32" t="n"/>
      <c r="J390" s="34" t="n"/>
      <c r="K390" s="33" t="n"/>
      <c r="L390" s="32" t="n"/>
      <c r="M390" s="33" t="n"/>
      <c r="N390" s="33" t="n"/>
      <c r="O390" s="33" t="n"/>
      <c r="P390" s="32" t="n"/>
      <c r="Q390" s="33" t="n"/>
      <c r="R390" s="33" t="n"/>
      <c r="S390" s="33" t="n"/>
      <c r="T390" s="33" t="n"/>
      <c r="U390" s="32" t="n"/>
      <c r="V390" s="33" t="n"/>
      <c r="W390" s="33" t="n"/>
      <c r="X390" s="33" t="n"/>
      <c r="Y390" s="33" t="n"/>
      <c r="Z390" s="33" t="n"/>
      <c r="AA390" s="33" t="n"/>
      <c r="AB390" s="33" t="n"/>
      <c r="AC390" s="33" t="n"/>
      <c r="AD390" s="33" t="n"/>
      <c r="AE390" s="33" t="n"/>
      <c r="AF390" s="32" t="n"/>
      <c r="AG390" s="32" t="n"/>
      <c r="AH390" s="32" t="n"/>
      <c r="AI390" s="32" t="n"/>
      <c r="AJ390" s="32" t="n"/>
      <c r="AK390" s="32" t="n"/>
      <c r="AL390" s="32" t="n"/>
      <c r="AM390" s="32" t="n"/>
      <c r="AN390" s="32" t="n"/>
      <c r="AO390" s="32" t="n"/>
      <c r="AP390" s="32" t="n"/>
      <c r="AQ390" s="32" t="n"/>
      <c r="AR390" s="29">
        <f>IF(NOT(COUNTA(A390:AE390)&gt;0),"",IF(A390="","New client","Update"))</f>
        <v/>
      </c>
      <c r="AS390" s="29">
        <f>IF(BA390&lt;&gt;"",BA390,IF(LEN(AZ390)=15,MID(AZ390,3,10),""))</f>
        <v/>
      </c>
      <c r="AT390" s="29">
        <f>IF(BB390="","",BB390&amp;IF(D390="","  (guessed from PAN)",""))</f>
        <v/>
      </c>
      <c r="AU390" s="29">
        <f>IF(AZ390="","",IFERROR(INDEX(Lists!$L$2:$L$38,MATCH(LEFT(AZ390,2),Lists!$K$2:$K$38,0)),"Unknown code"))</f>
        <v/>
      </c>
      <c r="AV390" s="29">
        <f>IF(AZ390="","",IFERROR(IF(NOT(AND(LEN(AZ390)=15,ISNUMBER(MATCH(LEFT(AZ390,2),Lists!$K$2:$K$38,0)),SUMPRODUCT(--ISERROR(FIND(MID(MID(AZ390,3,10),{1,2,3,4,5,10},1),"ABCDEFGHIJKLMNOPQRSTUVWXYZ")))=0,SUMPRODUCT(--ISERROR(FIND(MID(MID(AZ390,3,10),{6,7,8,9},1),"0123456789")))=0,ISNUMBER(FIND(MID(AZ390,13,1),"123456789ABCDEFGHIJKLMNOPQRSTUVWXYZ")),MID(AZ390,14,1)="Z")),"Wrong format",IF(MID("0123456789ABCDEFGHIJKLMNOPQRSTUVWXYZ",MOD(36-MOD(SUMPRODUCT(INT((FIND(MID(AZ390,{1,2,3,4,5,6,7,8,9,10,11,12,13,14},1),"0123456789ABCDEFGHIJKLMNOPQRSTUVWXYZ")-1)*{1,2,1,2,1,2,1,2,1,2,1,2,1,2}/36)+MOD((FIND(MID(AZ390,{1,2,3,4,5,6,7,8,9,10,11,12,13,14},1),"0123456789ABCDEFGHIJKLMNOPQRSTUVWXYZ")-1)*{1,2,1,2,1,2,1,2,1,2,1,2,1,2},36)),36),36)+1,1)=MID(AZ390,15,1),"OK","Typo? check digit wrong")),"Wrong format"))</f>
        <v/>
      </c>
      <c r="AW390" s="29">
        <f>IF(BA390="","",IF(AND(LEN(BA390)=10,SUMPRODUCT(--ISERROR(FIND(MID(BA390,{1,2,3,4,5,10},1),"ABCDEFGHIJKLMNOPQRSTUVWXYZ")))=0,SUMPRODUCT(--ISERROR(FIND(MID(BA390,{6,7,8,9},1),"0123456789")))=0),"OK","Wrong format"))</f>
        <v/>
      </c>
      <c r="AX390" s="29">
        <f>IF(TRIM(H390)="","",IF(AND(LEN(UPPER(TRIM(H390)))=10,SUMPRODUCT(--ISERROR(FIND(MID(UPPER(TRIM(H390)),{1,2,3,4,10},1),"ABCDEFGHIJKLMNOPQRSTUVWXYZ")))=0,SUMPRODUCT(--ISERROR(FIND(MID(UPPER(TRIM(H390)),{5,6,7,8,9},1),"0123456789")))=0),"OK","Wrong format"))</f>
        <v/>
      </c>
      <c r="AY390" s="30">
        <f>IF(NOT(COUNTA(A390:AE390)&gt;0),"",IF(BE390&lt;&gt;"","✖ "&amp;LEFT(BE390,LEN(BE390)-2),IF(BD390&gt;0,"✔ Ready — client + "&amp;BD390&amp;" service(s)","✔ Ready — client only")))</f>
        <v/>
      </c>
      <c r="AZ390" s="31">
        <f>UPPER(SUBSTITUTE(TRIM(F390)," ",""))</f>
        <v/>
      </c>
      <c r="BA390" s="31">
        <f>UPPER(SUBSTITUTE(TRIM(E390)," ",""))</f>
        <v/>
      </c>
      <c r="BB390" s="31">
        <f>IF(D390&lt;&gt;"",D390,IFERROR(VLOOKUP(MID(AS390,4,1),Lists!$E$2:$F$8,2,FALSE),""))</f>
        <v/>
      </c>
      <c r="BC390" s="31">
        <f>IFERROR(VLOOKUP(BB390,Lists!$A$2:$C$12,3,FALSE),"")</f>
        <v/>
      </c>
      <c r="BD390" s="31">
        <f>COUNTIF(W390:AC390,"Yes")</f>
        <v/>
      </c>
      <c r="BE390" s="31">
        <f>IF(TRIM(B390)="","Legal name missing; ","")&amp;IF(AND(AV390&lt;&gt;"",AV390&lt;&gt;"OK"),"GSTIN: "&amp;AV390&amp;"; ","")&amp;IF(AND(AW390&lt;&gt;"",AW390&lt;&gt;"OK"),"PAN wrong format; ","")&amp;IF(AND(BA390&lt;&gt;"",LEN(AZ390)=15,MID(AZ390,3,10)&lt;&gt;BA390),"PAN does not match GSTIN; ","")&amp;IF(AND(AX390&lt;&gt;"",AX390&lt;&gt;"OK"),"TAN wrong format; ","")&amp;IF(AS390="","PAN missing; ","")&amp;IF(BB390="","Entity type missing; ","")&amp;IF(AND(AZ390&lt;&gt;"",COUNTIF($AZ$6:$AZ$1005,AZ390)&gt;1),"GSTIN repeated in this sheet; ","")&amp;IF(AND(AS390&lt;&gt;"",COUNTIF($AS$6:$AS$1005,AS390)&gt;1),"PAN repeated in this sheet (same client? put extra GSTINs in Other GSTINs); ","")&amp;IF(AND(BD390&gt;0,V390=""),"Financial year missing; ","")&amp;IF(AND(BD390=0,V390&lt;&gt;""),"Financial year given but no service is Yes; ","")&amp;IF(AND(W390="Yes",AZ390=""),"GST needs a GSTIN; ","")&amp;IF(AND(W390="Yes",X390=""),"GST return frequency missing; ","")&amp;IF(AND(Y390="Yes",TRIM(H390)=""),"TDS needs a TAN; ","")&amp;IF(AND(AA390="Yes",BC390&lt;&gt;"",BC390&lt;&gt;"company",BC390&lt;&gt;"llp"),"ROC is only for a company / LLP; ","")&amp;IF(AND(AA390="Yes",OR(BC390="company",BC390="llp"),TRIM(I390)=""),"ROC needs the CIN / LLPIN; ","")&amp;IF((TRIM(AF390)="")&lt;&gt;(TRIM(AG390)=""),"GST login needs both user ID and password; ","")&amp;IF((TRIM(AH390)="")&lt;&gt;(TRIM(AI390)=""),"Income-tax login needs both user ID and password; ","")&amp;IF((TRIM(AJ390)="")&lt;&gt;(TRIM(AK390)=""),"Income-tax login needs both user ID and password; ","")&amp;IF((TRIM(AL390)="")&lt;&gt;(TRIM(AM390)=""),"TRACES login needs both user ID and password; ","")&amp;IF((TRIM(AN390)="")&lt;&gt;(TRIM(AO390)=""),"MCA login needs both user ID and password; ","")&amp;IF((TRIM(AP390)="")&lt;&gt;(TRIM(AQ390)=""),"E-way bill login needs both user ID and password; ","")</f>
        <v/>
      </c>
    </row>
    <row r="391">
      <c r="A391" s="32" t="n"/>
      <c r="B391" s="33" t="n"/>
      <c r="C391" s="33" t="n"/>
      <c r="D391" s="33" t="n"/>
      <c r="E391" s="32" t="n"/>
      <c r="F391" s="32" t="n"/>
      <c r="G391" s="32" t="n"/>
      <c r="H391" s="32" t="n"/>
      <c r="I391" s="32" t="n"/>
      <c r="J391" s="34" t="n"/>
      <c r="K391" s="33" t="n"/>
      <c r="L391" s="32" t="n"/>
      <c r="M391" s="33" t="n"/>
      <c r="N391" s="33" t="n"/>
      <c r="O391" s="33" t="n"/>
      <c r="P391" s="32" t="n"/>
      <c r="Q391" s="33" t="n"/>
      <c r="R391" s="33" t="n"/>
      <c r="S391" s="33" t="n"/>
      <c r="T391" s="33" t="n"/>
      <c r="U391" s="32" t="n"/>
      <c r="V391" s="33" t="n"/>
      <c r="W391" s="33" t="n"/>
      <c r="X391" s="33" t="n"/>
      <c r="Y391" s="33" t="n"/>
      <c r="Z391" s="33" t="n"/>
      <c r="AA391" s="33" t="n"/>
      <c r="AB391" s="33" t="n"/>
      <c r="AC391" s="33" t="n"/>
      <c r="AD391" s="33" t="n"/>
      <c r="AE391" s="33" t="n"/>
      <c r="AF391" s="32" t="n"/>
      <c r="AG391" s="32" t="n"/>
      <c r="AH391" s="32" t="n"/>
      <c r="AI391" s="32" t="n"/>
      <c r="AJ391" s="32" t="n"/>
      <c r="AK391" s="32" t="n"/>
      <c r="AL391" s="32" t="n"/>
      <c r="AM391" s="32" t="n"/>
      <c r="AN391" s="32" t="n"/>
      <c r="AO391" s="32" t="n"/>
      <c r="AP391" s="32" t="n"/>
      <c r="AQ391" s="32" t="n"/>
      <c r="AR391" s="29">
        <f>IF(NOT(COUNTA(A391:AE391)&gt;0),"",IF(A391="","New client","Update"))</f>
        <v/>
      </c>
      <c r="AS391" s="29">
        <f>IF(BA391&lt;&gt;"",BA391,IF(LEN(AZ391)=15,MID(AZ391,3,10),""))</f>
        <v/>
      </c>
      <c r="AT391" s="29">
        <f>IF(BB391="","",BB391&amp;IF(D391="","  (guessed from PAN)",""))</f>
        <v/>
      </c>
      <c r="AU391" s="29">
        <f>IF(AZ391="","",IFERROR(INDEX(Lists!$L$2:$L$38,MATCH(LEFT(AZ391,2),Lists!$K$2:$K$38,0)),"Unknown code"))</f>
        <v/>
      </c>
      <c r="AV391" s="29">
        <f>IF(AZ391="","",IFERROR(IF(NOT(AND(LEN(AZ391)=15,ISNUMBER(MATCH(LEFT(AZ391,2),Lists!$K$2:$K$38,0)),SUMPRODUCT(--ISERROR(FIND(MID(MID(AZ391,3,10),{1,2,3,4,5,10},1),"ABCDEFGHIJKLMNOPQRSTUVWXYZ")))=0,SUMPRODUCT(--ISERROR(FIND(MID(MID(AZ391,3,10),{6,7,8,9},1),"0123456789")))=0,ISNUMBER(FIND(MID(AZ391,13,1),"123456789ABCDEFGHIJKLMNOPQRSTUVWXYZ")),MID(AZ391,14,1)="Z")),"Wrong format",IF(MID("0123456789ABCDEFGHIJKLMNOPQRSTUVWXYZ",MOD(36-MOD(SUMPRODUCT(INT((FIND(MID(AZ391,{1,2,3,4,5,6,7,8,9,10,11,12,13,14},1),"0123456789ABCDEFGHIJKLMNOPQRSTUVWXYZ")-1)*{1,2,1,2,1,2,1,2,1,2,1,2,1,2}/36)+MOD((FIND(MID(AZ391,{1,2,3,4,5,6,7,8,9,10,11,12,13,14},1),"0123456789ABCDEFGHIJKLMNOPQRSTUVWXYZ")-1)*{1,2,1,2,1,2,1,2,1,2,1,2,1,2},36)),36),36)+1,1)=MID(AZ391,15,1),"OK","Typo? check digit wrong")),"Wrong format"))</f>
        <v/>
      </c>
      <c r="AW391" s="29">
        <f>IF(BA391="","",IF(AND(LEN(BA391)=10,SUMPRODUCT(--ISERROR(FIND(MID(BA391,{1,2,3,4,5,10},1),"ABCDEFGHIJKLMNOPQRSTUVWXYZ")))=0,SUMPRODUCT(--ISERROR(FIND(MID(BA391,{6,7,8,9},1),"0123456789")))=0),"OK","Wrong format"))</f>
        <v/>
      </c>
      <c r="AX391" s="29">
        <f>IF(TRIM(H391)="","",IF(AND(LEN(UPPER(TRIM(H391)))=10,SUMPRODUCT(--ISERROR(FIND(MID(UPPER(TRIM(H391)),{1,2,3,4,10},1),"ABCDEFGHIJKLMNOPQRSTUVWXYZ")))=0,SUMPRODUCT(--ISERROR(FIND(MID(UPPER(TRIM(H391)),{5,6,7,8,9},1),"0123456789")))=0),"OK","Wrong format"))</f>
        <v/>
      </c>
      <c r="AY391" s="30">
        <f>IF(NOT(COUNTA(A391:AE391)&gt;0),"",IF(BE391&lt;&gt;"","✖ "&amp;LEFT(BE391,LEN(BE391)-2),IF(BD391&gt;0,"✔ Ready — client + "&amp;BD391&amp;" service(s)","✔ Ready — client only")))</f>
        <v/>
      </c>
      <c r="AZ391" s="31">
        <f>UPPER(SUBSTITUTE(TRIM(F391)," ",""))</f>
        <v/>
      </c>
      <c r="BA391" s="31">
        <f>UPPER(SUBSTITUTE(TRIM(E391)," ",""))</f>
        <v/>
      </c>
      <c r="BB391" s="31">
        <f>IF(D391&lt;&gt;"",D391,IFERROR(VLOOKUP(MID(AS391,4,1),Lists!$E$2:$F$8,2,FALSE),""))</f>
        <v/>
      </c>
      <c r="BC391" s="31">
        <f>IFERROR(VLOOKUP(BB391,Lists!$A$2:$C$12,3,FALSE),"")</f>
        <v/>
      </c>
      <c r="BD391" s="31">
        <f>COUNTIF(W391:AC391,"Yes")</f>
        <v/>
      </c>
      <c r="BE391" s="31">
        <f>IF(TRIM(B391)="","Legal name missing; ","")&amp;IF(AND(AV391&lt;&gt;"",AV391&lt;&gt;"OK"),"GSTIN: "&amp;AV391&amp;"; ","")&amp;IF(AND(AW391&lt;&gt;"",AW391&lt;&gt;"OK"),"PAN wrong format; ","")&amp;IF(AND(BA391&lt;&gt;"",LEN(AZ391)=15,MID(AZ391,3,10)&lt;&gt;BA391),"PAN does not match GSTIN; ","")&amp;IF(AND(AX391&lt;&gt;"",AX391&lt;&gt;"OK"),"TAN wrong format; ","")&amp;IF(AS391="","PAN missing; ","")&amp;IF(BB391="","Entity type missing; ","")&amp;IF(AND(AZ391&lt;&gt;"",COUNTIF($AZ$6:$AZ$1005,AZ391)&gt;1),"GSTIN repeated in this sheet; ","")&amp;IF(AND(AS391&lt;&gt;"",COUNTIF($AS$6:$AS$1005,AS391)&gt;1),"PAN repeated in this sheet (same client? put extra GSTINs in Other GSTINs); ","")&amp;IF(AND(BD391&gt;0,V391=""),"Financial year missing; ","")&amp;IF(AND(BD391=0,V391&lt;&gt;""),"Financial year given but no service is Yes; ","")&amp;IF(AND(W391="Yes",AZ391=""),"GST needs a GSTIN; ","")&amp;IF(AND(W391="Yes",X391=""),"GST return frequency missing; ","")&amp;IF(AND(Y391="Yes",TRIM(H391)=""),"TDS needs a TAN; ","")&amp;IF(AND(AA391="Yes",BC391&lt;&gt;"",BC391&lt;&gt;"company",BC391&lt;&gt;"llp"),"ROC is only for a company / LLP; ","")&amp;IF(AND(AA391="Yes",OR(BC391="company",BC391="llp"),TRIM(I391)=""),"ROC needs the CIN / LLPIN; ","")&amp;IF((TRIM(AF391)="")&lt;&gt;(TRIM(AG391)=""),"GST login needs both user ID and password; ","")&amp;IF((TRIM(AH391)="")&lt;&gt;(TRIM(AI391)=""),"Income-tax login needs both user ID and password; ","")&amp;IF((TRIM(AJ391)="")&lt;&gt;(TRIM(AK391)=""),"Income-tax login needs both user ID and password; ","")&amp;IF((TRIM(AL391)="")&lt;&gt;(TRIM(AM391)=""),"TRACES login needs both user ID and password; ","")&amp;IF((TRIM(AN391)="")&lt;&gt;(TRIM(AO391)=""),"MCA login needs both user ID and password; ","")&amp;IF((TRIM(AP391)="")&lt;&gt;(TRIM(AQ391)=""),"E-way bill login needs both user ID and password; ","")</f>
        <v/>
      </c>
    </row>
    <row r="392">
      <c r="A392" s="32" t="n"/>
      <c r="B392" s="33" t="n"/>
      <c r="C392" s="33" t="n"/>
      <c r="D392" s="33" t="n"/>
      <c r="E392" s="32" t="n"/>
      <c r="F392" s="32" t="n"/>
      <c r="G392" s="32" t="n"/>
      <c r="H392" s="32" t="n"/>
      <c r="I392" s="32" t="n"/>
      <c r="J392" s="34" t="n"/>
      <c r="K392" s="33" t="n"/>
      <c r="L392" s="32" t="n"/>
      <c r="M392" s="33" t="n"/>
      <c r="N392" s="33" t="n"/>
      <c r="O392" s="33" t="n"/>
      <c r="P392" s="32" t="n"/>
      <c r="Q392" s="33" t="n"/>
      <c r="R392" s="33" t="n"/>
      <c r="S392" s="33" t="n"/>
      <c r="T392" s="33" t="n"/>
      <c r="U392" s="32" t="n"/>
      <c r="V392" s="33" t="n"/>
      <c r="W392" s="33" t="n"/>
      <c r="X392" s="33" t="n"/>
      <c r="Y392" s="33" t="n"/>
      <c r="Z392" s="33" t="n"/>
      <c r="AA392" s="33" t="n"/>
      <c r="AB392" s="33" t="n"/>
      <c r="AC392" s="33" t="n"/>
      <c r="AD392" s="33" t="n"/>
      <c r="AE392" s="33" t="n"/>
      <c r="AF392" s="32" t="n"/>
      <c r="AG392" s="32" t="n"/>
      <c r="AH392" s="32" t="n"/>
      <c r="AI392" s="32" t="n"/>
      <c r="AJ392" s="32" t="n"/>
      <c r="AK392" s="32" t="n"/>
      <c r="AL392" s="32" t="n"/>
      <c r="AM392" s="32" t="n"/>
      <c r="AN392" s="32" t="n"/>
      <c r="AO392" s="32" t="n"/>
      <c r="AP392" s="32" t="n"/>
      <c r="AQ392" s="32" t="n"/>
      <c r="AR392" s="29">
        <f>IF(NOT(COUNTA(A392:AE392)&gt;0),"",IF(A392="","New client","Update"))</f>
        <v/>
      </c>
      <c r="AS392" s="29">
        <f>IF(BA392&lt;&gt;"",BA392,IF(LEN(AZ392)=15,MID(AZ392,3,10),""))</f>
        <v/>
      </c>
      <c r="AT392" s="29">
        <f>IF(BB392="","",BB392&amp;IF(D392="","  (guessed from PAN)",""))</f>
        <v/>
      </c>
      <c r="AU392" s="29">
        <f>IF(AZ392="","",IFERROR(INDEX(Lists!$L$2:$L$38,MATCH(LEFT(AZ392,2),Lists!$K$2:$K$38,0)),"Unknown code"))</f>
        <v/>
      </c>
      <c r="AV392" s="29">
        <f>IF(AZ392="","",IFERROR(IF(NOT(AND(LEN(AZ392)=15,ISNUMBER(MATCH(LEFT(AZ392,2),Lists!$K$2:$K$38,0)),SUMPRODUCT(--ISERROR(FIND(MID(MID(AZ392,3,10),{1,2,3,4,5,10},1),"ABCDEFGHIJKLMNOPQRSTUVWXYZ")))=0,SUMPRODUCT(--ISERROR(FIND(MID(MID(AZ392,3,10),{6,7,8,9},1),"0123456789")))=0,ISNUMBER(FIND(MID(AZ392,13,1),"123456789ABCDEFGHIJKLMNOPQRSTUVWXYZ")),MID(AZ392,14,1)="Z")),"Wrong format",IF(MID("0123456789ABCDEFGHIJKLMNOPQRSTUVWXYZ",MOD(36-MOD(SUMPRODUCT(INT((FIND(MID(AZ392,{1,2,3,4,5,6,7,8,9,10,11,12,13,14},1),"0123456789ABCDEFGHIJKLMNOPQRSTUVWXYZ")-1)*{1,2,1,2,1,2,1,2,1,2,1,2,1,2}/36)+MOD((FIND(MID(AZ392,{1,2,3,4,5,6,7,8,9,10,11,12,13,14},1),"0123456789ABCDEFGHIJKLMNOPQRSTUVWXYZ")-1)*{1,2,1,2,1,2,1,2,1,2,1,2,1,2},36)),36),36)+1,1)=MID(AZ392,15,1),"OK","Typo? check digit wrong")),"Wrong format"))</f>
        <v/>
      </c>
      <c r="AW392" s="29">
        <f>IF(BA392="","",IF(AND(LEN(BA392)=10,SUMPRODUCT(--ISERROR(FIND(MID(BA392,{1,2,3,4,5,10},1),"ABCDEFGHIJKLMNOPQRSTUVWXYZ")))=0,SUMPRODUCT(--ISERROR(FIND(MID(BA392,{6,7,8,9},1),"0123456789")))=0),"OK","Wrong format"))</f>
        <v/>
      </c>
      <c r="AX392" s="29">
        <f>IF(TRIM(H392)="","",IF(AND(LEN(UPPER(TRIM(H392)))=10,SUMPRODUCT(--ISERROR(FIND(MID(UPPER(TRIM(H392)),{1,2,3,4,10},1),"ABCDEFGHIJKLMNOPQRSTUVWXYZ")))=0,SUMPRODUCT(--ISERROR(FIND(MID(UPPER(TRIM(H392)),{5,6,7,8,9},1),"0123456789")))=0),"OK","Wrong format"))</f>
        <v/>
      </c>
      <c r="AY392" s="30">
        <f>IF(NOT(COUNTA(A392:AE392)&gt;0),"",IF(BE392&lt;&gt;"","✖ "&amp;LEFT(BE392,LEN(BE392)-2),IF(BD392&gt;0,"✔ Ready — client + "&amp;BD392&amp;" service(s)","✔ Ready — client only")))</f>
        <v/>
      </c>
      <c r="AZ392" s="31">
        <f>UPPER(SUBSTITUTE(TRIM(F392)," ",""))</f>
        <v/>
      </c>
      <c r="BA392" s="31">
        <f>UPPER(SUBSTITUTE(TRIM(E392)," ",""))</f>
        <v/>
      </c>
      <c r="BB392" s="31">
        <f>IF(D392&lt;&gt;"",D392,IFERROR(VLOOKUP(MID(AS392,4,1),Lists!$E$2:$F$8,2,FALSE),""))</f>
        <v/>
      </c>
      <c r="BC392" s="31">
        <f>IFERROR(VLOOKUP(BB392,Lists!$A$2:$C$12,3,FALSE),"")</f>
        <v/>
      </c>
      <c r="BD392" s="31">
        <f>COUNTIF(W392:AC392,"Yes")</f>
        <v/>
      </c>
      <c r="BE392" s="31">
        <f>IF(TRIM(B392)="","Legal name missing; ","")&amp;IF(AND(AV392&lt;&gt;"",AV392&lt;&gt;"OK"),"GSTIN: "&amp;AV392&amp;"; ","")&amp;IF(AND(AW392&lt;&gt;"",AW392&lt;&gt;"OK"),"PAN wrong format; ","")&amp;IF(AND(BA392&lt;&gt;"",LEN(AZ392)=15,MID(AZ392,3,10)&lt;&gt;BA392),"PAN does not match GSTIN; ","")&amp;IF(AND(AX392&lt;&gt;"",AX392&lt;&gt;"OK"),"TAN wrong format; ","")&amp;IF(AS392="","PAN missing; ","")&amp;IF(BB392="","Entity type missing; ","")&amp;IF(AND(AZ392&lt;&gt;"",COUNTIF($AZ$6:$AZ$1005,AZ392)&gt;1),"GSTIN repeated in this sheet; ","")&amp;IF(AND(AS392&lt;&gt;"",COUNTIF($AS$6:$AS$1005,AS392)&gt;1),"PAN repeated in this sheet (same client? put extra GSTINs in Other GSTINs); ","")&amp;IF(AND(BD392&gt;0,V392=""),"Financial year missing; ","")&amp;IF(AND(BD392=0,V392&lt;&gt;""),"Financial year given but no service is Yes; ","")&amp;IF(AND(W392="Yes",AZ392=""),"GST needs a GSTIN; ","")&amp;IF(AND(W392="Yes",X392=""),"GST return frequency missing; ","")&amp;IF(AND(Y392="Yes",TRIM(H392)=""),"TDS needs a TAN; ","")&amp;IF(AND(AA392="Yes",BC392&lt;&gt;"",BC392&lt;&gt;"company",BC392&lt;&gt;"llp"),"ROC is only for a company / LLP; ","")&amp;IF(AND(AA392="Yes",OR(BC392="company",BC392="llp"),TRIM(I392)=""),"ROC needs the CIN / LLPIN; ","")&amp;IF((TRIM(AF392)="")&lt;&gt;(TRIM(AG392)=""),"GST login needs both user ID and password; ","")&amp;IF((TRIM(AH392)="")&lt;&gt;(TRIM(AI392)=""),"Income-tax login needs both user ID and password; ","")&amp;IF((TRIM(AJ392)="")&lt;&gt;(TRIM(AK392)=""),"Income-tax login needs both user ID and password; ","")&amp;IF((TRIM(AL392)="")&lt;&gt;(TRIM(AM392)=""),"TRACES login needs both user ID and password; ","")&amp;IF((TRIM(AN392)="")&lt;&gt;(TRIM(AO392)=""),"MCA login needs both user ID and password; ","")&amp;IF((TRIM(AP392)="")&lt;&gt;(TRIM(AQ392)=""),"E-way bill login needs both user ID and password; ","")</f>
        <v/>
      </c>
    </row>
    <row r="393">
      <c r="A393" s="32" t="n"/>
      <c r="B393" s="33" t="n"/>
      <c r="C393" s="33" t="n"/>
      <c r="D393" s="33" t="n"/>
      <c r="E393" s="32" t="n"/>
      <c r="F393" s="32" t="n"/>
      <c r="G393" s="32" t="n"/>
      <c r="H393" s="32" t="n"/>
      <c r="I393" s="32" t="n"/>
      <c r="J393" s="34" t="n"/>
      <c r="K393" s="33" t="n"/>
      <c r="L393" s="32" t="n"/>
      <c r="M393" s="33" t="n"/>
      <c r="N393" s="33" t="n"/>
      <c r="O393" s="33" t="n"/>
      <c r="P393" s="32" t="n"/>
      <c r="Q393" s="33" t="n"/>
      <c r="R393" s="33" t="n"/>
      <c r="S393" s="33" t="n"/>
      <c r="T393" s="33" t="n"/>
      <c r="U393" s="32" t="n"/>
      <c r="V393" s="33" t="n"/>
      <c r="W393" s="33" t="n"/>
      <c r="X393" s="33" t="n"/>
      <c r="Y393" s="33" t="n"/>
      <c r="Z393" s="33" t="n"/>
      <c r="AA393" s="33" t="n"/>
      <c r="AB393" s="33" t="n"/>
      <c r="AC393" s="33" t="n"/>
      <c r="AD393" s="33" t="n"/>
      <c r="AE393" s="33" t="n"/>
      <c r="AF393" s="32" t="n"/>
      <c r="AG393" s="32" t="n"/>
      <c r="AH393" s="32" t="n"/>
      <c r="AI393" s="32" t="n"/>
      <c r="AJ393" s="32" t="n"/>
      <c r="AK393" s="32" t="n"/>
      <c r="AL393" s="32" t="n"/>
      <c r="AM393" s="32" t="n"/>
      <c r="AN393" s="32" t="n"/>
      <c r="AO393" s="32" t="n"/>
      <c r="AP393" s="32" t="n"/>
      <c r="AQ393" s="32" t="n"/>
      <c r="AR393" s="29">
        <f>IF(NOT(COUNTA(A393:AE393)&gt;0),"",IF(A393="","New client","Update"))</f>
        <v/>
      </c>
      <c r="AS393" s="29">
        <f>IF(BA393&lt;&gt;"",BA393,IF(LEN(AZ393)=15,MID(AZ393,3,10),""))</f>
        <v/>
      </c>
      <c r="AT393" s="29">
        <f>IF(BB393="","",BB393&amp;IF(D393="","  (guessed from PAN)",""))</f>
        <v/>
      </c>
      <c r="AU393" s="29">
        <f>IF(AZ393="","",IFERROR(INDEX(Lists!$L$2:$L$38,MATCH(LEFT(AZ393,2),Lists!$K$2:$K$38,0)),"Unknown code"))</f>
        <v/>
      </c>
      <c r="AV393" s="29">
        <f>IF(AZ393="","",IFERROR(IF(NOT(AND(LEN(AZ393)=15,ISNUMBER(MATCH(LEFT(AZ393,2),Lists!$K$2:$K$38,0)),SUMPRODUCT(--ISERROR(FIND(MID(MID(AZ393,3,10),{1,2,3,4,5,10},1),"ABCDEFGHIJKLMNOPQRSTUVWXYZ")))=0,SUMPRODUCT(--ISERROR(FIND(MID(MID(AZ393,3,10),{6,7,8,9},1),"0123456789")))=0,ISNUMBER(FIND(MID(AZ393,13,1),"123456789ABCDEFGHIJKLMNOPQRSTUVWXYZ")),MID(AZ393,14,1)="Z")),"Wrong format",IF(MID("0123456789ABCDEFGHIJKLMNOPQRSTUVWXYZ",MOD(36-MOD(SUMPRODUCT(INT((FIND(MID(AZ393,{1,2,3,4,5,6,7,8,9,10,11,12,13,14},1),"0123456789ABCDEFGHIJKLMNOPQRSTUVWXYZ")-1)*{1,2,1,2,1,2,1,2,1,2,1,2,1,2}/36)+MOD((FIND(MID(AZ393,{1,2,3,4,5,6,7,8,9,10,11,12,13,14},1),"0123456789ABCDEFGHIJKLMNOPQRSTUVWXYZ")-1)*{1,2,1,2,1,2,1,2,1,2,1,2,1,2},36)),36),36)+1,1)=MID(AZ393,15,1),"OK","Typo? check digit wrong")),"Wrong format"))</f>
        <v/>
      </c>
      <c r="AW393" s="29">
        <f>IF(BA393="","",IF(AND(LEN(BA393)=10,SUMPRODUCT(--ISERROR(FIND(MID(BA393,{1,2,3,4,5,10},1),"ABCDEFGHIJKLMNOPQRSTUVWXYZ")))=0,SUMPRODUCT(--ISERROR(FIND(MID(BA393,{6,7,8,9},1),"0123456789")))=0),"OK","Wrong format"))</f>
        <v/>
      </c>
      <c r="AX393" s="29">
        <f>IF(TRIM(H393)="","",IF(AND(LEN(UPPER(TRIM(H393)))=10,SUMPRODUCT(--ISERROR(FIND(MID(UPPER(TRIM(H393)),{1,2,3,4,10},1),"ABCDEFGHIJKLMNOPQRSTUVWXYZ")))=0,SUMPRODUCT(--ISERROR(FIND(MID(UPPER(TRIM(H393)),{5,6,7,8,9},1),"0123456789")))=0),"OK","Wrong format"))</f>
        <v/>
      </c>
      <c r="AY393" s="30">
        <f>IF(NOT(COUNTA(A393:AE393)&gt;0),"",IF(BE393&lt;&gt;"","✖ "&amp;LEFT(BE393,LEN(BE393)-2),IF(BD393&gt;0,"✔ Ready — client + "&amp;BD393&amp;" service(s)","✔ Ready — client only")))</f>
        <v/>
      </c>
      <c r="AZ393" s="31">
        <f>UPPER(SUBSTITUTE(TRIM(F393)," ",""))</f>
        <v/>
      </c>
      <c r="BA393" s="31">
        <f>UPPER(SUBSTITUTE(TRIM(E393)," ",""))</f>
        <v/>
      </c>
      <c r="BB393" s="31">
        <f>IF(D393&lt;&gt;"",D393,IFERROR(VLOOKUP(MID(AS393,4,1),Lists!$E$2:$F$8,2,FALSE),""))</f>
        <v/>
      </c>
      <c r="BC393" s="31">
        <f>IFERROR(VLOOKUP(BB393,Lists!$A$2:$C$12,3,FALSE),"")</f>
        <v/>
      </c>
      <c r="BD393" s="31">
        <f>COUNTIF(W393:AC393,"Yes")</f>
        <v/>
      </c>
      <c r="BE393" s="31">
        <f>IF(TRIM(B393)="","Legal name missing; ","")&amp;IF(AND(AV393&lt;&gt;"",AV393&lt;&gt;"OK"),"GSTIN: "&amp;AV393&amp;"; ","")&amp;IF(AND(AW393&lt;&gt;"",AW393&lt;&gt;"OK"),"PAN wrong format; ","")&amp;IF(AND(BA393&lt;&gt;"",LEN(AZ393)=15,MID(AZ393,3,10)&lt;&gt;BA393),"PAN does not match GSTIN; ","")&amp;IF(AND(AX393&lt;&gt;"",AX393&lt;&gt;"OK"),"TAN wrong format; ","")&amp;IF(AS393="","PAN missing; ","")&amp;IF(BB393="","Entity type missing; ","")&amp;IF(AND(AZ393&lt;&gt;"",COUNTIF($AZ$6:$AZ$1005,AZ393)&gt;1),"GSTIN repeated in this sheet; ","")&amp;IF(AND(AS393&lt;&gt;"",COUNTIF($AS$6:$AS$1005,AS393)&gt;1),"PAN repeated in this sheet (same client? put extra GSTINs in Other GSTINs); ","")&amp;IF(AND(BD393&gt;0,V393=""),"Financial year missing; ","")&amp;IF(AND(BD393=0,V393&lt;&gt;""),"Financial year given but no service is Yes; ","")&amp;IF(AND(W393="Yes",AZ393=""),"GST needs a GSTIN; ","")&amp;IF(AND(W393="Yes",X393=""),"GST return frequency missing; ","")&amp;IF(AND(Y393="Yes",TRIM(H393)=""),"TDS needs a TAN; ","")&amp;IF(AND(AA393="Yes",BC393&lt;&gt;"",BC393&lt;&gt;"company",BC393&lt;&gt;"llp"),"ROC is only for a company / LLP; ","")&amp;IF(AND(AA393="Yes",OR(BC393="company",BC393="llp"),TRIM(I393)=""),"ROC needs the CIN / LLPIN; ","")&amp;IF((TRIM(AF393)="")&lt;&gt;(TRIM(AG393)=""),"GST login needs both user ID and password; ","")&amp;IF((TRIM(AH393)="")&lt;&gt;(TRIM(AI393)=""),"Income-tax login needs both user ID and password; ","")&amp;IF((TRIM(AJ393)="")&lt;&gt;(TRIM(AK393)=""),"Income-tax login needs both user ID and password; ","")&amp;IF((TRIM(AL393)="")&lt;&gt;(TRIM(AM393)=""),"TRACES login needs both user ID and password; ","")&amp;IF((TRIM(AN393)="")&lt;&gt;(TRIM(AO393)=""),"MCA login needs both user ID and password; ","")&amp;IF((TRIM(AP393)="")&lt;&gt;(TRIM(AQ393)=""),"E-way bill login needs both user ID and password; ","")</f>
        <v/>
      </c>
    </row>
    <row r="394">
      <c r="A394" s="32" t="n"/>
      <c r="B394" s="33" t="n"/>
      <c r="C394" s="33" t="n"/>
      <c r="D394" s="33" t="n"/>
      <c r="E394" s="32" t="n"/>
      <c r="F394" s="32" t="n"/>
      <c r="G394" s="32" t="n"/>
      <c r="H394" s="32" t="n"/>
      <c r="I394" s="32" t="n"/>
      <c r="J394" s="34" t="n"/>
      <c r="K394" s="33" t="n"/>
      <c r="L394" s="32" t="n"/>
      <c r="M394" s="33" t="n"/>
      <c r="N394" s="33" t="n"/>
      <c r="O394" s="33" t="n"/>
      <c r="P394" s="32" t="n"/>
      <c r="Q394" s="33" t="n"/>
      <c r="R394" s="33" t="n"/>
      <c r="S394" s="33" t="n"/>
      <c r="T394" s="33" t="n"/>
      <c r="U394" s="32" t="n"/>
      <c r="V394" s="33" t="n"/>
      <c r="W394" s="33" t="n"/>
      <c r="X394" s="33" t="n"/>
      <c r="Y394" s="33" t="n"/>
      <c r="Z394" s="33" t="n"/>
      <c r="AA394" s="33" t="n"/>
      <c r="AB394" s="33" t="n"/>
      <c r="AC394" s="33" t="n"/>
      <c r="AD394" s="33" t="n"/>
      <c r="AE394" s="33" t="n"/>
      <c r="AF394" s="32" t="n"/>
      <c r="AG394" s="32" t="n"/>
      <c r="AH394" s="32" t="n"/>
      <c r="AI394" s="32" t="n"/>
      <c r="AJ394" s="32" t="n"/>
      <c r="AK394" s="32" t="n"/>
      <c r="AL394" s="32" t="n"/>
      <c r="AM394" s="32" t="n"/>
      <c r="AN394" s="32" t="n"/>
      <c r="AO394" s="32" t="n"/>
      <c r="AP394" s="32" t="n"/>
      <c r="AQ394" s="32" t="n"/>
      <c r="AR394" s="29">
        <f>IF(NOT(COUNTA(A394:AE394)&gt;0),"",IF(A394="","New client","Update"))</f>
        <v/>
      </c>
      <c r="AS394" s="29">
        <f>IF(BA394&lt;&gt;"",BA394,IF(LEN(AZ394)=15,MID(AZ394,3,10),""))</f>
        <v/>
      </c>
      <c r="AT394" s="29">
        <f>IF(BB394="","",BB394&amp;IF(D394="","  (guessed from PAN)",""))</f>
        <v/>
      </c>
      <c r="AU394" s="29">
        <f>IF(AZ394="","",IFERROR(INDEX(Lists!$L$2:$L$38,MATCH(LEFT(AZ394,2),Lists!$K$2:$K$38,0)),"Unknown code"))</f>
        <v/>
      </c>
      <c r="AV394" s="29">
        <f>IF(AZ394="","",IFERROR(IF(NOT(AND(LEN(AZ394)=15,ISNUMBER(MATCH(LEFT(AZ394,2),Lists!$K$2:$K$38,0)),SUMPRODUCT(--ISERROR(FIND(MID(MID(AZ394,3,10),{1,2,3,4,5,10},1),"ABCDEFGHIJKLMNOPQRSTUVWXYZ")))=0,SUMPRODUCT(--ISERROR(FIND(MID(MID(AZ394,3,10),{6,7,8,9},1),"0123456789")))=0,ISNUMBER(FIND(MID(AZ394,13,1),"123456789ABCDEFGHIJKLMNOPQRSTUVWXYZ")),MID(AZ394,14,1)="Z")),"Wrong format",IF(MID("0123456789ABCDEFGHIJKLMNOPQRSTUVWXYZ",MOD(36-MOD(SUMPRODUCT(INT((FIND(MID(AZ394,{1,2,3,4,5,6,7,8,9,10,11,12,13,14},1),"0123456789ABCDEFGHIJKLMNOPQRSTUVWXYZ")-1)*{1,2,1,2,1,2,1,2,1,2,1,2,1,2}/36)+MOD((FIND(MID(AZ394,{1,2,3,4,5,6,7,8,9,10,11,12,13,14},1),"0123456789ABCDEFGHIJKLMNOPQRSTUVWXYZ")-1)*{1,2,1,2,1,2,1,2,1,2,1,2,1,2},36)),36),36)+1,1)=MID(AZ394,15,1),"OK","Typo? check digit wrong")),"Wrong format"))</f>
        <v/>
      </c>
      <c r="AW394" s="29">
        <f>IF(BA394="","",IF(AND(LEN(BA394)=10,SUMPRODUCT(--ISERROR(FIND(MID(BA394,{1,2,3,4,5,10},1),"ABCDEFGHIJKLMNOPQRSTUVWXYZ")))=0,SUMPRODUCT(--ISERROR(FIND(MID(BA394,{6,7,8,9},1),"0123456789")))=0),"OK","Wrong format"))</f>
        <v/>
      </c>
      <c r="AX394" s="29">
        <f>IF(TRIM(H394)="","",IF(AND(LEN(UPPER(TRIM(H394)))=10,SUMPRODUCT(--ISERROR(FIND(MID(UPPER(TRIM(H394)),{1,2,3,4,10},1),"ABCDEFGHIJKLMNOPQRSTUVWXYZ")))=0,SUMPRODUCT(--ISERROR(FIND(MID(UPPER(TRIM(H394)),{5,6,7,8,9},1),"0123456789")))=0),"OK","Wrong format"))</f>
        <v/>
      </c>
      <c r="AY394" s="30">
        <f>IF(NOT(COUNTA(A394:AE394)&gt;0),"",IF(BE394&lt;&gt;"","✖ "&amp;LEFT(BE394,LEN(BE394)-2),IF(BD394&gt;0,"✔ Ready — client + "&amp;BD394&amp;" service(s)","✔ Ready — client only")))</f>
        <v/>
      </c>
      <c r="AZ394" s="31">
        <f>UPPER(SUBSTITUTE(TRIM(F394)," ",""))</f>
        <v/>
      </c>
      <c r="BA394" s="31">
        <f>UPPER(SUBSTITUTE(TRIM(E394)," ",""))</f>
        <v/>
      </c>
      <c r="BB394" s="31">
        <f>IF(D394&lt;&gt;"",D394,IFERROR(VLOOKUP(MID(AS394,4,1),Lists!$E$2:$F$8,2,FALSE),""))</f>
        <v/>
      </c>
      <c r="BC394" s="31">
        <f>IFERROR(VLOOKUP(BB394,Lists!$A$2:$C$12,3,FALSE),"")</f>
        <v/>
      </c>
      <c r="BD394" s="31">
        <f>COUNTIF(W394:AC394,"Yes")</f>
        <v/>
      </c>
      <c r="BE394" s="31">
        <f>IF(TRIM(B394)="","Legal name missing; ","")&amp;IF(AND(AV394&lt;&gt;"",AV394&lt;&gt;"OK"),"GSTIN: "&amp;AV394&amp;"; ","")&amp;IF(AND(AW394&lt;&gt;"",AW394&lt;&gt;"OK"),"PAN wrong format; ","")&amp;IF(AND(BA394&lt;&gt;"",LEN(AZ394)=15,MID(AZ394,3,10)&lt;&gt;BA394),"PAN does not match GSTIN; ","")&amp;IF(AND(AX394&lt;&gt;"",AX394&lt;&gt;"OK"),"TAN wrong format; ","")&amp;IF(AS394="","PAN missing; ","")&amp;IF(BB394="","Entity type missing; ","")&amp;IF(AND(AZ394&lt;&gt;"",COUNTIF($AZ$6:$AZ$1005,AZ394)&gt;1),"GSTIN repeated in this sheet; ","")&amp;IF(AND(AS394&lt;&gt;"",COUNTIF($AS$6:$AS$1005,AS394)&gt;1),"PAN repeated in this sheet (same client? put extra GSTINs in Other GSTINs); ","")&amp;IF(AND(BD394&gt;0,V394=""),"Financial year missing; ","")&amp;IF(AND(BD394=0,V394&lt;&gt;""),"Financial year given but no service is Yes; ","")&amp;IF(AND(W394="Yes",AZ394=""),"GST needs a GSTIN; ","")&amp;IF(AND(W394="Yes",X394=""),"GST return frequency missing; ","")&amp;IF(AND(Y394="Yes",TRIM(H394)=""),"TDS needs a TAN; ","")&amp;IF(AND(AA394="Yes",BC394&lt;&gt;"",BC394&lt;&gt;"company",BC394&lt;&gt;"llp"),"ROC is only for a company / LLP; ","")&amp;IF(AND(AA394="Yes",OR(BC394="company",BC394="llp"),TRIM(I394)=""),"ROC needs the CIN / LLPIN; ","")&amp;IF((TRIM(AF394)="")&lt;&gt;(TRIM(AG394)=""),"GST login needs both user ID and password; ","")&amp;IF((TRIM(AH394)="")&lt;&gt;(TRIM(AI394)=""),"Income-tax login needs both user ID and password; ","")&amp;IF((TRIM(AJ394)="")&lt;&gt;(TRIM(AK394)=""),"Income-tax login needs both user ID and password; ","")&amp;IF((TRIM(AL394)="")&lt;&gt;(TRIM(AM394)=""),"TRACES login needs both user ID and password; ","")&amp;IF((TRIM(AN394)="")&lt;&gt;(TRIM(AO394)=""),"MCA login needs both user ID and password; ","")&amp;IF((TRIM(AP394)="")&lt;&gt;(TRIM(AQ394)=""),"E-way bill login needs both user ID and password; ","")</f>
        <v/>
      </c>
    </row>
    <row r="395">
      <c r="A395" s="32" t="n"/>
      <c r="B395" s="33" t="n"/>
      <c r="C395" s="33" t="n"/>
      <c r="D395" s="33" t="n"/>
      <c r="E395" s="32" t="n"/>
      <c r="F395" s="32" t="n"/>
      <c r="G395" s="32" t="n"/>
      <c r="H395" s="32" t="n"/>
      <c r="I395" s="32" t="n"/>
      <c r="J395" s="34" t="n"/>
      <c r="K395" s="33" t="n"/>
      <c r="L395" s="32" t="n"/>
      <c r="M395" s="33" t="n"/>
      <c r="N395" s="33" t="n"/>
      <c r="O395" s="33" t="n"/>
      <c r="P395" s="32" t="n"/>
      <c r="Q395" s="33" t="n"/>
      <c r="R395" s="33" t="n"/>
      <c r="S395" s="33" t="n"/>
      <c r="T395" s="33" t="n"/>
      <c r="U395" s="32" t="n"/>
      <c r="V395" s="33" t="n"/>
      <c r="W395" s="33" t="n"/>
      <c r="X395" s="33" t="n"/>
      <c r="Y395" s="33" t="n"/>
      <c r="Z395" s="33" t="n"/>
      <c r="AA395" s="33" t="n"/>
      <c r="AB395" s="33" t="n"/>
      <c r="AC395" s="33" t="n"/>
      <c r="AD395" s="33" t="n"/>
      <c r="AE395" s="33" t="n"/>
      <c r="AF395" s="32" t="n"/>
      <c r="AG395" s="32" t="n"/>
      <c r="AH395" s="32" t="n"/>
      <c r="AI395" s="32" t="n"/>
      <c r="AJ395" s="32" t="n"/>
      <c r="AK395" s="32" t="n"/>
      <c r="AL395" s="32" t="n"/>
      <c r="AM395" s="32" t="n"/>
      <c r="AN395" s="32" t="n"/>
      <c r="AO395" s="32" t="n"/>
      <c r="AP395" s="32" t="n"/>
      <c r="AQ395" s="32" t="n"/>
      <c r="AR395" s="29">
        <f>IF(NOT(COUNTA(A395:AE395)&gt;0),"",IF(A395="","New client","Update"))</f>
        <v/>
      </c>
      <c r="AS395" s="29">
        <f>IF(BA395&lt;&gt;"",BA395,IF(LEN(AZ395)=15,MID(AZ395,3,10),""))</f>
        <v/>
      </c>
      <c r="AT395" s="29">
        <f>IF(BB395="","",BB395&amp;IF(D395="","  (guessed from PAN)",""))</f>
        <v/>
      </c>
      <c r="AU395" s="29">
        <f>IF(AZ395="","",IFERROR(INDEX(Lists!$L$2:$L$38,MATCH(LEFT(AZ395,2),Lists!$K$2:$K$38,0)),"Unknown code"))</f>
        <v/>
      </c>
      <c r="AV395" s="29">
        <f>IF(AZ395="","",IFERROR(IF(NOT(AND(LEN(AZ395)=15,ISNUMBER(MATCH(LEFT(AZ395,2),Lists!$K$2:$K$38,0)),SUMPRODUCT(--ISERROR(FIND(MID(MID(AZ395,3,10),{1,2,3,4,5,10},1),"ABCDEFGHIJKLMNOPQRSTUVWXYZ")))=0,SUMPRODUCT(--ISERROR(FIND(MID(MID(AZ395,3,10),{6,7,8,9},1),"0123456789")))=0,ISNUMBER(FIND(MID(AZ395,13,1),"123456789ABCDEFGHIJKLMNOPQRSTUVWXYZ")),MID(AZ395,14,1)="Z")),"Wrong format",IF(MID("0123456789ABCDEFGHIJKLMNOPQRSTUVWXYZ",MOD(36-MOD(SUMPRODUCT(INT((FIND(MID(AZ395,{1,2,3,4,5,6,7,8,9,10,11,12,13,14},1),"0123456789ABCDEFGHIJKLMNOPQRSTUVWXYZ")-1)*{1,2,1,2,1,2,1,2,1,2,1,2,1,2}/36)+MOD((FIND(MID(AZ395,{1,2,3,4,5,6,7,8,9,10,11,12,13,14},1),"0123456789ABCDEFGHIJKLMNOPQRSTUVWXYZ")-1)*{1,2,1,2,1,2,1,2,1,2,1,2,1,2},36)),36),36)+1,1)=MID(AZ395,15,1),"OK","Typo? check digit wrong")),"Wrong format"))</f>
        <v/>
      </c>
      <c r="AW395" s="29">
        <f>IF(BA395="","",IF(AND(LEN(BA395)=10,SUMPRODUCT(--ISERROR(FIND(MID(BA395,{1,2,3,4,5,10},1),"ABCDEFGHIJKLMNOPQRSTUVWXYZ")))=0,SUMPRODUCT(--ISERROR(FIND(MID(BA395,{6,7,8,9},1),"0123456789")))=0),"OK","Wrong format"))</f>
        <v/>
      </c>
      <c r="AX395" s="29">
        <f>IF(TRIM(H395)="","",IF(AND(LEN(UPPER(TRIM(H395)))=10,SUMPRODUCT(--ISERROR(FIND(MID(UPPER(TRIM(H395)),{1,2,3,4,10},1),"ABCDEFGHIJKLMNOPQRSTUVWXYZ")))=0,SUMPRODUCT(--ISERROR(FIND(MID(UPPER(TRIM(H395)),{5,6,7,8,9},1),"0123456789")))=0),"OK","Wrong format"))</f>
        <v/>
      </c>
      <c r="AY395" s="30">
        <f>IF(NOT(COUNTA(A395:AE395)&gt;0),"",IF(BE395&lt;&gt;"","✖ "&amp;LEFT(BE395,LEN(BE395)-2),IF(BD395&gt;0,"✔ Ready — client + "&amp;BD395&amp;" service(s)","✔ Ready — client only")))</f>
        <v/>
      </c>
      <c r="AZ395" s="31">
        <f>UPPER(SUBSTITUTE(TRIM(F395)," ",""))</f>
        <v/>
      </c>
      <c r="BA395" s="31">
        <f>UPPER(SUBSTITUTE(TRIM(E395)," ",""))</f>
        <v/>
      </c>
      <c r="BB395" s="31">
        <f>IF(D395&lt;&gt;"",D395,IFERROR(VLOOKUP(MID(AS395,4,1),Lists!$E$2:$F$8,2,FALSE),""))</f>
        <v/>
      </c>
      <c r="BC395" s="31">
        <f>IFERROR(VLOOKUP(BB395,Lists!$A$2:$C$12,3,FALSE),"")</f>
        <v/>
      </c>
      <c r="BD395" s="31">
        <f>COUNTIF(W395:AC395,"Yes")</f>
        <v/>
      </c>
      <c r="BE395" s="31">
        <f>IF(TRIM(B395)="","Legal name missing; ","")&amp;IF(AND(AV395&lt;&gt;"",AV395&lt;&gt;"OK"),"GSTIN: "&amp;AV395&amp;"; ","")&amp;IF(AND(AW395&lt;&gt;"",AW395&lt;&gt;"OK"),"PAN wrong format; ","")&amp;IF(AND(BA395&lt;&gt;"",LEN(AZ395)=15,MID(AZ395,3,10)&lt;&gt;BA395),"PAN does not match GSTIN; ","")&amp;IF(AND(AX395&lt;&gt;"",AX395&lt;&gt;"OK"),"TAN wrong format; ","")&amp;IF(AS395="","PAN missing; ","")&amp;IF(BB395="","Entity type missing; ","")&amp;IF(AND(AZ395&lt;&gt;"",COUNTIF($AZ$6:$AZ$1005,AZ395)&gt;1),"GSTIN repeated in this sheet; ","")&amp;IF(AND(AS395&lt;&gt;"",COUNTIF($AS$6:$AS$1005,AS395)&gt;1),"PAN repeated in this sheet (same client? put extra GSTINs in Other GSTINs); ","")&amp;IF(AND(BD395&gt;0,V395=""),"Financial year missing; ","")&amp;IF(AND(BD395=0,V395&lt;&gt;""),"Financial year given but no service is Yes; ","")&amp;IF(AND(W395="Yes",AZ395=""),"GST needs a GSTIN; ","")&amp;IF(AND(W395="Yes",X395=""),"GST return frequency missing; ","")&amp;IF(AND(Y395="Yes",TRIM(H395)=""),"TDS needs a TAN; ","")&amp;IF(AND(AA395="Yes",BC395&lt;&gt;"",BC395&lt;&gt;"company",BC395&lt;&gt;"llp"),"ROC is only for a company / LLP; ","")&amp;IF(AND(AA395="Yes",OR(BC395="company",BC395="llp"),TRIM(I395)=""),"ROC needs the CIN / LLPIN; ","")&amp;IF((TRIM(AF395)="")&lt;&gt;(TRIM(AG395)=""),"GST login needs both user ID and password; ","")&amp;IF((TRIM(AH395)="")&lt;&gt;(TRIM(AI395)=""),"Income-tax login needs both user ID and password; ","")&amp;IF((TRIM(AJ395)="")&lt;&gt;(TRIM(AK395)=""),"Income-tax login needs both user ID and password; ","")&amp;IF((TRIM(AL395)="")&lt;&gt;(TRIM(AM395)=""),"TRACES login needs both user ID and password; ","")&amp;IF((TRIM(AN395)="")&lt;&gt;(TRIM(AO395)=""),"MCA login needs both user ID and password; ","")&amp;IF((TRIM(AP395)="")&lt;&gt;(TRIM(AQ395)=""),"E-way bill login needs both user ID and password; ","")</f>
        <v/>
      </c>
    </row>
    <row r="396">
      <c r="A396" s="32" t="n"/>
      <c r="B396" s="33" t="n"/>
      <c r="C396" s="33" t="n"/>
      <c r="D396" s="33" t="n"/>
      <c r="E396" s="32" t="n"/>
      <c r="F396" s="32" t="n"/>
      <c r="G396" s="32" t="n"/>
      <c r="H396" s="32" t="n"/>
      <c r="I396" s="32" t="n"/>
      <c r="J396" s="34" t="n"/>
      <c r="K396" s="33" t="n"/>
      <c r="L396" s="32" t="n"/>
      <c r="M396" s="33" t="n"/>
      <c r="N396" s="33" t="n"/>
      <c r="O396" s="33" t="n"/>
      <c r="P396" s="32" t="n"/>
      <c r="Q396" s="33" t="n"/>
      <c r="R396" s="33" t="n"/>
      <c r="S396" s="33" t="n"/>
      <c r="T396" s="33" t="n"/>
      <c r="U396" s="32" t="n"/>
      <c r="V396" s="33" t="n"/>
      <c r="W396" s="33" t="n"/>
      <c r="X396" s="33" t="n"/>
      <c r="Y396" s="33" t="n"/>
      <c r="Z396" s="33" t="n"/>
      <c r="AA396" s="33" t="n"/>
      <c r="AB396" s="33" t="n"/>
      <c r="AC396" s="33" t="n"/>
      <c r="AD396" s="33" t="n"/>
      <c r="AE396" s="33" t="n"/>
      <c r="AF396" s="32" t="n"/>
      <c r="AG396" s="32" t="n"/>
      <c r="AH396" s="32" t="n"/>
      <c r="AI396" s="32" t="n"/>
      <c r="AJ396" s="32" t="n"/>
      <c r="AK396" s="32" t="n"/>
      <c r="AL396" s="32" t="n"/>
      <c r="AM396" s="32" t="n"/>
      <c r="AN396" s="32" t="n"/>
      <c r="AO396" s="32" t="n"/>
      <c r="AP396" s="32" t="n"/>
      <c r="AQ396" s="32" t="n"/>
      <c r="AR396" s="29">
        <f>IF(NOT(COUNTA(A396:AE396)&gt;0),"",IF(A396="","New client","Update"))</f>
        <v/>
      </c>
      <c r="AS396" s="29">
        <f>IF(BA396&lt;&gt;"",BA396,IF(LEN(AZ396)=15,MID(AZ396,3,10),""))</f>
        <v/>
      </c>
      <c r="AT396" s="29">
        <f>IF(BB396="","",BB396&amp;IF(D396="","  (guessed from PAN)",""))</f>
        <v/>
      </c>
      <c r="AU396" s="29">
        <f>IF(AZ396="","",IFERROR(INDEX(Lists!$L$2:$L$38,MATCH(LEFT(AZ396,2),Lists!$K$2:$K$38,0)),"Unknown code"))</f>
        <v/>
      </c>
      <c r="AV396" s="29">
        <f>IF(AZ396="","",IFERROR(IF(NOT(AND(LEN(AZ396)=15,ISNUMBER(MATCH(LEFT(AZ396,2),Lists!$K$2:$K$38,0)),SUMPRODUCT(--ISERROR(FIND(MID(MID(AZ396,3,10),{1,2,3,4,5,10},1),"ABCDEFGHIJKLMNOPQRSTUVWXYZ")))=0,SUMPRODUCT(--ISERROR(FIND(MID(MID(AZ396,3,10),{6,7,8,9},1),"0123456789")))=0,ISNUMBER(FIND(MID(AZ396,13,1),"123456789ABCDEFGHIJKLMNOPQRSTUVWXYZ")),MID(AZ396,14,1)="Z")),"Wrong format",IF(MID("0123456789ABCDEFGHIJKLMNOPQRSTUVWXYZ",MOD(36-MOD(SUMPRODUCT(INT((FIND(MID(AZ396,{1,2,3,4,5,6,7,8,9,10,11,12,13,14},1),"0123456789ABCDEFGHIJKLMNOPQRSTUVWXYZ")-1)*{1,2,1,2,1,2,1,2,1,2,1,2,1,2}/36)+MOD((FIND(MID(AZ396,{1,2,3,4,5,6,7,8,9,10,11,12,13,14},1),"0123456789ABCDEFGHIJKLMNOPQRSTUVWXYZ")-1)*{1,2,1,2,1,2,1,2,1,2,1,2,1,2},36)),36),36)+1,1)=MID(AZ396,15,1),"OK","Typo? check digit wrong")),"Wrong format"))</f>
        <v/>
      </c>
      <c r="AW396" s="29">
        <f>IF(BA396="","",IF(AND(LEN(BA396)=10,SUMPRODUCT(--ISERROR(FIND(MID(BA396,{1,2,3,4,5,10},1),"ABCDEFGHIJKLMNOPQRSTUVWXYZ")))=0,SUMPRODUCT(--ISERROR(FIND(MID(BA396,{6,7,8,9},1),"0123456789")))=0),"OK","Wrong format"))</f>
        <v/>
      </c>
      <c r="AX396" s="29">
        <f>IF(TRIM(H396)="","",IF(AND(LEN(UPPER(TRIM(H396)))=10,SUMPRODUCT(--ISERROR(FIND(MID(UPPER(TRIM(H396)),{1,2,3,4,10},1),"ABCDEFGHIJKLMNOPQRSTUVWXYZ")))=0,SUMPRODUCT(--ISERROR(FIND(MID(UPPER(TRIM(H396)),{5,6,7,8,9},1),"0123456789")))=0),"OK","Wrong format"))</f>
        <v/>
      </c>
      <c r="AY396" s="30">
        <f>IF(NOT(COUNTA(A396:AE396)&gt;0),"",IF(BE396&lt;&gt;"","✖ "&amp;LEFT(BE396,LEN(BE396)-2),IF(BD396&gt;0,"✔ Ready — client + "&amp;BD396&amp;" service(s)","✔ Ready — client only")))</f>
        <v/>
      </c>
      <c r="AZ396" s="31">
        <f>UPPER(SUBSTITUTE(TRIM(F396)," ",""))</f>
        <v/>
      </c>
      <c r="BA396" s="31">
        <f>UPPER(SUBSTITUTE(TRIM(E396)," ",""))</f>
        <v/>
      </c>
      <c r="BB396" s="31">
        <f>IF(D396&lt;&gt;"",D396,IFERROR(VLOOKUP(MID(AS396,4,1),Lists!$E$2:$F$8,2,FALSE),""))</f>
        <v/>
      </c>
      <c r="BC396" s="31">
        <f>IFERROR(VLOOKUP(BB396,Lists!$A$2:$C$12,3,FALSE),"")</f>
        <v/>
      </c>
      <c r="BD396" s="31">
        <f>COUNTIF(W396:AC396,"Yes")</f>
        <v/>
      </c>
      <c r="BE396" s="31">
        <f>IF(TRIM(B396)="","Legal name missing; ","")&amp;IF(AND(AV396&lt;&gt;"",AV396&lt;&gt;"OK"),"GSTIN: "&amp;AV396&amp;"; ","")&amp;IF(AND(AW396&lt;&gt;"",AW396&lt;&gt;"OK"),"PAN wrong format; ","")&amp;IF(AND(BA396&lt;&gt;"",LEN(AZ396)=15,MID(AZ396,3,10)&lt;&gt;BA396),"PAN does not match GSTIN; ","")&amp;IF(AND(AX396&lt;&gt;"",AX396&lt;&gt;"OK"),"TAN wrong format; ","")&amp;IF(AS396="","PAN missing; ","")&amp;IF(BB396="","Entity type missing; ","")&amp;IF(AND(AZ396&lt;&gt;"",COUNTIF($AZ$6:$AZ$1005,AZ396)&gt;1),"GSTIN repeated in this sheet; ","")&amp;IF(AND(AS396&lt;&gt;"",COUNTIF($AS$6:$AS$1005,AS396)&gt;1),"PAN repeated in this sheet (same client? put extra GSTINs in Other GSTINs); ","")&amp;IF(AND(BD396&gt;0,V396=""),"Financial year missing; ","")&amp;IF(AND(BD396=0,V396&lt;&gt;""),"Financial year given but no service is Yes; ","")&amp;IF(AND(W396="Yes",AZ396=""),"GST needs a GSTIN; ","")&amp;IF(AND(W396="Yes",X396=""),"GST return frequency missing; ","")&amp;IF(AND(Y396="Yes",TRIM(H396)=""),"TDS needs a TAN; ","")&amp;IF(AND(AA396="Yes",BC396&lt;&gt;"",BC396&lt;&gt;"company",BC396&lt;&gt;"llp"),"ROC is only for a company / LLP; ","")&amp;IF(AND(AA396="Yes",OR(BC396="company",BC396="llp"),TRIM(I396)=""),"ROC needs the CIN / LLPIN; ","")&amp;IF((TRIM(AF396)="")&lt;&gt;(TRIM(AG396)=""),"GST login needs both user ID and password; ","")&amp;IF((TRIM(AH396)="")&lt;&gt;(TRIM(AI396)=""),"Income-tax login needs both user ID and password; ","")&amp;IF((TRIM(AJ396)="")&lt;&gt;(TRIM(AK396)=""),"Income-tax login needs both user ID and password; ","")&amp;IF((TRIM(AL396)="")&lt;&gt;(TRIM(AM396)=""),"TRACES login needs both user ID and password; ","")&amp;IF((TRIM(AN396)="")&lt;&gt;(TRIM(AO396)=""),"MCA login needs both user ID and password; ","")&amp;IF((TRIM(AP396)="")&lt;&gt;(TRIM(AQ396)=""),"E-way bill login needs both user ID and password; ","")</f>
        <v/>
      </c>
    </row>
    <row r="397">
      <c r="A397" s="32" t="n"/>
      <c r="B397" s="33" t="n"/>
      <c r="C397" s="33" t="n"/>
      <c r="D397" s="33" t="n"/>
      <c r="E397" s="32" t="n"/>
      <c r="F397" s="32" t="n"/>
      <c r="G397" s="32" t="n"/>
      <c r="H397" s="32" t="n"/>
      <c r="I397" s="32" t="n"/>
      <c r="J397" s="34" t="n"/>
      <c r="K397" s="33" t="n"/>
      <c r="L397" s="32" t="n"/>
      <c r="M397" s="33" t="n"/>
      <c r="N397" s="33" t="n"/>
      <c r="O397" s="33" t="n"/>
      <c r="P397" s="32" t="n"/>
      <c r="Q397" s="33" t="n"/>
      <c r="R397" s="33" t="n"/>
      <c r="S397" s="33" t="n"/>
      <c r="T397" s="33" t="n"/>
      <c r="U397" s="32" t="n"/>
      <c r="V397" s="33" t="n"/>
      <c r="W397" s="33" t="n"/>
      <c r="X397" s="33" t="n"/>
      <c r="Y397" s="33" t="n"/>
      <c r="Z397" s="33" t="n"/>
      <c r="AA397" s="33" t="n"/>
      <c r="AB397" s="33" t="n"/>
      <c r="AC397" s="33" t="n"/>
      <c r="AD397" s="33" t="n"/>
      <c r="AE397" s="33" t="n"/>
      <c r="AF397" s="32" t="n"/>
      <c r="AG397" s="32" t="n"/>
      <c r="AH397" s="32" t="n"/>
      <c r="AI397" s="32" t="n"/>
      <c r="AJ397" s="32" t="n"/>
      <c r="AK397" s="32" t="n"/>
      <c r="AL397" s="32" t="n"/>
      <c r="AM397" s="32" t="n"/>
      <c r="AN397" s="32" t="n"/>
      <c r="AO397" s="32" t="n"/>
      <c r="AP397" s="32" t="n"/>
      <c r="AQ397" s="32" t="n"/>
      <c r="AR397" s="29">
        <f>IF(NOT(COUNTA(A397:AE397)&gt;0),"",IF(A397="","New client","Update"))</f>
        <v/>
      </c>
      <c r="AS397" s="29">
        <f>IF(BA397&lt;&gt;"",BA397,IF(LEN(AZ397)=15,MID(AZ397,3,10),""))</f>
        <v/>
      </c>
      <c r="AT397" s="29">
        <f>IF(BB397="","",BB397&amp;IF(D397="","  (guessed from PAN)",""))</f>
        <v/>
      </c>
      <c r="AU397" s="29">
        <f>IF(AZ397="","",IFERROR(INDEX(Lists!$L$2:$L$38,MATCH(LEFT(AZ397,2),Lists!$K$2:$K$38,0)),"Unknown code"))</f>
        <v/>
      </c>
      <c r="AV397" s="29">
        <f>IF(AZ397="","",IFERROR(IF(NOT(AND(LEN(AZ397)=15,ISNUMBER(MATCH(LEFT(AZ397,2),Lists!$K$2:$K$38,0)),SUMPRODUCT(--ISERROR(FIND(MID(MID(AZ397,3,10),{1,2,3,4,5,10},1),"ABCDEFGHIJKLMNOPQRSTUVWXYZ")))=0,SUMPRODUCT(--ISERROR(FIND(MID(MID(AZ397,3,10),{6,7,8,9},1),"0123456789")))=0,ISNUMBER(FIND(MID(AZ397,13,1),"123456789ABCDEFGHIJKLMNOPQRSTUVWXYZ")),MID(AZ397,14,1)="Z")),"Wrong format",IF(MID("0123456789ABCDEFGHIJKLMNOPQRSTUVWXYZ",MOD(36-MOD(SUMPRODUCT(INT((FIND(MID(AZ397,{1,2,3,4,5,6,7,8,9,10,11,12,13,14},1),"0123456789ABCDEFGHIJKLMNOPQRSTUVWXYZ")-1)*{1,2,1,2,1,2,1,2,1,2,1,2,1,2}/36)+MOD((FIND(MID(AZ397,{1,2,3,4,5,6,7,8,9,10,11,12,13,14},1),"0123456789ABCDEFGHIJKLMNOPQRSTUVWXYZ")-1)*{1,2,1,2,1,2,1,2,1,2,1,2,1,2},36)),36),36)+1,1)=MID(AZ397,15,1),"OK","Typo? check digit wrong")),"Wrong format"))</f>
        <v/>
      </c>
      <c r="AW397" s="29">
        <f>IF(BA397="","",IF(AND(LEN(BA397)=10,SUMPRODUCT(--ISERROR(FIND(MID(BA397,{1,2,3,4,5,10},1),"ABCDEFGHIJKLMNOPQRSTUVWXYZ")))=0,SUMPRODUCT(--ISERROR(FIND(MID(BA397,{6,7,8,9},1),"0123456789")))=0),"OK","Wrong format"))</f>
        <v/>
      </c>
      <c r="AX397" s="29">
        <f>IF(TRIM(H397)="","",IF(AND(LEN(UPPER(TRIM(H397)))=10,SUMPRODUCT(--ISERROR(FIND(MID(UPPER(TRIM(H397)),{1,2,3,4,10},1),"ABCDEFGHIJKLMNOPQRSTUVWXYZ")))=0,SUMPRODUCT(--ISERROR(FIND(MID(UPPER(TRIM(H397)),{5,6,7,8,9},1),"0123456789")))=0),"OK","Wrong format"))</f>
        <v/>
      </c>
      <c r="AY397" s="30">
        <f>IF(NOT(COUNTA(A397:AE397)&gt;0),"",IF(BE397&lt;&gt;"","✖ "&amp;LEFT(BE397,LEN(BE397)-2),IF(BD397&gt;0,"✔ Ready — client + "&amp;BD397&amp;" service(s)","✔ Ready — client only")))</f>
        <v/>
      </c>
      <c r="AZ397" s="31">
        <f>UPPER(SUBSTITUTE(TRIM(F397)," ",""))</f>
        <v/>
      </c>
      <c r="BA397" s="31">
        <f>UPPER(SUBSTITUTE(TRIM(E397)," ",""))</f>
        <v/>
      </c>
      <c r="BB397" s="31">
        <f>IF(D397&lt;&gt;"",D397,IFERROR(VLOOKUP(MID(AS397,4,1),Lists!$E$2:$F$8,2,FALSE),""))</f>
        <v/>
      </c>
      <c r="BC397" s="31">
        <f>IFERROR(VLOOKUP(BB397,Lists!$A$2:$C$12,3,FALSE),"")</f>
        <v/>
      </c>
      <c r="BD397" s="31">
        <f>COUNTIF(W397:AC397,"Yes")</f>
        <v/>
      </c>
      <c r="BE397" s="31">
        <f>IF(TRIM(B397)="","Legal name missing; ","")&amp;IF(AND(AV397&lt;&gt;"",AV397&lt;&gt;"OK"),"GSTIN: "&amp;AV397&amp;"; ","")&amp;IF(AND(AW397&lt;&gt;"",AW397&lt;&gt;"OK"),"PAN wrong format; ","")&amp;IF(AND(BA397&lt;&gt;"",LEN(AZ397)=15,MID(AZ397,3,10)&lt;&gt;BA397),"PAN does not match GSTIN; ","")&amp;IF(AND(AX397&lt;&gt;"",AX397&lt;&gt;"OK"),"TAN wrong format; ","")&amp;IF(AS397="","PAN missing; ","")&amp;IF(BB397="","Entity type missing; ","")&amp;IF(AND(AZ397&lt;&gt;"",COUNTIF($AZ$6:$AZ$1005,AZ397)&gt;1),"GSTIN repeated in this sheet; ","")&amp;IF(AND(AS397&lt;&gt;"",COUNTIF($AS$6:$AS$1005,AS397)&gt;1),"PAN repeated in this sheet (same client? put extra GSTINs in Other GSTINs); ","")&amp;IF(AND(BD397&gt;0,V397=""),"Financial year missing; ","")&amp;IF(AND(BD397=0,V397&lt;&gt;""),"Financial year given but no service is Yes; ","")&amp;IF(AND(W397="Yes",AZ397=""),"GST needs a GSTIN; ","")&amp;IF(AND(W397="Yes",X397=""),"GST return frequency missing; ","")&amp;IF(AND(Y397="Yes",TRIM(H397)=""),"TDS needs a TAN; ","")&amp;IF(AND(AA397="Yes",BC397&lt;&gt;"",BC397&lt;&gt;"company",BC397&lt;&gt;"llp"),"ROC is only for a company / LLP; ","")&amp;IF(AND(AA397="Yes",OR(BC397="company",BC397="llp"),TRIM(I397)=""),"ROC needs the CIN / LLPIN; ","")&amp;IF((TRIM(AF397)="")&lt;&gt;(TRIM(AG397)=""),"GST login needs both user ID and password; ","")&amp;IF((TRIM(AH397)="")&lt;&gt;(TRIM(AI397)=""),"Income-tax login needs both user ID and password; ","")&amp;IF((TRIM(AJ397)="")&lt;&gt;(TRIM(AK397)=""),"Income-tax login needs both user ID and password; ","")&amp;IF((TRIM(AL397)="")&lt;&gt;(TRIM(AM397)=""),"TRACES login needs both user ID and password; ","")&amp;IF((TRIM(AN397)="")&lt;&gt;(TRIM(AO397)=""),"MCA login needs both user ID and password; ","")&amp;IF((TRIM(AP397)="")&lt;&gt;(TRIM(AQ397)=""),"E-way bill login needs both user ID and password; ","")</f>
        <v/>
      </c>
    </row>
    <row r="398">
      <c r="A398" s="32" t="n"/>
      <c r="B398" s="33" t="n"/>
      <c r="C398" s="33" t="n"/>
      <c r="D398" s="33" t="n"/>
      <c r="E398" s="32" t="n"/>
      <c r="F398" s="32" t="n"/>
      <c r="G398" s="32" t="n"/>
      <c r="H398" s="32" t="n"/>
      <c r="I398" s="32" t="n"/>
      <c r="J398" s="34" t="n"/>
      <c r="K398" s="33" t="n"/>
      <c r="L398" s="32" t="n"/>
      <c r="M398" s="33" t="n"/>
      <c r="N398" s="33" t="n"/>
      <c r="O398" s="33" t="n"/>
      <c r="P398" s="32" t="n"/>
      <c r="Q398" s="33" t="n"/>
      <c r="R398" s="33" t="n"/>
      <c r="S398" s="33" t="n"/>
      <c r="T398" s="33" t="n"/>
      <c r="U398" s="32" t="n"/>
      <c r="V398" s="33" t="n"/>
      <c r="W398" s="33" t="n"/>
      <c r="X398" s="33" t="n"/>
      <c r="Y398" s="33" t="n"/>
      <c r="Z398" s="33" t="n"/>
      <c r="AA398" s="33" t="n"/>
      <c r="AB398" s="33" t="n"/>
      <c r="AC398" s="33" t="n"/>
      <c r="AD398" s="33" t="n"/>
      <c r="AE398" s="33" t="n"/>
      <c r="AF398" s="32" t="n"/>
      <c r="AG398" s="32" t="n"/>
      <c r="AH398" s="32" t="n"/>
      <c r="AI398" s="32" t="n"/>
      <c r="AJ398" s="32" t="n"/>
      <c r="AK398" s="32" t="n"/>
      <c r="AL398" s="32" t="n"/>
      <c r="AM398" s="32" t="n"/>
      <c r="AN398" s="32" t="n"/>
      <c r="AO398" s="32" t="n"/>
      <c r="AP398" s="32" t="n"/>
      <c r="AQ398" s="32" t="n"/>
      <c r="AR398" s="29">
        <f>IF(NOT(COUNTA(A398:AE398)&gt;0),"",IF(A398="","New client","Update"))</f>
        <v/>
      </c>
      <c r="AS398" s="29">
        <f>IF(BA398&lt;&gt;"",BA398,IF(LEN(AZ398)=15,MID(AZ398,3,10),""))</f>
        <v/>
      </c>
      <c r="AT398" s="29">
        <f>IF(BB398="","",BB398&amp;IF(D398="","  (guessed from PAN)",""))</f>
        <v/>
      </c>
      <c r="AU398" s="29">
        <f>IF(AZ398="","",IFERROR(INDEX(Lists!$L$2:$L$38,MATCH(LEFT(AZ398,2),Lists!$K$2:$K$38,0)),"Unknown code"))</f>
        <v/>
      </c>
      <c r="AV398" s="29">
        <f>IF(AZ398="","",IFERROR(IF(NOT(AND(LEN(AZ398)=15,ISNUMBER(MATCH(LEFT(AZ398,2),Lists!$K$2:$K$38,0)),SUMPRODUCT(--ISERROR(FIND(MID(MID(AZ398,3,10),{1,2,3,4,5,10},1),"ABCDEFGHIJKLMNOPQRSTUVWXYZ")))=0,SUMPRODUCT(--ISERROR(FIND(MID(MID(AZ398,3,10),{6,7,8,9},1),"0123456789")))=0,ISNUMBER(FIND(MID(AZ398,13,1),"123456789ABCDEFGHIJKLMNOPQRSTUVWXYZ")),MID(AZ398,14,1)="Z")),"Wrong format",IF(MID("0123456789ABCDEFGHIJKLMNOPQRSTUVWXYZ",MOD(36-MOD(SUMPRODUCT(INT((FIND(MID(AZ398,{1,2,3,4,5,6,7,8,9,10,11,12,13,14},1),"0123456789ABCDEFGHIJKLMNOPQRSTUVWXYZ")-1)*{1,2,1,2,1,2,1,2,1,2,1,2,1,2}/36)+MOD((FIND(MID(AZ398,{1,2,3,4,5,6,7,8,9,10,11,12,13,14},1),"0123456789ABCDEFGHIJKLMNOPQRSTUVWXYZ")-1)*{1,2,1,2,1,2,1,2,1,2,1,2,1,2},36)),36),36)+1,1)=MID(AZ398,15,1),"OK","Typo? check digit wrong")),"Wrong format"))</f>
        <v/>
      </c>
      <c r="AW398" s="29">
        <f>IF(BA398="","",IF(AND(LEN(BA398)=10,SUMPRODUCT(--ISERROR(FIND(MID(BA398,{1,2,3,4,5,10},1),"ABCDEFGHIJKLMNOPQRSTUVWXYZ")))=0,SUMPRODUCT(--ISERROR(FIND(MID(BA398,{6,7,8,9},1),"0123456789")))=0),"OK","Wrong format"))</f>
        <v/>
      </c>
      <c r="AX398" s="29">
        <f>IF(TRIM(H398)="","",IF(AND(LEN(UPPER(TRIM(H398)))=10,SUMPRODUCT(--ISERROR(FIND(MID(UPPER(TRIM(H398)),{1,2,3,4,10},1),"ABCDEFGHIJKLMNOPQRSTUVWXYZ")))=0,SUMPRODUCT(--ISERROR(FIND(MID(UPPER(TRIM(H398)),{5,6,7,8,9},1),"0123456789")))=0),"OK","Wrong format"))</f>
        <v/>
      </c>
      <c r="AY398" s="30">
        <f>IF(NOT(COUNTA(A398:AE398)&gt;0),"",IF(BE398&lt;&gt;"","✖ "&amp;LEFT(BE398,LEN(BE398)-2),IF(BD398&gt;0,"✔ Ready — client + "&amp;BD398&amp;" service(s)","✔ Ready — client only")))</f>
        <v/>
      </c>
      <c r="AZ398" s="31">
        <f>UPPER(SUBSTITUTE(TRIM(F398)," ",""))</f>
        <v/>
      </c>
      <c r="BA398" s="31">
        <f>UPPER(SUBSTITUTE(TRIM(E398)," ",""))</f>
        <v/>
      </c>
      <c r="BB398" s="31">
        <f>IF(D398&lt;&gt;"",D398,IFERROR(VLOOKUP(MID(AS398,4,1),Lists!$E$2:$F$8,2,FALSE),""))</f>
        <v/>
      </c>
      <c r="BC398" s="31">
        <f>IFERROR(VLOOKUP(BB398,Lists!$A$2:$C$12,3,FALSE),"")</f>
        <v/>
      </c>
      <c r="BD398" s="31">
        <f>COUNTIF(W398:AC398,"Yes")</f>
        <v/>
      </c>
      <c r="BE398" s="31">
        <f>IF(TRIM(B398)="","Legal name missing; ","")&amp;IF(AND(AV398&lt;&gt;"",AV398&lt;&gt;"OK"),"GSTIN: "&amp;AV398&amp;"; ","")&amp;IF(AND(AW398&lt;&gt;"",AW398&lt;&gt;"OK"),"PAN wrong format; ","")&amp;IF(AND(BA398&lt;&gt;"",LEN(AZ398)=15,MID(AZ398,3,10)&lt;&gt;BA398),"PAN does not match GSTIN; ","")&amp;IF(AND(AX398&lt;&gt;"",AX398&lt;&gt;"OK"),"TAN wrong format; ","")&amp;IF(AS398="","PAN missing; ","")&amp;IF(BB398="","Entity type missing; ","")&amp;IF(AND(AZ398&lt;&gt;"",COUNTIF($AZ$6:$AZ$1005,AZ398)&gt;1),"GSTIN repeated in this sheet; ","")&amp;IF(AND(AS398&lt;&gt;"",COUNTIF($AS$6:$AS$1005,AS398)&gt;1),"PAN repeated in this sheet (same client? put extra GSTINs in Other GSTINs); ","")&amp;IF(AND(BD398&gt;0,V398=""),"Financial year missing; ","")&amp;IF(AND(BD398=0,V398&lt;&gt;""),"Financial year given but no service is Yes; ","")&amp;IF(AND(W398="Yes",AZ398=""),"GST needs a GSTIN; ","")&amp;IF(AND(W398="Yes",X398=""),"GST return frequency missing; ","")&amp;IF(AND(Y398="Yes",TRIM(H398)=""),"TDS needs a TAN; ","")&amp;IF(AND(AA398="Yes",BC398&lt;&gt;"",BC398&lt;&gt;"company",BC398&lt;&gt;"llp"),"ROC is only for a company / LLP; ","")&amp;IF(AND(AA398="Yes",OR(BC398="company",BC398="llp"),TRIM(I398)=""),"ROC needs the CIN / LLPIN; ","")&amp;IF((TRIM(AF398)="")&lt;&gt;(TRIM(AG398)=""),"GST login needs both user ID and password; ","")&amp;IF((TRIM(AH398)="")&lt;&gt;(TRIM(AI398)=""),"Income-tax login needs both user ID and password; ","")&amp;IF((TRIM(AJ398)="")&lt;&gt;(TRIM(AK398)=""),"Income-tax login needs both user ID and password; ","")&amp;IF((TRIM(AL398)="")&lt;&gt;(TRIM(AM398)=""),"TRACES login needs both user ID and password; ","")&amp;IF((TRIM(AN398)="")&lt;&gt;(TRIM(AO398)=""),"MCA login needs both user ID and password; ","")&amp;IF((TRIM(AP398)="")&lt;&gt;(TRIM(AQ398)=""),"E-way bill login needs both user ID and password; ","")</f>
        <v/>
      </c>
    </row>
    <row r="399">
      <c r="A399" s="32" t="n"/>
      <c r="B399" s="33" t="n"/>
      <c r="C399" s="33" t="n"/>
      <c r="D399" s="33" t="n"/>
      <c r="E399" s="32" t="n"/>
      <c r="F399" s="32" t="n"/>
      <c r="G399" s="32" t="n"/>
      <c r="H399" s="32" t="n"/>
      <c r="I399" s="32" t="n"/>
      <c r="J399" s="34" t="n"/>
      <c r="K399" s="33" t="n"/>
      <c r="L399" s="32" t="n"/>
      <c r="M399" s="33" t="n"/>
      <c r="N399" s="33" t="n"/>
      <c r="O399" s="33" t="n"/>
      <c r="P399" s="32" t="n"/>
      <c r="Q399" s="33" t="n"/>
      <c r="R399" s="33" t="n"/>
      <c r="S399" s="33" t="n"/>
      <c r="T399" s="33" t="n"/>
      <c r="U399" s="32" t="n"/>
      <c r="V399" s="33" t="n"/>
      <c r="W399" s="33" t="n"/>
      <c r="X399" s="33" t="n"/>
      <c r="Y399" s="33" t="n"/>
      <c r="Z399" s="33" t="n"/>
      <c r="AA399" s="33" t="n"/>
      <c r="AB399" s="33" t="n"/>
      <c r="AC399" s="33" t="n"/>
      <c r="AD399" s="33" t="n"/>
      <c r="AE399" s="33" t="n"/>
      <c r="AF399" s="32" t="n"/>
      <c r="AG399" s="32" t="n"/>
      <c r="AH399" s="32" t="n"/>
      <c r="AI399" s="32" t="n"/>
      <c r="AJ399" s="32" t="n"/>
      <c r="AK399" s="32" t="n"/>
      <c r="AL399" s="32" t="n"/>
      <c r="AM399" s="32" t="n"/>
      <c r="AN399" s="32" t="n"/>
      <c r="AO399" s="32" t="n"/>
      <c r="AP399" s="32" t="n"/>
      <c r="AQ399" s="32" t="n"/>
      <c r="AR399" s="29">
        <f>IF(NOT(COUNTA(A399:AE399)&gt;0),"",IF(A399="","New client","Update"))</f>
        <v/>
      </c>
      <c r="AS399" s="29">
        <f>IF(BA399&lt;&gt;"",BA399,IF(LEN(AZ399)=15,MID(AZ399,3,10),""))</f>
        <v/>
      </c>
      <c r="AT399" s="29">
        <f>IF(BB399="","",BB399&amp;IF(D399="","  (guessed from PAN)",""))</f>
        <v/>
      </c>
      <c r="AU399" s="29">
        <f>IF(AZ399="","",IFERROR(INDEX(Lists!$L$2:$L$38,MATCH(LEFT(AZ399,2),Lists!$K$2:$K$38,0)),"Unknown code"))</f>
        <v/>
      </c>
      <c r="AV399" s="29">
        <f>IF(AZ399="","",IFERROR(IF(NOT(AND(LEN(AZ399)=15,ISNUMBER(MATCH(LEFT(AZ399,2),Lists!$K$2:$K$38,0)),SUMPRODUCT(--ISERROR(FIND(MID(MID(AZ399,3,10),{1,2,3,4,5,10},1),"ABCDEFGHIJKLMNOPQRSTUVWXYZ")))=0,SUMPRODUCT(--ISERROR(FIND(MID(MID(AZ399,3,10),{6,7,8,9},1),"0123456789")))=0,ISNUMBER(FIND(MID(AZ399,13,1),"123456789ABCDEFGHIJKLMNOPQRSTUVWXYZ")),MID(AZ399,14,1)="Z")),"Wrong format",IF(MID("0123456789ABCDEFGHIJKLMNOPQRSTUVWXYZ",MOD(36-MOD(SUMPRODUCT(INT((FIND(MID(AZ399,{1,2,3,4,5,6,7,8,9,10,11,12,13,14},1),"0123456789ABCDEFGHIJKLMNOPQRSTUVWXYZ")-1)*{1,2,1,2,1,2,1,2,1,2,1,2,1,2}/36)+MOD((FIND(MID(AZ399,{1,2,3,4,5,6,7,8,9,10,11,12,13,14},1),"0123456789ABCDEFGHIJKLMNOPQRSTUVWXYZ")-1)*{1,2,1,2,1,2,1,2,1,2,1,2,1,2},36)),36),36)+1,1)=MID(AZ399,15,1),"OK","Typo? check digit wrong")),"Wrong format"))</f>
        <v/>
      </c>
      <c r="AW399" s="29">
        <f>IF(BA399="","",IF(AND(LEN(BA399)=10,SUMPRODUCT(--ISERROR(FIND(MID(BA399,{1,2,3,4,5,10},1),"ABCDEFGHIJKLMNOPQRSTUVWXYZ")))=0,SUMPRODUCT(--ISERROR(FIND(MID(BA399,{6,7,8,9},1),"0123456789")))=0),"OK","Wrong format"))</f>
        <v/>
      </c>
      <c r="AX399" s="29">
        <f>IF(TRIM(H399)="","",IF(AND(LEN(UPPER(TRIM(H399)))=10,SUMPRODUCT(--ISERROR(FIND(MID(UPPER(TRIM(H399)),{1,2,3,4,10},1),"ABCDEFGHIJKLMNOPQRSTUVWXYZ")))=0,SUMPRODUCT(--ISERROR(FIND(MID(UPPER(TRIM(H399)),{5,6,7,8,9},1),"0123456789")))=0),"OK","Wrong format"))</f>
        <v/>
      </c>
      <c r="AY399" s="30">
        <f>IF(NOT(COUNTA(A399:AE399)&gt;0),"",IF(BE399&lt;&gt;"","✖ "&amp;LEFT(BE399,LEN(BE399)-2),IF(BD399&gt;0,"✔ Ready — client + "&amp;BD399&amp;" service(s)","✔ Ready — client only")))</f>
        <v/>
      </c>
      <c r="AZ399" s="31">
        <f>UPPER(SUBSTITUTE(TRIM(F399)," ",""))</f>
        <v/>
      </c>
      <c r="BA399" s="31">
        <f>UPPER(SUBSTITUTE(TRIM(E399)," ",""))</f>
        <v/>
      </c>
      <c r="BB399" s="31">
        <f>IF(D399&lt;&gt;"",D399,IFERROR(VLOOKUP(MID(AS399,4,1),Lists!$E$2:$F$8,2,FALSE),""))</f>
        <v/>
      </c>
      <c r="BC399" s="31">
        <f>IFERROR(VLOOKUP(BB399,Lists!$A$2:$C$12,3,FALSE),"")</f>
        <v/>
      </c>
      <c r="BD399" s="31">
        <f>COUNTIF(W399:AC399,"Yes")</f>
        <v/>
      </c>
      <c r="BE399" s="31">
        <f>IF(TRIM(B399)="","Legal name missing; ","")&amp;IF(AND(AV399&lt;&gt;"",AV399&lt;&gt;"OK"),"GSTIN: "&amp;AV399&amp;"; ","")&amp;IF(AND(AW399&lt;&gt;"",AW399&lt;&gt;"OK"),"PAN wrong format; ","")&amp;IF(AND(BA399&lt;&gt;"",LEN(AZ399)=15,MID(AZ399,3,10)&lt;&gt;BA399),"PAN does not match GSTIN; ","")&amp;IF(AND(AX399&lt;&gt;"",AX399&lt;&gt;"OK"),"TAN wrong format; ","")&amp;IF(AS399="","PAN missing; ","")&amp;IF(BB399="","Entity type missing; ","")&amp;IF(AND(AZ399&lt;&gt;"",COUNTIF($AZ$6:$AZ$1005,AZ399)&gt;1),"GSTIN repeated in this sheet; ","")&amp;IF(AND(AS399&lt;&gt;"",COUNTIF($AS$6:$AS$1005,AS399)&gt;1),"PAN repeated in this sheet (same client? put extra GSTINs in Other GSTINs); ","")&amp;IF(AND(BD399&gt;0,V399=""),"Financial year missing; ","")&amp;IF(AND(BD399=0,V399&lt;&gt;""),"Financial year given but no service is Yes; ","")&amp;IF(AND(W399="Yes",AZ399=""),"GST needs a GSTIN; ","")&amp;IF(AND(W399="Yes",X399=""),"GST return frequency missing; ","")&amp;IF(AND(Y399="Yes",TRIM(H399)=""),"TDS needs a TAN; ","")&amp;IF(AND(AA399="Yes",BC399&lt;&gt;"",BC399&lt;&gt;"company",BC399&lt;&gt;"llp"),"ROC is only for a company / LLP; ","")&amp;IF(AND(AA399="Yes",OR(BC399="company",BC399="llp"),TRIM(I399)=""),"ROC needs the CIN / LLPIN; ","")&amp;IF((TRIM(AF399)="")&lt;&gt;(TRIM(AG399)=""),"GST login needs both user ID and password; ","")&amp;IF((TRIM(AH399)="")&lt;&gt;(TRIM(AI399)=""),"Income-tax login needs both user ID and password; ","")&amp;IF((TRIM(AJ399)="")&lt;&gt;(TRIM(AK399)=""),"Income-tax login needs both user ID and password; ","")&amp;IF((TRIM(AL399)="")&lt;&gt;(TRIM(AM399)=""),"TRACES login needs both user ID and password; ","")&amp;IF((TRIM(AN399)="")&lt;&gt;(TRIM(AO399)=""),"MCA login needs both user ID and password; ","")&amp;IF((TRIM(AP399)="")&lt;&gt;(TRIM(AQ399)=""),"E-way bill login needs both user ID and password; ","")</f>
        <v/>
      </c>
    </row>
    <row r="400">
      <c r="A400" s="32" t="n"/>
      <c r="B400" s="33" t="n"/>
      <c r="C400" s="33" t="n"/>
      <c r="D400" s="33" t="n"/>
      <c r="E400" s="32" t="n"/>
      <c r="F400" s="32" t="n"/>
      <c r="G400" s="32" t="n"/>
      <c r="H400" s="32" t="n"/>
      <c r="I400" s="32" t="n"/>
      <c r="J400" s="34" t="n"/>
      <c r="K400" s="33" t="n"/>
      <c r="L400" s="32" t="n"/>
      <c r="M400" s="33" t="n"/>
      <c r="N400" s="33" t="n"/>
      <c r="O400" s="33" t="n"/>
      <c r="P400" s="32" t="n"/>
      <c r="Q400" s="33" t="n"/>
      <c r="R400" s="33" t="n"/>
      <c r="S400" s="33" t="n"/>
      <c r="T400" s="33" t="n"/>
      <c r="U400" s="32" t="n"/>
      <c r="V400" s="33" t="n"/>
      <c r="W400" s="33" t="n"/>
      <c r="X400" s="33" t="n"/>
      <c r="Y400" s="33" t="n"/>
      <c r="Z400" s="33" t="n"/>
      <c r="AA400" s="33" t="n"/>
      <c r="AB400" s="33" t="n"/>
      <c r="AC400" s="33" t="n"/>
      <c r="AD400" s="33" t="n"/>
      <c r="AE400" s="33" t="n"/>
      <c r="AF400" s="32" t="n"/>
      <c r="AG400" s="32" t="n"/>
      <c r="AH400" s="32" t="n"/>
      <c r="AI400" s="32" t="n"/>
      <c r="AJ400" s="32" t="n"/>
      <c r="AK400" s="32" t="n"/>
      <c r="AL400" s="32" t="n"/>
      <c r="AM400" s="32" t="n"/>
      <c r="AN400" s="32" t="n"/>
      <c r="AO400" s="32" t="n"/>
      <c r="AP400" s="32" t="n"/>
      <c r="AQ400" s="32" t="n"/>
      <c r="AR400" s="29">
        <f>IF(NOT(COUNTA(A400:AE400)&gt;0),"",IF(A400="","New client","Update"))</f>
        <v/>
      </c>
      <c r="AS400" s="29">
        <f>IF(BA400&lt;&gt;"",BA400,IF(LEN(AZ400)=15,MID(AZ400,3,10),""))</f>
        <v/>
      </c>
      <c r="AT400" s="29">
        <f>IF(BB400="","",BB400&amp;IF(D400="","  (guessed from PAN)",""))</f>
        <v/>
      </c>
      <c r="AU400" s="29">
        <f>IF(AZ400="","",IFERROR(INDEX(Lists!$L$2:$L$38,MATCH(LEFT(AZ400,2),Lists!$K$2:$K$38,0)),"Unknown code"))</f>
        <v/>
      </c>
      <c r="AV400" s="29">
        <f>IF(AZ400="","",IFERROR(IF(NOT(AND(LEN(AZ400)=15,ISNUMBER(MATCH(LEFT(AZ400,2),Lists!$K$2:$K$38,0)),SUMPRODUCT(--ISERROR(FIND(MID(MID(AZ400,3,10),{1,2,3,4,5,10},1),"ABCDEFGHIJKLMNOPQRSTUVWXYZ")))=0,SUMPRODUCT(--ISERROR(FIND(MID(MID(AZ400,3,10),{6,7,8,9},1),"0123456789")))=0,ISNUMBER(FIND(MID(AZ400,13,1),"123456789ABCDEFGHIJKLMNOPQRSTUVWXYZ")),MID(AZ400,14,1)="Z")),"Wrong format",IF(MID("0123456789ABCDEFGHIJKLMNOPQRSTUVWXYZ",MOD(36-MOD(SUMPRODUCT(INT((FIND(MID(AZ400,{1,2,3,4,5,6,7,8,9,10,11,12,13,14},1),"0123456789ABCDEFGHIJKLMNOPQRSTUVWXYZ")-1)*{1,2,1,2,1,2,1,2,1,2,1,2,1,2}/36)+MOD((FIND(MID(AZ400,{1,2,3,4,5,6,7,8,9,10,11,12,13,14},1),"0123456789ABCDEFGHIJKLMNOPQRSTUVWXYZ")-1)*{1,2,1,2,1,2,1,2,1,2,1,2,1,2},36)),36),36)+1,1)=MID(AZ400,15,1),"OK","Typo? check digit wrong")),"Wrong format"))</f>
        <v/>
      </c>
      <c r="AW400" s="29">
        <f>IF(BA400="","",IF(AND(LEN(BA400)=10,SUMPRODUCT(--ISERROR(FIND(MID(BA400,{1,2,3,4,5,10},1),"ABCDEFGHIJKLMNOPQRSTUVWXYZ")))=0,SUMPRODUCT(--ISERROR(FIND(MID(BA400,{6,7,8,9},1),"0123456789")))=0),"OK","Wrong format"))</f>
        <v/>
      </c>
      <c r="AX400" s="29">
        <f>IF(TRIM(H400)="","",IF(AND(LEN(UPPER(TRIM(H400)))=10,SUMPRODUCT(--ISERROR(FIND(MID(UPPER(TRIM(H400)),{1,2,3,4,10},1),"ABCDEFGHIJKLMNOPQRSTUVWXYZ")))=0,SUMPRODUCT(--ISERROR(FIND(MID(UPPER(TRIM(H400)),{5,6,7,8,9},1),"0123456789")))=0),"OK","Wrong format"))</f>
        <v/>
      </c>
      <c r="AY400" s="30">
        <f>IF(NOT(COUNTA(A400:AE400)&gt;0),"",IF(BE400&lt;&gt;"","✖ "&amp;LEFT(BE400,LEN(BE400)-2),IF(BD400&gt;0,"✔ Ready — client + "&amp;BD400&amp;" service(s)","✔ Ready — client only")))</f>
        <v/>
      </c>
      <c r="AZ400" s="31">
        <f>UPPER(SUBSTITUTE(TRIM(F400)," ",""))</f>
        <v/>
      </c>
      <c r="BA400" s="31">
        <f>UPPER(SUBSTITUTE(TRIM(E400)," ",""))</f>
        <v/>
      </c>
      <c r="BB400" s="31">
        <f>IF(D400&lt;&gt;"",D400,IFERROR(VLOOKUP(MID(AS400,4,1),Lists!$E$2:$F$8,2,FALSE),""))</f>
        <v/>
      </c>
      <c r="BC400" s="31">
        <f>IFERROR(VLOOKUP(BB400,Lists!$A$2:$C$12,3,FALSE),"")</f>
        <v/>
      </c>
      <c r="BD400" s="31">
        <f>COUNTIF(W400:AC400,"Yes")</f>
        <v/>
      </c>
      <c r="BE400" s="31">
        <f>IF(TRIM(B400)="","Legal name missing; ","")&amp;IF(AND(AV400&lt;&gt;"",AV400&lt;&gt;"OK"),"GSTIN: "&amp;AV400&amp;"; ","")&amp;IF(AND(AW400&lt;&gt;"",AW400&lt;&gt;"OK"),"PAN wrong format; ","")&amp;IF(AND(BA400&lt;&gt;"",LEN(AZ400)=15,MID(AZ400,3,10)&lt;&gt;BA400),"PAN does not match GSTIN; ","")&amp;IF(AND(AX400&lt;&gt;"",AX400&lt;&gt;"OK"),"TAN wrong format; ","")&amp;IF(AS400="","PAN missing; ","")&amp;IF(BB400="","Entity type missing; ","")&amp;IF(AND(AZ400&lt;&gt;"",COUNTIF($AZ$6:$AZ$1005,AZ400)&gt;1),"GSTIN repeated in this sheet; ","")&amp;IF(AND(AS400&lt;&gt;"",COUNTIF($AS$6:$AS$1005,AS400)&gt;1),"PAN repeated in this sheet (same client? put extra GSTINs in Other GSTINs); ","")&amp;IF(AND(BD400&gt;0,V400=""),"Financial year missing; ","")&amp;IF(AND(BD400=0,V400&lt;&gt;""),"Financial year given but no service is Yes; ","")&amp;IF(AND(W400="Yes",AZ400=""),"GST needs a GSTIN; ","")&amp;IF(AND(W400="Yes",X400=""),"GST return frequency missing; ","")&amp;IF(AND(Y400="Yes",TRIM(H400)=""),"TDS needs a TAN; ","")&amp;IF(AND(AA400="Yes",BC400&lt;&gt;"",BC400&lt;&gt;"company",BC400&lt;&gt;"llp"),"ROC is only for a company / LLP; ","")&amp;IF(AND(AA400="Yes",OR(BC400="company",BC400="llp"),TRIM(I400)=""),"ROC needs the CIN / LLPIN; ","")&amp;IF((TRIM(AF400)="")&lt;&gt;(TRIM(AG400)=""),"GST login needs both user ID and password; ","")&amp;IF((TRIM(AH400)="")&lt;&gt;(TRIM(AI400)=""),"Income-tax login needs both user ID and password; ","")&amp;IF((TRIM(AJ400)="")&lt;&gt;(TRIM(AK400)=""),"Income-tax login needs both user ID and password; ","")&amp;IF((TRIM(AL400)="")&lt;&gt;(TRIM(AM400)=""),"TRACES login needs both user ID and password; ","")&amp;IF((TRIM(AN400)="")&lt;&gt;(TRIM(AO400)=""),"MCA login needs both user ID and password; ","")&amp;IF((TRIM(AP400)="")&lt;&gt;(TRIM(AQ400)=""),"E-way bill login needs both user ID and password; ","")</f>
        <v/>
      </c>
    </row>
    <row r="401">
      <c r="A401" s="32" t="n"/>
      <c r="B401" s="33" t="n"/>
      <c r="C401" s="33" t="n"/>
      <c r="D401" s="33" t="n"/>
      <c r="E401" s="32" t="n"/>
      <c r="F401" s="32" t="n"/>
      <c r="G401" s="32" t="n"/>
      <c r="H401" s="32" t="n"/>
      <c r="I401" s="32" t="n"/>
      <c r="J401" s="34" t="n"/>
      <c r="K401" s="33" t="n"/>
      <c r="L401" s="32" t="n"/>
      <c r="M401" s="33" t="n"/>
      <c r="N401" s="33" t="n"/>
      <c r="O401" s="33" t="n"/>
      <c r="P401" s="32" t="n"/>
      <c r="Q401" s="33" t="n"/>
      <c r="R401" s="33" t="n"/>
      <c r="S401" s="33" t="n"/>
      <c r="T401" s="33" t="n"/>
      <c r="U401" s="32" t="n"/>
      <c r="V401" s="33" t="n"/>
      <c r="W401" s="33" t="n"/>
      <c r="X401" s="33" t="n"/>
      <c r="Y401" s="33" t="n"/>
      <c r="Z401" s="33" t="n"/>
      <c r="AA401" s="33" t="n"/>
      <c r="AB401" s="33" t="n"/>
      <c r="AC401" s="33" t="n"/>
      <c r="AD401" s="33" t="n"/>
      <c r="AE401" s="33" t="n"/>
      <c r="AF401" s="32" t="n"/>
      <c r="AG401" s="32" t="n"/>
      <c r="AH401" s="32" t="n"/>
      <c r="AI401" s="32" t="n"/>
      <c r="AJ401" s="32" t="n"/>
      <c r="AK401" s="32" t="n"/>
      <c r="AL401" s="32" t="n"/>
      <c r="AM401" s="32" t="n"/>
      <c r="AN401" s="32" t="n"/>
      <c r="AO401" s="32" t="n"/>
      <c r="AP401" s="32" t="n"/>
      <c r="AQ401" s="32" t="n"/>
      <c r="AR401" s="29">
        <f>IF(NOT(COUNTA(A401:AE401)&gt;0),"",IF(A401="","New client","Update"))</f>
        <v/>
      </c>
      <c r="AS401" s="29">
        <f>IF(BA401&lt;&gt;"",BA401,IF(LEN(AZ401)=15,MID(AZ401,3,10),""))</f>
        <v/>
      </c>
      <c r="AT401" s="29">
        <f>IF(BB401="","",BB401&amp;IF(D401="","  (guessed from PAN)",""))</f>
        <v/>
      </c>
      <c r="AU401" s="29">
        <f>IF(AZ401="","",IFERROR(INDEX(Lists!$L$2:$L$38,MATCH(LEFT(AZ401,2),Lists!$K$2:$K$38,0)),"Unknown code"))</f>
        <v/>
      </c>
      <c r="AV401" s="29">
        <f>IF(AZ401="","",IFERROR(IF(NOT(AND(LEN(AZ401)=15,ISNUMBER(MATCH(LEFT(AZ401,2),Lists!$K$2:$K$38,0)),SUMPRODUCT(--ISERROR(FIND(MID(MID(AZ401,3,10),{1,2,3,4,5,10},1),"ABCDEFGHIJKLMNOPQRSTUVWXYZ")))=0,SUMPRODUCT(--ISERROR(FIND(MID(MID(AZ401,3,10),{6,7,8,9},1),"0123456789")))=0,ISNUMBER(FIND(MID(AZ401,13,1),"123456789ABCDEFGHIJKLMNOPQRSTUVWXYZ")),MID(AZ401,14,1)="Z")),"Wrong format",IF(MID("0123456789ABCDEFGHIJKLMNOPQRSTUVWXYZ",MOD(36-MOD(SUMPRODUCT(INT((FIND(MID(AZ401,{1,2,3,4,5,6,7,8,9,10,11,12,13,14},1),"0123456789ABCDEFGHIJKLMNOPQRSTUVWXYZ")-1)*{1,2,1,2,1,2,1,2,1,2,1,2,1,2}/36)+MOD((FIND(MID(AZ401,{1,2,3,4,5,6,7,8,9,10,11,12,13,14},1),"0123456789ABCDEFGHIJKLMNOPQRSTUVWXYZ")-1)*{1,2,1,2,1,2,1,2,1,2,1,2,1,2},36)),36),36)+1,1)=MID(AZ401,15,1),"OK","Typo? check digit wrong")),"Wrong format"))</f>
        <v/>
      </c>
      <c r="AW401" s="29">
        <f>IF(BA401="","",IF(AND(LEN(BA401)=10,SUMPRODUCT(--ISERROR(FIND(MID(BA401,{1,2,3,4,5,10},1),"ABCDEFGHIJKLMNOPQRSTUVWXYZ")))=0,SUMPRODUCT(--ISERROR(FIND(MID(BA401,{6,7,8,9},1),"0123456789")))=0),"OK","Wrong format"))</f>
        <v/>
      </c>
      <c r="AX401" s="29">
        <f>IF(TRIM(H401)="","",IF(AND(LEN(UPPER(TRIM(H401)))=10,SUMPRODUCT(--ISERROR(FIND(MID(UPPER(TRIM(H401)),{1,2,3,4,10},1),"ABCDEFGHIJKLMNOPQRSTUVWXYZ")))=0,SUMPRODUCT(--ISERROR(FIND(MID(UPPER(TRIM(H401)),{5,6,7,8,9},1),"0123456789")))=0),"OK","Wrong format"))</f>
        <v/>
      </c>
      <c r="AY401" s="30">
        <f>IF(NOT(COUNTA(A401:AE401)&gt;0),"",IF(BE401&lt;&gt;"","✖ "&amp;LEFT(BE401,LEN(BE401)-2),IF(BD401&gt;0,"✔ Ready — client + "&amp;BD401&amp;" service(s)","✔ Ready — client only")))</f>
        <v/>
      </c>
      <c r="AZ401" s="31">
        <f>UPPER(SUBSTITUTE(TRIM(F401)," ",""))</f>
        <v/>
      </c>
      <c r="BA401" s="31">
        <f>UPPER(SUBSTITUTE(TRIM(E401)," ",""))</f>
        <v/>
      </c>
      <c r="BB401" s="31">
        <f>IF(D401&lt;&gt;"",D401,IFERROR(VLOOKUP(MID(AS401,4,1),Lists!$E$2:$F$8,2,FALSE),""))</f>
        <v/>
      </c>
      <c r="BC401" s="31">
        <f>IFERROR(VLOOKUP(BB401,Lists!$A$2:$C$12,3,FALSE),"")</f>
        <v/>
      </c>
      <c r="BD401" s="31">
        <f>COUNTIF(W401:AC401,"Yes")</f>
        <v/>
      </c>
      <c r="BE401" s="31">
        <f>IF(TRIM(B401)="","Legal name missing; ","")&amp;IF(AND(AV401&lt;&gt;"",AV401&lt;&gt;"OK"),"GSTIN: "&amp;AV401&amp;"; ","")&amp;IF(AND(AW401&lt;&gt;"",AW401&lt;&gt;"OK"),"PAN wrong format; ","")&amp;IF(AND(BA401&lt;&gt;"",LEN(AZ401)=15,MID(AZ401,3,10)&lt;&gt;BA401),"PAN does not match GSTIN; ","")&amp;IF(AND(AX401&lt;&gt;"",AX401&lt;&gt;"OK"),"TAN wrong format; ","")&amp;IF(AS401="","PAN missing; ","")&amp;IF(BB401="","Entity type missing; ","")&amp;IF(AND(AZ401&lt;&gt;"",COUNTIF($AZ$6:$AZ$1005,AZ401)&gt;1),"GSTIN repeated in this sheet; ","")&amp;IF(AND(AS401&lt;&gt;"",COUNTIF($AS$6:$AS$1005,AS401)&gt;1),"PAN repeated in this sheet (same client? put extra GSTINs in Other GSTINs); ","")&amp;IF(AND(BD401&gt;0,V401=""),"Financial year missing; ","")&amp;IF(AND(BD401=0,V401&lt;&gt;""),"Financial year given but no service is Yes; ","")&amp;IF(AND(W401="Yes",AZ401=""),"GST needs a GSTIN; ","")&amp;IF(AND(W401="Yes",X401=""),"GST return frequency missing; ","")&amp;IF(AND(Y401="Yes",TRIM(H401)=""),"TDS needs a TAN; ","")&amp;IF(AND(AA401="Yes",BC401&lt;&gt;"",BC401&lt;&gt;"company",BC401&lt;&gt;"llp"),"ROC is only for a company / LLP; ","")&amp;IF(AND(AA401="Yes",OR(BC401="company",BC401="llp"),TRIM(I401)=""),"ROC needs the CIN / LLPIN; ","")&amp;IF((TRIM(AF401)="")&lt;&gt;(TRIM(AG401)=""),"GST login needs both user ID and password; ","")&amp;IF((TRIM(AH401)="")&lt;&gt;(TRIM(AI401)=""),"Income-tax login needs both user ID and password; ","")&amp;IF((TRIM(AJ401)="")&lt;&gt;(TRIM(AK401)=""),"Income-tax login needs both user ID and password; ","")&amp;IF((TRIM(AL401)="")&lt;&gt;(TRIM(AM401)=""),"TRACES login needs both user ID and password; ","")&amp;IF((TRIM(AN401)="")&lt;&gt;(TRIM(AO401)=""),"MCA login needs both user ID and password; ","")&amp;IF((TRIM(AP401)="")&lt;&gt;(TRIM(AQ401)=""),"E-way bill login needs both user ID and password; ","")</f>
        <v/>
      </c>
    </row>
    <row r="402">
      <c r="A402" s="32" t="n"/>
      <c r="B402" s="33" t="n"/>
      <c r="C402" s="33" t="n"/>
      <c r="D402" s="33" t="n"/>
      <c r="E402" s="32" t="n"/>
      <c r="F402" s="32" t="n"/>
      <c r="G402" s="32" t="n"/>
      <c r="H402" s="32" t="n"/>
      <c r="I402" s="32" t="n"/>
      <c r="J402" s="34" t="n"/>
      <c r="K402" s="33" t="n"/>
      <c r="L402" s="32" t="n"/>
      <c r="M402" s="33" t="n"/>
      <c r="N402" s="33" t="n"/>
      <c r="O402" s="33" t="n"/>
      <c r="P402" s="32" t="n"/>
      <c r="Q402" s="33" t="n"/>
      <c r="R402" s="33" t="n"/>
      <c r="S402" s="33" t="n"/>
      <c r="T402" s="33" t="n"/>
      <c r="U402" s="32" t="n"/>
      <c r="V402" s="33" t="n"/>
      <c r="W402" s="33" t="n"/>
      <c r="X402" s="33" t="n"/>
      <c r="Y402" s="33" t="n"/>
      <c r="Z402" s="33" t="n"/>
      <c r="AA402" s="33" t="n"/>
      <c r="AB402" s="33" t="n"/>
      <c r="AC402" s="33" t="n"/>
      <c r="AD402" s="33" t="n"/>
      <c r="AE402" s="33" t="n"/>
      <c r="AF402" s="32" t="n"/>
      <c r="AG402" s="32" t="n"/>
      <c r="AH402" s="32" t="n"/>
      <c r="AI402" s="32" t="n"/>
      <c r="AJ402" s="32" t="n"/>
      <c r="AK402" s="32" t="n"/>
      <c r="AL402" s="32" t="n"/>
      <c r="AM402" s="32" t="n"/>
      <c r="AN402" s="32" t="n"/>
      <c r="AO402" s="32" t="n"/>
      <c r="AP402" s="32" t="n"/>
      <c r="AQ402" s="32" t="n"/>
      <c r="AR402" s="29">
        <f>IF(NOT(COUNTA(A402:AE402)&gt;0),"",IF(A402="","New client","Update"))</f>
        <v/>
      </c>
      <c r="AS402" s="29">
        <f>IF(BA402&lt;&gt;"",BA402,IF(LEN(AZ402)=15,MID(AZ402,3,10),""))</f>
        <v/>
      </c>
      <c r="AT402" s="29">
        <f>IF(BB402="","",BB402&amp;IF(D402="","  (guessed from PAN)",""))</f>
        <v/>
      </c>
      <c r="AU402" s="29">
        <f>IF(AZ402="","",IFERROR(INDEX(Lists!$L$2:$L$38,MATCH(LEFT(AZ402,2),Lists!$K$2:$K$38,0)),"Unknown code"))</f>
        <v/>
      </c>
      <c r="AV402" s="29">
        <f>IF(AZ402="","",IFERROR(IF(NOT(AND(LEN(AZ402)=15,ISNUMBER(MATCH(LEFT(AZ402,2),Lists!$K$2:$K$38,0)),SUMPRODUCT(--ISERROR(FIND(MID(MID(AZ402,3,10),{1,2,3,4,5,10},1),"ABCDEFGHIJKLMNOPQRSTUVWXYZ")))=0,SUMPRODUCT(--ISERROR(FIND(MID(MID(AZ402,3,10),{6,7,8,9},1),"0123456789")))=0,ISNUMBER(FIND(MID(AZ402,13,1),"123456789ABCDEFGHIJKLMNOPQRSTUVWXYZ")),MID(AZ402,14,1)="Z")),"Wrong format",IF(MID("0123456789ABCDEFGHIJKLMNOPQRSTUVWXYZ",MOD(36-MOD(SUMPRODUCT(INT((FIND(MID(AZ402,{1,2,3,4,5,6,7,8,9,10,11,12,13,14},1),"0123456789ABCDEFGHIJKLMNOPQRSTUVWXYZ")-1)*{1,2,1,2,1,2,1,2,1,2,1,2,1,2}/36)+MOD((FIND(MID(AZ402,{1,2,3,4,5,6,7,8,9,10,11,12,13,14},1),"0123456789ABCDEFGHIJKLMNOPQRSTUVWXYZ")-1)*{1,2,1,2,1,2,1,2,1,2,1,2,1,2},36)),36),36)+1,1)=MID(AZ402,15,1),"OK","Typo? check digit wrong")),"Wrong format"))</f>
        <v/>
      </c>
      <c r="AW402" s="29">
        <f>IF(BA402="","",IF(AND(LEN(BA402)=10,SUMPRODUCT(--ISERROR(FIND(MID(BA402,{1,2,3,4,5,10},1),"ABCDEFGHIJKLMNOPQRSTUVWXYZ")))=0,SUMPRODUCT(--ISERROR(FIND(MID(BA402,{6,7,8,9},1),"0123456789")))=0),"OK","Wrong format"))</f>
        <v/>
      </c>
      <c r="AX402" s="29">
        <f>IF(TRIM(H402)="","",IF(AND(LEN(UPPER(TRIM(H402)))=10,SUMPRODUCT(--ISERROR(FIND(MID(UPPER(TRIM(H402)),{1,2,3,4,10},1),"ABCDEFGHIJKLMNOPQRSTUVWXYZ")))=0,SUMPRODUCT(--ISERROR(FIND(MID(UPPER(TRIM(H402)),{5,6,7,8,9},1),"0123456789")))=0),"OK","Wrong format"))</f>
        <v/>
      </c>
      <c r="AY402" s="30">
        <f>IF(NOT(COUNTA(A402:AE402)&gt;0),"",IF(BE402&lt;&gt;"","✖ "&amp;LEFT(BE402,LEN(BE402)-2),IF(BD402&gt;0,"✔ Ready — client + "&amp;BD402&amp;" service(s)","✔ Ready — client only")))</f>
        <v/>
      </c>
      <c r="AZ402" s="31">
        <f>UPPER(SUBSTITUTE(TRIM(F402)," ",""))</f>
        <v/>
      </c>
      <c r="BA402" s="31">
        <f>UPPER(SUBSTITUTE(TRIM(E402)," ",""))</f>
        <v/>
      </c>
      <c r="BB402" s="31">
        <f>IF(D402&lt;&gt;"",D402,IFERROR(VLOOKUP(MID(AS402,4,1),Lists!$E$2:$F$8,2,FALSE),""))</f>
        <v/>
      </c>
      <c r="BC402" s="31">
        <f>IFERROR(VLOOKUP(BB402,Lists!$A$2:$C$12,3,FALSE),"")</f>
        <v/>
      </c>
      <c r="BD402" s="31">
        <f>COUNTIF(W402:AC402,"Yes")</f>
        <v/>
      </c>
      <c r="BE402" s="31">
        <f>IF(TRIM(B402)="","Legal name missing; ","")&amp;IF(AND(AV402&lt;&gt;"",AV402&lt;&gt;"OK"),"GSTIN: "&amp;AV402&amp;"; ","")&amp;IF(AND(AW402&lt;&gt;"",AW402&lt;&gt;"OK"),"PAN wrong format; ","")&amp;IF(AND(BA402&lt;&gt;"",LEN(AZ402)=15,MID(AZ402,3,10)&lt;&gt;BA402),"PAN does not match GSTIN; ","")&amp;IF(AND(AX402&lt;&gt;"",AX402&lt;&gt;"OK"),"TAN wrong format; ","")&amp;IF(AS402="","PAN missing; ","")&amp;IF(BB402="","Entity type missing; ","")&amp;IF(AND(AZ402&lt;&gt;"",COUNTIF($AZ$6:$AZ$1005,AZ402)&gt;1),"GSTIN repeated in this sheet; ","")&amp;IF(AND(AS402&lt;&gt;"",COUNTIF($AS$6:$AS$1005,AS402)&gt;1),"PAN repeated in this sheet (same client? put extra GSTINs in Other GSTINs); ","")&amp;IF(AND(BD402&gt;0,V402=""),"Financial year missing; ","")&amp;IF(AND(BD402=0,V402&lt;&gt;""),"Financial year given but no service is Yes; ","")&amp;IF(AND(W402="Yes",AZ402=""),"GST needs a GSTIN; ","")&amp;IF(AND(W402="Yes",X402=""),"GST return frequency missing; ","")&amp;IF(AND(Y402="Yes",TRIM(H402)=""),"TDS needs a TAN; ","")&amp;IF(AND(AA402="Yes",BC402&lt;&gt;"",BC402&lt;&gt;"company",BC402&lt;&gt;"llp"),"ROC is only for a company / LLP; ","")&amp;IF(AND(AA402="Yes",OR(BC402="company",BC402="llp"),TRIM(I402)=""),"ROC needs the CIN / LLPIN; ","")&amp;IF((TRIM(AF402)="")&lt;&gt;(TRIM(AG402)=""),"GST login needs both user ID and password; ","")&amp;IF((TRIM(AH402)="")&lt;&gt;(TRIM(AI402)=""),"Income-tax login needs both user ID and password; ","")&amp;IF((TRIM(AJ402)="")&lt;&gt;(TRIM(AK402)=""),"Income-tax login needs both user ID and password; ","")&amp;IF((TRIM(AL402)="")&lt;&gt;(TRIM(AM402)=""),"TRACES login needs both user ID and password; ","")&amp;IF((TRIM(AN402)="")&lt;&gt;(TRIM(AO402)=""),"MCA login needs both user ID and password; ","")&amp;IF((TRIM(AP402)="")&lt;&gt;(TRIM(AQ402)=""),"E-way bill login needs both user ID and password; ","")</f>
        <v/>
      </c>
    </row>
    <row r="403">
      <c r="A403" s="32" t="n"/>
      <c r="B403" s="33" t="n"/>
      <c r="C403" s="33" t="n"/>
      <c r="D403" s="33" t="n"/>
      <c r="E403" s="32" t="n"/>
      <c r="F403" s="32" t="n"/>
      <c r="G403" s="32" t="n"/>
      <c r="H403" s="32" t="n"/>
      <c r="I403" s="32" t="n"/>
      <c r="J403" s="34" t="n"/>
      <c r="K403" s="33" t="n"/>
      <c r="L403" s="32" t="n"/>
      <c r="M403" s="33" t="n"/>
      <c r="N403" s="33" t="n"/>
      <c r="O403" s="33" t="n"/>
      <c r="P403" s="32" t="n"/>
      <c r="Q403" s="33" t="n"/>
      <c r="R403" s="33" t="n"/>
      <c r="S403" s="33" t="n"/>
      <c r="T403" s="33" t="n"/>
      <c r="U403" s="32" t="n"/>
      <c r="V403" s="33" t="n"/>
      <c r="W403" s="33" t="n"/>
      <c r="X403" s="33" t="n"/>
      <c r="Y403" s="33" t="n"/>
      <c r="Z403" s="33" t="n"/>
      <c r="AA403" s="33" t="n"/>
      <c r="AB403" s="33" t="n"/>
      <c r="AC403" s="33" t="n"/>
      <c r="AD403" s="33" t="n"/>
      <c r="AE403" s="33" t="n"/>
      <c r="AF403" s="32" t="n"/>
      <c r="AG403" s="32" t="n"/>
      <c r="AH403" s="32" t="n"/>
      <c r="AI403" s="32" t="n"/>
      <c r="AJ403" s="32" t="n"/>
      <c r="AK403" s="32" t="n"/>
      <c r="AL403" s="32" t="n"/>
      <c r="AM403" s="32" t="n"/>
      <c r="AN403" s="32" t="n"/>
      <c r="AO403" s="32" t="n"/>
      <c r="AP403" s="32" t="n"/>
      <c r="AQ403" s="32" t="n"/>
      <c r="AR403" s="29">
        <f>IF(NOT(COUNTA(A403:AE403)&gt;0),"",IF(A403="","New client","Update"))</f>
        <v/>
      </c>
      <c r="AS403" s="29">
        <f>IF(BA403&lt;&gt;"",BA403,IF(LEN(AZ403)=15,MID(AZ403,3,10),""))</f>
        <v/>
      </c>
      <c r="AT403" s="29">
        <f>IF(BB403="","",BB403&amp;IF(D403="","  (guessed from PAN)",""))</f>
        <v/>
      </c>
      <c r="AU403" s="29">
        <f>IF(AZ403="","",IFERROR(INDEX(Lists!$L$2:$L$38,MATCH(LEFT(AZ403,2),Lists!$K$2:$K$38,0)),"Unknown code"))</f>
        <v/>
      </c>
      <c r="AV403" s="29">
        <f>IF(AZ403="","",IFERROR(IF(NOT(AND(LEN(AZ403)=15,ISNUMBER(MATCH(LEFT(AZ403,2),Lists!$K$2:$K$38,0)),SUMPRODUCT(--ISERROR(FIND(MID(MID(AZ403,3,10),{1,2,3,4,5,10},1),"ABCDEFGHIJKLMNOPQRSTUVWXYZ")))=0,SUMPRODUCT(--ISERROR(FIND(MID(MID(AZ403,3,10),{6,7,8,9},1),"0123456789")))=0,ISNUMBER(FIND(MID(AZ403,13,1),"123456789ABCDEFGHIJKLMNOPQRSTUVWXYZ")),MID(AZ403,14,1)="Z")),"Wrong format",IF(MID("0123456789ABCDEFGHIJKLMNOPQRSTUVWXYZ",MOD(36-MOD(SUMPRODUCT(INT((FIND(MID(AZ403,{1,2,3,4,5,6,7,8,9,10,11,12,13,14},1),"0123456789ABCDEFGHIJKLMNOPQRSTUVWXYZ")-1)*{1,2,1,2,1,2,1,2,1,2,1,2,1,2}/36)+MOD((FIND(MID(AZ403,{1,2,3,4,5,6,7,8,9,10,11,12,13,14},1),"0123456789ABCDEFGHIJKLMNOPQRSTUVWXYZ")-1)*{1,2,1,2,1,2,1,2,1,2,1,2,1,2},36)),36),36)+1,1)=MID(AZ403,15,1),"OK","Typo? check digit wrong")),"Wrong format"))</f>
        <v/>
      </c>
      <c r="AW403" s="29">
        <f>IF(BA403="","",IF(AND(LEN(BA403)=10,SUMPRODUCT(--ISERROR(FIND(MID(BA403,{1,2,3,4,5,10},1),"ABCDEFGHIJKLMNOPQRSTUVWXYZ")))=0,SUMPRODUCT(--ISERROR(FIND(MID(BA403,{6,7,8,9},1),"0123456789")))=0),"OK","Wrong format"))</f>
        <v/>
      </c>
      <c r="AX403" s="29">
        <f>IF(TRIM(H403)="","",IF(AND(LEN(UPPER(TRIM(H403)))=10,SUMPRODUCT(--ISERROR(FIND(MID(UPPER(TRIM(H403)),{1,2,3,4,10},1),"ABCDEFGHIJKLMNOPQRSTUVWXYZ")))=0,SUMPRODUCT(--ISERROR(FIND(MID(UPPER(TRIM(H403)),{5,6,7,8,9},1),"0123456789")))=0),"OK","Wrong format"))</f>
        <v/>
      </c>
      <c r="AY403" s="30">
        <f>IF(NOT(COUNTA(A403:AE403)&gt;0),"",IF(BE403&lt;&gt;"","✖ "&amp;LEFT(BE403,LEN(BE403)-2),IF(BD403&gt;0,"✔ Ready — client + "&amp;BD403&amp;" service(s)","✔ Ready — client only")))</f>
        <v/>
      </c>
      <c r="AZ403" s="31">
        <f>UPPER(SUBSTITUTE(TRIM(F403)," ",""))</f>
        <v/>
      </c>
      <c r="BA403" s="31">
        <f>UPPER(SUBSTITUTE(TRIM(E403)," ",""))</f>
        <v/>
      </c>
      <c r="BB403" s="31">
        <f>IF(D403&lt;&gt;"",D403,IFERROR(VLOOKUP(MID(AS403,4,1),Lists!$E$2:$F$8,2,FALSE),""))</f>
        <v/>
      </c>
      <c r="BC403" s="31">
        <f>IFERROR(VLOOKUP(BB403,Lists!$A$2:$C$12,3,FALSE),"")</f>
        <v/>
      </c>
      <c r="BD403" s="31">
        <f>COUNTIF(W403:AC403,"Yes")</f>
        <v/>
      </c>
      <c r="BE403" s="31">
        <f>IF(TRIM(B403)="","Legal name missing; ","")&amp;IF(AND(AV403&lt;&gt;"",AV403&lt;&gt;"OK"),"GSTIN: "&amp;AV403&amp;"; ","")&amp;IF(AND(AW403&lt;&gt;"",AW403&lt;&gt;"OK"),"PAN wrong format; ","")&amp;IF(AND(BA403&lt;&gt;"",LEN(AZ403)=15,MID(AZ403,3,10)&lt;&gt;BA403),"PAN does not match GSTIN; ","")&amp;IF(AND(AX403&lt;&gt;"",AX403&lt;&gt;"OK"),"TAN wrong format; ","")&amp;IF(AS403="","PAN missing; ","")&amp;IF(BB403="","Entity type missing; ","")&amp;IF(AND(AZ403&lt;&gt;"",COUNTIF($AZ$6:$AZ$1005,AZ403)&gt;1),"GSTIN repeated in this sheet; ","")&amp;IF(AND(AS403&lt;&gt;"",COUNTIF($AS$6:$AS$1005,AS403)&gt;1),"PAN repeated in this sheet (same client? put extra GSTINs in Other GSTINs); ","")&amp;IF(AND(BD403&gt;0,V403=""),"Financial year missing; ","")&amp;IF(AND(BD403=0,V403&lt;&gt;""),"Financial year given but no service is Yes; ","")&amp;IF(AND(W403="Yes",AZ403=""),"GST needs a GSTIN; ","")&amp;IF(AND(W403="Yes",X403=""),"GST return frequency missing; ","")&amp;IF(AND(Y403="Yes",TRIM(H403)=""),"TDS needs a TAN; ","")&amp;IF(AND(AA403="Yes",BC403&lt;&gt;"",BC403&lt;&gt;"company",BC403&lt;&gt;"llp"),"ROC is only for a company / LLP; ","")&amp;IF(AND(AA403="Yes",OR(BC403="company",BC403="llp"),TRIM(I403)=""),"ROC needs the CIN / LLPIN; ","")&amp;IF((TRIM(AF403)="")&lt;&gt;(TRIM(AG403)=""),"GST login needs both user ID and password; ","")&amp;IF((TRIM(AH403)="")&lt;&gt;(TRIM(AI403)=""),"Income-tax login needs both user ID and password; ","")&amp;IF((TRIM(AJ403)="")&lt;&gt;(TRIM(AK403)=""),"Income-tax login needs both user ID and password; ","")&amp;IF((TRIM(AL403)="")&lt;&gt;(TRIM(AM403)=""),"TRACES login needs both user ID and password; ","")&amp;IF((TRIM(AN403)="")&lt;&gt;(TRIM(AO403)=""),"MCA login needs both user ID and password; ","")&amp;IF((TRIM(AP403)="")&lt;&gt;(TRIM(AQ403)=""),"E-way bill login needs both user ID and password; ","")</f>
        <v/>
      </c>
    </row>
    <row r="404">
      <c r="A404" s="32" t="n"/>
      <c r="B404" s="33" t="n"/>
      <c r="C404" s="33" t="n"/>
      <c r="D404" s="33" t="n"/>
      <c r="E404" s="32" t="n"/>
      <c r="F404" s="32" t="n"/>
      <c r="G404" s="32" t="n"/>
      <c r="H404" s="32" t="n"/>
      <c r="I404" s="32" t="n"/>
      <c r="J404" s="34" t="n"/>
      <c r="K404" s="33" t="n"/>
      <c r="L404" s="32" t="n"/>
      <c r="M404" s="33" t="n"/>
      <c r="N404" s="33" t="n"/>
      <c r="O404" s="33" t="n"/>
      <c r="P404" s="32" t="n"/>
      <c r="Q404" s="33" t="n"/>
      <c r="R404" s="33" t="n"/>
      <c r="S404" s="33" t="n"/>
      <c r="T404" s="33" t="n"/>
      <c r="U404" s="32" t="n"/>
      <c r="V404" s="33" t="n"/>
      <c r="W404" s="33" t="n"/>
      <c r="X404" s="33" t="n"/>
      <c r="Y404" s="33" t="n"/>
      <c r="Z404" s="33" t="n"/>
      <c r="AA404" s="33" t="n"/>
      <c r="AB404" s="33" t="n"/>
      <c r="AC404" s="33" t="n"/>
      <c r="AD404" s="33" t="n"/>
      <c r="AE404" s="33" t="n"/>
      <c r="AF404" s="32" t="n"/>
      <c r="AG404" s="32" t="n"/>
      <c r="AH404" s="32" t="n"/>
      <c r="AI404" s="32" t="n"/>
      <c r="AJ404" s="32" t="n"/>
      <c r="AK404" s="32" t="n"/>
      <c r="AL404" s="32" t="n"/>
      <c r="AM404" s="32" t="n"/>
      <c r="AN404" s="32" t="n"/>
      <c r="AO404" s="32" t="n"/>
      <c r="AP404" s="32" t="n"/>
      <c r="AQ404" s="32" t="n"/>
      <c r="AR404" s="29">
        <f>IF(NOT(COUNTA(A404:AE404)&gt;0),"",IF(A404="","New client","Update"))</f>
        <v/>
      </c>
      <c r="AS404" s="29">
        <f>IF(BA404&lt;&gt;"",BA404,IF(LEN(AZ404)=15,MID(AZ404,3,10),""))</f>
        <v/>
      </c>
      <c r="AT404" s="29">
        <f>IF(BB404="","",BB404&amp;IF(D404="","  (guessed from PAN)",""))</f>
        <v/>
      </c>
      <c r="AU404" s="29">
        <f>IF(AZ404="","",IFERROR(INDEX(Lists!$L$2:$L$38,MATCH(LEFT(AZ404,2),Lists!$K$2:$K$38,0)),"Unknown code"))</f>
        <v/>
      </c>
      <c r="AV404" s="29">
        <f>IF(AZ404="","",IFERROR(IF(NOT(AND(LEN(AZ404)=15,ISNUMBER(MATCH(LEFT(AZ404,2),Lists!$K$2:$K$38,0)),SUMPRODUCT(--ISERROR(FIND(MID(MID(AZ404,3,10),{1,2,3,4,5,10},1),"ABCDEFGHIJKLMNOPQRSTUVWXYZ")))=0,SUMPRODUCT(--ISERROR(FIND(MID(MID(AZ404,3,10),{6,7,8,9},1),"0123456789")))=0,ISNUMBER(FIND(MID(AZ404,13,1),"123456789ABCDEFGHIJKLMNOPQRSTUVWXYZ")),MID(AZ404,14,1)="Z")),"Wrong format",IF(MID("0123456789ABCDEFGHIJKLMNOPQRSTUVWXYZ",MOD(36-MOD(SUMPRODUCT(INT((FIND(MID(AZ404,{1,2,3,4,5,6,7,8,9,10,11,12,13,14},1),"0123456789ABCDEFGHIJKLMNOPQRSTUVWXYZ")-1)*{1,2,1,2,1,2,1,2,1,2,1,2,1,2}/36)+MOD((FIND(MID(AZ404,{1,2,3,4,5,6,7,8,9,10,11,12,13,14},1),"0123456789ABCDEFGHIJKLMNOPQRSTUVWXYZ")-1)*{1,2,1,2,1,2,1,2,1,2,1,2,1,2},36)),36),36)+1,1)=MID(AZ404,15,1),"OK","Typo? check digit wrong")),"Wrong format"))</f>
        <v/>
      </c>
      <c r="AW404" s="29">
        <f>IF(BA404="","",IF(AND(LEN(BA404)=10,SUMPRODUCT(--ISERROR(FIND(MID(BA404,{1,2,3,4,5,10},1),"ABCDEFGHIJKLMNOPQRSTUVWXYZ")))=0,SUMPRODUCT(--ISERROR(FIND(MID(BA404,{6,7,8,9},1),"0123456789")))=0),"OK","Wrong format"))</f>
        <v/>
      </c>
      <c r="AX404" s="29">
        <f>IF(TRIM(H404)="","",IF(AND(LEN(UPPER(TRIM(H404)))=10,SUMPRODUCT(--ISERROR(FIND(MID(UPPER(TRIM(H404)),{1,2,3,4,10},1),"ABCDEFGHIJKLMNOPQRSTUVWXYZ")))=0,SUMPRODUCT(--ISERROR(FIND(MID(UPPER(TRIM(H404)),{5,6,7,8,9},1),"0123456789")))=0),"OK","Wrong format"))</f>
        <v/>
      </c>
      <c r="AY404" s="30">
        <f>IF(NOT(COUNTA(A404:AE404)&gt;0),"",IF(BE404&lt;&gt;"","✖ "&amp;LEFT(BE404,LEN(BE404)-2),IF(BD404&gt;0,"✔ Ready — client + "&amp;BD404&amp;" service(s)","✔ Ready — client only")))</f>
        <v/>
      </c>
      <c r="AZ404" s="31">
        <f>UPPER(SUBSTITUTE(TRIM(F404)," ",""))</f>
        <v/>
      </c>
      <c r="BA404" s="31">
        <f>UPPER(SUBSTITUTE(TRIM(E404)," ",""))</f>
        <v/>
      </c>
      <c r="BB404" s="31">
        <f>IF(D404&lt;&gt;"",D404,IFERROR(VLOOKUP(MID(AS404,4,1),Lists!$E$2:$F$8,2,FALSE),""))</f>
        <v/>
      </c>
      <c r="BC404" s="31">
        <f>IFERROR(VLOOKUP(BB404,Lists!$A$2:$C$12,3,FALSE),"")</f>
        <v/>
      </c>
      <c r="BD404" s="31">
        <f>COUNTIF(W404:AC404,"Yes")</f>
        <v/>
      </c>
      <c r="BE404" s="31">
        <f>IF(TRIM(B404)="","Legal name missing; ","")&amp;IF(AND(AV404&lt;&gt;"",AV404&lt;&gt;"OK"),"GSTIN: "&amp;AV404&amp;"; ","")&amp;IF(AND(AW404&lt;&gt;"",AW404&lt;&gt;"OK"),"PAN wrong format; ","")&amp;IF(AND(BA404&lt;&gt;"",LEN(AZ404)=15,MID(AZ404,3,10)&lt;&gt;BA404),"PAN does not match GSTIN; ","")&amp;IF(AND(AX404&lt;&gt;"",AX404&lt;&gt;"OK"),"TAN wrong format; ","")&amp;IF(AS404="","PAN missing; ","")&amp;IF(BB404="","Entity type missing; ","")&amp;IF(AND(AZ404&lt;&gt;"",COUNTIF($AZ$6:$AZ$1005,AZ404)&gt;1),"GSTIN repeated in this sheet; ","")&amp;IF(AND(AS404&lt;&gt;"",COUNTIF($AS$6:$AS$1005,AS404)&gt;1),"PAN repeated in this sheet (same client? put extra GSTINs in Other GSTINs); ","")&amp;IF(AND(BD404&gt;0,V404=""),"Financial year missing; ","")&amp;IF(AND(BD404=0,V404&lt;&gt;""),"Financial year given but no service is Yes; ","")&amp;IF(AND(W404="Yes",AZ404=""),"GST needs a GSTIN; ","")&amp;IF(AND(W404="Yes",X404=""),"GST return frequency missing; ","")&amp;IF(AND(Y404="Yes",TRIM(H404)=""),"TDS needs a TAN; ","")&amp;IF(AND(AA404="Yes",BC404&lt;&gt;"",BC404&lt;&gt;"company",BC404&lt;&gt;"llp"),"ROC is only for a company / LLP; ","")&amp;IF(AND(AA404="Yes",OR(BC404="company",BC404="llp"),TRIM(I404)=""),"ROC needs the CIN / LLPIN; ","")&amp;IF((TRIM(AF404)="")&lt;&gt;(TRIM(AG404)=""),"GST login needs both user ID and password; ","")&amp;IF((TRIM(AH404)="")&lt;&gt;(TRIM(AI404)=""),"Income-tax login needs both user ID and password; ","")&amp;IF((TRIM(AJ404)="")&lt;&gt;(TRIM(AK404)=""),"Income-tax login needs both user ID and password; ","")&amp;IF((TRIM(AL404)="")&lt;&gt;(TRIM(AM404)=""),"TRACES login needs both user ID and password; ","")&amp;IF((TRIM(AN404)="")&lt;&gt;(TRIM(AO404)=""),"MCA login needs both user ID and password; ","")&amp;IF((TRIM(AP404)="")&lt;&gt;(TRIM(AQ404)=""),"E-way bill login needs both user ID and password; ","")</f>
        <v/>
      </c>
    </row>
    <row r="405">
      <c r="A405" s="32" t="n"/>
      <c r="B405" s="33" t="n"/>
      <c r="C405" s="33" t="n"/>
      <c r="D405" s="33" t="n"/>
      <c r="E405" s="32" t="n"/>
      <c r="F405" s="32" t="n"/>
      <c r="G405" s="32" t="n"/>
      <c r="H405" s="32" t="n"/>
      <c r="I405" s="32" t="n"/>
      <c r="J405" s="34" t="n"/>
      <c r="K405" s="33" t="n"/>
      <c r="L405" s="32" t="n"/>
      <c r="M405" s="33" t="n"/>
      <c r="N405" s="33" t="n"/>
      <c r="O405" s="33" t="n"/>
      <c r="P405" s="32" t="n"/>
      <c r="Q405" s="33" t="n"/>
      <c r="R405" s="33" t="n"/>
      <c r="S405" s="33" t="n"/>
      <c r="T405" s="33" t="n"/>
      <c r="U405" s="32" t="n"/>
      <c r="V405" s="33" t="n"/>
      <c r="W405" s="33" t="n"/>
      <c r="X405" s="33" t="n"/>
      <c r="Y405" s="33" t="n"/>
      <c r="Z405" s="33" t="n"/>
      <c r="AA405" s="33" t="n"/>
      <c r="AB405" s="33" t="n"/>
      <c r="AC405" s="33" t="n"/>
      <c r="AD405" s="33" t="n"/>
      <c r="AE405" s="33" t="n"/>
      <c r="AF405" s="32" t="n"/>
      <c r="AG405" s="32" t="n"/>
      <c r="AH405" s="32" t="n"/>
      <c r="AI405" s="32" t="n"/>
      <c r="AJ405" s="32" t="n"/>
      <c r="AK405" s="32" t="n"/>
      <c r="AL405" s="32" t="n"/>
      <c r="AM405" s="32" t="n"/>
      <c r="AN405" s="32" t="n"/>
      <c r="AO405" s="32" t="n"/>
      <c r="AP405" s="32" t="n"/>
      <c r="AQ405" s="32" t="n"/>
      <c r="AR405" s="29">
        <f>IF(NOT(COUNTA(A405:AE405)&gt;0),"",IF(A405="","New client","Update"))</f>
        <v/>
      </c>
      <c r="AS405" s="29">
        <f>IF(BA405&lt;&gt;"",BA405,IF(LEN(AZ405)=15,MID(AZ405,3,10),""))</f>
        <v/>
      </c>
      <c r="AT405" s="29">
        <f>IF(BB405="","",BB405&amp;IF(D405="","  (guessed from PAN)",""))</f>
        <v/>
      </c>
      <c r="AU405" s="29">
        <f>IF(AZ405="","",IFERROR(INDEX(Lists!$L$2:$L$38,MATCH(LEFT(AZ405,2),Lists!$K$2:$K$38,0)),"Unknown code"))</f>
        <v/>
      </c>
      <c r="AV405" s="29">
        <f>IF(AZ405="","",IFERROR(IF(NOT(AND(LEN(AZ405)=15,ISNUMBER(MATCH(LEFT(AZ405,2),Lists!$K$2:$K$38,0)),SUMPRODUCT(--ISERROR(FIND(MID(MID(AZ405,3,10),{1,2,3,4,5,10},1),"ABCDEFGHIJKLMNOPQRSTUVWXYZ")))=0,SUMPRODUCT(--ISERROR(FIND(MID(MID(AZ405,3,10),{6,7,8,9},1),"0123456789")))=0,ISNUMBER(FIND(MID(AZ405,13,1),"123456789ABCDEFGHIJKLMNOPQRSTUVWXYZ")),MID(AZ405,14,1)="Z")),"Wrong format",IF(MID("0123456789ABCDEFGHIJKLMNOPQRSTUVWXYZ",MOD(36-MOD(SUMPRODUCT(INT((FIND(MID(AZ405,{1,2,3,4,5,6,7,8,9,10,11,12,13,14},1),"0123456789ABCDEFGHIJKLMNOPQRSTUVWXYZ")-1)*{1,2,1,2,1,2,1,2,1,2,1,2,1,2}/36)+MOD((FIND(MID(AZ405,{1,2,3,4,5,6,7,8,9,10,11,12,13,14},1),"0123456789ABCDEFGHIJKLMNOPQRSTUVWXYZ")-1)*{1,2,1,2,1,2,1,2,1,2,1,2,1,2},36)),36),36)+1,1)=MID(AZ405,15,1),"OK","Typo? check digit wrong")),"Wrong format"))</f>
        <v/>
      </c>
      <c r="AW405" s="29">
        <f>IF(BA405="","",IF(AND(LEN(BA405)=10,SUMPRODUCT(--ISERROR(FIND(MID(BA405,{1,2,3,4,5,10},1),"ABCDEFGHIJKLMNOPQRSTUVWXYZ")))=0,SUMPRODUCT(--ISERROR(FIND(MID(BA405,{6,7,8,9},1),"0123456789")))=0),"OK","Wrong format"))</f>
        <v/>
      </c>
      <c r="AX405" s="29">
        <f>IF(TRIM(H405)="","",IF(AND(LEN(UPPER(TRIM(H405)))=10,SUMPRODUCT(--ISERROR(FIND(MID(UPPER(TRIM(H405)),{1,2,3,4,10},1),"ABCDEFGHIJKLMNOPQRSTUVWXYZ")))=0,SUMPRODUCT(--ISERROR(FIND(MID(UPPER(TRIM(H405)),{5,6,7,8,9},1),"0123456789")))=0),"OK","Wrong format"))</f>
        <v/>
      </c>
      <c r="AY405" s="30">
        <f>IF(NOT(COUNTA(A405:AE405)&gt;0),"",IF(BE405&lt;&gt;"","✖ "&amp;LEFT(BE405,LEN(BE405)-2),IF(BD405&gt;0,"✔ Ready — client + "&amp;BD405&amp;" service(s)","✔ Ready — client only")))</f>
        <v/>
      </c>
      <c r="AZ405" s="31">
        <f>UPPER(SUBSTITUTE(TRIM(F405)," ",""))</f>
        <v/>
      </c>
      <c r="BA405" s="31">
        <f>UPPER(SUBSTITUTE(TRIM(E405)," ",""))</f>
        <v/>
      </c>
      <c r="BB405" s="31">
        <f>IF(D405&lt;&gt;"",D405,IFERROR(VLOOKUP(MID(AS405,4,1),Lists!$E$2:$F$8,2,FALSE),""))</f>
        <v/>
      </c>
      <c r="BC405" s="31">
        <f>IFERROR(VLOOKUP(BB405,Lists!$A$2:$C$12,3,FALSE),"")</f>
        <v/>
      </c>
      <c r="BD405" s="31">
        <f>COUNTIF(W405:AC405,"Yes")</f>
        <v/>
      </c>
      <c r="BE405" s="31">
        <f>IF(TRIM(B405)="","Legal name missing; ","")&amp;IF(AND(AV405&lt;&gt;"",AV405&lt;&gt;"OK"),"GSTIN: "&amp;AV405&amp;"; ","")&amp;IF(AND(AW405&lt;&gt;"",AW405&lt;&gt;"OK"),"PAN wrong format; ","")&amp;IF(AND(BA405&lt;&gt;"",LEN(AZ405)=15,MID(AZ405,3,10)&lt;&gt;BA405),"PAN does not match GSTIN; ","")&amp;IF(AND(AX405&lt;&gt;"",AX405&lt;&gt;"OK"),"TAN wrong format; ","")&amp;IF(AS405="","PAN missing; ","")&amp;IF(BB405="","Entity type missing; ","")&amp;IF(AND(AZ405&lt;&gt;"",COUNTIF($AZ$6:$AZ$1005,AZ405)&gt;1),"GSTIN repeated in this sheet; ","")&amp;IF(AND(AS405&lt;&gt;"",COUNTIF($AS$6:$AS$1005,AS405)&gt;1),"PAN repeated in this sheet (same client? put extra GSTINs in Other GSTINs); ","")&amp;IF(AND(BD405&gt;0,V405=""),"Financial year missing; ","")&amp;IF(AND(BD405=0,V405&lt;&gt;""),"Financial year given but no service is Yes; ","")&amp;IF(AND(W405="Yes",AZ405=""),"GST needs a GSTIN; ","")&amp;IF(AND(W405="Yes",X405=""),"GST return frequency missing; ","")&amp;IF(AND(Y405="Yes",TRIM(H405)=""),"TDS needs a TAN; ","")&amp;IF(AND(AA405="Yes",BC405&lt;&gt;"",BC405&lt;&gt;"company",BC405&lt;&gt;"llp"),"ROC is only for a company / LLP; ","")&amp;IF(AND(AA405="Yes",OR(BC405="company",BC405="llp"),TRIM(I405)=""),"ROC needs the CIN / LLPIN; ","")&amp;IF((TRIM(AF405)="")&lt;&gt;(TRIM(AG405)=""),"GST login needs both user ID and password; ","")&amp;IF((TRIM(AH405)="")&lt;&gt;(TRIM(AI405)=""),"Income-tax login needs both user ID and password; ","")&amp;IF((TRIM(AJ405)="")&lt;&gt;(TRIM(AK405)=""),"Income-tax login needs both user ID and password; ","")&amp;IF((TRIM(AL405)="")&lt;&gt;(TRIM(AM405)=""),"TRACES login needs both user ID and password; ","")&amp;IF((TRIM(AN405)="")&lt;&gt;(TRIM(AO405)=""),"MCA login needs both user ID and password; ","")&amp;IF((TRIM(AP405)="")&lt;&gt;(TRIM(AQ405)=""),"E-way bill login needs both user ID and password; ","")</f>
        <v/>
      </c>
    </row>
    <row r="406">
      <c r="A406" s="32" t="n"/>
      <c r="B406" s="33" t="n"/>
      <c r="C406" s="33" t="n"/>
      <c r="D406" s="33" t="n"/>
      <c r="E406" s="32" t="n"/>
      <c r="F406" s="32" t="n"/>
      <c r="G406" s="32" t="n"/>
      <c r="H406" s="32" t="n"/>
      <c r="I406" s="32" t="n"/>
      <c r="J406" s="34" t="n"/>
      <c r="K406" s="33" t="n"/>
      <c r="L406" s="32" t="n"/>
      <c r="M406" s="33" t="n"/>
      <c r="N406" s="33" t="n"/>
      <c r="O406" s="33" t="n"/>
      <c r="P406" s="32" t="n"/>
      <c r="Q406" s="33" t="n"/>
      <c r="R406" s="33" t="n"/>
      <c r="S406" s="33" t="n"/>
      <c r="T406" s="33" t="n"/>
      <c r="U406" s="32" t="n"/>
      <c r="V406" s="33" t="n"/>
      <c r="W406" s="33" t="n"/>
      <c r="X406" s="33" t="n"/>
      <c r="Y406" s="33" t="n"/>
      <c r="Z406" s="33" t="n"/>
      <c r="AA406" s="33" t="n"/>
      <c r="AB406" s="33" t="n"/>
      <c r="AC406" s="33" t="n"/>
      <c r="AD406" s="33" t="n"/>
      <c r="AE406" s="33" t="n"/>
      <c r="AF406" s="32" t="n"/>
      <c r="AG406" s="32" t="n"/>
      <c r="AH406" s="32" t="n"/>
      <c r="AI406" s="32" t="n"/>
      <c r="AJ406" s="32" t="n"/>
      <c r="AK406" s="32" t="n"/>
      <c r="AL406" s="32" t="n"/>
      <c r="AM406" s="32" t="n"/>
      <c r="AN406" s="32" t="n"/>
      <c r="AO406" s="32" t="n"/>
      <c r="AP406" s="32" t="n"/>
      <c r="AQ406" s="32" t="n"/>
      <c r="AR406" s="29">
        <f>IF(NOT(COUNTA(A406:AE406)&gt;0),"",IF(A406="","New client","Update"))</f>
        <v/>
      </c>
      <c r="AS406" s="29">
        <f>IF(BA406&lt;&gt;"",BA406,IF(LEN(AZ406)=15,MID(AZ406,3,10),""))</f>
        <v/>
      </c>
      <c r="AT406" s="29">
        <f>IF(BB406="","",BB406&amp;IF(D406="","  (guessed from PAN)",""))</f>
        <v/>
      </c>
      <c r="AU406" s="29">
        <f>IF(AZ406="","",IFERROR(INDEX(Lists!$L$2:$L$38,MATCH(LEFT(AZ406,2),Lists!$K$2:$K$38,0)),"Unknown code"))</f>
        <v/>
      </c>
      <c r="AV406" s="29">
        <f>IF(AZ406="","",IFERROR(IF(NOT(AND(LEN(AZ406)=15,ISNUMBER(MATCH(LEFT(AZ406,2),Lists!$K$2:$K$38,0)),SUMPRODUCT(--ISERROR(FIND(MID(MID(AZ406,3,10),{1,2,3,4,5,10},1),"ABCDEFGHIJKLMNOPQRSTUVWXYZ")))=0,SUMPRODUCT(--ISERROR(FIND(MID(MID(AZ406,3,10),{6,7,8,9},1),"0123456789")))=0,ISNUMBER(FIND(MID(AZ406,13,1),"123456789ABCDEFGHIJKLMNOPQRSTUVWXYZ")),MID(AZ406,14,1)="Z")),"Wrong format",IF(MID("0123456789ABCDEFGHIJKLMNOPQRSTUVWXYZ",MOD(36-MOD(SUMPRODUCT(INT((FIND(MID(AZ406,{1,2,3,4,5,6,7,8,9,10,11,12,13,14},1),"0123456789ABCDEFGHIJKLMNOPQRSTUVWXYZ")-1)*{1,2,1,2,1,2,1,2,1,2,1,2,1,2}/36)+MOD((FIND(MID(AZ406,{1,2,3,4,5,6,7,8,9,10,11,12,13,14},1),"0123456789ABCDEFGHIJKLMNOPQRSTUVWXYZ")-1)*{1,2,1,2,1,2,1,2,1,2,1,2,1,2},36)),36),36)+1,1)=MID(AZ406,15,1),"OK","Typo? check digit wrong")),"Wrong format"))</f>
        <v/>
      </c>
      <c r="AW406" s="29">
        <f>IF(BA406="","",IF(AND(LEN(BA406)=10,SUMPRODUCT(--ISERROR(FIND(MID(BA406,{1,2,3,4,5,10},1),"ABCDEFGHIJKLMNOPQRSTUVWXYZ")))=0,SUMPRODUCT(--ISERROR(FIND(MID(BA406,{6,7,8,9},1),"0123456789")))=0),"OK","Wrong format"))</f>
        <v/>
      </c>
      <c r="AX406" s="29">
        <f>IF(TRIM(H406)="","",IF(AND(LEN(UPPER(TRIM(H406)))=10,SUMPRODUCT(--ISERROR(FIND(MID(UPPER(TRIM(H406)),{1,2,3,4,10},1),"ABCDEFGHIJKLMNOPQRSTUVWXYZ")))=0,SUMPRODUCT(--ISERROR(FIND(MID(UPPER(TRIM(H406)),{5,6,7,8,9},1),"0123456789")))=0),"OK","Wrong format"))</f>
        <v/>
      </c>
      <c r="AY406" s="30">
        <f>IF(NOT(COUNTA(A406:AE406)&gt;0),"",IF(BE406&lt;&gt;"","✖ "&amp;LEFT(BE406,LEN(BE406)-2),IF(BD406&gt;0,"✔ Ready — client + "&amp;BD406&amp;" service(s)","✔ Ready — client only")))</f>
        <v/>
      </c>
      <c r="AZ406" s="31">
        <f>UPPER(SUBSTITUTE(TRIM(F406)," ",""))</f>
        <v/>
      </c>
      <c r="BA406" s="31">
        <f>UPPER(SUBSTITUTE(TRIM(E406)," ",""))</f>
        <v/>
      </c>
      <c r="BB406" s="31">
        <f>IF(D406&lt;&gt;"",D406,IFERROR(VLOOKUP(MID(AS406,4,1),Lists!$E$2:$F$8,2,FALSE),""))</f>
        <v/>
      </c>
      <c r="BC406" s="31">
        <f>IFERROR(VLOOKUP(BB406,Lists!$A$2:$C$12,3,FALSE),"")</f>
        <v/>
      </c>
      <c r="BD406" s="31">
        <f>COUNTIF(W406:AC406,"Yes")</f>
        <v/>
      </c>
      <c r="BE406" s="31">
        <f>IF(TRIM(B406)="","Legal name missing; ","")&amp;IF(AND(AV406&lt;&gt;"",AV406&lt;&gt;"OK"),"GSTIN: "&amp;AV406&amp;"; ","")&amp;IF(AND(AW406&lt;&gt;"",AW406&lt;&gt;"OK"),"PAN wrong format; ","")&amp;IF(AND(BA406&lt;&gt;"",LEN(AZ406)=15,MID(AZ406,3,10)&lt;&gt;BA406),"PAN does not match GSTIN; ","")&amp;IF(AND(AX406&lt;&gt;"",AX406&lt;&gt;"OK"),"TAN wrong format; ","")&amp;IF(AS406="","PAN missing; ","")&amp;IF(BB406="","Entity type missing; ","")&amp;IF(AND(AZ406&lt;&gt;"",COUNTIF($AZ$6:$AZ$1005,AZ406)&gt;1),"GSTIN repeated in this sheet; ","")&amp;IF(AND(AS406&lt;&gt;"",COUNTIF($AS$6:$AS$1005,AS406)&gt;1),"PAN repeated in this sheet (same client? put extra GSTINs in Other GSTINs); ","")&amp;IF(AND(BD406&gt;0,V406=""),"Financial year missing; ","")&amp;IF(AND(BD406=0,V406&lt;&gt;""),"Financial year given but no service is Yes; ","")&amp;IF(AND(W406="Yes",AZ406=""),"GST needs a GSTIN; ","")&amp;IF(AND(W406="Yes",X406=""),"GST return frequency missing; ","")&amp;IF(AND(Y406="Yes",TRIM(H406)=""),"TDS needs a TAN; ","")&amp;IF(AND(AA406="Yes",BC406&lt;&gt;"",BC406&lt;&gt;"company",BC406&lt;&gt;"llp"),"ROC is only for a company / LLP; ","")&amp;IF(AND(AA406="Yes",OR(BC406="company",BC406="llp"),TRIM(I406)=""),"ROC needs the CIN / LLPIN; ","")&amp;IF((TRIM(AF406)="")&lt;&gt;(TRIM(AG406)=""),"GST login needs both user ID and password; ","")&amp;IF((TRIM(AH406)="")&lt;&gt;(TRIM(AI406)=""),"Income-tax login needs both user ID and password; ","")&amp;IF((TRIM(AJ406)="")&lt;&gt;(TRIM(AK406)=""),"Income-tax login needs both user ID and password; ","")&amp;IF((TRIM(AL406)="")&lt;&gt;(TRIM(AM406)=""),"TRACES login needs both user ID and password; ","")&amp;IF((TRIM(AN406)="")&lt;&gt;(TRIM(AO406)=""),"MCA login needs both user ID and password; ","")&amp;IF((TRIM(AP406)="")&lt;&gt;(TRIM(AQ406)=""),"E-way bill login needs both user ID and password; ","")</f>
        <v/>
      </c>
    </row>
    <row r="407">
      <c r="A407" s="32" t="n"/>
      <c r="B407" s="33" t="n"/>
      <c r="C407" s="33" t="n"/>
      <c r="D407" s="33" t="n"/>
      <c r="E407" s="32" t="n"/>
      <c r="F407" s="32" t="n"/>
      <c r="G407" s="32" t="n"/>
      <c r="H407" s="32" t="n"/>
      <c r="I407" s="32" t="n"/>
      <c r="J407" s="34" t="n"/>
      <c r="K407" s="33" t="n"/>
      <c r="L407" s="32" t="n"/>
      <c r="M407" s="33" t="n"/>
      <c r="N407" s="33" t="n"/>
      <c r="O407" s="33" t="n"/>
      <c r="P407" s="32" t="n"/>
      <c r="Q407" s="33" t="n"/>
      <c r="R407" s="33" t="n"/>
      <c r="S407" s="33" t="n"/>
      <c r="T407" s="33" t="n"/>
      <c r="U407" s="32" t="n"/>
      <c r="V407" s="33" t="n"/>
      <c r="W407" s="33" t="n"/>
      <c r="X407" s="33" t="n"/>
      <c r="Y407" s="33" t="n"/>
      <c r="Z407" s="33" t="n"/>
      <c r="AA407" s="33" t="n"/>
      <c r="AB407" s="33" t="n"/>
      <c r="AC407" s="33" t="n"/>
      <c r="AD407" s="33" t="n"/>
      <c r="AE407" s="33" t="n"/>
      <c r="AF407" s="32" t="n"/>
      <c r="AG407" s="32" t="n"/>
      <c r="AH407" s="32" t="n"/>
      <c r="AI407" s="32" t="n"/>
      <c r="AJ407" s="32" t="n"/>
      <c r="AK407" s="32" t="n"/>
      <c r="AL407" s="32" t="n"/>
      <c r="AM407" s="32" t="n"/>
      <c r="AN407" s="32" t="n"/>
      <c r="AO407" s="32" t="n"/>
      <c r="AP407" s="32" t="n"/>
      <c r="AQ407" s="32" t="n"/>
      <c r="AR407" s="29">
        <f>IF(NOT(COUNTA(A407:AE407)&gt;0),"",IF(A407="","New client","Update"))</f>
        <v/>
      </c>
      <c r="AS407" s="29">
        <f>IF(BA407&lt;&gt;"",BA407,IF(LEN(AZ407)=15,MID(AZ407,3,10),""))</f>
        <v/>
      </c>
      <c r="AT407" s="29">
        <f>IF(BB407="","",BB407&amp;IF(D407="","  (guessed from PAN)",""))</f>
        <v/>
      </c>
      <c r="AU407" s="29">
        <f>IF(AZ407="","",IFERROR(INDEX(Lists!$L$2:$L$38,MATCH(LEFT(AZ407,2),Lists!$K$2:$K$38,0)),"Unknown code"))</f>
        <v/>
      </c>
      <c r="AV407" s="29">
        <f>IF(AZ407="","",IFERROR(IF(NOT(AND(LEN(AZ407)=15,ISNUMBER(MATCH(LEFT(AZ407,2),Lists!$K$2:$K$38,0)),SUMPRODUCT(--ISERROR(FIND(MID(MID(AZ407,3,10),{1,2,3,4,5,10},1),"ABCDEFGHIJKLMNOPQRSTUVWXYZ")))=0,SUMPRODUCT(--ISERROR(FIND(MID(MID(AZ407,3,10),{6,7,8,9},1),"0123456789")))=0,ISNUMBER(FIND(MID(AZ407,13,1),"123456789ABCDEFGHIJKLMNOPQRSTUVWXYZ")),MID(AZ407,14,1)="Z")),"Wrong format",IF(MID("0123456789ABCDEFGHIJKLMNOPQRSTUVWXYZ",MOD(36-MOD(SUMPRODUCT(INT((FIND(MID(AZ407,{1,2,3,4,5,6,7,8,9,10,11,12,13,14},1),"0123456789ABCDEFGHIJKLMNOPQRSTUVWXYZ")-1)*{1,2,1,2,1,2,1,2,1,2,1,2,1,2}/36)+MOD((FIND(MID(AZ407,{1,2,3,4,5,6,7,8,9,10,11,12,13,14},1),"0123456789ABCDEFGHIJKLMNOPQRSTUVWXYZ")-1)*{1,2,1,2,1,2,1,2,1,2,1,2,1,2},36)),36),36)+1,1)=MID(AZ407,15,1),"OK","Typo? check digit wrong")),"Wrong format"))</f>
        <v/>
      </c>
      <c r="AW407" s="29">
        <f>IF(BA407="","",IF(AND(LEN(BA407)=10,SUMPRODUCT(--ISERROR(FIND(MID(BA407,{1,2,3,4,5,10},1),"ABCDEFGHIJKLMNOPQRSTUVWXYZ")))=0,SUMPRODUCT(--ISERROR(FIND(MID(BA407,{6,7,8,9},1),"0123456789")))=0),"OK","Wrong format"))</f>
        <v/>
      </c>
      <c r="AX407" s="29">
        <f>IF(TRIM(H407)="","",IF(AND(LEN(UPPER(TRIM(H407)))=10,SUMPRODUCT(--ISERROR(FIND(MID(UPPER(TRIM(H407)),{1,2,3,4,10},1),"ABCDEFGHIJKLMNOPQRSTUVWXYZ")))=0,SUMPRODUCT(--ISERROR(FIND(MID(UPPER(TRIM(H407)),{5,6,7,8,9},1),"0123456789")))=0),"OK","Wrong format"))</f>
        <v/>
      </c>
      <c r="AY407" s="30">
        <f>IF(NOT(COUNTA(A407:AE407)&gt;0),"",IF(BE407&lt;&gt;"","✖ "&amp;LEFT(BE407,LEN(BE407)-2),IF(BD407&gt;0,"✔ Ready — client + "&amp;BD407&amp;" service(s)","✔ Ready — client only")))</f>
        <v/>
      </c>
      <c r="AZ407" s="31">
        <f>UPPER(SUBSTITUTE(TRIM(F407)," ",""))</f>
        <v/>
      </c>
      <c r="BA407" s="31">
        <f>UPPER(SUBSTITUTE(TRIM(E407)," ",""))</f>
        <v/>
      </c>
      <c r="BB407" s="31">
        <f>IF(D407&lt;&gt;"",D407,IFERROR(VLOOKUP(MID(AS407,4,1),Lists!$E$2:$F$8,2,FALSE),""))</f>
        <v/>
      </c>
      <c r="BC407" s="31">
        <f>IFERROR(VLOOKUP(BB407,Lists!$A$2:$C$12,3,FALSE),"")</f>
        <v/>
      </c>
      <c r="BD407" s="31">
        <f>COUNTIF(W407:AC407,"Yes")</f>
        <v/>
      </c>
      <c r="BE407" s="31">
        <f>IF(TRIM(B407)="","Legal name missing; ","")&amp;IF(AND(AV407&lt;&gt;"",AV407&lt;&gt;"OK"),"GSTIN: "&amp;AV407&amp;"; ","")&amp;IF(AND(AW407&lt;&gt;"",AW407&lt;&gt;"OK"),"PAN wrong format; ","")&amp;IF(AND(BA407&lt;&gt;"",LEN(AZ407)=15,MID(AZ407,3,10)&lt;&gt;BA407),"PAN does not match GSTIN; ","")&amp;IF(AND(AX407&lt;&gt;"",AX407&lt;&gt;"OK"),"TAN wrong format; ","")&amp;IF(AS407="","PAN missing; ","")&amp;IF(BB407="","Entity type missing; ","")&amp;IF(AND(AZ407&lt;&gt;"",COUNTIF($AZ$6:$AZ$1005,AZ407)&gt;1),"GSTIN repeated in this sheet; ","")&amp;IF(AND(AS407&lt;&gt;"",COUNTIF($AS$6:$AS$1005,AS407)&gt;1),"PAN repeated in this sheet (same client? put extra GSTINs in Other GSTINs); ","")&amp;IF(AND(BD407&gt;0,V407=""),"Financial year missing; ","")&amp;IF(AND(BD407=0,V407&lt;&gt;""),"Financial year given but no service is Yes; ","")&amp;IF(AND(W407="Yes",AZ407=""),"GST needs a GSTIN; ","")&amp;IF(AND(W407="Yes",X407=""),"GST return frequency missing; ","")&amp;IF(AND(Y407="Yes",TRIM(H407)=""),"TDS needs a TAN; ","")&amp;IF(AND(AA407="Yes",BC407&lt;&gt;"",BC407&lt;&gt;"company",BC407&lt;&gt;"llp"),"ROC is only for a company / LLP; ","")&amp;IF(AND(AA407="Yes",OR(BC407="company",BC407="llp"),TRIM(I407)=""),"ROC needs the CIN / LLPIN; ","")&amp;IF((TRIM(AF407)="")&lt;&gt;(TRIM(AG407)=""),"GST login needs both user ID and password; ","")&amp;IF((TRIM(AH407)="")&lt;&gt;(TRIM(AI407)=""),"Income-tax login needs both user ID and password; ","")&amp;IF((TRIM(AJ407)="")&lt;&gt;(TRIM(AK407)=""),"Income-tax login needs both user ID and password; ","")&amp;IF((TRIM(AL407)="")&lt;&gt;(TRIM(AM407)=""),"TRACES login needs both user ID and password; ","")&amp;IF((TRIM(AN407)="")&lt;&gt;(TRIM(AO407)=""),"MCA login needs both user ID and password; ","")&amp;IF((TRIM(AP407)="")&lt;&gt;(TRIM(AQ407)=""),"E-way bill login needs both user ID and password; ","")</f>
        <v/>
      </c>
    </row>
    <row r="408">
      <c r="A408" s="32" t="n"/>
      <c r="B408" s="33" t="n"/>
      <c r="C408" s="33" t="n"/>
      <c r="D408" s="33" t="n"/>
      <c r="E408" s="32" t="n"/>
      <c r="F408" s="32" t="n"/>
      <c r="G408" s="32" t="n"/>
      <c r="H408" s="32" t="n"/>
      <c r="I408" s="32" t="n"/>
      <c r="J408" s="34" t="n"/>
      <c r="K408" s="33" t="n"/>
      <c r="L408" s="32" t="n"/>
      <c r="M408" s="33" t="n"/>
      <c r="N408" s="33" t="n"/>
      <c r="O408" s="33" t="n"/>
      <c r="P408" s="32" t="n"/>
      <c r="Q408" s="33" t="n"/>
      <c r="R408" s="33" t="n"/>
      <c r="S408" s="33" t="n"/>
      <c r="T408" s="33" t="n"/>
      <c r="U408" s="32" t="n"/>
      <c r="V408" s="33" t="n"/>
      <c r="W408" s="33" t="n"/>
      <c r="X408" s="33" t="n"/>
      <c r="Y408" s="33" t="n"/>
      <c r="Z408" s="33" t="n"/>
      <c r="AA408" s="33" t="n"/>
      <c r="AB408" s="33" t="n"/>
      <c r="AC408" s="33" t="n"/>
      <c r="AD408" s="33" t="n"/>
      <c r="AE408" s="33" t="n"/>
      <c r="AF408" s="32" t="n"/>
      <c r="AG408" s="32" t="n"/>
      <c r="AH408" s="32" t="n"/>
      <c r="AI408" s="32" t="n"/>
      <c r="AJ408" s="32" t="n"/>
      <c r="AK408" s="32" t="n"/>
      <c r="AL408" s="32" t="n"/>
      <c r="AM408" s="32" t="n"/>
      <c r="AN408" s="32" t="n"/>
      <c r="AO408" s="32" t="n"/>
      <c r="AP408" s="32" t="n"/>
      <c r="AQ408" s="32" t="n"/>
      <c r="AR408" s="29">
        <f>IF(NOT(COUNTA(A408:AE408)&gt;0),"",IF(A408="","New client","Update"))</f>
        <v/>
      </c>
      <c r="AS408" s="29">
        <f>IF(BA408&lt;&gt;"",BA408,IF(LEN(AZ408)=15,MID(AZ408,3,10),""))</f>
        <v/>
      </c>
      <c r="AT408" s="29">
        <f>IF(BB408="","",BB408&amp;IF(D408="","  (guessed from PAN)",""))</f>
        <v/>
      </c>
      <c r="AU408" s="29">
        <f>IF(AZ408="","",IFERROR(INDEX(Lists!$L$2:$L$38,MATCH(LEFT(AZ408,2),Lists!$K$2:$K$38,0)),"Unknown code"))</f>
        <v/>
      </c>
      <c r="AV408" s="29">
        <f>IF(AZ408="","",IFERROR(IF(NOT(AND(LEN(AZ408)=15,ISNUMBER(MATCH(LEFT(AZ408,2),Lists!$K$2:$K$38,0)),SUMPRODUCT(--ISERROR(FIND(MID(MID(AZ408,3,10),{1,2,3,4,5,10},1),"ABCDEFGHIJKLMNOPQRSTUVWXYZ")))=0,SUMPRODUCT(--ISERROR(FIND(MID(MID(AZ408,3,10),{6,7,8,9},1),"0123456789")))=0,ISNUMBER(FIND(MID(AZ408,13,1),"123456789ABCDEFGHIJKLMNOPQRSTUVWXYZ")),MID(AZ408,14,1)="Z")),"Wrong format",IF(MID("0123456789ABCDEFGHIJKLMNOPQRSTUVWXYZ",MOD(36-MOD(SUMPRODUCT(INT((FIND(MID(AZ408,{1,2,3,4,5,6,7,8,9,10,11,12,13,14},1),"0123456789ABCDEFGHIJKLMNOPQRSTUVWXYZ")-1)*{1,2,1,2,1,2,1,2,1,2,1,2,1,2}/36)+MOD((FIND(MID(AZ408,{1,2,3,4,5,6,7,8,9,10,11,12,13,14},1),"0123456789ABCDEFGHIJKLMNOPQRSTUVWXYZ")-1)*{1,2,1,2,1,2,1,2,1,2,1,2,1,2},36)),36),36)+1,1)=MID(AZ408,15,1),"OK","Typo? check digit wrong")),"Wrong format"))</f>
        <v/>
      </c>
      <c r="AW408" s="29">
        <f>IF(BA408="","",IF(AND(LEN(BA408)=10,SUMPRODUCT(--ISERROR(FIND(MID(BA408,{1,2,3,4,5,10},1),"ABCDEFGHIJKLMNOPQRSTUVWXYZ")))=0,SUMPRODUCT(--ISERROR(FIND(MID(BA408,{6,7,8,9},1),"0123456789")))=0),"OK","Wrong format"))</f>
        <v/>
      </c>
      <c r="AX408" s="29">
        <f>IF(TRIM(H408)="","",IF(AND(LEN(UPPER(TRIM(H408)))=10,SUMPRODUCT(--ISERROR(FIND(MID(UPPER(TRIM(H408)),{1,2,3,4,10},1),"ABCDEFGHIJKLMNOPQRSTUVWXYZ")))=0,SUMPRODUCT(--ISERROR(FIND(MID(UPPER(TRIM(H408)),{5,6,7,8,9},1),"0123456789")))=0),"OK","Wrong format"))</f>
        <v/>
      </c>
      <c r="AY408" s="30">
        <f>IF(NOT(COUNTA(A408:AE408)&gt;0),"",IF(BE408&lt;&gt;"","✖ "&amp;LEFT(BE408,LEN(BE408)-2),IF(BD408&gt;0,"✔ Ready — client + "&amp;BD408&amp;" service(s)","✔ Ready — client only")))</f>
        <v/>
      </c>
      <c r="AZ408" s="31">
        <f>UPPER(SUBSTITUTE(TRIM(F408)," ",""))</f>
        <v/>
      </c>
      <c r="BA408" s="31">
        <f>UPPER(SUBSTITUTE(TRIM(E408)," ",""))</f>
        <v/>
      </c>
      <c r="BB408" s="31">
        <f>IF(D408&lt;&gt;"",D408,IFERROR(VLOOKUP(MID(AS408,4,1),Lists!$E$2:$F$8,2,FALSE),""))</f>
        <v/>
      </c>
      <c r="BC408" s="31">
        <f>IFERROR(VLOOKUP(BB408,Lists!$A$2:$C$12,3,FALSE),"")</f>
        <v/>
      </c>
      <c r="BD408" s="31">
        <f>COUNTIF(W408:AC408,"Yes")</f>
        <v/>
      </c>
      <c r="BE408" s="31">
        <f>IF(TRIM(B408)="","Legal name missing; ","")&amp;IF(AND(AV408&lt;&gt;"",AV408&lt;&gt;"OK"),"GSTIN: "&amp;AV408&amp;"; ","")&amp;IF(AND(AW408&lt;&gt;"",AW408&lt;&gt;"OK"),"PAN wrong format; ","")&amp;IF(AND(BA408&lt;&gt;"",LEN(AZ408)=15,MID(AZ408,3,10)&lt;&gt;BA408),"PAN does not match GSTIN; ","")&amp;IF(AND(AX408&lt;&gt;"",AX408&lt;&gt;"OK"),"TAN wrong format; ","")&amp;IF(AS408="","PAN missing; ","")&amp;IF(BB408="","Entity type missing; ","")&amp;IF(AND(AZ408&lt;&gt;"",COUNTIF($AZ$6:$AZ$1005,AZ408)&gt;1),"GSTIN repeated in this sheet; ","")&amp;IF(AND(AS408&lt;&gt;"",COUNTIF($AS$6:$AS$1005,AS408)&gt;1),"PAN repeated in this sheet (same client? put extra GSTINs in Other GSTINs); ","")&amp;IF(AND(BD408&gt;0,V408=""),"Financial year missing; ","")&amp;IF(AND(BD408=0,V408&lt;&gt;""),"Financial year given but no service is Yes; ","")&amp;IF(AND(W408="Yes",AZ408=""),"GST needs a GSTIN; ","")&amp;IF(AND(W408="Yes",X408=""),"GST return frequency missing; ","")&amp;IF(AND(Y408="Yes",TRIM(H408)=""),"TDS needs a TAN; ","")&amp;IF(AND(AA408="Yes",BC408&lt;&gt;"",BC408&lt;&gt;"company",BC408&lt;&gt;"llp"),"ROC is only for a company / LLP; ","")&amp;IF(AND(AA408="Yes",OR(BC408="company",BC408="llp"),TRIM(I408)=""),"ROC needs the CIN / LLPIN; ","")&amp;IF((TRIM(AF408)="")&lt;&gt;(TRIM(AG408)=""),"GST login needs both user ID and password; ","")&amp;IF((TRIM(AH408)="")&lt;&gt;(TRIM(AI408)=""),"Income-tax login needs both user ID and password; ","")&amp;IF((TRIM(AJ408)="")&lt;&gt;(TRIM(AK408)=""),"Income-tax login needs both user ID and password; ","")&amp;IF((TRIM(AL408)="")&lt;&gt;(TRIM(AM408)=""),"TRACES login needs both user ID and password; ","")&amp;IF((TRIM(AN408)="")&lt;&gt;(TRIM(AO408)=""),"MCA login needs both user ID and password; ","")&amp;IF((TRIM(AP408)="")&lt;&gt;(TRIM(AQ408)=""),"E-way bill login needs both user ID and password; ","")</f>
        <v/>
      </c>
    </row>
    <row r="409">
      <c r="A409" s="32" t="n"/>
      <c r="B409" s="33" t="n"/>
      <c r="C409" s="33" t="n"/>
      <c r="D409" s="33" t="n"/>
      <c r="E409" s="32" t="n"/>
      <c r="F409" s="32" t="n"/>
      <c r="G409" s="32" t="n"/>
      <c r="H409" s="32" t="n"/>
      <c r="I409" s="32" t="n"/>
      <c r="J409" s="34" t="n"/>
      <c r="K409" s="33" t="n"/>
      <c r="L409" s="32" t="n"/>
      <c r="M409" s="33" t="n"/>
      <c r="N409" s="33" t="n"/>
      <c r="O409" s="33" t="n"/>
      <c r="P409" s="32" t="n"/>
      <c r="Q409" s="33" t="n"/>
      <c r="R409" s="33" t="n"/>
      <c r="S409" s="33" t="n"/>
      <c r="T409" s="33" t="n"/>
      <c r="U409" s="32" t="n"/>
      <c r="V409" s="33" t="n"/>
      <c r="W409" s="33" t="n"/>
      <c r="X409" s="33" t="n"/>
      <c r="Y409" s="33" t="n"/>
      <c r="Z409" s="33" t="n"/>
      <c r="AA409" s="33" t="n"/>
      <c r="AB409" s="33" t="n"/>
      <c r="AC409" s="33" t="n"/>
      <c r="AD409" s="33" t="n"/>
      <c r="AE409" s="33" t="n"/>
      <c r="AF409" s="32" t="n"/>
      <c r="AG409" s="32" t="n"/>
      <c r="AH409" s="32" t="n"/>
      <c r="AI409" s="32" t="n"/>
      <c r="AJ409" s="32" t="n"/>
      <c r="AK409" s="32" t="n"/>
      <c r="AL409" s="32" t="n"/>
      <c r="AM409" s="32" t="n"/>
      <c r="AN409" s="32" t="n"/>
      <c r="AO409" s="32" t="n"/>
      <c r="AP409" s="32" t="n"/>
      <c r="AQ409" s="32" t="n"/>
      <c r="AR409" s="29">
        <f>IF(NOT(COUNTA(A409:AE409)&gt;0),"",IF(A409="","New client","Update"))</f>
        <v/>
      </c>
      <c r="AS409" s="29">
        <f>IF(BA409&lt;&gt;"",BA409,IF(LEN(AZ409)=15,MID(AZ409,3,10),""))</f>
        <v/>
      </c>
      <c r="AT409" s="29">
        <f>IF(BB409="","",BB409&amp;IF(D409="","  (guessed from PAN)",""))</f>
        <v/>
      </c>
      <c r="AU409" s="29">
        <f>IF(AZ409="","",IFERROR(INDEX(Lists!$L$2:$L$38,MATCH(LEFT(AZ409,2),Lists!$K$2:$K$38,0)),"Unknown code"))</f>
        <v/>
      </c>
      <c r="AV409" s="29">
        <f>IF(AZ409="","",IFERROR(IF(NOT(AND(LEN(AZ409)=15,ISNUMBER(MATCH(LEFT(AZ409,2),Lists!$K$2:$K$38,0)),SUMPRODUCT(--ISERROR(FIND(MID(MID(AZ409,3,10),{1,2,3,4,5,10},1),"ABCDEFGHIJKLMNOPQRSTUVWXYZ")))=0,SUMPRODUCT(--ISERROR(FIND(MID(MID(AZ409,3,10),{6,7,8,9},1),"0123456789")))=0,ISNUMBER(FIND(MID(AZ409,13,1),"123456789ABCDEFGHIJKLMNOPQRSTUVWXYZ")),MID(AZ409,14,1)="Z")),"Wrong format",IF(MID("0123456789ABCDEFGHIJKLMNOPQRSTUVWXYZ",MOD(36-MOD(SUMPRODUCT(INT((FIND(MID(AZ409,{1,2,3,4,5,6,7,8,9,10,11,12,13,14},1),"0123456789ABCDEFGHIJKLMNOPQRSTUVWXYZ")-1)*{1,2,1,2,1,2,1,2,1,2,1,2,1,2}/36)+MOD((FIND(MID(AZ409,{1,2,3,4,5,6,7,8,9,10,11,12,13,14},1),"0123456789ABCDEFGHIJKLMNOPQRSTUVWXYZ")-1)*{1,2,1,2,1,2,1,2,1,2,1,2,1,2},36)),36),36)+1,1)=MID(AZ409,15,1),"OK","Typo? check digit wrong")),"Wrong format"))</f>
        <v/>
      </c>
      <c r="AW409" s="29">
        <f>IF(BA409="","",IF(AND(LEN(BA409)=10,SUMPRODUCT(--ISERROR(FIND(MID(BA409,{1,2,3,4,5,10},1),"ABCDEFGHIJKLMNOPQRSTUVWXYZ")))=0,SUMPRODUCT(--ISERROR(FIND(MID(BA409,{6,7,8,9},1),"0123456789")))=0),"OK","Wrong format"))</f>
        <v/>
      </c>
      <c r="AX409" s="29">
        <f>IF(TRIM(H409)="","",IF(AND(LEN(UPPER(TRIM(H409)))=10,SUMPRODUCT(--ISERROR(FIND(MID(UPPER(TRIM(H409)),{1,2,3,4,10},1),"ABCDEFGHIJKLMNOPQRSTUVWXYZ")))=0,SUMPRODUCT(--ISERROR(FIND(MID(UPPER(TRIM(H409)),{5,6,7,8,9},1),"0123456789")))=0),"OK","Wrong format"))</f>
        <v/>
      </c>
      <c r="AY409" s="30">
        <f>IF(NOT(COUNTA(A409:AE409)&gt;0),"",IF(BE409&lt;&gt;"","✖ "&amp;LEFT(BE409,LEN(BE409)-2),IF(BD409&gt;0,"✔ Ready — client + "&amp;BD409&amp;" service(s)","✔ Ready — client only")))</f>
        <v/>
      </c>
      <c r="AZ409" s="31">
        <f>UPPER(SUBSTITUTE(TRIM(F409)," ",""))</f>
        <v/>
      </c>
      <c r="BA409" s="31">
        <f>UPPER(SUBSTITUTE(TRIM(E409)," ",""))</f>
        <v/>
      </c>
      <c r="BB409" s="31">
        <f>IF(D409&lt;&gt;"",D409,IFERROR(VLOOKUP(MID(AS409,4,1),Lists!$E$2:$F$8,2,FALSE),""))</f>
        <v/>
      </c>
      <c r="BC409" s="31">
        <f>IFERROR(VLOOKUP(BB409,Lists!$A$2:$C$12,3,FALSE),"")</f>
        <v/>
      </c>
      <c r="BD409" s="31">
        <f>COUNTIF(W409:AC409,"Yes")</f>
        <v/>
      </c>
      <c r="BE409" s="31">
        <f>IF(TRIM(B409)="","Legal name missing; ","")&amp;IF(AND(AV409&lt;&gt;"",AV409&lt;&gt;"OK"),"GSTIN: "&amp;AV409&amp;"; ","")&amp;IF(AND(AW409&lt;&gt;"",AW409&lt;&gt;"OK"),"PAN wrong format; ","")&amp;IF(AND(BA409&lt;&gt;"",LEN(AZ409)=15,MID(AZ409,3,10)&lt;&gt;BA409),"PAN does not match GSTIN; ","")&amp;IF(AND(AX409&lt;&gt;"",AX409&lt;&gt;"OK"),"TAN wrong format; ","")&amp;IF(AS409="","PAN missing; ","")&amp;IF(BB409="","Entity type missing; ","")&amp;IF(AND(AZ409&lt;&gt;"",COUNTIF($AZ$6:$AZ$1005,AZ409)&gt;1),"GSTIN repeated in this sheet; ","")&amp;IF(AND(AS409&lt;&gt;"",COUNTIF($AS$6:$AS$1005,AS409)&gt;1),"PAN repeated in this sheet (same client? put extra GSTINs in Other GSTINs); ","")&amp;IF(AND(BD409&gt;0,V409=""),"Financial year missing; ","")&amp;IF(AND(BD409=0,V409&lt;&gt;""),"Financial year given but no service is Yes; ","")&amp;IF(AND(W409="Yes",AZ409=""),"GST needs a GSTIN; ","")&amp;IF(AND(W409="Yes",X409=""),"GST return frequency missing; ","")&amp;IF(AND(Y409="Yes",TRIM(H409)=""),"TDS needs a TAN; ","")&amp;IF(AND(AA409="Yes",BC409&lt;&gt;"",BC409&lt;&gt;"company",BC409&lt;&gt;"llp"),"ROC is only for a company / LLP; ","")&amp;IF(AND(AA409="Yes",OR(BC409="company",BC409="llp"),TRIM(I409)=""),"ROC needs the CIN / LLPIN; ","")&amp;IF((TRIM(AF409)="")&lt;&gt;(TRIM(AG409)=""),"GST login needs both user ID and password; ","")&amp;IF((TRIM(AH409)="")&lt;&gt;(TRIM(AI409)=""),"Income-tax login needs both user ID and password; ","")&amp;IF((TRIM(AJ409)="")&lt;&gt;(TRIM(AK409)=""),"Income-tax login needs both user ID and password; ","")&amp;IF((TRIM(AL409)="")&lt;&gt;(TRIM(AM409)=""),"TRACES login needs both user ID and password; ","")&amp;IF((TRIM(AN409)="")&lt;&gt;(TRIM(AO409)=""),"MCA login needs both user ID and password; ","")&amp;IF((TRIM(AP409)="")&lt;&gt;(TRIM(AQ409)=""),"E-way bill login needs both user ID and password; ","")</f>
        <v/>
      </c>
    </row>
    <row r="410">
      <c r="A410" s="32" t="n"/>
      <c r="B410" s="33" t="n"/>
      <c r="C410" s="33" t="n"/>
      <c r="D410" s="33" t="n"/>
      <c r="E410" s="32" t="n"/>
      <c r="F410" s="32" t="n"/>
      <c r="G410" s="32" t="n"/>
      <c r="H410" s="32" t="n"/>
      <c r="I410" s="32" t="n"/>
      <c r="J410" s="34" t="n"/>
      <c r="K410" s="33" t="n"/>
      <c r="L410" s="32" t="n"/>
      <c r="M410" s="33" t="n"/>
      <c r="N410" s="33" t="n"/>
      <c r="O410" s="33" t="n"/>
      <c r="P410" s="32" t="n"/>
      <c r="Q410" s="33" t="n"/>
      <c r="R410" s="33" t="n"/>
      <c r="S410" s="33" t="n"/>
      <c r="T410" s="33" t="n"/>
      <c r="U410" s="32" t="n"/>
      <c r="V410" s="33" t="n"/>
      <c r="W410" s="33" t="n"/>
      <c r="X410" s="33" t="n"/>
      <c r="Y410" s="33" t="n"/>
      <c r="Z410" s="33" t="n"/>
      <c r="AA410" s="33" t="n"/>
      <c r="AB410" s="33" t="n"/>
      <c r="AC410" s="33" t="n"/>
      <c r="AD410" s="33" t="n"/>
      <c r="AE410" s="33" t="n"/>
      <c r="AF410" s="32" t="n"/>
      <c r="AG410" s="32" t="n"/>
      <c r="AH410" s="32" t="n"/>
      <c r="AI410" s="32" t="n"/>
      <c r="AJ410" s="32" t="n"/>
      <c r="AK410" s="32" t="n"/>
      <c r="AL410" s="32" t="n"/>
      <c r="AM410" s="32" t="n"/>
      <c r="AN410" s="32" t="n"/>
      <c r="AO410" s="32" t="n"/>
      <c r="AP410" s="32" t="n"/>
      <c r="AQ410" s="32" t="n"/>
      <c r="AR410" s="29">
        <f>IF(NOT(COUNTA(A410:AE410)&gt;0),"",IF(A410="","New client","Update"))</f>
        <v/>
      </c>
      <c r="AS410" s="29">
        <f>IF(BA410&lt;&gt;"",BA410,IF(LEN(AZ410)=15,MID(AZ410,3,10),""))</f>
        <v/>
      </c>
      <c r="AT410" s="29">
        <f>IF(BB410="","",BB410&amp;IF(D410="","  (guessed from PAN)",""))</f>
        <v/>
      </c>
      <c r="AU410" s="29">
        <f>IF(AZ410="","",IFERROR(INDEX(Lists!$L$2:$L$38,MATCH(LEFT(AZ410,2),Lists!$K$2:$K$38,0)),"Unknown code"))</f>
        <v/>
      </c>
      <c r="AV410" s="29">
        <f>IF(AZ410="","",IFERROR(IF(NOT(AND(LEN(AZ410)=15,ISNUMBER(MATCH(LEFT(AZ410,2),Lists!$K$2:$K$38,0)),SUMPRODUCT(--ISERROR(FIND(MID(MID(AZ410,3,10),{1,2,3,4,5,10},1),"ABCDEFGHIJKLMNOPQRSTUVWXYZ")))=0,SUMPRODUCT(--ISERROR(FIND(MID(MID(AZ410,3,10),{6,7,8,9},1),"0123456789")))=0,ISNUMBER(FIND(MID(AZ410,13,1),"123456789ABCDEFGHIJKLMNOPQRSTUVWXYZ")),MID(AZ410,14,1)="Z")),"Wrong format",IF(MID("0123456789ABCDEFGHIJKLMNOPQRSTUVWXYZ",MOD(36-MOD(SUMPRODUCT(INT((FIND(MID(AZ410,{1,2,3,4,5,6,7,8,9,10,11,12,13,14},1),"0123456789ABCDEFGHIJKLMNOPQRSTUVWXYZ")-1)*{1,2,1,2,1,2,1,2,1,2,1,2,1,2}/36)+MOD((FIND(MID(AZ410,{1,2,3,4,5,6,7,8,9,10,11,12,13,14},1),"0123456789ABCDEFGHIJKLMNOPQRSTUVWXYZ")-1)*{1,2,1,2,1,2,1,2,1,2,1,2,1,2},36)),36),36)+1,1)=MID(AZ410,15,1),"OK","Typo? check digit wrong")),"Wrong format"))</f>
        <v/>
      </c>
      <c r="AW410" s="29">
        <f>IF(BA410="","",IF(AND(LEN(BA410)=10,SUMPRODUCT(--ISERROR(FIND(MID(BA410,{1,2,3,4,5,10},1),"ABCDEFGHIJKLMNOPQRSTUVWXYZ")))=0,SUMPRODUCT(--ISERROR(FIND(MID(BA410,{6,7,8,9},1),"0123456789")))=0),"OK","Wrong format"))</f>
        <v/>
      </c>
      <c r="AX410" s="29">
        <f>IF(TRIM(H410)="","",IF(AND(LEN(UPPER(TRIM(H410)))=10,SUMPRODUCT(--ISERROR(FIND(MID(UPPER(TRIM(H410)),{1,2,3,4,10},1),"ABCDEFGHIJKLMNOPQRSTUVWXYZ")))=0,SUMPRODUCT(--ISERROR(FIND(MID(UPPER(TRIM(H410)),{5,6,7,8,9},1),"0123456789")))=0),"OK","Wrong format"))</f>
        <v/>
      </c>
      <c r="AY410" s="30">
        <f>IF(NOT(COUNTA(A410:AE410)&gt;0),"",IF(BE410&lt;&gt;"","✖ "&amp;LEFT(BE410,LEN(BE410)-2),IF(BD410&gt;0,"✔ Ready — client + "&amp;BD410&amp;" service(s)","✔ Ready — client only")))</f>
        <v/>
      </c>
      <c r="AZ410" s="31">
        <f>UPPER(SUBSTITUTE(TRIM(F410)," ",""))</f>
        <v/>
      </c>
      <c r="BA410" s="31">
        <f>UPPER(SUBSTITUTE(TRIM(E410)," ",""))</f>
        <v/>
      </c>
      <c r="BB410" s="31">
        <f>IF(D410&lt;&gt;"",D410,IFERROR(VLOOKUP(MID(AS410,4,1),Lists!$E$2:$F$8,2,FALSE),""))</f>
        <v/>
      </c>
      <c r="BC410" s="31">
        <f>IFERROR(VLOOKUP(BB410,Lists!$A$2:$C$12,3,FALSE),"")</f>
        <v/>
      </c>
      <c r="BD410" s="31">
        <f>COUNTIF(W410:AC410,"Yes")</f>
        <v/>
      </c>
      <c r="BE410" s="31">
        <f>IF(TRIM(B410)="","Legal name missing; ","")&amp;IF(AND(AV410&lt;&gt;"",AV410&lt;&gt;"OK"),"GSTIN: "&amp;AV410&amp;"; ","")&amp;IF(AND(AW410&lt;&gt;"",AW410&lt;&gt;"OK"),"PAN wrong format; ","")&amp;IF(AND(BA410&lt;&gt;"",LEN(AZ410)=15,MID(AZ410,3,10)&lt;&gt;BA410),"PAN does not match GSTIN; ","")&amp;IF(AND(AX410&lt;&gt;"",AX410&lt;&gt;"OK"),"TAN wrong format; ","")&amp;IF(AS410="","PAN missing; ","")&amp;IF(BB410="","Entity type missing; ","")&amp;IF(AND(AZ410&lt;&gt;"",COUNTIF($AZ$6:$AZ$1005,AZ410)&gt;1),"GSTIN repeated in this sheet; ","")&amp;IF(AND(AS410&lt;&gt;"",COUNTIF($AS$6:$AS$1005,AS410)&gt;1),"PAN repeated in this sheet (same client? put extra GSTINs in Other GSTINs); ","")&amp;IF(AND(BD410&gt;0,V410=""),"Financial year missing; ","")&amp;IF(AND(BD410=0,V410&lt;&gt;""),"Financial year given but no service is Yes; ","")&amp;IF(AND(W410="Yes",AZ410=""),"GST needs a GSTIN; ","")&amp;IF(AND(W410="Yes",X410=""),"GST return frequency missing; ","")&amp;IF(AND(Y410="Yes",TRIM(H410)=""),"TDS needs a TAN; ","")&amp;IF(AND(AA410="Yes",BC410&lt;&gt;"",BC410&lt;&gt;"company",BC410&lt;&gt;"llp"),"ROC is only for a company / LLP; ","")&amp;IF(AND(AA410="Yes",OR(BC410="company",BC410="llp"),TRIM(I410)=""),"ROC needs the CIN / LLPIN; ","")&amp;IF((TRIM(AF410)="")&lt;&gt;(TRIM(AG410)=""),"GST login needs both user ID and password; ","")&amp;IF((TRIM(AH410)="")&lt;&gt;(TRIM(AI410)=""),"Income-tax login needs both user ID and password; ","")&amp;IF((TRIM(AJ410)="")&lt;&gt;(TRIM(AK410)=""),"Income-tax login needs both user ID and password; ","")&amp;IF((TRIM(AL410)="")&lt;&gt;(TRIM(AM410)=""),"TRACES login needs both user ID and password; ","")&amp;IF((TRIM(AN410)="")&lt;&gt;(TRIM(AO410)=""),"MCA login needs both user ID and password; ","")&amp;IF((TRIM(AP410)="")&lt;&gt;(TRIM(AQ410)=""),"E-way bill login needs both user ID and password; ","")</f>
        <v/>
      </c>
    </row>
    <row r="411">
      <c r="A411" s="32" t="n"/>
      <c r="B411" s="33" t="n"/>
      <c r="C411" s="33" t="n"/>
      <c r="D411" s="33" t="n"/>
      <c r="E411" s="32" t="n"/>
      <c r="F411" s="32" t="n"/>
      <c r="G411" s="32" t="n"/>
      <c r="H411" s="32" t="n"/>
      <c r="I411" s="32" t="n"/>
      <c r="J411" s="34" t="n"/>
      <c r="K411" s="33" t="n"/>
      <c r="L411" s="32" t="n"/>
      <c r="M411" s="33" t="n"/>
      <c r="N411" s="33" t="n"/>
      <c r="O411" s="33" t="n"/>
      <c r="P411" s="32" t="n"/>
      <c r="Q411" s="33" t="n"/>
      <c r="R411" s="33" t="n"/>
      <c r="S411" s="33" t="n"/>
      <c r="T411" s="33" t="n"/>
      <c r="U411" s="32" t="n"/>
      <c r="V411" s="33" t="n"/>
      <c r="W411" s="33" t="n"/>
      <c r="X411" s="33" t="n"/>
      <c r="Y411" s="33" t="n"/>
      <c r="Z411" s="33" t="n"/>
      <c r="AA411" s="33" t="n"/>
      <c r="AB411" s="33" t="n"/>
      <c r="AC411" s="33" t="n"/>
      <c r="AD411" s="33" t="n"/>
      <c r="AE411" s="33" t="n"/>
      <c r="AF411" s="32" t="n"/>
      <c r="AG411" s="32" t="n"/>
      <c r="AH411" s="32" t="n"/>
      <c r="AI411" s="32" t="n"/>
      <c r="AJ411" s="32" t="n"/>
      <c r="AK411" s="32" t="n"/>
      <c r="AL411" s="32" t="n"/>
      <c r="AM411" s="32" t="n"/>
      <c r="AN411" s="32" t="n"/>
      <c r="AO411" s="32" t="n"/>
      <c r="AP411" s="32" t="n"/>
      <c r="AQ411" s="32" t="n"/>
      <c r="AR411" s="29">
        <f>IF(NOT(COUNTA(A411:AE411)&gt;0),"",IF(A411="","New client","Update"))</f>
        <v/>
      </c>
      <c r="AS411" s="29">
        <f>IF(BA411&lt;&gt;"",BA411,IF(LEN(AZ411)=15,MID(AZ411,3,10),""))</f>
        <v/>
      </c>
      <c r="AT411" s="29">
        <f>IF(BB411="","",BB411&amp;IF(D411="","  (guessed from PAN)",""))</f>
        <v/>
      </c>
      <c r="AU411" s="29">
        <f>IF(AZ411="","",IFERROR(INDEX(Lists!$L$2:$L$38,MATCH(LEFT(AZ411,2),Lists!$K$2:$K$38,0)),"Unknown code"))</f>
        <v/>
      </c>
      <c r="AV411" s="29">
        <f>IF(AZ411="","",IFERROR(IF(NOT(AND(LEN(AZ411)=15,ISNUMBER(MATCH(LEFT(AZ411,2),Lists!$K$2:$K$38,0)),SUMPRODUCT(--ISERROR(FIND(MID(MID(AZ411,3,10),{1,2,3,4,5,10},1),"ABCDEFGHIJKLMNOPQRSTUVWXYZ")))=0,SUMPRODUCT(--ISERROR(FIND(MID(MID(AZ411,3,10),{6,7,8,9},1),"0123456789")))=0,ISNUMBER(FIND(MID(AZ411,13,1),"123456789ABCDEFGHIJKLMNOPQRSTUVWXYZ")),MID(AZ411,14,1)="Z")),"Wrong format",IF(MID("0123456789ABCDEFGHIJKLMNOPQRSTUVWXYZ",MOD(36-MOD(SUMPRODUCT(INT((FIND(MID(AZ411,{1,2,3,4,5,6,7,8,9,10,11,12,13,14},1),"0123456789ABCDEFGHIJKLMNOPQRSTUVWXYZ")-1)*{1,2,1,2,1,2,1,2,1,2,1,2,1,2}/36)+MOD((FIND(MID(AZ411,{1,2,3,4,5,6,7,8,9,10,11,12,13,14},1),"0123456789ABCDEFGHIJKLMNOPQRSTUVWXYZ")-1)*{1,2,1,2,1,2,1,2,1,2,1,2,1,2},36)),36),36)+1,1)=MID(AZ411,15,1),"OK","Typo? check digit wrong")),"Wrong format"))</f>
        <v/>
      </c>
      <c r="AW411" s="29">
        <f>IF(BA411="","",IF(AND(LEN(BA411)=10,SUMPRODUCT(--ISERROR(FIND(MID(BA411,{1,2,3,4,5,10},1),"ABCDEFGHIJKLMNOPQRSTUVWXYZ")))=0,SUMPRODUCT(--ISERROR(FIND(MID(BA411,{6,7,8,9},1),"0123456789")))=0),"OK","Wrong format"))</f>
        <v/>
      </c>
      <c r="AX411" s="29">
        <f>IF(TRIM(H411)="","",IF(AND(LEN(UPPER(TRIM(H411)))=10,SUMPRODUCT(--ISERROR(FIND(MID(UPPER(TRIM(H411)),{1,2,3,4,10},1),"ABCDEFGHIJKLMNOPQRSTUVWXYZ")))=0,SUMPRODUCT(--ISERROR(FIND(MID(UPPER(TRIM(H411)),{5,6,7,8,9},1),"0123456789")))=0),"OK","Wrong format"))</f>
        <v/>
      </c>
      <c r="AY411" s="30">
        <f>IF(NOT(COUNTA(A411:AE411)&gt;0),"",IF(BE411&lt;&gt;"","✖ "&amp;LEFT(BE411,LEN(BE411)-2),IF(BD411&gt;0,"✔ Ready — client + "&amp;BD411&amp;" service(s)","✔ Ready — client only")))</f>
        <v/>
      </c>
      <c r="AZ411" s="31">
        <f>UPPER(SUBSTITUTE(TRIM(F411)," ",""))</f>
        <v/>
      </c>
      <c r="BA411" s="31">
        <f>UPPER(SUBSTITUTE(TRIM(E411)," ",""))</f>
        <v/>
      </c>
      <c r="BB411" s="31">
        <f>IF(D411&lt;&gt;"",D411,IFERROR(VLOOKUP(MID(AS411,4,1),Lists!$E$2:$F$8,2,FALSE),""))</f>
        <v/>
      </c>
      <c r="BC411" s="31">
        <f>IFERROR(VLOOKUP(BB411,Lists!$A$2:$C$12,3,FALSE),"")</f>
        <v/>
      </c>
      <c r="BD411" s="31">
        <f>COUNTIF(W411:AC411,"Yes")</f>
        <v/>
      </c>
      <c r="BE411" s="31">
        <f>IF(TRIM(B411)="","Legal name missing; ","")&amp;IF(AND(AV411&lt;&gt;"",AV411&lt;&gt;"OK"),"GSTIN: "&amp;AV411&amp;"; ","")&amp;IF(AND(AW411&lt;&gt;"",AW411&lt;&gt;"OK"),"PAN wrong format; ","")&amp;IF(AND(BA411&lt;&gt;"",LEN(AZ411)=15,MID(AZ411,3,10)&lt;&gt;BA411),"PAN does not match GSTIN; ","")&amp;IF(AND(AX411&lt;&gt;"",AX411&lt;&gt;"OK"),"TAN wrong format; ","")&amp;IF(AS411="","PAN missing; ","")&amp;IF(BB411="","Entity type missing; ","")&amp;IF(AND(AZ411&lt;&gt;"",COUNTIF($AZ$6:$AZ$1005,AZ411)&gt;1),"GSTIN repeated in this sheet; ","")&amp;IF(AND(AS411&lt;&gt;"",COUNTIF($AS$6:$AS$1005,AS411)&gt;1),"PAN repeated in this sheet (same client? put extra GSTINs in Other GSTINs); ","")&amp;IF(AND(BD411&gt;0,V411=""),"Financial year missing; ","")&amp;IF(AND(BD411=0,V411&lt;&gt;""),"Financial year given but no service is Yes; ","")&amp;IF(AND(W411="Yes",AZ411=""),"GST needs a GSTIN; ","")&amp;IF(AND(W411="Yes",X411=""),"GST return frequency missing; ","")&amp;IF(AND(Y411="Yes",TRIM(H411)=""),"TDS needs a TAN; ","")&amp;IF(AND(AA411="Yes",BC411&lt;&gt;"",BC411&lt;&gt;"company",BC411&lt;&gt;"llp"),"ROC is only for a company / LLP; ","")&amp;IF(AND(AA411="Yes",OR(BC411="company",BC411="llp"),TRIM(I411)=""),"ROC needs the CIN / LLPIN; ","")&amp;IF((TRIM(AF411)="")&lt;&gt;(TRIM(AG411)=""),"GST login needs both user ID and password; ","")&amp;IF((TRIM(AH411)="")&lt;&gt;(TRIM(AI411)=""),"Income-tax login needs both user ID and password; ","")&amp;IF((TRIM(AJ411)="")&lt;&gt;(TRIM(AK411)=""),"Income-tax login needs both user ID and password; ","")&amp;IF((TRIM(AL411)="")&lt;&gt;(TRIM(AM411)=""),"TRACES login needs both user ID and password; ","")&amp;IF((TRIM(AN411)="")&lt;&gt;(TRIM(AO411)=""),"MCA login needs both user ID and password; ","")&amp;IF((TRIM(AP411)="")&lt;&gt;(TRIM(AQ411)=""),"E-way bill login needs both user ID and password; ","")</f>
        <v/>
      </c>
    </row>
    <row r="412">
      <c r="A412" s="32" t="n"/>
      <c r="B412" s="33" t="n"/>
      <c r="C412" s="33" t="n"/>
      <c r="D412" s="33" t="n"/>
      <c r="E412" s="32" t="n"/>
      <c r="F412" s="32" t="n"/>
      <c r="G412" s="32" t="n"/>
      <c r="H412" s="32" t="n"/>
      <c r="I412" s="32" t="n"/>
      <c r="J412" s="34" t="n"/>
      <c r="K412" s="33" t="n"/>
      <c r="L412" s="32" t="n"/>
      <c r="M412" s="33" t="n"/>
      <c r="N412" s="33" t="n"/>
      <c r="O412" s="33" t="n"/>
      <c r="P412" s="32" t="n"/>
      <c r="Q412" s="33" t="n"/>
      <c r="R412" s="33" t="n"/>
      <c r="S412" s="33" t="n"/>
      <c r="T412" s="33" t="n"/>
      <c r="U412" s="32" t="n"/>
      <c r="V412" s="33" t="n"/>
      <c r="W412" s="33" t="n"/>
      <c r="X412" s="33" t="n"/>
      <c r="Y412" s="33" t="n"/>
      <c r="Z412" s="33" t="n"/>
      <c r="AA412" s="33" t="n"/>
      <c r="AB412" s="33" t="n"/>
      <c r="AC412" s="33" t="n"/>
      <c r="AD412" s="33" t="n"/>
      <c r="AE412" s="33" t="n"/>
      <c r="AF412" s="32" t="n"/>
      <c r="AG412" s="32" t="n"/>
      <c r="AH412" s="32" t="n"/>
      <c r="AI412" s="32" t="n"/>
      <c r="AJ412" s="32" t="n"/>
      <c r="AK412" s="32" t="n"/>
      <c r="AL412" s="32" t="n"/>
      <c r="AM412" s="32" t="n"/>
      <c r="AN412" s="32" t="n"/>
      <c r="AO412" s="32" t="n"/>
      <c r="AP412" s="32" t="n"/>
      <c r="AQ412" s="32" t="n"/>
      <c r="AR412" s="29">
        <f>IF(NOT(COUNTA(A412:AE412)&gt;0),"",IF(A412="","New client","Update"))</f>
        <v/>
      </c>
      <c r="AS412" s="29">
        <f>IF(BA412&lt;&gt;"",BA412,IF(LEN(AZ412)=15,MID(AZ412,3,10),""))</f>
        <v/>
      </c>
      <c r="AT412" s="29">
        <f>IF(BB412="","",BB412&amp;IF(D412="","  (guessed from PAN)",""))</f>
        <v/>
      </c>
      <c r="AU412" s="29">
        <f>IF(AZ412="","",IFERROR(INDEX(Lists!$L$2:$L$38,MATCH(LEFT(AZ412,2),Lists!$K$2:$K$38,0)),"Unknown code"))</f>
        <v/>
      </c>
      <c r="AV412" s="29">
        <f>IF(AZ412="","",IFERROR(IF(NOT(AND(LEN(AZ412)=15,ISNUMBER(MATCH(LEFT(AZ412,2),Lists!$K$2:$K$38,0)),SUMPRODUCT(--ISERROR(FIND(MID(MID(AZ412,3,10),{1,2,3,4,5,10},1),"ABCDEFGHIJKLMNOPQRSTUVWXYZ")))=0,SUMPRODUCT(--ISERROR(FIND(MID(MID(AZ412,3,10),{6,7,8,9},1),"0123456789")))=0,ISNUMBER(FIND(MID(AZ412,13,1),"123456789ABCDEFGHIJKLMNOPQRSTUVWXYZ")),MID(AZ412,14,1)="Z")),"Wrong format",IF(MID("0123456789ABCDEFGHIJKLMNOPQRSTUVWXYZ",MOD(36-MOD(SUMPRODUCT(INT((FIND(MID(AZ412,{1,2,3,4,5,6,7,8,9,10,11,12,13,14},1),"0123456789ABCDEFGHIJKLMNOPQRSTUVWXYZ")-1)*{1,2,1,2,1,2,1,2,1,2,1,2,1,2}/36)+MOD((FIND(MID(AZ412,{1,2,3,4,5,6,7,8,9,10,11,12,13,14},1),"0123456789ABCDEFGHIJKLMNOPQRSTUVWXYZ")-1)*{1,2,1,2,1,2,1,2,1,2,1,2,1,2},36)),36),36)+1,1)=MID(AZ412,15,1),"OK","Typo? check digit wrong")),"Wrong format"))</f>
        <v/>
      </c>
      <c r="AW412" s="29">
        <f>IF(BA412="","",IF(AND(LEN(BA412)=10,SUMPRODUCT(--ISERROR(FIND(MID(BA412,{1,2,3,4,5,10},1),"ABCDEFGHIJKLMNOPQRSTUVWXYZ")))=0,SUMPRODUCT(--ISERROR(FIND(MID(BA412,{6,7,8,9},1),"0123456789")))=0),"OK","Wrong format"))</f>
        <v/>
      </c>
      <c r="AX412" s="29">
        <f>IF(TRIM(H412)="","",IF(AND(LEN(UPPER(TRIM(H412)))=10,SUMPRODUCT(--ISERROR(FIND(MID(UPPER(TRIM(H412)),{1,2,3,4,10},1),"ABCDEFGHIJKLMNOPQRSTUVWXYZ")))=0,SUMPRODUCT(--ISERROR(FIND(MID(UPPER(TRIM(H412)),{5,6,7,8,9},1),"0123456789")))=0),"OK","Wrong format"))</f>
        <v/>
      </c>
      <c r="AY412" s="30">
        <f>IF(NOT(COUNTA(A412:AE412)&gt;0),"",IF(BE412&lt;&gt;"","✖ "&amp;LEFT(BE412,LEN(BE412)-2),IF(BD412&gt;0,"✔ Ready — client + "&amp;BD412&amp;" service(s)","✔ Ready — client only")))</f>
        <v/>
      </c>
      <c r="AZ412" s="31">
        <f>UPPER(SUBSTITUTE(TRIM(F412)," ",""))</f>
        <v/>
      </c>
      <c r="BA412" s="31">
        <f>UPPER(SUBSTITUTE(TRIM(E412)," ",""))</f>
        <v/>
      </c>
      <c r="BB412" s="31">
        <f>IF(D412&lt;&gt;"",D412,IFERROR(VLOOKUP(MID(AS412,4,1),Lists!$E$2:$F$8,2,FALSE),""))</f>
        <v/>
      </c>
      <c r="BC412" s="31">
        <f>IFERROR(VLOOKUP(BB412,Lists!$A$2:$C$12,3,FALSE),"")</f>
        <v/>
      </c>
      <c r="BD412" s="31">
        <f>COUNTIF(W412:AC412,"Yes")</f>
        <v/>
      </c>
      <c r="BE412" s="31">
        <f>IF(TRIM(B412)="","Legal name missing; ","")&amp;IF(AND(AV412&lt;&gt;"",AV412&lt;&gt;"OK"),"GSTIN: "&amp;AV412&amp;"; ","")&amp;IF(AND(AW412&lt;&gt;"",AW412&lt;&gt;"OK"),"PAN wrong format; ","")&amp;IF(AND(BA412&lt;&gt;"",LEN(AZ412)=15,MID(AZ412,3,10)&lt;&gt;BA412),"PAN does not match GSTIN; ","")&amp;IF(AND(AX412&lt;&gt;"",AX412&lt;&gt;"OK"),"TAN wrong format; ","")&amp;IF(AS412="","PAN missing; ","")&amp;IF(BB412="","Entity type missing; ","")&amp;IF(AND(AZ412&lt;&gt;"",COUNTIF($AZ$6:$AZ$1005,AZ412)&gt;1),"GSTIN repeated in this sheet; ","")&amp;IF(AND(AS412&lt;&gt;"",COUNTIF($AS$6:$AS$1005,AS412)&gt;1),"PAN repeated in this sheet (same client? put extra GSTINs in Other GSTINs); ","")&amp;IF(AND(BD412&gt;0,V412=""),"Financial year missing; ","")&amp;IF(AND(BD412=0,V412&lt;&gt;""),"Financial year given but no service is Yes; ","")&amp;IF(AND(W412="Yes",AZ412=""),"GST needs a GSTIN; ","")&amp;IF(AND(W412="Yes",X412=""),"GST return frequency missing; ","")&amp;IF(AND(Y412="Yes",TRIM(H412)=""),"TDS needs a TAN; ","")&amp;IF(AND(AA412="Yes",BC412&lt;&gt;"",BC412&lt;&gt;"company",BC412&lt;&gt;"llp"),"ROC is only for a company / LLP; ","")&amp;IF(AND(AA412="Yes",OR(BC412="company",BC412="llp"),TRIM(I412)=""),"ROC needs the CIN / LLPIN; ","")&amp;IF((TRIM(AF412)="")&lt;&gt;(TRIM(AG412)=""),"GST login needs both user ID and password; ","")&amp;IF((TRIM(AH412)="")&lt;&gt;(TRIM(AI412)=""),"Income-tax login needs both user ID and password; ","")&amp;IF((TRIM(AJ412)="")&lt;&gt;(TRIM(AK412)=""),"Income-tax login needs both user ID and password; ","")&amp;IF((TRIM(AL412)="")&lt;&gt;(TRIM(AM412)=""),"TRACES login needs both user ID and password; ","")&amp;IF((TRIM(AN412)="")&lt;&gt;(TRIM(AO412)=""),"MCA login needs both user ID and password; ","")&amp;IF((TRIM(AP412)="")&lt;&gt;(TRIM(AQ412)=""),"E-way bill login needs both user ID and password; ","")</f>
        <v/>
      </c>
    </row>
    <row r="413">
      <c r="A413" s="32" t="n"/>
      <c r="B413" s="33" t="n"/>
      <c r="C413" s="33" t="n"/>
      <c r="D413" s="33" t="n"/>
      <c r="E413" s="32" t="n"/>
      <c r="F413" s="32" t="n"/>
      <c r="G413" s="32" t="n"/>
      <c r="H413" s="32" t="n"/>
      <c r="I413" s="32" t="n"/>
      <c r="J413" s="34" t="n"/>
      <c r="K413" s="33" t="n"/>
      <c r="L413" s="32" t="n"/>
      <c r="M413" s="33" t="n"/>
      <c r="N413" s="33" t="n"/>
      <c r="O413" s="33" t="n"/>
      <c r="P413" s="32" t="n"/>
      <c r="Q413" s="33" t="n"/>
      <c r="R413" s="33" t="n"/>
      <c r="S413" s="33" t="n"/>
      <c r="T413" s="33" t="n"/>
      <c r="U413" s="32" t="n"/>
      <c r="V413" s="33" t="n"/>
      <c r="W413" s="33" t="n"/>
      <c r="X413" s="33" t="n"/>
      <c r="Y413" s="33" t="n"/>
      <c r="Z413" s="33" t="n"/>
      <c r="AA413" s="33" t="n"/>
      <c r="AB413" s="33" t="n"/>
      <c r="AC413" s="33" t="n"/>
      <c r="AD413" s="33" t="n"/>
      <c r="AE413" s="33" t="n"/>
      <c r="AF413" s="32" t="n"/>
      <c r="AG413" s="32" t="n"/>
      <c r="AH413" s="32" t="n"/>
      <c r="AI413" s="32" t="n"/>
      <c r="AJ413" s="32" t="n"/>
      <c r="AK413" s="32" t="n"/>
      <c r="AL413" s="32" t="n"/>
      <c r="AM413" s="32" t="n"/>
      <c r="AN413" s="32" t="n"/>
      <c r="AO413" s="32" t="n"/>
      <c r="AP413" s="32" t="n"/>
      <c r="AQ413" s="32" t="n"/>
      <c r="AR413" s="29">
        <f>IF(NOT(COUNTA(A413:AE413)&gt;0),"",IF(A413="","New client","Update"))</f>
        <v/>
      </c>
      <c r="AS413" s="29">
        <f>IF(BA413&lt;&gt;"",BA413,IF(LEN(AZ413)=15,MID(AZ413,3,10),""))</f>
        <v/>
      </c>
      <c r="AT413" s="29">
        <f>IF(BB413="","",BB413&amp;IF(D413="","  (guessed from PAN)",""))</f>
        <v/>
      </c>
      <c r="AU413" s="29">
        <f>IF(AZ413="","",IFERROR(INDEX(Lists!$L$2:$L$38,MATCH(LEFT(AZ413,2),Lists!$K$2:$K$38,0)),"Unknown code"))</f>
        <v/>
      </c>
      <c r="AV413" s="29">
        <f>IF(AZ413="","",IFERROR(IF(NOT(AND(LEN(AZ413)=15,ISNUMBER(MATCH(LEFT(AZ413,2),Lists!$K$2:$K$38,0)),SUMPRODUCT(--ISERROR(FIND(MID(MID(AZ413,3,10),{1,2,3,4,5,10},1),"ABCDEFGHIJKLMNOPQRSTUVWXYZ")))=0,SUMPRODUCT(--ISERROR(FIND(MID(MID(AZ413,3,10),{6,7,8,9},1),"0123456789")))=0,ISNUMBER(FIND(MID(AZ413,13,1),"123456789ABCDEFGHIJKLMNOPQRSTUVWXYZ")),MID(AZ413,14,1)="Z")),"Wrong format",IF(MID("0123456789ABCDEFGHIJKLMNOPQRSTUVWXYZ",MOD(36-MOD(SUMPRODUCT(INT((FIND(MID(AZ413,{1,2,3,4,5,6,7,8,9,10,11,12,13,14},1),"0123456789ABCDEFGHIJKLMNOPQRSTUVWXYZ")-1)*{1,2,1,2,1,2,1,2,1,2,1,2,1,2}/36)+MOD((FIND(MID(AZ413,{1,2,3,4,5,6,7,8,9,10,11,12,13,14},1),"0123456789ABCDEFGHIJKLMNOPQRSTUVWXYZ")-1)*{1,2,1,2,1,2,1,2,1,2,1,2,1,2},36)),36),36)+1,1)=MID(AZ413,15,1),"OK","Typo? check digit wrong")),"Wrong format"))</f>
        <v/>
      </c>
      <c r="AW413" s="29">
        <f>IF(BA413="","",IF(AND(LEN(BA413)=10,SUMPRODUCT(--ISERROR(FIND(MID(BA413,{1,2,3,4,5,10},1),"ABCDEFGHIJKLMNOPQRSTUVWXYZ")))=0,SUMPRODUCT(--ISERROR(FIND(MID(BA413,{6,7,8,9},1),"0123456789")))=0),"OK","Wrong format"))</f>
        <v/>
      </c>
      <c r="AX413" s="29">
        <f>IF(TRIM(H413)="","",IF(AND(LEN(UPPER(TRIM(H413)))=10,SUMPRODUCT(--ISERROR(FIND(MID(UPPER(TRIM(H413)),{1,2,3,4,10},1),"ABCDEFGHIJKLMNOPQRSTUVWXYZ")))=0,SUMPRODUCT(--ISERROR(FIND(MID(UPPER(TRIM(H413)),{5,6,7,8,9},1),"0123456789")))=0),"OK","Wrong format"))</f>
        <v/>
      </c>
      <c r="AY413" s="30">
        <f>IF(NOT(COUNTA(A413:AE413)&gt;0),"",IF(BE413&lt;&gt;"","✖ "&amp;LEFT(BE413,LEN(BE413)-2),IF(BD413&gt;0,"✔ Ready — client + "&amp;BD413&amp;" service(s)","✔ Ready — client only")))</f>
        <v/>
      </c>
      <c r="AZ413" s="31">
        <f>UPPER(SUBSTITUTE(TRIM(F413)," ",""))</f>
        <v/>
      </c>
      <c r="BA413" s="31">
        <f>UPPER(SUBSTITUTE(TRIM(E413)," ",""))</f>
        <v/>
      </c>
      <c r="BB413" s="31">
        <f>IF(D413&lt;&gt;"",D413,IFERROR(VLOOKUP(MID(AS413,4,1),Lists!$E$2:$F$8,2,FALSE),""))</f>
        <v/>
      </c>
      <c r="BC413" s="31">
        <f>IFERROR(VLOOKUP(BB413,Lists!$A$2:$C$12,3,FALSE),"")</f>
        <v/>
      </c>
      <c r="BD413" s="31">
        <f>COUNTIF(W413:AC413,"Yes")</f>
        <v/>
      </c>
      <c r="BE413" s="31">
        <f>IF(TRIM(B413)="","Legal name missing; ","")&amp;IF(AND(AV413&lt;&gt;"",AV413&lt;&gt;"OK"),"GSTIN: "&amp;AV413&amp;"; ","")&amp;IF(AND(AW413&lt;&gt;"",AW413&lt;&gt;"OK"),"PAN wrong format; ","")&amp;IF(AND(BA413&lt;&gt;"",LEN(AZ413)=15,MID(AZ413,3,10)&lt;&gt;BA413),"PAN does not match GSTIN; ","")&amp;IF(AND(AX413&lt;&gt;"",AX413&lt;&gt;"OK"),"TAN wrong format; ","")&amp;IF(AS413="","PAN missing; ","")&amp;IF(BB413="","Entity type missing; ","")&amp;IF(AND(AZ413&lt;&gt;"",COUNTIF($AZ$6:$AZ$1005,AZ413)&gt;1),"GSTIN repeated in this sheet; ","")&amp;IF(AND(AS413&lt;&gt;"",COUNTIF($AS$6:$AS$1005,AS413)&gt;1),"PAN repeated in this sheet (same client? put extra GSTINs in Other GSTINs); ","")&amp;IF(AND(BD413&gt;0,V413=""),"Financial year missing; ","")&amp;IF(AND(BD413=0,V413&lt;&gt;""),"Financial year given but no service is Yes; ","")&amp;IF(AND(W413="Yes",AZ413=""),"GST needs a GSTIN; ","")&amp;IF(AND(W413="Yes",X413=""),"GST return frequency missing; ","")&amp;IF(AND(Y413="Yes",TRIM(H413)=""),"TDS needs a TAN; ","")&amp;IF(AND(AA413="Yes",BC413&lt;&gt;"",BC413&lt;&gt;"company",BC413&lt;&gt;"llp"),"ROC is only for a company / LLP; ","")&amp;IF(AND(AA413="Yes",OR(BC413="company",BC413="llp"),TRIM(I413)=""),"ROC needs the CIN / LLPIN; ","")&amp;IF((TRIM(AF413)="")&lt;&gt;(TRIM(AG413)=""),"GST login needs both user ID and password; ","")&amp;IF((TRIM(AH413)="")&lt;&gt;(TRIM(AI413)=""),"Income-tax login needs both user ID and password; ","")&amp;IF((TRIM(AJ413)="")&lt;&gt;(TRIM(AK413)=""),"Income-tax login needs both user ID and password; ","")&amp;IF((TRIM(AL413)="")&lt;&gt;(TRIM(AM413)=""),"TRACES login needs both user ID and password; ","")&amp;IF((TRIM(AN413)="")&lt;&gt;(TRIM(AO413)=""),"MCA login needs both user ID and password; ","")&amp;IF((TRIM(AP413)="")&lt;&gt;(TRIM(AQ413)=""),"E-way bill login needs both user ID and password; ","")</f>
        <v/>
      </c>
    </row>
    <row r="414">
      <c r="A414" s="32" t="n"/>
      <c r="B414" s="33" t="n"/>
      <c r="C414" s="33" t="n"/>
      <c r="D414" s="33" t="n"/>
      <c r="E414" s="32" t="n"/>
      <c r="F414" s="32" t="n"/>
      <c r="G414" s="32" t="n"/>
      <c r="H414" s="32" t="n"/>
      <c r="I414" s="32" t="n"/>
      <c r="J414" s="34" t="n"/>
      <c r="K414" s="33" t="n"/>
      <c r="L414" s="32" t="n"/>
      <c r="M414" s="33" t="n"/>
      <c r="N414" s="33" t="n"/>
      <c r="O414" s="33" t="n"/>
      <c r="P414" s="32" t="n"/>
      <c r="Q414" s="33" t="n"/>
      <c r="R414" s="33" t="n"/>
      <c r="S414" s="33" t="n"/>
      <c r="T414" s="33" t="n"/>
      <c r="U414" s="32" t="n"/>
      <c r="V414" s="33" t="n"/>
      <c r="W414" s="33" t="n"/>
      <c r="X414" s="33" t="n"/>
      <c r="Y414" s="33" t="n"/>
      <c r="Z414" s="33" t="n"/>
      <c r="AA414" s="33" t="n"/>
      <c r="AB414" s="33" t="n"/>
      <c r="AC414" s="33" t="n"/>
      <c r="AD414" s="33" t="n"/>
      <c r="AE414" s="33" t="n"/>
      <c r="AF414" s="32" t="n"/>
      <c r="AG414" s="32" t="n"/>
      <c r="AH414" s="32" t="n"/>
      <c r="AI414" s="32" t="n"/>
      <c r="AJ414" s="32" t="n"/>
      <c r="AK414" s="32" t="n"/>
      <c r="AL414" s="32" t="n"/>
      <c r="AM414" s="32" t="n"/>
      <c r="AN414" s="32" t="n"/>
      <c r="AO414" s="32" t="n"/>
      <c r="AP414" s="32" t="n"/>
      <c r="AQ414" s="32" t="n"/>
      <c r="AR414" s="29">
        <f>IF(NOT(COUNTA(A414:AE414)&gt;0),"",IF(A414="","New client","Update"))</f>
        <v/>
      </c>
      <c r="AS414" s="29">
        <f>IF(BA414&lt;&gt;"",BA414,IF(LEN(AZ414)=15,MID(AZ414,3,10),""))</f>
        <v/>
      </c>
      <c r="AT414" s="29">
        <f>IF(BB414="","",BB414&amp;IF(D414="","  (guessed from PAN)",""))</f>
        <v/>
      </c>
      <c r="AU414" s="29">
        <f>IF(AZ414="","",IFERROR(INDEX(Lists!$L$2:$L$38,MATCH(LEFT(AZ414,2),Lists!$K$2:$K$38,0)),"Unknown code"))</f>
        <v/>
      </c>
      <c r="AV414" s="29">
        <f>IF(AZ414="","",IFERROR(IF(NOT(AND(LEN(AZ414)=15,ISNUMBER(MATCH(LEFT(AZ414,2),Lists!$K$2:$K$38,0)),SUMPRODUCT(--ISERROR(FIND(MID(MID(AZ414,3,10),{1,2,3,4,5,10},1),"ABCDEFGHIJKLMNOPQRSTUVWXYZ")))=0,SUMPRODUCT(--ISERROR(FIND(MID(MID(AZ414,3,10),{6,7,8,9},1),"0123456789")))=0,ISNUMBER(FIND(MID(AZ414,13,1),"123456789ABCDEFGHIJKLMNOPQRSTUVWXYZ")),MID(AZ414,14,1)="Z")),"Wrong format",IF(MID("0123456789ABCDEFGHIJKLMNOPQRSTUVWXYZ",MOD(36-MOD(SUMPRODUCT(INT((FIND(MID(AZ414,{1,2,3,4,5,6,7,8,9,10,11,12,13,14},1),"0123456789ABCDEFGHIJKLMNOPQRSTUVWXYZ")-1)*{1,2,1,2,1,2,1,2,1,2,1,2,1,2}/36)+MOD((FIND(MID(AZ414,{1,2,3,4,5,6,7,8,9,10,11,12,13,14},1),"0123456789ABCDEFGHIJKLMNOPQRSTUVWXYZ")-1)*{1,2,1,2,1,2,1,2,1,2,1,2,1,2},36)),36),36)+1,1)=MID(AZ414,15,1),"OK","Typo? check digit wrong")),"Wrong format"))</f>
        <v/>
      </c>
      <c r="AW414" s="29">
        <f>IF(BA414="","",IF(AND(LEN(BA414)=10,SUMPRODUCT(--ISERROR(FIND(MID(BA414,{1,2,3,4,5,10},1),"ABCDEFGHIJKLMNOPQRSTUVWXYZ")))=0,SUMPRODUCT(--ISERROR(FIND(MID(BA414,{6,7,8,9},1),"0123456789")))=0),"OK","Wrong format"))</f>
        <v/>
      </c>
      <c r="AX414" s="29">
        <f>IF(TRIM(H414)="","",IF(AND(LEN(UPPER(TRIM(H414)))=10,SUMPRODUCT(--ISERROR(FIND(MID(UPPER(TRIM(H414)),{1,2,3,4,10},1),"ABCDEFGHIJKLMNOPQRSTUVWXYZ")))=0,SUMPRODUCT(--ISERROR(FIND(MID(UPPER(TRIM(H414)),{5,6,7,8,9},1),"0123456789")))=0),"OK","Wrong format"))</f>
        <v/>
      </c>
      <c r="AY414" s="30">
        <f>IF(NOT(COUNTA(A414:AE414)&gt;0),"",IF(BE414&lt;&gt;"","✖ "&amp;LEFT(BE414,LEN(BE414)-2),IF(BD414&gt;0,"✔ Ready — client + "&amp;BD414&amp;" service(s)","✔ Ready — client only")))</f>
        <v/>
      </c>
      <c r="AZ414" s="31">
        <f>UPPER(SUBSTITUTE(TRIM(F414)," ",""))</f>
        <v/>
      </c>
      <c r="BA414" s="31">
        <f>UPPER(SUBSTITUTE(TRIM(E414)," ",""))</f>
        <v/>
      </c>
      <c r="BB414" s="31">
        <f>IF(D414&lt;&gt;"",D414,IFERROR(VLOOKUP(MID(AS414,4,1),Lists!$E$2:$F$8,2,FALSE),""))</f>
        <v/>
      </c>
      <c r="BC414" s="31">
        <f>IFERROR(VLOOKUP(BB414,Lists!$A$2:$C$12,3,FALSE),"")</f>
        <v/>
      </c>
      <c r="BD414" s="31">
        <f>COUNTIF(W414:AC414,"Yes")</f>
        <v/>
      </c>
      <c r="BE414" s="31">
        <f>IF(TRIM(B414)="","Legal name missing; ","")&amp;IF(AND(AV414&lt;&gt;"",AV414&lt;&gt;"OK"),"GSTIN: "&amp;AV414&amp;"; ","")&amp;IF(AND(AW414&lt;&gt;"",AW414&lt;&gt;"OK"),"PAN wrong format; ","")&amp;IF(AND(BA414&lt;&gt;"",LEN(AZ414)=15,MID(AZ414,3,10)&lt;&gt;BA414),"PAN does not match GSTIN; ","")&amp;IF(AND(AX414&lt;&gt;"",AX414&lt;&gt;"OK"),"TAN wrong format; ","")&amp;IF(AS414="","PAN missing; ","")&amp;IF(BB414="","Entity type missing; ","")&amp;IF(AND(AZ414&lt;&gt;"",COUNTIF($AZ$6:$AZ$1005,AZ414)&gt;1),"GSTIN repeated in this sheet; ","")&amp;IF(AND(AS414&lt;&gt;"",COUNTIF($AS$6:$AS$1005,AS414)&gt;1),"PAN repeated in this sheet (same client? put extra GSTINs in Other GSTINs); ","")&amp;IF(AND(BD414&gt;0,V414=""),"Financial year missing; ","")&amp;IF(AND(BD414=0,V414&lt;&gt;""),"Financial year given but no service is Yes; ","")&amp;IF(AND(W414="Yes",AZ414=""),"GST needs a GSTIN; ","")&amp;IF(AND(W414="Yes",X414=""),"GST return frequency missing; ","")&amp;IF(AND(Y414="Yes",TRIM(H414)=""),"TDS needs a TAN; ","")&amp;IF(AND(AA414="Yes",BC414&lt;&gt;"",BC414&lt;&gt;"company",BC414&lt;&gt;"llp"),"ROC is only for a company / LLP; ","")&amp;IF(AND(AA414="Yes",OR(BC414="company",BC414="llp"),TRIM(I414)=""),"ROC needs the CIN / LLPIN; ","")&amp;IF((TRIM(AF414)="")&lt;&gt;(TRIM(AG414)=""),"GST login needs both user ID and password; ","")&amp;IF((TRIM(AH414)="")&lt;&gt;(TRIM(AI414)=""),"Income-tax login needs both user ID and password; ","")&amp;IF((TRIM(AJ414)="")&lt;&gt;(TRIM(AK414)=""),"Income-tax login needs both user ID and password; ","")&amp;IF((TRIM(AL414)="")&lt;&gt;(TRIM(AM414)=""),"TRACES login needs both user ID and password; ","")&amp;IF((TRIM(AN414)="")&lt;&gt;(TRIM(AO414)=""),"MCA login needs both user ID and password; ","")&amp;IF((TRIM(AP414)="")&lt;&gt;(TRIM(AQ414)=""),"E-way bill login needs both user ID and password; ","")</f>
        <v/>
      </c>
    </row>
    <row r="415">
      <c r="A415" s="32" t="n"/>
      <c r="B415" s="33" t="n"/>
      <c r="C415" s="33" t="n"/>
      <c r="D415" s="33" t="n"/>
      <c r="E415" s="32" t="n"/>
      <c r="F415" s="32" t="n"/>
      <c r="G415" s="32" t="n"/>
      <c r="H415" s="32" t="n"/>
      <c r="I415" s="32" t="n"/>
      <c r="J415" s="34" t="n"/>
      <c r="K415" s="33" t="n"/>
      <c r="L415" s="32" t="n"/>
      <c r="M415" s="33" t="n"/>
      <c r="N415" s="33" t="n"/>
      <c r="O415" s="33" t="n"/>
      <c r="P415" s="32" t="n"/>
      <c r="Q415" s="33" t="n"/>
      <c r="R415" s="33" t="n"/>
      <c r="S415" s="33" t="n"/>
      <c r="T415" s="33" t="n"/>
      <c r="U415" s="32" t="n"/>
      <c r="V415" s="33" t="n"/>
      <c r="W415" s="33" t="n"/>
      <c r="X415" s="33" t="n"/>
      <c r="Y415" s="33" t="n"/>
      <c r="Z415" s="33" t="n"/>
      <c r="AA415" s="33" t="n"/>
      <c r="AB415" s="33" t="n"/>
      <c r="AC415" s="33" t="n"/>
      <c r="AD415" s="33" t="n"/>
      <c r="AE415" s="33" t="n"/>
      <c r="AF415" s="32" t="n"/>
      <c r="AG415" s="32" t="n"/>
      <c r="AH415" s="32" t="n"/>
      <c r="AI415" s="32" t="n"/>
      <c r="AJ415" s="32" t="n"/>
      <c r="AK415" s="32" t="n"/>
      <c r="AL415" s="32" t="n"/>
      <c r="AM415" s="32" t="n"/>
      <c r="AN415" s="32" t="n"/>
      <c r="AO415" s="32" t="n"/>
      <c r="AP415" s="32" t="n"/>
      <c r="AQ415" s="32" t="n"/>
      <c r="AR415" s="29">
        <f>IF(NOT(COUNTA(A415:AE415)&gt;0),"",IF(A415="","New client","Update"))</f>
        <v/>
      </c>
      <c r="AS415" s="29">
        <f>IF(BA415&lt;&gt;"",BA415,IF(LEN(AZ415)=15,MID(AZ415,3,10),""))</f>
        <v/>
      </c>
      <c r="AT415" s="29">
        <f>IF(BB415="","",BB415&amp;IF(D415="","  (guessed from PAN)",""))</f>
        <v/>
      </c>
      <c r="AU415" s="29">
        <f>IF(AZ415="","",IFERROR(INDEX(Lists!$L$2:$L$38,MATCH(LEFT(AZ415,2),Lists!$K$2:$K$38,0)),"Unknown code"))</f>
        <v/>
      </c>
      <c r="AV415" s="29">
        <f>IF(AZ415="","",IFERROR(IF(NOT(AND(LEN(AZ415)=15,ISNUMBER(MATCH(LEFT(AZ415,2),Lists!$K$2:$K$38,0)),SUMPRODUCT(--ISERROR(FIND(MID(MID(AZ415,3,10),{1,2,3,4,5,10},1),"ABCDEFGHIJKLMNOPQRSTUVWXYZ")))=0,SUMPRODUCT(--ISERROR(FIND(MID(MID(AZ415,3,10),{6,7,8,9},1),"0123456789")))=0,ISNUMBER(FIND(MID(AZ415,13,1),"123456789ABCDEFGHIJKLMNOPQRSTUVWXYZ")),MID(AZ415,14,1)="Z")),"Wrong format",IF(MID("0123456789ABCDEFGHIJKLMNOPQRSTUVWXYZ",MOD(36-MOD(SUMPRODUCT(INT((FIND(MID(AZ415,{1,2,3,4,5,6,7,8,9,10,11,12,13,14},1),"0123456789ABCDEFGHIJKLMNOPQRSTUVWXYZ")-1)*{1,2,1,2,1,2,1,2,1,2,1,2,1,2}/36)+MOD((FIND(MID(AZ415,{1,2,3,4,5,6,7,8,9,10,11,12,13,14},1),"0123456789ABCDEFGHIJKLMNOPQRSTUVWXYZ")-1)*{1,2,1,2,1,2,1,2,1,2,1,2,1,2},36)),36),36)+1,1)=MID(AZ415,15,1),"OK","Typo? check digit wrong")),"Wrong format"))</f>
        <v/>
      </c>
      <c r="AW415" s="29">
        <f>IF(BA415="","",IF(AND(LEN(BA415)=10,SUMPRODUCT(--ISERROR(FIND(MID(BA415,{1,2,3,4,5,10},1),"ABCDEFGHIJKLMNOPQRSTUVWXYZ")))=0,SUMPRODUCT(--ISERROR(FIND(MID(BA415,{6,7,8,9},1),"0123456789")))=0),"OK","Wrong format"))</f>
        <v/>
      </c>
      <c r="AX415" s="29">
        <f>IF(TRIM(H415)="","",IF(AND(LEN(UPPER(TRIM(H415)))=10,SUMPRODUCT(--ISERROR(FIND(MID(UPPER(TRIM(H415)),{1,2,3,4,10},1),"ABCDEFGHIJKLMNOPQRSTUVWXYZ")))=0,SUMPRODUCT(--ISERROR(FIND(MID(UPPER(TRIM(H415)),{5,6,7,8,9},1),"0123456789")))=0),"OK","Wrong format"))</f>
        <v/>
      </c>
      <c r="AY415" s="30">
        <f>IF(NOT(COUNTA(A415:AE415)&gt;0),"",IF(BE415&lt;&gt;"","✖ "&amp;LEFT(BE415,LEN(BE415)-2),IF(BD415&gt;0,"✔ Ready — client + "&amp;BD415&amp;" service(s)","✔ Ready — client only")))</f>
        <v/>
      </c>
      <c r="AZ415" s="31">
        <f>UPPER(SUBSTITUTE(TRIM(F415)," ",""))</f>
        <v/>
      </c>
      <c r="BA415" s="31">
        <f>UPPER(SUBSTITUTE(TRIM(E415)," ",""))</f>
        <v/>
      </c>
      <c r="BB415" s="31">
        <f>IF(D415&lt;&gt;"",D415,IFERROR(VLOOKUP(MID(AS415,4,1),Lists!$E$2:$F$8,2,FALSE),""))</f>
        <v/>
      </c>
      <c r="BC415" s="31">
        <f>IFERROR(VLOOKUP(BB415,Lists!$A$2:$C$12,3,FALSE),"")</f>
        <v/>
      </c>
      <c r="BD415" s="31">
        <f>COUNTIF(W415:AC415,"Yes")</f>
        <v/>
      </c>
      <c r="BE415" s="31">
        <f>IF(TRIM(B415)="","Legal name missing; ","")&amp;IF(AND(AV415&lt;&gt;"",AV415&lt;&gt;"OK"),"GSTIN: "&amp;AV415&amp;"; ","")&amp;IF(AND(AW415&lt;&gt;"",AW415&lt;&gt;"OK"),"PAN wrong format; ","")&amp;IF(AND(BA415&lt;&gt;"",LEN(AZ415)=15,MID(AZ415,3,10)&lt;&gt;BA415),"PAN does not match GSTIN; ","")&amp;IF(AND(AX415&lt;&gt;"",AX415&lt;&gt;"OK"),"TAN wrong format; ","")&amp;IF(AS415="","PAN missing; ","")&amp;IF(BB415="","Entity type missing; ","")&amp;IF(AND(AZ415&lt;&gt;"",COUNTIF($AZ$6:$AZ$1005,AZ415)&gt;1),"GSTIN repeated in this sheet; ","")&amp;IF(AND(AS415&lt;&gt;"",COUNTIF($AS$6:$AS$1005,AS415)&gt;1),"PAN repeated in this sheet (same client? put extra GSTINs in Other GSTINs); ","")&amp;IF(AND(BD415&gt;0,V415=""),"Financial year missing; ","")&amp;IF(AND(BD415=0,V415&lt;&gt;""),"Financial year given but no service is Yes; ","")&amp;IF(AND(W415="Yes",AZ415=""),"GST needs a GSTIN; ","")&amp;IF(AND(W415="Yes",X415=""),"GST return frequency missing; ","")&amp;IF(AND(Y415="Yes",TRIM(H415)=""),"TDS needs a TAN; ","")&amp;IF(AND(AA415="Yes",BC415&lt;&gt;"",BC415&lt;&gt;"company",BC415&lt;&gt;"llp"),"ROC is only for a company / LLP; ","")&amp;IF(AND(AA415="Yes",OR(BC415="company",BC415="llp"),TRIM(I415)=""),"ROC needs the CIN / LLPIN; ","")&amp;IF((TRIM(AF415)="")&lt;&gt;(TRIM(AG415)=""),"GST login needs both user ID and password; ","")&amp;IF((TRIM(AH415)="")&lt;&gt;(TRIM(AI415)=""),"Income-tax login needs both user ID and password; ","")&amp;IF((TRIM(AJ415)="")&lt;&gt;(TRIM(AK415)=""),"Income-tax login needs both user ID and password; ","")&amp;IF((TRIM(AL415)="")&lt;&gt;(TRIM(AM415)=""),"TRACES login needs both user ID and password; ","")&amp;IF((TRIM(AN415)="")&lt;&gt;(TRIM(AO415)=""),"MCA login needs both user ID and password; ","")&amp;IF((TRIM(AP415)="")&lt;&gt;(TRIM(AQ415)=""),"E-way bill login needs both user ID and password; ","")</f>
        <v/>
      </c>
    </row>
    <row r="416">
      <c r="A416" s="32" t="n"/>
      <c r="B416" s="33" t="n"/>
      <c r="C416" s="33" t="n"/>
      <c r="D416" s="33" t="n"/>
      <c r="E416" s="32" t="n"/>
      <c r="F416" s="32" t="n"/>
      <c r="G416" s="32" t="n"/>
      <c r="H416" s="32" t="n"/>
      <c r="I416" s="32" t="n"/>
      <c r="J416" s="34" t="n"/>
      <c r="K416" s="33" t="n"/>
      <c r="L416" s="32" t="n"/>
      <c r="M416" s="33" t="n"/>
      <c r="N416" s="33" t="n"/>
      <c r="O416" s="33" t="n"/>
      <c r="P416" s="32" t="n"/>
      <c r="Q416" s="33" t="n"/>
      <c r="R416" s="33" t="n"/>
      <c r="S416" s="33" t="n"/>
      <c r="T416" s="33" t="n"/>
      <c r="U416" s="32" t="n"/>
      <c r="V416" s="33" t="n"/>
      <c r="W416" s="33" t="n"/>
      <c r="X416" s="33" t="n"/>
      <c r="Y416" s="33" t="n"/>
      <c r="Z416" s="33" t="n"/>
      <c r="AA416" s="33" t="n"/>
      <c r="AB416" s="33" t="n"/>
      <c r="AC416" s="33" t="n"/>
      <c r="AD416" s="33" t="n"/>
      <c r="AE416" s="33" t="n"/>
      <c r="AF416" s="32" t="n"/>
      <c r="AG416" s="32" t="n"/>
      <c r="AH416" s="32" t="n"/>
      <c r="AI416" s="32" t="n"/>
      <c r="AJ416" s="32" t="n"/>
      <c r="AK416" s="32" t="n"/>
      <c r="AL416" s="32" t="n"/>
      <c r="AM416" s="32" t="n"/>
      <c r="AN416" s="32" t="n"/>
      <c r="AO416" s="32" t="n"/>
      <c r="AP416" s="32" t="n"/>
      <c r="AQ416" s="32" t="n"/>
      <c r="AR416" s="29">
        <f>IF(NOT(COUNTA(A416:AE416)&gt;0),"",IF(A416="","New client","Update"))</f>
        <v/>
      </c>
      <c r="AS416" s="29">
        <f>IF(BA416&lt;&gt;"",BA416,IF(LEN(AZ416)=15,MID(AZ416,3,10),""))</f>
        <v/>
      </c>
      <c r="AT416" s="29">
        <f>IF(BB416="","",BB416&amp;IF(D416="","  (guessed from PAN)",""))</f>
        <v/>
      </c>
      <c r="AU416" s="29">
        <f>IF(AZ416="","",IFERROR(INDEX(Lists!$L$2:$L$38,MATCH(LEFT(AZ416,2),Lists!$K$2:$K$38,0)),"Unknown code"))</f>
        <v/>
      </c>
      <c r="AV416" s="29">
        <f>IF(AZ416="","",IFERROR(IF(NOT(AND(LEN(AZ416)=15,ISNUMBER(MATCH(LEFT(AZ416,2),Lists!$K$2:$K$38,0)),SUMPRODUCT(--ISERROR(FIND(MID(MID(AZ416,3,10),{1,2,3,4,5,10},1),"ABCDEFGHIJKLMNOPQRSTUVWXYZ")))=0,SUMPRODUCT(--ISERROR(FIND(MID(MID(AZ416,3,10),{6,7,8,9},1),"0123456789")))=0,ISNUMBER(FIND(MID(AZ416,13,1),"123456789ABCDEFGHIJKLMNOPQRSTUVWXYZ")),MID(AZ416,14,1)="Z")),"Wrong format",IF(MID("0123456789ABCDEFGHIJKLMNOPQRSTUVWXYZ",MOD(36-MOD(SUMPRODUCT(INT((FIND(MID(AZ416,{1,2,3,4,5,6,7,8,9,10,11,12,13,14},1),"0123456789ABCDEFGHIJKLMNOPQRSTUVWXYZ")-1)*{1,2,1,2,1,2,1,2,1,2,1,2,1,2}/36)+MOD((FIND(MID(AZ416,{1,2,3,4,5,6,7,8,9,10,11,12,13,14},1),"0123456789ABCDEFGHIJKLMNOPQRSTUVWXYZ")-1)*{1,2,1,2,1,2,1,2,1,2,1,2,1,2},36)),36),36)+1,1)=MID(AZ416,15,1),"OK","Typo? check digit wrong")),"Wrong format"))</f>
        <v/>
      </c>
      <c r="AW416" s="29">
        <f>IF(BA416="","",IF(AND(LEN(BA416)=10,SUMPRODUCT(--ISERROR(FIND(MID(BA416,{1,2,3,4,5,10},1),"ABCDEFGHIJKLMNOPQRSTUVWXYZ")))=0,SUMPRODUCT(--ISERROR(FIND(MID(BA416,{6,7,8,9},1),"0123456789")))=0),"OK","Wrong format"))</f>
        <v/>
      </c>
      <c r="AX416" s="29">
        <f>IF(TRIM(H416)="","",IF(AND(LEN(UPPER(TRIM(H416)))=10,SUMPRODUCT(--ISERROR(FIND(MID(UPPER(TRIM(H416)),{1,2,3,4,10},1),"ABCDEFGHIJKLMNOPQRSTUVWXYZ")))=0,SUMPRODUCT(--ISERROR(FIND(MID(UPPER(TRIM(H416)),{5,6,7,8,9},1),"0123456789")))=0),"OK","Wrong format"))</f>
        <v/>
      </c>
      <c r="AY416" s="30">
        <f>IF(NOT(COUNTA(A416:AE416)&gt;0),"",IF(BE416&lt;&gt;"","✖ "&amp;LEFT(BE416,LEN(BE416)-2),IF(BD416&gt;0,"✔ Ready — client + "&amp;BD416&amp;" service(s)","✔ Ready — client only")))</f>
        <v/>
      </c>
      <c r="AZ416" s="31">
        <f>UPPER(SUBSTITUTE(TRIM(F416)," ",""))</f>
        <v/>
      </c>
      <c r="BA416" s="31">
        <f>UPPER(SUBSTITUTE(TRIM(E416)," ",""))</f>
        <v/>
      </c>
      <c r="BB416" s="31">
        <f>IF(D416&lt;&gt;"",D416,IFERROR(VLOOKUP(MID(AS416,4,1),Lists!$E$2:$F$8,2,FALSE),""))</f>
        <v/>
      </c>
      <c r="BC416" s="31">
        <f>IFERROR(VLOOKUP(BB416,Lists!$A$2:$C$12,3,FALSE),"")</f>
        <v/>
      </c>
      <c r="BD416" s="31">
        <f>COUNTIF(W416:AC416,"Yes")</f>
        <v/>
      </c>
      <c r="BE416" s="31">
        <f>IF(TRIM(B416)="","Legal name missing; ","")&amp;IF(AND(AV416&lt;&gt;"",AV416&lt;&gt;"OK"),"GSTIN: "&amp;AV416&amp;"; ","")&amp;IF(AND(AW416&lt;&gt;"",AW416&lt;&gt;"OK"),"PAN wrong format; ","")&amp;IF(AND(BA416&lt;&gt;"",LEN(AZ416)=15,MID(AZ416,3,10)&lt;&gt;BA416),"PAN does not match GSTIN; ","")&amp;IF(AND(AX416&lt;&gt;"",AX416&lt;&gt;"OK"),"TAN wrong format; ","")&amp;IF(AS416="","PAN missing; ","")&amp;IF(BB416="","Entity type missing; ","")&amp;IF(AND(AZ416&lt;&gt;"",COUNTIF($AZ$6:$AZ$1005,AZ416)&gt;1),"GSTIN repeated in this sheet; ","")&amp;IF(AND(AS416&lt;&gt;"",COUNTIF($AS$6:$AS$1005,AS416)&gt;1),"PAN repeated in this sheet (same client? put extra GSTINs in Other GSTINs); ","")&amp;IF(AND(BD416&gt;0,V416=""),"Financial year missing; ","")&amp;IF(AND(BD416=0,V416&lt;&gt;""),"Financial year given but no service is Yes; ","")&amp;IF(AND(W416="Yes",AZ416=""),"GST needs a GSTIN; ","")&amp;IF(AND(W416="Yes",X416=""),"GST return frequency missing; ","")&amp;IF(AND(Y416="Yes",TRIM(H416)=""),"TDS needs a TAN; ","")&amp;IF(AND(AA416="Yes",BC416&lt;&gt;"",BC416&lt;&gt;"company",BC416&lt;&gt;"llp"),"ROC is only for a company / LLP; ","")&amp;IF(AND(AA416="Yes",OR(BC416="company",BC416="llp"),TRIM(I416)=""),"ROC needs the CIN / LLPIN; ","")&amp;IF((TRIM(AF416)="")&lt;&gt;(TRIM(AG416)=""),"GST login needs both user ID and password; ","")&amp;IF((TRIM(AH416)="")&lt;&gt;(TRIM(AI416)=""),"Income-tax login needs both user ID and password; ","")&amp;IF((TRIM(AJ416)="")&lt;&gt;(TRIM(AK416)=""),"Income-tax login needs both user ID and password; ","")&amp;IF((TRIM(AL416)="")&lt;&gt;(TRIM(AM416)=""),"TRACES login needs both user ID and password; ","")&amp;IF((TRIM(AN416)="")&lt;&gt;(TRIM(AO416)=""),"MCA login needs both user ID and password; ","")&amp;IF((TRIM(AP416)="")&lt;&gt;(TRIM(AQ416)=""),"E-way bill login needs both user ID and password; ","")</f>
        <v/>
      </c>
    </row>
    <row r="417">
      <c r="A417" s="32" t="n"/>
      <c r="B417" s="33" t="n"/>
      <c r="C417" s="33" t="n"/>
      <c r="D417" s="33" t="n"/>
      <c r="E417" s="32" t="n"/>
      <c r="F417" s="32" t="n"/>
      <c r="G417" s="32" t="n"/>
      <c r="H417" s="32" t="n"/>
      <c r="I417" s="32" t="n"/>
      <c r="J417" s="34" t="n"/>
      <c r="K417" s="33" t="n"/>
      <c r="L417" s="32" t="n"/>
      <c r="M417" s="33" t="n"/>
      <c r="N417" s="33" t="n"/>
      <c r="O417" s="33" t="n"/>
      <c r="P417" s="32" t="n"/>
      <c r="Q417" s="33" t="n"/>
      <c r="R417" s="33" t="n"/>
      <c r="S417" s="33" t="n"/>
      <c r="T417" s="33" t="n"/>
      <c r="U417" s="32" t="n"/>
      <c r="V417" s="33" t="n"/>
      <c r="W417" s="33" t="n"/>
      <c r="X417" s="33" t="n"/>
      <c r="Y417" s="33" t="n"/>
      <c r="Z417" s="33" t="n"/>
      <c r="AA417" s="33" t="n"/>
      <c r="AB417" s="33" t="n"/>
      <c r="AC417" s="33" t="n"/>
      <c r="AD417" s="33" t="n"/>
      <c r="AE417" s="33" t="n"/>
      <c r="AF417" s="32" t="n"/>
      <c r="AG417" s="32" t="n"/>
      <c r="AH417" s="32" t="n"/>
      <c r="AI417" s="32" t="n"/>
      <c r="AJ417" s="32" t="n"/>
      <c r="AK417" s="32" t="n"/>
      <c r="AL417" s="32" t="n"/>
      <c r="AM417" s="32" t="n"/>
      <c r="AN417" s="32" t="n"/>
      <c r="AO417" s="32" t="n"/>
      <c r="AP417" s="32" t="n"/>
      <c r="AQ417" s="32" t="n"/>
      <c r="AR417" s="29">
        <f>IF(NOT(COUNTA(A417:AE417)&gt;0),"",IF(A417="","New client","Update"))</f>
        <v/>
      </c>
      <c r="AS417" s="29">
        <f>IF(BA417&lt;&gt;"",BA417,IF(LEN(AZ417)=15,MID(AZ417,3,10),""))</f>
        <v/>
      </c>
      <c r="AT417" s="29">
        <f>IF(BB417="","",BB417&amp;IF(D417="","  (guessed from PAN)",""))</f>
        <v/>
      </c>
      <c r="AU417" s="29">
        <f>IF(AZ417="","",IFERROR(INDEX(Lists!$L$2:$L$38,MATCH(LEFT(AZ417,2),Lists!$K$2:$K$38,0)),"Unknown code"))</f>
        <v/>
      </c>
      <c r="AV417" s="29">
        <f>IF(AZ417="","",IFERROR(IF(NOT(AND(LEN(AZ417)=15,ISNUMBER(MATCH(LEFT(AZ417,2),Lists!$K$2:$K$38,0)),SUMPRODUCT(--ISERROR(FIND(MID(MID(AZ417,3,10),{1,2,3,4,5,10},1),"ABCDEFGHIJKLMNOPQRSTUVWXYZ")))=0,SUMPRODUCT(--ISERROR(FIND(MID(MID(AZ417,3,10),{6,7,8,9},1),"0123456789")))=0,ISNUMBER(FIND(MID(AZ417,13,1),"123456789ABCDEFGHIJKLMNOPQRSTUVWXYZ")),MID(AZ417,14,1)="Z")),"Wrong format",IF(MID("0123456789ABCDEFGHIJKLMNOPQRSTUVWXYZ",MOD(36-MOD(SUMPRODUCT(INT((FIND(MID(AZ417,{1,2,3,4,5,6,7,8,9,10,11,12,13,14},1),"0123456789ABCDEFGHIJKLMNOPQRSTUVWXYZ")-1)*{1,2,1,2,1,2,1,2,1,2,1,2,1,2}/36)+MOD((FIND(MID(AZ417,{1,2,3,4,5,6,7,8,9,10,11,12,13,14},1),"0123456789ABCDEFGHIJKLMNOPQRSTUVWXYZ")-1)*{1,2,1,2,1,2,1,2,1,2,1,2,1,2},36)),36),36)+1,1)=MID(AZ417,15,1),"OK","Typo? check digit wrong")),"Wrong format"))</f>
        <v/>
      </c>
      <c r="AW417" s="29">
        <f>IF(BA417="","",IF(AND(LEN(BA417)=10,SUMPRODUCT(--ISERROR(FIND(MID(BA417,{1,2,3,4,5,10},1),"ABCDEFGHIJKLMNOPQRSTUVWXYZ")))=0,SUMPRODUCT(--ISERROR(FIND(MID(BA417,{6,7,8,9},1),"0123456789")))=0),"OK","Wrong format"))</f>
        <v/>
      </c>
      <c r="AX417" s="29">
        <f>IF(TRIM(H417)="","",IF(AND(LEN(UPPER(TRIM(H417)))=10,SUMPRODUCT(--ISERROR(FIND(MID(UPPER(TRIM(H417)),{1,2,3,4,10},1),"ABCDEFGHIJKLMNOPQRSTUVWXYZ")))=0,SUMPRODUCT(--ISERROR(FIND(MID(UPPER(TRIM(H417)),{5,6,7,8,9},1),"0123456789")))=0),"OK","Wrong format"))</f>
        <v/>
      </c>
      <c r="AY417" s="30">
        <f>IF(NOT(COUNTA(A417:AE417)&gt;0),"",IF(BE417&lt;&gt;"","✖ "&amp;LEFT(BE417,LEN(BE417)-2),IF(BD417&gt;0,"✔ Ready — client + "&amp;BD417&amp;" service(s)","✔ Ready — client only")))</f>
        <v/>
      </c>
      <c r="AZ417" s="31">
        <f>UPPER(SUBSTITUTE(TRIM(F417)," ",""))</f>
        <v/>
      </c>
      <c r="BA417" s="31">
        <f>UPPER(SUBSTITUTE(TRIM(E417)," ",""))</f>
        <v/>
      </c>
      <c r="BB417" s="31">
        <f>IF(D417&lt;&gt;"",D417,IFERROR(VLOOKUP(MID(AS417,4,1),Lists!$E$2:$F$8,2,FALSE),""))</f>
        <v/>
      </c>
      <c r="BC417" s="31">
        <f>IFERROR(VLOOKUP(BB417,Lists!$A$2:$C$12,3,FALSE),"")</f>
        <v/>
      </c>
      <c r="BD417" s="31">
        <f>COUNTIF(W417:AC417,"Yes")</f>
        <v/>
      </c>
      <c r="BE417" s="31">
        <f>IF(TRIM(B417)="","Legal name missing; ","")&amp;IF(AND(AV417&lt;&gt;"",AV417&lt;&gt;"OK"),"GSTIN: "&amp;AV417&amp;"; ","")&amp;IF(AND(AW417&lt;&gt;"",AW417&lt;&gt;"OK"),"PAN wrong format; ","")&amp;IF(AND(BA417&lt;&gt;"",LEN(AZ417)=15,MID(AZ417,3,10)&lt;&gt;BA417),"PAN does not match GSTIN; ","")&amp;IF(AND(AX417&lt;&gt;"",AX417&lt;&gt;"OK"),"TAN wrong format; ","")&amp;IF(AS417="","PAN missing; ","")&amp;IF(BB417="","Entity type missing; ","")&amp;IF(AND(AZ417&lt;&gt;"",COUNTIF($AZ$6:$AZ$1005,AZ417)&gt;1),"GSTIN repeated in this sheet; ","")&amp;IF(AND(AS417&lt;&gt;"",COUNTIF($AS$6:$AS$1005,AS417)&gt;1),"PAN repeated in this sheet (same client? put extra GSTINs in Other GSTINs); ","")&amp;IF(AND(BD417&gt;0,V417=""),"Financial year missing; ","")&amp;IF(AND(BD417=0,V417&lt;&gt;""),"Financial year given but no service is Yes; ","")&amp;IF(AND(W417="Yes",AZ417=""),"GST needs a GSTIN; ","")&amp;IF(AND(W417="Yes",X417=""),"GST return frequency missing; ","")&amp;IF(AND(Y417="Yes",TRIM(H417)=""),"TDS needs a TAN; ","")&amp;IF(AND(AA417="Yes",BC417&lt;&gt;"",BC417&lt;&gt;"company",BC417&lt;&gt;"llp"),"ROC is only for a company / LLP; ","")&amp;IF(AND(AA417="Yes",OR(BC417="company",BC417="llp"),TRIM(I417)=""),"ROC needs the CIN / LLPIN; ","")&amp;IF((TRIM(AF417)="")&lt;&gt;(TRIM(AG417)=""),"GST login needs both user ID and password; ","")&amp;IF((TRIM(AH417)="")&lt;&gt;(TRIM(AI417)=""),"Income-tax login needs both user ID and password; ","")&amp;IF((TRIM(AJ417)="")&lt;&gt;(TRIM(AK417)=""),"Income-tax login needs both user ID and password; ","")&amp;IF((TRIM(AL417)="")&lt;&gt;(TRIM(AM417)=""),"TRACES login needs both user ID and password; ","")&amp;IF((TRIM(AN417)="")&lt;&gt;(TRIM(AO417)=""),"MCA login needs both user ID and password; ","")&amp;IF((TRIM(AP417)="")&lt;&gt;(TRIM(AQ417)=""),"E-way bill login needs both user ID and password; ","")</f>
        <v/>
      </c>
    </row>
    <row r="418">
      <c r="A418" s="32" t="n"/>
      <c r="B418" s="33" t="n"/>
      <c r="C418" s="33" t="n"/>
      <c r="D418" s="33" t="n"/>
      <c r="E418" s="32" t="n"/>
      <c r="F418" s="32" t="n"/>
      <c r="G418" s="32" t="n"/>
      <c r="H418" s="32" t="n"/>
      <c r="I418" s="32" t="n"/>
      <c r="J418" s="34" t="n"/>
      <c r="K418" s="33" t="n"/>
      <c r="L418" s="32" t="n"/>
      <c r="M418" s="33" t="n"/>
      <c r="N418" s="33" t="n"/>
      <c r="O418" s="33" t="n"/>
      <c r="P418" s="32" t="n"/>
      <c r="Q418" s="33" t="n"/>
      <c r="R418" s="33" t="n"/>
      <c r="S418" s="33" t="n"/>
      <c r="T418" s="33" t="n"/>
      <c r="U418" s="32" t="n"/>
      <c r="V418" s="33" t="n"/>
      <c r="W418" s="33" t="n"/>
      <c r="X418" s="33" t="n"/>
      <c r="Y418" s="33" t="n"/>
      <c r="Z418" s="33" t="n"/>
      <c r="AA418" s="33" t="n"/>
      <c r="AB418" s="33" t="n"/>
      <c r="AC418" s="33" t="n"/>
      <c r="AD418" s="33" t="n"/>
      <c r="AE418" s="33" t="n"/>
      <c r="AF418" s="32" t="n"/>
      <c r="AG418" s="32" t="n"/>
      <c r="AH418" s="32" t="n"/>
      <c r="AI418" s="32" t="n"/>
      <c r="AJ418" s="32" t="n"/>
      <c r="AK418" s="32" t="n"/>
      <c r="AL418" s="32" t="n"/>
      <c r="AM418" s="32" t="n"/>
      <c r="AN418" s="32" t="n"/>
      <c r="AO418" s="32" t="n"/>
      <c r="AP418" s="32" t="n"/>
      <c r="AQ418" s="32" t="n"/>
      <c r="AR418" s="29">
        <f>IF(NOT(COUNTA(A418:AE418)&gt;0),"",IF(A418="","New client","Update"))</f>
        <v/>
      </c>
      <c r="AS418" s="29">
        <f>IF(BA418&lt;&gt;"",BA418,IF(LEN(AZ418)=15,MID(AZ418,3,10),""))</f>
        <v/>
      </c>
      <c r="AT418" s="29">
        <f>IF(BB418="","",BB418&amp;IF(D418="","  (guessed from PAN)",""))</f>
        <v/>
      </c>
      <c r="AU418" s="29">
        <f>IF(AZ418="","",IFERROR(INDEX(Lists!$L$2:$L$38,MATCH(LEFT(AZ418,2),Lists!$K$2:$K$38,0)),"Unknown code"))</f>
        <v/>
      </c>
      <c r="AV418" s="29">
        <f>IF(AZ418="","",IFERROR(IF(NOT(AND(LEN(AZ418)=15,ISNUMBER(MATCH(LEFT(AZ418,2),Lists!$K$2:$K$38,0)),SUMPRODUCT(--ISERROR(FIND(MID(MID(AZ418,3,10),{1,2,3,4,5,10},1),"ABCDEFGHIJKLMNOPQRSTUVWXYZ")))=0,SUMPRODUCT(--ISERROR(FIND(MID(MID(AZ418,3,10),{6,7,8,9},1),"0123456789")))=0,ISNUMBER(FIND(MID(AZ418,13,1),"123456789ABCDEFGHIJKLMNOPQRSTUVWXYZ")),MID(AZ418,14,1)="Z")),"Wrong format",IF(MID("0123456789ABCDEFGHIJKLMNOPQRSTUVWXYZ",MOD(36-MOD(SUMPRODUCT(INT((FIND(MID(AZ418,{1,2,3,4,5,6,7,8,9,10,11,12,13,14},1),"0123456789ABCDEFGHIJKLMNOPQRSTUVWXYZ")-1)*{1,2,1,2,1,2,1,2,1,2,1,2,1,2}/36)+MOD((FIND(MID(AZ418,{1,2,3,4,5,6,7,8,9,10,11,12,13,14},1),"0123456789ABCDEFGHIJKLMNOPQRSTUVWXYZ")-1)*{1,2,1,2,1,2,1,2,1,2,1,2,1,2},36)),36),36)+1,1)=MID(AZ418,15,1),"OK","Typo? check digit wrong")),"Wrong format"))</f>
        <v/>
      </c>
      <c r="AW418" s="29">
        <f>IF(BA418="","",IF(AND(LEN(BA418)=10,SUMPRODUCT(--ISERROR(FIND(MID(BA418,{1,2,3,4,5,10},1),"ABCDEFGHIJKLMNOPQRSTUVWXYZ")))=0,SUMPRODUCT(--ISERROR(FIND(MID(BA418,{6,7,8,9},1),"0123456789")))=0),"OK","Wrong format"))</f>
        <v/>
      </c>
      <c r="AX418" s="29">
        <f>IF(TRIM(H418)="","",IF(AND(LEN(UPPER(TRIM(H418)))=10,SUMPRODUCT(--ISERROR(FIND(MID(UPPER(TRIM(H418)),{1,2,3,4,10},1),"ABCDEFGHIJKLMNOPQRSTUVWXYZ")))=0,SUMPRODUCT(--ISERROR(FIND(MID(UPPER(TRIM(H418)),{5,6,7,8,9},1),"0123456789")))=0),"OK","Wrong format"))</f>
        <v/>
      </c>
      <c r="AY418" s="30">
        <f>IF(NOT(COUNTA(A418:AE418)&gt;0),"",IF(BE418&lt;&gt;"","✖ "&amp;LEFT(BE418,LEN(BE418)-2),IF(BD418&gt;0,"✔ Ready — client + "&amp;BD418&amp;" service(s)","✔ Ready — client only")))</f>
        <v/>
      </c>
      <c r="AZ418" s="31">
        <f>UPPER(SUBSTITUTE(TRIM(F418)," ",""))</f>
        <v/>
      </c>
      <c r="BA418" s="31">
        <f>UPPER(SUBSTITUTE(TRIM(E418)," ",""))</f>
        <v/>
      </c>
      <c r="BB418" s="31">
        <f>IF(D418&lt;&gt;"",D418,IFERROR(VLOOKUP(MID(AS418,4,1),Lists!$E$2:$F$8,2,FALSE),""))</f>
        <v/>
      </c>
      <c r="BC418" s="31">
        <f>IFERROR(VLOOKUP(BB418,Lists!$A$2:$C$12,3,FALSE),"")</f>
        <v/>
      </c>
      <c r="BD418" s="31">
        <f>COUNTIF(W418:AC418,"Yes")</f>
        <v/>
      </c>
      <c r="BE418" s="31">
        <f>IF(TRIM(B418)="","Legal name missing; ","")&amp;IF(AND(AV418&lt;&gt;"",AV418&lt;&gt;"OK"),"GSTIN: "&amp;AV418&amp;"; ","")&amp;IF(AND(AW418&lt;&gt;"",AW418&lt;&gt;"OK"),"PAN wrong format; ","")&amp;IF(AND(BA418&lt;&gt;"",LEN(AZ418)=15,MID(AZ418,3,10)&lt;&gt;BA418),"PAN does not match GSTIN; ","")&amp;IF(AND(AX418&lt;&gt;"",AX418&lt;&gt;"OK"),"TAN wrong format; ","")&amp;IF(AS418="","PAN missing; ","")&amp;IF(BB418="","Entity type missing; ","")&amp;IF(AND(AZ418&lt;&gt;"",COUNTIF($AZ$6:$AZ$1005,AZ418)&gt;1),"GSTIN repeated in this sheet; ","")&amp;IF(AND(AS418&lt;&gt;"",COUNTIF($AS$6:$AS$1005,AS418)&gt;1),"PAN repeated in this sheet (same client? put extra GSTINs in Other GSTINs); ","")&amp;IF(AND(BD418&gt;0,V418=""),"Financial year missing; ","")&amp;IF(AND(BD418=0,V418&lt;&gt;""),"Financial year given but no service is Yes; ","")&amp;IF(AND(W418="Yes",AZ418=""),"GST needs a GSTIN; ","")&amp;IF(AND(W418="Yes",X418=""),"GST return frequency missing; ","")&amp;IF(AND(Y418="Yes",TRIM(H418)=""),"TDS needs a TAN; ","")&amp;IF(AND(AA418="Yes",BC418&lt;&gt;"",BC418&lt;&gt;"company",BC418&lt;&gt;"llp"),"ROC is only for a company / LLP; ","")&amp;IF(AND(AA418="Yes",OR(BC418="company",BC418="llp"),TRIM(I418)=""),"ROC needs the CIN / LLPIN; ","")&amp;IF((TRIM(AF418)="")&lt;&gt;(TRIM(AG418)=""),"GST login needs both user ID and password; ","")&amp;IF((TRIM(AH418)="")&lt;&gt;(TRIM(AI418)=""),"Income-tax login needs both user ID and password; ","")&amp;IF((TRIM(AJ418)="")&lt;&gt;(TRIM(AK418)=""),"Income-tax login needs both user ID and password; ","")&amp;IF((TRIM(AL418)="")&lt;&gt;(TRIM(AM418)=""),"TRACES login needs both user ID and password; ","")&amp;IF((TRIM(AN418)="")&lt;&gt;(TRIM(AO418)=""),"MCA login needs both user ID and password; ","")&amp;IF((TRIM(AP418)="")&lt;&gt;(TRIM(AQ418)=""),"E-way bill login needs both user ID and password; ","")</f>
        <v/>
      </c>
    </row>
    <row r="419">
      <c r="A419" s="32" t="n"/>
      <c r="B419" s="33" t="n"/>
      <c r="C419" s="33" t="n"/>
      <c r="D419" s="33" t="n"/>
      <c r="E419" s="32" t="n"/>
      <c r="F419" s="32" t="n"/>
      <c r="G419" s="32" t="n"/>
      <c r="H419" s="32" t="n"/>
      <c r="I419" s="32" t="n"/>
      <c r="J419" s="34" t="n"/>
      <c r="K419" s="33" t="n"/>
      <c r="L419" s="32" t="n"/>
      <c r="M419" s="33" t="n"/>
      <c r="N419" s="33" t="n"/>
      <c r="O419" s="33" t="n"/>
      <c r="P419" s="32" t="n"/>
      <c r="Q419" s="33" t="n"/>
      <c r="R419" s="33" t="n"/>
      <c r="S419" s="33" t="n"/>
      <c r="T419" s="33" t="n"/>
      <c r="U419" s="32" t="n"/>
      <c r="V419" s="33" t="n"/>
      <c r="W419" s="33" t="n"/>
      <c r="X419" s="33" t="n"/>
      <c r="Y419" s="33" t="n"/>
      <c r="Z419" s="33" t="n"/>
      <c r="AA419" s="33" t="n"/>
      <c r="AB419" s="33" t="n"/>
      <c r="AC419" s="33" t="n"/>
      <c r="AD419" s="33" t="n"/>
      <c r="AE419" s="33" t="n"/>
      <c r="AF419" s="32" t="n"/>
      <c r="AG419" s="32" t="n"/>
      <c r="AH419" s="32" t="n"/>
      <c r="AI419" s="32" t="n"/>
      <c r="AJ419" s="32" t="n"/>
      <c r="AK419" s="32" t="n"/>
      <c r="AL419" s="32" t="n"/>
      <c r="AM419" s="32" t="n"/>
      <c r="AN419" s="32" t="n"/>
      <c r="AO419" s="32" t="n"/>
      <c r="AP419" s="32" t="n"/>
      <c r="AQ419" s="32" t="n"/>
      <c r="AR419" s="29">
        <f>IF(NOT(COUNTA(A419:AE419)&gt;0),"",IF(A419="","New client","Update"))</f>
        <v/>
      </c>
      <c r="AS419" s="29">
        <f>IF(BA419&lt;&gt;"",BA419,IF(LEN(AZ419)=15,MID(AZ419,3,10),""))</f>
        <v/>
      </c>
      <c r="AT419" s="29">
        <f>IF(BB419="","",BB419&amp;IF(D419="","  (guessed from PAN)",""))</f>
        <v/>
      </c>
      <c r="AU419" s="29">
        <f>IF(AZ419="","",IFERROR(INDEX(Lists!$L$2:$L$38,MATCH(LEFT(AZ419,2),Lists!$K$2:$K$38,0)),"Unknown code"))</f>
        <v/>
      </c>
      <c r="AV419" s="29">
        <f>IF(AZ419="","",IFERROR(IF(NOT(AND(LEN(AZ419)=15,ISNUMBER(MATCH(LEFT(AZ419,2),Lists!$K$2:$K$38,0)),SUMPRODUCT(--ISERROR(FIND(MID(MID(AZ419,3,10),{1,2,3,4,5,10},1),"ABCDEFGHIJKLMNOPQRSTUVWXYZ")))=0,SUMPRODUCT(--ISERROR(FIND(MID(MID(AZ419,3,10),{6,7,8,9},1),"0123456789")))=0,ISNUMBER(FIND(MID(AZ419,13,1),"123456789ABCDEFGHIJKLMNOPQRSTUVWXYZ")),MID(AZ419,14,1)="Z")),"Wrong format",IF(MID("0123456789ABCDEFGHIJKLMNOPQRSTUVWXYZ",MOD(36-MOD(SUMPRODUCT(INT((FIND(MID(AZ419,{1,2,3,4,5,6,7,8,9,10,11,12,13,14},1),"0123456789ABCDEFGHIJKLMNOPQRSTUVWXYZ")-1)*{1,2,1,2,1,2,1,2,1,2,1,2,1,2}/36)+MOD((FIND(MID(AZ419,{1,2,3,4,5,6,7,8,9,10,11,12,13,14},1),"0123456789ABCDEFGHIJKLMNOPQRSTUVWXYZ")-1)*{1,2,1,2,1,2,1,2,1,2,1,2,1,2},36)),36),36)+1,1)=MID(AZ419,15,1),"OK","Typo? check digit wrong")),"Wrong format"))</f>
        <v/>
      </c>
      <c r="AW419" s="29">
        <f>IF(BA419="","",IF(AND(LEN(BA419)=10,SUMPRODUCT(--ISERROR(FIND(MID(BA419,{1,2,3,4,5,10},1),"ABCDEFGHIJKLMNOPQRSTUVWXYZ")))=0,SUMPRODUCT(--ISERROR(FIND(MID(BA419,{6,7,8,9},1),"0123456789")))=0),"OK","Wrong format"))</f>
        <v/>
      </c>
      <c r="AX419" s="29">
        <f>IF(TRIM(H419)="","",IF(AND(LEN(UPPER(TRIM(H419)))=10,SUMPRODUCT(--ISERROR(FIND(MID(UPPER(TRIM(H419)),{1,2,3,4,10},1),"ABCDEFGHIJKLMNOPQRSTUVWXYZ")))=0,SUMPRODUCT(--ISERROR(FIND(MID(UPPER(TRIM(H419)),{5,6,7,8,9},1),"0123456789")))=0),"OK","Wrong format"))</f>
        <v/>
      </c>
      <c r="AY419" s="30">
        <f>IF(NOT(COUNTA(A419:AE419)&gt;0),"",IF(BE419&lt;&gt;"","✖ "&amp;LEFT(BE419,LEN(BE419)-2),IF(BD419&gt;0,"✔ Ready — client + "&amp;BD419&amp;" service(s)","✔ Ready — client only")))</f>
        <v/>
      </c>
      <c r="AZ419" s="31">
        <f>UPPER(SUBSTITUTE(TRIM(F419)," ",""))</f>
        <v/>
      </c>
      <c r="BA419" s="31">
        <f>UPPER(SUBSTITUTE(TRIM(E419)," ",""))</f>
        <v/>
      </c>
      <c r="BB419" s="31">
        <f>IF(D419&lt;&gt;"",D419,IFERROR(VLOOKUP(MID(AS419,4,1),Lists!$E$2:$F$8,2,FALSE),""))</f>
        <v/>
      </c>
      <c r="BC419" s="31">
        <f>IFERROR(VLOOKUP(BB419,Lists!$A$2:$C$12,3,FALSE),"")</f>
        <v/>
      </c>
      <c r="BD419" s="31">
        <f>COUNTIF(W419:AC419,"Yes")</f>
        <v/>
      </c>
      <c r="BE419" s="31">
        <f>IF(TRIM(B419)="","Legal name missing; ","")&amp;IF(AND(AV419&lt;&gt;"",AV419&lt;&gt;"OK"),"GSTIN: "&amp;AV419&amp;"; ","")&amp;IF(AND(AW419&lt;&gt;"",AW419&lt;&gt;"OK"),"PAN wrong format; ","")&amp;IF(AND(BA419&lt;&gt;"",LEN(AZ419)=15,MID(AZ419,3,10)&lt;&gt;BA419),"PAN does not match GSTIN; ","")&amp;IF(AND(AX419&lt;&gt;"",AX419&lt;&gt;"OK"),"TAN wrong format; ","")&amp;IF(AS419="","PAN missing; ","")&amp;IF(BB419="","Entity type missing; ","")&amp;IF(AND(AZ419&lt;&gt;"",COUNTIF($AZ$6:$AZ$1005,AZ419)&gt;1),"GSTIN repeated in this sheet; ","")&amp;IF(AND(AS419&lt;&gt;"",COUNTIF($AS$6:$AS$1005,AS419)&gt;1),"PAN repeated in this sheet (same client? put extra GSTINs in Other GSTINs); ","")&amp;IF(AND(BD419&gt;0,V419=""),"Financial year missing; ","")&amp;IF(AND(BD419=0,V419&lt;&gt;""),"Financial year given but no service is Yes; ","")&amp;IF(AND(W419="Yes",AZ419=""),"GST needs a GSTIN; ","")&amp;IF(AND(W419="Yes",X419=""),"GST return frequency missing; ","")&amp;IF(AND(Y419="Yes",TRIM(H419)=""),"TDS needs a TAN; ","")&amp;IF(AND(AA419="Yes",BC419&lt;&gt;"",BC419&lt;&gt;"company",BC419&lt;&gt;"llp"),"ROC is only for a company / LLP; ","")&amp;IF(AND(AA419="Yes",OR(BC419="company",BC419="llp"),TRIM(I419)=""),"ROC needs the CIN / LLPIN; ","")&amp;IF((TRIM(AF419)="")&lt;&gt;(TRIM(AG419)=""),"GST login needs both user ID and password; ","")&amp;IF((TRIM(AH419)="")&lt;&gt;(TRIM(AI419)=""),"Income-tax login needs both user ID and password; ","")&amp;IF((TRIM(AJ419)="")&lt;&gt;(TRIM(AK419)=""),"Income-tax login needs both user ID and password; ","")&amp;IF((TRIM(AL419)="")&lt;&gt;(TRIM(AM419)=""),"TRACES login needs both user ID and password; ","")&amp;IF((TRIM(AN419)="")&lt;&gt;(TRIM(AO419)=""),"MCA login needs both user ID and password; ","")&amp;IF((TRIM(AP419)="")&lt;&gt;(TRIM(AQ419)=""),"E-way bill login needs both user ID and password; ","")</f>
        <v/>
      </c>
    </row>
    <row r="420">
      <c r="A420" s="32" t="n"/>
      <c r="B420" s="33" t="n"/>
      <c r="C420" s="33" t="n"/>
      <c r="D420" s="33" t="n"/>
      <c r="E420" s="32" t="n"/>
      <c r="F420" s="32" t="n"/>
      <c r="G420" s="32" t="n"/>
      <c r="H420" s="32" t="n"/>
      <c r="I420" s="32" t="n"/>
      <c r="J420" s="34" t="n"/>
      <c r="K420" s="33" t="n"/>
      <c r="L420" s="32" t="n"/>
      <c r="M420" s="33" t="n"/>
      <c r="N420" s="33" t="n"/>
      <c r="O420" s="33" t="n"/>
      <c r="P420" s="32" t="n"/>
      <c r="Q420" s="33" t="n"/>
      <c r="R420" s="33" t="n"/>
      <c r="S420" s="33" t="n"/>
      <c r="T420" s="33" t="n"/>
      <c r="U420" s="32" t="n"/>
      <c r="V420" s="33" t="n"/>
      <c r="W420" s="33" t="n"/>
      <c r="X420" s="33" t="n"/>
      <c r="Y420" s="33" t="n"/>
      <c r="Z420" s="33" t="n"/>
      <c r="AA420" s="33" t="n"/>
      <c r="AB420" s="33" t="n"/>
      <c r="AC420" s="33" t="n"/>
      <c r="AD420" s="33" t="n"/>
      <c r="AE420" s="33" t="n"/>
      <c r="AF420" s="32" t="n"/>
      <c r="AG420" s="32" t="n"/>
      <c r="AH420" s="32" t="n"/>
      <c r="AI420" s="32" t="n"/>
      <c r="AJ420" s="32" t="n"/>
      <c r="AK420" s="32" t="n"/>
      <c r="AL420" s="32" t="n"/>
      <c r="AM420" s="32" t="n"/>
      <c r="AN420" s="32" t="n"/>
      <c r="AO420" s="32" t="n"/>
      <c r="AP420" s="32" t="n"/>
      <c r="AQ420" s="32" t="n"/>
      <c r="AR420" s="29">
        <f>IF(NOT(COUNTA(A420:AE420)&gt;0),"",IF(A420="","New client","Update"))</f>
        <v/>
      </c>
      <c r="AS420" s="29">
        <f>IF(BA420&lt;&gt;"",BA420,IF(LEN(AZ420)=15,MID(AZ420,3,10),""))</f>
        <v/>
      </c>
      <c r="AT420" s="29">
        <f>IF(BB420="","",BB420&amp;IF(D420="","  (guessed from PAN)",""))</f>
        <v/>
      </c>
      <c r="AU420" s="29">
        <f>IF(AZ420="","",IFERROR(INDEX(Lists!$L$2:$L$38,MATCH(LEFT(AZ420,2),Lists!$K$2:$K$38,0)),"Unknown code"))</f>
        <v/>
      </c>
      <c r="AV420" s="29">
        <f>IF(AZ420="","",IFERROR(IF(NOT(AND(LEN(AZ420)=15,ISNUMBER(MATCH(LEFT(AZ420,2),Lists!$K$2:$K$38,0)),SUMPRODUCT(--ISERROR(FIND(MID(MID(AZ420,3,10),{1,2,3,4,5,10},1),"ABCDEFGHIJKLMNOPQRSTUVWXYZ")))=0,SUMPRODUCT(--ISERROR(FIND(MID(MID(AZ420,3,10),{6,7,8,9},1),"0123456789")))=0,ISNUMBER(FIND(MID(AZ420,13,1),"123456789ABCDEFGHIJKLMNOPQRSTUVWXYZ")),MID(AZ420,14,1)="Z")),"Wrong format",IF(MID("0123456789ABCDEFGHIJKLMNOPQRSTUVWXYZ",MOD(36-MOD(SUMPRODUCT(INT((FIND(MID(AZ420,{1,2,3,4,5,6,7,8,9,10,11,12,13,14},1),"0123456789ABCDEFGHIJKLMNOPQRSTUVWXYZ")-1)*{1,2,1,2,1,2,1,2,1,2,1,2,1,2}/36)+MOD((FIND(MID(AZ420,{1,2,3,4,5,6,7,8,9,10,11,12,13,14},1),"0123456789ABCDEFGHIJKLMNOPQRSTUVWXYZ")-1)*{1,2,1,2,1,2,1,2,1,2,1,2,1,2},36)),36),36)+1,1)=MID(AZ420,15,1),"OK","Typo? check digit wrong")),"Wrong format"))</f>
        <v/>
      </c>
      <c r="AW420" s="29">
        <f>IF(BA420="","",IF(AND(LEN(BA420)=10,SUMPRODUCT(--ISERROR(FIND(MID(BA420,{1,2,3,4,5,10},1),"ABCDEFGHIJKLMNOPQRSTUVWXYZ")))=0,SUMPRODUCT(--ISERROR(FIND(MID(BA420,{6,7,8,9},1),"0123456789")))=0),"OK","Wrong format"))</f>
        <v/>
      </c>
      <c r="AX420" s="29">
        <f>IF(TRIM(H420)="","",IF(AND(LEN(UPPER(TRIM(H420)))=10,SUMPRODUCT(--ISERROR(FIND(MID(UPPER(TRIM(H420)),{1,2,3,4,10},1),"ABCDEFGHIJKLMNOPQRSTUVWXYZ")))=0,SUMPRODUCT(--ISERROR(FIND(MID(UPPER(TRIM(H420)),{5,6,7,8,9},1),"0123456789")))=0),"OK","Wrong format"))</f>
        <v/>
      </c>
      <c r="AY420" s="30">
        <f>IF(NOT(COUNTA(A420:AE420)&gt;0),"",IF(BE420&lt;&gt;"","✖ "&amp;LEFT(BE420,LEN(BE420)-2),IF(BD420&gt;0,"✔ Ready — client + "&amp;BD420&amp;" service(s)","✔ Ready — client only")))</f>
        <v/>
      </c>
      <c r="AZ420" s="31">
        <f>UPPER(SUBSTITUTE(TRIM(F420)," ",""))</f>
        <v/>
      </c>
      <c r="BA420" s="31">
        <f>UPPER(SUBSTITUTE(TRIM(E420)," ",""))</f>
        <v/>
      </c>
      <c r="BB420" s="31">
        <f>IF(D420&lt;&gt;"",D420,IFERROR(VLOOKUP(MID(AS420,4,1),Lists!$E$2:$F$8,2,FALSE),""))</f>
        <v/>
      </c>
      <c r="BC420" s="31">
        <f>IFERROR(VLOOKUP(BB420,Lists!$A$2:$C$12,3,FALSE),"")</f>
        <v/>
      </c>
      <c r="BD420" s="31">
        <f>COUNTIF(W420:AC420,"Yes")</f>
        <v/>
      </c>
      <c r="BE420" s="31">
        <f>IF(TRIM(B420)="","Legal name missing; ","")&amp;IF(AND(AV420&lt;&gt;"",AV420&lt;&gt;"OK"),"GSTIN: "&amp;AV420&amp;"; ","")&amp;IF(AND(AW420&lt;&gt;"",AW420&lt;&gt;"OK"),"PAN wrong format; ","")&amp;IF(AND(BA420&lt;&gt;"",LEN(AZ420)=15,MID(AZ420,3,10)&lt;&gt;BA420),"PAN does not match GSTIN; ","")&amp;IF(AND(AX420&lt;&gt;"",AX420&lt;&gt;"OK"),"TAN wrong format; ","")&amp;IF(AS420="","PAN missing; ","")&amp;IF(BB420="","Entity type missing; ","")&amp;IF(AND(AZ420&lt;&gt;"",COUNTIF($AZ$6:$AZ$1005,AZ420)&gt;1),"GSTIN repeated in this sheet; ","")&amp;IF(AND(AS420&lt;&gt;"",COUNTIF($AS$6:$AS$1005,AS420)&gt;1),"PAN repeated in this sheet (same client? put extra GSTINs in Other GSTINs); ","")&amp;IF(AND(BD420&gt;0,V420=""),"Financial year missing; ","")&amp;IF(AND(BD420=0,V420&lt;&gt;""),"Financial year given but no service is Yes; ","")&amp;IF(AND(W420="Yes",AZ420=""),"GST needs a GSTIN; ","")&amp;IF(AND(W420="Yes",X420=""),"GST return frequency missing; ","")&amp;IF(AND(Y420="Yes",TRIM(H420)=""),"TDS needs a TAN; ","")&amp;IF(AND(AA420="Yes",BC420&lt;&gt;"",BC420&lt;&gt;"company",BC420&lt;&gt;"llp"),"ROC is only for a company / LLP; ","")&amp;IF(AND(AA420="Yes",OR(BC420="company",BC420="llp"),TRIM(I420)=""),"ROC needs the CIN / LLPIN; ","")&amp;IF((TRIM(AF420)="")&lt;&gt;(TRIM(AG420)=""),"GST login needs both user ID and password; ","")&amp;IF((TRIM(AH420)="")&lt;&gt;(TRIM(AI420)=""),"Income-tax login needs both user ID and password; ","")&amp;IF((TRIM(AJ420)="")&lt;&gt;(TRIM(AK420)=""),"Income-tax login needs both user ID and password; ","")&amp;IF((TRIM(AL420)="")&lt;&gt;(TRIM(AM420)=""),"TRACES login needs both user ID and password; ","")&amp;IF((TRIM(AN420)="")&lt;&gt;(TRIM(AO420)=""),"MCA login needs both user ID and password; ","")&amp;IF((TRIM(AP420)="")&lt;&gt;(TRIM(AQ420)=""),"E-way bill login needs both user ID and password; ","")</f>
        <v/>
      </c>
    </row>
    <row r="421">
      <c r="A421" s="32" t="n"/>
      <c r="B421" s="33" t="n"/>
      <c r="C421" s="33" t="n"/>
      <c r="D421" s="33" t="n"/>
      <c r="E421" s="32" t="n"/>
      <c r="F421" s="32" t="n"/>
      <c r="G421" s="32" t="n"/>
      <c r="H421" s="32" t="n"/>
      <c r="I421" s="32" t="n"/>
      <c r="J421" s="34" t="n"/>
      <c r="K421" s="33" t="n"/>
      <c r="L421" s="32" t="n"/>
      <c r="M421" s="33" t="n"/>
      <c r="N421" s="33" t="n"/>
      <c r="O421" s="33" t="n"/>
      <c r="P421" s="32" t="n"/>
      <c r="Q421" s="33" t="n"/>
      <c r="R421" s="33" t="n"/>
      <c r="S421" s="33" t="n"/>
      <c r="T421" s="33" t="n"/>
      <c r="U421" s="32" t="n"/>
      <c r="V421" s="33" t="n"/>
      <c r="W421" s="33" t="n"/>
      <c r="X421" s="33" t="n"/>
      <c r="Y421" s="33" t="n"/>
      <c r="Z421" s="33" t="n"/>
      <c r="AA421" s="33" t="n"/>
      <c r="AB421" s="33" t="n"/>
      <c r="AC421" s="33" t="n"/>
      <c r="AD421" s="33" t="n"/>
      <c r="AE421" s="33" t="n"/>
      <c r="AF421" s="32" t="n"/>
      <c r="AG421" s="32" t="n"/>
      <c r="AH421" s="32" t="n"/>
      <c r="AI421" s="32" t="n"/>
      <c r="AJ421" s="32" t="n"/>
      <c r="AK421" s="32" t="n"/>
      <c r="AL421" s="32" t="n"/>
      <c r="AM421" s="32" t="n"/>
      <c r="AN421" s="32" t="n"/>
      <c r="AO421" s="32" t="n"/>
      <c r="AP421" s="32" t="n"/>
      <c r="AQ421" s="32" t="n"/>
      <c r="AR421" s="29">
        <f>IF(NOT(COUNTA(A421:AE421)&gt;0),"",IF(A421="","New client","Update"))</f>
        <v/>
      </c>
      <c r="AS421" s="29">
        <f>IF(BA421&lt;&gt;"",BA421,IF(LEN(AZ421)=15,MID(AZ421,3,10),""))</f>
        <v/>
      </c>
      <c r="AT421" s="29">
        <f>IF(BB421="","",BB421&amp;IF(D421="","  (guessed from PAN)",""))</f>
        <v/>
      </c>
      <c r="AU421" s="29">
        <f>IF(AZ421="","",IFERROR(INDEX(Lists!$L$2:$L$38,MATCH(LEFT(AZ421,2),Lists!$K$2:$K$38,0)),"Unknown code"))</f>
        <v/>
      </c>
      <c r="AV421" s="29">
        <f>IF(AZ421="","",IFERROR(IF(NOT(AND(LEN(AZ421)=15,ISNUMBER(MATCH(LEFT(AZ421,2),Lists!$K$2:$K$38,0)),SUMPRODUCT(--ISERROR(FIND(MID(MID(AZ421,3,10),{1,2,3,4,5,10},1),"ABCDEFGHIJKLMNOPQRSTUVWXYZ")))=0,SUMPRODUCT(--ISERROR(FIND(MID(MID(AZ421,3,10),{6,7,8,9},1),"0123456789")))=0,ISNUMBER(FIND(MID(AZ421,13,1),"123456789ABCDEFGHIJKLMNOPQRSTUVWXYZ")),MID(AZ421,14,1)="Z")),"Wrong format",IF(MID("0123456789ABCDEFGHIJKLMNOPQRSTUVWXYZ",MOD(36-MOD(SUMPRODUCT(INT((FIND(MID(AZ421,{1,2,3,4,5,6,7,8,9,10,11,12,13,14},1),"0123456789ABCDEFGHIJKLMNOPQRSTUVWXYZ")-1)*{1,2,1,2,1,2,1,2,1,2,1,2,1,2}/36)+MOD((FIND(MID(AZ421,{1,2,3,4,5,6,7,8,9,10,11,12,13,14},1),"0123456789ABCDEFGHIJKLMNOPQRSTUVWXYZ")-1)*{1,2,1,2,1,2,1,2,1,2,1,2,1,2},36)),36),36)+1,1)=MID(AZ421,15,1),"OK","Typo? check digit wrong")),"Wrong format"))</f>
        <v/>
      </c>
      <c r="AW421" s="29">
        <f>IF(BA421="","",IF(AND(LEN(BA421)=10,SUMPRODUCT(--ISERROR(FIND(MID(BA421,{1,2,3,4,5,10},1),"ABCDEFGHIJKLMNOPQRSTUVWXYZ")))=0,SUMPRODUCT(--ISERROR(FIND(MID(BA421,{6,7,8,9},1),"0123456789")))=0),"OK","Wrong format"))</f>
        <v/>
      </c>
      <c r="AX421" s="29">
        <f>IF(TRIM(H421)="","",IF(AND(LEN(UPPER(TRIM(H421)))=10,SUMPRODUCT(--ISERROR(FIND(MID(UPPER(TRIM(H421)),{1,2,3,4,10},1),"ABCDEFGHIJKLMNOPQRSTUVWXYZ")))=0,SUMPRODUCT(--ISERROR(FIND(MID(UPPER(TRIM(H421)),{5,6,7,8,9},1),"0123456789")))=0),"OK","Wrong format"))</f>
        <v/>
      </c>
      <c r="AY421" s="30">
        <f>IF(NOT(COUNTA(A421:AE421)&gt;0),"",IF(BE421&lt;&gt;"","✖ "&amp;LEFT(BE421,LEN(BE421)-2),IF(BD421&gt;0,"✔ Ready — client + "&amp;BD421&amp;" service(s)","✔ Ready — client only")))</f>
        <v/>
      </c>
      <c r="AZ421" s="31">
        <f>UPPER(SUBSTITUTE(TRIM(F421)," ",""))</f>
        <v/>
      </c>
      <c r="BA421" s="31">
        <f>UPPER(SUBSTITUTE(TRIM(E421)," ",""))</f>
        <v/>
      </c>
      <c r="BB421" s="31">
        <f>IF(D421&lt;&gt;"",D421,IFERROR(VLOOKUP(MID(AS421,4,1),Lists!$E$2:$F$8,2,FALSE),""))</f>
        <v/>
      </c>
      <c r="BC421" s="31">
        <f>IFERROR(VLOOKUP(BB421,Lists!$A$2:$C$12,3,FALSE),"")</f>
        <v/>
      </c>
      <c r="BD421" s="31">
        <f>COUNTIF(W421:AC421,"Yes")</f>
        <v/>
      </c>
      <c r="BE421" s="31">
        <f>IF(TRIM(B421)="","Legal name missing; ","")&amp;IF(AND(AV421&lt;&gt;"",AV421&lt;&gt;"OK"),"GSTIN: "&amp;AV421&amp;"; ","")&amp;IF(AND(AW421&lt;&gt;"",AW421&lt;&gt;"OK"),"PAN wrong format; ","")&amp;IF(AND(BA421&lt;&gt;"",LEN(AZ421)=15,MID(AZ421,3,10)&lt;&gt;BA421),"PAN does not match GSTIN; ","")&amp;IF(AND(AX421&lt;&gt;"",AX421&lt;&gt;"OK"),"TAN wrong format; ","")&amp;IF(AS421="","PAN missing; ","")&amp;IF(BB421="","Entity type missing; ","")&amp;IF(AND(AZ421&lt;&gt;"",COUNTIF($AZ$6:$AZ$1005,AZ421)&gt;1),"GSTIN repeated in this sheet; ","")&amp;IF(AND(AS421&lt;&gt;"",COUNTIF($AS$6:$AS$1005,AS421)&gt;1),"PAN repeated in this sheet (same client? put extra GSTINs in Other GSTINs); ","")&amp;IF(AND(BD421&gt;0,V421=""),"Financial year missing; ","")&amp;IF(AND(BD421=0,V421&lt;&gt;""),"Financial year given but no service is Yes; ","")&amp;IF(AND(W421="Yes",AZ421=""),"GST needs a GSTIN; ","")&amp;IF(AND(W421="Yes",X421=""),"GST return frequency missing; ","")&amp;IF(AND(Y421="Yes",TRIM(H421)=""),"TDS needs a TAN; ","")&amp;IF(AND(AA421="Yes",BC421&lt;&gt;"",BC421&lt;&gt;"company",BC421&lt;&gt;"llp"),"ROC is only for a company / LLP; ","")&amp;IF(AND(AA421="Yes",OR(BC421="company",BC421="llp"),TRIM(I421)=""),"ROC needs the CIN / LLPIN; ","")&amp;IF((TRIM(AF421)="")&lt;&gt;(TRIM(AG421)=""),"GST login needs both user ID and password; ","")&amp;IF((TRIM(AH421)="")&lt;&gt;(TRIM(AI421)=""),"Income-tax login needs both user ID and password; ","")&amp;IF((TRIM(AJ421)="")&lt;&gt;(TRIM(AK421)=""),"Income-tax login needs both user ID and password; ","")&amp;IF((TRIM(AL421)="")&lt;&gt;(TRIM(AM421)=""),"TRACES login needs both user ID and password; ","")&amp;IF((TRIM(AN421)="")&lt;&gt;(TRIM(AO421)=""),"MCA login needs both user ID and password; ","")&amp;IF((TRIM(AP421)="")&lt;&gt;(TRIM(AQ421)=""),"E-way bill login needs both user ID and password; ","")</f>
        <v/>
      </c>
    </row>
    <row r="422">
      <c r="A422" s="32" t="n"/>
      <c r="B422" s="33" t="n"/>
      <c r="C422" s="33" t="n"/>
      <c r="D422" s="33" t="n"/>
      <c r="E422" s="32" t="n"/>
      <c r="F422" s="32" t="n"/>
      <c r="G422" s="32" t="n"/>
      <c r="H422" s="32" t="n"/>
      <c r="I422" s="32" t="n"/>
      <c r="J422" s="34" t="n"/>
      <c r="K422" s="33" t="n"/>
      <c r="L422" s="32" t="n"/>
      <c r="M422" s="33" t="n"/>
      <c r="N422" s="33" t="n"/>
      <c r="O422" s="33" t="n"/>
      <c r="P422" s="32" t="n"/>
      <c r="Q422" s="33" t="n"/>
      <c r="R422" s="33" t="n"/>
      <c r="S422" s="33" t="n"/>
      <c r="T422" s="33" t="n"/>
      <c r="U422" s="32" t="n"/>
      <c r="V422" s="33" t="n"/>
      <c r="W422" s="33" t="n"/>
      <c r="X422" s="33" t="n"/>
      <c r="Y422" s="33" t="n"/>
      <c r="Z422" s="33" t="n"/>
      <c r="AA422" s="33" t="n"/>
      <c r="AB422" s="33" t="n"/>
      <c r="AC422" s="33" t="n"/>
      <c r="AD422" s="33" t="n"/>
      <c r="AE422" s="33" t="n"/>
      <c r="AF422" s="32" t="n"/>
      <c r="AG422" s="32" t="n"/>
      <c r="AH422" s="32" t="n"/>
      <c r="AI422" s="32" t="n"/>
      <c r="AJ422" s="32" t="n"/>
      <c r="AK422" s="32" t="n"/>
      <c r="AL422" s="32" t="n"/>
      <c r="AM422" s="32" t="n"/>
      <c r="AN422" s="32" t="n"/>
      <c r="AO422" s="32" t="n"/>
      <c r="AP422" s="32" t="n"/>
      <c r="AQ422" s="32" t="n"/>
      <c r="AR422" s="29">
        <f>IF(NOT(COUNTA(A422:AE422)&gt;0),"",IF(A422="","New client","Update"))</f>
        <v/>
      </c>
      <c r="AS422" s="29">
        <f>IF(BA422&lt;&gt;"",BA422,IF(LEN(AZ422)=15,MID(AZ422,3,10),""))</f>
        <v/>
      </c>
      <c r="AT422" s="29">
        <f>IF(BB422="","",BB422&amp;IF(D422="","  (guessed from PAN)",""))</f>
        <v/>
      </c>
      <c r="AU422" s="29">
        <f>IF(AZ422="","",IFERROR(INDEX(Lists!$L$2:$L$38,MATCH(LEFT(AZ422,2),Lists!$K$2:$K$38,0)),"Unknown code"))</f>
        <v/>
      </c>
      <c r="AV422" s="29">
        <f>IF(AZ422="","",IFERROR(IF(NOT(AND(LEN(AZ422)=15,ISNUMBER(MATCH(LEFT(AZ422,2),Lists!$K$2:$K$38,0)),SUMPRODUCT(--ISERROR(FIND(MID(MID(AZ422,3,10),{1,2,3,4,5,10},1),"ABCDEFGHIJKLMNOPQRSTUVWXYZ")))=0,SUMPRODUCT(--ISERROR(FIND(MID(MID(AZ422,3,10),{6,7,8,9},1),"0123456789")))=0,ISNUMBER(FIND(MID(AZ422,13,1),"123456789ABCDEFGHIJKLMNOPQRSTUVWXYZ")),MID(AZ422,14,1)="Z")),"Wrong format",IF(MID("0123456789ABCDEFGHIJKLMNOPQRSTUVWXYZ",MOD(36-MOD(SUMPRODUCT(INT((FIND(MID(AZ422,{1,2,3,4,5,6,7,8,9,10,11,12,13,14},1),"0123456789ABCDEFGHIJKLMNOPQRSTUVWXYZ")-1)*{1,2,1,2,1,2,1,2,1,2,1,2,1,2}/36)+MOD((FIND(MID(AZ422,{1,2,3,4,5,6,7,8,9,10,11,12,13,14},1),"0123456789ABCDEFGHIJKLMNOPQRSTUVWXYZ")-1)*{1,2,1,2,1,2,1,2,1,2,1,2,1,2},36)),36),36)+1,1)=MID(AZ422,15,1),"OK","Typo? check digit wrong")),"Wrong format"))</f>
        <v/>
      </c>
      <c r="AW422" s="29">
        <f>IF(BA422="","",IF(AND(LEN(BA422)=10,SUMPRODUCT(--ISERROR(FIND(MID(BA422,{1,2,3,4,5,10},1),"ABCDEFGHIJKLMNOPQRSTUVWXYZ")))=0,SUMPRODUCT(--ISERROR(FIND(MID(BA422,{6,7,8,9},1),"0123456789")))=0),"OK","Wrong format"))</f>
        <v/>
      </c>
      <c r="AX422" s="29">
        <f>IF(TRIM(H422)="","",IF(AND(LEN(UPPER(TRIM(H422)))=10,SUMPRODUCT(--ISERROR(FIND(MID(UPPER(TRIM(H422)),{1,2,3,4,10},1),"ABCDEFGHIJKLMNOPQRSTUVWXYZ")))=0,SUMPRODUCT(--ISERROR(FIND(MID(UPPER(TRIM(H422)),{5,6,7,8,9},1),"0123456789")))=0),"OK","Wrong format"))</f>
        <v/>
      </c>
      <c r="AY422" s="30">
        <f>IF(NOT(COUNTA(A422:AE422)&gt;0),"",IF(BE422&lt;&gt;"","✖ "&amp;LEFT(BE422,LEN(BE422)-2),IF(BD422&gt;0,"✔ Ready — client + "&amp;BD422&amp;" service(s)","✔ Ready — client only")))</f>
        <v/>
      </c>
      <c r="AZ422" s="31">
        <f>UPPER(SUBSTITUTE(TRIM(F422)," ",""))</f>
        <v/>
      </c>
      <c r="BA422" s="31">
        <f>UPPER(SUBSTITUTE(TRIM(E422)," ",""))</f>
        <v/>
      </c>
      <c r="BB422" s="31">
        <f>IF(D422&lt;&gt;"",D422,IFERROR(VLOOKUP(MID(AS422,4,1),Lists!$E$2:$F$8,2,FALSE),""))</f>
        <v/>
      </c>
      <c r="BC422" s="31">
        <f>IFERROR(VLOOKUP(BB422,Lists!$A$2:$C$12,3,FALSE),"")</f>
        <v/>
      </c>
      <c r="BD422" s="31">
        <f>COUNTIF(W422:AC422,"Yes")</f>
        <v/>
      </c>
      <c r="BE422" s="31">
        <f>IF(TRIM(B422)="","Legal name missing; ","")&amp;IF(AND(AV422&lt;&gt;"",AV422&lt;&gt;"OK"),"GSTIN: "&amp;AV422&amp;"; ","")&amp;IF(AND(AW422&lt;&gt;"",AW422&lt;&gt;"OK"),"PAN wrong format; ","")&amp;IF(AND(BA422&lt;&gt;"",LEN(AZ422)=15,MID(AZ422,3,10)&lt;&gt;BA422),"PAN does not match GSTIN; ","")&amp;IF(AND(AX422&lt;&gt;"",AX422&lt;&gt;"OK"),"TAN wrong format; ","")&amp;IF(AS422="","PAN missing; ","")&amp;IF(BB422="","Entity type missing; ","")&amp;IF(AND(AZ422&lt;&gt;"",COUNTIF($AZ$6:$AZ$1005,AZ422)&gt;1),"GSTIN repeated in this sheet; ","")&amp;IF(AND(AS422&lt;&gt;"",COUNTIF($AS$6:$AS$1005,AS422)&gt;1),"PAN repeated in this sheet (same client? put extra GSTINs in Other GSTINs); ","")&amp;IF(AND(BD422&gt;0,V422=""),"Financial year missing; ","")&amp;IF(AND(BD422=0,V422&lt;&gt;""),"Financial year given but no service is Yes; ","")&amp;IF(AND(W422="Yes",AZ422=""),"GST needs a GSTIN; ","")&amp;IF(AND(W422="Yes",X422=""),"GST return frequency missing; ","")&amp;IF(AND(Y422="Yes",TRIM(H422)=""),"TDS needs a TAN; ","")&amp;IF(AND(AA422="Yes",BC422&lt;&gt;"",BC422&lt;&gt;"company",BC422&lt;&gt;"llp"),"ROC is only for a company / LLP; ","")&amp;IF(AND(AA422="Yes",OR(BC422="company",BC422="llp"),TRIM(I422)=""),"ROC needs the CIN / LLPIN; ","")&amp;IF((TRIM(AF422)="")&lt;&gt;(TRIM(AG422)=""),"GST login needs both user ID and password; ","")&amp;IF((TRIM(AH422)="")&lt;&gt;(TRIM(AI422)=""),"Income-tax login needs both user ID and password; ","")&amp;IF((TRIM(AJ422)="")&lt;&gt;(TRIM(AK422)=""),"Income-tax login needs both user ID and password; ","")&amp;IF((TRIM(AL422)="")&lt;&gt;(TRIM(AM422)=""),"TRACES login needs both user ID and password; ","")&amp;IF((TRIM(AN422)="")&lt;&gt;(TRIM(AO422)=""),"MCA login needs both user ID and password; ","")&amp;IF((TRIM(AP422)="")&lt;&gt;(TRIM(AQ422)=""),"E-way bill login needs both user ID and password; ","")</f>
        <v/>
      </c>
    </row>
    <row r="423">
      <c r="A423" s="32" t="n"/>
      <c r="B423" s="33" t="n"/>
      <c r="C423" s="33" t="n"/>
      <c r="D423" s="33" t="n"/>
      <c r="E423" s="32" t="n"/>
      <c r="F423" s="32" t="n"/>
      <c r="G423" s="32" t="n"/>
      <c r="H423" s="32" t="n"/>
      <c r="I423" s="32" t="n"/>
      <c r="J423" s="34" t="n"/>
      <c r="K423" s="33" t="n"/>
      <c r="L423" s="32" t="n"/>
      <c r="M423" s="33" t="n"/>
      <c r="N423" s="33" t="n"/>
      <c r="O423" s="33" t="n"/>
      <c r="P423" s="32" t="n"/>
      <c r="Q423" s="33" t="n"/>
      <c r="R423" s="33" t="n"/>
      <c r="S423" s="33" t="n"/>
      <c r="T423" s="33" t="n"/>
      <c r="U423" s="32" t="n"/>
      <c r="V423" s="33" t="n"/>
      <c r="W423" s="33" t="n"/>
      <c r="X423" s="33" t="n"/>
      <c r="Y423" s="33" t="n"/>
      <c r="Z423" s="33" t="n"/>
      <c r="AA423" s="33" t="n"/>
      <c r="AB423" s="33" t="n"/>
      <c r="AC423" s="33" t="n"/>
      <c r="AD423" s="33" t="n"/>
      <c r="AE423" s="33" t="n"/>
      <c r="AF423" s="32" t="n"/>
      <c r="AG423" s="32" t="n"/>
      <c r="AH423" s="32" t="n"/>
      <c r="AI423" s="32" t="n"/>
      <c r="AJ423" s="32" t="n"/>
      <c r="AK423" s="32" t="n"/>
      <c r="AL423" s="32" t="n"/>
      <c r="AM423" s="32" t="n"/>
      <c r="AN423" s="32" t="n"/>
      <c r="AO423" s="32" t="n"/>
      <c r="AP423" s="32" t="n"/>
      <c r="AQ423" s="32" t="n"/>
      <c r="AR423" s="29">
        <f>IF(NOT(COUNTA(A423:AE423)&gt;0),"",IF(A423="","New client","Update"))</f>
        <v/>
      </c>
      <c r="AS423" s="29">
        <f>IF(BA423&lt;&gt;"",BA423,IF(LEN(AZ423)=15,MID(AZ423,3,10),""))</f>
        <v/>
      </c>
      <c r="AT423" s="29">
        <f>IF(BB423="","",BB423&amp;IF(D423="","  (guessed from PAN)",""))</f>
        <v/>
      </c>
      <c r="AU423" s="29">
        <f>IF(AZ423="","",IFERROR(INDEX(Lists!$L$2:$L$38,MATCH(LEFT(AZ423,2),Lists!$K$2:$K$38,0)),"Unknown code"))</f>
        <v/>
      </c>
      <c r="AV423" s="29">
        <f>IF(AZ423="","",IFERROR(IF(NOT(AND(LEN(AZ423)=15,ISNUMBER(MATCH(LEFT(AZ423,2),Lists!$K$2:$K$38,0)),SUMPRODUCT(--ISERROR(FIND(MID(MID(AZ423,3,10),{1,2,3,4,5,10},1),"ABCDEFGHIJKLMNOPQRSTUVWXYZ")))=0,SUMPRODUCT(--ISERROR(FIND(MID(MID(AZ423,3,10),{6,7,8,9},1),"0123456789")))=0,ISNUMBER(FIND(MID(AZ423,13,1),"123456789ABCDEFGHIJKLMNOPQRSTUVWXYZ")),MID(AZ423,14,1)="Z")),"Wrong format",IF(MID("0123456789ABCDEFGHIJKLMNOPQRSTUVWXYZ",MOD(36-MOD(SUMPRODUCT(INT((FIND(MID(AZ423,{1,2,3,4,5,6,7,8,9,10,11,12,13,14},1),"0123456789ABCDEFGHIJKLMNOPQRSTUVWXYZ")-1)*{1,2,1,2,1,2,1,2,1,2,1,2,1,2}/36)+MOD((FIND(MID(AZ423,{1,2,3,4,5,6,7,8,9,10,11,12,13,14},1),"0123456789ABCDEFGHIJKLMNOPQRSTUVWXYZ")-1)*{1,2,1,2,1,2,1,2,1,2,1,2,1,2},36)),36),36)+1,1)=MID(AZ423,15,1),"OK","Typo? check digit wrong")),"Wrong format"))</f>
        <v/>
      </c>
      <c r="AW423" s="29">
        <f>IF(BA423="","",IF(AND(LEN(BA423)=10,SUMPRODUCT(--ISERROR(FIND(MID(BA423,{1,2,3,4,5,10},1),"ABCDEFGHIJKLMNOPQRSTUVWXYZ")))=0,SUMPRODUCT(--ISERROR(FIND(MID(BA423,{6,7,8,9},1),"0123456789")))=0),"OK","Wrong format"))</f>
        <v/>
      </c>
      <c r="AX423" s="29">
        <f>IF(TRIM(H423)="","",IF(AND(LEN(UPPER(TRIM(H423)))=10,SUMPRODUCT(--ISERROR(FIND(MID(UPPER(TRIM(H423)),{1,2,3,4,10},1),"ABCDEFGHIJKLMNOPQRSTUVWXYZ")))=0,SUMPRODUCT(--ISERROR(FIND(MID(UPPER(TRIM(H423)),{5,6,7,8,9},1),"0123456789")))=0),"OK","Wrong format"))</f>
        <v/>
      </c>
      <c r="AY423" s="30">
        <f>IF(NOT(COUNTA(A423:AE423)&gt;0),"",IF(BE423&lt;&gt;"","✖ "&amp;LEFT(BE423,LEN(BE423)-2),IF(BD423&gt;0,"✔ Ready — client + "&amp;BD423&amp;" service(s)","✔ Ready — client only")))</f>
        <v/>
      </c>
      <c r="AZ423" s="31">
        <f>UPPER(SUBSTITUTE(TRIM(F423)," ",""))</f>
        <v/>
      </c>
      <c r="BA423" s="31">
        <f>UPPER(SUBSTITUTE(TRIM(E423)," ",""))</f>
        <v/>
      </c>
      <c r="BB423" s="31">
        <f>IF(D423&lt;&gt;"",D423,IFERROR(VLOOKUP(MID(AS423,4,1),Lists!$E$2:$F$8,2,FALSE),""))</f>
        <v/>
      </c>
      <c r="BC423" s="31">
        <f>IFERROR(VLOOKUP(BB423,Lists!$A$2:$C$12,3,FALSE),"")</f>
        <v/>
      </c>
      <c r="BD423" s="31">
        <f>COUNTIF(W423:AC423,"Yes")</f>
        <v/>
      </c>
      <c r="BE423" s="31">
        <f>IF(TRIM(B423)="","Legal name missing; ","")&amp;IF(AND(AV423&lt;&gt;"",AV423&lt;&gt;"OK"),"GSTIN: "&amp;AV423&amp;"; ","")&amp;IF(AND(AW423&lt;&gt;"",AW423&lt;&gt;"OK"),"PAN wrong format; ","")&amp;IF(AND(BA423&lt;&gt;"",LEN(AZ423)=15,MID(AZ423,3,10)&lt;&gt;BA423),"PAN does not match GSTIN; ","")&amp;IF(AND(AX423&lt;&gt;"",AX423&lt;&gt;"OK"),"TAN wrong format; ","")&amp;IF(AS423="","PAN missing; ","")&amp;IF(BB423="","Entity type missing; ","")&amp;IF(AND(AZ423&lt;&gt;"",COUNTIF($AZ$6:$AZ$1005,AZ423)&gt;1),"GSTIN repeated in this sheet; ","")&amp;IF(AND(AS423&lt;&gt;"",COUNTIF($AS$6:$AS$1005,AS423)&gt;1),"PAN repeated in this sheet (same client? put extra GSTINs in Other GSTINs); ","")&amp;IF(AND(BD423&gt;0,V423=""),"Financial year missing; ","")&amp;IF(AND(BD423=0,V423&lt;&gt;""),"Financial year given but no service is Yes; ","")&amp;IF(AND(W423="Yes",AZ423=""),"GST needs a GSTIN; ","")&amp;IF(AND(W423="Yes",X423=""),"GST return frequency missing; ","")&amp;IF(AND(Y423="Yes",TRIM(H423)=""),"TDS needs a TAN; ","")&amp;IF(AND(AA423="Yes",BC423&lt;&gt;"",BC423&lt;&gt;"company",BC423&lt;&gt;"llp"),"ROC is only for a company / LLP; ","")&amp;IF(AND(AA423="Yes",OR(BC423="company",BC423="llp"),TRIM(I423)=""),"ROC needs the CIN / LLPIN; ","")&amp;IF((TRIM(AF423)="")&lt;&gt;(TRIM(AG423)=""),"GST login needs both user ID and password; ","")&amp;IF((TRIM(AH423)="")&lt;&gt;(TRIM(AI423)=""),"Income-tax login needs both user ID and password; ","")&amp;IF((TRIM(AJ423)="")&lt;&gt;(TRIM(AK423)=""),"Income-tax login needs both user ID and password; ","")&amp;IF((TRIM(AL423)="")&lt;&gt;(TRIM(AM423)=""),"TRACES login needs both user ID and password; ","")&amp;IF((TRIM(AN423)="")&lt;&gt;(TRIM(AO423)=""),"MCA login needs both user ID and password; ","")&amp;IF((TRIM(AP423)="")&lt;&gt;(TRIM(AQ423)=""),"E-way bill login needs both user ID and password; ","")</f>
        <v/>
      </c>
    </row>
    <row r="424">
      <c r="A424" s="32" t="n"/>
      <c r="B424" s="33" t="n"/>
      <c r="C424" s="33" t="n"/>
      <c r="D424" s="33" t="n"/>
      <c r="E424" s="32" t="n"/>
      <c r="F424" s="32" t="n"/>
      <c r="G424" s="32" t="n"/>
      <c r="H424" s="32" t="n"/>
      <c r="I424" s="32" t="n"/>
      <c r="J424" s="34" t="n"/>
      <c r="K424" s="33" t="n"/>
      <c r="L424" s="32" t="n"/>
      <c r="M424" s="33" t="n"/>
      <c r="N424" s="33" t="n"/>
      <c r="O424" s="33" t="n"/>
      <c r="P424" s="32" t="n"/>
      <c r="Q424" s="33" t="n"/>
      <c r="R424" s="33" t="n"/>
      <c r="S424" s="33" t="n"/>
      <c r="T424" s="33" t="n"/>
      <c r="U424" s="32" t="n"/>
      <c r="V424" s="33" t="n"/>
      <c r="W424" s="33" t="n"/>
      <c r="X424" s="33" t="n"/>
      <c r="Y424" s="33" t="n"/>
      <c r="Z424" s="33" t="n"/>
      <c r="AA424" s="33" t="n"/>
      <c r="AB424" s="33" t="n"/>
      <c r="AC424" s="33" t="n"/>
      <c r="AD424" s="33" t="n"/>
      <c r="AE424" s="33" t="n"/>
      <c r="AF424" s="32" t="n"/>
      <c r="AG424" s="32" t="n"/>
      <c r="AH424" s="32" t="n"/>
      <c r="AI424" s="32" t="n"/>
      <c r="AJ424" s="32" t="n"/>
      <c r="AK424" s="32" t="n"/>
      <c r="AL424" s="32" t="n"/>
      <c r="AM424" s="32" t="n"/>
      <c r="AN424" s="32" t="n"/>
      <c r="AO424" s="32" t="n"/>
      <c r="AP424" s="32" t="n"/>
      <c r="AQ424" s="32" t="n"/>
      <c r="AR424" s="29">
        <f>IF(NOT(COUNTA(A424:AE424)&gt;0),"",IF(A424="","New client","Update"))</f>
        <v/>
      </c>
      <c r="AS424" s="29">
        <f>IF(BA424&lt;&gt;"",BA424,IF(LEN(AZ424)=15,MID(AZ424,3,10),""))</f>
        <v/>
      </c>
      <c r="AT424" s="29">
        <f>IF(BB424="","",BB424&amp;IF(D424="","  (guessed from PAN)",""))</f>
        <v/>
      </c>
      <c r="AU424" s="29">
        <f>IF(AZ424="","",IFERROR(INDEX(Lists!$L$2:$L$38,MATCH(LEFT(AZ424,2),Lists!$K$2:$K$38,0)),"Unknown code"))</f>
        <v/>
      </c>
      <c r="AV424" s="29">
        <f>IF(AZ424="","",IFERROR(IF(NOT(AND(LEN(AZ424)=15,ISNUMBER(MATCH(LEFT(AZ424,2),Lists!$K$2:$K$38,0)),SUMPRODUCT(--ISERROR(FIND(MID(MID(AZ424,3,10),{1,2,3,4,5,10},1),"ABCDEFGHIJKLMNOPQRSTUVWXYZ")))=0,SUMPRODUCT(--ISERROR(FIND(MID(MID(AZ424,3,10),{6,7,8,9},1),"0123456789")))=0,ISNUMBER(FIND(MID(AZ424,13,1),"123456789ABCDEFGHIJKLMNOPQRSTUVWXYZ")),MID(AZ424,14,1)="Z")),"Wrong format",IF(MID("0123456789ABCDEFGHIJKLMNOPQRSTUVWXYZ",MOD(36-MOD(SUMPRODUCT(INT((FIND(MID(AZ424,{1,2,3,4,5,6,7,8,9,10,11,12,13,14},1),"0123456789ABCDEFGHIJKLMNOPQRSTUVWXYZ")-1)*{1,2,1,2,1,2,1,2,1,2,1,2,1,2}/36)+MOD((FIND(MID(AZ424,{1,2,3,4,5,6,7,8,9,10,11,12,13,14},1),"0123456789ABCDEFGHIJKLMNOPQRSTUVWXYZ")-1)*{1,2,1,2,1,2,1,2,1,2,1,2,1,2},36)),36),36)+1,1)=MID(AZ424,15,1),"OK","Typo? check digit wrong")),"Wrong format"))</f>
        <v/>
      </c>
      <c r="AW424" s="29">
        <f>IF(BA424="","",IF(AND(LEN(BA424)=10,SUMPRODUCT(--ISERROR(FIND(MID(BA424,{1,2,3,4,5,10},1),"ABCDEFGHIJKLMNOPQRSTUVWXYZ")))=0,SUMPRODUCT(--ISERROR(FIND(MID(BA424,{6,7,8,9},1),"0123456789")))=0),"OK","Wrong format"))</f>
        <v/>
      </c>
      <c r="AX424" s="29">
        <f>IF(TRIM(H424)="","",IF(AND(LEN(UPPER(TRIM(H424)))=10,SUMPRODUCT(--ISERROR(FIND(MID(UPPER(TRIM(H424)),{1,2,3,4,10},1),"ABCDEFGHIJKLMNOPQRSTUVWXYZ")))=0,SUMPRODUCT(--ISERROR(FIND(MID(UPPER(TRIM(H424)),{5,6,7,8,9},1),"0123456789")))=0),"OK","Wrong format"))</f>
        <v/>
      </c>
      <c r="AY424" s="30">
        <f>IF(NOT(COUNTA(A424:AE424)&gt;0),"",IF(BE424&lt;&gt;"","✖ "&amp;LEFT(BE424,LEN(BE424)-2),IF(BD424&gt;0,"✔ Ready — client + "&amp;BD424&amp;" service(s)","✔ Ready — client only")))</f>
        <v/>
      </c>
      <c r="AZ424" s="31">
        <f>UPPER(SUBSTITUTE(TRIM(F424)," ",""))</f>
        <v/>
      </c>
      <c r="BA424" s="31">
        <f>UPPER(SUBSTITUTE(TRIM(E424)," ",""))</f>
        <v/>
      </c>
      <c r="BB424" s="31">
        <f>IF(D424&lt;&gt;"",D424,IFERROR(VLOOKUP(MID(AS424,4,1),Lists!$E$2:$F$8,2,FALSE),""))</f>
        <v/>
      </c>
      <c r="BC424" s="31">
        <f>IFERROR(VLOOKUP(BB424,Lists!$A$2:$C$12,3,FALSE),"")</f>
        <v/>
      </c>
      <c r="BD424" s="31">
        <f>COUNTIF(W424:AC424,"Yes")</f>
        <v/>
      </c>
      <c r="BE424" s="31">
        <f>IF(TRIM(B424)="","Legal name missing; ","")&amp;IF(AND(AV424&lt;&gt;"",AV424&lt;&gt;"OK"),"GSTIN: "&amp;AV424&amp;"; ","")&amp;IF(AND(AW424&lt;&gt;"",AW424&lt;&gt;"OK"),"PAN wrong format; ","")&amp;IF(AND(BA424&lt;&gt;"",LEN(AZ424)=15,MID(AZ424,3,10)&lt;&gt;BA424),"PAN does not match GSTIN; ","")&amp;IF(AND(AX424&lt;&gt;"",AX424&lt;&gt;"OK"),"TAN wrong format; ","")&amp;IF(AS424="","PAN missing; ","")&amp;IF(BB424="","Entity type missing; ","")&amp;IF(AND(AZ424&lt;&gt;"",COUNTIF($AZ$6:$AZ$1005,AZ424)&gt;1),"GSTIN repeated in this sheet; ","")&amp;IF(AND(AS424&lt;&gt;"",COUNTIF($AS$6:$AS$1005,AS424)&gt;1),"PAN repeated in this sheet (same client? put extra GSTINs in Other GSTINs); ","")&amp;IF(AND(BD424&gt;0,V424=""),"Financial year missing; ","")&amp;IF(AND(BD424=0,V424&lt;&gt;""),"Financial year given but no service is Yes; ","")&amp;IF(AND(W424="Yes",AZ424=""),"GST needs a GSTIN; ","")&amp;IF(AND(W424="Yes",X424=""),"GST return frequency missing; ","")&amp;IF(AND(Y424="Yes",TRIM(H424)=""),"TDS needs a TAN; ","")&amp;IF(AND(AA424="Yes",BC424&lt;&gt;"",BC424&lt;&gt;"company",BC424&lt;&gt;"llp"),"ROC is only for a company / LLP; ","")&amp;IF(AND(AA424="Yes",OR(BC424="company",BC424="llp"),TRIM(I424)=""),"ROC needs the CIN / LLPIN; ","")&amp;IF((TRIM(AF424)="")&lt;&gt;(TRIM(AG424)=""),"GST login needs both user ID and password; ","")&amp;IF((TRIM(AH424)="")&lt;&gt;(TRIM(AI424)=""),"Income-tax login needs both user ID and password; ","")&amp;IF((TRIM(AJ424)="")&lt;&gt;(TRIM(AK424)=""),"Income-tax login needs both user ID and password; ","")&amp;IF((TRIM(AL424)="")&lt;&gt;(TRIM(AM424)=""),"TRACES login needs both user ID and password; ","")&amp;IF((TRIM(AN424)="")&lt;&gt;(TRIM(AO424)=""),"MCA login needs both user ID and password; ","")&amp;IF((TRIM(AP424)="")&lt;&gt;(TRIM(AQ424)=""),"E-way bill login needs both user ID and password; ","")</f>
        <v/>
      </c>
    </row>
    <row r="425">
      <c r="A425" s="32" t="n"/>
      <c r="B425" s="33" t="n"/>
      <c r="C425" s="33" t="n"/>
      <c r="D425" s="33" t="n"/>
      <c r="E425" s="32" t="n"/>
      <c r="F425" s="32" t="n"/>
      <c r="G425" s="32" t="n"/>
      <c r="H425" s="32" t="n"/>
      <c r="I425" s="32" t="n"/>
      <c r="J425" s="34" t="n"/>
      <c r="K425" s="33" t="n"/>
      <c r="L425" s="32" t="n"/>
      <c r="M425" s="33" t="n"/>
      <c r="N425" s="33" t="n"/>
      <c r="O425" s="33" t="n"/>
      <c r="P425" s="32" t="n"/>
      <c r="Q425" s="33" t="n"/>
      <c r="R425" s="33" t="n"/>
      <c r="S425" s="33" t="n"/>
      <c r="T425" s="33" t="n"/>
      <c r="U425" s="32" t="n"/>
      <c r="V425" s="33" t="n"/>
      <c r="W425" s="33" t="n"/>
      <c r="X425" s="33" t="n"/>
      <c r="Y425" s="33" t="n"/>
      <c r="Z425" s="33" t="n"/>
      <c r="AA425" s="33" t="n"/>
      <c r="AB425" s="33" t="n"/>
      <c r="AC425" s="33" t="n"/>
      <c r="AD425" s="33" t="n"/>
      <c r="AE425" s="33" t="n"/>
      <c r="AF425" s="32" t="n"/>
      <c r="AG425" s="32" t="n"/>
      <c r="AH425" s="32" t="n"/>
      <c r="AI425" s="32" t="n"/>
      <c r="AJ425" s="32" t="n"/>
      <c r="AK425" s="32" t="n"/>
      <c r="AL425" s="32" t="n"/>
      <c r="AM425" s="32" t="n"/>
      <c r="AN425" s="32" t="n"/>
      <c r="AO425" s="32" t="n"/>
      <c r="AP425" s="32" t="n"/>
      <c r="AQ425" s="32" t="n"/>
      <c r="AR425" s="29">
        <f>IF(NOT(COUNTA(A425:AE425)&gt;0),"",IF(A425="","New client","Update"))</f>
        <v/>
      </c>
      <c r="AS425" s="29">
        <f>IF(BA425&lt;&gt;"",BA425,IF(LEN(AZ425)=15,MID(AZ425,3,10),""))</f>
        <v/>
      </c>
      <c r="AT425" s="29">
        <f>IF(BB425="","",BB425&amp;IF(D425="","  (guessed from PAN)",""))</f>
        <v/>
      </c>
      <c r="AU425" s="29">
        <f>IF(AZ425="","",IFERROR(INDEX(Lists!$L$2:$L$38,MATCH(LEFT(AZ425,2),Lists!$K$2:$K$38,0)),"Unknown code"))</f>
        <v/>
      </c>
      <c r="AV425" s="29">
        <f>IF(AZ425="","",IFERROR(IF(NOT(AND(LEN(AZ425)=15,ISNUMBER(MATCH(LEFT(AZ425,2),Lists!$K$2:$K$38,0)),SUMPRODUCT(--ISERROR(FIND(MID(MID(AZ425,3,10),{1,2,3,4,5,10},1),"ABCDEFGHIJKLMNOPQRSTUVWXYZ")))=0,SUMPRODUCT(--ISERROR(FIND(MID(MID(AZ425,3,10),{6,7,8,9},1),"0123456789")))=0,ISNUMBER(FIND(MID(AZ425,13,1),"123456789ABCDEFGHIJKLMNOPQRSTUVWXYZ")),MID(AZ425,14,1)="Z")),"Wrong format",IF(MID("0123456789ABCDEFGHIJKLMNOPQRSTUVWXYZ",MOD(36-MOD(SUMPRODUCT(INT((FIND(MID(AZ425,{1,2,3,4,5,6,7,8,9,10,11,12,13,14},1),"0123456789ABCDEFGHIJKLMNOPQRSTUVWXYZ")-1)*{1,2,1,2,1,2,1,2,1,2,1,2,1,2}/36)+MOD((FIND(MID(AZ425,{1,2,3,4,5,6,7,8,9,10,11,12,13,14},1),"0123456789ABCDEFGHIJKLMNOPQRSTUVWXYZ")-1)*{1,2,1,2,1,2,1,2,1,2,1,2,1,2},36)),36),36)+1,1)=MID(AZ425,15,1),"OK","Typo? check digit wrong")),"Wrong format"))</f>
        <v/>
      </c>
      <c r="AW425" s="29">
        <f>IF(BA425="","",IF(AND(LEN(BA425)=10,SUMPRODUCT(--ISERROR(FIND(MID(BA425,{1,2,3,4,5,10},1),"ABCDEFGHIJKLMNOPQRSTUVWXYZ")))=0,SUMPRODUCT(--ISERROR(FIND(MID(BA425,{6,7,8,9},1),"0123456789")))=0),"OK","Wrong format"))</f>
        <v/>
      </c>
      <c r="AX425" s="29">
        <f>IF(TRIM(H425)="","",IF(AND(LEN(UPPER(TRIM(H425)))=10,SUMPRODUCT(--ISERROR(FIND(MID(UPPER(TRIM(H425)),{1,2,3,4,10},1),"ABCDEFGHIJKLMNOPQRSTUVWXYZ")))=0,SUMPRODUCT(--ISERROR(FIND(MID(UPPER(TRIM(H425)),{5,6,7,8,9},1),"0123456789")))=0),"OK","Wrong format"))</f>
        <v/>
      </c>
      <c r="AY425" s="30">
        <f>IF(NOT(COUNTA(A425:AE425)&gt;0),"",IF(BE425&lt;&gt;"","✖ "&amp;LEFT(BE425,LEN(BE425)-2),IF(BD425&gt;0,"✔ Ready — client + "&amp;BD425&amp;" service(s)","✔ Ready — client only")))</f>
        <v/>
      </c>
      <c r="AZ425" s="31">
        <f>UPPER(SUBSTITUTE(TRIM(F425)," ",""))</f>
        <v/>
      </c>
      <c r="BA425" s="31">
        <f>UPPER(SUBSTITUTE(TRIM(E425)," ",""))</f>
        <v/>
      </c>
      <c r="BB425" s="31">
        <f>IF(D425&lt;&gt;"",D425,IFERROR(VLOOKUP(MID(AS425,4,1),Lists!$E$2:$F$8,2,FALSE),""))</f>
        <v/>
      </c>
      <c r="BC425" s="31">
        <f>IFERROR(VLOOKUP(BB425,Lists!$A$2:$C$12,3,FALSE),"")</f>
        <v/>
      </c>
      <c r="BD425" s="31">
        <f>COUNTIF(W425:AC425,"Yes")</f>
        <v/>
      </c>
      <c r="BE425" s="31">
        <f>IF(TRIM(B425)="","Legal name missing; ","")&amp;IF(AND(AV425&lt;&gt;"",AV425&lt;&gt;"OK"),"GSTIN: "&amp;AV425&amp;"; ","")&amp;IF(AND(AW425&lt;&gt;"",AW425&lt;&gt;"OK"),"PAN wrong format; ","")&amp;IF(AND(BA425&lt;&gt;"",LEN(AZ425)=15,MID(AZ425,3,10)&lt;&gt;BA425),"PAN does not match GSTIN; ","")&amp;IF(AND(AX425&lt;&gt;"",AX425&lt;&gt;"OK"),"TAN wrong format; ","")&amp;IF(AS425="","PAN missing; ","")&amp;IF(BB425="","Entity type missing; ","")&amp;IF(AND(AZ425&lt;&gt;"",COUNTIF($AZ$6:$AZ$1005,AZ425)&gt;1),"GSTIN repeated in this sheet; ","")&amp;IF(AND(AS425&lt;&gt;"",COUNTIF($AS$6:$AS$1005,AS425)&gt;1),"PAN repeated in this sheet (same client? put extra GSTINs in Other GSTINs); ","")&amp;IF(AND(BD425&gt;0,V425=""),"Financial year missing; ","")&amp;IF(AND(BD425=0,V425&lt;&gt;""),"Financial year given but no service is Yes; ","")&amp;IF(AND(W425="Yes",AZ425=""),"GST needs a GSTIN; ","")&amp;IF(AND(W425="Yes",X425=""),"GST return frequency missing; ","")&amp;IF(AND(Y425="Yes",TRIM(H425)=""),"TDS needs a TAN; ","")&amp;IF(AND(AA425="Yes",BC425&lt;&gt;"",BC425&lt;&gt;"company",BC425&lt;&gt;"llp"),"ROC is only for a company / LLP; ","")&amp;IF(AND(AA425="Yes",OR(BC425="company",BC425="llp"),TRIM(I425)=""),"ROC needs the CIN / LLPIN; ","")&amp;IF((TRIM(AF425)="")&lt;&gt;(TRIM(AG425)=""),"GST login needs both user ID and password; ","")&amp;IF((TRIM(AH425)="")&lt;&gt;(TRIM(AI425)=""),"Income-tax login needs both user ID and password; ","")&amp;IF((TRIM(AJ425)="")&lt;&gt;(TRIM(AK425)=""),"Income-tax login needs both user ID and password; ","")&amp;IF((TRIM(AL425)="")&lt;&gt;(TRIM(AM425)=""),"TRACES login needs both user ID and password; ","")&amp;IF((TRIM(AN425)="")&lt;&gt;(TRIM(AO425)=""),"MCA login needs both user ID and password; ","")&amp;IF((TRIM(AP425)="")&lt;&gt;(TRIM(AQ425)=""),"E-way bill login needs both user ID and password; ","")</f>
        <v/>
      </c>
    </row>
    <row r="426">
      <c r="A426" s="32" t="n"/>
      <c r="B426" s="33" t="n"/>
      <c r="C426" s="33" t="n"/>
      <c r="D426" s="33" t="n"/>
      <c r="E426" s="32" t="n"/>
      <c r="F426" s="32" t="n"/>
      <c r="G426" s="32" t="n"/>
      <c r="H426" s="32" t="n"/>
      <c r="I426" s="32" t="n"/>
      <c r="J426" s="34" t="n"/>
      <c r="K426" s="33" t="n"/>
      <c r="L426" s="32" t="n"/>
      <c r="M426" s="33" t="n"/>
      <c r="N426" s="33" t="n"/>
      <c r="O426" s="33" t="n"/>
      <c r="P426" s="32" t="n"/>
      <c r="Q426" s="33" t="n"/>
      <c r="R426" s="33" t="n"/>
      <c r="S426" s="33" t="n"/>
      <c r="T426" s="33" t="n"/>
      <c r="U426" s="32" t="n"/>
      <c r="V426" s="33" t="n"/>
      <c r="W426" s="33" t="n"/>
      <c r="X426" s="33" t="n"/>
      <c r="Y426" s="33" t="n"/>
      <c r="Z426" s="33" t="n"/>
      <c r="AA426" s="33" t="n"/>
      <c r="AB426" s="33" t="n"/>
      <c r="AC426" s="33" t="n"/>
      <c r="AD426" s="33" t="n"/>
      <c r="AE426" s="33" t="n"/>
      <c r="AF426" s="32" t="n"/>
      <c r="AG426" s="32" t="n"/>
      <c r="AH426" s="32" t="n"/>
      <c r="AI426" s="32" t="n"/>
      <c r="AJ426" s="32" t="n"/>
      <c r="AK426" s="32" t="n"/>
      <c r="AL426" s="32" t="n"/>
      <c r="AM426" s="32" t="n"/>
      <c r="AN426" s="32" t="n"/>
      <c r="AO426" s="32" t="n"/>
      <c r="AP426" s="32" t="n"/>
      <c r="AQ426" s="32" t="n"/>
      <c r="AR426" s="29">
        <f>IF(NOT(COUNTA(A426:AE426)&gt;0),"",IF(A426="","New client","Update"))</f>
        <v/>
      </c>
      <c r="AS426" s="29">
        <f>IF(BA426&lt;&gt;"",BA426,IF(LEN(AZ426)=15,MID(AZ426,3,10),""))</f>
        <v/>
      </c>
      <c r="AT426" s="29">
        <f>IF(BB426="","",BB426&amp;IF(D426="","  (guessed from PAN)",""))</f>
        <v/>
      </c>
      <c r="AU426" s="29">
        <f>IF(AZ426="","",IFERROR(INDEX(Lists!$L$2:$L$38,MATCH(LEFT(AZ426,2),Lists!$K$2:$K$38,0)),"Unknown code"))</f>
        <v/>
      </c>
      <c r="AV426" s="29">
        <f>IF(AZ426="","",IFERROR(IF(NOT(AND(LEN(AZ426)=15,ISNUMBER(MATCH(LEFT(AZ426,2),Lists!$K$2:$K$38,0)),SUMPRODUCT(--ISERROR(FIND(MID(MID(AZ426,3,10),{1,2,3,4,5,10},1),"ABCDEFGHIJKLMNOPQRSTUVWXYZ")))=0,SUMPRODUCT(--ISERROR(FIND(MID(MID(AZ426,3,10),{6,7,8,9},1),"0123456789")))=0,ISNUMBER(FIND(MID(AZ426,13,1),"123456789ABCDEFGHIJKLMNOPQRSTUVWXYZ")),MID(AZ426,14,1)="Z")),"Wrong format",IF(MID("0123456789ABCDEFGHIJKLMNOPQRSTUVWXYZ",MOD(36-MOD(SUMPRODUCT(INT((FIND(MID(AZ426,{1,2,3,4,5,6,7,8,9,10,11,12,13,14},1),"0123456789ABCDEFGHIJKLMNOPQRSTUVWXYZ")-1)*{1,2,1,2,1,2,1,2,1,2,1,2,1,2}/36)+MOD((FIND(MID(AZ426,{1,2,3,4,5,6,7,8,9,10,11,12,13,14},1),"0123456789ABCDEFGHIJKLMNOPQRSTUVWXYZ")-1)*{1,2,1,2,1,2,1,2,1,2,1,2,1,2},36)),36),36)+1,1)=MID(AZ426,15,1),"OK","Typo? check digit wrong")),"Wrong format"))</f>
        <v/>
      </c>
      <c r="AW426" s="29">
        <f>IF(BA426="","",IF(AND(LEN(BA426)=10,SUMPRODUCT(--ISERROR(FIND(MID(BA426,{1,2,3,4,5,10},1),"ABCDEFGHIJKLMNOPQRSTUVWXYZ")))=0,SUMPRODUCT(--ISERROR(FIND(MID(BA426,{6,7,8,9},1),"0123456789")))=0),"OK","Wrong format"))</f>
        <v/>
      </c>
      <c r="AX426" s="29">
        <f>IF(TRIM(H426)="","",IF(AND(LEN(UPPER(TRIM(H426)))=10,SUMPRODUCT(--ISERROR(FIND(MID(UPPER(TRIM(H426)),{1,2,3,4,10},1),"ABCDEFGHIJKLMNOPQRSTUVWXYZ")))=0,SUMPRODUCT(--ISERROR(FIND(MID(UPPER(TRIM(H426)),{5,6,7,8,9},1),"0123456789")))=0),"OK","Wrong format"))</f>
        <v/>
      </c>
      <c r="AY426" s="30">
        <f>IF(NOT(COUNTA(A426:AE426)&gt;0),"",IF(BE426&lt;&gt;"","✖ "&amp;LEFT(BE426,LEN(BE426)-2),IF(BD426&gt;0,"✔ Ready — client + "&amp;BD426&amp;" service(s)","✔ Ready — client only")))</f>
        <v/>
      </c>
      <c r="AZ426" s="31">
        <f>UPPER(SUBSTITUTE(TRIM(F426)," ",""))</f>
        <v/>
      </c>
      <c r="BA426" s="31">
        <f>UPPER(SUBSTITUTE(TRIM(E426)," ",""))</f>
        <v/>
      </c>
      <c r="BB426" s="31">
        <f>IF(D426&lt;&gt;"",D426,IFERROR(VLOOKUP(MID(AS426,4,1),Lists!$E$2:$F$8,2,FALSE),""))</f>
        <v/>
      </c>
      <c r="BC426" s="31">
        <f>IFERROR(VLOOKUP(BB426,Lists!$A$2:$C$12,3,FALSE),"")</f>
        <v/>
      </c>
      <c r="BD426" s="31">
        <f>COUNTIF(W426:AC426,"Yes")</f>
        <v/>
      </c>
      <c r="BE426" s="31">
        <f>IF(TRIM(B426)="","Legal name missing; ","")&amp;IF(AND(AV426&lt;&gt;"",AV426&lt;&gt;"OK"),"GSTIN: "&amp;AV426&amp;"; ","")&amp;IF(AND(AW426&lt;&gt;"",AW426&lt;&gt;"OK"),"PAN wrong format; ","")&amp;IF(AND(BA426&lt;&gt;"",LEN(AZ426)=15,MID(AZ426,3,10)&lt;&gt;BA426),"PAN does not match GSTIN; ","")&amp;IF(AND(AX426&lt;&gt;"",AX426&lt;&gt;"OK"),"TAN wrong format; ","")&amp;IF(AS426="","PAN missing; ","")&amp;IF(BB426="","Entity type missing; ","")&amp;IF(AND(AZ426&lt;&gt;"",COUNTIF($AZ$6:$AZ$1005,AZ426)&gt;1),"GSTIN repeated in this sheet; ","")&amp;IF(AND(AS426&lt;&gt;"",COUNTIF($AS$6:$AS$1005,AS426)&gt;1),"PAN repeated in this sheet (same client? put extra GSTINs in Other GSTINs); ","")&amp;IF(AND(BD426&gt;0,V426=""),"Financial year missing; ","")&amp;IF(AND(BD426=0,V426&lt;&gt;""),"Financial year given but no service is Yes; ","")&amp;IF(AND(W426="Yes",AZ426=""),"GST needs a GSTIN; ","")&amp;IF(AND(W426="Yes",X426=""),"GST return frequency missing; ","")&amp;IF(AND(Y426="Yes",TRIM(H426)=""),"TDS needs a TAN; ","")&amp;IF(AND(AA426="Yes",BC426&lt;&gt;"",BC426&lt;&gt;"company",BC426&lt;&gt;"llp"),"ROC is only for a company / LLP; ","")&amp;IF(AND(AA426="Yes",OR(BC426="company",BC426="llp"),TRIM(I426)=""),"ROC needs the CIN / LLPIN; ","")&amp;IF((TRIM(AF426)="")&lt;&gt;(TRIM(AG426)=""),"GST login needs both user ID and password; ","")&amp;IF((TRIM(AH426)="")&lt;&gt;(TRIM(AI426)=""),"Income-tax login needs both user ID and password; ","")&amp;IF((TRIM(AJ426)="")&lt;&gt;(TRIM(AK426)=""),"Income-tax login needs both user ID and password; ","")&amp;IF((TRIM(AL426)="")&lt;&gt;(TRIM(AM426)=""),"TRACES login needs both user ID and password; ","")&amp;IF((TRIM(AN426)="")&lt;&gt;(TRIM(AO426)=""),"MCA login needs both user ID and password; ","")&amp;IF((TRIM(AP426)="")&lt;&gt;(TRIM(AQ426)=""),"E-way bill login needs both user ID and password; ","")</f>
        <v/>
      </c>
    </row>
    <row r="427">
      <c r="A427" s="32" t="n"/>
      <c r="B427" s="33" t="n"/>
      <c r="C427" s="33" t="n"/>
      <c r="D427" s="33" t="n"/>
      <c r="E427" s="32" t="n"/>
      <c r="F427" s="32" t="n"/>
      <c r="G427" s="32" t="n"/>
      <c r="H427" s="32" t="n"/>
      <c r="I427" s="32" t="n"/>
      <c r="J427" s="34" t="n"/>
      <c r="K427" s="33" t="n"/>
      <c r="L427" s="32" t="n"/>
      <c r="M427" s="33" t="n"/>
      <c r="N427" s="33" t="n"/>
      <c r="O427" s="33" t="n"/>
      <c r="P427" s="32" t="n"/>
      <c r="Q427" s="33" t="n"/>
      <c r="R427" s="33" t="n"/>
      <c r="S427" s="33" t="n"/>
      <c r="T427" s="33" t="n"/>
      <c r="U427" s="32" t="n"/>
      <c r="V427" s="33" t="n"/>
      <c r="W427" s="33" t="n"/>
      <c r="X427" s="33" t="n"/>
      <c r="Y427" s="33" t="n"/>
      <c r="Z427" s="33" t="n"/>
      <c r="AA427" s="33" t="n"/>
      <c r="AB427" s="33" t="n"/>
      <c r="AC427" s="33" t="n"/>
      <c r="AD427" s="33" t="n"/>
      <c r="AE427" s="33" t="n"/>
      <c r="AF427" s="32" t="n"/>
      <c r="AG427" s="32" t="n"/>
      <c r="AH427" s="32" t="n"/>
      <c r="AI427" s="32" t="n"/>
      <c r="AJ427" s="32" t="n"/>
      <c r="AK427" s="32" t="n"/>
      <c r="AL427" s="32" t="n"/>
      <c r="AM427" s="32" t="n"/>
      <c r="AN427" s="32" t="n"/>
      <c r="AO427" s="32" t="n"/>
      <c r="AP427" s="32" t="n"/>
      <c r="AQ427" s="32" t="n"/>
      <c r="AR427" s="29">
        <f>IF(NOT(COUNTA(A427:AE427)&gt;0),"",IF(A427="","New client","Update"))</f>
        <v/>
      </c>
      <c r="AS427" s="29">
        <f>IF(BA427&lt;&gt;"",BA427,IF(LEN(AZ427)=15,MID(AZ427,3,10),""))</f>
        <v/>
      </c>
      <c r="AT427" s="29">
        <f>IF(BB427="","",BB427&amp;IF(D427="","  (guessed from PAN)",""))</f>
        <v/>
      </c>
      <c r="AU427" s="29">
        <f>IF(AZ427="","",IFERROR(INDEX(Lists!$L$2:$L$38,MATCH(LEFT(AZ427,2),Lists!$K$2:$K$38,0)),"Unknown code"))</f>
        <v/>
      </c>
      <c r="AV427" s="29">
        <f>IF(AZ427="","",IFERROR(IF(NOT(AND(LEN(AZ427)=15,ISNUMBER(MATCH(LEFT(AZ427,2),Lists!$K$2:$K$38,0)),SUMPRODUCT(--ISERROR(FIND(MID(MID(AZ427,3,10),{1,2,3,4,5,10},1),"ABCDEFGHIJKLMNOPQRSTUVWXYZ")))=0,SUMPRODUCT(--ISERROR(FIND(MID(MID(AZ427,3,10),{6,7,8,9},1),"0123456789")))=0,ISNUMBER(FIND(MID(AZ427,13,1),"123456789ABCDEFGHIJKLMNOPQRSTUVWXYZ")),MID(AZ427,14,1)="Z")),"Wrong format",IF(MID("0123456789ABCDEFGHIJKLMNOPQRSTUVWXYZ",MOD(36-MOD(SUMPRODUCT(INT((FIND(MID(AZ427,{1,2,3,4,5,6,7,8,9,10,11,12,13,14},1),"0123456789ABCDEFGHIJKLMNOPQRSTUVWXYZ")-1)*{1,2,1,2,1,2,1,2,1,2,1,2,1,2}/36)+MOD((FIND(MID(AZ427,{1,2,3,4,5,6,7,8,9,10,11,12,13,14},1),"0123456789ABCDEFGHIJKLMNOPQRSTUVWXYZ")-1)*{1,2,1,2,1,2,1,2,1,2,1,2,1,2},36)),36),36)+1,1)=MID(AZ427,15,1),"OK","Typo? check digit wrong")),"Wrong format"))</f>
        <v/>
      </c>
      <c r="AW427" s="29">
        <f>IF(BA427="","",IF(AND(LEN(BA427)=10,SUMPRODUCT(--ISERROR(FIND(MID(BA427,{1,2,3,4,5,10},1),"ABCDEFGHIJKLMNOPQRSTUVWXYZ")))=0,SUMPRODUCT(--ISERROR(FIND(MID(BA427,{6,7,8,9},1),"0123456789")))=0),"OK","Wrong format"))</f>
        <v/>
      </c>
      <c r="AX427" s="29">
        <f>IF(TRIM(H427)="","",IF(AND(LEN(UPPER(TRIM(H427)))=10,SUMPRODUCT(--ISERROR(FIND(MID(UPPER(TRIM(H427)),{1,2,3,4,10},1),"ABCDEFGHIJKLMNOPQRSTUVWXYZ")))=0,SUMPRODUCT(--ISERROR(FIND(MID(UPPER(TRIM(H427)),{5,6,7,8,9},1),"0123456789")))=0),"OK","Wrong format"))</f>
        <v/>
      </c>
      <c r="AY427" s="30">
        <f>IF(NOT(COUNTA(A427:AE427)&gt;0),"",IF(BE427&lt;&gt;"","✖ "&amp;LEFT(BE427,LEN(BE427)-2),IF(BD427&gt;0,"✔ Ready — client + "&amp;BD427&amp;" service(s)","✔ Ready — client only")))</f>
        <v/>
      </c>
      <c r="AZ427" s="31">
        <f>UPPER(SUBSTITUTE(TRIM(F427)," ",""))</f>
        <v/>
      </c>
      <c r="BA427" s="31">
        <f>UPPER(SUBSTITUTE(TRIM(E427)," ",""))</f>
        <v/>
      </c>
      <c r="BB427" s="31">
        <f>IF(D427&lt;&gt;"",D427,IFERROR(VLOOKUP(MID(AS427,4,1),Lists!$E$2:$F$8,2,FALSE),""))</f>
        <v/>
      </c>
      <c r="BC427" s="31">
        <f>IFERROR(VLOOKUP(BB427,Lists!$A$2:$C$12,3,FALSE),"")</f>
        <v/>
      </c>
      <c r="BD427" s="31">
        <f>COUNTIF(W427:AC427,"Yes")</f>
        <v/>
      </c>
      <c r="BE427" s="31">
        <f>IF(TRIM(B427)="","Legal name missing; ","")&amp;IF(AND(AV427&lt;&gt;"",AV427&lt;&gt;"OK"),"GSTIN: "&amp;AV427&amp;"; ","")&amp;IF(AND(AW427&lt;&gt;"",AW427&lt;&gt;"OK"),"PAN wrong format; ","")&amp;IF(AND(BA427&lt;&gt;"",LEN(AZ427)=15,MID(AZ427,3,10)&lt;&gt;BA427),"PAN does not match GSTIN; ","")&amp;IF(AND(AX427&lt;&gt;"",AX427&lt;&gt;"OK"),"TAN wrong format; ","")&amp;IF(AS427="","PAN missing; ","")&amp;IF(BB427="","Entity type missing; ","")&amp;IF(AND(AZ427&lt;&gt;"",COUNTIF($AZ$6:$AZ$1005,AZ427)&gt;1),"GSTIN repeated in this sheet; ","")&amp;IF(AND(AS427&lt;&gt;"",COUNTIF($AS$6:$AS$1005,AS427)&gt;1),"PAN repeated in this sheet (same client? put extra GSTINs in Other GSTINs); ","")&amp;IF(AND(BD427&gt;0,V427=""),"Financial year missing; ","")&amp;IF(AND(BD427=0,V427&lt;&gt;""),"Financial year given but no service is Yes; ","")&amp;IF(AND(W427="Yes",AZ427=""),"GST needs a GSTIN; ","")&amp;IF(AND(W427="Yes",X427=""),"GST return frequency missing; ","")&amp;IF(AND(Y427="Yes",TRIM(H427)=""),"TDS needs a TAN; ","")&amp;IF(AND(AA427="Yes",BC427&lt;&gt;"",BC427&lt;&gt;"company",BC427&lt;&gt;"llp"),"ROC is only for a company / LLP; ","")&amp;IF(AND(AA427="Yes",OR(BC427="company",BC427="llp"),TRIM(I427)=""),"ROC needs the CIN / LLPIN; ","")&amp;IF((TRIM(AF427)="")&lt;&gt;(TRIM(AG427)=""),"GST login needs both user ID and password; ","")&amp;IF((TRIM(AH427)="")&lt;&gt;(TRIM(AI427)=""),"Income-tax login needs both user ID and password; ","")&amp;IF((TRIM(AJ427)="")&lt;&gt;(TRIM(AK427)=""),"Income-tax login needs both user ID and password; ","")&amp;IF((TRIM(AL427)="")&lt;&gt;(TRIM(AM427)=""),"TRACES login needs both user ID and password; ","")&amp;IF((TRIM(AN427)="")&lt;&gt;(TRIM(AO427)=""),"MCA login needs both user ID and password; ","")&amp;IF((TRIM(AP427)="")&lt;&gt;(TRIM(AQ427)=""),"E-way bill login needs both user ID and password; ","")</f>
        <v/>
      </c>
    </row>
    <row r="428">
      <c r="A428" s="32" t="n"/>
      <c r="B428" s="33" t="n"/>
      <c r="C428" s="33" t="n"/>
      <c r="D428" s="33" t="n"/>
      <c r="E428" s="32" t="n"/>
      <c r="F428" s="32" t="n"/>
      <c r="G428" s="32" t="n"/>
      <c r="H428" s="32" t="n"/>
      <c r="I428" s="32" t="n"/>
      <c r="J428" s="34" t="n"/>
      <c r="K428" s="33" t="n"/>
      <c r="L428" s="32" t="n"/>
      <c r="M428" s="33" t="n"/>
      <c r="N428" s="33" t="n"/>
      <c r="O428" s="33" t="n"/>
      <c r="P428" s="32" t="n"/>
      <c r="Q428" s="33" t="n"/>
      <c r="R428" s="33" t="n"/>
      <c r="S428" s="33" t="n"/>
      <c r="T428" s="33" t="n"/>
      <c r="U428" s="32" t="n"/>
      <c r="V428" s="33" t="n"/>
      <c r="W428" s="33" t="n"/>
      <c r="X428" s="33" t="n"/>
      <c r="Y428" s="33" t="n"/>
      <c r="Z428" s="33" t="n"/>
      <c r="AA428" s="33" t="n"/>
      <c r="AB428" s="33" t="n"/>
      <c r="AC428" s="33" t="n"/>
      <c r="AD428" s="33" t="n"/>
      <c r="AE428" s="33" t="n"/>
      <c r="AF428" s="32" t="n"/>
      <c r="AG428" s="32" t="n"/>
      <c r="AH428" s="32" t="n"/>
      <c r="AI428" s="32" t="n"/>
      <c r="AJ428" s="32" t="n"/>
      <c r="AK428" s="32" t="n"/>
      <c r="AL428" s="32" t="n"/>
      <c r="AM428" s="32" t="n"/>
      <c r="AN428" s="32" t="n"/>
      <c r="AO428" s="32" t="n"/>
      <c r="AP428" s="32" t="n"/>
      <c r="AQ428" s="32" t="n"/>
      <c r="AR428" s="29">
        <f>IF(NOT(COUNTA(A428:AE428)&gt;0),"",IF(A428="","New client","Update"))</f>
        <v/>
      </c>
      <c r="AS428" s="29">
        <f>IF(BA428&lt;&gt;"",BA428,IF(LEN(AZ428)=15,MID(AZ428,3,10),""))</f>
        <v/>
      </c>
      <c r="AT428" s="29">
        <f>IF(BB428="","",BB428&amp;IF(D428="","  (guessed from PAN)",""))</f>
        <v/>
      </c>
      <c r="AU428" s="29">
        <f>IF(AZ428="","",IFERROR(INDEX(Lists!$L$2:$L$38,MATCH(LEFT(AZ428,2),Lists!$K$2:$K$38,0)),"Unknown code"))</f>
        <v/>
      </c>
      <c r="AV428" s="29">
        <f>IF(AZ428="","",IFERROR(IF(NOT(AND(LEN(AZ428)=15,ISNUMBER(MATCH(LEFT(AZ428,2),Lists!$K$2:$K$38,0)),SUMPRODUCT(--ISERROR(FIND(MID(MID(AZ428,3,10),{1,2,3,4,5,10},1),"ABCDEFGHIJKLMNOPQRSTUVWXYZ")))=0,SUMPRODUCT(--ISERROR(FIND(MID(MID(AZ428,3,10),{6,7,8,9},1),"0123456789")))=0,ISNUMBER(FIND(MID(AZ428,13,1),"123456789ABCDEFGHIJKLMNOPQRSTUVWXYZ")),MID(AZ428,14,1)="Z")),"Wrong format",IF(MID("0123456789ABCDEFGHIJKLMNOPQRSTUVWXYZ",MOD(36-MOD(SUMPRODUCT(INT((FIND(MID(AZ428,{1,2,3,4,5,6,7,8,9,10,11,12,13,14},1),"0123456789ABCDEFGHIJKLMNOPQRSTUVWXYZ")-1)*{1,2,1,2,1,2,1,2,1,2,1,2,1,2}/36)+MOD((FIND(MID(AZ428,{1,2,3,4,5,6,7,8,9,10,11,12,13,14},1),"0123456789ABCDEFGHIJKLMNOPQRSTUVWXYZ")-1)*{1,2,1,2,1,2,1,2,1,2,1,2,1,2},36)),36),36)+1,1)=MID(AZ428,15,1),"OK","Typo? check digit wrong")),"Wrong format"))</f>
        <v/>
      </c>
      <c r="AW428" s="29">
        <f>IF(BA428="","",IF(AND(LEN(BA428)=10,SUMPRODUCT(--ISERROR(FIND(MID(BA428,{1,2,3,4,5,10},1),"ABCDEFGHIJKLMNOPQRSTUVWXYZ")))=0,SUMPRODUCT(--ISERROR(FIND(MID(BA428,{6,7,8,9},1),"0123456789")))=0),"OK","Wrong format"))</f>
        <v/>
      </c>
      <c r="AX428" s="29">
        <f>IF(TRIM(H428)="","",IF(AND(LEN(UPPER(TRIM(H428)))=10,SUMPRODUCT(--ISERROR(FIND(MID(UPPER(TRIM(H428)),{1,2,3,4,10},1),"ABCDEFGHIJKLMNOPQRSTUVWXYZ")))=0,SUMPRODUCT(--ISERROR(FIND(MID(UPPER(TRIM(H428)),{5,6,7,8,9},1),"0123456789")))=0),"OK","Wrong format"))</f>
        <v/>
      </c>
      <c r="AY428" s="30">
        <f>IF(NOT(COUNTA(A428:AE428)&gt;0),"",IF(BE428&lt;&gt;"","✖ "&amp;LEFT(BE428,LEN(BE428)-2),IF(BD428&gt;0,"✔ Ready — client + "&amp;BD428&amp;" service(s)","✔ Ready — client only")))</f>
        <v/>
      </c>
      <c r="AZ428" s="31">
        <f>UPPER(SUBSTITUTE(TRIM(F428)," ",""))</f>
        <v/>
      </c>
      <c r="BA428" s="31">
        <f>UPPER(SUBSTITUTE(TRIM(E428)," ",""))</f>
        <v/>
      </c>
      <c r="BB428" s="31">
        <f>IF(D428&lt;&gt;"",D428,IFERROR(VLOOKUP(MID(AS428,4,1),Lists!$E$2:$F$8,2,FALSE),""))</f>
        <v/>
      </c>
      <c r="BC428" s="31">
        <f>IFERROR(VLOOKUP(BB428,Lists!$A$2:$C$12,3,FALSE),"")</f>
        <v/>
      </c>
      <c r="BD428" s="31">
        <f>COUNTIF(W428:AC428,"Yes")</f>
        <v/>
      </c>
      <c r="BE428" s="31">
        <f>IF(TRIM(B428)="","Legal name missing; ","")&amp;IF(AND(AV428&lt;&gt;"",AV428&lt;&gt;"OK"),"GSTIN: "&amp;AV428&amp;"; ","")&amp;IF(AND(AW428&lt;&gt;"",AW428&lt;&gt;"OK"),"PAN wrong format; ","")&amp;IF(AND(BA428&lt;&gt;"",LEN(AZ428)=15,MID(AZ428,3,10)&lt;&gt;BA428),"PAN does not match GSTIN; ","")&amp;IF(AND(AX428&lt;&gt;"",AX428&lt;&gt;"OK"),"TAN wrong format; ","")&amp;IF(AS428="","PAN missing; ","")&amp;IF(BB428="","Entity type missing; ","")&amp;IF(AND(AZ428&lt;&gt;"",COUNTIF($AZ$6:$AZ$1005,AZ428)&gt;1),"GSTIN repeated in this sheet; ","")&amp;IF(AND(AS428&lt;&gt;"",COUNTIF($AS$6:$AS$1005,AS428)&gt;1),"PAN repeated in this sheet (same client? put extra GSTINs in Other GSTINs); ","")&amp;IF(AND(BD428&gt;0,V428=""),"Financial year missing; ","")&amp;IF(AND(BD428=0,V428&lt;&gt;""),"Financial year given but no service is Yes; ","")&amp;IF(AND(W428="Yes",AZ428=""),"GST needs a GSTIN; ","")&amp;IF(AND(W428="Yes",X428=""),"GST return frequency missing; ","")&amp;IF(AND(Y428="Yes",TRIM(H428)=""),"TDS needs a TAN; ","")&amp;IF(AND(AA428="Yes",BC428&lt;&gt;"",BC428&lt;&gt;"company",BC428&lt;&gt;"llp"),"ROC is only for a company / LLP; ","")&amp;IF(AND(AA428="Yes",OR(BC428="company",BC428="llp"),TRIM(I428)=""),"ROC needs the CIN / LLPIN; ","")&amp;IF((TRIM(AF428)="")&lt;&gt;(TRIM(AG428)=""),"GST login needs both user ID and password; ","")&amp;IF((TRIM(AH428)="")&lt;&gt;(TRIM(AI428)=""),"Income-tax login needs both user ID and password; ","")&amp;IF((TRIM(AJ428)="")&lt;&gt;(TRIM(AK428)=""),"Income-tax login needs both user ID and password; ","")&amp;IF((TRIM(AL428)="")&lt;&gt;(TRIM(AM428)=""),"TRACES login needs both user ID and password; ","")&amp;IF((TRIM(AN428)="")&lt;&gt;(TRIM(AO428)=""),"MCA login needs both user ID and password; ","")&amp;IF((TRIM(AP428)="")&lt;&gt;(TRIM(AQ428)=""),"E-way bill login needs both user ID and password; ","")</f>
        <v/>
      </c>
    </row>
    <row r="429">
      <c r="A429" s="32" t="n"/>
      <c r="B429" s="33" t="n"/>
      <c r="C429" s="33" t="n"/>
      <c r="D429" s="33" t="n"/>
      <c r="E429" s="32" t="n"/>
      <c r="F429" s="32" t="n"/>
      <c r="G429" s="32" t="n"/>
      <c r="H429" s="32" t="n"/>
      <c r="I429" s="32" t="n"/>
      <c r="J429" s="34" t="n"/>
      <c r="K429" s="33" t="n"/>
      <c r="L429" s="32" t="n"/>
      <c r="M429" s="33" t="n"/>
      <c r="N429" s="33" t="n"/>
      <c r="O429" s="33" t="n"/>
      <c r="P429" s="32" t="n"/>
      <c r="Q429" s="33" t="n"/>
      <c r="R429" s="33" t="n"/>
      <c r="S429" s="33" t="n"/>
      <c r="T429" s="33" t="n"/>
      <c r="U429" s="32" t="n"/>
      <c r="V429" s="33" t="n"/>
      <c r="W429" s="33" t="n"/>
      <c r="X429" s="33" t="n"/>
      <c r="Y429" s="33" t="n"/>
      <c r="Z429" s="33" t="n"/>
      <c r="AA429" s="33" t="n"/>
      <c r="AB429" s="33" t="n"/>
      <c r="AC429" s="33" t="n"/>
      <c r="AD429" s="33" t="n"/>
      <c r="AE429" s="33" t="n"/>
      <c r="AF429" s="32" t="n"/>
      <c r="AG429" s="32" t="n"/>
      <c r="AH429" s="32" t="n"/>
      <c r="AI429" s="32" t="n"/>
      <c r="AJ429" s="32" t="n"/>
      <c r="AK429" s="32" t="n"/>
      <c r="AL429" s="32" t="n"/>
      <c r="AM429" s="32" t="n"/>
      <c r="AN429" s="32" t="n"/>
      <c r="AO429" s="32" t="n"/>
      <c r="AP429" s="32" t="n"/>
      <c r="AQ429" s="32" t="n"/>
      <c r="AR429" s="29">
        <f>IF(NOT(COUNTA(A429:AE429)&gt;0),"",IF(A429="","New client","Update"))</f>
        <v/>
      </c>
      <c r="AS429" s="29">
        <f>IF(BA429&lt;&gt;"",BA429,IF(LEN(AZ429)=15,MID(AZ429,3,10),""))</f>
        <v/>
      </c>
      <c r="AT429" s="29">
        <f>IF(BB429="","",BB429&amp;IF(D429="","  (guessed from PAN)",""))</f>
        <v/>
      </c>
      <c r="AU429" s="29">
        <f>IF(AZ429="","",IFERROR(INDEX(Lists!$L$2:$L$38,MATCH(LEFT(AZ429,2),Lists!$K$2:$K$38,0)),"Unknown code"))</f>
        <v/>
      </c>
      <c r="AV429" s="29">
        <f>IF(AZ429="","",IFERROR(IF(NOT(AND(LEN(AZ429)=15,ISNUMBER(MATCH(LEFT(AZ429,2),Lists!$K$2:$K$38,0)),SUMPRODUCT(--ISERROR(FIND(MID(MID(AZ429,3,10),{1,2,3,4,5,10},1),"ABCDEFGHIJKLMNOPQRSTUVWXYZ")))=0,SUMPRODUCT(--ISERROR(FIND(MID(MID(AZ429,3,10),{6,7,8,9},1),"0123456789")))=0,ISNUMBER(FIND(MID(AZ429,13,1),"123456789ABCDEFGHIJKLMNOPQRSTUVWXYZ")),MID(AZ429,14,1)="Z")),"Wrong format",IF(MID("0123456789ABCDEFGHIJKLMNOPQRSTUVWXYZ",MOD(36-MOD(SUMPRODUCT(INT((FIND(MID(AZ429,{1,2,3,4,5,6,7,8,9,10,11,12,13,14},1),"0123456789ABCDEFGHIJKLMNOPQRSTUVWXYZ")-1)*{1,2,1,2,1,2,1,2,1,2,1,2,1,2}/36)+MOD((FIND(MID(AZ429,{1,2,3,4,5,6,7,8,9,10,11,12,13,14},1),"0123456789ABCDEFGHIJKLMNOPQRSTUVWXYZ")-1)*{1,2,1,2,1,2,1,2,1,2,1,2,1,2},36)),36),36)+1,1)=MID(AZ429,15,1),"OK","Typo? check digit wrong")),"Wrong format"))</f>
        <v/>
      </c>
      <c r="AW429" s="29">
        <f>IF(BA429="","",IF(AND(LEN(BA429)=10,SUMPRODUCT(--ISERROR(FIND(MID(BA429,{1,2,3,4,5,10},1),"ABCDEFGHIJKLMNOPQRSTUVWXYZ")))=0,SUMPRODUCT(--ISERROR(FIND(MID(BA429,{6,7,8,9},1),"0123456789")))=0),"OK","Wrong format"))</f>
        <v/>
      </c>
      <c r="AX429" s="29">
        <f>IF(TRIM(H429)="","",IF(AND(LEN(UPPER(TRIM(H429)))=10,SUMPRODUCT(--ISERROR(FIND(MID(UPPER(TRIM(H429)),{1,2,3,4,10},1),"ABCDEFGHIJKLMNOPQRSTUVWXYZ")))=0,SUMPRODUCT(--ISERROR(FIND(MID(UPPER(TRIM(H429)),{5,6,7,8,9},1),"0123456789")))=0),"OK","Wrong format"))</f>
        <v/>
      </c>
      <c r="AY429" s="30">
        <f>IF(NOT(COUNTA(A429:AE429)&gt;0),"",IF(BE429&lt;&gt;"","✖ "&amp;LEFT(BE429,LEN(BE429)-2),IF(BD429&gt;0,"✔ Ready — client + "&amp;BD429&amp;" service(s)","✔ Ready — client only")))</f>
        <v/>
      </c>
      <c r="AZ429" s="31">
        <f>UPPER(SUBSTITUTE(TRIM(F429)," ",""))</f>
        <v/>
      </c>
      <c r="BA429" s="31">
        <f>UPPER(SUBSTITUTE(TRIM(E429)," ",""))</f>
        <v/>
      </c>
      <c r="BB429" s="31">
        <f>IF(D429&lt;&gt;"",D429,IFERROR(VLOOKUP(MID(AS429,4,1),Lists!$E$2:$F$8,2,FALSE),""))</f>
        <v/>
      </c>
      <c r="BC429" s="31">
        <f>IFERROR(VLOOKUP(BB429,Lists!$A$2:$C$12,3,FALSE),"")</f>
        <v/>
      </c>
      <c r="BD429" s="31">
        <f>COUNTIF(W429:AC429,"Yes")</f>
        <v/>
      </c>
      <c r="BE429" s="31">
        <f>IF(TRIM(B429)="","Legal name missing; ","")&amp;IF(AND(AV429&lt;&gt;"",AV429&lt;&gt;"OK"),"GSTIN: "&amp;AV429&amp;"; ","")&amp;IF(AND(AW429&lt;&gt;"",AW429&lt;&gt;"OK"),"PAN wrong format; ","")&amp;IF(AND(BA429&lt;&gt;"",LEN(AZ429)=15,MID(AZ429,3,10)&lt;&gt;BA429),"PAN does not match GSTIN; ","")&amp;IF(AND(AX429&lt;&gt;"",AX429&lt;&gt;"OK"),"TAN wrong format; ","")&amp;IF(AS429="","PAN missing; ","")&amp;IF(BB429="","Entity type missing; ","")&amp;IF(AND(AZ429&lt;&gt;"",COUNTIF($AZ$6:$AZ$1005,AZ429)&gt;1),"GSTIN repeated in this sheet; ","")&amp;IF(AND(AS429&lt;&gt;"",COUNTIF($AS$6:$AS$1005,AS429)&gt;1),"PAN repeated in this sheet (same client? put extra GSTINs in Other GSTINs); ","")&amp;IF(AND(BD429&gt;0,V429=""),"Financial year missing; ","")&amp;IF(AND(BD429=0,V429&lt;&gt;""),"Financial year given but no service is Yes; ","")&amp;IF(AND(W429="Yes",AZ429=""),"GST needs a GSTIN; ","")&amp;IF(AND(W429="Yes",X429=""),"GST return frequency missing; ","")&amp;IF(AND(Y429="Yes",TRIM(H429)=""),"TDS needs a TAN; ","")&amp;IF(AND(AA429="Yes",BC429&lt;&gt;"",BC429&lt;&gt;"company",BC429&lt;&gt;"llp"),"ROC is only for a company / LLP; ","")&amp;IF(AND(AA429="Yes",OR(BC429="company",BC429="llp"),TRIM(I429)=""),"ROC needs the CIN / LLPIN; ","")&amp;IF((TRIM(AF429)="")&lt;&gt;(TRIM(AG429)=""),"GST login needs both user ID and password; ","")&amp;IF((TRIM(AH429)="")&lt;&gt;(TRIM(AI429)=""),"Income-tax login needs both user ID and password; ","")&amp;IF((TRIM(AJ429)="")&lt;&gt;(TRIM(AK429)=""),"Income-tax login needs both user ID and password; ","")&amp;IF((TRIM(AL429)="")&lt;&gt;(TRIM(AM429)=""),"TRACES login needs both user ID and password; ","")&amp;IF((TRIM(AN429)="")&lt;&gt;(TRIM(AO429)=""),"MCA login needs both user ID and password; ","")&amp;IF((TRIM(AP429)="")&lt;&gt;(TRIM(AQ429)=""),"E-way bill login needs both user ID and password; ","")</f>
        <v/>
      </c>
    </row>
    <row r="430">
      <c r="A430" s="32" t="n"/>
      <c r="B430" s="33" t="n"/>
      <c r="C430" s="33" t="n"/>
      <c r="D430" s="33" t="n"/>
      <c r="E430" s="32" t="n"/>
      <c r="F430" s="32" t="n"/>
      <c r="G430" s="32" t="n"/>
      <c r="H430" s="32" t="n"/>
      <c r="I430" s="32" t="n"/>
      <c r="J430" s="34" t="n"/>
      <c r="K430" s="33" t="n"/>
      <c r="L430" s="32" t="n"/>
      <c r="M430" s="33" t="n"/>
      <c r="N430" s="33" t="n"/>
      <c r="O430" s="33" t="n"/>
      <c r="P430" s="32" t="n"/>
      <c r="Q430" s="33" t="n"/>
      <c r="R430" s="33" t="n"/>
      <c r="S430" s="33" t="n"/>
      <c r="T430" s="33" t="n"/>
      <c r="U430" s="32" t="n"/>
      <c r="V430" s="33" t="n"/>
      <c r="W430" s="33" t="n"/>
      <c r="X430" s="33" t="n"/>
      <c r="Y430" s="33" t="n"/>
      <c r="Z430" s="33" t="n"/>
      <c r="AA430" s="33" t="n"/>
      <c r="AB430" s="33" t="n"/>
      <c r="AC430" s="33" t="n"/>
      <c r="AD430" s="33" t="n"/>
      <c r="AE430" s="33" t="n"/>
      <c r="AF430" s="32" t="n"/>
      <c r="AG430" s="32" t="n"/>
      <c r="AH430" s="32" t="n"/>
      <c r="AI430" s="32" t="n"/>
      <c r="AJ430" s="32" t="n"/>
      <c r="AK430" s="32" t="n"/>
      <c r="AL430" s="32" t="n"/>
      <c r="AM430" s="32" t="n"/>
      <c r="AN430" s="32" t="n"/>
      <c r="AO430" s="32" t="n"/>
      <c r="AP430" s="32" t="n"/>
      <c r="AQ430" s="32" t="n"/>
      <c r="AR430" s="29">
        <f>IF(NOT(COUNTA(A430:AE430)&gt;0),"",IF(A430="","New client","Update"))</f>
        <v/>
      </c>
      <c r="AS430" s="29">
        <f>IF(BA430&lt;&gt;"",BA430,IF(LEN(AZ430)=15,MID(AZ430,3,10),""))</f>
        <v/>
      </c>
      <c r="AT430" s="29">
        <f>IF(BB430="","",BB430&amp;IF(D430="","  (guessed from PAN)",""))</f>
        <v/>
      </c>
      <c r="AU430" s="29">
        <f>IF(AZ430="","",IFERROR(INDEX(Lists!$L$2:$L$38,MATCH(LEFT(AZ430,2),Lists!$K$2:$K$38,0)),"Unknown code"))</f>
        <v/>
      </c>
      <c r="AV430" s="29">
        <f>IF(AZ430="","",IFERROR(IF(NOT(AND(LEN(AZ430)=15,ISNUMBER(MATCH(LEFT(AZ430,2),Lists!$K$2:$K$38,0)),SUMPRODUCT(--ISERROR(FIND(MID(MID(AZ430,3,10),{1,2,3,4,5,10},1),"ABCDEFGHIJKLMNOPQRSTUVWXYZ")))=0,SUMPRODUCT(--ISERROR(FIND(MID(MID(AZ430,3,10),{6,7,8,9},1),"0123456789")))=0,ISNUMBER(FIND(MID(AZ430,13,1),"123456789ABCDEFGHIJKLMNOPQRSTUVWXYZ")),MID(AZ430,14,1)="Z")),"Wrong format",IF(MID("0123456789ABCDEFGHIJKLMNOPQRSTUVWXYZ",MOD(36-MOD(SUMPRODUCT(INT((FIND(MID(AZ430,{1,2,3,4,5,6,7,8,9,10,11,12,13,14},1),"0123456789ABCDEFGHIJKLMNOPQRSTUVWXYZ")-1)*{1,2,1,2,1,2,1,2,1,2,1,2,1,2}/36)+MOD((FIND(MID(AZ430,{1,2,3,4,5,6,7,8,9,10,11,12,13,14},1),"0123456789ABCDEFGHIJKLMNOPQRSTUVWXYZ")-1)*{1,2,1,2,1,2,1,2,1,2,1,2,1,2},36)),36),36)+1,1)=MID(AZ430,15,1),"OK","Typo? check digit wrong")),"Wrong format"))</f>
        <v/>
      </c>
      <c r="AW430" s="29">
        <f>IF(BA430="","",IF(AND(LEN(BA430)=10,SUMPRODUCT(--ISERROR(FIND(MID(BA430,{1,2,3,4,5,10},1),"ABCDEFGHIJKLMNOPQRSTUVWXYZ")))=0,SUMPRODUCT(--ISERROR(FIND(MID(BA430,{6,7,8,9},1),"0123456789")))=0),"OK","Wrong format"))</f>
        <v/>
      </c>
      <c r="AX430" s="29">
        <f>IF(TRIM(H430)="","",IF(AND(LEN(UPPER(TRIM(H430)))=10,SUMPRODUCT(--ISERROR(FIND(MID(UPPER(TRIM(H430)),{1,2,3,4,10},1),"ABCDEFGHIJKLMNOPQRSTUVWXYZ")))=0,SUMPRODUCT(--ISERROR(FIND(MID(UPPER(TRIM(H430)),{5,6,7,8,9},1),"0123456789")))=0),"OK","Wrong format"))</f>
        <v/>
      </c>
      <c r="AY430" s="30">
        <f>IF(NOT(COUNTA(A430:AE430)&gt;0),"",IF(BE430&lt;&gt;"","✖ "&amp;LEFT(BE430,LEN(BE430)-2),IF(BD430&gt;0,"✔ Ready — client + "&amp;BD430&amp;" service(s)","✔ Ready — client only")))</f>
        <v/>
      </c>
      <c r="AZ430" s="31">
        <f>UPPER(SUBSTITUTE(TRIM(F430)," ",""))</f>
        <v/>
      </c>
      <c r="BA430" s="31">
        <f>UPPER(SUBSTITUTE(TRIM(E430)," ",""))</f>
        <v/>
      </c>
      <c r="BB430" s="31">
        <f>IF(D430&lt;&gt;"",D430,IFERROR(VLOOKUP(MID(AS430,4,1),Lists!$E$2:$F$8,2,FALSE),""))</f>
        <v/>
      </c>
      <c r="BC430" s="31">
        <f>IFERROR(VLOOKUP(BB430,Lists!$A$2:$C$12,3,FALSE),"")</f>
        <v/>
      </c>
      <c r="BD430" s="31">
        <f>COUNTIF(W430:AC430,"Yes")</f>
        <v/>
      </c>
      <c r="BE430" s="31">
        <f>IF(TRIM(B430)="","Legal name missing; ","")&amp;IF(AND(AV430&lt;&gt;"",AV430&lt;&gt;"OK"),"GSTIN: "&amp;AV430&amp;"; ","")&amp;IF(AND(AW430&lt;&gt;"",AW430&lt;&gt;"OK"),"PAN wrong format; ","")&amp;IF(AND(BA430&lt;&gt;"",LEN(AZ430)=15,MID(AZ430,3,10)&lt;&gt;BA430),"PAN does not match GSTIN; ","")&amp;IF(AND(AX430&lt;&gt;"",AX430&lt;&gt;"OK"),"TAN wrong format; ","")&amp;IF(AS430="","PAN missing; ","")&amp;IF(BB430="","Entity type missing; ","")&amp;IF(AND(AZ430&lt;&gt;"",COUNTIF($AZ$6:$AZ$1005,AZ430)&gt;1),"GSTIN repeated in this sheet; ","")&amp;IF(AND(AS430&lt;&gt;"",COUNTIF($AS$6:$AS$1005,AS430)&gt;1),"PAN repeated in this sheet (same client? put extra GSTINs in Other GSTINs); ","")&amp;IF(AND(BD430&gt;0,V430=""),"Financial year missing; ","")&amp;IF(AND(BD430=0,V430&lt;&gt;""),"Financial year given but no service is Yes; ","")&amp;IF(AND(W430="Yes",AZ430=""),"GST needs a GSTIN; ","")&amp;IF(AND(W430="Yes",X430=""),"GST return frequency missing; ","")&amp;IF(AND(Y430="Yes",TRIM(H430)=""),"TDS needs a TAN; ","")&amp;IF(AND(AA430="Yes",BC430&lt;&gt;"",BC430&lt;&gt;"company",BC430&lt;&gt;"llp"),"ROC is only for a company / LLP; ","")&amp;IF(AND(AA430="Yes",OR(BC430="company",BC430="llp"),TRIM(I430)=""),"ROC needs the CIN / LLPIN; ","")&amp;IF((TRIM(AF430)="")&lt;&gt;(TRIM(AG430)=""),"GST login needs both user ID and password; ","")&amp;IF((TRIM(AH430)="")&lt;&gt;(TRIM(AI430)=""),"Income-tax login needs both user ID and password; ","")&amp;IF((TRIM(AJ430)="")&lt;&gt;(TRIM(AK430)=""),"Income-tax login needs both user ID and password; ","")&amp;IF((TRIM(AL430)="")&lt;&gt;(TRIM(AM430)=""),"TRACES login needs both user ID and password; ","")&amp;IF((TRIM(AN430)="")&lt;&gt;(TRIM(AO430)=""),"MCA login needs both user ID and password; ","")&amp;IF((TRIM(AP430)="")&lt;&gt;(TRIM(AQ430)=""),"E-way bill login needs both user ID and password; ","")</f>
        <v/>
      </c>
    </row>
    <row r="431">
      <c r="A431" s="32" t="n"/>
      <c r="B431" s="33" t="n"/>
      <c r="C431" s="33" t="n"/>
      <c r="D431" s="33" t="n"/>
      <c r="E431" s="32" t="n"/>
      <c r="F431" s="32" t="n"/>
      <c r="G431" s="32" t="n"/>
      <c r="H431" s="32" t="n"/>
      <c r="I431" s="32" t="n"/>
      <c r="J431" s="34" t="n"/>
      <c r="K431" s="33" t="n"/>
      <c r="L431" s="32" t="n"/>
      <c r="M431" s="33" t="n"/>
      <c r="N431" s="33" t="n"/>
      <c r="O431" s="33" t="n"/>
      <c r="P431" s="32" t="n"/>
      <c r="Q431" s="33" t="n"/>
      <c r="R431" s="33" t="n"/>
      <c r="S431" s="33" t="n"/>
      <c r="T431" s="33" t="n"/>
      <c r="U431" s="32" t="n"/>
      <c r="V431" s="33" t="n"/>
      <c r="W431" s="33" t="n"/>
      <c r="X431" s="33" t="n"/>
      <c r="Y431" s="33" t="n"/>
      <c r="Z431" s="33" t="n"/>
      <c r="AA431" s="33" t="n"/>
      <c r="AB431" s="33" t="n"/>
      <c r="AC431" s="33" t="n"/>
      <c r="AD431" s="33" t="n"/>
      <c r="AE431" s="33" t="n"/>
      <c r="AF431" s="32" t="n"/>
      <c r="AG431" s="32" t="n"/>
      <c r="AH431" s="32" t="n"/>
      <c r="AI431" s="32" t="n"/>
      <c r="AJ431" s="32" t="n"/>
      <c r="AK431" s="32" t="n"/>
      <c r="AL431" s="32" t="n"/>
      <c r="AM431" s="32" t="n"/>
      <c r="AN431" s="32" t="n"/>
      <c r="AO431" s="32" t="n"/>
      <c r="AP431" s="32" t="n"/>
      <c r="AQ431" s="32" t="n"/>
      <c r="AR431" s="29">
        <f>IF(NOT(COUNTA(A431:AE431)&gt;0),"",IF(A431="","New client","Update"))</f>
        <v/>
      </c>
      <c r="AS431" s="29">
        <f>IF(BA431&lt;&gt;"",BA431,IF(LEN(AZ431)=15,MID(AZ431,3,10),""))</f>
        <v/>
      </c>
      <c r="AT431" s="29">
        <f>IF(BB431="","",BB431&amp;IF(D431="","  (guessed from PAN)",""))</f>
        <v/>
      </c>
      <c r="AU431" s="29">
        <f>IF(AZ431="","",IFERROR(INDEX(Lists!$L$2:$L$38,MATCH(LEFT(AZ431,2),Lists!$K$2:$K$38,0)),"Unknown code"))</f>
        <v/>
      </c>
      <c r="AV431" s="29">
        <f>IF(AZ431="","",IFERROR(IF(NOT(AND(LEN(AZ431)=15,ISNUMBER(MATCH(LEFT(AZ431,2),Lists!$K$2:$K$38,0)),SUMPRODUCT(--ISERROR(FIND(MID(MID(AZ431,3,10),{1,2,3,4,5,10},1),"ABCDEFGHIJKLMNOPQRSTUVWXYZ")))=0,SUMPRODUCT(--ISERROR(FIND(MID(MID(AZ431,3,10),{6,7,8,9},1),"0123456789")))=0,ISNUMBER(FIND(MID(AZ431,13,1),"123456789ABCDEFGHIJKLMNOPQRSTUVWXYZ")),MID(AZ431,14,1)="Z")),"Wrong format",IF(MID("0123456789ABCDEFGHIJKLMNOPQRSTUVWXYZ",MOD(36-MOD(SUMPRODUCT(INT((FIND(MID(AZ431,{1,2,3,4,5,6,7,8,9,10,11,12,13,14},1),"0123456789ABCDEFGHIJKLMNOPQRSTUVWXYZ")-1)*{1,2,1,2,1,2,1,2,1,2,1,2,1,2}/36)+MOD((FIND(MID(AZ431,{1,2,3,4,5,6,7,8,9,10,11,12,13,14},1),"0123456789ABCDEFGHIJKLMNOPQRSTUVWXYZ")-1)*{1,2,1,2,1,2,1,2,1,2,1,2,1,2},36)),36),36)+1,1)=MID(AZ431,15,1),"OK","Typo? check digit wrong")),"Wrong format"))</f>
        <v/>
      </c>
      <c r="AW431" s="29">
        <f>IF(BA431="","",IF(AND(LEN(BA431)=10,SUMPRODUCT(--ISERROR(FIND(MID(BA431,{1,2,3,4,5,10},1),"ABCDEFGHIJKLMNOPQRSTUVWXYZ")))=0,SUMPRODUCT(--ISERROR(FIND(MID(BA431,{6,7,8,9},1),"0123456789")))=0),"OK","Wrong format"))</f>
        <v/>
      </c>
      <c r="AX431" s="29">
        <f>IF(TRIM(H431)="","",IF(AND(LEN(UPPER(TRIM(H431)))=10,SUMPRODUCT(--ISERROR(FIND(MID(UPPER(TRIM(H431)),{1,2,3,4,10},1),"ABCDEFGHIJKLMNOPQRSTUVWXYZ")))=0,SUMPRODUCT(--ISERROR(FIND(MID(UPPER(TRIM(H431)),{5,6,7,8,9},1),"0123456789")))=0),"OK","Wrong format"))</f>
        <v/>
      </c>
      <c r="AY431" s="30">
        <f>IF(NOT(COUNTA(A431:AE431)&gt;0),"",IF(BE431&lt;&gt;"","✖ "&amp;LEFT(BE431,LEN(BE431)-2),IF(BD431&gt;0,"✔ Ready — client + "&amp;BD431&amp;" service(s)","✔ Ready — client only")))</f>
        <v/>
      </c>
      <c r="AZ431" s="31">
        <f>UPPER(SUBSTITUTE(TRIM(F431)," ",""))</f>
        <v/>
      </c>
      <c r="BA431" s="31">
        <f>UPPER(SUBSTITUTE(TRIM(E431)," ",""))</f>
        <v/>
      </c>
      <c r="BB431" s="31">
        <f>IF(D431&lt;&gt;"",D431,IFERROR(VLOOKUP(MID(AS431,4,1),Lists!$E$2:$F$8,2,FALSE),""))</f>
        <v/>
      </c>
      <c r="BC431" s="31">
        <f>IFERROR(VLOOKUP(BB431,Lists!$A$2:$C$12,3,FALSE),"")</f>
        <v/>
      </c>
      <c r="BD431" s="31">
        <f>COUNTIF(W431:AC431,"Yes")</f>
        <v/>
      </c>
      <c r="BE431" s="31">
        <f>IF(TRIM(B431)="","Legal name missing; ","")&amp;IF(AND(AV431&lt;&gt;"",AV431&lt;&gt;"OK"),"GSTIN: "&amp;AV431&amp;"; ","")&amp;IF(AND(AW431&lt;&gt;"",AW431&lt;&gt;"OK"),"PAN wrong format; ","")&amp;IF(AND(BA431&lt;&gt;"",LEN(AZ431)=15,MID(AZ431,3,10)&lt;&gt;BA431),"PAN does not match GSTIN; ","")&amp;IF(AND(AX431&lt;&gt;"",AX431&lt;&gt;"OK"),"TAN wrong format; ","")&amp;IF(AS431="","PAN missing; ","")&amp;IF(BB431="","Entity type missing; ","")&amp;IF(AND(AZ431&lt;&gt;"",COUNTIF($AZ$6:$AZ$1005,AZ431)&gt;1),"GSTIN repeated in this sheet; ","")&amp;IF(AND(AS431&lt;&gt;"",COUNTIF($AS$6:$AS$1005,AS431)&gt;1),"PAN repeated in this sheet (same client? put extra GSTINs in Other GSTINs); ","")&amp;IF(AND(BD431&gt;0,V431=""),"Financial year missing; ","")&amp;IF(AND(BD431=0,V431&lt;&gt;""),"Financial year given but no service is Yes; ","")&amp;IF(AND(W431="Yes",AZ431=""),"GST needs a GSTIN; ","")&amp;IF(AND(W431="Yes",X431=""),"GST return frequency missing; ","")&amp;IF(AND(Y431="Yes",TRIM(H431)=""),"TDS needs a TAN; ","")&amp;IF(AND(AA431="Yes",BC431&lt;&gt;"",BC431&lt;&gt;"company",BC431&lt;&gt;"llp"),"ROC is only for a company / LLP; ","")&amp;IF(AND(AA431="Yes",OR(BC431="company",BC431="llp"),TRIM(I431)=""),"ROC needs the CIN / LLPIN; ","")&amp;IF((TRIM(AF431)="")&lt;&gt;(TRIM(AG431)=""),"GST login needs both user ID and password; ","")&amp;IF((TRIM(AH431)="")&lt;&gt;(TRIM(AI431)=""),"Income-tax login needs both user ID and password; ","")&amp;IF((TRIM(AJ431)="")&lt;&gt;(TRIM(AK431)=""),"Income-tax login needs both user ID and password; ","")&amp;IF((TRIM(AL431)="")&lt;&gt;(TRIM(AM431)=""),"TRACES login needs both user ID and password; ","")&amp;IF((TRIM(AN431)="")&lt;&gt;(TRIM(AO431)=""),"MCA login needs both user ID and password; ","")&amp;IF((TRIM(AP431)="")&lt;&gt;(TRIM(AQ431)=""),"E-way bill login needs both user ID and password; ","")</f>
        <v/>
      </c>
    </row>
    <row r="432">
      <c r="A432" s="32" t="n"/>
      <c r="B432" s="33" t="n"/>
      <c r="C432" s="33" t="n"/>
      <c r="D432" s="33" t="n"/>
      <c r="E432" s="32" t="n"/>
      <c r="F432" s="32" t="n"/>
      <c r="G432" s="32" t="n"/>
      <c r="H432" s="32" t="n"/>
      <c r="I432" s="32" t="n"/>
      <c r="J432" s="34" t="n"/>
      <c r="K432" s="33" t="n"/>
      <c r="L432" s="32" t="n"/>
      <c r="M432" s="33" t="n"/>
      <c r="N432" s="33" t="n"/>
      <c r="O432" s="33" t="n"/>
      <c r="P432" s="32" t="n"/>
      <c r="Q432" s="33" t="n"/>
      <c r="R432" s="33" t="n"/>
      <c r="S432" s="33" t="n"/>
      <c r="T432" s="33" t="n"/>
      <c r="U432" s="32" t="n"/>
      <c r="V432" s="33" t="n"/>
      <c r="W432" s="33" t="n"/>
      <c r="X432" s="33" t="n"/>
      <c r="Y432" s="33" t="n"/>
      <c r="Z432" s="33" t="n"/>
      <c r="AA432" s="33" t="n"/>
      <c r="AB432" s="33" t="n"/>
      <c r="AC432" s="33" t="n"/>
      <c r="AD432" s="33" t="n"/>
      <c r="AE432" s="33" t="n"/>
      <c r="AF432" s="32" t="n"/>
      <c r="AG432" s="32" t="n"/>
      <c r="AH432" s="32" t="n"/>
      <c r="AI432" s="32" t="n"/>
      <c r="AJ432" s="32" t="n"/>
      <c r="AK432" s="32" t="n"/>
      <c r="AL432" s="32" t="n"/>
      <c r="AM432" s="32" t="n"/>
      <c r="AN432" s="32" t="n"/>
      <c r="AO432" s="32" t="n"/>
      <c r="AP432" s="32" t="n"/>
      <c r="AQ432" s="32" t="n"/>
      <c r="AR432" s="29">
        <f>IF(NOT(COUNTA(A432:AE432)&gt;0),"",IF(A432="","New client","Update"))</f>
        <v/>
      </c>
      <c r="AS432" s="29">
        <f>IF(BA432&lt;&gt;"",BA432,IF(LEN(AZ432)=15,MID(AZ432,3,10),""))</f>
        <v/>
      </c>
      <c r="AT432" s="29">
        <f>IF(BB432="","",BB432&amp;IF(D432="","  (guessed from PAN)",""))</f>
        <v/>
      </c>
      <c r="AU432" s="29">
        <f>IF(AZ432="","",IFERROR(INDEX(Lists!$L$2:$L$38,MATCH(LEFT(AZ432,2),Lists!$K$2:$K$38,0)),"Unknown code"))</f>
        <v/>
      </c>
      <c r="AV432" s="29">
        <f>IF(AZ432="","",IFERROR(IF(NOT(AND(LEN(AZ432)=15,ISNUMBER(MATCH(LEFT(AZ432,2),Lists!$K$2:$K$38,0)),SUMPRODUCT(--ISERROR(FIND(MID(MID(AZ432,3,10),{1,2,3,4,5,10},1),"ABCDEFGHIJKLMNOPQRSTUVWXYZ")))=0,SUMPRODUCT(--ISERROR(FIND(MID(MID(AZ432,3,10),{6,7,8,9},1),"0123456789")))=0,ISNUMBER(FIND(MID(AZ432,13,1),"123456789ABCDEFGHIJKLMNOPQRSTUVWXYZ")),MID(AZ432,14,1)="Z")),"Wrong format",IF(MID("0123456789ABCDEFGHIJKLMNOPQRSTUVWXYZ",MOD(36-MOD(SUMPRODUCT(INT((FIND(MID(AZ432,{1,2,3,4,5,6,7,8,9,10,11,12,13,14},1),"0123456789ABCDEFGHIJKLMNOPQRSTUVWXYZ")-1)*{1,2,1,2,1,2,1,2,1,2,1,2,1,2}/36)+MOD((FIND(MID(AZ432,{1,2,3,4,5,6,7,8,9,10,11,12,13,14},1),"0123456789ABCDEFGHIJKLMNOPQRSTUVWXYZ")-1)*{1,2,1,2,1,2,1,2,1,2,1,2,1,2},36)),36),36)+1,1)=MID(AZ432,15,1),"OK","Typo? check digit wrong")),"Wrong format"))</f>
        <v/>
      </c>
      <c r="AW432" s="29">
        <f>IF(BA432="","",IF(AND(LEN(BA432)=10,SUMPRODUCT(--ISERROR(FIND(MID(BA432,{1,2,3,4,5,10},1),"ABCDEFGHIJKLMNOPQRSTUVWXYZ")))=0,SUMPRODUCT(--ISERROR(FIND(MID(BA432,{6,7,8,9},1),"0123456789")))=0),"OK","Wrong format"))</f>
        <v/>
      </c>
      <c r="AX432" s="29">
        <f>IF(TRIM(H432)="","",IF(AND(LEN(UPPER(TRIM(H432)))=10,SUMPRODUCT(--ISERROR(FIND(MID(UPPER(TRIM(H432)),{1,2,3,4,10},1),"ABCDEFGHIJKLMNOPQRSTUVWXYZ")))=0,SUMPRODUCT(--ISERROR(FIND(MID(UPPER(TRIM(H432)),{5,6,7,8,9},1),"0123456789")))=0),"OK","Wrong format"))</f>
        <v/>
      </c>
      <c r="AY432" s="30">
        <f>IF(NOT(COUNTA(A432:AE432)&gt;0),"",IF(BE432&lt;&gt;"","✖ "&amp;LEFT(BE432,LEN(BE432)-2),IF(BD432&gt;0,"✔ Ready — client + "&amp;BD432&amp;" service(s)","✔ Ready — client only")))</f>
        <v/>
      </c>
      <c r="AZ432" s="31">
        <f>UPPER(SUBSTITUTE(TRIM(F432)," ",""))</f>
        <v/>
      </c>
      <c r="BA432" s="31">
        <f>UPPER(SUBSTITUTE(TRIM(E432)," ",""))</f>
        <v/>
      </c>
      <c r="BB432" s="31">
        <f>IF(D432&lt;&gt;"",D432,IFERROR(VLOOKUP(MID(AS432,4,1),Lists!$E$2:$F$8,2,FALSE),""))</f>
        <v/>
      </c>
      <c r="BC432" s="31">
        <f>IFERROR(VLOOKUP(BB432,Lists!$A$2:$C$12,3,FALSE),"")</f>
        <v/>
      </c>
      <c r="BD432" s="31">
        <f>COUNTIF(W432:AC432,"Yes")</f>
        <v/>
      </c>
      <c r="BE432" s="31">
        <f>IF(TRIM(B432)="","Legal name missing; ","")&amp;IF(AND(AV432&lt;&gt;"",AV432&lt;&gt;"OK"),"GSTIN: "&amp;AV432&amp;"; ","")&amp;IF(AND(AW432&lt;&gt;"",AW432&lt;&gt;"OK"),"PAN wrong format; ","")&amp;IF(AND(BA432&lt;&gt;"",LEN(AZ432)=15,MID(AZ432,3,10)&lt;&gt;BA432),"PAN does not match GSTIN; ","")&amp;IF(AND(AX432&lt;&gt;"",AX432&lt;&gt;"OK"),"TAN wrong format; ","")&amp;IF(AS432="","PAN missing; ","")&amp;IF(BB432="","Entity type missing; ","")&amp;IF(AND(AZ432&lt;&gt;"",COUNTIF($AZ$6:$AZ$1005,AZ432)&gt;1),"GSTIN repeated in this sheet; ","")&amp;IF(AND(AS432&lt;&gt;"",COUNTIF($AS$6:$AS$1005,AS432)&gt;1),"PAN repeated in this sheet (same client? put extra GSTINs in Other GSTINs); ","")&amp;IF(AND(BD432&gt;0,V432=""),"Financial year missing; ","")&amp;IF(AND(BD432=0,V432&lt;&gt;""),"Financial year given but no service is Yes; ","")&amp;IF(AND(W432="Yes",AZ432=""),"GST needs a GSTIN; ","")&amp;IF(AND(W432="Yes",X432=""),"GST return frequency missing; ","")&amp;IF(AND(Y432="Yes",TRIM(H432)=""),"TDS needs a TAN; ","")&amp;IF(AND(AA432="Yes",BC432&lt;&gt;"",BC432&lt;&gt;"company",BC432&lt;&gt;"llp"),"ROC is only for a company / LLP; ","")&amp;IF(AND(AA432="Yes",OR(BC432="company",BC432="llp"),TRIM(I432)=""),"ROC needs the CIN / LLPIN; ","")&amp;IF((TRIM(AF432)="")&lt;&gt;(TRIM(AG432)=""),"GST login needs both user ID and password; ","")&amp;IF((TRIM(AH432)="")&lt;&gt;(TRIM(AI432)=""),"Income-tax login needs both user ID and password; ","")&amp;IF((TRIM(AJ432)="")&lt;&gt;(TRIM(AK432)=""),"Income-tax login needs both user ID and password; ","")&amp;IF((TRIM(AL432)="")&lt;&gt;(TRIM(AM432)=""),"TRACES login needs both user ID and password; ","")&amp;IF((TRIM(AN432)="")&lt;&gt;(TRIM(AO432)=""),"MCA login needs both user ID and password; ","")&amp;IF((TRIM(AP432)="")&lt;&gt;(TRIM(AQ432)=""),"E-way bill login needs both user ID and password; ","")</f>
        <v/>
      </c>
    </row>
    <row r="433">
      <c r="A433" s="32" t="n"/>
      <c r="B433" s="33" t="n"/>
      <c r="C433" s="33" t="n"/>
      <c r="D433" s="33" t="n"/>
      <c r="E433" s="32" t="n"/>
      <c r="F433" s="32" t="n"/>
      <c r="G433" s="32" t="n"/>
      <c r="H433" s="32" t="n"/>
      <c r="I433" s="32" t="n"/>
      <c r="J433" s="34" t="n"/>
      <c r="K433" s="33" t="n"/>
      <c r="L433" s="32" t="n"/>
      <c r="M433" s="33" t="n"/>
      <c r="N433" s="33" t="n"/>
      <c r="O433" s="33" t="n"/>
      <c r="P433" s="32" t="n"/>
      <c r="Q433" s="33" t="n"/>
      <c r="R433" s="33" t="n"/>
      <c r="S433" s="33" t="n"/>
      <c r="T433" s="33" t="n"/>
      <c r="U433" s="32" t="n"/>
      <c r="V433" s="33" t="n"/>
      <c r="W433" s="33" t="n"/>
      <c r="X433" s="33" t="n"/>
      <c r="Y433" s="33" t="n"/>
      <c r="Z433" s="33" t="n"/>
      <c r="AA433" s="33" t="n"/>
      <c r="AB433" s="33" t="n"/>
      <c r="AC433" s="33" t="n"/>
      <c r="AD433" s="33" t="n"/>
      <c r="AE433" s="33" t="n"/>
      <c r="AF433" s="32" t="n"/>
      <c r="AG433" s="32" t="n"/>
      <c r="AH433" s="32" t="n"/>
      <c r="AI433" s="32" t="n"/>
      <c r="AJ433" s="32" t="n"/>
      <c r="AK433" s="32" t="n"/>
      <c r="AL433" s="32" t="n"/>
      <c r="AM433" s="32" t="n"/>
      <c r="AN433" s="32" t="n"/>
      <c r="AO433" s="32" t="n"/>
      <c r="AP433" s="32" t="n"/>
      <c r="AQ433" s="32" t="n"/>
      <c r="AR433" s="29">
        <f>IF(NOT(COUNTA(A433:AE433)&gt;0),"",IF(A433="","New client","Update"))</f>
        <v/>
      </c>
      <c r="AS433" s="29">
        <f>IF(BA433&lt;&gt;"",BA433,IF(LEN(AZ433)=15,MID(AZ433,3,10),""))</f>
        <v/>
      </c>
      <c r="AT433" s="29">
        <f>IF(BB433="","",BB433&amp;IF(D433="","  (guessed from PAN)",""))</f>
        <v/>
      </c>
      <c r="AU433" s="29">
        <f>IF(AZ433="","",IFERROR(INDEX(Lists!$L$2:$L$38,MATCH(LEFT(AZ433,2),Lists!$K$2:$K$38,0)),"Unknown code"))</f>
        <v/>
      </c>
      <c r="AV433" s="29">
        <f>IF(AZ433="","",IFERROR(IF(NOT(AND(LEN(AZ433)=15,ISNUMBER(MATCH(LEFT(AZ433,2),Lists!$K$2:$K$38,0)),SUMPRODUCT(--ISERROR(FIND(MID(MID(AZ433,3,10),{1,2,3,4,5,10},1),"ABCDEFGHIJKLMNOPQRSTUVWXYZ")))=0,SUMPRODUCT(--ISERROR(FIND(MID(MID(AZ433,3,10),{6,7,8,9},1),"0123456789")))=0,ISNUMBER(FIND(MID(AZ433,13,1),"123456789ABCDEFGHIJKLMNOPQRSTUVWXYZ")),MID(AZ433,14,1)="Z")),"Wrong format",IF(MID("0123456789ABCDEFGHIJKLMNOPQRSTUVWXYZ",MOD(36-MOD(SUMPRODUCT(INT((FIND(MID(AZ433,{1,2,3,4,5,6,7,8,9,10,11,12,13,14},1),"0123456789ABCDEFGHIJKLMNOPQRSTUVWXYZ")-1)*{1,2,1,2,1,2,1,2,1,2,1,2,1,2}/36)+MOD((FIND(MID(AZ433,{1,2,3,4,5,6,7,8,9,10,11,12,13,14},1),"0123456789ABCDEFGHIJKLMNOPQRSTUVWXYZ")-1)*{1,2,1,2,1,2,1,2,1,2,1,2,1,2},36)),36),36)+1,1)=MID(AZ433,15,1),"OK","Typo? check digit wrong")),"Wrong format"))</f>
        <v/>
      </c>
      <c r="AW433" s="29">
        <f>IF(BA433="","",IF(AND(LEN(BA433)=10,SUMPRODUCT(--ISERROR(FIND(MID(BA433,{1,2,3,4,5,10},1),"ABCDEFGHIJKLMNOPQRSTUVWXYZ")))=0,SUMPRODUCT(--ISERROR(FIND(MID(BA433,{6,7,8,9},1),"0123456789")))=0),"OK","Wrong format"))</f>
        <v/>
      </c>
      <c r="AX433" s="29">
        <f>IF(TRIM(H433)="","",IF(AND(LEN(UPPER(TRIM(H433)))=10,SUMPRODUCT(--ISERROR(FIND(MID(UPPER(TRIM(H433)),{1,2,3,4,10},1),"ABCDEFGHIJKLMNOPQRSTUVWXYZ")))=0,SUMPRODUCT(--ISERROR(FIND(MID(UPPER(TRIM(H433)),{5,6,7,8,9},1),"0123456789")))=0),"OK","Wrong format"))</f>
        <v/>
      </c>
      <c r="AY433" s="30">
        <f>IF(NOT(COUNTA(A433:AE433)&gt;0),"",IF(BE433&lt;&gt;"","✖ "&amp;LEFT(BE433,LEN(BE433)-2),IF(BD433&gt;0,"✔ Ready — client + "&amp;BD433&amp;" service(s)","✔ Ready — client only")))</f>
        <v/>
      </c>
      <c r="AZ433" s="31">
        <f>UPPER(SUBSTITUTE(TRIM(F433)," ",""))</f>
        <v/>
      </c>
      <c r="BA433" s="31">
        <f>UPPER(SUBSTITUTE(TRIM(E433)," ",""))</f>
        <v/>
      </c>
      <c r="BB433" s="31">
        <f>IF(D433&lt;&gt;"",D433,IFERROR(VLOOKUP(MID(AS433,4,1),Lists!$E$2:$F$8,2,FALSE),""))</f>
        <v/>
      </c>
      <c r="BC433" s="31">
        <f>IFERROR(VLOOKUP(BB433,Lists!$A$2:$C$12,3,FALSE),"")</f>
        <v/>
      </c>
      <c r="BD433" s="31">
        <f>COUNTIF(W433:AC433,"Yes")</f>
        <v/>
      </c>
      <c r="BE433" s="31">
        <f>IF(TRIM(B433)="","Legal name missing; ","")&amp;IF(AND(AV433&lt;&gt;"",AV433&lt;&gt;"OK"),"GSTIN: "&amp;AV433&amp;"; ","")&amp;IF(AND(AW433&lt;&gt;"",AW433&lt;&gt;"OK"),"PAN wrong format; ","")&amp;IF(AND(BA433&lt;&gt;"",LEN(AZ433)=15,MID(AZ433,3,10)&lt;&gt;BA433),"PAN does not match GSTIN; ","")&amp;IF(AND(AX433&lt;&gt;"",AX433&lt;&gt;"OK"),"TAN wrong format; ","")&amp;IF(AS433="","PAN missing; ","")&amp;IF(BB433="","Entity type missing; ","")&amp;IF(AND(AZ433&lt;&gt;"",COUNTIF($AZ$6:$AZ$1005,AZ433)&gt;1),"GSTIN repeated in this sheet; ","")&amp;IF(AND(AS433&lt;&gt;"",COUNTIF($AS$6:$AS$1005,AS433)&gt;1),"PAN repeated in this sheet (same client? put extra GSTINs in Other GSTINs); ","")&amp;IF(AND(BD433&gt;0,V433=""),"Financial year missing; ","")&amp;IF(AND(BD433=0,V433&lt;&gt;""),"Financial year given but no service is Yes; ","")&amp;IF(AND(W433="Yes",AZ433=""),"GST needs a GSTIN; ","")&amp;IF(AND(W433="Yes",X433=""),"GST return frequency missing; ","")&amp;IF(AND(Y433="Yes",TRIM(H433)=""),"TDS needs a TAN; ","")&amp;IF(AND(AA433="Yes",BC433&lt;&gt;"",BC433&lt;&gt;"company",BC433&lt;&gt;"llp"),"ROC is only for a company / LLP; ","")&amp;IF(AND(AA433="Yes",OR(BC433="company",BC433="llp"),TRIM(I433)=""),"ROC needs the CIN / LLPIN; ","")&amp;IF((TRIM(AF433)="")&lt;&gt;(TRIM(AG433)=""),"GST login needs both user ID and password; ","")&amp;IF((TRIM(AH433)="")&lt;&gt;(TRIM(AI433)=""),"Income-tax login needs both user ID and password; ","")&amp;IF((TRIM(AJ433)="")&lt;&gt;(TRIM(AK433)=""),"Income-tax login needs both user ID and password; ","")&amp;IF((TRIM(AL433)="")&lt;&gt;(TRIM(AM433)=""),"TRACES login needs both user ID and password; ","")&amp;IF((TRIM(AN433)="")&lt;&gt;(TRIM(AO433)=""),"MCA login needs both user ID and password; ","")&amp;IF((TRIM(AP433)="")&lt;&gt;(TRIM(AQ433)=""),"E-way bill login needs both user ID and password; ","")</f>
        <v/>
      </c>
    </row>
    <row r="434">
      <c r="A434" s="32" t="n"/>
      <c r="B434" s="33" t="n"/>
      <c r="C434" s="33" t="n"/>
      <c r="D434" s="33" t="n"/>
      <c r="E434" s="32" t="n"/>
      <c r="F434" s="32" t="n"/>
      <c r="G434" s="32" t="n"/>
      <c r="H434" s="32" t="n"/>
      <c r="I434" s="32" t="n"/>
      <c r="J434" s="34" t="n"/>
      <c r="K434" s="33" t="n"/>
      <c r="L434" s="32" t="n"/>
      <c r="M434" s="33" t="n"/>
      <c r="N434" s="33" t="n"/>
      <c r="O434" s="33" t="n"/>
      <c r="P434" s="32" t="n"/>
      <c r="Q434" s="33" t="n"/>
      <c r="R434" s="33" t="n"/>
      <c r="S434" s="33" t="n"/>
      <c r="T434" s="33" t="n"/>
      <c r="U434" s="32" t="n"/>
      <c r="V434" s="33" t="n"/>
      <c r="W434" s="33" t="n"/>
      <c r="X434" s="33" t="n"/>
      <c r="Y434" s="33" t="n"/>
      <c r="Z434" s="33" t="n"/>
      <c r="AA434" s="33" t="n"/>
      <c r="AB434" s="33" t="n"/>
      <c r="AC434" s="33" t="n"/>
      <c r="AD434" s="33" t="n"/>
      <c r="AE434" s="33" t="n"/>
      <c r="AF434" s="32" t="n"/>
      <c r="AG434" s="32" t="n"/>
      <c r="AH434" s="32" t="n"/>
      <c r="AI434" s="32" t="n"/>
      <c r="AJ434" s="32" t="n"/>
      <c r="AK434" s="32" t="n"/>
      <c r="AL434" s="32" t="n"/>
      <c r="AM434" s="32" t="n"/>
      <c r="AN434" s="32" t="n"/>
      <c r="AO434" s="32" t="n"/>
      <c r="AP434" s="32" t="n"/>
      <c r="AQ434" s="32" t="n"/>
      <c r="AR434" s="29">
        <f>IF(NOT(COUNTA(A434:AE434)&gt;0),"",IF(A434="","New client","Update"))</f>
        <v/>
      </c>
      <c r="AS434" s="29">
        <f>IF(BA434&lt;&gt;"",BA434,IF(LEN(AZ434)=15,MID(AZ434,3,10),""))</f>
        <v/>
      </c>
      <c r="AT434" s="29">
        <f>IF(BB434="","",BB434&amp;IF(D434="","  (guessed from PAN)",""))</f>
        <v/>
      </c>
      <c r="AU434" s="29">
        <f>IF(AZ434="","",IFERROR(INDEX(Lists!$L$2:$L$38,MATCH(LEFT(AZ434,2),Lists!$K$2:$K$38,0)),"Unknown code"))</f>
        <v/>
      </c>
      <c r="AV434" s="29">
        <f>IF(AZ434="","",IFERROR(IF(NOT(AND(LEN(AZ434)=15,ISNUMBER(MATCH(LEFT(AZ434,2),Lists!$K$2:$K$38,0)),SUMPRODUCT(--ISERROR(FIND(MID(MID(AZ434,3,10),{1,2,3,4,5,10},1),"ABCDEFGHIJKLMNOPQRSTUVWXYZ")))=0,SUMPRODUCT(--ISERROR(FIND(MID(MID(AZ434,3,10),{6,7,8,9},1),"0123456789")))=0,ISNUMBER(FIND(MID(AZ434,13,1),"123456789ABCDEFGHIJKLMNOPQRSTUVWXYZ")),MID(AZ434,14,1)="Z")),"Wrong format",IF(MID("0123456789ABCDEFGHIJKLMNOPQRSTUVWXYZ",MOD(36-MOD(SUMPRODUCT(INT((FIND(MID(AZ434,{1,2,3,4,5,6,7,8,9,10,11,12,13,14},1),"0123456789ABCDEFGHIJKLMNOPQRSTUVWXYZ")-1)*{1,2,1,2,1,2,1,2,1,2,1,2,1,2}/36)+MOD((FIND(MID(AZ434,{1,2,3,4,5,6,7,8,9,10,11,12,13,14},1),"0123456789ABCDEFGHIJKLMNOPQRSTUVWXYZ")-1)*{1,2,1,2,1,2,1,2,1,2,1,2,1,2},36)),36),36)+1,1)=MID(AZ434,15,1),"OK","Typo? check digit wrong")),"Wrong format"))</f>
        <v/>
      </c>
      <c r="AW434" s="29">
        <f>IF(BA434="","",IF(AND(LEN(BA434)=10,SUMPRODUCT(--ISERROR(FIND(MID(BA434,{1,2,3,4,5,10},1),"ABCDEFGHIJKLMNOPQRSTUVWXYZ")))=0,SUMPRODUCT(--ISERROR(FIND(MID(BA434,{6,7,8,9},1),"0123456789")))=0),"OK","Wrong format"))</f>
        <v/>
      </c>
      <c r="AX434" s="29">
        <f>IF(TRIM(H434)="","",IF(AND(LEN(UPPER(TRIM(H434)))=10,SUMPRODUCT(--ISERROR(FIND(MID(UPPER(TRIM(H434)),{1,2,3,4,10},1),"ABCDEFGHIJKLMNOPQRSTUVWXYZ")))=0,SUMPRODUCT(--ISERROR(FIND(MID(UPPER(TRIM(H434)),{5,6,7,8,9},1),"0123456789")))=0),"OK","Wrong format"))</f>
        <v/>
      </c>
      <c r="AY434" s="30">
        <f>IF(NOT(COUNTA(A434:AE434)&gt;0),"",IF(BE434&lt;&gt;"","✖ "&amp;LEFT(BE434,LEN(BE434)-2),IF(BD434&gt;0,"✔ Ready — client + "&amp;BD434&amp;" service(s)","✔ Ready — client only")))</f>
        <v/>
      </c>
      <c r="AZ434" s="31">
        <f>UPPER(SUBSTITUTE(TRIM(F434)," ",""))</f>
        <v/>
      </c>
      <c r="BA434" s="31">
        <f>UPPER(SUBSTITUTE(TRIM(E434)," ",""))</f>
        <v/>
      </c>
      <c r="BB434" s="31">
        <f>IF(D434&lt;&gt;"",D434,IFERROR(VLOOKUP(MID(AS434,4,1),Lists!$E$2:$F$8,2,FALSE),""))</f>
        <v/>
      </c>
      <c r="BC434" s="31">
        <f>IFERROR(VLOOKUP(BB434,Lists!$A$2:$C$12,3,FALSE),"")</f>
        <v/>
      </c>
      <c r="BD434" s="31">
        <f>COUNTIF(W434:AC434,"Yes")</f>
        <v/>
      </c>
      <c r="BE434" s="31">
        <f>IF(TRIM(B434)="","Legal name missing; ","")&amp;IF(AND(AV434&lt;&gt;"",AV434&lt;&gt;"OK"),"GSTIN: "&amp;AV434&amp;"; ","")&amp;IF(AND(AW434&lt;&gt;"",AW434&lt;&gt;"OK"),"PAN wrong format; ","")&amp;IF(AND(BA434&lt;&gt;"",LEN(AZ434)=15,MID(AZ434,3,10)&lt;&gt;BA434),"PAN does not match GSTIN; ","")&amp;IF(AND(AX434&lt;&gt;"",AX434&lt;&gt;"OK"),"TAN wrong format; ","")&amp;IF(AS434="","PAN missing; ","")&amp;IF(BB434="","Entity type missing; ","")&amp;IF(AND(AZ434&lt;&gt;"",COUNTIF($AZ$6:$AZ$1005,AZ434)&gt;1),"GSTIN repeated in this sheet; ","")&amp;IF(AND(AS434&lt;&gt;"",COUNTIF($AS$6:$AS$1005,AS434)&gt;1),"PAN repeated in this sheet (same client? put extra GSTINs in Other GSTINs); ","")&amp;IF(AND(BD434&gt;0,V434=""),"Financial year missing; ","")&amp;IF(AND(BD434=0,V434&lt;&gt;""),"Financial year given but no service is Yes; ","")&amp;IF(AND(W434="Yes",AZ434=""),"GST needs a GSTIN; ","")&amp;IF(AND(W434="Yes",X434=""),"GST return frequency missing; ","")&amp;IF(AND(Y434="Yes",TRIM(H434)=""),"TDS needs a TAN; ","")&amp;IF(AND(AA434="Yes",BC434&lt;&gt;"",BC434&lt;&gt;"company",BC434&lt;&gt;"llp"),"ROC is only for a company / LLP; ","")&amp;IF(AND(AA434="Yes",OR(BC434="company",BC434="llp"),TRIM(I434)=""),"ROC needs the CIN / LLPIN; ","")&amp;IF((TRIM(AF434)="")&lt;&gt;(TRIM(AG434)=""),"GST login needs both user ID and password; ","")&amp;IF((TRIM(AH434)="")&lt;&gt;(TRIM(AI434)=""),"Income-tax login needs both user ID and password; ","")&amp;IF((TRIM(AJ434)="")&lt;&gt;(TRIM(AK434)=""),"Income-tax login needs both user ID and password; ","")&amp;IF((TRIM(AL434)="")&lt;&gt;(TRIM(AM434)=""),"TRACES login needs both user ID and password; ","")&amp;IF((TRIM(AN434)="")&lt;&gt;(TRIM(AO434)=""),"MCA login needs both user ID and password; ","")&amp;IF((TRIM(AP434)="")&lt;&gt;(TRIM(AQ434)=""),"E-way bill login needs both user ID and password; ","")</f>
        <v/>
      </c>
    </row>
    <row r="435">
      <c r="A435" s="32" t="n"/>
      <c r="B435" s="33" t="n"/>
      <c r="C435" s="33" t="n"/>
      <c r="D435" s="33" t="n"/>
      <c r="E435" s="32" t="n"/>
      <c r="F435" s="32" t="n"/>
      <c r="G435" s="32" t="n"/>
      <c r="H435" s="32" t="n"/>
      <c r="I435" s="32" t="n"/>
      <c r="J435" s="34" t="n"/>
      <c r="K435" s="33" t="n"/>
      <c r="L435" s="32" t="n"/>
      <c r="M435" s="33" t="n"/>
      <c r="N435" s="33" t="n"/>
      <c r="O435" s="33" t="n"/>
      <c r="P435" s="32" t="n"/>
      <c r="Q435" s="33" t="n"/>
      <c r="R435" s="33" t="n"/>
      <c r="S435" s="33" t="n"/>
      <c r="T435" s="33" t="n"/>
      <c r="U435" s="32" t="n"/>
      <c r="V435" s="33" t="n"/>
      <c r="W435" s="33" t="n"/>
      <c r="X435" s="33" t="n"/>
      <c r="Y435" s="33" t="n"/>
      <c r="Z435" s="33" t="n"/>
      <c r="AA435" s="33" t="n"/>
      <c r="AB435" s="33" t="n"/>
      <c r="AC435" s="33" t="n"/>
      <c r="AD435" s="33" t="n"/>
      <c r="AE435" s="33" t="n"/>
      <c r="AF435" s="32" t="n"/>
      <c r="AG435" s="32" t="n"/>
      <c r="AH435" s="32" t="n"/>
      <c r="AI435" s="32" t="n"/>
      <c r="AJ435" s="32" t="n"/>
      <c r="AK435" s="32" t="n"/>
      <c r="AL435" s="32" t="n"/>
      <c r="AM435" s="32" t="n"/>
      <c r="AN435" s="32" t="n"/>
      <c r="AO435" s="32" t="n"/>
      <c r="AP435" s="32" t="n"/>
      <c r="AQ435" s="32" t="n"/>
      <c r="AR435" s="29">
        <f>IF(NOT(COUNTA(A435:AE435)&gt;0),"",IF(A435="","New client","Update"))</f>
        <v/>
      </c>
      <c r="AS435" s="29">
        <f>IF(BA435&lt;&gt;"",BA435,IF(LEN(AZ435)=15,MID(AZ435,3,10),""))</f>
        <v/>
      </c>
      <c r="AT435" s="29">
        <f>IF(BB435="","",BB435&amp;IF(D435="","  (guessed from PAN)",""))</f>
        <v/>
      </c>
      <c r="AU435" s="29">
        <f>IF(AZ435="","",IFERROR(INDEX(Lists!$L$2:$L$38,MATCH(LEFT(AZ435,2),Lists!$K$2:$K$38,0)),"Unknown code"))</f>
        <v/>
      </c>
      <c r="AV435" s="29">
        <f>IF(AZ435="","",IFERROR(IF(NOT(AND(LEN(AZ435)=15,ISNUMBER(MATCH(LEFT(AZ435,2),Lists!$K$2:$K$38,0)),SUMPRODUCT(--ISERROR(FIND(MID(MID(AZ435,3,10),{1,2,3,4,5,10},1),"ABCDEFGHIJKLMNOPQRSTUVWXYZ")))=0,SUMPRODUCT(--ISERROR(FIND(MID(MID(AZ435,3,10),{6,7,8,9},1),"0123456789")))=0,ISNUMBER(FIND(MID(AZ435,13,1),"123456789ABCDEFGHIJKLMNOPQRSTUVWXYZ")),MID(AZ435,14,1)="Z")),"Wrong format",IF(MID("0123456789ABCDEFGHIJKLMNOPQRSTUVWXYZ",MOD(36-MOD(SUMPRODUCT(INT((FIND(MID(AZ435,{1,2,3,4,5,6,7,8,9,10,11,12,13,14},1),"0123456789ABCDEFGHIJKLMNOPQRSTUVWXYZ")-1)*{1,2,1,2,1,2,1,2,1,2,1,2,1,2}/36)+MOD((FIND(MID(AZ435,{1,2,3,4,5,6,7,8,9,10,11,12,13,14},1),"0123456789ABCDEFGHIJKLMNOPQRSTUVWXYZ")-1)*{1,2,1,2,1,2,1,2,1,2,1,2,1,2},36)),36),36)+1,1)=MID(AZ435,15,1),"OK","Typo? check digit wrong")),"Wrong format"))</f>
        <v/>
      </c>
      <c r="AW435" s="29">
        <f>IF(BA435="","",IF(AND(LEN(BA435)=10,SUMPRODUCT(--ISERROR(FIND(MID(BA435,{1,2,3,4,5,10},1),"ABCDEFGHIJKLMNOPQRSTUVWXYZ")))=0,SUMPRODUCT(--ISERROR(FIND(MID(BA435,{6,7,8,9},1),"0123456789")))=0),"OK","Wrong format"))</f>
        <v/>
      </c>
      <c r="AX435" s="29">
        <f>IF(TRIM(H435)="","",IF(AND(LEN(UPPER(TRIM(H435)))=10,SUMPRODUCT(--ISERROR(FIND(MID(UPPER(TRIM(H435)),{1,2,3,4,10},1),"ABCDEFGHIJKLMNOPQRSTUVWXYZ")))=0,SUMPRODUCT(--ISERROR(FIND(MID(UPPER(TRIM(H435)),{5,6,7,8,9},1),"0123456789")))=0),"OK","Wrong format"))</f>
        <v/>
      </c>
      <c r="AY435" s="30">
        <f>IF(NOT(COUNTA(A435:AE435)&gt;0),"",IF(BE435&lt;&gt;"","✖ "&amp;LEFT(BE435,LEN(BE435)-2),IF(BD435&gt;0,"✔ Ready — client + "&amp;BD435&amp;" service(s)","✔ Ready — client only")))</f>
        <v/>
      </c>
      <c r="AZ435" s="31">
        <f>UPPER(SUBSTITUTE(TRIM(F435)," ",""))</f>
        <v/>
      </c>
      <c r="BA435" s="31">
        <f>UPPER(SUBSTITUTE(TRIM(E435)," ",""))</f>
        <v/>
      </c>
      <c r="BB435" s="31">
        <f>IF(D435&lt;&gt;"",D435,IFERROR(VLOOKUP(MID(AS435,4,1),Lists!$E$2:$F$8,2,FALSE),""))</f>
        <v/>
      </c>
      <c r="BC435" s="31">
        <f>IFERROR(VLOOKUP(BB435,Lists!$A$2:$C$12,3,FALSE),"")</f>
        <v/>
      </c>
      <c r="BD435" s="31">
        <f>COUNTIF(W435:AC435,"Yes")</f>
        <v/>
      </c>
      <c r="BE435" s="31">
        <f>IF(TRIM(B435)="","Legal name missing; ","")&amp;IF(AND(AV435&lt;&gt;"",AV435&lt;&gt;"OK"),"GSTIN: "&amp;AV435&amp;"; ","")&amp;IF(AND(AW435&lt;&gt;"",AW435&lt;&gt;"OK"),"PAN wrong format; ","")&amp;IF(AND(BA435&lt;&gt;"",LEN(AZ435)=15,MID(AZ435,3,10)&lt;&gt;BA435),"PAN does not match GSTIN; ","")&amp;IF(AND(AX435&lt;&gt;"",AX435&lt;&gt;"OK"),"TAN wrong format; ","")&amp;IF(AS435="","PAN missing; ","")&amp;IF(BB435="","Entity type missing; ","")&amp;IF(AND(AZ435&lt;&gt;"",COUNTIF($AZ$6:$AZ$1005,AZ435)&gt;1),"GSTIN repeated in this sheet; ","")&amp;IF(AND(AS435&lt;&gt;"",COUNTIF($AS$6:$AS$1005,AS435)&gt;1),"PAN repeated in this sheet (same client? put extra GSTINs in Other GSTINs); ","")&amp;IF(AND(BD435&gt;0,V435=""),"Financial year missing; ","")&amp;IF(AND(BD435=0,V435&lt;&gt;""),"Financial year given but no service is Yes; ","")&amp;IF(AND(W435="Yes",AZ435=""),"GST needs a GSTIN; ","")&amp;IF(AND(W435="Yes",X435=""),"GST return frequency missing; ","")&amp;IF(AND(Y435="Yes",TRIM(H435)=""),"TDS needs a TAN; ","")&amp;IF(AND(AA435="Yes",BC435&lt;&gt;"",BC435&lt;&gt;"company",BC435&lt;&gt;"llp"),"ROC is only for a company / LLP; ","")&amp;IF(AND(AA435="Yes",OR(BC435="company",BC435="llp"),TRIM(I435)=""),"ROC needs the CIN / LLPIN; ","")&amp;IF((TRIM(AF435)="")&lt;&gt;(TRIM(AG435)=""),"GST login needs both user ID and password; ","")&amp;IF((TRIM(AH435)="")&lt;&gt;(TRIM(AI435)=""),"Income-tax login needs both user ID and password; ","")&amp;IF((TRIM(AJ435)="")&lt;&gt;(TRIM(AK435)=""),"Income-tax login needs both user ID and password; ","")&amp;IF((TRIM(AL435)="")&lt;&gt;(TRIM(AM435)=""),"TRACES login needs both user ID and password; ","")&amp;IF((TRIM(AN435)="")&lt;&gt;(TRIM(AO435)=""),"MCA login needs both user ID and password; ","")&amp;IF((TRIM(AP435)="")&lt;&gt;(TRIM(AQ435)=""),"E-way bill login needs both user ID and password; ","")</f>
        <v/>
      </c>
    </row>
    <row r="436">
      <c r="A436" s="32" t="n"/>
      <c r="B436" s="33" t="n"/>
      <c r="C436" s="33" t="n"/>
      <c r="D436" s="33" t="n"/>
      <c r="E436" s="32" t="n"/>
      <c r="F436" s="32" t="n"/>
      <c r="G436" s="32" t="n"/>
      <c r="H436" s="32" t="n"/>
      <c r="I436" s="32" t="n"/>
      <c r="J436" s="34" t="n"/>
      <c r="K436" s="33" t="n"/>
      <c r="L436" s="32" t="n"/>
      <c r="M436" s="33" t="n"/>
      <c r="N436" s="33" t="n"/>
      <c r="O436" s="33" t="n"/>
      <c r="P436" s="32" t="n"/>
      <c r="Q436" s="33" t="n"/>
      <c r="R436" s="33" t="n"/>
      <c r="S436" s="33" t="n"/>
      <c r="T436" s="33" t="n"/>
      <c r="U436" s="32" t="n"/>
      <c r="V436" s="33" t="n"/>
      <c r="W436" s="33" t="n"/>
      <c r="X436" s="33" t="n"/>
      <c r="Y436" s="33" t="n"/>
      <c r="Z436" s="33" t="n"/>
      <c r="AA436" s="33" t="n"/>
      <c r="AB436" s="33" t="n"/>
      <c r="AC436" s="33" t="n"/>
      <c r="AD436" s="33" t="n"/>
      <c r="AE436" s="33" t="n"/>
      <c r="AF436" s="32" t="n"/>
      <c r="AG436" s="32" t="n"/>
      <c r="AH436" s="32" t="n"/>
      <c r="AI436" s="32" t="n"/>
      <c r="AJ436" s="32" t="n"/>
      <c r="AK436" s="32" t="n"/>
      <c r="AL436" s="32" t="n"/>
      <c r="AM436" s="32" t="n"/>
      <c r="AN436" s="32" t="n"/>
      <c r="AO436" s="32" t="n"/>
      <c r="AP436" s="32" t="n"/>
      <c r="AQ436" s="32" t="n"/>
      <c r="AR436" s="29">
        <f>IF(NOT(COUNTA(A436:AE436)&gt;0),"",IF(A436="","New client","Update"))</f>
        <v/>
      </c>
      <c r="AS436" s="29">
        <f>IF(BA436&lt;&gt;"",BA436,IF(LEN(AZ436)=15,MID(AZ436,3,10),""))</f>
        <v/>
      </c>
      <c r="AT436" s="29">
        <f>IF(BB436="","",BB436&amp;IF(D436="","  (guessed from PAN)",""))</f>
        <v/>
      </c>
      <c r="AU436" s="29">
        <f>IF(AZ436="","",IFERROR(INDEX(Lists!$L$2:$L$38,MATCH(LEFT(AZ436,2),Lists!$K$2:$K$38,0)),"Unknown code"))</f>
        <v/>
      </c>
      <c r="AV436" s="29">
        <f>IF(AZ436="","",IFERROR(IF(NOT(AND(LEN(AZ436)=15,ISNUMBER(MATCH(LEFT(AZ436,2),Lists!$K$2:$K$38,0)),SUMPRODUCT(--ISERROR(FIND(MID(MID(AZ436,3,10),{1,2,3,4,5,10},1),"ABCDEFGHIJKLMNOPQRSTUVWXYZ")))=0,SUMPRODUCT(--ISERROR(FIND(MID(MID(AZ436,3,10),{6,7,8,9},1),"0123456789")))=0,ISNUMBER(FIND(MID(AZ436,13,1),"123456789ABCDEFGHIJKLMNOPQRSTUVWXYZ")),MID(AZ436,14,1)="Z")),"Wrong format",IF(MID("0123456789ABCDEFGHIJKLMNOPQRSTUVWXYZ",MOD(36-MOD(SUMPRODUCT(INT((FIND(MID(AZ436,{1,2,3,4,5,6,7,8,9,10,11,12,13,14},1),"0123456789ABCDEFGHIJKLMNOPQRSTUVWXYZ")-1)*{1,2,1,2,1,2,1,2,1,2,1,2,1,2}/36)+MOD((FIND(MID(AZ436,{1,2,3,4,5,6,7,8,9,10,11,12,13,14},1),"0123456789ABCDEFGHIJKLMNOPQRSTUVWXYZ")-1)*{1,2,1,2,1,2,1,2,1,2,1,2,1,2},36)),36),36)+1,1)=MID(AZ436,15,1),"OK","Typo? check digit wrong")),"Wrong format"))</f>
        <v/>
      </c>
      <c r="AW436" s="29">
        <f>IF(BA436="","",IF(AND(LEN(BA436)=10,SUMPRODUCT(--ISERROR(FIND(MID(BA436,{1,2,3,4,5,10},1),"ABCDEFGHIJKLMNOPQRSTUVWXYZ")))=0,SUMPRODUCT(--ISERROR(FIND(MID(BA436,{6,7,8,9},1),"0123456789")))=0),"OK","Wrong format"))</f>
        <v/>
      </c>
      <c r="AX436" s="29">
        <f>IF(TRIM(H436)="","",IF(AND(LEN(UPPER(TRIM(H436)))=10,SUMPRODUCT(--ISERROR(FIND(MID(UPPER(TRIM(H436)),{1,2,3,4,10},1),"ABCDEFGHIJKLMNOPQRSTUVWXYZ")))=0,SUMPRODUCT(--ISERROR(FIND(MID(UPPER(TRIM(H436)),{5,6,7,8,9},1),"0123456789")))=0),"OK","Wrong format"))</f>
        <v/>
      </c>
      <c r="AY436" s="30">
        <f>IF(NOT(COUNTA(A436:AE436)&gt;0),"",IF(BE436&lt;&gt;"","✖ "&amp;LEFT(BE436,LEN(BE436)-2),IF(BD436&gt;0,"✔ Ready — client + "&amp;BD436&amp;" service(s)","✔ Ready — client only")))</f>
        <v/>
      </c>
      <c r="AZ436" s="31">
        <f>UPPER(SUBSTITUTE(TRIM(F436)," ",""))</f>
        <v/>
      </c>
      <c r="BA436" s="31">
        <f>UPPER(SUBSTITUTE(TRIM(E436)," ",""))</f>
        <v/>
      </c>
      <c r="BB436" s="31">
        <f>IF(D436&lt;&gt;"",D436,IFERROR(VLOOKUP(MID(AS436,4,1),Lists!$E$2:$F$8,2,FALSE),""))</f>
        <v/>
      </c>
      <c r="BC436" s="31">
        <f>IFERROR(VLOOKUP(BB436,Lists!$A$2:$C$12,3,FALSE),"")</f>
        <v/>
      </c>
      <c r="BD436" s="31">
        <f>COUNTIF(W436:AC436,"Yes")</f>
        <v/>
      </c>
      <c r="BE436" s="31">
        <f>IF(TRIM(B436)="","Legal name missing; ","")&amp;IF(AND(AV436&lt;&gt;"",AV436&lt;&gt;"OK"),"GSTIN: "&amp;AV436&amp;"; ","")&amp;IF(AND(AW436&lt;&gt;"",AW436&lt;&gt;"OK"),"PAN wrong format; ","")&amp;IF(AND(BA436&lt;&gt;"",LEN(AZ436)=15,MID(AZ436,3,10)&lt;&gt;BA436),"PAN does not match GSTIN; ","")&amp;IF(AND(AX436&lt;&gt;"",AX436&lt;&gt;"OK"),"TAN wrong format; ","")&amp;IF(AS436="","PAN missing; ","")&amp;IF(BB436="","Entity type missing; ","")&amp;IF(AND(AZ436&lt;&gt;"",COUNTIF($AZ$6:$AZ$1005,AZ436)&gt;1),"GSTIN repeated in this sheet; ","")&amp;IF(AND(AS436&lt;&gt;"",COUNTIF($AS$6:$AS$1005,AS436)&gt;1),"PAN repeated in this sheet (same client? put extra GSTINs in Other GSTINs); ","")&amp;IF(AND(BD436&gt;0,V436=""),"Financial year missing; ","")&amp;IF(AND(BD436=0,V436&lt;&gt;""),"Financial year given but no service is Yes; ","")&amp;IF(AND(W436="Yes",AZ436=""),"GST needs a GSTIN; ","")&amp;IF(AND(W436="Yes",X436=""),"GST return frequency missing; ","")&amp;IF(AND(Y436="Yes",TRIM(H436)=""),"TDS needs a TAN; ","")&amp;IF(AND(AA436="Yes",BC436&lt;&gt;"",BC436&lt;&gt;"company",BC436&lt;&gt;"llp"),"ROC is only for a company / LLP; ","")&amp;IF(AND(AA436="Yes",OR(BC436="company",BC436="llp"),TRIM(I436)=""),"ROC needs the CIN / LLPIN; ","")&amp;IF((TRIM(AF436)="")&lt;&gt;(TRIM(AG436)=""),"GST login needs both user ID and password; ","")&amp;IF((TRIM(AH436)="")&lt;&gt;(TRIM(AI436)=""),"Income-tax login needs both user ID and password; ","")&amp;IF((TRIM(AJ436)="")&lt;&gt;(TRIM(AK436)=""),"Income-tax login needs both user ID and password; ","")&amp;IF((TRIM(AL436)="")&lt;&gt;(TRIM(AM436)=""),"TRACES login needs both user ID and password; ","")&amp;IF((TRIM(AN436)="")&lt;&gt;(TRIM(AO436)=""),"MCA login needs both user ID and password; ","")&amp;IF((TRIM(AP436)="")&lt;&gt;(TRIM(AQ436)=""),"E-way bill login needs both user ID and password; ","")</f>
        <v/>
      </c>
    </row>
    <row r="437">
      <c r="A437" s="32" t="n"/>
      <c r="B437" s="33" t="n"/>
      <c r="C437" s="33" t="n"/>
      <c r="D437" s="33" t="n"/>
      <c r="E437" s="32" t="n"/>
      <c r="F437" s="32" t="n"/>
      <c r="G437" s="32" t="n"/>
      <c r="H437" s="32" t="n"/>
      <c r="I437" s="32" t="n"/>
      <c r="J437" s="34" t="n"/>
      <c r="K437" s="33" t="n"/>
      <c r="L437" s="32" t="n"/>
      <c r="M437" s="33" t="n"/>
      <c r="N437" s="33" t="n"/>
      <c r="O437" s="33" t="n"/>
      <c r="P437" s="32" t="n"/>
      <c r="Q437" s="33" t="n"/>
      <c r="R437" s="33" t="n"/>
      <c r="S437" s="33" t="n"/>
      <c r="T437" s="33" t="n"/>
      <c r="U437" s="32" t="n"/>
      <c r="V437" s="33" t="n"/>
      <c r="W437" s="33" t="n"/>
      <c r="X437" s="33" t="n"/>
      <c r="Y437" s="33" t="n"/>
      <c r="Z437" s="33" t="n"/>
      <c r="AA437" s="33" t="n"/>
      <c r="AB437" s="33" t="n"/>
      <c r="AC437" s="33" t="n"/>
      <c r="AD437" s="33" t="n"/>
      <c r="AE437" s="33" t="n"/>
      <c r="AF437" s="32" t="n"/>
      <c r="AG437" s="32" t="n"/>
      <c r="AH437" s="32" t="n"/>
      <c r="AI437" s="32" t="n"/>
      <c r="AJ437" s="32" t="n"/>
      <c r="AK437" s="32" t="n"/>
      <c r="AL437" s="32" t="n"/>
      <c r="AM437" s="32" t="n"/>
      <c r="AN437" s="32" t="n"/>
      <c r="AO437" s="32" t="n"/>
      <c r="AP437" s="32" t="n"/>
      <c r="AQ437" s="32" t="n"/>
      <c r="AR437" s="29">
        <f>IF(NOT(COUNTA(A437:AE437)&gt;0),"",IF(A437="","New client","Update"))</f>
        <v/>
      </c>
      <c r="AS437" s="29">
        <f>IF(BA437&lt;&gt;"",BA437,IF(LEN(AZ437)=15,MID(AZ437,3,10),""))</f>
        <v/>
      </c>
      <c r="AT437" s="29">
        <f>IF(BB437="","",BB437&amp;IF(D437="","  (guessed from PAN)",""))</f>
        <v/>
      </c>
      <c r="AU437" s="29">
        <f>IF(AZ437="","",IFERROR(INDEX(Lists!$L$2:$L$38,MATCH(LEFT(AZ437,2),Lists!$K$2:$K$38,0)),"Unknown code"))</f>
        <v/>
      </c>
      <c r="AV437" s="29">
        <f>IF(AZ437="","",IFERROR(IF(NOT(AND(LEN(AZ437)=15,ISNUMBER(MATCH(LEFT(AZ437,2),Lists!$K$2:$K$38,0)),SUMPRODUCT(--ISERROR(FIND(MID(MID(AZ437,3,10),{1,2,3,4,5,10},1),"ABCDEFGHIJKLMNOPQRSTUVWXYZ")))=0,SUMPRODUCT(--ISERROR(FIND(MID(MID(AZ437,3,10),{6,7,8,9},1),"0123456789")))=0,ISNUMBER(FIND(MID(AZ437,13,1),"123456789ABCDEFGHIJKLMNOPQRSTUVWXYZ")),MID(AZ437,14,1)="Z")),"Wrong format",IF(MID("0123456789ABCDEFGHIJKLMNOPQRSTUVWXYZ",MOD(36-MOD(SUMPRODUCT(INT((FIND(MID(AZ437,{1,2,3,4,5,6,7,8,9,10,11,12,13,14},1),"0123456789ABCDEFGHIJKLMNOPQRSTUVWXYZ")-1)*{1,2,1,2,1,2,1,2,1,2,1,2,1,2}/36)+MOD((FIND(MID(AZ437,{1,2,3,4,5,6,7,8,9,10,11,12,13,14},1),"0123456789ABCDEFGHIJKLMNOPQRSTUVWXYZ")-1)*{1,2,1,2,1,2,1,2,1,2,1,2,1,2},36)),36),36)+1,1)=MID(AZ437,15,1),"OK","Typo? check digit wrong")),"Wrong format"))</f>
        <v/>
      </c>
      <c r="AW437" s="29">
        <f>IF(BA437="","",IF(AND(LEN(BA437)=10,SUMPRODUCT(--ISERROR(FIND(MID(BA437,{1,2,3,4,5,10},1),"ABCDEFGHIJKLMNOPQRSTUVWXYZ")))=0,SUMPRODUCT(--ISERROR(FIND(MID(BA437,{6,7,8,9},1),"0123456789")))=0),"OK","Wrong format"))</f>
        <v/>
      </c>
      <c r="AX437" s="29">
        <f>IF(TRIM(H437)="","",IF(AND(LEN(UPPER(TRIM(H437)))=10,SUMPRODUCT(--ISERROR(FIND(MID(UPPER(TRIM(H437)),{1,2,3,4,10},1),"ABCDEFGHIJKLMNOPQRSTUVWXYZ")))=0,SUMPRODUCT(--ISERROR(FIND(MID(UPPER(TRIM(H437)),{5,6,7,8,9},1),"0123456789")))=0),"OK","Wrong format"))</f>
        <v/>
      </c>
      <c r="AY437" s="30">
        <f>IF(NOT(COUNTA(A437:AE437)&gt;0),"",IF(BE437&lt;&gt;"","✖ "&amp;LEFT(BE437,LEN(BE437)-2),IF(BD437&gt;0,"✔ Ready — client + "&amp;BD437&amp;" service(s)","✔ Ready — client only")))</f>
        <v/>
      </c>
      <c r="AZ437" s="31">
        <f>UPPER(SUBSTITUTE(TRIM(F437)," ",""))</f>
        <v/>
      </c>
      <c r="BA437" s="31">
        <f>UPPER(SUBSTITUTE(TRIM(E437)," ",""))</f>
        <v/>
      </c>
      <c r="BB437" s="31">
        <f>IF(D437&lt;&gt;"",D437,IFERROR(VLOOKUP(MID(AS437,4,1),Lists!$E$2:$F$8,2,FALSE),""))</f>
        <v/>
      </c>
      <c r="BC437" s="31">
        <f>IFERROR(VLOOKUP(BB437,Lists!$A$2:$C$12,3,FALSE),"")</f>
        <v/>
      </c>
      <c r="BD437" s="31">
        <f>COUNTIF(W437:AC437,"Yes")</f>
        <v/>
      </c>
      <c r="BE437" s="31">
        <f>IF(TRIM(B437)="","Legal name missing; ","")&amp;IF(AND(AV437&lt;&gt;"",AV437&lt;&gt;"OK"),"GSTIN: "&amp;AV437&amp;"; ","")&amp;IF(AND(AW437&lt;&gt;"",AW437&lt;&gt;"OK"),"PAN wrong format; ","")&amp;IF(AND(BA437&lt;&gt;"",LEN(AZ437)=15,MID(AZ437,3,10)&lt;&gt;BA437),"PAN does not match GSTIN; ","")&amp;IF(AND(AX437&lt;&gt;"",AX437&lt;&gt;"OK"),"TAN wrong format; ","")&amp;IF(AS437="","PAN missing; ","")&amp;IF(BB437="","Entity type missing; ","")&amp;IF(AND(AZ437&lt;&gt;"",COUNTIF($AZ$6:$AZ$1005,AZ437)&gt;1),"GSTIN repeated in this sheet; ","")&amp;IF(AND(AS437&lt;&gt;"",COUNTIF($AS$6:$AS$1005,AS437)&gt;1),"PAN repeated in this sheet (same client? put extra GSTINs in Other GSTINs); ","")&amp;IF(AND(BD437&gt;0,V437=""),"Financial year missing; ","")&amp;IF(AND(BD437=0,V437&lt;&gt;""),"Financial year given but no service is Yes; ","")&amp;IF(AND(W437="Yes",AZ437=""),"GST needs a GSTIN; ","")&amp;IF(AND(W437="Yes",X437=""),"GST return frequency missing; ","")&amp;IF(AND(Y437="Yes",TRIM(H437)=""),"TDS needs a TAN; ","")&amp;IF(AND(AA437="Yes",BC437&lt;&gt;"",BC437&lt;&gt;"company",BC437&lt;&gt;"llp"),"ROC is only for a company / LLP; ","")&amp;IF(AND(AA437="Yes",OR(BC437="company",BC437="llp"),TRIM(I437)=""),"ROC needs the CIN / LLPIN; ","")&amp;IF((TRIM(AF437)="")&lt;&gt;(TRIM(AG437)=""),"GST login needs both user ID and password; ","")&amp;IF((TRIM(AH437)="")&lt;&gt;(TRIM(AI437)=""),"Income-tax login needs both user ID and password; ","")&amp;IF((TRIM(AJ437)="")&lt;&gt;(TRIM(AK437)=""),"Income-tax login needs both user ID and password; ","")&amp;IF((TRIM(AL437)="")&lt;&gt;(TRIM(AM437)=""),"TRACES login needs both user ID and password; ","")&amp;IF((TRIM(AN437)="")&lt;&gt;(TRIM(AO437)=""),"MCA login needs both user ID and password; ","")&amp;IF((TRIM(AP437)="")&lt;&gt;(TRIM(AQ437)=""),"E-way bill login needs both user ID and password; ","")</f>
        <v/>
      </c>
    </row>
    <row r="438">
      <c r="A438" s="32" t="n"/>
      <c r="B438" s="33" t="n"/>
      <c r="C438" s="33" t="n"/>
      <c r="D438" s="33" t="n"/>
      <c r="E438" s="32" t="n"/>
      <c r="F438" s="32" t="n"/>
      <c r="G438" s="32" t="n"/>
      <c r="H438" s="32" t="n"/>
      <c r="I438" s="32" t="n"/>
      <c r="J438" s="34" t="n"/>
      <c r="K438" s="33" t="n"/>
      <c r="L438" s="32" t="n"/>
      <c r="M438" s="33" t="n"/>
      <c r="N438" s="33" t="n"/>
      <c r="O438" s="33" t="n"/>
      <c r="P438" s="32" t="n"/>
      <c r="Q438" s="33" t="n"/>
      <c r="R438" s="33" t="n"/>
      <c r="S438" s="33" t="n"/>
      <c r="T438" s="33" t="n"/>
      <c r="U438" s="32" t="n"/>
      <c r="V438" s="33" t="n"/>
      <c r="W438" s="33" t="n"/>
      <c r="X438" s="33" t="n"/>
      <c r="Y438" s="33" t="n"/>
      <c r="Z438" s="33" t="n"/>
      <c r="AA438" s="33" t="n"/>
      <c r="AB438" s="33" t="n"/>
      <c r="AC438" s="33" t="n"/>
      <c r="AD438" s="33" t="n"/>
      <c r="AE438" s="33" t="n"/>
      <c r="AF438" s="32" t="n"/>
      <c r="AG438" s="32" t="n"/>
      <c r="AH438" s="32" t="n"/>
      <c r="AI438" s="32" t="n"/>
      <c r="AJ438" s="32" t="n"/>
      <c r="AK438" s="32" t="n"/>
      <c r="AL438" s="32" t="n"/>
      <c r="AM438" s="32" t="n"/>
      <c r="AN438" s="32" t="n"/>
      <c r="AO438" s="32" t="n"/>
      <c r="AP438" s="32" t="n"/>
      <c r="AQ438" s="32" t="n"/>
      <c r="AR438" s="29">
        <f>IF(NOT(COUNTA(A438:AE438)&gt;0),"",IF(A438="","New client","Update"))</f>
        <v/>
      </c>
      <c r="AS438" s="29">
        <f>IF(BA438&lt;&gt;"",BA438,IF(LEN(AZ438)=15,MID(AZ438,3,10),""))</f>
        <v/>
      </c>
      <c r="AT438" s="29">
        <f>IF(BB438="","",BB438&amp;IF(D438="","  (guessed from PAN)",""))</f>
        <v/>
      </c>
      <c r="AU438" s="29">
        <f>IF(AZ438="","",IFERROR(INDEX(Lists!$L$2:$L$38,MATCH(LEFT(AZ438,2),Lists!$K$2:$K$38,0)),"Unknown code"))</f>
        <v/>
      </c>
      <c r="AV438" s="29">
        <f>IF(AZ438="","",IFERROR(IF(NOT(AND(LEN(AZ438)=15,ISNUMBER(MATCH(LEFT(AZ438,2),Lists!$K$2:$K$38,0)),SUMPRODUCT(--ISERROR(FIND(MID(MID(AZ438,3,10),{1,2,3,4,5,10},1),"ABCDEFGHIJKLMNOPQRSTUVWXYZ")))=0,SUMPRODUCT(--ISERROR(FIND(MID(MID(AZ438,3,10),{6,7,8,9},1),"0123456789")))=0,ISNUMBER(FIND(MID(AZ438,13,1),"123456789ABCDEFGHIJKLMNOPQRSTUVWXYZ")),MID(AZ438,14,1)="Z")),"Wrong format",IF(MID("0123456789ABCDEFGHIJKLMNOPQRSTUVWXYZ",MOD(36-MOD(SUMPRODUCT(INT((FIND(MID(AZ438,{1,2,3,4,5,6,7,8,9,10,11,12,13,14},1),"0123456789ABCDEFGHIJKLMNOPQRSTUVWXYZ")-1)*{1,2,1,2,1,2,1,2,1,2,1,2,1,2}/36)+MOD((FIND(MID(AZ438,{1,2,3,4,5,6,7,8,9,10,11,12,13,14},1),"0123456789ABCDEFGHIJKLMNOPQRSTUVWXYZ")-1)*{1,2,1,2,1,2,1,2,1,2,1,2,1,2},36)),36),36)+1,1)=MID(AZ438,15,1),"OK","Typo? check digit wrong")),"Wrong format"))</f>
        <v/>
      </c>
      <c r="AW438" s="29">
        <f>IF(BA438="","",IF(AND(LEN(BA438)=10,SUMPRODUCT(--ISERROR(FIND(MID(BA438,{1,2,3,4,5,10},1),"ABCDEFGHIJKLMNOPQRSTUVWXYZ")))=0,SUMPRODUCT(--ISERROR(FIND(MID(BA438,{6,7,8,9},1),"0123456789")))=0),"OK","Wrong format"))</f>
        <v/>
      </c>
      <c r="AX438" s="29">
        <f>IF(TRIM(H438)="","",IF(AND(LEN(UPPER(TRIM(H438)))=10,SUMPRODUCT(--ISERROR(FIND(MID(UPPER(TRIM(H438)),{1,2,3,4,10},1),"ABCDEFGHIJKLMNOPQRSTUVWXYZ")))=0,SUMPRODUCT(--ISERROR(FIND(MID(UPPER(TRIM(H438)),{5,6,7,8,9},1),"0123456789")))=0),"OK","Wrong format"))</f>
        <v/>
      </c>
      <c r="AY438" s="30">
        <f>IF(NOT(COUNTA(A438:AE438)&gt;0),"",IF(BE438&lt;&gt;"","✖ "&amp;LEFT(BE438,LEN(BE438)-2),IF(BD438&gt;0,"✔ Ready — client + "&amp;BD438&amp;" service(s)","✔ Ready — client only")))</f>
        <v/>
      </c>
      <c r="AZ438" s="31">
        <f>UPPER(SUBSTITUTE(TRIM(F438)," ",""))</f>
        <v/>
      </c>
      <c r="BA438" s="31">
        <f>UPPER(SUBSTITUTE(TRIM(E438)," ",""))</f>
        <v/>
      </c>
      <c r="BB438" s="31">
        <f>IF(D438&lt;&gt;"",D438,IFERROR(VLOOKUP(MID(AS438,4,1),Lists!$E$2:$F$8,2,FALSE),""))</f>
        <v/>
      </c>
      <c r="BC438" s="31">
        <f>IFERROR(VLOOKUP(BB438,Lists!$A$2:$C$12,3,FALSE),"")</f>
        <v/>
      </c>
      <c r="BD438" s="31">
        <f>COUNTIF(W438:AC438,"Yes")</f>
        <v/>
      </c>
      <c r="BE438" s="31">
        <f>IF(TRIM(B438)="","Legal name missing; ","")&amp;IF(AND(AV438&lt;&gt;"",AV438&lt;&gt;"OK"),"GSTIN: "&amp;AV438&amp;"; ","")&amp;IF(AND(AW438&lt;&gt;"",AW438&lt;&gt;"OK"),"PAN wrong format; ","")&amp;IF(AND(BA438&lt;&gt;"",LEN(AZ438)=15,MID(AZ438,3,10)&lt;&gt;BA438),"PAN does not match GSTIN; ","")&amp;IF(AND(AX438&lt;&gt;"",AX438&lt;&gt;"OK"),"TAN wrong format; ","")&amp;IF(AS438="","PAN missing; ","")&amp;IF(BB438="","Entity type missing; ","")&amp;IF(AND(AZ438&lt;&gt;"",COUNTIF($AZ$6:$AZ$1005,AZ438)&gt;1),"GSTIN repeated in this sheet; ","")&amp;IF(AND(AS438&lt;&gt;"",COUNTIF($AS$6:$AS$1005,AS438)&gt;1),"PAN repeated in this sheet (same client? put extra GSTINs in Other GSTINs); ","")&amp;IF(AND(BD438&gt;0,V438=""),"Financial year missing; ","")&amp;IF(AND(BD438=0,V438&lt;&gt;""),"Financial year given but no service is Yes; ","")&amp;IF(AND(W438="Yes",AZ438=""),"GST needs a GSTIN; ","")&amp;IF(AND(W438="Yes",X438=""),"GST return frequency missing; ","")&amp;IF(AND(Y438="Yes",TRIM(H438)=""),"TDS needs a TAN; ","")&amp;IF(AND(AA438="Yes",BC438&lt;&gt;"",BC438&lt;&gt;"company",BC438&lt;&gt;"llp"),"ROC is only for a company / LLP; ","")&amp;IF(AND(AA438="Yes",OR(BC438="company",BC438="llp"),TRIM(I438)=""),"ROC needs the CIN / LLPIN; ","")&amp;IF((TRIM(AF438)="")&lt;&gt;(TRIM(AG438)=""),"GST login needs both user ID and password; ","")&amp;IF((TRIM(AH438)="")&lt;&gt;(TRIM(AI438)=""),"Income-tax login needs both user ID and password; ","")&amp;IF((TRIM(AJ438)="")&lt;&gt;(TRIM(AK438)=""),"Income-tax login needs both user ID and password; ","")&amp;IF((TRIM(AL438)="")&lt;&gt;(TRIM(AM438)=""),"TRACES login needs both user ID and password; ","")&amp;IF((TRIM(AN438)="")&lt;&gt;(TRIM(AO438)=""),"MCA login needs both user ID and password; ","")&amp;IF((TRIM(AP438)="")&lt;&gt;(TRIM(AQ438)=""),"E-way bill login needs both user ID and password; ","")</f>
        <v/>
      </c>
    </row>
    <row r="439">
      <c r="A439" s="32" t="n"/>
      <c r="B439" s="33" t="n"/>
      <c r="C439" s="33" t="n"/>
      <c r="D439" s="33" t="n"/>
      <c r="E439" s="32" t="n"/>
      <c r="F439" s="32" t="n"/>
      <c r="G439" s="32" t="n"/>
      <c r="H439" s="32" t="n"/>
      <c r="I439" s="32" t="n"/>
      <c r="J439" s="34" t="n"/>
      <c r="K439" s="33" t="n"/>
      <c r="L439" s="32" t="n"/>
      <c r="M439" s="33" t="n"/>
      <c r="N439" s="33" t="n"/>
      <c r="O439" s="33" t="n"/>
      <c r="P439" s="32" t="n"/>
      <c r="Q439" s="33" t="n"/>
      <c r="R439" s="33" t="n"/>
      <c r="S439" s="33" t="n"/>
      <c r="T439" s="33" t="n"/>
      <c r="U439" s="32" t="n"/>
      <c r="V439" s="33" t="n"/>
      <c r="W439" s="33" t="n"/>
      <c r="X439" s="33" t="n"/>
      <c r="Y439" s="33" t="n"/>
      <c r="Z439" s="33" t="n"/>
      <c r="AA439" s="33" t="n"/>
      <c r="AB439" s="33" t="n"/>
      <c r="AC439" s="33" t="n"/>
      <c r="AD439" s="33" t="n"/>
      <c r="AE439" s="33" t="n"/>
      <c r="AF439" s="32" t="n"/>
      <c r="AG439" s="32" t="n"/>
      <c r="AH439" s="32" t="n"/>
      <c r="AI439" s="32" t="n"/>
      <c r="AJ439" s="32" t="n"/>
      <c r="AK439" s="32" t="n"/>
      <c r="AL439" s="32" t="n"/>
      <c r="AM439" s="32" t="n"/>
      <c r="AN439" s="32" t="n"/>
      <c r="AO439" s="32" t="n"/>
      <c r="AP439" s="32" t="n"/>
      <c r="AQ439" s="32" t="n"/>
      <c r="AR439" s="29">
        <f>IF(NOT(COUNTA(A439:AE439)&gt;0),"",IF(A439="","New client","Update"))</f>
        <v/>
      </c>
      <c r="AS439" s="29">
        <f>IF(BA439&lt;&gt;"",BA439,IF(LEN(AZ439)=15,MID(AZ439,3,10),""))</f>
        <v/>
      </c>
      <c r="AT439" s="29">
        <f>IF(BB439="","",BB439&amp;IF(D439="","  (guessed from PAN)",""))</f>
        <v/>
      </c>
      <c r="AU439" s="29">
        <f>IF(AZ439="","",IFERROR(INDEX(Lists!$L$2:$L$38,MATCH(LEFT(AZ439,2),Lists!$K$2:$K$38,0)),"Unknown code"))</f>
        <v/>
      </c>
      <c r="AV439" s="29">
        <f>IF(AZ439="","",IFERROR(IF(NOT(AND(LEN(AZ439)=15,ISNUMBER(MATCH(LEFT(AZ439,2),Lists!$K$2:$K$38,0)),SUMPRODUCT(--ISERROR(FIND(MID(MID(AZ439,3,10),{1,2,3,4,5,10},1),"ABCDEFGHIJKLMNOPQRSTUVWXYZ")))=0,SUMPRODUCT(--ISERROR(FIND(MID(MID(AZ439,3,10),{6,7,8,9},1),"0123456789")))=0,ISNUMBER(FIND(MID(AZ439,13,1),"123456789ABCDEFGHIJKLMNOPQRSTUVWXYZ")),MID(AZ439,14,1)="Z")),"Wrong format",IF(MID("0123456789ABCDEFGHIJKLMNOPQRSTUVWXYZ",MOD(36-MOD(SUMPRODUCT(INT((FIND(MID(AZ439,{1,2,3,4,5,6,7,8,9,10,11,12,13,14},1),"0123456789ABCDEFGHIJKLMNOPQRSTUVWXYZ")-1)*{1,2,1,2,1,2,1,2,1,2,1,2,1,2}/36)+MOD((FIND(MID(AZ439,{1,2,3,4,5,6,7,8,9,10,11,12,13,14},1),"0123456789ABCDEFGHIJKLMNOPQRSTUVWXYZ")-1)*{1,2,1,2,1,2,1,2,1,2,1,2,1,2},36)),36),36)+1,1)=MID(AZ439,15,1),"OK","Typo? check digit wrong")),"Wrong format"))</f>
        <v/>
      </c>
      <c r="AW439" s="29">
        <f>IF(BA439="","",IF(AND(LEN(BA439)=10,SUMPRODUCT(--ISERROR(FIND(MID(BA439,{1,2,3,4,5,10},1),"ABCDEFGHIJKLMNOPQRSTUVWXYZ")))=0,SUMPRODUCT(--ISERROR(FIND(MID(BA439,{6,7,8,9},1),"0123456789")))=0),"OK","Wrong format"))</f>
        <v/>
      </c>
      <c r="AX439" s="29">
        <f>IF(TRIM(H439)="","",IF(AND(LEN(UPPER(TRIM(H439)))=10,SUMPRODUCT(--ISERROR(FIND(MID(UPPER(TRIM(H439)),{1,2,3,4,10},1),"ABCDEFGHIJKLMNOPQRSTUVWXYZ")))=0,SUMPRODUCT(--ISERROR(FIND(MID(UPPER(TRIM(H439)),{5,6,7,8,9},1),"0123456789")))=0),"OK","Wrong format"))</f>
        <v/>
      </c>
      <c r="AY439" s="30">
        <f>IF(NOT(COUNTA(A439:AE439)&gt;0),"",IF(BE439&lt;&gt;"","✖ "&amp;LEFT(BE439,LEN(BE439)-2),IF(BD439&gt;0,"✔ Ready — client + "&amp;BD439&amp;" service(s)","✔ Ready — client only")))</f>
        <v/>
      </c>
      <c r="AZ439" s="31">
        <f>UPPER(SUBSTITUTE(TRIM(F439)," ",""))</f>
        <v/>
      </c>
      <c r="BA439" s="31">
        <f>UPPER(SUBSTITUTE(TRIM(E439)," ",""))</f>
        <v/>
      </c>
      <c r="BB439" s="31">
        <f>IF(D439&lt;&gt;"",D439,IFERROR(VLOOKUP(MID(AS439,4,1),Lists!$E$2:$F$8,2,FALSE),""))</f>
        <v/>
      </c>
      <c r="BC439" s="31">
        <f>IFERROR(VLOOKUP(BB439,Lists!$A$2:$C$12,3,FALSE),"")</f>
        <v/>
      </c>
      <c r="BD439" s="31">
        <f>COUNTIF(W439:AC439,"Yes")</f>
        <v/>
      </c>
      <c r="BE439" s="31">
        <f>IF(TRIM(B439)="","Legal name missing; ","")&amp;IF(AND(AV439&lt;&gt;"",AV439&lt;&gt;"OK"),"GSTIN: "&amp;AV439&amp;"; ","")&amp;IF(AND(AW439&lt;&gt;"",AW439&lt;&gt;"OK"),"PAN wrong format; ","")&amp;IF(AND(BA439&lt;&gt;"",LEN(AZ439)=15,MID(AZ439,3,10)&lt;&gt;BA439),"PAN does not match GSTIN; ","")&amp;IF(AND(AX439&lt;&gt;"",AX439&lt;&gt;"OK"),"TAN wrong format; ","")&amp;IF(AS439="","PAN missing; ","")&amp;IF(BB439="","Entity type missing; ","")&amp;IF(AND(AZ439&lt;&gt;"",COUNTIF($AZ$6:$AZ$1005,AZ439)&gt;1),"GSTIN repeated in this sheet; ","")&amp;IF(AND(AS439&lt;&gt;"",COUNTIF($AS$6:$AS$1005,AS439)&gt;1),"PAN repeated in this sheet (same client? put extra GSTINs in Other GSTINs); ","")&amp;IF(AND(BD439&gt;0,V439=""),"Financial year missing; ","")&amp;IF(AND(BD439=0,V439&lt;&gt;""),"Financial year given but no service is Yes; ","")&amp;IF(AND(W439="Yes",AZ439=""),"GST needs a GSTIN; ","")&amp;IF(AND(W439="Yes",X439=""),"GST return frequency missing; ","")&amp;IF(AND(Y439="Yes",TRIM(H439)=""),"TDS needs a TAN; ","")&amp;IF(AND(AA439="Yes",BC439&lt;&gt;"",BC439&lt;&gt;"company",BC439&lt;&gt;"llp"),"ROC is only for a company / LLP; ","")&amp;IF(AND(AA439="Yes",OR(BC439="company",BC439="llp"),TRIM(I439)=""),"ROC needs the CIN / LLPIN; ","")&amp;IF((TRIM(AF439)="")&lt;&gt;(TRIM(AG439)=""),"GST login needs both user ID and password; ","")&amp;IF((TRIM(AH439)="")&lt;&gt;(TRIM(AI439)=""),"Income-tax login needs both user ID and password; ","")&amp;IF((TRIM(AJ439)="")&lt;&gt;(TRIM(AK439)=""),"Income-tax login needs both user ID and password; ","")&amp;IF((TRIM(AL439)="")&lt;&gt;(TRIM(AM439)=""),"TRACES login needs both user ID and password; ","")&amp;IF((TRIM(AN439)="")&lt;&gt;(TRIM(AO439)=""),"MCA login needs both user ID and password; ","")&amp;IF((TRIM(AP439)="")&lt;&gt;(TRIM(AQ439)=""),"E-way bill login needs both user ID and password; ","")</f>
        <v/>
      </c>
    </row>
    <row r="440">
      <c r="A440" s="32" t="n"/>
      <c r="B440" s="33" t="n"/>
      <c r="C440" s="33" t="n"/>
      <c r="D440" s="33" t="n"/>
      <c r="E440" s="32" t="n"/>
      <c r="F440" s="32" t="n"/>
      <c r="G440" s="32" t="n"/>
      <c r="H440" s="32" t="n"/>
      <c r="I440" s="32" t="n"/>
      <c r="J440" s="34" t="n"/>
      <c r="K440" s="33" t="n"/>
      <c r="L440" s="32" t="n"/>
      <c r="M440" s="33" t="n"/>
      <c r="N440" s="33" t="n"/>
      <c r="O440" s="33" t="n"/>
      <c r="P440" s="32" t="n"/>
      <c r="Q440" s="33" t="n"/>
      <c r="R440" s="33" t="n"/>
      <c r="S440" s="33" t="n"/>
      <c r="T440" s="33" t="n"/>
      <c r="U440" s="32" t="n"/>
      <c r="V440" s="33" t="n"/>
      <c r="W440" s="33" t="n"/>
      <c r="X440" s="33" t="n"/>
      <c r="Y440" s="33" t="n"/>
      <c r="Z440" s="33" t="n"/>
      <c r="AA440" s="33" t="n"/>
      <c r="AB440" s="33" t="n"/>
      <c r="AC440" s="33" t="n"/>
      <c r="AD440" s="33" t="n"/>
      <c r="AE440" s="33" t="n"/>
      <c r="AF440" s="32" t="n"/>
      <c r="AG440" s="32" t="n"/>
      <c r="AH440" s="32" t="n"/>
      <c r="AI440" s="32" t="n"/>
      <c r="AJ440" s="32" t="n"/>
      <c r="AK440" s="32" t="n"/>
      <c r="AL440" s="32" t="n"/>
      <c r="AM440" s="32" t="n"/>
      <c r="AN440" s="32" t="n"/>
      <c r="AO440" s="32" t="n"/>
      <c r="AP440" s="32" t="n"/>
      <c r="AQ440" s="32" t="n"/>
      <c r="AR440" s="29">
        <f>IF(NOT(COUNTA(A440:AE440)&gt;0),"",IF(A440="","New client","Update"))</f>
        <v/>
      </c>
      <c r="AS440" s="29">
        <f>IF(BA440&lt;&gt;"",BA440,IF(LEN(AZ440)=15,MID(AZ440,3,10),""))</f>
        <v/>
      </c>
      <c r="AT440" s="29">
        <f>IF(BB440="","",BB440&amp;IF(D440="","  (guessed from PAN)",""))</f>
        <v/>
      </c>
      <c r="AU440" s="29">
        <f>IF(AZ440="","",IFERROR(INDEX(Lists!$L$2:$L$38,MATCH(LEFT(AZ440,2),Lists!$K$2:$K$38,0)),"Unknown code"))</f>
        <v/>
      </c>
      <c r="AV440" s="29">
        <f>IF(AZ440="","",IFERROR(IF(NOT(AND(LEN(AZ440)=15,ISNUMBER(MATCH(LEFT(AZ440,2),Lists!$K$2:$K$38,0)),SUMPRODUCT(--ISERROR(FIND(MID(MID(AZ440,3,10),{1,2,3,4,5,10},1),"ABCDEFGHIJKLMNOPQRSTUVWXYZ")))=0,SUMPRODUCT(--ISERROR(FIND(MID(MID(AZ440,3,10),{6,7,8,9},1),"0123456789")))=0,ISNUMBER(FIND(MID(AZ440,13,1),"123456789ABCDEFGHIJKLMNOPQRSTUVWXYZ")),MID(AZ440,14,1)="Z")),"Wrong format",IF(MID("0123456789ABCDEFGHIJKLMNOPQRSTUVWXYZ",MOD(36-MOD(SUMPRODUCT(INT((FIND(MID(AZ440,{1,2,3,4,5,6,7,8,9,10,11,12,13,14},1),"0123456789ABCDEFGHIJKLMNOPQRSTUVWXYZ")-1)*{1,2,1,2,1,2,1,2,1,2,1,2,1,2}/36)+MOD((FIND(MID(AZ440,{1,2,3,4,5,6,7,8,9,10,11,12,13,14},1),"0123456789ABCDEFGHIJKLMNOPQRSTUVWXYZ")-1)*{1,2,1,2,1,2,1,2,1,2,1,2,1,2},36)),36),36)+1,1)=MID(AZ440,15,1),"OK","Typo? check digit wrong")),"Wrong format"))</f>
        <v/>
      </c>
      <c r="AW440" s="29">
        <f>IF(BA440="","",IF(AND(LEN(BA440)=10,SUMPRODUCT(--ISERROR(FIND(MID(BA440,{1,2,3,4,5,10},1),"ABCDEFGHIJKLMNOPQRSTUVWXYZ")))=0,SUMPRODUCT(--ISERROR(FIND(MID(BA440,{6,7,8,9},1),"0123456789")))=0),"OK","Wrong format"))</f>
        <v/>
      </c>
      <c r="AX440" s="29">
        <f>IF(TRIM(H440)="","",IF(AND(LEN(UPPER(TRIM(H440)))=10,SUMPRODUCT(--ISERROR(FIND(MID(UPPER(TRIM(H440)),{1,2,3,4,10},1),"ABCDEFGHIJKLMNOPQRSTUVWXYZ")))=0,SUMPRODUCT(--ISERROR(FIND(MID(UPPER(TRIM(H440)),{5,6,7,8,9},1),"0123456789")))=0),"OK","Wrong format"))</f>
        <v/>
      </c>
      <c r="AY440" s="30">
        <f>IF(NOT(COUNTA(A440:AE440)&gt;0),"",IF(BE440&lt;&gt;"","✖ "&amp;LEFT(BE440,LEN(BE440)-2),IF(BD440&gt;0,"✔ Ready — client + "&amp;BD440&amp;" service(s)","✔ Ready — client only")))</f>
        <v/>
      </c>
      <c r="AZ440" s="31">
        <f>UPPER(SUBSTITUTE(TRIM(F440)," ",""))</f>
        <v/>
      </c>
      <c r="BA440" s="31">
        <f>UPPER(SUBSTITUTE(TRIM(E440)," ",""))</f>
        <v/>
      </c>
      <c r="BB440" s="31">
        <f>IF(D440&lt;&gt;"",D440,IFERROR(VLOOKUP(MID(AS440,4,1),Lists!$E$2:$F$8,2,FALSE),""))</f>
        <v/>
      </c>
      <c r="BC440" s="31">
        <f>IFERROR(VLOOKUP(BB440,Lists!$A$2:$C$12,3,FALSE),"")</f>
        <v/>
      </c>
      <c r="BD440" s="31">
        <f>COUNTIF(W440:AC440,"Yes")</f>
        <v/>
      </c>
      <c r="BE440" s="31">
        <f>IF(TRIM(B440)="","Legal name missing; ","")&amp;IF(AND(AV440&lt;&gt;"",AV440&lt;&gt;"OK"),"GSTIN: "&amp;AV440&amp;"; ","")&amp;IF(AND(AW440&lt;&gt;"",AW440&lt;&gt;"OK"),"PAN wrong format; ","")&amp;IF(AND(BA440&lt;&gt;"",LEN(AZ440)=15,MID(AZ440,3,10)&lt;&gt;BA440),"PAN does not match GSTIN; ","")&amp;IF(AND(AX440&lt;&gt;"",AX440&lt;&gt;"OK"),"TAN wrong format; ","")&amp;IF(AS440="","PAN missing; ","")&amp;IF(BB440="","Entity type missing; ","")&amp;IF(AND(AZ440&lt;&gt;"",COUNTIF($AZ$6:$AZ$1005,AZ440)&gt;1),"GSTIN repeated in this sheet; ","")&amp;IF(AND(AS440&lt;&gt;"",COUNTIF($AS$6:$AS$1005,AS440)&gt;1),"PAN repeated in this sheet (same client? put extra GSTINs in Other GSTINs); ","")&amp;IF(AND(BD440&gt;0,V440=""),"Financial year missing; ","")&amp;IF(AND(BD440=0,V440&lt;&gt;""),"Financial year given but no service is Yes; ","")&amp;IF(AND(W440="Yes",AZ440=""),"GST needs a GSTIN; ","")&amp;IF(AND(W440="Yes",X440=""),"GST return frequency missing; ","")&amp;IF(AND(Y440="Yes",TRIM(H440)=""),"TDS needs a TAN; ","")&amp;IF(AND(AA440="Yes",BC440&lt;&gt;"",BC440&lt;&gt;"company",BC440&lt;&gt;"llp"),"ROC is only for a company / LLP; ","")&amp;IF(AND(AA440="Yes",OR(BC440="company",BC440="llp"),TRIM(I440)=""),"ROC needs the CIN / LLPIN; ","")&amp;IF((TRIM(AF440)="")&lt;&gt;(TRIM(AG440)=""),"GST login needs both user ID and password; ","")&amp;IF((TRIM(AH440)="")&lt;&gt;(TRIM(AI440)=""),"Income-tax login needs both user ID and password; ","")&amp;IF((TRIM(AJ440)="")&lt;&gt;(TRIM(AK440)=""),"Income-tax login needs both user ID and password; ","")&amp;IF((TRIM(AL440)="")&lt;&gt;(TRIM(AM440)=""),"TRACES login needs both user ID and password; ","")&amp;IF((TRIM(AN440)="")&lt;&gt;(TRIM(AO440)=""),"MCA login needs both user ID and password; ","")&amp;IF((TRIM(AP440)="")&lt;&gt;(TRIM(AQ440)=""),"E-way bill login needs both user ID and password; ","")</f>
        <v/>
      </c>
    </row>
    <row r="441">
      <c r="A441" s="32" t="n"/>
      <c r="B441" s="33" t="n"/>
      <c r="C441" s="33" t="n"/>
      <c r="D441" s="33" t="n"/>
      <c r="E441" s="32" t="n"/>
      <c r="F441" s="32" t="n"/>
      <c r="G441" s="32" t="n"/>
      <c r="H441" s="32" t="n"/>
      <c r="I441" s="32" t="n"/>
      <c r="J441" s="34" t="n"/>
      <c r="K441" s="33" t="n"/>
      <c r="L441" s="32" t="n"/>
      <c r="M441" s="33" t="n"/>
      <c r="N441" s="33" t="n"/>
      <c r="O441" s="33" t="n"/>
      <c r="P441" s="32" t="n"/>
      <c r="Q441" s="33" t="n"/>
      <c r="R441" s="33" t="n"/>
      <c r="S441" s="33" t="n"/>
      <c r="T441" s="33" t="n"/>
      <c r="U441" s="32" t="n"/>
      <c r="V441" s="33" t="n"/>
      <c r="W441" s="33" t="n"/>
      <c r="X441" s="33" t="n"/>
      <c r="Y441" s="33" t="n"/>
      <c r="Z441" s="33" t="n"/>
      <c r="AA441" s="33" t="n"/>
      <c r="AB441" s="33" t="n"/>
      <c r="AC441" s="33" t="n"/>
      <c r="AD441" s="33" t="n"/>
      <c r="AE441" s="33" t="n"/>
      <c r="AF441" s="32" t="n"/>
      <c r="AG441" s="32" t="n"/>
      <c r="AH441" s="32" t="n"/>
      <c r="AI441" s="32" t="n"/>
      <c r="AJ441" s="32" t="n"/>
      <c r="AK441" s="32" t="n"/>
      <c r="AL441" s="32" t="n"/>
      <c r="AM441" s="32" t="n"/>
      <c r="AN441" s="32" t="n"/>
      <c r="AO441" s="32" t="n"/>
      <c r="AP441" s="32" t="n"/>
      <c r="AQ441" s="32" t="n"/>
      <c r="AR441" s="29">
        <f>IF(NOT(COUNTA(A441:AE441)&gt;0),"",IF(A441="","New client","Update"))</f>
        <v/>
      </c>
      <c r="AS441" s="29">
        <f>IF(BA441&lt;&gt;"",BA441,IF(LEN(AZ441)=15,MID(AZ441,3,10),""))</f>
        <v/>
      </c>
      <c r="AT441" s="29">
        <f>IF(BB441="","",BB441&amp;IF(D441="","  (guessed from PAN)",""))</f>
        <v/>
      </c>
      <c r="AU441" s="29">
        <f>IF(AZ441="","",IFERROR(INDEX(Lists!$L$2:$L$38,MATCH(LEFT(AZ441,2),Lists!$K$2:$K$38,0)),"Unknown code"))</f>
        <v/>
      </c>
      <c r="AV441" s="29">
        <f>IF(AZ441="","",IFERROR(IF(NOT(AND(LEN(AZ441)=15,ISNUMBER(MATCH(LEFT(AZ441,2),Lists!$K$2:$K$38,0)),SUMPRODUCT(--ISERROR(FIND(MID(MID(AZ441,3,10),{1,2,3,4,5,10},1),"ABCDEFGHIJKLMNOPQRSTUVWXYZ")))=0,SUMPRODUCT(--ISERROR(FIND(MID(MID(AZ441,3,10),{6,7,8,9},1),"0123456789")))=0,ISNUMBER(FIND(MID(AZ441,13,1),"123456789ABCDEFGHIJKLMNOPQRSTUVWXYZ")),MID(AZ441,14,1)="Z")),"Wrong format",IF(MID("0123456789ABCDEFGHIJKLMNOPQRSTUVWXYZ",MOD(36-MOD(SUMPRODUCT(INT((FIND(MID(AZ441,{1,2,3,4,5,6,7,8,9,10,11,12,13,14},1),"0123456789ABCDEFGHIJKLMNOPQRSTUVWXYZ")-1)*{1,2,1,2,1,2,1,2,1,2,1,2,1,2}/36)+MOD((FIND(MID(AZ441,{1,2,3,4,5,6,7,8,9,10,11,12,13,14},1),"0123456789ABCDEFGHIJKLMNOPQRSTUVWXYZ")-1)*{1,2,1,2,1,2,1,2,1,2,1,2,1,2},36)),36),36)+1,1)=MID(AZ441,15,1),"OK","Typo? check digit wrong")),"Wrong format"))</f>
        <v/>
      </c>
      <c r="AW441" s="29">
        <f>IF(BA441="","",IF(AND(LEN(BA441)=10,SUMPRODUCT(--ISERROR(FIND(MID(BA441,{1,2,3,4,5,10},1),"ABCDEFGHIJKLMNOPQRSTUVWXYZ")))=0,SUMPRODUCT(--ISERROR(FIND(MID(BA441,{6,7,8,9},1),"0123456789")))=0),"OK","Wrong format"))</f>
        <v/>
      </c>
      <c r="AX441" s="29">
        <f>IF(TRIM(H441)="","",IF(AND(LEN(UPPER(TRIM(H441)))=10,SUMPRODUCT(--ISERROR(FIND(MID(UPPER(TRIM(H441)),{1,2,3,4,10},1),"ABCDEFGHIJKLMNOPQRSTUVWXYZ")))=0,SUMPRODUCT(--ISERROR(FIND(MID(UPPER(TRIM(H441)),{5,6,7,8,9},1),"0123456789")))=0),"OK","Wrong format"))</f>
        <v/>
      </c>
      <c r="AY441" s="30">
        <f>IF(NOT(COUNTA(A441:AE441)&gt;0),"",IF(BE441&lt;&gt;"","✖ "&amp;LEFT(BE441,LEN(BE441)-2),IF(BD441&gt;0,"✔ Ready — client + "&amp;BD441&amp;" service(s)","✔ Ready — client only")))</f>
        <v/>
      </c>
      <c r="AZ441" s="31">
        <f>UPPER(SUBSTITUTE(TRIM(F441)," ",""))</f>
        <v/>
      </c>
      <c r="BA441" s="31">
        <f>UPPER(SUBSTITUTE(TRIM(E441)," ",""))</f>
        <v/>
      </c>
      <c r="BB441" s="31">
        <f>IF(D441&lt;&gt;"",D441,IFERROR(VLOOKUP(MID(AS441,4,1),Lists!$E$2:$F$8,2,FALSE),""))</f>
        <v/>
      </c>
      <c r="BC441" s="31">
        <f>IFERROR(VLOOKUP(BB441,Lists!$A$2:$C$12,3,FALSE),"")</f>
        <v/>
      </c>
      <c r="BD441" s="31">
        <f>COUNTIF(W441:AC441,"Yes")</f>
        <v/>
      </c>
      <c r="BE441" s="31">
        <f>IF(TRIM(B441)="","Legal name missing; ","")&amp;IF(AND(AV441&lt;&gt;"",AV441&lt;&gt;"OK"),"GSTIN: "&amp;AV441&amp;"; ","")&amp;IF(AND(AW441&lt;&gt;"",AW441&lt;&gt;"OK"),"PAN wrong format; ","")&amp;IF(AND(BA441&lt;&gt;"",LEN(AZ441)=15,MID(AZ441,3,10)&lt;&gt;BA441),"PAN does not match GSTIN; ","")&amp;IF(AND(AX441&lt;&gt;"",AX441&lt;&gt;"OK"),"TAN wrong format; ","")&amp;IF(AS441="","PAN missing; ","")&amp;IF(BB441="","Entity type missing; ","")&amp;IF(AND(AZ441&lt;&gt;"",COUNTIF($AZ$6:$AZ$1005,AZ441)&gt;1),"GSTIN repeated in this sheet; ","")&amp;IF(AND(AS441&lt;&gt;"",COUNTIF($AS$6:$AS$1005,AS441)&gt;1),"PAN repeated in this sheet (same client? put extra GSTINs in Other GSTINs); ","")&amp;IF(AND(BD441&gt;0,V441=""),"Financial year missing; ","")&amp;IF(AND(BD441=0,V441&lt;&gt;""),"Financial year given but no service is Yes; ","")&amp;IF(AND(W441="Yes",AZ441=""),"GST needs a GSTIN; ","")&amp;IF(AND(W441="Yes",X441=""),"GST return frequency missing; ","")&amp;IF(AND(Y441="Yes",TRIM(H441)=""),"TDS needs a TAN; ","")&amp;IF(AND(AA441="Yes",BC441&lt;&gt;"",BC441&lt;&gt;"company",BC441&lt;&gt;"llp"),"ROC is only for a company / LLP; ","")&amp;IF(AND(AA441="Yes",OR(BC441="company",BC441="llp"),TRIM(I441)=""),"ROC needs the CIN / LLPIN; ","")&amp;IF((TRIM(AF441)="")&lt;&gt;(TRIM(AG441)=""),"GST login needs both user ID and password; ","")&amp;IF((TRIM(AH441)="")&lt;&gt;(TRIM(AI441)=""),"Income-tax login needs both user ID and password; ","")&amp;IF((TRIM(AJ441)="")&lt;&gt;(TRIM(AK441)=""),"Income-tax login needs both user ID and password; ","")&amp;IF((TRIM(AL441)="")&lt;&gt;(TRIM(AM441)=""),"TRACES login needs both user ID and password; ","")&amp;IF((TRIM(AN441)="")&lt;&gt;(TRIM(AO441)=""),"MCA login needs both user ID and password; ","")&amp;IF((TRIM(AP441)="")&lt;&gt;(TRIM(AQ441)=""),"E-way bill login needs both user ID and password; ","")</f>
        <v/>
      </c>
    </row>
    <row r="442">
      <c r="A442" s="32" t="n"/>
      <c r="B442" s="33" t="n"/>
      <c r="C442" s="33" t="n"/>
      <c r="D442" s="33" t="n"/>
      <c r="E442" s="32" t="n"/>
      <c r="F442" s="32" t="n"/>
      <c r="G442" s="32" t="n"/>
      <c r="H442" s="32" t="n"/>
      <c r="I442" s="32" t="n"/>
      <c r="J442" s="34" t="n"/>
      <c r="K442" s="33" t="n"/>
      <c r="L442" s="32" t="n"/>
      <c r="M442" s="33" t="n"/>
      <c r="N442" s="33" t="n"/>
      <c r="O442" s="33" t="n"/>
      <c r="P442" s="32" t="n"/>
      <c r="Q442" s="33" t="n"/>
      <c r="R442" s="33" t="n"/>
      <c r="S442" s="33" t="n"/>
      <c r="T442" s="33" t="n"/>
      <c r="U442" s="32" t="n"/>
      <c r="V442" s="33" t="n"/>
      <c r="W442" s="33" t="n"/>
      <c r="X442" s="33" t="n"/>
      <c r="Y442" s="33" t="n"/>
      <c r="Z442" s="33" t="n"/>
      <c r="AA442" s="33" t="n"/>
      <c r="AB442" s="33" t="n"/>
      <c r="AC442" s="33" t="n"/>
      <c r="AD442" s="33" t="n"/>
      <c r="AE442" s="33" t="n"/>
      <c r="AF442" s="32" t="n"/>
      <c r="AG442" s="32" t="n"/>
      <c r="AH442" s="32" t="n"/>
      <c r="AI442" s="32" t="n"/>
      <c r="AJ442" s="32" t="n"/>
      <c r="AK442" s="32" t="n"/>
      <c r="AL442" s="32" t="n"/>
      <c r="AM442" s="32" t="n"/>
      <c r="AN442" s="32" t="n"/>
      <c r="AO442" s="32" t="n"/>
      <c r="AP442" s="32" t="n"/>
      <c r="AQ442" s="32" t="n"/>
      <c r="AR442" s="29">
        <f>IF(NOT(COUNTA(A442:AE442)&gt;0),"",IF(A442="","New client","Update"))</f>
        <v/>
      </c>
      <c r="AS442" s="29">
        <f>IF(BA442&lt;&gt;"",BA442,IF(LEN(AZ442)=15,MID(AZ442,3,10),""))</f>
        <v/>
      </c>
      <c r="AT442" s="29">
        <f>IF(BB442="","",BB442&amp;IF(D442="","  (guessed from PAN)",""))</f>
        <v/>
      </c>
      <c r="AU442" s="29">
        <f>IF(AZ442="","",IFERROR(INDEX(Lists!$L$2:$L$38,MATCH(LEFT(AZ442,2),Lists!$K$2:$K$38,0)),"Unknown code"))</f>
        <v/>
      </c>
      <c r="AV442" s="29">
        <f>IF(AZ442="","",IFERROR(IF(NOT(AND(LEN(AZ442)=15,ISNUMBER(MATCH(LEFT(AZ442,2),Lists!$K$2:$K$38,0)),SUMPRODUCT(--ISERROR(FIND(MID(MID(AZ442,3,10),{1,2,3,4,5,10},1),"ABCDEFGHIJKLMNOPQRSTUVWXYZ")))=0,SUMPRODUCT(--ISERROR(FIND(MID(MID(AZ442,3,10),{6,7,8,9},1),"0123456789")))=0,ISNUMBER(FIND(MID(AZ442,13,1),"123456789ABCDEFGHIJKLMNOPQRSTUVWXYZ")),MID(AZ442,14,1)="Z")),"Wrong format",IF(MID("0123456789ABCDEFGHIJKLMNOPQRSTUVWXYZ",MOD(36-MOD(SUMPRODUCT(INT((FIND(MID(AZ442,{1,2,3,4,5,6,7,8,9,10,11,12,13,14},1),"0123456789ABCDEFGHIJKLMNOPQRSTUVWXYZ")-1)*{1,2,1,2,1,2,1,2,1,2,1,2,1,2}/36)+MOD((FIND(MID(AZ442,{1,2,3,4,5,6,7,8,9,10,11,12,13,14},1),"0123456789ABCDEFGHIJKLMNOPQRSTUVWXYZ")-1)*{1,2,1,2,1,2,1,2,1,2,1,2,1,2},36)),36),36)+1,1)=MID(AZ442,15,1),"OK","Typo? check digit wrong")),"Wrong format"))</f>
        <v/>
      </c>
      <c r="AW442" s="29">
        <f>IF(BA442="","",IF(AND(LEN(BA442)=10,SUMPRODUCT(--ISERROR(FIND(MID(BA442,{1,2,3,4,5,10},1),"ABCDEFGHIJKLMNOPQRSTUVWXYZ")))=0,SUMPRODUCT(--ISERROR(FIND(MID(BA442,{6,7,8,9},1),"0123456789")))=0),"OK","Wrong format"))</f>
        <v/>
      </c>
      <c r="AX442" s="29">
        <f>IF(TRIM(H442)="","",IF(AND(LEN(UPPER(TRIM(H442)))=10,SUMPRODUCT(--ISERROR(FIND(MID(UPPER(TRIM(H442)),{1,2,3,4,10},1),"ABCDEFGHIJKLMNOPQRSTUVWXYZ")))=0,SUMPRODUCT(--ISERROR(FIND(MID(UPPER(TRIM(H442)),{5,6,7,8,9},1),"0123456789")))=0),"OK","Wrong format"))</f>
        <v/>
      </c>
      <c r="AY442" s="30">
        <f>IF(NOT(COUNTA(A442:AE442)&gt;0),"",IF(BE442&lt;&gt;"","✖ "&amp;LEFT(BE442,LEN(BE442)-2),IF(BD442&gt;0,"✔ Ready — client + "&amp;BD442&amp;" service(s)","✔ Ready — client only")))</f>
        <v/>
      </c>
      <c r="AZ442" s="31">
        <f>UPPER(SUBSTITUTE(TRIM(F442)," ",""))</f>
        <v/>
      </c>
      <c r="BA442" s="31">
        <f>UPPER(SUBSTITUTE(TRIM(E442)," ",""))</f>
        <v/>
      </c>
      <c r="BB442" s="31">
        <f>IF(D442&lt;&gt;"",D442,IFERROR(VLOOKUP(MID(AS442,4,1),Lists!$E$2:$F$8,2,FALSE),""))</f>
        <v/>
      </c>
      <c r="BC442" s="31">
        <f>IFERROR(VLOOKUP(BB442,Lists!$A$2:$C$12,3,FALSE),"")</f>
        <v/>
      </c>
      <c r="BD442" s="31">
        <f>COUNTIF(W442:AC442,"Yes")</f>
        <v/>
      </c>
      <c r="BE442" s="31">
        <f>IF(TRIM(B442)="","Legal name missing; ","")&amp;IF(AND(AV442&lt;&gt;"",AV442&lt;&gt;"OK"),"GSTIN: "&amp;AV442&amp;"; ","")&amp;IF(AND(AW442&lt;&gt;"",AW442&lt;&gt;"OK"),"PAN wrong format; ","")&amp;IF(AND(BA442&lt;&gt;"",LEN(AZ442)=15,MID(AZ442,3,10)&lt;&gt;BA442),"PAN does not match GSTIN; ","")&amp;IF(AND(AX442&lt;&gt;"",AX442&lt;&gt;"OK"),"TAN wrong format; ","")&amp;IF(AS442="","PAN missing; ","")&amp;IF(BB442="","Entity type missing; ","")&amp;IF(AND(AZ442&lt;&gt;"",COUNTIF($AZ$6:$AZ$1005,AZ442)&gt;1),"GSTIN repeated in this sheet; ","")&amp;IF(AND(AS442&lt;&gt;"",COUNTIF($AS$6:$AS$1005,AS442)&gt;1),"PAN repeated in this sheet (same client? put extra GSTINs in Other GSTINs); ","")&amp;IF(AND(BD442&gt;0,V442=""),"Financial year missing; ","")&amp;IF(AND(BD442=0,V442&lt;&gt;""),"Financial year given but no service is Yes; ","")&amp;IF(AND(W442="Yes",AZ442=""),"GST needs a GSTIN; ","")&amp;IF(AND(W442="Yes",X442=""),"GST return frequency missing; ","")&amp;IF(AND(Y442="Yes",TRIM(H442)=""),"TDS needs a TAN; ","")&amp;IF(AND(AA442="Yes",BC442&lt;&gt;"",BC442&lt;&gt;"company",BC442&lt;&gt;"llp"),"ROC is only for a company / LLP; ","")&amp;IF(AND(AA442="Yes",OR(BC442="company",BC442="llp"),TRIM(I442)=""),"ROC needs the CIN / LLPIN; ","")&amp;IF((TRIM(AF442)="")&lt;&gt;(TRIM(AG442)=""),"GST login needs both user ID and password; ","")&amp;IF((TRIM(AH442)="")&lt;&gt;(TRIM(AI442)=""),"Income-tax login needs both user ID and password; ","")&amp;IF((TRIM(AJ442)="")&lt;&gt;(TRIM(AK442)=""),"Income-tax login needs both user ID and password; ","")&amp;IF((TRIM(AL442)="")&lt;&gt;(TRIM(AM442)=""),"TRACES login needs both user ID and password; ","")&amp;IF((TRIM(AN442)="")&lt;&gt;(TRIM(AO442)=""),"MCA login needs both user ID and password; ","")&amp;IF((TRIM(AP442)="")&lt;&gt;(TRIM(AQ442)=""),"E-way bill login needs both user ID and password; ","")</f>
        <v/>
      </c>
    </row>
    <row r="443">
      <c r="A443" s="32" t="n"/>
      <c r="B443" s="33" t="n"/>
      <c r="C443" s="33" t="n"/>
      <c r="D443" s="33" t="n"/>
      <c r="E443" s="32" t="n"/>
      <c r="F443" s="32" t="n"/>
      <c r="G443" s="32" t="n"/>
      <c r="H443" s="32" t="n"/>
      <c r="I443" s="32" t="n"/>
      <c r="J443" s="34" t="n"/>
      <c r="K443" s="33" t="n"/>
      <c r="L443" s="32" t="n"/>
      <c r="M443" s="33" t="n"/>
      <c r="N443" s="33" t="n"/>
      <c r="O443" s="33" t="n"/>
      <c r="P443" s="32" t="n"/>
      <c r="Q443" s="33" t="n"/>
      <c r="R443" s="33" t="n"/>
      <c r="S443" s="33" t="n"/>
      <c r="T443" s="33" t="n"/>
      <c r="U443" s="32" t="n"/>
      <c r="V443" s="33" t="n"/>
      <c r="W443" s="33" t="n"/>
      <c r="X443" s="33" t="n"/>
      <c r="Y443" s="33" t="n"/>
      <c r="Z443" s="33" t="n"/>
      <c r="AA443" s="33" t="n"/>
      <c r="AB443" s="33" t="n"/>
      <c r="AC443" s="33" t="n"/>
      <c r="AD443" s="33" t="n"/>
      <c r="AE443" s="33" t="n"/>
      <c r="AF443" s="32" t="n"/>
      <c r="AG443" s="32" t="n"/>
      <c r="AH443" s="32" t="n"/>
      <c r="AI443" s="32" t="n"/>
      <c r="AJ443" s="32" t="n"/>
      <c r="AK443" s="32" t="n"/>
      <c r="AL443" s="32" t="n"/>
      <c r="AM443" s="32" t="n"/>
      <c r="AN443" s="32" t="n"/>
      <c r="AO443" s="32" t="n"/>
      <c r="AP443" s="32" t="n"/>
      <c r="AQ443" s="32" t="n"/>
      <c r="AR443" s="29">
        <f>IF(NOT(COUNTA(A443:AE443)&gt;0),"",IF(A443="","New client","Update"))</f>
        <v/>
      </c>
      <c r="AS443" s="29">
        <f>IF(BA443&lt;&gt;"",BA443,IF(LEN(AZ443)=15,MID(AZ443,3,10),""))</f>
        <v/>
      </c>
      <c r="AT443" s="29">
        <f>IF(BB443="","",BB443&amp;IF(D443="","  (guessed from PAN)",""))</f>
        <v/>
      </c>
      <c r="AU443" s="29">
        <f>IF(AZ443="","",IFERROR(INDEX(Lists!$L$2:$L$38,MATCH(LEFT(AZ443,2),Lists!$K$2:$K$38,0)),"Unknown code"))</f>
        <v/>
      </c>
      <c r="AV443" s="29">
        <f>IF(AZ443="","",IFERROR(IF(NOT(AND(LEN(AZ443)=15,ISNUMBER(MATCH(LEFT(AZ443,2),Lists!$K$2:$K$38,0)),SUMPRODUCT(--ISERROR(FIND(MID(MID(AZ443,3,10),{1,2,3,4,5,10},1),"ABCDEFGHIJKLMNOPQRSTUVWXYZ")))=0,SUMPRODUCT(--ISERROR(FIND(MID(MID(AZ443,3,10),{6,7,8,9},1),"0123456789")))=0,ISNUMBER(FIND(MID(AZ443,13,1),"123456789ABCDEFGHIJKLMNOPQRSTUVWXYZ")),MID(AZ443,14,1)="Z")),"Wrong format",IF(MID("0123456789ABCDEFGHIJKLMNOPQRSTUVWXYZ",MOD(36-MOD(SUMPRODUCT(INT((FIND(MID(AZ443,{1,2,3,4,5,6,7,8,9,10,11,12,13,14},1),"0123456789ABCDEFGHIJKLMNOPQRSTUVWXYZ")-1)*{1,2,1,2,1,2,1,2,1,2,1,2,1,2}/36)+MOD((FIND(MID(AZ443,{1,2,3,4,5,6,7,8,9,10,11,12,13,14},1),"0123456789ABCDEFGHIJKLMNOPQRSTUVWXYZ")-1)*{1,2,1,2,1,2,1,2,1,2,1,2,1,2},36)),36),36)+1,1)=MID(AZ443,15,1),"OK","Typo? check digit wrong")),"Wrong format"))</f>
        <v/>
      </c>
      <c r="AW443" s="29">
        <f>IF(BA443="","",IF(AND(LEN(BA443)=10,SUMPRODUCT(--ISERROR(FIND(MID(BA443,{1,2,3,4,5,10},1),"ABCDEFGHIJKLMNOPQRSTUVWXYZ")))=0,SUMPRODUCT(--ISERROR(FIND(MID(BA443,{6,7,8,9},1),"0123456789")))=0),"OK","Wrong format"))</f>
        <v/>
      </c>
      <c r="AX443" s="29">
        <f>IF(TRIM(H443)="","",IF(AND(LEN(UPPER(TRIM(H443)))=10,SUMPRODUCT(--ISERROR(FIND(MID(UPPER(TRIM(H443)),{1,2,3,4,10},1),"ABCDEFGHIJKLMNOPQRSTUVWXYZ")))=0,SUMPRODUCT(--ISERROR(FIND(MID(UPPER(TRIM(H443)),{5,6,7,8,9},1),"0123456789")))=0),"OK","Wrong format"))</f>
        <v/>
      </c>
      <c r="AY443" s="30">
        <f>IF(NOT(COUNTA(A443:AE443)&gt;0),"",IF(BE443&lt;&gt;"","✖ "&amp;LEFT(BE443,LEN(BE443)-2),IF(BD443&gt;0,"✔ Ready — client + "&amp;BD443&amp;" service(s)","✔ Ready — client only")))</f>
        <v/>
      </c>
      <c r="AZ443" s="31">
        <f>UPPER(SUBSTITUTE(TRIM(F443)," ",""))</f>
        <v/>
      </c>
      <c r="BA443" s="31">
        <f>UPPER(SUBSTITUTE(TRIM(E443)," ",""))</f>
        <v/>
      </c>
      <c r="BB443" s="31">
        <f>IF(D443&lt;&gt;"",D443,IFERROR(VLOOKUP(MID(AS443,4,1),Lists!$E$2:$F$8,2,FALSE),""))</f>
        <v/>
      </c>
      <c r="BC443" s="31">
        <f>IFERROR(VLOOKUP(BB443,Lists!$A$2:$C$12,3,FALSE),"")</f>
        <v/>
      </c>
      <c r="BD443" s="31">
        <f>COUNTIF(W443:AC443,"Yes")</f>
        <v/>
      </c>
      <c r="BE443" s="31">
        <f>IF(TRIM(B443)="","Legal name missing; ","")&amp;IF(AND(AV443&lt;&gt;"",AV443&lt;&gt;"OK"),"GSTIN: "&amp;AV443&amp;"; ","")&amp;IF(AND(AW443&lt;&gt;"",AW443&lt;&gt;"OK"),"PAN wrong format; ","")&amp;IF(AND(BA443&lt;&gt;"",LEN(AZ443)=15,MID(AZ443,3,10)&lt;&gt;BA443),"PAN does not match GSTIN; ","")&amp;IF(AND(AX443&lt;&gt;"",AX443&lt;&gt;"OK"),"TAN wrong format; ","")&amp;IF(AS443="","PAN missing; ","")&amp;IF(BB443="","Entity type missing; ","")&amp;IF(AND(AZ443&lt;&gt;"",COUNTIF($AZ$6:$AZ$1005,AZ443)&gt;1),"GSTIN repeated in this sheet; ","")&amp;IF(AND(AS443&lt;&gt;"",COUNTIF($AS$6:$AS$1005,AS443)&gt;1),"PAN repeated in this sheet (same client? put extra GSTINs in Other GSTINs); ","")&amp;IF(AND(BD443&gt;0,V443=""),"Financial year missing; ","")&amp;IF(AND(BD443=0,V443&lt;&gt;""),"Financial year given but no service is Yes; ","")&amp;IF(AND(W443="Yes",AZ443=""),"GST needs a GSTIN; ","")&amp;IF(AND(W443="Yes",X443=""),"GST return frequency missing; ","")&amp;IF(AND(Y443="Yes",TRIM(H443)=""),"TDS needs a TAN; ","")&amp;IF(AND(AA443="Yes",BC443&lt;&gt;"",BC443&lt;&gt;"company",BC443&lt;&gt;"llp"),"ROC is only for a company / LLP; ","")&amp;IF(AND(AA443="Yes",OR(BC443="company",BC443="llp"),TRIM(I443)=""),"ROC needs the CIN / LLPIN; ","")&amp;IF((TRIM(AF443)="")&lt;&gt;(TRIM(AG443)=""),"GST login needs both user ID and password; ","")&amp;IF((TRIM(AH443)="")&lt;&gt;(TRIM(AI443)=""),"Income-tax login needs both user ID and password; ","")&amp;IF((TRIM(AJ443)="")&lt;&gt;(TRIM(AK443)=""),"Income-tax login needs both user ID and password; ","")&amp;IF((TRIM(AL443)="")&lt;&gt;(TRIM(AM443)=""),"TRACES login needs both user ID and password; ","")&amp;IF((TRIM(AN443)="")&lt;&gt;(TRIM(AO443)=""),"MCA login needs both user ID and password; ","")&amp;IF((TRIM(AP443)="")&lt;&gt;(TRIM(AQ443)=""),"E-way bill login needs both user ID and password; ","")</f>
        <v/>
      </c>
    </row>
    <row r="444">
      <c r="A444" s="32" t="n"/>
      <c r="B444" s="33" t="n"/>
      <c r="C444" s="33" t="n"/>
      <c r="D444" s="33" t="n"/>
      <c r="E444" s="32" t="n"/>
      <c r="F444" s="32" t="n"/>
      <c r="G444" s="32" t="n"/>
      <c r="H444" s="32" t="n"/>
      <c r="I444" s="32" t="n"/>
      <c r="J444" s="34" t="n"/>
      <c r="K444" s="33" t="n"/>
      <c r="L444" s="32" t="n"/>
      <c r="M444" s="33" t="n"/>
      <c r="N444" s="33" t="n"/>
      <c r="O444" s="33" t="n"/>
      <c r="P444" s="32" t="n"/>
      <c r="Q444" s="33" t="n"/>
      <c r="R444" s="33" t="n"/>
      <c r="S444" s="33" t="n"/>
      <c r="T444" s="33" t="n"/>
      <c r="U444" s="32" t="n"/>
      <c r="V444" s="33" t="n"/>
      <c r="W444" s="33" t="n"/>
      <c r="X444" s="33" t="n"/>
      <c r="Y444" s="33" t="n"/>
      <c r="Z444" s="33" t="n"/>
      <c r="AA444" s="33" t="n"/>
      <c r="AB444" s="33" t="n"/>
      <c r="AC444" s="33" t="n"/>
      <c r="AD444" s="33" t="n"/>
      <c r="AE444" s="33" t="n"/>
      <c r="AF444" s="32" t="n"/>
      <c r="AG444" s="32" t="n"/>
      <c r="AH444" s="32" t="n"/>
      <c r="AI444" s="32" t="n"/>
      <c r="AJ444" s="32" t="n"/>
      <c r="AK444" s="32" t="n"/>
      <c r="AL444" s="32" t="n"/>
      <c r="AM444" s="32" t="n"/>
      <c r="AN444" s="32" t="n"/>
      <c r="AO444" s="32" t="n"/>
      <c r="AP444" s="32" t="n"/>
      <c r="AQ444" s="32" t="n"/>
      <c r="AR444" s="29">
        <f>IF(NOT(COUNTA(A444:AE444)&gt;0),"",IF(A444="","New client","Update"))</f>
        <v/>
      </c>
      <c r="AS444" s="29">
        <f>IF(BA444&lt;&gt;"",BA444,IF(LEN(AZ444)=15,MID(AZ444,3,10),""))</f>
        <v/>
      </c>
      <c r="AT444" s="29">
        <f>IF(BB444="","",BB444&amp;IF(D444="","  (guessed from PAN)",""))</f>
        <v/>
      </c>
      <c r="AU444" s="29">
        <f>IF(AZ444="","",IFERROR(INDEX(Lists!$L$2:$L$38,MATCH(LEFT(AZ444,2),Lists!$K$2:$K$38,0)),"Unknown code"))</f>
        <v/>
      </c>
      <c r="AV444" s="29">
        <f>IF(AZ444="","",IFERROR(IF(NOT(AND(LEN(AZ444)=15,ISNUMBER(MATCH(LEFT(AZ444,2),Lists!$K$2:$K$38,0)),SUMPRODUCT(--ISERROR(FIND(MID(MID(AZ444,3,10),{1,2,3,4,5,10},1),"ABCDEFGHIJKLMNOPQRSTUVWXYZ")))=0,SUMPRODUCT(--ISERROR(FIND(MID(MID(AZ444,3,10),{6,7,8,9},1),"0123456789")))=0,ISNUMBER(FIND(MID(AZ444,13,1),"123456789ABCDEFGHIJKLMNOPQRSTUVWXYZ")),MID(AZ444,14,1)="Z")),"Wrong format",IF(MID("0123456789ABCDEFGHIJKLMNOPQRSTUVWXYZ",MOD(36-MOD(SUMPRODUCT(INT((FIND(MID(AZ444,{1,2,3,4,5,6,7,8,9,10,11,12,13,14},1),"0123456789ABCDEFGHIJKLMNOPQRSTUVWXYZ")-1)*{1,2,1,2,1,2,1,2,1,2,1,2,1,2}/36)+MOD((FIND(MID(AZ444,{1,2,3,4,5,6,7,8,9,10,11,12,13,14},1),"0123456789ABCDEFGHIJKLMNOPQRSTUVWXYZ")-1)*{1,2,1,2,1,2,1,2,1,2,1,2,1,2},36)),36),36)+1,1)=MID(AZ444,15,1),"OK","Typo? check digit wrong")),"Wrong format"))</f>
        <v/>
      </c>
      <c r="AW444" s="29">
        <f>IF(BA444="","",IF(AND(LEN(BA444)=10,SUMPRODUCT(--ISERROR(FIND(MID(BA444,{1,2,3,4,5,10},1),"ABCDEFGHIJKLMNOPQRSTUVWXYZ")))=0,SUMPRODUCT(--ISERROR(FIND(MID(BA444,{6,7,8,9},1),"0123456789")))=0),"OK","Wrong format"))</f>
        <v/>
      </c>
      <c r="AX444" s="29">
        <f>IF(TRIM(H444)="","",IF(AND(LEN(UPPER(TRIM(H444)))=10,SUMPRODUCT(--ISERROR(FIND(MID(UPPER(TRIM(H444)),{1,2,3,4,10},1),"ABCDEFGHIJKLMNOPQRSTUVWXYZ")))=0,SUMPRODUCT(--ISERROR(FIND(MID(UPPER(TRIM(H444)),{5,6,7,8,9},1),"0123456789")))=0),"OK","Wrong format"))</f>
        <v/>
      </c>
      <c r="AY444" s="30">
        <f>IF(NOT(COUNTA(A444:AE444)&gt;0),"",IF(BE444&lt;&gt;"","✖ "&amp;LEFT(BE444,LEN(BE444)-2),IF(BD444&gt;0,"✔ Ready — client + "&amp;BD444&amp;" service(s)","✔ Ready — client only")))</f>
        <v/>
      </c>
      <c r="AZ444" s="31">
        <f>UPPER(SUBSTITUTE(TRIM(F444)," ",""))</f>
        <v/>
      </c>
      <c r="BA444" s="31">
        <f>UPPER(SUBSTITUTE(TRIM(E444)," ",""))</f>
        <v/>
      </c>
      <c r="BB444" s="31">
        <f>IF(D444&lt;&gt;"",D444,IFERROR(VLOOKUP(MID(AS444,4,1),Lists!$E$2:$F$8,2,FALSE),""))</f>
        <v/>
      </c>
      <c r="BC444" s="31">
        <f>IFERROR(VLOOKUP(BB444,Lists!$A$2:$C$12,3,FALSE),"")</f>
        <v/>
      </c>
      <c r="BD444" s="31">
        <f>COUNTIF(W444:AC444,"Yes")</f>
        <v/>
      </c>
      <c r="BE444" s="31">
        <f>IF(TRIM(B444)="","Legal name missing; ","")&amp;IF(AND(AV444&lt;&gt;"",AV444&lt;&gt;"OK"),"GSTIN: "&amp;AV444&amp;"; ","")&amp;IF(AND(AW444&lt;&gt;"",AW444&lt;&gt;"OK"),"PAN wrong format; ","")&amp;IF(AND(BA444&lt;&gt;"",LEN(AZ444)=15,MID(AZ444,3,10)&lt;&gt;BA444),"PAN does not match GSTIN; ","")&amp;IF(AND(AX444&lt;&gt;"",AX444&lt;&gt;"OK"),"TAN wrong format; ","")&amp;IF(AS444="","PAN missing; ","")&amp;IF(BB444="","Entity type missing; ","")&amp;IF(AND(AZ444&lt;&gt;"",COUNTIF($AZ$6:$AZ$1005,AZ444)&gt;1),"GSTIN repeated in this sheet; ","")&amp;IF(AND(AS444&lt;&gt;"",COUNTIF($AS$6:$AS$1005,AS444)&gt;1),"PAN repeated in this sheet (same client? put extra GSTINs in Other GSTINs); ","")&amp;IF(AND(BD444&gt;0,V444=""),"Financial year missing; ","")&amp;IF(AND(BD444=0,V444&lt;&gt;""),"Financial year given but no service is Yes; ","")&amp;IF(AND(W444="Yes",AZ444=""),"GST needs a GSTIN; ","")&amp;IF(AND(W444="Yes",X444=""),"GST return frequency missing; ","")&amp;IF(AND(Y444="Yes",TRIM(H444)=""),"TDS needs a TAN; ","")&amp;IF(AND(AA444="Yes",BC444&lt;&gt;"",BC444&lt;&gt;"company",BC444&lt;&gt;"llp"),"ROC is only for a company / LLP; ","")&amp;IF(AND(AA444="Yes",OR(BC444="company",BC444="llp"),TRIM(I444)=""),"ROC needs the CIN / LLPIN; ","")&amp;IF((TRIM(AF444)="")&lt;&gt;(TRIM(AG444)=""),"GST login needs both user ID and password; ","")&amp;IF((TRIM(AH444)="")&lt;&gt;(TRIM(AI444)=""),"Income-tax login needs both user ID and password; ","")&amp;IF((TRIM(AJ444)="")&lt;&gt;(TRIM(AK444)=""),"Income-tax login needs both user ID and password; ","")&amp;IF((TRIM(AL444)="")&lt;&gt;(TRIM(AM444)=""),"TRACES login needs both user ID and password; ","")&amp;IF((TRIM(AN444)="")&lt;&gt;(TRIM(AO444)=""),"MCA login needs both user ID and password; ","")&amp;IF((TRIM(AP444)="")&lt;&gt;(TRIM(AQ444)=""),"E-way bill login needs both user ID and password; ","")</f>
        <v/>
      </c>
    </row>
    <row r="445">
      <c r="A445" s="32" t="n"/>
      <c r="B445" s="33" t="n"/>
      <c r="C445" s="33" t="n"/>
      <c r="D445" s="33" t="n"/>
      <c r="E445" s="32" t="n"/>
      <c r="F445" s="32" t="n"/>
      <c r="G445" s="32" t="n"/>
      <c r="H445" s="32" t="n"/>
      <c r="I445" s="32" t="n"/>
      <c r="J445" s="34" t="n"/>
      <c r="K445" s="33" t="n"/>
      <c r="L445" s="32" t="n"/>
      <c r="M445" s="33" t="n"/>
      <c r="N445" s="33" t="n"/>
      <c r="O445" s="33" t="n"/>
      <c r="P445" s="32" t="n"/>
      <c r="Q445" s="33" t="n"/>
      <c r="R445" s="33" t="n"/>
      <c r="S445" s="33" t="n"/>
      <c r="T445" s="33" t="n"/>
      <c r="U445" s="32" t="n"/>
      <c r="V445" s="33" t="n"/>
      <c r="W445" s="33" t="n"/>
      <c r="X445" s="33" t="n"/>
      <c r="Y445" s="33" t="n"/>
      <c r="Z445" s="33" t="n"/>
      <c r="AA445" s="33" t="n"/>
      <c r="AB445" s="33" t="n"/>
      <c r="AC445" s="33" t="n"/>
      <c r="AD445" s="33" t="n"/>
      <c r="AE445" s="33" t="n"/>
      <c r="AF445" s="32" t="n"/>
      <c r="AG445" s="32" t="n"/>
      <c r="AH445" s="32" t="n"/>
      <c r="AI445" s="32" t="n"/>
      <c r="AJ445" s="32" t="n"/>
      <c r="AK445" s="32" t="n"/>
      <c r="AL445" s="32" t="n"/>
      <c r="AM445" s="32" t="n"/>
      <c r="AN445" s="32" t="n"/>
      <c r="AO445" s="32" t="n"/>
      <c r="AP445" s="32" t="n"/>
      <c r="AQ445" s="32" t="n"/>
      <c r="AR445" s="29">
        <f>IF(NOT(COUNTA(A445:AE445)&gt;0),"",IF(A445="","New client","Update"))</f>
        <v/>
      </c>
      <c r="AS445" s="29">
        <f>IF(BA445&lt;&gt;"",BA445,IF(LEN(AZ445)=15,MID(AZ445,3,10),""))</f>
        <v/>
      </c>
      <c r="AT445" s="29">
        <f>IF(BB445="","",BB445&amp;IF(D445="","  (guessed from PAN)",""))</f>
        <v/>
      </c>
      <c r="AU445" s="29">
        <f>IF(AZ445="","",IFERROR(INDEX(Lists!$L$2:$L$38,MATCH(LEFT(AZ445,2),Lists!$K$2:$K$38,0)),"Unknown code"))</f>
        <v/>
      </c>
      <c r="AV445" s="29">
        <f>IF(AZ445="","",IFERROR(IF(NOT(AND(LEN(AZ445)=15,ISNUMBER(MATCH(LEFT(AZ445,2),Lists!$K$2:$K$38,0)),SUMPRODUCT(--ISERROR(FIND(MID(MID(AZ445,3,10),{1,2,3,4,5,10},1),"ABCDEFGHIJKLMNOPQRSTUVWXYZ")))=0,SUMPRODUCT(--ISERROR(FIND(MID(MID(AZ445,3,10),{6,7,8,9},1),"0123456789")))=0,ISNUMBER(FIND(MID(AZ445,13,1),"123456789ABCDEFGHIJKLMNOPQRSTUVWXYZ")),MID(AZ445,14,1)="Z")),"Wrong format",IF(MID("0123456789ABCDEFGHIJKLMNOPQRSTUVWXYZ",MOD(36-MOD(SUMPRODUCT(INT((FIND(MID(AZ445,{1,2,3,4,5,6,7,8,9,10,11,12,13,14},1),"0123456789ABCDEFGHIJKLMNOPQRSTUVWXYZ")-1)*{1,2,1,2,1,2,1,2,1,2,1,2,1,2}/36)+MOD((FIND(MID(AZ445,{1,2,3,4,5,6,7,8,9,10,11,12,13,14},1),"0123456789ABCDEFGHIJKLMNOPQRSTUVWXYZ")-1)*{1,2,1,2,1,2,1,2,1,2,1,2,1,2},36)),36),36)+1,1)=MID(AZ445,15,1),"OK","Typo? check digit wrong")),"Wrong format"))</f>
        <v/>
      </c>
      <c r="AW445" s="29">
        <f>IF(BA445="","",IF(AND(LEN(BA445)=10,SUMPRODUCT(--ISERROR(FIND(MID(BA445,{1,2,3,4,5,10},1),"ABCDEFGHIJKLMNOPQRSTUVWXYZ")))=0,SUMPRODUCT(--ISERROR(FIND(MID(BA445,{6,7,8,9},1),"0123456789")))=0),"OK","Wrong format"))</f>
        <v/>
      </c>
      <c r="AX445" s="29">
        <f>IF(TRIM(H445)="","",IF(AND(LEN(UPPER(TRIM(H445)))=10,SUMPRODUCT(--ISERROR(FIND(MID(UPPER(TRIM(H445)),{1,2,3,4,10},1),"ABCDEFGHIJKLMNOPQRSTUVWXYZ")))=0,SUMPRODUCT(--ISERROR(FIND(MID(UPPER(TRIM(H445)),{5,6,7,8,9},1),"0123456789")))=0),"OK","Wrong format"))</f>
        <v/>
      </c>
      <c r="AY445" s="30">
        <f>IF(NOT(COUNTA(A445:AE445)&gt;0),"",IF(BE445&lt;&gt;"","✖ "&amp;LEFT(BE445,LEN(BE445)-2),IF(BD445&gt;0,"✔ Ready — client + "&amp;BD445&amp;" service(s)","✔ Ready — client only")))</f>
        <v/>
      </c>
      <c r="AZ445" s="31">
        <f>UPPER(SUBSTITUTE(TRIM(F445)," ",""))</f>
        <v/>
      </c>
      <c r="BA445" s="31">
        <f>UPPER(SUBSTITUTE(TRIM(E445)," ",""))</f>
        <v/>
      </c>
      <c r="BB445" s="31">
        <f>IF(D445&lt;&gt;"",D445,IFERROR(VLOOKUP(MID(AS445,4,1),Lists!$E$2:$F$8,2,FALSE),""))</f>
        <v/>
      </c>
      <c r="BC445" s="31">
        <f>IFERROR(VLOOKUP(BB445,Lists!$A$2:$C$12,3,FALSE),"")</f>
        <v/>
      </c>
      <c r="BD445" s="31">
        <f>COUNTIF(W445:AC445,"Yes")</f>
        <v/>
      </c>
      <c r="BE445" s="31">
        <f>IF(TRIM(B445)="","Legal name missing; ","")&amp;IF(AND(AV445&lt;&gt;"",AV445&lt;&gt;"OK"),"GSTIN: "&amp;AV445&amp;"; ","")&amp;IF(AND(AW445&lt;&gt;"",AW445&lt;&gt;"OK"),"PAN wrong format; ","")&amp;IF(AND(BA445&lt;&gt;"",LEN(AZ445)=15,MID(AZ445,3,10)&lt;&gt;BA445),"PAN does not match GSTIN; ","")&amp;IF(AND(AX445&lt;&gt;"",AX445&lt;&gt;"OK"),"TAN wrong format; ","")&amp;IF(AS445="","PAN missing; ","")&amp;IF(BB445="","Entity type missing; ","")&amp;IF(AND(AZ445&lt;&gt;"",COUNTIF($AZ$6:$AZ$1005,AZ445)&gt;1),"GSTIN repeated in this sheet; ","")&amp;IF(AND(AS445&lt;&gt;"",COUNTIF($AS$6:$AS$1005,AS445)&gt;1),"PAN repeated in this sheet (same client? put extra GSTINs in Other GSTINs); ","")&amp;IF(AND(BD445&gt;0,V445=""),"Financial year missing; ","")&amp;IF(AND(BD445=0,V445&lt;&gt;""),"Financial year given but no service is Yes; ","")&amp;IF(AND(W445="Yes",AZ445=""),"GST needs a GSTIN; ","")&amp;IF(AND(W445="Yes",X445=""),"GST return frequency missing; ","")&amp;IF(AND(Y445="Yes",TRIM(H445)=""),"TDS needs a TAN; ","")&amp;IF(AND(AA445="Yes",BC445&lt;&gt;"",BC445&lt;&gt;"company",BC445&lt;&gt;"llp"),"ROC is only for a company / LLP; ","")&amp;IF(AND(AA445="Yes",OR(BC445="company",BC445="llp"),TRIM(I445)=""),"ROC needs the CIN / LLPIN; ","")&amp;IF((TRIM(AF445)="")&lt;&gt;(TRIM(AG445)=""),"GST login needs both user ID and password; ","")&amp;IF((TRIM(AH445)="")&lt;&gt;(TRIM(AI445)=""),"Income-tax login needs both user ID and password; ","")&amp;IF((TRIM(AJ445)="")&lt;&gt;(TRIM(AK445)=""),"Income-tax login needs both user ID and password; ","")&amp;IF((TRIM(AL445)="")&lt;&gt;(TRIM(AM445)=""),"TRACES login needs both user ID and password; ","")&amp;IF((TRIM(AN445)="")&lt;&gt;(TRIM(AO445)=""),"MCA login needs both user ID and password; ","")&amp;IF((TRIM(AP445)="")&lt;&gt;(TRIM(AQ445)=""),"E-way bill login needs both user ID and password; ","")</f>
        <v/>
      </c>
    </row>
    <row r="446">
      <c r="A446" s="32" t="n"/>
      <c r="B446" s="33" t="n"/>
      <c r="C446" s="33" t="n"/>
      <c r="D446" s="33" t="n"/>
      <c r="E446" s="32" t="n"/>
      <c r="F446" s="32" t="n"/>
      <c r="G446" s="32" t="n"/>
      <c r="H446" s="32" t="n"/>
      <c r="I446" s="32" t="n"/>
      <c r="J446" s="34" t="n"/>
      <c r="K446" s="33" t="n"/>
      <c r="L446" s="32" t="n"/>
      <c r="M446" s="33" t="n"/>
      <c r="N446" s="33" t="n"/>
      <c r="O446" s="33" t="n"/>
      <c r="P446" s="32" t="n"/>
      <c r="Q446" s="33" t="n"/>
      <c r="R446" s="33" t="n"/>
      <c r="S446" s="33" t="n"/>
      <c r="T446" s="33" t="n"/>
      <c r="U446" s="32" t="n"/>
      <c r="V446" s="33" t="n"/>
      <c r="W446" s="33" t="n"/>
      <c r="X446" s="33" t="n"/>
      <c r="Y446" s="33" t="n"/>
      <c r="Z446" s="33" t="n"/>
      <c r="AA446" s="33" t="n"/>
      <c r="AB446" s="33" t="n"/>
      <c r="AC446" s="33" t="n"/>
      <c r="AD446" s="33" t="n"/>
      <c r="AE446" s="33" t="n"/>
      <c r="AF446" s="32" t="n"/>
      <c r="AG446" s="32" t="n"/>
      <c r="AH446" s="32" t="n"/>
      <c r="AI446" s="32" t="n"/>
      <c r="AJ446" s="32" t="n"/>
      <c r="AK446" s="32" t="n"/>
      <c r="AL446" s="32" t="n"/>
      <c r="AM446" s="32" t="n"/>
      <c r="AN446" s="32" t="n"/>
      <c r="AO446" s="32" t="n"/>
      <c r="AP446" s="32" t="n"/>
      <c r="AQ446" s="32" t="n"/>
      <c r="AR446" s="29">
        <f>IF(NOT(COUNTA(A446:AE446)&gt;0),"",IF(A446="","New client","Update"))</f>
        <v/>
      </c>
      <c r="AS446" s="29">
        <f>IF(BA446&lt;&gt;"",BA446,IF(LEN(AZ446)=15,MID(AZ446,3,10),""))</f>
        <v/>
      </c>
      <c r="AT446" s="29">
        <f>IF(BB446="","",BB446&amp;IF(D446="","  (guessed from PAN)",""))</f>
        <v/>
      </c>
      <c r="AU446" s="29">
        <f>IF(AZ446="","",IFERROR(INDEX(Lists!$L$2:$L$38,MATCH(LEFT(AZ446,2),Lists!$K$2:$K$38,0)),"Unknown code"))</f>
        <v/>
      </c>
      <c r="AV446" s="29">
        <f>IF(AZ446="","",IFERROR(IF(NOT(AND(LEN(AZ446)=15,ISNUMBER(MATCH(LEFT(AZ446,2),Lists!$K$2:$K$38,0)),SUMPRODUCT(--ISERROR(FIND(MID(MID(AZ446,3,10),{1,2,3,4,5,10},1),"ABCDEFGHIJKLMNOPQRSTUVWXYZ")))=0,SUMPRODUCT(--ISERROR(FIND(MID(MID(AZ446,3,10),{6,7,8,9},1),"0123456789")))=0,ISNUMBER(FIND(MID(AZ446,13,1),"123456789ABCDEFGHIJKLMNOPQRSTUVWXYZ")),MID(AZ446,14,1)="Z")),"Wrong format",IF(MID("0123456789ABCDEFGHIJKLMNOPQRSTUVWXYZ",MOD(36-MOD(SUMPRODUCT(INT((FIND(MID(AZ446,{1,2,3,4,5,6,7,8,9,10,11,12,13,14},1),"0123456789ABCDEFGHIJKLMNOPQRSTUVWXYZ")-1)*{1,2,1,2,1,2,1,2,1,2,1,2,1,2}/36)+MOD((FIND(MID(AZ446,{1,2,3,4,5,6,7,8,9,10,11,12,13,14},1),"0123456789ABCDEFGHIJKLMNOPQRSTUVWXYZ")-1)*{1,2,1,2,1,2,1,2,1,2,1,2,1,2},36)),36),36)+1,1)=MID(AZ446,15,1),"OK","Typo? check digit wrong")),"Wrong format"))</f>
        <v/>
      </c>
      <c r="AW446" s="29">
        <f>IF(BA446="","",IF(AND(LEN(BA446)=10,SUMPRODUCT(--ISERROR(FIND(MID(BA446,{1,2,3,4,5,10},1),"ABCDEFGHIJKLMNOPQRSTUVWXYZ")))=0,SUMPRODUCT(--ISERROR(FIND(MID(BA446,{6,7,8,9},1),"0123456789")))=0),"OK","Wrong format"))</f>
        <v/>
      </c>
      <c r="AX446" s="29">
        <f>IF(TRIM(H446)="","",IF(AND(LEN(UPPER(TRIM(H446)))=10,SUMPRODUCT(--ISERROR(FIND(MID(UPPER(TRIM(H446)),{1,2,3,4,10},1),"ABCDEFGHIJKLMNOPQRSTUVWXYZ")))=0,SUMPRODUCT(--ISERROR(FIND(MID(UPPER(TRIM(H446)),{5,6,7,8,9},1),"0123456789")))=0),"OK","Wrong format"))</f>
        <v/>
      </c>
      <c r="AY446" s="30">
        <f>IF(NOT(COUNTA(A446:AE446)&gt;0),"",IF(BE446&lt;&gt;"","✖ "&amp;LEFT(BE446,LEN(BE446)-2),IF(BD446&gt;0,"✔ Ready — client + "&amp;BD446&amp;" service(s)","✔ Ready — client only")))</f>
        <v/>
      </c>
      <c r="AZ446" s="31">
        <f>UPPER(SUBSTITUTE(TRIM(F446)," ",""))</f>
        <v/>
      </c>
      <c r="BA446" s="31">
        <f>UPPER(SUBSTITUTE(TRIM(E446)," ",""))</f>
        <v/>
      </c>
      <c r="BB446" s="31">
        <f>IF(D446&lt;&gt;"",D446,IFERROR(VLOOKUP(MID(AS446,4,1),Lists!$E$2:$F$8,2,FALSE),""))</f>
        <v/>
      </c>
      <c r="BC446" s="31">
        <f>IFERROR(VLOOKUP(BB446,Lists!$A$2:$C$12,3,FALSE),"")</f>
        <v/>
      </c>
      <c r="BD446" s="31">
        <f>COUNTIF(W446:AC446,"Yes")</f>
        <v/>
      </c>
      <c r="BE446" s="31">
        <f>IF(TRIM(B446)="","Legal name missing; ","")&amp;IF(AND(AV446&lt;&gt;"",AV446&lt;&gt;"OK"),"GSTIN: "&amp;AV446&amp;"; ","")&amp;IF(AND(AW446&lt;&gt;"",AW446&lt;&gt;"OK"),"PAN wrong format; ","")&amp;IF(AND(BA446&lt;&gt;"",LEN(AZ446)=15,MID(AZ446,3,10)&lt;&gt;BA446),"PAN does not match GSTIN; ","")&amp;IF(AND(AX446&lt;&gt;"",AX446&lt;&gt;"OK"),"TAN wrong format; ","")&amp;IF(AS446="","PAN missing; ","")&amp;IF(BB446="","Entity type missing; ","")&amp;IF(AND(AZ446&lt;&gt;"",COUNTIF($AZ$6:$AZ$1005,AZ446)&gt;1),"GSTIN repeated in this sheet; ","")&amp;IF(AND(AS446&lt;&gt;"",COUNTIF($AS$6:$AS$1005,AS446)&gt;1),"PAN repeated in this sheet (same client? put extra GSTINs in Other GSTINs); ","")&amp;IF(AND(BD446&gt;0,V446=""),"Financial year missing; ","")&amp;IF(AND(BD446=0,V446&lt;&gt;""),"Financial year given but no service is Yes; ","")&amp;IF(AND(W446="Yes",AZ446=""),"GST needs a GSTIN; ","")&amp;IF(AND(W446="Yes",X446=""),"GST return frequency missing; ","")&amp;IF(AND(Y446="Yes",TRIM(H446)=""),"TDS needs a TAN; ","")&amp;IF(AND(AA446="Yes",BC446&lt;&gt;"",BC446&lt;&gt;"company",BC446&lt;&gt;"llp"),"ROC is only for a company / LLP; ","")&amp;IF(AND(AA446="Yes",OR(BC446="company",BC446="llp"),TRIM(I446)=""),"ROC needs the CIN / LLPIN; ","")&amp;IF((TRIM(AF446)="")&lt;&gt;(TRIM(AG446)=""),"GST login needs both user ID and password; ","")&amp;IF((TRIM(AH446)="")&lt;&gt;(TRIM(AI446)=""),"Income-tax login needs both user ID and password; ","")&amp;IF((TRIM(AJ446)="")&lt;&gt;(TRIM(AK446)=""),"Income-tax login needs both user ID and password; ","")&amp;IF((TRIM(AL446)="")&lt;&gt;(TRIM(AM446)=""),"TRACES login needs both user ID and password; ","")&amp;IF((TRIM(AN446)="")&lt;&gt;(TRIM(AO446)=""),"MCA login needs both user ID and password; ","")&amp;IF((TRIM(AP446)="")&lt;&gt;(TRIM(AQ446)=""),"E-way bill login needs both user ID and password; ","")</f>
        <v/>
      </c>
    </row>
    <row r="447">
      <c r="A447" s="32" t="n"/>
      <c r="B447" s="33" t="n"/>
      <c r="C447" s="33" t="n"/>
      <c r="D447" s="33" t="n"/>
      <c r="E447" s="32" t="n"/>
      <c r="F447" s="32" t="n"/>
      <c r="G447" s="32" t="n"/>
      <c r="H447" s="32" t="n"/>
      <c r="I447" s="32" t="n"/>
      <c r="J447" s="34" t="n"/>
      <c r="K447" s="33" t="n"/>
      <c r="L447" s="32" t="n"/>
      <c r="M447" s="33" t="n"/>
      <c r="N447" s="33" t="n"/>
      <c r="O447" s="33" t="n"/>
      <c r="P447" s="32" t="n"/>
      <c r="Q447" s="33" t="n"/>
      <c r="R447" s="33" t="n"/>
      <c r="S447" s="33" t="n"/>
      <c r="T447" s="33" t="n"/>
      <c r="U447" s="32" t="n"/>
      <c r="V447" s="33" t="n"/>
      <c r="W447" s="33" t="n"/>
      <c r="X447" s="33" t="n"/>
      <c r="Y447" s="33" t="n"/>
      <c r="Z447" s="33" t="n"/>
      <c r="AA447" s="33" t="n"/>
      <c r="AB447" s="33" t="n"/>
      <c r="AC447" s="33" t="n"/>
      <c r="AD447" s="33" t="n"/>
      <c r="AE447" s="33" t="n"/>
      <c r="AF447" s="32" t="n"/>
      <c r="AG447" s="32" t="n"/>
      <c r="AH447" s="32" t="n"/>
      <c r="AI447" s="32" t="n"/>
      <c r="AJ447" s="32" t="n"/>
      <c r="AK447" s="32" t="n"/>
      <c r="AL447" s="32" t="n"/>
      <c r="AM447" s="32" t="n"/>
      <c r="AN447" s="32" t="n"/>
      <c r="AO447" s="32" t="n"/>
      <c r="AP447" s="32" t="n"/>
      <c r="AQ447" s="32" t="n"/>
      <c r="AR447" s="29">
        <f>IF(NOT(COUNTA(A447:AE447)&gt;0),"",IF(A447="","New client","Update"))</f>
        <v/>
      </c>
      <c r="AS447" s="29">
        <f>IF(BA447&lt;&gt;"",BA447,IF(LEN(AZ447)=15,MID(AZ447,3,10),""))</f>
        <v/>
      </c>
      <c r="AT447" s="29">
        <f>IF(BB447="","",BB447&amp;IF(D447="","  (guessed from PAN)",""))</f>
        <v/>
      </c>
      <c r="AU447" s="29">
        <f>IF(AZ447="","",IFERROR(INDEX(Lists!$L$2:$L$38,MATCH(LEFT(AZ447,2),Lists!$K$2:$K$38,0)),"Unknown code"))</f>
        <v/>
      </c>
      <c r="AV447" s="29">
        <f>IF(AZ447="","",IFERROR(IF(NOT(AND(LEN(AZ447)=15,ISNUMBER(MATCH(LEFT(AZ447,2),Lists!$K$2:$K$38,0)),SUMPRODUCT(--ISERROR(FIND(MID(MID(AZ447,3,10),{1,2,3,4,5,10},1),"ABCDEFGHIJKLMNOPQRSTUVWXYZ")))=0,SUMPRODUCT(--ISERROR(FIND(MID(MID(AZ447,3,10),{6,7,8,9},1),"0123456789")))=0,ISNUMBER(FIND(MID(AZ447,13,1),"123456789ABCDEFGHIJKLMNOPQRSTUVWXYZ")),MID(AZ447,14,1)="Z")),"Wrong format",IF(MID("0123456789ABCDEFGHIJKLMNOPQRSTUVWXYZ",MOD(36-MOD(SUMPRODUCT(INT((FIND(MID(AZ447,{1,2,3,4,5,6,7,8,9,10,11,12,13,14},1),"0123456789ABCDEFGHIJKLMNOPQRSTUVWXYZ")-1)*{1,2,1,2,1,2,1,2,1,2,1,2,1,2}/36)+MOD((FIND(MID(AZ447,{1,2,3,4,5,6,7,8,9,10,11,12,13,14},1),"0123456789ABCDEFGHIJKLMNOPQRSTUVWXYZ")-1)*{1,2,1,2,1,2,1,2,1,2,1,2,1,2},36)),36),36)+1,1)=MID(AZ447,15,1),"OK","Typo? check digit wrong")),"Wrong format"))</f>
        <v/>
      </c>
      <c r="AW447" s="29">
        <f>IF(BA447="","",IF(AND(LEN(BA447)=10,SUMPRODUCT(--ISERROR(FIND(MID(BA447,{1,2,3,4,5,10},1),"ABCDEFGHIJKLMNOPQRSTUVWXYZ")))=0,SUMPRODUCT(--ISERROR(FIND(MID(BA447,{6,7,8,9},1),"0123456789")))=0),"OK","Wrong format"))</f>
        <v/>
      </c>
      <c r="AX447" s="29">
        <f>IF(TRIM(H447)="","",IF(AND(LEN(UPPER(TRIM(H447)))=10,SUMPRODUCT(--ISERROR(FIND(MID(UPPER(TRIM(H447)),{1,2,3,4,10},1),"ABCDEFGHIJKLMNOPQRSTUVWXYZ")))=0,SUMPRODUCT(--ISERROR(FIND(MID(UPPER(TRIM(H447)),{5,6,7,8,9},1),"0123456789")))=0),"OK","Wrong format"))</f>
        <v/>
      </c>
      <c r="AY447" s="30">
        <f>IF(NOT(COUNTA(A447:AE447)&gt;0),"",IF(BE447&lt;&gt;"","✖ "&amp;LEFT(BE447,LEN(BE447)-2),IF(BD447&gt;0,"✔ Ready — client + "&amp;BD447&amp;" service(s)","✔ Ready — client only")))</f>
        <v/>
      </c>
      <c r="AZ447" s="31">
        <f>UPPER(SUBSTITUTE(TRIM(F447)," ",""))</f>
        <v/>
      </c>
      <c r="BA447" s="31">
        <f>UPPER(SUBSTITUTE(TRIM(E447)," ",""))</f>
        <v/>
      </c>
      <c r="BB447" s="31">
        <f>IF(D447&lt;&gt;"",D447,IFERROR(VLOOKUP(MID(AS447,4,1),Lists!$E$2:$F$8,2,FALSE),""))</f>
        <v/>
      </c>
      <c r="BC447" s="31">
        <f>IFERROR(VLOOKUP(BB447,Lists!$A$2:$C$12,3,FALSE),"")</f>
        <v/>
      </c>
      <c r="BD447" s="31">
        <f>COUNTIF(W447:AC447,"Yes")</f>
        <v/>
      </c>
      <c r="BE447" s="31">
        <f>IF(TRIM(B447)="","Legal name missing; ","")&amp;IF(AND(AV447&lt;&gt;"",AV447&lt;&gt;"OK"),"GSTIN: "&amp;AV447&amp;"; ","")&amp;IF(AND(AW447&lt;&gt;"",AW447&lt;&gt;"OK"),"PAN wrong format; ","")&amp;IF(AND(BA447&lt;&gt;"",LEN(AZ447)=15,MID(AZ447,3,10)&lt;&gt;BA447),"PAN does not match GSTIN; ","")&amp;IF(AND(AX447&lt;&gt;"",AX447&lt;&gt;"OK"),"TAN wrong format; ","")&amp;IF(AS447="","PAN missing; ","")&amp;IF(BB447="","Entity type missing; ","")&amp;IF(AND(AZ447&lt;&gt;"",COUNTIF($AZ$6:$AZ$1005,AZ447)&gt;1),"GSTIN repeated in this sheet; ","")&amp;IF(AND(AS447&lt;&gt;"",COUNTIF($AS$6:$AS$1005,AS447)&gt;1),"PAN repeated in this sheet (same client? put extra GSTINs in Other GSTINs); ","")&amp;IF(AND(BD447&gt;0,V447=""),"Financial year missing; ","")&amp;IF(AND(BD447=0,V447&lt;&gt;""),"Financial year given but no service is Yes; ","")&amp;IF(AND(W447="Yes",AZ447=""),"GST needs a GSTIN; ","")&amp;IF(AND(W447="Yes",X447=""),"GST return frequency missing; ","")&amp;IF(AND(Y447="Yes",TRIM(H447)=""),"TDS needs a TAN; ","")&amp;IF(AND(AA447="Yes",BC447&lt;&gt;"",BC447&lt;&gt;"company",BC447&lt;&gt;"llp"),"ROC is only for a company / LLP; ","")&amp;IF(AND(AA447="Yes",OR(BC447="company",BC447="llp"),TRIM(I447)=""),"ROC needs the CIN / LLPIN; ","")&amp;IF((TRIM(AF447)="")&lt;&gt;(TRIM(AG447)=""),"GST login needs both user ID and password; ","")&amp;IF((TRIM(AH447)="")&lt;&gt;(TRIM(AI447)=""),"Income-tax login needs both user ID and password; ","")&amp;IF((TRIM(AJ447)="")&lt;&gt;(TRIM(AK447)=""),"Income-tax login needs both user ID and password; ","")&amp;IF((TRIM(AL447)="")&lt;&gt;(TRIM(AM447)=""),"TRACES login needs both user ID and password; ","")&amp;IF((TRIM(AN447)="")&lt;&gt;(TRIM(AO447)=""),"MCA login needs both user ID and password; ","")&amp;IF((TRIM(AP447)="")&lt;&gt;(TRIM(AQ447)=""),"E-way bill login needs both user ID and password; ","")</f>
        <v/>
      </c>
    </row>
    <row r="448">
      <c r="A448" s="32" t="n"/>
      <c r="B448" s="33" t="n"/>
      <c r="C448" s="33" t="n"/>
      <c r="D448" s="33" t="n"/>
      <c r="E448" s="32" t="n"/>
      <c r="F448" s="32" t="n"/>
      <c r="G448" s="32" t="n"/>
      <c r="H448" s="32" t="n"/>
      <c r="I448" s="32" t="n"/>
      <c r="J448" s="34" t="n"/>
      <c r="K448" s="33" t="n"/>
      <c r="L448" s="32" t="n"/>
      <c r="M448" s="33" t="n"/>
      <c r="N448" s="33" t="n"/>
      <c r="O448" s="33" t="n"/>
      <c r="P448" s="32" t="n"/>
      <c r="Q448" s="33" t="n"/>
      <c r="R448" s="33" t="n"/>
      <c r="S448" s="33" t="n"/>
      <c r="T448" s="33" t="n"/>
      <c r="U448" s="32" t="n"/>
      <c r="V448" s="33" t="n"/>
      <c r="W448" s="33" t="n"/>
      <c r="X448" s="33" t="n"/>
      <c r="Y448" s="33" t="n"/>
      <c r="Z448" s="33" t="n"/>
      <c r="AA448" s="33" t="n"/>
      <c r="AB448" s="33" t="n"/>
      <c r="AC448" s="33" t="n"/>
      <c r="AD448" s="33" t="n"/>
      <c r="AE448" s="33" t="n"/>
      <c r="AF448" s="32" t="n"/>
      <c r="AG448" s="32" t="n"/>
      <c r="AH448" s="32" t="n"/>
      <c r="AI448" s="32" t="n"/>
      <c r="AJ448" s="32" t="n"/>
      <c r="AK448" s="32" t="n"/>
      <c r="AL448" s="32" t="n"/>
      <c r="AM448" s="32" t="n"/>
      <c r="AN448" s="32" t="n"/>
      <c r="AO448" s="32" t="n"/>
      <c r="AP448" s="32" t="n"/>
      <c r="AQ448" s="32" t="n"/>
      <c r="AR448" s="29">
        <f>IF(NOT(COUNTA(A448:AE448)&gt;0),"",IF(A448="","New client","Update"))</f>
        <v/>
      </c>
      <c r="AS448" s="29">
        <f>IF(BA448&lt;&gt;"",BA448,IF(LEN(AZ448)=15,MID(AZ448,3,10),""))</f>
        <v/>
      </c>
      <c r="AT448" s="29">
        <f>IF(BB448="","",BB448&amp;IF(D448="","  (guessed from PAN)",""))</f>
        <v/>
      </c>
      <c r="AU448" s="29">
        <f>IF(AZ448="","",IFERROR(INDEX(Lists!$L$2:$L$38,MATCH(LEFT(AZ448,2),Lists!$K$2:$K$38,0)),"Unknown code"))</f>
        <v/>
      </c>
      <c r="AV448" s="29">
        <f>IF(AZ448="","",IFERROR(IF(NOT(AND(LEN(AZ448)=15,ISNUMBER(MATCH(LEFT(AZ448,2),Lists!$K$2:$K$38,0)),SUMPRODUCT(--ISERROR(FIND(MID(MID(AZ448,3,10),{1,2,3,4,5,10},1),"ABCDEFGHIJKLMNOPQRSTUVWXYZ")))=0,SUMPRODUCT(--ISERROR(FIND(MID(MID(AZ448,3,10),{6,7,8,9},1),"0123456789")))=0,ISNUMBER(FIND(MID(AZ448,13,1),"123456789ABCDEFGHIJKLMNOPQRSTUVWXYZ")),MID(AZ448,14,1)="Z")),"Wrong format",IF(MID("0123456789ABCDEFGHIJKLMNOPQRSTUVWXYZ",MOD(36-MOD(SUMPRODUCT(INT((FIND(MID(AZ448,{1,2,3,4,5,6,7,8,9,10,11,12,13,14},1),"0123456789ABCDEFGHIJKLMNOPQRSTUVWXYZ")-1)*{1,2,1,2,1,2,1,2,1,2,1,2,1,2}/36)+MOD((FIND(MID(AZ448,{1,2,3,4,5,6,7,8,9,10,11,12,13,14},1),"0123456789ABCDEFGHIJKLMNOPQRSTUVWXYZ")-1)*{1,2,1,2,1,2,1,2,1,2,1,2,1,2},36)),36),36)+1,1)=MID(AZ448,15,1),"OK","Typo? check digit wrong")),"Wrong format"))</f>
        <v/>
      </c>
      <c r="AW448" s="29">
        <f>IF(BA448="","",IF(AND(LEN(BA448)=10,SUMPRODUCT(--ISERROR(FIND(MID(BA448,{1,2,3,4,5,10},1),"ABCDEFGHIJKLMNOPQRSTUVWXYZ")))=0,SUMPRODUCT(--ISERROR(FIND(MID(BA448,{6,7,8,9},1),"0123456789")))=0),"OK","Wrong format"))</f>
        <v/>
      </c>
      <c r="AX448" s="29">
        <f>IF(TRIM(H448)="","",IF(AND(LEN(UPPER(TRIM(H448)))=10,SUMPRODUCT(--ISERROR(FIND(MID(UPPER(TRIM(H448)),{1,2,3,4,10},1),"ABCDEFGHIJKLMNOPQRSTUVWXYZ")))=0,SUMPRODUCT(--ISERROR(FIND(MID(UPPER(TRIM(H448)),{5,6,7,8,9},1),"0123456789")))=0),"OK","Wrong format"))</f>
        <v/>
      </c>
      <c r="AY448" s="30">
        <f>IF(NOT(COUNTA(A448:AE448)&gt;0),"",IF(BE448&lt;&gt;"","✖ "&amp;LEFT(BE448,LEN(BE448)-2),IF(BD448&gt;0,"✔ Ready — client + "&amp;BD448&amp;" service(s)","✔ Ready — client only")))</f>
        <v/>
      </c>
      <c r="AZ448" s="31">
        <f>UPPER(SUBSTITUTE(TRIM(F448)," ",""))</f>
        <v/>
      </c>
      <c r="BA448" s="31">
        <f>UPPER(SUBSTITUTE(TRIM(E448)," ",""))</f>
        <v/>
      </c>
      <c r="BB448" s="31">
        <f>IF(D448&lt;&gt;"",D448,IFERROR(VLOOKUP(MID(AS448,4,1),Lists!$E$2:$F$8,2,FALSE),""))</f>
        <v/>
      </c>
      <c r="BC448" s="31">
        <f>IFERROR(VLOOKUP(BB448,Lists!$A$2:$C$12,3,FALSE),"")</f>
        <v/>
      </c>
      <c r="BD448" s="31">
        <f>COUNTIF(W448:AC448,"Yes")</f>
        <v/>
      </c>
      <c r="BE448" s="31">
        <f>IF(TRIM(B448)="","Legal name missing; ","")&amp;IF(AND(AV448&lt;&gt;"",AV448&lt;&gt;"OK"),"GSTIN: "&amp;AV448&amp;"; ","")&amp;IF(AND(AW448&lt;&gt;"",AW448&lt;&gt;"OK"),"PAN wrong format; ","")&amp;IF(AND(BA448&lt;&gt;"",LEN(AZ448)=15,MID(AZ448,3,10)&lt;&gt;BA448),"PAN does not match GSTIN; ","")&amp;IF(AND(AX448&lt;&gt;"",AX448&lt;&gt;"OK"),"TAN wrong format; ","")&amp;IF(AS448="","PAN missing; ","")&amp;IF(BB448="","Entity type missing; ","")&amp;IF(AND(AZ448&lt;&gt;"",COUNTIF($AZ$6:$AZ$1005,AZ448)&gt;1),"GSTIN repeated in this sheet; ","")&amp;IF(AND(AS448&lt;&gt;"",COUNTIF($AS$6:$AS$1005,AS448)&gt;1),"PAN repeated in this sheet (same client? put extra GSTINs in Other GSTINs); ","")&amp;IF(AND(BD448&gt;0,V448=""),"Financial year missing; ","")&amp;IF(AND(BD448=0,V448&lt;&gt;""),"Financial year given but no service is Yes; ","")&amp;IF(AND(W448="Yes",AZ448=""),"GST needs a GSTIN; ","")&amp;IF(AND(W448="Yes",X448=""),"GST return frequency missing; ","")&amp;IF(AND(Y448="Yes",TRIM(H448)=""),"TDS needs a TAN; ","")&amp;IF(AND(AA448="Yes",BC448&lt;&gt;"",BC448&lt;&gt;"company",BC448&lt;&gt;"llp"),"ROC is only for a company / LLP; ","")&amp;IF(AND(AA448="Yes",OR(BC448="company",BC448="llp"),TRIM(I448)=""),"ROC needs the CIN / LLPIN; ","")&amp;IF((TRIM(AF448)="")&lt;&gt;(TRIM(AG448)=""),"GST login needs both user ID and password; ","")&amp;IF((TRIM(AH448)="")&lt;&gt;(TRIM(AI448)=""),"Income-tax login needs both user ID and password; ","")&amp;IF((TRIM(AJ448)="")&lt;&gt;(TRIM(AK448)=""),"Income-tax login needs both user ID and password; ","")&amp;IF((TRIM(AL448)="")&lt;&gt;(TRIM(AM448)=""),"TRACES login needs both user ID and password; ","")&amp;IF((TRIM(AN448)="")&lt;&gt;(TRIM(AO448)=""),"MCA login needs both user ID and password; ","")&amp;IF((TRIM(AP448)="")&lt;&gt;(TRIM(AQ448)=""),"E-way bill login needs both user ID and password; ","")</f>
        <v/>
      </c>
    </row>
    <row r="449">
      <c r="A449" s="32" t="n"/>
      <c r="B449" s="33" t="n"/>
      <c r="C449" s="33" t="n"/>
      <c r="D449" s="33" t="n"/>
      <c r="E449" s="32" t="n"/>
      <c r="F449" s="32" t="n"/>
      <c r="G449" s="32" t="n"/>
      <c r="H449" s="32" t="n"/>
      <c r="I449" s="32" t="n"/>
      <c r="J449" s="34" t="n"/>
      <c r="K449" s="33" t="n"/>
      <c r="L449" s="32" t="n"/>
      <c r="M449" s="33" t="n"/>
      <c r="N449" s="33" t="n"/>
      <c r="O449" s="33" t="n"/>
      <c r="P449" s="32" t="n"/>
      <c r="Q449" s="33" t="n"/>
      <c r="R449" s="33" t="n"/>
      <c r="S449" s="33" t="n"/>
      <c r="T449" s="33" t="n"/>
      <c r="U449" s="32" t="n"/>
      <c r="V449" s="33" t="n"/>
      <c r="W449" s="33" t="n"/>
      <c r="X449" s="33" t="n"/>
      <c r="Y449" s="33" t="n"/>
      <c r="Z449" s="33" t="n"/>
      <c r="AA449" s="33" t="n"/>
      <c r="AB449" s="33" t="n"/>
      <c r="AC449" s="33" t="n"/>
      <c r="AD449" s="33" t="n"/>
      <c r="AE449" s="33" t="n"/>
      <c r="AF449" s="32" t="n"/>
      <c r="AG449" s="32" t="n"/>
      <c r="AH449" s="32" t="n"/>
      <c r="AI449" s="32" t="n"/>
      <c r="AJ449" s="32" t="n"/>
      <c r="AK449" s="32" t="n"/>
      <c r="AL449" s="32" t="n"/>
      <c r="AM449" s="32" t="n"/>
      <c r="AN449" s="32" t="n"/>
      <c r="AO449" s="32" t="n"/>
      <c r="AP449" s="32" t="n"/>
      <c r="AQ449" s="32" t="n"/>
      <c r="AR449" s="29">
        <f>IF(NOT(COUNTA(A449:AE449)&gt;0),"",IF(A449="","New client","Update"))</f>
        <v/>
      </c>
      <c r="AS449" s="29">
        <f>IF(BA449&lt;&gt;"",BA449,IF(LEN(AZ449)=15,MID(AZ449,3,10),""))</f>
        <v/>
      </c>
      <c r="AT449" s="29">
        <f>IF(BB449="","",BB449&amp;IF(D449="","  (guessed from PAN)",""))</f>
        <v/>
      </c>
      <c r="AU449" s="29">
        <f>IF(AZ449="","",IFERROR(INDEX(Lists!$L$2:$L$38,MATCH(LEFT(AZ449,2),Lists!$K$2:$K$38,0)),"Unknown code"))</f>
        <v/>
      </c>
      <c r="AV449" s="29">
        <f>IF(AZ449="","",IFERROR(IF(NOT(AND(LEN(AZ449)=15,ISNUMBER(MATCH(LEFT(AZ449,2),Lists!$K$2:$K$38,0)),SUMPRODUCT(--ISERROR(FIND(MID(MID(AZ449,3,10),{1,2,3,4,5,10},1),"ABCDEFGHIJKLMNOPQRSTUVWXYZ")))=0,SUMPRODUCT(--ISERROR(FIND(MID(MID(AZ449,3,10),{6,7,8,9},1),"0123456789")))=0,ISNUMBER(FIND(MID(AZ449,13,1),"123456789ABCDEFGHIJKLMNOPQRSTUVWXYZ")),MID(AZ449,14,1)="Z")),"Wrong format",IF(MID("0123456789ABCDEFGHIJKLMNOPQRSTUVWXYZ",MOD(36-MOD(SUMPRODUCT(INT((FIND(MID(AZ449,{1,2,3,4,5,6,7,8,9,10,11,12,13,14},1),"0123456789ABCDEFGHIJKLMNOPQRSTUVWXYZ")-1)*{1,2,1,2,1,2,1,2,1,2,1,2,1,2}/36)+MOD((FIND(MID(AZ449,{1,2,3,4,5,6,7,8,9,10,11,12,13,14},1),"0123456789ABCDEFGHIJKLMNOPQRSTUVWXYZ")-1)*{1,2,1,2,1,2,1,2,1,2,1,2,1,2},36)),36),36)+1,1)=MID(AZ449,15,1),"OK","Typo? check digit wrong")),"Wrong format"))</f>
        <v/>
      </c>
      <c r="AW449" s="29">
        <f>IF(BA449="","",IF(AND(LEN(BA449)=10,SUMPRODUCT(--ISERROR(FIND(MID(BA449,{1,2,3,4,5,10},1),"ABCDEFGHIJKLMNOPQRSTUVWXYZ")))=0,SUMPRODUCT(--ISERROR(FIND(MID(BA449,{6,7,8,9},1),"0123456789")))=0),"OK","Wrong format"))</f>
        <v/>
      </c>
      <c r="AX449" s="29">
        <f>IF(TRIM(H449)="","",IF(AND(LEN(UPPER(TRIM(H449)))=10,SUMPRODUCT(--ISERROR(FIND(MID(UPPER(TRIM(H449)),{1,2,3,4,10},1),"ABCDEFGHIJKLMNOPQRSTUVWXYZ")))=0,SUMPRODUCT(--ISERROR(FIND(MID(UPPER(TRIM(H449)),{5,6,7,8,9},1),"0123456789")))=0),"OK","Wrong format"))</f>
        <v/>
      </c>
      <c r="AY449" s="30">
        <f>IF(NOT(COUNTA(A449:AE449)&gt;0),"",IF(BE449&lt;&gt;"","✖ "&amp;LEFT(BE449,LEN(BE449)-2),IF(BD449&gt;0,"✔ Ready — client + "&amp;BD449&amp;" service(s)","✔ Ready — client only")))</f>
        <v/>
      </c>
      <c r="AZ449" s="31">
        <f>UPPER(SUBSTITUTE(TRIM(F449)," ",""))</f>
        <v/>
      </c>
      <c r="BA449" s="31">
        <f>UPPER(SUBSTITUTE(TRIM(E449)," ",""))</f>
        <v/>
      </c>
      <c r="BB449" s="31">
        <f>IF(D449&lt;&gt;"",D449,IFERROR(VLOOKUP(MID(AS449,4,1),Lists!$E$2:$F$8,2,FALSE),""))</f>
        <v/>
      </c>
      <c r="BC449" s="31">
        <f>IFERROR(VLOOKUP(BB449,Lists!$A$2:$C$12,3,FALSE),"")</f>
        <v/>
      </c>
      <c r="BD449" s="31">
        <f>COUNTIF(W449:AC449,"Yes")</f>
        <v/>
      </c>
      <c r="BE449" s="31">
        <f>IF(TRIM(B449)="","Legal name missing; ","")&amp;IF(AND(AV449&lt;&gt;"",AV449&lt;&gt;"OK"),"GSTIN: "&amp;AV449&amp;"; ","")&amp;IF(AND(AW449&lt;&gt;"",AW449&lt;&gt;"OK"),"PAN wrong format; ","")&amp;IF(AND(BA449&lt;&gt;"",LEN(AZ449)=15,MID(AZ449,3,10)&lt;&gt;BA449),"PAN does not match GSTIN; ","")&amp;IF(AND(AX449&lt;&gt;"",AX449&lt;&gt;"OK"),"TAN wrong format; ","")&amp;IF(AS449="","PAN missing; ","")&amp;IF(BB449="","Entity type missing; ","")&amp;IF(AND(AZ449&lt;&gt;"",COUNTIF($AZ$6:$AZ$1005,AZ449)&gt;1),"GSTIN repeated in this sheet; ","")&amp;IF(AND(AS449&lt;&gt;"",COUNTIF($AS$6:$AS$1005,AS449)&gt;1),"PAN repeated in this sheet (same client? put extra GSTINs in Other GSTINs); ","")&amp;IF(AND(BD449&gt;0,V449=""),"Financial year missing; ","")&amp;IF(AND(BD449=0,V449&lt;&gt;""),"Financial year given but no service is Yes; ","")&amp;IF(AND(W449="Yes",AZ449=""),"GST needs a GSTIN; ","")&amp;IF(AND(W449="Yes",X449=""),"GST return frequency missing; ","")&amp;IF(AND(Y449="Yes",TRIM(H449)=""),"TDS needs a TAN; ","")&amp;IF(AND(AA449="Yes",BC449&lt;&gt;"",BC449&lt;&gt;"company",BC449&lt;&gt;"llp"),"ROC is only for a company / LLP; ","")&amp;IF(AND(AA449="Yes",OR(BC449="company",BC449="llp"),TRIM(I449)=""),"ROC needs the CIN / LLPIN; ","")&amp;IF((TRIM(AF449)="")&lt;&gt;(TRIM(AG449)=""),"GST login needs both user ID and password; ","")&amp;IF((TRIM(AH449)="")&lt;&gt;(TRIM(AI449)=""),"Income-tax login needs both user ID and password; ","")&amp;IF((TRIM(AJ449)="")&lt;&gt;(TRIM(AK449)=""),"Income-tax login needs both user ID and password; ","")&amp;IF((TRIM(AL449)="")&lt;&gt;(TRIM(AM449)=""),"TRACES login needs both user ID and password; ","")&amp;IF((TRIM(AN449)="")&lt;&gt;(TRIM(AO449)=""),"MCA login needs both user ID and password; ","")&amp;IF((TRIM(AP449)="")&lt;&gt;(TRIM(AQ449)=""),"E-way bill login needs both user ID and password; ","")</f>
        <v/>
      </c>
    </row>
    <row r="450">
      <c r="A450" s="32" t="n"/>
      <c r="B450" s="33" t="n"/>
      <c r="C450" s="33" t="n"/>
      <c r="D450" s="33" t="n"/>
      <c r="E450" s="32" t="n"/>
      <c r="F450" s="32" t="n"/>
      <c r="G450" s="32" t="n"/>
      <c r="H450" s="32" t="n"/>
      <c r="I450" s="32" t="n"/>
      <c r="J450" s="34" t="n"/>
      <c r="K450" s="33" t="n"/>
      <c r="L450" s="32" t="n"/>
      <c r="M450" s="33" t="n"/>
      <c r="N450" s="33" t="n"/>
      <c r="O450" s="33" t="n"/>
      <c r="P450" s="32" t="n"/>
      <c r="Q450" s="33" t="n"/>
      <c r="R450" s="33" t="n"/>
      <c r="S450" s="33" t="n"/>
      <c r="T450" s="33" t="n"/>
      <c r="U450" s="32" t="n"/>
      <c r="V450" s="33" t="n"/>
      <c r="W450" s="33" t="n"/>
      <c r="X450" s="33" t="n"/>
      <c r="Y450" s="33" t="n"/>
      <c r="Z450" s="33" t="n"/>
      <c r="AA450" s="33" t="n"/>
      <c r="AB450" s="33" t="n"/>
      <c r="AC450" s="33" t="n"/>
      <c r="AD450" s="33" t="n"/>
      <c r="AE450" s="33" t="n"/>
      <c r="AF450" s="32" t="n"/>
      <c r="AG450" s="32" t="n"/>
      <c r="AH450" s="32" t="n"/>
      <c r="AI450" s="32" t="n"/>
      <c r="AJ450" s="32" t="n"/>
      <c r="AK450" s="32" t="n"/>
      <c r="AL450" s="32" t="n"/>
      <c r="AM450" s="32" t="n"/>
      <c r="AN450" s="32" t="n"/>
      <c r="AO450" s="32" t="n"/>
      <c r="AP450" s="32" t="n"/>
      <c r="AQ450" s="32" t="n"/>
      <c r="AR450" s="29">
        <f>IF(NOT(COUNTA(A450:AE450)&gt;0),"",IF(A450="","New client","Update"))</f>
        <v/>
      </c>
      <c r="AS450" s="29">
        <f>IF(BA450&lt;&gt;"",BA450,IF(LEN(AZ450)=15,MID(AZ450,3,10),""))</f>
        <v/>
      </c>
      <c r="AT450" s="29">
        <f>IF(BB450="","",BB450&amp;IF(D450="","  (guessed from PAN)",""))</f>
        <v/>
      </c>
      <c r="AU450" s="29">
        <f>IF(AZ450="","",IFERROR(INDEX(Lists!$L$2:$L$38,MATCH(LEFT(AZ450,2),Lists!$K$2:$K$38,0)),"Unknown code"))</f>
        <v/>
      </c>
      <c r="AV450" s="29">
        <f>IF(AZ450="","",IFERROR(IF(NOT(AND(LEN(AZ450)=15,ISNUMBER(MATCH(LEFT(AZ450,2),Lists!$K$2:$K$38,0)),SUMPRODUCT(--ISERROR(FIND(MID(MID(AZ450,3,10),{1,2,3,4,5,10},1),"ABCDEFGHIJKLMNOPQRSTUVWXYZ")))=0,SUMPRODUCT(--ISERROR(FIND(MID(MID(AZ450,3,10),{6,7,8,9},1),"0123456789")))=0,ISNUMBER(FIND(MID(AZ450,13,1),"123456789ABCDEFGHIJKLMNOPQRSTUVWXYZ")),MID(AZ450,14,1)="Z")),"Wrong format",IF(MID("0123456789ABCDEFGHIJKLMNOPQRSTUVWXYZ",MOD(36-MOD(SUMPRODUCT(INT((FIND(MID(AZ450,{1,2,3,4,5,6,7,8,9,10,11,12,13,14},1),"0123456789ABCDEFGHIJKLMNOPQRSTUVWXYZ")-1)*{1,2,1,2,1,2,1,2,1,2,1,2,1,2}/36)+MOD((FIND(MID(AZ450,{1,2,3,4,5,6,7,8,9,10,11,12,13,14},1),"0123456789ABCDEFGHIJKLMNOPQRSTUVWXYZ")-1)*{1,2,1,2,1,2,1,2,1,2,1,2,1,2},36)),36),36)+1,1)=MID(AZ450,15,1),"OK","Typo? check digit wrong")),"Wrong format"))</f>
        <v/>
      </c>
      <c r="AW450" s="29">
        <f>IF(BA450="","",IF(AND(LEN(BA450)=10,SUMPRODUCT(--ISERROR(FIND(MID(BA450,{1,2,3,4,5,10},1),"ABCDEFGHIJKLMNOPQRSTUVWXYZ")))=0,SUMPRODUCT(--ISERROR(FIND(MID(BA450,{6,7,8,9},1),"0123456789")))=0),"OK","Wrong format"))</f>
        <v/>
      </c>
      <c r="AX450" s="29">
        <f>IF(TRIM(H450)="","",IF(AND(LEN(UPPER(TRIM(H450)))=10,SUMPRODUCT(--ISERROR(FIND(MID(UPPER(TRIM(H450)),{1,2,3,4,10},1),"ABCDEFGHIJKLMNOPQRSTUVWXYZ")))=0,SUMPRODUCT(--ISERROR(FIND(MID(UPPER(TRIM(H450)),{5,6,7,8,9},1),"0123456789")))=0),"OK","Wrong format"))</f>
        <v/>
      </c>
      <c r="AY450" s="30">
        <f>IF(NOT(COUNTA(A450:AE450)&gt;0),"",IF(BE450&lt;&gt;"","✖ "&amp;LEFT(BE450,LEN(BE450)-2),IF(BD450&gt;0,"✔ Ready — client + "&amp;BD450&amp;" service(s)","✔ Ready — client only")))</f>
        <v/>
      </c>
      <c r="AZ450" s="31">
        <f>UPPER(SUBSTITUTE(TRIM(F450)," ",""))</f>
        <v/>
      </c>
      <c r="BA450" s="31">
        <f>UPPER(SUBSTITUTE(TRIM(E450)," ",""))</f>
        <v/>
      </c>
      <c r="BB450" s="31">
        <f>IF(D450&lt;&gt;"",D450,IFERROR(VLOOKUP(MID(AS450,4,1),Lists!$E$2:$F$8,2,FALSE),""))</f>
        <v/>
      </c>
      <c r="BC450" s="31">
        <f>IFERROR(VLOOKUP(BB450,Lists!$A$2:$C$12,3,FALSE),"")</f>
        <v/>
      </c>
      <c r="BD450" s="31">
        <f>COUNTIF(W450:AC450,"Yes")</f>
        <v/>
      </c>
      <c r="BE450" s="31">
        <f>IF(TRIM(B450)="","Legal name missing; ","")&amp;IF(AND(AV450&lt;&gt;"",AV450&lt;&gt;"OK"),"GSTIN: "&amp;AV450&amp;"; ","")&amp;IF(AND(AW450&lt;&gt;"",AW450&lt;&gt;"OK"),"PAN wrong format; ","")&amp;IF(AND(BA450&lt;&gt;"",LEN(AZ450)=15,MID(AZ450,3,10)&lt;&gt;BA450),"PAN does not match GSTIN; ","")&amp;IF(AND(AX450&lt;&gt;"",AX450&lt;&gt;"OK"),"TAN wrong format; ","")&amp;IF(AS450="","PAN missing; ","")&amp;IF(BB450="","Entity type missing; ","")&amp;IF(AND(AZ450&lt;&gt;"",COUNTIF($AZ$6:$AZ$1005,AZ450)&gt;1),"GSTIN repeated in this sheet; ","")&amp;IF(AND(AS450&lt;&gt;"",COUNTIF($AS$6:$AS$1005,AS450)&gt;1),"PAN repeated in this sheet (same client? put extra GSTINs in Other GSTINs); ","")&amp;IF(AND(BD450&gt;0,V450=""),"Financial year missing; ","")&amp;IF(AND(BD450=0,V450&lt;&gt;""),"Financial year given but no service is Yes; ","")&amp;IF(AND(W450="Yes",AZ450=""),"GST needs a GSTIN; ","")&amp;IF(AND(W450="Yes",X450=""),"GST return frequency missing; ","")&amp;IF(AND(Y450="Yes",TRIM(H450)=""),"TDS needs a TAN; ","")&amp;IF(AND(AA450="Yes",BC450&lt;&gt;"",BC450&lt;&gt;"company",BC450&lt;&gt;"llp"),"ROC is only for a company / LLP; ","")&amp;IF(AND(AA450="Yes",OR(BC450="company",BC450="llp"),TRIM(I450)=""),"ROC needs the CIN / LLPIN; ","")&amp;IF((TRIM(AF450)="")&lt;&gt;(TRIM(AG450)=""),"GST login needs both user ID and password; ","")&amp;IF((TRIM(AH450)="")&lt;&gt;(TRIM(AI450)=""),"Income-tax login needs both user ID and password; ","")&amp;IF((TRIM(AJ450)="")&lt;&gt;(TRIM(AK450)=""),"Income-tax login needs both user ID and password; ","")&amp;IF((TRIM(AL450)="")&lt;&gt;(TRIM(AM450)=""),"TRACES login needs both user ID and password; ","")&amp;IF((TRIM(AN450)="")&lt;&gt;(TRIM(AO450)=""),"MCA login needs both user ID and password; ","")&amp;IF((TRIM(AP450)="")&lt;&gt;(TRIM(AQ450)=""),"E-way bill login needs both user ID and password; ","")</f>
        <v/>
      </c>
    </row>
    <row r="451">
      <c r="A451" s="32" t="n"/>
      <c r="B451" s="33" t="n"/>
      <c r="C451" s="33" t="n"/>
      <c r="D451" s="33" t="n"/>
      <c r="E451" s="32" t="n"/>
      <c r="F451" s="32" t="n"/>
      <c r="G451" s="32" t="n"/>
      <c r="H451" s="32" t="n"/>
      <c r="I451" s="32" t="n"/>
      <c r="J451" s="34" t="n"/>
      <c r="K451" s="33" t="n"/>
      <c r="L451" s="32" t="n"/>
      <c r="M451" s="33" t="n"/>
      <c r="N451" s="33" t="n"/>
      <c r="O451" s="33" t="n"/>
      <c r="P451" s="32" t="n"/>
      <c r="Q451" s="33" t="n"/>
      <c r="R451" s="33" t="n"/>
      <c r="S451" s="33" t="n"/>
      <c r="T451" s="33" t="n"/>
      <c r="U451" s="32" t="n"/>
      <c r="V451" s="33" t="n"/>
      <c r="W451" s="33" t="n"/>
      <c r="X451" s="33" t="n"/>
      <c r="Y451" s="33" t="n"/>
      <c r="Z451" s="33" t="n"/>
      <c r="AA451" s="33" t="n"/>
      <c r="AB451" s="33" t="n"/>
      <c r="AC451" s="33" t="n"/>
      <c r="AD451" s="33" t="n"/>
      <c r="AE451" s="33" t="n"/>
      <c r="AF451" s="32" t="n"/>
      <c r="AG451" s="32" t="n"/>
      <c r="AH451" s="32" t="n"/>
      <c r="AI451" s="32" t="n"/>
      <c r="AJ451" s="32" t="n"/>
      <c r="AK451" s="32" t="n"/>
      <c r="AL451" s="32" t="n"/>
      <c r="AM451" s="32" t="n"/>
      <c r="AN451" s="32" t="n"/>
      <c r="AO451" s="32" t="n"/>
      <c r="AP451" s="32" t="n"/>
      <c r="AQ451" s="32" t="n"/>
      <c r="AR451" s="29">
        <f>IF(NOT(COUNTA(A451:AE451)&gt;0),"",IF(A451="","New client","Update"))</f>
        <v/>
      </c>
      <c r="AS451" s="29">
        <f>IF(BA451&lt;&gt;"",BA451,IF(LEN(AZ451)=15,MID(AZ451,3,10),""))</f>
        <v/>
      </c>
      <c r="AT451" s="29">
        <f>IF(BB451="","",BB451&amp;IF(D451="","  (guessed from PAN)",""))</f>
        <v/>
      </c>
      <c r="AU451" s="29">
        <f>IF(AZ451="","",IFERROR(INDEX(Lists!$L$2:$L$38,MATCH(LEFT(AZ451,2),Lists!$K$2:$K$38,0)),"Unknown code"))</f>
        <v/>
      </c>
      <c r="AV451" s="29">
        <f>IF(AZ451="","",IFERROR(IF(NOT(AND(LEN(AZ451)=15,ISNUMBER(MATCH(LEFT(AZ451,2),Lists!$K$2:$K$38,0)),SUMPRODUCT(--ISERROR(FIND(MID(MID(AZ451,3,10),{1,2,3,4,5,10},1),"ABCDEFGHIJKLMNOPQRSTUVWXYZ")))=0,SUMPRODUCT(--ISERROR(FIND(MID(MID(AZ451,3,10),{6,7,8,9},1),"0123456789")))=0,ISNUMBER(FIND(MID(AZ451,13,1),"123456789ABCDEFGHIJKLMNOPQRSTUVWXYZ")),MID(AZ451,14,1)="Z")),"Wrong format",IF(MID("0123456789ABCDEFGHIJKLMNOPQRSTUVWXYZ",MOD(36-MOD(SUMPRODUCT(INT((FIND(MID(AZ451,{1,2,3,4,5,6,7,8,9,10,11,12,13,14},1),"0123456789ABCDEFGHIJKLMNOPQRSTUVWXYZ")-1)*{1,2,1,2,1,2,1,2,1,2,1,2,1,2}/36)+MOD((FIND(MID(AZ451,{1,2,3,4,5,6,7,8,9,10,11,12,13,14},1),"0123456789ABCDEFGHIJKLMNOPQRSTUVWXYZ")-1)*{1,2,1,2,1,2,1,2,1,2,1,2,1,2},36)),36),36)+1,1)=MID(AZ451,15,1),"OK","Typo? check digit wrong")),"Wrong format"))</f>
        <v/>
      </c>
      <c r="AW451" s="29">
        <f>IF(BA451="","",IF(AND(LEN(BA451)=10,SUMPRODUCT(--ISERROR(FIND(MID(BA451,{1,2,3,4,5,10},1),"ABCDEFGHIJKLMNOPQRSTUVWXYZ")))=0,SUMPRODUCT(--ISERROR(FIND(MID(BA451,{6,7,8,9},1),"0123456789")))=0),"OK","Wrong format"))</f>
        <v/>
      </c>
      <c r="AX451" s="29">
        <f>IF(TRIM(H451)="","",IF(AND(LEN(UPPER(TRIM(H451)))=10,SUMPRODUCT(--ISERROR(FIND(MID(UPPER(TRIM(H451)),{1,2,3,4,10},1),"ABCDEFGHIJKLMNOPQRSTUVWXYZ")))=0,SUMPRODUCT(--ISERROR(FIND(MID(UPPER(TRIM(H451)),{5,6,7,8,9},1),"0123456789")))=0),"OK","Wrong format"))</f>
        <v/>
      </c>
      <c r="AY451" s="30">
        <f>IF(NOT(COUNTA(A451:AE451)&gt;0),"",IF(BE451&lt;&gt;"","✖ "&amp;LEFT(BE451,LEN(BE451)-2),IF(BD451&gt;0,"✔ Ready — client + "&amp;BD451&amp;" service(s)","✔ Ready — client only")))</f>
        <v/>
      </c>
      <c r="AZ451" s="31">
        <f>UPPER(SUBSTITUTE(TRIM(F451)," ",""))</f>
        <v/>
      </c>
      <c r="BA451" s="31">
        <f>UPPER(SUBSTITUTE(TRIM(E451)," ",""))</f>
        <v/>
      </c>
      <c r="BB451" s="31">
        <f>IF(D451&lt;&gt;"",D451,IFERROR(VLOOKUP(MID(AS451,4,1),Lists!$E$2:$F$8,2,FALSE),""))</f>
        <v/>
      </c>
      <c r="BC451" s="31">
        <f>IFERROR(VLOOKUP(BB451,Lists!$A$2:$C$12,3,FALSE),"")</f>
        <v/>
      </c>
      <c r="BD451" s="31">
        <f>COUNTIF(W451:AC451,"Yes")</f>
        <v/>
      </c>
      <c r="BE451" s="31">
        <f>IF(TRIM(B451)="","Legal name missing; ","")&amp;IF(AND(AV451&lt;&gt;"",AV451&lt;&gt;"OK"),"GSTIN: "&amp;AV451&amp;"; ","")&amp;IF(AND(AW451&lt;&gt;"",AW451&lt;&gt;"OK"),"PAN wrong format; ","")&amp;IF(AND(BA451&lt;&gt;"",LEN(AZ451)=15,MID(AZ451,3,10)&lt;&gt;BA451),"PAN does not match GSTIN; ","")&amp;IF(AND(AX451&lt;&gt;"",AX451&lt;&gt;"OK"),"TAN wrong format; ","")&amp;IF(AS451="","PAN missing; ","")&amp;IF(BB451="","Entity type missing; ","")&amp;IF(AND(AZ451&lt;&gt;"",COUNTIF($AZ$6:$AZ$1005,AZ451)&gt;1),"GSTIN repeated in this sheet; ","")&amp;IF(AND(AS451&lt;&gt;"",COUNTIF($AS$6:$AS$1005,AS451)&gt;1),"PAN repeated in this sheet (same client? put extra GSTINs in Other GSTINs); ","")&amp;IF(AND(BD451&gt;0,V451=""),"Financial year missing; ","")&amp;IF(AND(BD451=0,V451&lt;&gt;""),"Financial year given but no service is Yes; ","")&amp;IF(AND(W451="Yes",AZ451=""),"GST needs a GSTIN; ","")&amp;IF(AND(W451="Yes",X451=""),"GST return frequency missing; ","")&amp;IF(AND(Y451="Yes",TRIM(H451)=""),"TDS needs a TAN; ","")&amp;IF(AND(AA451="Yes",BC451&lt;&gt;"",BC451&lt;&gt;"company",BC451&lt;&gt;"llp"),"ROC is only for a company / LLP; ","")&amp;IF(AND(AA451="Yes",OR(BC451="company",BC451="llp"),TRIM(I451)=""),"ROC needs the CIN / LLPIN; ","")&amp;IF((TRIM(AF451)="")&lt;&gt;(TRIM(AG451)=""),"GST login needs both user ID and password; ","")&amp;IF((TRIM(AH451)="")&lt;&gt;(TRIM(AI451)=""),"Income-tax login needs both user ID and password; ","")&amp;IF((TRIM(AJ451)="")&lt;&gt;(TRIM(AK451)=""),"Income-tax login needs both user ID and password; ","")&amp;IF((TRIM(AL451)="")&lt;&gt;(TRIM(AM451)=""),"TRACES login needs both user ID and password; ","")&amp;IF((TRIM(AN451)="")&lt;&gt;(TRIM(AO451)=""),"MCA login needs both user ID and password; ","")&amp;IF((TRIM(AP451)="")&lt;&gt;(TRIM(AQ451)=""),"E-way bill login needs both user ID and password; ","")</f>
        <v/>
      </c>
    </row>
    <row r="452">
      <c r="A452" s="32" t="n"/>
      <c r="B452" s="33" t="n"/>
      <c r="C452" s="33" t="n"/>
      <c r="D452" s="33" t="n"/>
      <c r="E452" s="32" t="n"/>
      <c r="F452" s="32" t="n"/>
      <c r="G452" s="32" t="n"/>
      <c r="H452" s="32" t="n"/>
      <c r="I452" s="32" t="n"/>
      <c r="J452" s="34" t="n"/>
      <c r="K452" s="33" t="n"/>
      <c r="L452" s="32" t="n"/>
      <c r="M452" s="33" t="n"/>
      <c r="N452" s="33" t="n"/>
      <c r="O452" s="33" t="n"/>
      <c r="P452" s="32" t="n"/>
      <c r="Q452" s="33" t="n"/>
      <c r="R452" s="33" t="n"/>
      <c r="S452" s="33" t="n"/>
      <c r="T452" s="33" t="n"/>
      <c r="U452" s="32" t="n"/>
      <c r="V452" s="33" t="n"/>
      <c r="W452" s="33" t="n"/>
      <c r="X452" s="33" t="n"/>
      <c r="Y452" s="33" t="n"/>
      <c r="Z452" s="33" t="n"/>
      <c r="AA452" s="33" t="n"/>
      <c r="AB452" s="33" t="n"/>
      <c r="AC452" s="33" t="n"/>
      <c r="AD452" s="33" t="n"/>
      <c r="AE452" s="33" t="n"/>
      <c r="AF452" s="32" t="n"/>
      <c r="AG452" s="32" t="n"/>
      <c r="AH452" s="32" t="n"/>
      <c r="AI452" s="32" t="n"/>
      <c r="AJ452" s="32" t="n"/>
      <c r="AK452" s="32" t="n"/>
      <c r="AL452" s="32" t="n"/>
      <c r="AM452" s="32" t="n"/>
      <c r="AN452" s="32" t="n"/>
      <c r="AO452" s="32" t="n"/>
      <c r="AP452" s="32" t="n"/>
      <c r="AQ452" s="32" t="n"/>
      <c r="AR452" s="29">
        <f>IF(NOT(COUNTA(A452:AE452)&gt;0),"",IF(A452="","New client","Update"))</f>
        <v/>
      </c>
      <c r="AS452" s="29">
        <f>IF(BA452&lt;&gt;"",BA452,IF(LEN(AZ452)=15,MID(AZ452,3,10),""))</f>
        <v/>
      </c>
      <c r="AT452" s="29">
        <f>IF(BB452="","",BB452&amp;IF(D452="","  (guessed from PAN)",""))</f>
        <v/>
      </c>
      <c r="AU452" s="29">
        <f>IF(AZ452="","",IFERROR(INDEX(Lists!$L$2:$L$38,MATCH(LEFT(AZ452,2),Lists!$K$2:$K$38,0)),"Unknown code"))</f>
        <v/>
      </c>
      <c r="AV452" s="29">
        <f>IF(AZ452="","",IFERROR(IF(NOT(AND(LEN(AZ452)=15,ISNUMBER(MATCH(LEFT(AZ452,2),Lists!$K$2:$K$38,0)),SUMPRODUCT(--ISERROR(FIND(MID(MID(AZ452,3,10),{1,2,3,4,5,10},1),"ABCDEFGHIJKLMNOPQRSTUVWXYZ")))=0,SUMPRODUCT(--ISERROR(FIND(MID(MID(AZ452,3,10),{6,7,8,9},1),"0123456789")))=0,ISNUMBER(FIND(MID(AZ452,13,1),"123456789ABCDEFGHIJKLMNOPQRSTUVWXYZ")),MID(AZ452,14,1)="Z")),"Wrong format",IF(MID("0123456789ABCDEFGHIJKLMNOPQRSTUVWXYZ",MOD(36-MOD(SUMPRODUCT(INT((FIND(MID(AZ452,{1,2,3,4,5,6,7,8,9,10,11,12,13,14},1),"0123456789ABCDEFGHIJKLMNOPQRSTUVWXYZ")-1)*{1,2,1,2,1,2,1,2,1,2,1,2,1,2}/36)+MOD((FIND(MID(AZ452,{1,2,3,4,5,6,7,8,9,10,11,12,13,14},1),"0123456789ABCDEFGHIJKLMNOPQRSTUVWXYZ")-1)*{1,2,1,2,1,2,1,2,1,2,1,2,1,2},36)),36),36)+1,1)=MID(AZ452,15,1),"OK","Typo? check digit wrong")),"Wrong format"))</f>
        <v/>
      </c>
      <c r="AW452" s="29">
        <f>IF(BA452="","",IF(AND(LEN(BA452)=10,SUMPRODUCT(--ISERROR(FIND(MID(BA452,{1,2,3,4,5,10},1),"ABCDEFGHIJKLMNOPQRSTUVWXYZ")))=0,SUMPRODUCT(--ISERROR(FIND(MID(BA452,{6,7,8,9},1),"0123456789")))=0),"OK","Wrong format"))</f>
        <v/>
      </c>
      <c r="AX452" s="29">
        <f>IF(TRIM(H452)="","",IF(AND(LEN(UPPER(TRIM(H452)))=10,SUMPRODUCT(--ISERROR(FIND(MID(UPPER(TRIM(H452)),{1,2,3,4,10},1),"ABCDEFGHIJKLMNOPQRSTUVWXYZ")))=0,SUMPRODUCT(--ISERROR(FIND(MID(UPPER(TRIM(H452)),{5,6,7,8,9},1),"0123456789")))=0),"OK","Wrong format"))</f>
        <v/>
      </c>
      <c r="AY452" s="30">
        <f>IF(NOT(COUNTA(A452:AE452)&gt;0),"",IF(BE452&lt;&gt;"","✖ "&amp;LEFT(BE452,LEN(BE452)-2),IF(BD452&gt;0,"✔ Ready — client + "&amp;BD452&amp;" service(s)","✔ Ready — client only")))</f>
        <v/>
      </c>
      <c r="AZ452" s="31">
        <f>UPPER(SUBSTITUTE(TRIM(F452)," ",""))</f>
        <v/>
      </c>
      <c r="BA452" s="31">
        <f>UPPER(SUBSTITUTE(TRIM(E452)," ",""))</f>
        <v/>
      </c>
      <c r="BB452" s="31">
        <f>IF(D452&lt;&gt;"",D452,IFERROR(VLOOKUP(MID(AS452,4,1),Lists!$E$2:$F$8,2,FALSE),""))</f>
        <v/>
      </c>
      <c r="BC452" s="31">
        <f>IFERROR(VLOOKUP(BB452,Lists!$A$2:$C$12,3,FALSE),"")</f>
        <v/>
      </c>
      <c r="BD452" s="31">
        <f>COUNTIF(W452:AC452,"Yes")</f>
        <v/>
      </c>
      <c r="BE452" s="31">
        <f>IF(TRIM(B452)="","Legal name missing; ","")&amp;IF(AND(AV452&lt;&gt;"",AV452&lt;&gt;"OK"),"GSTIN: "&amp;AV452&amp;"; ","")&amp;IF(AND(AW452&lt;&gt;"",AW452&lt;&gt;"OK"),"PAN wrong format; ","")&amp;IF(AND(BA452&lt;&gt;"",LEN(AZ452)=15,MID(AZ452,3,10)&lt;&gt;BA452),"PAN does not match GSTIN; ","")&amp;IF(AND(AX452&lt;&gt;"",AX452&lt;&gt;"OK"),"TAN wrong format; ","")&amp;IF(AS452="","PAN missing; ","")&amp;IF(BB452="","Entity type missing; ","")&amp;IF(AND(AZ452&lt;&gt;"",COUNTIF($AZ$6:$AZ$1005,AZ452)&gt;1),"GSTIN repeated in this sheet; ","")&amp;IF(AND(AS452&lt;&gt;"",COUNTIF($AS$6:$AS$1005,AS452)&gt;1),"PAN repeated in this sheet (same client? put extra GSTINs in Other GSTINs); ","")&amp;IF(AND(BD452&gt;0,V452=""),"Financial year missing; ","")&amp;IF(AND(BD452=0,V452&lt;&gt;""),"Financial year given but no service is Yes; ","")&amp;IF(AND(W452="Yes",AZ452=""),"GST needs a GSTIN; ","")&amp;IF(AND(W452="Yes",X452=""),"GST return frequency missing; ","")&amp;IF(AND(Y452="Yes",TRIM(H452)=""),"TDS needs a TAN; ","")&amp;IF(AND(AA452="Yes",BC452&lt;&gt;"",BC452&lt;&gt;"company",BC452&lt;&gt;"llp"),"ROC is only for a company / LLP; ","")&amp;IF(AND(AA452="Yes",OR(BC452="company",BC452="llp"),TRIM(I452)=""),"ROC needs the CIN / LLPIN; ","")&amp;IF((TRIM(AF452)="")&lt;&gt;(TRIM(AG452)=""),"GST login needs both user ID and password; ","")&amp;IF((TRIM(AH452)="")&lt;&gt;(TRIM(AI452)=""),"Income-tax login needs both user ID and password; ","")&amp;IF((TRIM(AJ452)="")&lt;&gt;(TRIM(AK452)=""),"Income-tax login needs both user ID and password; ","")&amp;IF((TRIM(AL452)="")&lt;&gt;(TRIM(AM452)=""),"TRACES login needs both user ID and password; ","")&amp;IF((TRIM(AN452)="")&lt;&gt;(TRIM(AO452)=""),"MCA login needs both user ID and password; ","")&amp;IF((TRIM(AP452)="")&lt;&gt;(TRIM(AQ452)=""),"E-way bill login needs both user ID and password; ","")</f>
        <v/>
      </c>
    </row>
    <row r="453">
      <c r="A453" s="32" t="n"/>
      <c r="B453" s="33" t="n"/>
      <c r="C453" s="33" t="n"/>
      <c r="D453" s="33" t="n"/>
      <c r="E453" s="32" t="n"/>
      <c r="F453" s="32" t="n"/>
      <c r="G453" s="32" t="n"/>
      <c r="H453" s="32" t="n"/>
      <c r="I453" s="32" t="n"/>
      <c r="J453" s="34" t="n"/>
      <c r="K453" s="33" t="n"/>
      <c r="L453" s="32" t="n"/>
      <c r="M453" s="33" t="n"/>
      <c r="N453" s="33" t="n"/>
      <c r="O453" s="33" t="n"/>
      <c r="P453" s="32" t="n"/>
      <c r="Q453" s="33" t="n"/>
      <c r="R453" s="33" t="n"/>
      <c r="S453" s="33" t="n"/>
      <c r="T453" s="33" t="n"/>
      <c r="U453" s="32" t="n"/>
      <c r="V453" s="33" t="n"/>
      <c r="W453" s="33" t="n"/>
      <c r="X453" s="33" t="n"/>
      <c r="Y453" s="33" t="n"/>
      <c r="Z453" s="33" t="n"/>
      <c r="AA453" s="33" t="n"/>
      <c r="AB453" s="33" t="n"/>
      <c r="AC453" s="33" t="n"/>
      <c r="AD453" s="33" t="n"/>
      <c r="AE453" s="33" t="n"/>
      <c r="AF453" s="32" t="n"/>
      <c r="AG453" s="32" t="n"/>
      <c r="AH453" s="32" t="n"/>
      <c r="AI453" s="32" t="n"/>
      <c r="AJ453" s="32" t="n"/>
      <c r="AK453" s="32" t="n"/>
      <c r="AL453" s="32" t="n"/>
      <c r="AM453" s="32" t="n"/>
      <c r="AN453" s="32" t="n"/>
      <c r="AO453" s="32" t="n"/>
      <c r="AP453" s="32" t="n"/>
      <c r="AQ453" s="32" t="n"/>
      <c r="AR453" s="29">
        <f>IF(NOT(COUNTA(A453:AE453)&gt;0),"",IF(A453="","New client","Update"))</f>
        <v/>
      </c>
      <c r="AS453" s="29">
        <f>IF(BA453&lt;&gt;"",BA453,IF(LEN(AZ453)=15,MID(AZ453,3,10),""))</f>
        <v/>
      </c>
      <c r="AT453" s="29">
        <f>IF(BB453="","",BB453&amp;IF(D453="","  (guessed from PAN)",""))</f>
        <v/>
      </c>
      <c r="AU453" s="29">
        <f>IF(AZ453="","",IFERROR(INDEX(Lists!$L$2:$L$38,MATCH(LEFT(AZ453,2),Lists!$K$2:$K$38,0)),"Unknown code"))</f>
        <v/>
      </c>
      <c r="AV453" s="29">
        <f>IF(AZ453="","",IFERROR(IF(NOT(AND(LEN(AZ453)=15,ISNUMBER(MATCH(LEFT(AZ453,2),Lists!$K$2:$K$38,0)),SUMPRODUCT(--ISERROR(FIND(MID(MID(AZ453,3,10),{1,2,3,4,5,10},1),"ABCDEFGHIJKLMNOPQRSTUVWXYZ")))=0,SUMPRODUCT(--ISERROR(FIND(MID(MID(AZ453,3,10),{6,7,8,9},1),"0123456789")))=0,ISNUMBER(FIND(MID(AZ453,13,1),"123456789ABCDEFGHIJKLMNOPQRSTUVWXYZ")),MID(AZ453,14,1)="Z")),"Wrong format",IF(MID("0123456789ABCDEFGHIJKLMNOPQRSTUVWXYZ",MOD(36-MOD(SUMPRODUCT(INT((FIND(MID(AZ453,{1,2,3,4,5,6,7,8,9,10,11,12,13,14},1),"0123456789ABCDEFGHIJKLMNOPQRSTUVWXYZ")-1)*{1,2,1,2,1,2,1,2,1,2,1,2,1,2}/36)+MOD((FIND(MID(AZ453,{1,2,3,4,5,6,7,8,9,10,11,12,13,14},1),"0123456789ABCDEFGHIJKLMNOPQRSTUVWXYZ")-1)*{1,2,1,2,1,2,1,2,1,2,1,2,1,2},36)),36),36)+1,1)=MID(AZ453,15,1),"OK","Typo? check digit wrong")),"Wrong format"))</f>
        <v/>
      </c>
      <c r="AW453" s="29">
        <f>IF(BA453="","",IF(AND(LEN(BA453)=10,SUMPRODUCT(--ISERROR(FIND(MID(BA453,{1,2,3,4,5,10},1),"ABCDEFGHIJKLMNOPQRSTUVWXYZ")))=0,SUMPRODUCT(--ISERROR(FIND(MID(BA453,{6,7,8,9},1),"0123456789")))=0),"OK","Wrong format"))</f>
        <v/>
      </c>
      <c r="AX453" s="29">
        <f>IF(TRIM(H453)="","",IF(AND(LEN(UPPER(TRIM(H453)))=10,SUMPRODUCT(--ISERROR(FIND(MID(UPPER(TRIM(H453)),{1,2,3,4,10},1),"ABCDEFGHIJKLMNOPQRSTUVWXYZ")))=0,SUMPRODUCT(--ISERROR(FIND(MID(UPPER(TRIM(H453)),{5,6,7,8,9},1),"0123456789")))=0),"OK","Wrong format"))</f>
        <v/>
      </c>
      <c r="AY453" s="30">
        <f>IF(NOT(COUNTA(A453:AE453)&gt;0),"",IF(BE453&lt;&gt;"","✖ "&amp;LEFT(BE453,LEN(BE453)-2),IF(BD453&gt;0,"✔ Ready — client + "&amp;BD453&amp;" service(s)","✔ Ready — client only")))</f>
        <v/>
      </c>
      <c r="AZ453" s="31">
        <f>UPPER(SUBSTITUTE(TRIM(F453)," ",""))</f>
        <v/>
      </c>
      <c r="BA453" s="31">
        <f>UPPER(SUBSTITUTE(TRIM(E453)," ",""))</f>
        <v/>
      </c>
      <c r="BB453" s="31">
        <f>IF(D453&lt;&gt;"",D453,IFERROR(VLOOKUP(MID(AS453,4,1),Lists!$E$2:$F$8,2,FALSE),""))</f>
        <v/>
      </c>
      <c r="BC453" s="31">
        <f>IFERROR(VLOOKUP(BB453,Lists!$A$2:$C$12,3,FALSE),"")</f>
        <v/>
      </c>
      <c r="BD453" s="31">
        <f>COUNTIF(W453:AC453,"Yes")</f>
        <v/>
      </c>
      <c r="BE453" s="31">
        <f>IF(TRIM(B453)="","Legal name missing; ","")&amp;IF(AND(AV453&lt;&gt;"",AV453&lt;&gt;"OK"),"GSTIN: "&amp;AV453&amp;"; ","")&amp;IF(AND(AW453&lt;&gt;"",AW453&lt;&gt;"OK"),"PAN wrong format; ","")&amp;IF(AND(BA453&lt;&gt;"",LEN(AZ453)=15,MID(AZ453,3,10)&lt;&gt;BA453),"PAN does not match GSTIN; ","")&amp;IF(AND(AX453&lt;&gt;"",AX453&lt;&gt;"OK"),"TAN wrong format; ","")&amp;IF(AS453="","PAN missing; ","")&amp;IF(BB453="","Entity type missing; ","")&amp;IF(AND(AZ453&lt;&gt;"",COUNTIF($AZ$6:$AZ$1005,AZ453)&gt;1),"GSTIN repeated in this sheet; ","")&amp;IF(AND(AS453&lt;&gt;"",COUNTIF($AS$6:$AS$1005,AS453)&gt;1),"PAN repeated in this sheet (same client? put extra GSTINs in Other GSTINs); ","")&amp;IF(AND(BD453&gt;0,V453=""),"Financial year missing; ","")&amp;IF(AND(BD453=0,V453&lt;&gt;""),"Financial year given but no service is Yes; ","")&amp;IF(AND(W453="Yes",AZ453=""),"GST needs a GSTIN; ","")&amp;IF(AND(W453="Yes",X453=""),"GST return frequency missing; ","")&amp;IF(AND(Y453="Yes",TRIM(H453)=""),"TDS needs a TAN; ","")&amp;IF(AND(AA453="Yes",BC453&lt;&gt;"",BC453&lt;&gt;"company",BC453&lt;&gt;"llp"),"ROC is only for a company / LLP; ","")&amp;IF(AND(AA453="Yes",OR(BC453="company",BC453="llp"),TRIM(I453)=""),"ROC needs the CIN / LLPIN; ","")&amp;IF((TRIM(AF453)="")&lt;&gt;(TRIM(AG453)=""),"GST login needs both user ID and password; ","")&amp;IF((TRIM(AH453)="")&lt;&gt;(TRIM(AI453)=""),"Income-tax login needs both user ID and password; ","")&amp;IF((TRIM(AJ453)="")&lt;&gt;(TRIM(AK453)=""),"Income-tax login needs both user ID and password; ","")&amp;IF((TRIM(AL453)="")&lt;&gt;(TRIM(AM453)=""),"TRACES login needs both user ID and password; ","")&amp;IF((TRIM(AN453)="")&lt;&gt;(TRIM(AO453)=""),"MCA login needs both user ID and password; ","")&amp;IF((TRIM(AP453)="")&lt;&gt;(TRIM(AQ453)=""),"E-way bill login needs both user ID and password; ","")</f>
        <v/>
      </c>
    </row>
    <row r="454">
      <c r="A454" s="32" t="n"/>
      <c r="B454" s="33" t="n"/>
      <c r="C454" s="33" t="n"/>
      <c r="D454" s="33" t="n"/>
      <c r="E454" s="32" t="n"/>
      <c r="F454" s="32" t="n"/>
      <c r="G454" s="32" t="n"/>
      <c r="H454" s="32" t="n"/>
      <c r="I454" s="32" t="n"/>
      <c r="J454" s="34" t="n"/>
      <c r="K454" s="33" t="n"/>
      <c r="L454" s="32" t="n"/>
      <c r="M454" s="33" t="n"/>
      <c r="N454" s="33" t="n"/>
      <c r="O454" s="33" t="n"/>
      <c r="P454" s="32" t="n"/>
      <c r="Q454" s="33" t="n"/>
      <c r="R454" s="33" t="n"/>
      <c r="S454" s="33" t="n"/>
      <c r="T454" s="33" t="n"/>
      <c r="U454" s="32" t="n"/>
      <c r="V454" s="33" t="n"/>
      <c r="W454" s="33" t="n"/>
      <c r="X454" s="33" t="n"/>
      <c r="Y454" s="33" t="n"/>
      <c r="Z454" s="33" t="n"/>
      <c r="AA454" s="33" t="n"/>
      <c r="AB454" s="33" t="n"/>
      <c r="AC454" s="33" t="n"/>
      <c r="AD454" s="33" t="n"/>
      <c r="AE454" s="33" t="n"/>
      <c r="AF454" s="32" t="n"/>
      <c r="AG454" s="32" t="n"/>
      <c r="AH454" s="32" t="n"/>
      <c r="AI454" s="32" t="n"/>
      <c r="AJ454" s="32" t="n"/>
      <c r="AK454" s="32" t="n"/>
      <c r="AL454" s="32" t="n"/>
      <c r="AM454" s="32" t="n"/>
      <c r="AN454" s="32" t="n"/>
      <c r="AO454" s="32" t="n"/>
      <c r="AP454" s="32" t="n"/>
      <c r="AQ454" s="32" t="n"/>
      <c r="AR454" s="29">
        <f>IF(NOT(COUNTA(A454:AE454)&gt;0),"",IF(A454="","New client","Update"))</f>
        <v/>
      </c>
      <c r="AS454" s="29">
        <f>IF(BA454&lt;&gt;"",BA454,IF(LEN(AZ454)=15,MID(AZ454,3,10),""))</f>
        <v/>
      </c>
      <c r="AT454" s="29">
        <f>IF(BB454="","",BB454&amp;IF(D454="","  (guessed from PAN)",""))</f>
        <v/>
      </c>
      <c r="AU454" s="29">
        <f>IF(AZ454="","",IFERROR(INDEX(Lists!$L$2:$L$38,MATCH(LEFT(AZ454,2),Lists!$K$2:$K$38,0)),"Unknown code"))</f>
        <v/>
      </c>
      <c r="AV454" s="29">
        <f>IF(AZ454="","",IFERROR(IF(NOT(AND(LEN(AZ454)=15,ISNUMBER(MATCH(LEFT(AZ454,2),Lists!$K$2:$K$38,0)),SUMPRODUCT(--ISERROR(FIND(MID(MID(AZ454,3,10),{1,2,3,4,5,10},1),"ABCDEFGHIJKLMNOPQRSTUVWXYZ")))=0,SUMPRODUCT(--ISERROR(FIND(MID(MID(AZ454,3,10),{6,7,8,9},1),"0123456789")))=0,ISNUMBER(FIND(MID(AZ454,13,1),"123456789ABCDEFGHIJKLMNOPQRSTUVWXYZ")),MID(AZ454,14,1)="Z")),"Wrong format",IF(MID("0123456789ABCDEFGHIJKLMNOPQRSTUVWXYZ",MOD(36-MOD(SUMPRODUCT(INT((FIND(MID(AZ454,{1,2,3,4,5,6,7,8,9,10,11,12,13,14},1),"0123456789ABCDEFGHIJKLMNOPQRSTUVWXYZ")-1)*{1,2,1,2,1,2,1,2,1,2,1,2,1,2}/36)+MOD((FIND(MID(AZ454,{1,2,3,4,5,6,7,8,9,10,11,12,13,14},1),"0123456789ABCDEFGHIJKLMNOPQRSTUVWXYZ")-1)*{1,2,1,2,1,2,1,2,1,2,1,2,1,2},36)),36),36)+1,1)=MID(AZ454,15,1),"OK","Typo? check digit wrong")),"Wrong format"))</f>
        <v/>
      </c>
      <c r="AW454" s="29">
        <f>IF(BA454="","",IF(AND(LEN(BA454)=10,SUMPRODUCT(--ISERROR(FIND(MID(BA454,{1,2,3,4,5,10},1),"ABCDEFGHIJKLMNOPQRSTUVWXYZ")))=0,SUMPRODUCT(--ISERROR(FIND(MID(BA454,{6,7,8,9},1),"0123456789")))=0),"OK","Wrong format"))</f>
        <v/>
      </c>
      <c r="AX454" s="29">
        <f>IF(TRIM(H454)="","",IF(AND(LEN(UPPER(TRIM(H454)))=10,SUMPRODUCT(--ISERROR(FIND(MID(UPPER(TRIM(H454)),{1,2,3,4,10},1),"ABCDEFGHIJKLMNOPQRSTUVWXYZ")))=0,SUMPRODUCT(--ISERROR(FIND(MID(UPPER(TRIM(H454)),{5,6,7,8,9},1),"0123456789")))=0),"OK","Wrong format"))</f>
        <v/>
      </c>
      <c r="AY454" s="30">
        <f>IF(NOT(COUNTA(A454:AE454)&gt;0),"",IF(BE454&lt;&gt;"","✖ "&amp;LEFT(BE454,LEN(BE454)-2),IF(BD454&gt;0,"✔ Ready — client + "&amp;BD454&amp;" service(s)","✔ Ready — client only")))</f>
        <v/>
      </c>
      <c r="AZ454" s="31">
        <f>UPPER(SUBSTITUTE(TRIM(F454)," ",""))</f>
        <v/>
      </c>
      <c r="BA454" s="31">
        <f>UPPER(SUBSTITUTE(TRIM(E454)," ",""))</f>
        <v/>
      </c>
      <c r="BB454" s="31">
        <f>IF(D454&lt;&gt;"",D454,IFERROR(VLOOKUP(MID(AS454,4,1),Lists!$E$2:$F$8,2,FALSE),""))</f>
        <v/>
      </c>
      <c r="BC454" s="31">
        <f>IFERROR(VLOOKUP(BB454,Lists!$A$2:$C$12,3,FALSE),"")</f>
        <v/>
      </c>
      <c r="BD454" s="31">
        <f>COUNTIF(W454:AC454,"Yes")</f>
        <v/>
      </c>
      <c r="BE454" s="31">
        <f>IF(TRIM(B454)="","Legal name missing; ","")&amp;IF(AND(AV454&lt;&gt;"",AV454&lt;&gt;"OK"),"GSTIN: "&amp;AV454&amp;"; ","")&amp;IF(AND(AW454&lt;&gt;"",AW454&lt;&gt;"OK"),"PAN wrong format; ","")&amp;IF(AND(BA454&lt;&gt;"",LEN(AZ454)=15,MID(AZ454,3,10)&lt;&gt;BA454),"PAN does not match GSTIN; ","")&amp;IF(AND(AX454&lt;&gt;"",AX454&lt;&gt;"OK"),"TAN wrong format; ","")&amp;IF(AS454="","PAN missing; ","")&amp;IF(BB454="","Entity type missing; ","")&amp;IF(AND(AZ454&lt;&gt;"",COUNTIF($AZ$6:$AZ$1005,AZ454)&gt;1),"GSTIN repeated in this sheet; ","")&amp;IF(AND(AS454&lt;&gt;"",COUNTIF($AS$6:$AS$1005,AS454)&gt;1),"PAN repeated in this sheet (same client? put extra GSTINs in Other GSTINs); ","")&amp;IF(AND(BD454&gt;0,V454=""),"Financial year missing; ","")&amp;IF(AND(BD454=0,V454&lt;&gt;""),"Financial year given but no service is Yes; ","")&amp;IF(AND(W454="Yes",AZ454=""),"GST needs a GSTIN; ","")&amp;IF(AND(W454="Yes",X454=""),"GST return frequency missing; ","")&amp;IF(AND(Y454="Yes",TRIM(H454)=""),"TDS needs a TAN; ","")&amp;IF(AND(AA454="Yes",BC454&lt;&gt;"",BC454&lt;&gt;"company",BC454&lt;&gt;"llp"),"ROC is only for a company / LLP; ","")&amp;IF(AND(AA454="Yes",OR(BC454="company",BC454="llp"),TRIM(I454)=""),"ROC needs the CIN / LLPIN; ","")&amp;IF((TRIM(AF454)="")&lt;&gt;(TRIM(AG454)=""),"GST login needs both user ID and password; ","")&amp;IF((TRIM(AH454)="")&lt;&gt;(TRIM(AI454)=""),"Income-tax login needs both user ID and password; ","")&amp;IF((TRIM(AJ454)="")&lt;&gt;(TRIM(AK454)=""),"Income-tax login needs both user ID and password; ","")&amp;IF((TRIM(AL454)="")&lt;&gt;(TRIM(AM454)=""),"TRACES login needs both user ID and password; ","")&amp;IF((TRIM(AN454)="")&lt;&gt;(TRIM(AO454)=""),"MCA login needs both user ID and password; ","")&amp;IF((TRIM(AP454)="")&lt;&gt;(TRIM(AQ454)=""),"E-way bill login needs both user ID and password; ","")</f>
        <v/>
      </c>
    </row>
    <row r="455">
      <c r="A455" s="32" t="n"/>
      <c r="B455" s="33" t="n"/>
      <c r="C455" s="33" t="n"/>
      <c r="D455" s="33" t="n"/>
      <c r="E455" s="32" t="n"/>
      <c r="F455" s="32" t="n"/>
      <c r="G455" s="32" t="n"/>
      <c r="H455" s="32" t="n"/>
      <c r="I455" s="32" t="n"/>
      <c r="J455" s="34" t="n"/>
      <c r="K455" s="33" t="n"/>
      <c r="L455" s="32" t="n"/>
      <c r="M455" s="33" t="n"/>
      <c r="N455" s="33" t="n"/>
      <c r="O455" s="33" t="n"/>
      <c r="P455" s="32" t="n"/>
      <c r="Q455" s="33" t="n"/>
      <c r="R455" s="33" t="n"/>
      <c r="S455" s="33" t="n"/>
      <c r="T455" s="33" t="n"/>
      <c r="U455" s="32" t="n"/>
      <c r="V455" s="33" t="n"/>
      <c r="W455" s="33" t="n"/>
      <c r="X455" s="33" t="n"/>
      <c r="Y455" s="33" t="n"/>
      <c r="Z455" s="33" t="n"/>
      <c r="AA455" s="33" t="n"/>
      <c r="AB455" s="33" t="n"/>
      <c r="AC455" s="33" t="n"/>
      <c r="AD455" s="33" t="n"/>
      <c r="AE455" s="33" t="n"/>
      <c r="AF455" s="32" t="n"/>
      <c r="AG455" s="32" t="n"/>
      <c r="AH455" s="32" t="n"/>
      <c r="AI455" s="32" t="n"/>
      <c r="AJ455" s="32" t="n"/>
      <c r="AK455" s="32" t="n"/>
      <c r="AL455" s="32" t="n"/>
      <c r="AM455" s="32" t="n"/>
      <c r="AN455" s="32" t="n"/>
      <c r="AO455" s="32" t="n"/>
      <c r="AP455" s="32" t="n"/>
      <c r="AQ455" s="32" t="n"/>
      <c r="AR455" s="29">
        <f>IF(NOT(COUNTA(A455:AE455)&gt;0),"",IF(A455="","New client","Update"))</f>
        <v/>
      </c>
      <c r="AS455" s="29">
        <f>IF(BA455&lt;&gt;"",BA455,IF(LEN(AZ455)=15,MID(AZ455,3,10),""))</f>
        <v/>
      </c>
      <c r="AT455" s="29">
        <f>IF(BB455="","",BB455&amp;IF(D455="","  (guessed from PAN)",""))</f>
        <v/>
      </c>
      <c r="AU455" s="29">
        <f>IF(AZ455="","",IFERROR(INDEX(Lists!$L$2:$L$38,MATCH(LEFT(AZ455,2),Lists!$K$2:$K$38,0)),"Unknown code"))</f>
        <v/>
      </c>
      <c r="AV455" s="29">
        <f>IF(AZ455="","",IFERROR(IF(NOT(AND(LEN(AZ455)=15,ISNUMBER(MATCH(LEFT(AZ455,2),Lists!$K$2:$K$38,0)),SUMPRODUCT(--ISERROR(FIND(MID(MID(AZ455,3,10),{1,2,3,4,5,10},1),"ABCDEFGHIJKLMNOPQRSTUVWXYZ")))=0,SUMPRODUCT(--ISERROR(FIND(MID(MID(AZ455,3,10),{6,7,8,9},1),"0123456789")))=0,ISNUMBER(FIND(MID(AZ455,13,1),"123456789ABCDEFGHIJKLMNOPQRSTUVWXYZ")),MID(AZ455,14,1)="Z")),"Wrong format",IF(MID("0123456789ABCDEFGHIJKLMNOPQRSTUVWXYZ",MOD(36-MOD(SUMPRODUCT(INT((FIND(MID(AZ455,{1,2,3,4,5,6,7,8,9,10,11,12,13,14},1),"0123456789ABCDEFGHIJKLMNOPQRSTUVWXYZ")-1)*{1,2,1,2,1,2,1,2,1,2,1,2,1,2}/36)+MOD((FIND(MID(AZ455,{1,2,3,4,5,6,7,8,9,10,11,12,13,14},1),"0123456789ABCDEFGHIJKLMNOPQRSTUVWXYZ")-1)*{1,2,1,2,1,2,1,2,1,2,1,2,1,2},36)),36),36)+1,1)=MID(AZ455,15,1),"OK","Typo? check digit wrong")),"Wrong format"))</f>
        <v/>
      </c>
      <c r="AW455" s="29">
        <f>IF(BA455="","",IF(AND(LEN(BA455)=10,SUMPRODUCT(--ISERROR(FIND(MID(BA455,{1,2,3,4,5,10},1),"ABCDEFGHIJKLMNOPQRSTUVWXYZ")))=0,SUMPRODUCT(--ISERROR(FIND(MID(BA455,{6,7,8,9},1),"0123456789")))=0),"OK","Wrong format"))</f>
        <v/>
      </c>
      <c r="AX455" s="29">
        <f>IF(TRIM(H455)="","",IF(AND(LEN(UPPER(TRIM(H455)))=10,SUMPRODUCT(--ISERROR(FIND(MID(UPPER(TRIM(H455)),{1,2,3,4,10},1),"ABCDEFGHIJKLMNOPQRSTUVWXYZ")))=0,SUMPRODUCT(--ISERROR(FIND(MID(UPPER(TRIM(H455)),{5,6,7,8,9},1),"0123456789")))=0),"OK","Wrong format"))</f>
        <v/>
      </c>
      <c r="AY455" s="30">
        <f>IF(NOT(COUNTA(A455:AE455)&gt;0),"",IF(BE455&lt;&gt;"","✖ "&amp;LEFT(BE455,LEN(BE455)-2),IF(BD455&gt;0,"✔ Ready — client + "&amp;BD455&amp;" service(s)","✔ Ready — client only")))</f>
        <v/>
      </c>
      <c r="AZ455" s="31">
        <f>UPPER(SUBSTITUTE(TRIM(F455)," ",""))</f>
        <v/>
      </c>
      <c r="BA455" s="31">
        <f>UPPER(SUBSTITUTE(TRIM(E455)," ",""))</f>
        <v/>
      </c>
      <c r="BB455" s="31">
        <f>IF(D455&lt;&gt;"",D455,IFERROR(VLOOKUP(MID(AS455,4,1),Lists!$E$2:$F$8,2,FALSE),""))</f>
        <v/>
      </c>
      <c r="BC455" s="31">
        <f>IFERROR(VLOOKUP(BB455,Lists!$A$2:$C$12,3,FALSE),"")</f>
        <v/>
      </c>
      <c r="BD455" s="31">
        <f>COUNTIF(W455:AC455,"Yes")</f>
        <v/>
      </c>
      <c r="BE455" s="31">
        <f>IF(TRIM(B455)="","Legal name missing; ","")&amp;IF(AND(AV455&lt;&gt;"",AV455&lt;&gt;"OK"),"GSTIN: "&amp;AV455&amp;"; ","")&amp;IF(AND(AW455&lt;&gt;"",AW455&lt;&gt;"OK"),"PAN wrong format; ","")&amp;IF(AND(BA455&lt;&gt;"",LEN(AZ455)=15,MID(AZ455,3,10)&lt;&gt;BA455),"PAN does not match GSTIN; ","")&amp;IF(AND(AX455&lt;&gt;"",AX455&lt;&gt;"OK"),"TAN wrong format; ","")&amp;IF(AS455="","PAN missing; ","")&amp;IF(BB455="","Entity type missing; ","")&amp;IF(AND(AZ455&lt;&gt;"",COUNTIF($AZ$6:$AZ$1005,AZ455)&gt;1),"GSTIN repeated in this sheet; ","")&amp;IF(AND(AS455&lt;&gt;"",COUNTIF($AS$6:$AS$1005,AS455)&gt;1),"PAN repeated in this sheet (same client? put extra GSTINs in Other GSTINs); ","")&amp;IF(AND(BD455&gt;0,V455=""),"Financial year missing; ","")&amp;IF(AND(BD455=0,V455&lt;&gt;""),"Financial year given but no service is Yes; ","")&amp;IF(AND(W455="Yes",AZ455=""),"GST needs a GSTIN; ","")&amp;IF(AND(W455="Yes",X455=""),"GST return frequency missing; ","")&amp;IF(AND(Y455="Yes",TRIM(H455)=""),"TDS needs a TAN; ","")&amp;IF(AND(AA455="Yes",BC455&lt;&gt;"",BC455&lt;&gt;"company",BC455&lt;&gt;"llp"),"ROC is only for a company / LLP; ","")&amp;IF(AND(AA455="Yes",OR(BC455="company",BC455="llp"),TRIM(I455)=""),"ROC needs the CIN / LLPIN; ","")&amp;IF((TRIM(AF455)="")&lt;&gt;(TRIM(AG455)=""),"GST login needs both user ID and password; ","")&amp;IF((TRIM(AH455)="")&lt;&gt;(TRIM(AI455)=""),"Income-tax login needs both user ID and password; ","")&amp;IF((TRIM(AJ455)="")&lt;&gt;(TRIM(AK455)=""),"Income-tax login needs both user ID and password; ","")&amp;IF((TRIM(AL455)="")&lt;&gt;(TRIM(AM455)=""),"TRACES login needs both user ID and password; ","")&amp;IF((TRIM(AN455)="")&lt;&gt;(TRIM(AO455)=""),"MCA login needs both user ID and password; ","")&amp;IF((TRIM(AP455)="")&lt;&gt;(TRIM(AQ455)=""),"E-way bill login needs both user ID and password; ","")</f>
        <v/>
      </c>
    </row>
    <row r="456">
      <c r="A456" s="32" t="n"/>
      <c r="B456" s="33" t="n"/>
      <c r="C456" s="33" t="n"/>
      <c r="D456" s="33" t="n"/>
      <c r="E456" s="32" t="n"/>
      <c r="F456" s="32" t="n"/>
      <c r="G456" s="32" t="n"/>
      <c r="H456" s="32" t="n"/>
      <c r="I456" s="32" t="n"/>
      <c r="J456" s="34" t="n"/>
      <c r="K456" s="33" t="n"/>
      <c r="L456" s="32" t="n"/>
      <c r="M456" s="33" t="n"/>
      <c r="N456" s="33" t="n"/>
      <c r="O456" s="33" t="n"/>
      <c r="P456" s="32" t="n"/>
      <c r="Q456" s="33" t="n"/>
      <c r="R456" s="33" t="n"/>
      <c r="S456" s="33" t="n"/>
      <c r="T456" s="33" t="n"/>
      <c r="U456" s="32" t="n"/>
      <c r="V456" s="33" t="n"/>
      <c r="W456" s="33" t="n"/>
      <c r="X456" s="33" t="n"/>
      <c r="Y456" s="33" t="n"/>
      <c r="Z456" s="33" t="n"/>
      <c r="AA456" s="33" t="n"/>
      <c r="AB456" s="33" t="n"/>
      <c r="AC456" s="33" t="n"/>
      <c r="AD456" s="33" t="n"/>
      <c r="AE456" s="33" t="n"/>
      <c r="AF456" s="32" t="n"/>
      <c r="AG456" s="32" t="n"/>
      <c r="AH456" s="32" t="n"/>
      <c r="AI456" s="32" t="n"/>
      <c r="AJ456" s="32" t="n"/>
      <c r="AK456" s="32" t="n"/>
      <c r="AL456" s="32" t="n"/>
      <c r="AM456" s="32" t="n"/>
      <c r="AN456" s="32" t="n"/>
      <c r="AO456" s="32" t="n"/>
      <c r="AP456" s="32" t="n"/>
      <c r="AQ456" s="32" t="n"/>
      <c r="AR456" s="29">
        <f>IF(NOT(COUNTA(A456:AE456)&gt;0),"",IF(A456="","New client","Update"))</f>
        <v/>
      </c>
      <c r="AS456" s="29">
        <f>IF(BA456&lt;&gt;"",BA456,IF(LEN(AZ456)=15,MID(AZ456,3,10),""))</f>
        <v/>
      </c>
      <c r="AT456" s="29">
        <f>IF(BB456="","",BB456&amp;IF(D456="","  (guessed from PAN)",""))</f>
        <v/>
      </c>
      <c r="AU456" s="29">
        <f>IF(AZ456="","",IFERROR(INDEX(Lists!$L$2:$L$38,MATCH(LEFT(AZ456,2),Lists!$K$2:$K$38,0)),"Unknown code"))</f>
        <v/>
      </c>
      <c r="AV456" s="29">
        <f>IF(AZ456="","",IFERROR(IF(NOT(AND(LEN(AZ456)=15,ISNUMBER(MATCH(LEFT(AZ456,2),Lists!$K$2:$K$38,0)),SUMPRODUCT(--ISERROR(FIND(MID(MID(AZ456,3,10),{1,2,3,4,5,10},1),"ABCDEFGHIJKLMNOPQRSTUVWXYZ")))=0,SUMPRODUCT(--ISERROR(FIND(MID(MID(AZ456,3,10),{6,7,8,9},1),"0123456789")))=0,ISNUMBER(FIND(MID(AZ456,13,1),"123456789ABCDEFGHIJKLMNOPQRSTUVWXYZ")),MID(AZ456,14,1)="Z")),"Wrong format",IF(MID("0123456789ABCDEFGHIJKLMNOPQRSTUVWXYZ",MOD(36-MOD(SUMPRODUCT(INT((FIND(MID(AZ456,{1,2,3,4,5,6,7,8,9,10,11,12,13,14},1),"0123456789ABCDEFGHIJKLMNOPQRSTUVWXYZ")-1)*{1,2,1,2,1,2,1,2,1,2,1,2,1,2}/36)+MOD((FIND(MID(AZ456,{1,2,3,4,5,6,7,8,9,10,11,12,13,14},1),"0123456789ABCDEFGHIJKLMNOPQRSTUVWXYZ")-1)*{1,2,1,2,1,2,1,2,1,2,1,2,1,2},36)),36),36)+1,1)=MID(AZ456,15,1),"OK","Typo? check digit wrong")),"Wrong format"))</f>
        <v/>
      </c>
      <c r="AW456" s="29">
        <f>IF(BA456="","",IF(AND(LEN(BA456)=10,SUMPRODUCT(--ISERROR(FIND(MID(BA456,{1,2,3,4,5,10},1),"ABCDEFGHIJKLMNOPQRSTUVWXYZ")))=0,SUMPRODUCT(--ISERROR(FIND(MID(BA456,{6,7,8,9},1),"0123456789")))=0),"OK","Wrong format"))</f>
        <v/>
      </c>
      <c r="AX456" s="29">
        <f>IF(TRIM(H456)="","",IF(AND(LEN(UPPER(TRIM(H456)))=10,SUMPRODUCT(--ISERROR(FIND(MID(UPPER(TRIM(H456)),{1,2,3,4,10},1),"ABCDEFGHIJKLMNOPQRSTUVWXYZ")))=0,SUMPRODUCT(--ISERROR(FIND(MID(UPPER(TRIM(H456)),{5,6,7,8,9},1),"0123456789")))=0),"OK","Wrong format"))</f>
        <v/>
      </c>
      <c r="AY456" s="30">
        <f>IF(NOT(COUNTA(A456:AE456)&gt;0),"",IF(BE456&lt;&gt;"","✖ "&amp;LEFT(BE456,LEN(BE456)-2),IF(BD456&gt;0,"✔ Ready — client + "&amp;BD456&amp;" service(s)","✔ Ready — client only")))</f>
        <v/>
      </c>
      <c r="AZ456" s="31">
        <f>UPPER(SUBSTITUTE(TRIM(F456)," ",""))</f>
        <v/>
      </c>
      <c r="BA456" s="31">
        <f>UPPER(SUBSTITUTE(TRIM(E456)," ",""))</f>
        <v/>
      </c>
      <c r="BB456" s="31">
        <f>IF(D456&lt;&gt;"",D456,IFERROR(VLOOKUP(MID(AS456,4,1),Lists!$E$2:$F$8,2,FALSE),""))</f>
        <v/>
      </c>
      <c r="BC456" s="31">
        <f>IFERROR(VLOOKUP(BB456,Lists!$A$2:$C$12,3,FALSE),"")</f>
        <v/>
      </c>
      <c r="BD456" s="31">
        <f>COUNTIF(W456:AC456,"Yes")</f>
        <v/>
      </c>
      <c r="BE456" s="31">
        <f>IF(TRIM(B456)="","Legal name missing; ","")&amp;IF(AND(AV456&lt;&gt;"",AV456&lt;&gt;"OK"),"GSTIN: "&amp;AV456&amp;"; ","")&amp;IF(AND(AW456&lt;&gt;"",AW456&lt;&gt;"OK"),"PAN wrong format; ","")&amp;IF(AND(BA456&lt;&gt;"",LEN(AZ456)=15,MID(AZ456,3,10)&lt;&gt;BA456),"PAN does not match GSTIN; ","")&amp;IF(AND(AX456&lt;&gt;"",AX456&lt;&gt;"OK"),"TAN wrong format; ","")&amp;IF(AS456="","PAN missing; ","")&amp;IF(BB456="","Entity type missing; ","")&amp;IF(AND(AZ456&lt;&gt;"",COUNTIF($AZ$6:$AZ$1005,AZ456)&gt;1),"GSTIN repeated in this sheet; ","")&amp;IF(AND(AS456&lt;&gt;"",COUNTIF($AS$6:$AS$1005,AS456)&gt;1),"PAN repeated in this sheet (same client? put extra GSTINs in Other GSTINs); ","")&amp;IF(AND(BD456&gt;0,V456=""),"Financial year missing; ","")&amp;IF(AND(BD456=0,V456&lt;&gt;""),"Financial year given but no service is Yes; ","")&amp;IF(AND(W456="Yes",AZ456=""),"GST needs a GSTIN; ","")&amp;IF(AND(W456="Yes",X456=""),"GST return frequency missing; ","")&amp;IF(AND(Y456="Yes",TRIM(H456)=""),"TDS needs a TAN; ","")&amp;IF(AND(AA456="Yes",BC456&lt;&gt;"",BC456&lt;&gt;"company",BC456&lt;&gt;"llp"),"ROC is only for a company / LLP; ","")&amp;IF(AND(AA456="Yes",OR(BC456="company",BC456="llp"),TRIM(I456)=""),"ROC needs the CIN / LLPIN; ","")&amp;IF((TRIM(AF456)="")&lt;&gt;(TRIM(AG456)=""),"GST login needs both user ID and password; ","")&amp;IF((TRIM(AH456)="")&lt;&gt;(TRIM(AI456)=""),"Income-tax login needs both user ID and password; ","")&amp;IF((TRIM(AJ456)="")&lt;&gt;(TRIM(AK456)=""),"Income-tax login needs both user ID and password; ","")&amp;IF((TRIM(AL456)="")&lt;&gt;(TRIM(AM456)=""),"TRACES login needs both user ID and password; ","")&amp;IF((TRIM(AN456)="")&lt;&gt;(TRIM(AO456)=""),"MCA login needs both user ID and password; ","")&amp;IF((TRIM(AP456)="")&lt;&gt;(TRIM(AQ456)=""),"E-way bill login needs both user ID and password; ","")</f>
        <v/>
      </c>
    </row>
    <row r="457">
      <c r="A457" s="32" t="n"/>
      <c r="B457" s="33" t="n"/>
      <c r="C457" s="33" t="n"/>
      <c r="D457" s="33" t="n"/>
      <c r="E457" s="32" t="n"/>
      <c r="F457" s="32" t="n"/>
      <c r="G457" s="32" t="n"/>
      <c r="H457" s="32" t="n"/>
      <c r="I457" s="32" t="n"/>
      <c r="J457" s="34" t="n"/>
      <c r="K457" s="33" t="n"/>
      <c r="L457" s="32" t="n"/>
      <c r="M457" s="33" t="n"/>
      <c r="N457" s="33" t="n"/>
      <c r="O457" s="33" t="n"/>
      <c r="P457" s="32" t="n"/>
      <c r="Q457" s="33" t="n"/>
      <c r="R457" s="33" t="n"/>
      <c r="S457" s="33" t="n"/>
      <c r="T457" s="33" t="n"/>
      <c r="U457" s="32" t="n"/>
      <c r="V457" s="33" t="n"/>
      <c r="W457" s="33" t="n"/>
      <c r="X457" s="33" t="n"/>
      <c r="Y457" s="33" t="n"/>
      <c r="Z457" s="33" t="n"/>
      <c r="AA457" s="33" t="n"/>
      <c r="AB457" s="33" t="n"/>
      <c r="AC457" s="33" t="n"/>
      <c r="AD457" s="33" t="n"/>
      <c r="AE457" s="33" t="n"/>
      <c r="AF457" s="32" t="n"/>
      <c r="AG457" s="32" t="n"/>
      <c r="AH457" s="32" t="n"/>
      <c r="AI457" s="32" t="n"/>
      <c r="AJ457" s="32" t="n"/>
      <c r="AK457" s="32" t="n"/>
      <c r="AL457" s="32" t="n"/>
      <c r="AM457" s="32" t="n"/>
      <c r="AN457" s="32" t="n"/>
      <c r="AO457" s="32" t="n"/>
      <c r="AP457" s="32" t="n"/>
      <c r="AQ457" s="32" t="n"/>
      <c r="AR457" s="29">
        <f>IF(NOT(COUNTA(A457:AE457)&gt;0),"",IF(A457="","New client","Update"))</f>
        <v/>
      </c>
      <c r="AS457" s="29">
        <f>IF(BA457&lt;&gt;"",BA457,IF(LEN(AZ457)=15,MID(AZ457,3,10),""))</f>
        <v/>
      </c>
      <c r="AT457" s="29">
        <f>IF(BB457="","",BB457&amp;IF(D457="","  (guessed from PAN)",""))</f>
        <v/>
      </c>
      <c r="AU457" s="29">
        <f>IF(AZ457="","",IFERROR(INDEX(Lists!$L$2:$L$38,MATCH(LEFT(AZ457,2),Lists!$K$2:$K$38,0)),"Unknown code"))</f>
        <v/>
      </c>
      <c r="AV457" s="29">
        <f>IF(AZ457="","",IFERROR(IF(NOT(AND(LEN(AZ457)=15,ISNUMBER(MATCH(LEFT(AZ457,2),Lists!$K$2:$K$38,0)),SUMPRODUCT(--ISERROR(FIND(MID(MID(AZ457,3,10),{1,2,3,4,5,10},1),"ABCDEFGHIJKLMNOPQRSTUVWXYZ")))=0,SUMPRODUCT(--ISERROR(FIND(MID(MID(AZ457,3,10),{6,7,8,9},1),"0123456789")))=0,ISNUMBER(FIND(MID(AZ457,13,1),"123456789ABCDEFGHIJKLMNOPQRSTUVWXYZ")),MID(AZ457,14,1)="Z")),"Wrong format",IF(MID("0123456789ABCDEFGHIJKLMNOPQRSTUVWXYZ",MOD(36-MOD(SUMPRODUCT(INT((FIND(MID(AZ457,{1,2,3,4,5,6,7,8,9,10,11,12,13,14},1),"0123456789ABCDEFGHIJKLMNOPQRSTUVWXYZ")-1)*{1,2,1,2,1,2,1,2,1,2,1,2,1,2}/36)+MOD((FIND(MID(AZ457,{1,2,3,4,5,6,7,8,9,10,11,12,13,14},1),"0123456789ABCDEFGHIJKLMNOPQRSTUVWXYZ")-1)*{1,2,1,2,1,2,1,2,1,2,1,2,1,2},36)),36),36)+1,1)=MID(AZ457,15,1),"OK","Typo? check digit wrong")),"Wrong format"))</f>
        <v/>
      </c>
      <c r="AW457" s="29">
        <f>IF(BA457="","",IF(AND(LEN(BA457)=10,SUMPRODUCT(--ISERROR(FIND(MID(BA457,{1,2,3,4,5,10},1),"ABCDEFGHIJKLMNOPQRSTUVWXYZ")))=0,SUMPRODUCT(--ISERROR(FIND(MID(BA457,{6,7,8,9},1),"0123456789")))=0),"OK","Wrong format"))</f>
        <v/>
      </c>
      <c r="AX457" s="29">
        <f>IF(TRIM(H457)="","",IF(AND(LEN(UPPER(TRIM(H457)))=10,SUMPRODUCT(--ISERROR(FIND(MID(UPPER(TRIM(H457)),{1,2,3,4,10},1),"ABCDEFGHIJKLMNOPQRSTUVWXYZ")))=0,SUMPRODUCT(--ISERROR(FIND(MID(UPPER(TRIM(H457)),{5,6,7,8,9},1),"0123456789")))=0),"OK","Wrong format"))</f>
        <v/>
      </c>
      <c r="AY457" s="30">
        <f>IF(NOT(COUNTA(A457:AE457)&gt;0),"",IF(BE457&lt;&gt;"","✖ "&amp;LEFT(BE457,LEN(BE457)-2),IF(BD457&gt;0,"✔ Ready — client + "&amp;BD457&amp;" service(s)","✔ Ready — client only")))</f>
        <v/>
      </c>
      <c r="AZ457" s="31">
        <f>UPPER(SUBSTITUTE(TRIM(F457)," ",""))</f>
        <v/>
      </c>
      <c r="BA457" s="31">
        <f>UPPER(SUBSTITUTE(TRIM(E457)," ",""))</f>
        <v/>
      </c>
      <c r="BB457" s="31">
        <f>IF(D457&lt;&gt;"",D457,IFERROR(VLOOKUP(MID(AS457,4,1),Lists!$E$2:$F$8,2,FALSE),""))</f>
        <v/>
      </c>
      <c r="BC457" s="31">
        <f>IFERROR(VLOOKUP(BB457,Lists!$A$2:$C$12,3,FALSE),"")</f>
        <v/>
      </c>
      <c r="BD457" s="31">
        <f>COUNTIF(W457:AC457,"Yes")</f>
        <v/>
      </c>
      <c r="BE457" s="31">
        <f>IF(TRIM(B457)="","Legal name missing; ","")&amp;IF(AND(AV457&lt;&gt;"",AV457&lt;&gt;"OK"),"GSTIN: "&amp;AV457&amp;"; ","")&amp;IF(AND(AW457&lt;&gt;"",AW457&lt;&gt;"OK"),"PAN wrong format; ","")&amp;IF(AND(BA457&lt;&gt;"",LEN(AZ457)=15,MID(AZ457,3,10)&lt;&gt;BA457),"PAN does not match GSTIN; ","")&amp;IF(AND(AX457&lt;&gt;"",AX457&lt;&gt;"OK"),"TAN wrong format; ","")&amp;IF(AS457="","PAN missing; ","")&amp;IF(BB457="","Entity type missing; ","")&amp;IF(AND(AZ457&lt;&gt;"",COUNTIF($AZ$6:$AZ$1005,AZ457)&gt;1),"GSTIN repeated in this sheet; ","")&amp;IF(AND(AS457&lt;&gt;"",COUNTIF($AS$6:$AS$1005,AS457)&gt;1),"PAN repeated in this sheet (same client? put extra GSTINs in Other GSTINs); ","")&amp;IF(AND(BD457&gt;0,V457=""),"Financial year missing; ","")&amp;IF(AND(BD457=0,V457&lt;&gt;""),"Financial year given but no service is Yes; ","")&amp;IF(AND(W457="Yes",AZ457=""),"GST needs a GSTIN; ","")&amp;IF(AND(W457="Yes",X457=""),"GST return frequency missing; ","")&amp;IF(AND(Y457="Yes",TRIM(H457)=""),"TDS needs a TAN; ","")&amp;IF(AND(AA457="Yes",BC457&lt;&gt;"",BC457&lt;&gt;"company",BC457&lt;&gt;"llp"),"ROC is only for a company / LLP; ","")&amp;IF(AND(AA457="Yes",OR(BC457="company",BC457="llp"),TRIM(I457)=""),"ROC needs the CIN / LLPIN; ","")&amp;IF((TRIM(AF457)="")&lt;&gt;(TRIM(AG457)=""),"GST login needs both user ID and password; ","")&amp;IF((TRIM(AH457)="")&lt;&gt;(TRIM(AI457)=""),"Income-tax login needs both user ID and password; ","")&amp;IF((TRIM(AJ457)="")&lt;&gt;(TRIM(AK457)=""),"Income-tax login needs both user ID and password; ","")&amp;IF((TRIM(AL457)="")&lt;&gt;(TRIM(AM457)=""),"TRACES login needs both user ID and password; ","")&amp;IF((TRIM(AN457)="")&lt;&gt;(TRIM(AO457)=""),"MCA login needs both user ID and password; ","")&amp;IF((TRIM(AP457)="")&lt;&gt;(TRIM(AQ457)=""),"E-way bill login needs both user ID and password; ","")</f>
        <v/>
      </c>
    </row>
    <row r="458">
      <c r="A458" s="32" t="n"/>
      <c r="B458" s="33" t="n"/>
      <c r="C458" s="33" t="n"/>
      <c r="D458" s="33" t="n"/>
      <c r="E458" s="32" t="n"/>
      <c r="F458" s="32" t="n"/>
      <c r="G458" s="32" t="n"/>
      <c r="H458" s="32" t="n"/>
      <c r="I458" s="32" t="n"/>
      <c r="J458" s="34" t="n"/>
      <c r="K458" s="33" t="n"/>
      <c r="L458" s="32" t="n"/>
      <c r="M458" s="33" t="n"/>
      <c r="N458" s="33" t="n"/>
      <c r="O458" s="33" t="n"/>
      <c r="P458" s="32" t="n"/>
      <c r="Q458" s="33" t="n"/>
      <c r="R458" s="33" t="n"/>
      <c r="S458" s="33" t="n"/>
      <c r="T458" s="33" t="n"/>
      <c r="U458" s="32" t="n"/>
      <c r="V458" s="33" t="n"/>
      <c r="W458" s="33" t="n"/>
      <c r="X458" s="33" t="n"/>
      <c r="Y458" s="33" t="n"/>
      <c r="Z458" s="33" t="n"/>
      <c r="AA458" s="33" t="n"/>
      <c r="AB458" s="33" t="n"/>
      <c r="AC458" s="33" t="n"/>
      <c r="AD458" s="33" t="n"/>
      <c r="AE458" s="33" t="n"/>
      <c r="AF458" s="32" t="n"/>
      <c r="AG458" s="32" t="n"/>
      <c r="AH458" s="32" t="n"/>
      <c r="AI458" s="32" t="n"/>
      <c r="AJ458" s="32" t="n"/>
      <c r="AK458" s="32" t="n"/>
      <c r="AL458" s="32" t="n"/>
      <c r="AM458" s="32" t="n"/>
      <c r="AN458" s="32" t="n"/>
      <c r="AO458" s="32" t="n"/>
      <c r="AP458" s="32" t="n"/>
      <c r="AQ458" s="32" t="n"/>
      <c r="AR458" s="29">
        <f>IF(NOT(COUNTA(A458:AE458)&gt;0),"",IF(A458="","New client","Update"))</f>
        <v/>
      </c>
      <c r="AS458" s="29">
        <f>IF(BA458&lt;&gt;"",BA458,IF(LEN(AZ458)=15,MID(AZ458,3,10),""))</f>
        <v/>
      </c>
      <c r="AT458" s="29">
        <f>IF(BB458="","",BB458&amp;IF(D458="","  (guessed from PAN)",""))</f>
        <v/>
      </c>
      <c r="AU458" s="29">
        <f>IF(AZ458="","",IFERROR(INDEX(Lists!$L$2:$L$38,MATCH(LEFT(AZ458,2),Lists!$K$2:$K$38,0)),"Unknown code"))</f>
        <v/>
      </c>
      <c r="AV458" s="29">
        <f>IF(AZ458="","",IFERROR(IF(NOT(AND(LEN(AZ458)=15,ISNUMBER(MATCH(LEFT(AZ458,2),Lists!$K$2:$K$38,0)),SUMPRODUCT(--ISERROR(FIND(MID(MID(AZ458,3,10),{1,2,3,4,5,10},1),"ABCDEFGHIJKLMNOPQRSTUVWXYZ")))=0,SUMPRODUCT(--ISERROR(FIND(MID(MID(AZ458,3,10),{6,7,8,9},1),"0123456789")))=0,ISNUMBER(FIND(MID(AZ458,13,1),"123456789ABCDEFGHIJKLMNOPQRSTUVWXYZ")),MID(AZ458,14,1)="Z")),"Wrong format",IF(MID("0123456789ABCDEFGHIJKLMNOPQRSTUVWXYZ",MOD(36-MOD(SUMPRODUCT(INT((FIND(MID(AZ458,{1,2,3,4,5,6,7,8,9,10,11,12,13,14},1),"0123456789ABCDEFGHIJKLMNOPQRSTUVWXYZ")-1)*{1,2,1,2,1,2,1,2,1,2,1,2,1,2}/36)+MOD((FIND(MID(AZ458,{1,2,3,4,5,6,7,8,9,10,11,12,13,14},1),"0123456789ABCDEFGHIJKLMNOPQRSTUVWXYZ")-1)*{1,2,1,2,1,2,1,2,1,2,1,2,1,2},36)),36),36)+1,1)=MID(AZ458,15,1),"OK","Typo? check digit wrong")),"Wrong format"))</f>
        <v/>
      </c>
      <c r="AW458" s="29">
        <f>IF(BA458="","",IF(AND(LEN(BA458)=10,SUMPRODUCT(--ISERROR(FIND(MID(BA458,{1,2,3,4,5,10},1),"ABCDEFGHIJKLMNOPQRSTUVWXYZ")))=0,SUMPRODUCT(--ISERROR(FIND(MID(BA458,{6,7,8,9},1),"0123456789")))=0),"OK","Wrong format"))</f>
        <v/>
      </c>
      <c r="AX458" s="29">
        <f>IF(TRIM(H458)="","",IF(AND(LEN(UPPER(TRIM(H458)))=10,SUMPRODUCT(--ISERROR(FIND(MID(UPPER(TRIM(H458)),{1,2,3,4,10},1),"ABCDEFGHIJKLMNOPQRSTUVWXYZ")))=0,SUMPRODUCT(--ISERROR(FIND(MID(UPPER(TRIM(H458)),{5,6,7,8,9},1),"0123456789")))=0),"OK","Wrong format"))</f>
        <v/>
      </c>
      <c r="AY458" s="30">
        <f>IF(NOT(COUNTA(A458:AE458)&gt;0),"",IF(BE458&lt;&gt;"","✖ "&amp;LEFT(BE458,LEN(BE458)-2),IF(BD458&gt;0,"✔ Ready — client + "&amp;BD458&amp;" service(s)","✔ Ready — client only")))</f>
        <v/>
      </c>
      <c r="AZ458" s="31">
        <f>UPPER(SUBSTITUTE(TRIM(F458)," ",""))</f>
        <v/>
      </c>
      <c r="BA458" s="31">
        <f>UPPER(SUBSTITUTE(TRIM(E458)," ",""))</f>
        <v/>
      </c>
      <c r="BB458" s="31">
        <f>IF(D458&lt;&gt;"",D458,IFERROR(VLOOKUP(MID(AS458,4,1),Lists!$E$2:$F$8,2,FALSE),""))</f>
        <v/>
      </c>
      <c r="BC458" s="31">
        <f>IFERROR(VLOOKUP(BB458,Lists!$A$2:$C$12,3,FALSE),"")</f>
        <v/>
      </c>
      <c r="BD458" s="31">
        <f>COUNTIF(W458:AC458,"Yes")</f>
        <v/>
      </c>
      <c r="BE458" s="31">
        <f>IF(TRIM(B458)="","Legal name missing; ","")&amp;IF(AND(AV458&lt;&gt;"",AV458&lt;&gt;"OK"),"GSTIN: "&amp;AV458&amp;"; ","")&amp;IF(AND(AW458&lt;&gt;"",AW458&lt;&gt;"OK"),"PAN wrong format; ","")&amp;IF(AND(BA458&lt;&gt;"",LEN(AZ458)=15,MID(AZ458,3,10)&lt;&gt;BA458),"PAN does not match GSTIN; ","")&amp;IF(AND(AX458&lt;&gt;"",AX458&lt;&gt;"OK"),"TAN wrong format; ","")&amp;IF(AS458="","PAN missing; ","")&amp;IF(BB458="","Entity type missing; ","")&amp;IF(AND(AZ458&lt;&gt;"",COUNTIF($AZ$6:$AZ$1005,AZ458)&gt;1),"GSTIN repeated in this sheet; ","")&amp;IF(AND(AS458&lt;&gt;"",COUNTIF($AS$6:$AS$1005,AS458)&gt;1),"PAN repeated in this sheet (same client? put extra GSTINs in Other GSTINs); ","")&amp;IF(AND(BD458&gt;0,V458=""),"Financial year missing; ","")&amp;IF(AND(BD458=0,V458&lt;&gt;""),"Financial year given but no service is Yes; ","")&amp;IF(AND(W458="Yes",AZ458=""),"GST needs a GSTIN; ","")&amp;IF(AND(W458="Yes",X458=""),"GST return frequency missing; ","")&amp;IF(AND(Y458="Yes",TRIM(H458)=""),"TDS needs a TAN; ","")&amp;IF(AND(AA458="Yes",BC458&lt;&gt;"",BC458&lt;&gt;"company",BC458&lt;&gt;"llp"),"ROC is only for a company / LLP; ","")&amp;IF(AND(AA458="Yes",OR(BC458="company",BC458="llp"),TRIM(I458)=""),"ROC needs the CIN / LLPIN; ","")&amp;IF((TRIM(AF458)="")&lt;&gt;(TRIM(AG458)=""),"GST login needs both user ID and password; ","")&amp;IF((TRIM(AH458)="")&lt;&gt;(TRIM(AI458)=""),"Income-tax login needs both user ID and password; ","")&amp;IF((TRIM(AJ458)="")&lt;&gt;(TRIM(AK458)=""),"Income-tax login needs both user ID and password; ","")&amp;IF((TRIM(AL458)="")&lt;&gt;(TRIM(AM458)=""),"TRACES login needs both user ID and password; ","")&amp;IF((TRIM(AN458)="")&lt;&gt;(TRIM(AO458)=""),"MCA login needs both user ID and password; ","")&amp;IF((TRIM(AP458)="")&lt;&gt;(TRIM(AQ458)=""),"E-way bill login needs both user ID and password; ","")</f>
        <v/>
      </c>
    </row>
    <row r="459">
      <c r="A459" s="32" t="n"/>
      <c r="B459" s="33" t="n"/>
      <c r="C459" s="33" t="n"/>
      <c r="D459" s="33" t="n"/>
      <c r="E459" s="32" t="n"/>
      <c r="F459" s="32" t="n"/>
      <c r="G459" s="32" t="n"/>
      <c r="H459" s="32" t="n"/>
      <c r="I459" s="32" t="n"/>
      <c r="J459" s="34" t="n"/>
      <c r="K459" s="33" t="n"/>
      <c r="L459" s="32" t="n"/>
      <c r="M459" s="33" t="n"/>
      <c r="N459" s="33" t="n"/>
      <c r="O459" s="33" t="n"/>
      <c r="P459" s="32" t="n"/>
      <c r="Q459" s="33" t="n"/>
      <c r="R459" s="33" t="n"/>
      <c r="S459" s="33" t="n"/>
      <c r="T459" s="33" t="n"/>
      <c r="U459" s="32" t="n"/>
      <c r="V459" s="33" t="n"/>
      <c r="W459" s="33" t="n"/>
      <c r="X459" s="33" t="n"/>
      <c r="Y459" s="33" t="n"/>
      <c r="Z459" s="33" t="n"/>
      <c r="AA459" s="33" t="n"/>
      <c r="AB459" s="33" t="n"/>
      <c r="AC459" s="33" t="n"/>
      <c r="AD459" s="33" t="n"/>
      <c r="AE459" s="33" t="n"/>
      <c r="AF459" s="32" t="n"/>
      <c r="AG459" s="32" t="n"/>
      <c r="AH459" s="32" t="n"/>
      <c r="AI459" s="32" t="n"/>
      <c r="AJ459" s="32" t="n"/>
      <c r="AK459" s="32" t="n"/>
      <c r="AL459" s="32" t="n"/>
      <c r="AM459" s="32" t="n"/>
      <c r="AN459" s="32" t="n"/>
      <c r="AO459" s="32" t="n"/>
      <c r="AP459" s="32" t="n"/>
      <c r="AQ459" s="32" t="n"/>
      <c r="AR459" s="29">
        <f>IF(NOT(COUNTA(A459:AE459)&gt;0),"",IF(A459="","New client","Update"))</f>
        <v/>
      </c>
      <c r="AS459" s="29">
        <f>IF(BA459&lt;&gt;"",BA459,IF(LEN(AZ459)=15,MID(AZ459,3,10),""))</f>
        <v/>
      </c>
      <c r="AT459" s="29">
        <f>IF(BB459="","",BB459&amp;IF(D459="","  (guessed from PAN)",""))</f>
        <v/>
      </c>
      <c r="AU459" s="29">
        <f>IF(AZ459="","",IFERROR(INDEX(Lists!$L$2:$L$38,MATCH(LEFT(AZ459,2),Lists!$K$2:$K$38,0)),"Unknown code"))</f>
        <v/>
      </c>
      <c r="AV459" s="29">
        <f>IF(AZ459="","",IFERROR(IF(NOT(AND(LEN(AZ459)=15,ISNUMBER(MATCH(LEFT(AZ459,2),Lists!$K$2:$K$38,0)),SUMPRODUCT(--ISERROR(FIND(MID(MID(AZ459,3,10),{1,2,3,4,5,10},1),"ABCDEFGHIJKLMNOPQRSTUVWXYZ")))=0,SUMPRODUCT(--ISERROR(FIND(MID(MID(AZ459,3,10),{6,7,8,9},1),"0123456789")))=0,ISNUMBER(FIND(MID(AZ459,13,1),"123456789ABCDEFGHIJKLMNOPQRSTUVWXYZ")),MID(AZ459,14,1)="Z")),"Wrong format",IF(MID("0123456789ABCDEFGHIJKLMNOPQRSTUVWXYZ",MOD(36-MOD(SUMPRODUCT(INT((FIND(MID(AZ459,{1,2,3,4,5,6,7,8,9,10,11,12,13,14},1),"0123456789ABCDEFGHIJKLMNOPQRSTUVWXYZ")-1)*{1,2,1,2,1,2,1,2,1,2,1,2,1,2}/36)+MOD((FIND(MID(AZ459,{1,2,3,4,5,6,7,8,9,10,11,12,13,14},1),"0123456789ABCDEFGHIJKLMNOPQRSTUVWXYZ")-1)*{1,2,1,2,1,2,1,2,1,2,1,2,1,2},36)),36),36)+1,1)=MID(AZ459,15,1),"OK","Typo? check digit wrong")),"Wrong format"))</f>
        <v/>
      </c>
      <c r="AW459" s="29">
        <f>IF(BA459="","",IF(AND(LEN(BA459)=10,SUMPRODUCT(--ISERROR(FIND(MID(BA459,{1,2,3,4,5,10},1),"ABCDEFGHIJKLMNOPQRSTUVWXYZ")))=0,SUMPRODUCT(--ISERROR(FIND(MID(BA459,{6,7,8,9},1),"0123456789")))=0),"OK","Wrong format"))</f>
        <v/>
      </c>
      <c r="AX459" s="29">
        <f>IF(TRIM(H459)="","",IF(AND(LEN(UPPER(TRIM(H459)))=10,SUMPRODUCT(--ISERROR(FIND(MID(UPPER(TRIM(H459)),{1,2,3,4,10},1),"ABCDEFGHIJKLMNOPQRSTUVWXYZ")))=0,SUMPRODUCT(--ISERROR(FIND(MID(UPPER(TRIM(H459)),{5,6,7,8,9},1),"0123456789")))=0),"OK","Wrong format"))</f>
        <v/>
      </c>
      <c r="AY459" s="30">
        <f>IF(NOT(COUNTA(A459:AE459)&gt;0),"",IF(BE459&lt;&gt;"","✖ "&amp;LEFT(BE459,LEN(BE459)-2),IF(BD459&gt;0,"✔ Ready — client + "&amp;BD459&amp;" service(s)","✔ Ready — client only")))</f>
        <v/>
      </c>
      <c r="AZ459" s="31">
        <f>UPPER(SUBSTITUTE(TRIM(F459)," ",""))</f>
        <v/>
      </c>
      <c r="BA459" s="31">
        <f>UPPER(SUBSTITUTE(TRIM(E459)," ",""))</f>
        <v/>
      </c>
      <c r="BB459" s="31">
        <f>IF(D459&lt;&gt;"",D459,IFERROR(VLOOKUP(MID(AS459,4,1),Lists!$E$2:$F$8,2,FALSE),""))</f>
        <v/>
      </c>
      <c r="BC459" s="31">
        <f>IFERROR(VLOOKUP(BB459,Lists!$A$2:$C$12,3,FALSE),"")</f>
        <v/>
      </c>
      <c r="BD459" s="31">
        <f>COUNTIF(W459:AC459,"Yes")</f>
        <v/>
      </c>
      <c r="BE459" s="31">
        <f>IF(TRIM(B459)="","Legal name missing; ","")&amp;IF(AND(AV459&lt;&gt;"",AV459&lt;&gt;"OK"),"GSTIN: "&amp;AV459&amp;"; ","")&amp;IF(AND(AW459&lt;&gt;"",AW459&lt;&gt;"OK"),"PAN wrong format; ","")&amp;IF(AND(BA459&lt;&gt;"",LEN(AZ459)=15,MID(AZ459,3,10)&lt;&gt;BA459),"PAN does not match GSTIN; ","")&amp;IF(AND(AX459&lt;&gt;"",AX459&lt;&gt;"OK"),"TAN wrong format; ","")&amp;IF(AS459="","PAN missing; ","")&amp;IF(BB459="","Entity type missing; ","")&amp;IF(AND(AZ459&lt;&gt;"",COUNTIF($AZ$6:$AZ$1005,AZ459)&gt;1),"GSTIN repeated in this sheet; ","")&amp;IF(AND(AS459&lt;&gt;"",COUNTIF($AS$6:$AS$1005,AS459)&gt;1),"PAN repeated in this sheet (same client? put extra GSTINs in Other GSTINs); ","")&amp;IF(AND(BD459&gt;0,V459=""),"Financial year missing; ","")&amp;IF(AND(BD459=0,V459&lt;&gt;""),"Financial year given but no service is Yes; ","")&amp;IF(AND(W459="Yes",AZ459=""),"GST needs a GSTIN; ","")&amp;IF(AND(W459="Yes",X459=""),"GST return frequency missing; ","")&amp;IF(AND(Y459="Yes",TRIM(H459)=""),"TDS needs a TAN; ","")&amp;IF(AND(AA459="Yes",BC459&lt;&gt;"",BC459&lt;&gt;"company",BC459&lt;&gt;"llp"),"ROC is only for a company / LLP; ","")&amp;IF(AND(AA459="Yes",OR(BC459="company",BC459="llp"),TRIM(I459)=""),"ROC needs the CIN / LLPIN; ","")&amp;IF((TRIM(AF459)="")&lt;&gt;(TRIM(AG459)=""),"GST login needs both user ID and password; ","")&amp;IF((TRIM(AH459)="")&lt;&gt;(TRIM(AI459)=""),"Income-tax login needs both user ID and password; ","")&amp;IF((TRIM(AJ459)="")&lt;&gt;(TRIM(AK459)=""),"Income-tax login needs both user ID and password; ","")&amp;IF((TRIM(AL459)="")&lt;&gt;(TRIM(AM459)=""),"TRACES login needs both user ID and password; ","")&amp;IF((TRIM(AN459)="")&lt;&gt;(TRIM(AO459)=""),"MCA login needs both user ID and password; ","")&amp;IF((TRIM(AP459)="")&lt;&gt;(TRIM(AQ459)=""),"E-way bill login needs both user ID and password; ","")</f>
        <v/>
      </c>
    </row>
    <row r="460">
      <c r="A460" s="32" t="n"/>
      <c r="B460" s="33" t="n"/>
      <c r="C460" s="33" t="n"/>
      <c r="D460" s="33" t="n"/>
      <c r="E460" s="32" t="n"/>
      <c r="F460" s="32" t="n"/>
      <c r="G460" s="32" t="n"/>
      <c r="H460" s="32" t="n"/>
      <c r="I460" s="32" t="n"/>
      <c r="J460" s="34" t="n"/>
      <c r="K460" s="33" t="n"/>
      <c r="L460" s="32" t="n"/>
      <c r="M460" s="33" t="n"/>
      <c r="N460" s="33" t="n"/>
      <c r="O460" s="33" t="n"/>
      <c r="P460" s="32" t="n"/>
      <c r="Q460" s="33" t="n"/>
      <c r="R460" s="33" t="n"/>
      <c r="S460" s="33" t="n"/>
      <c r="T460" s="33" t="n"/>
      <c r="U460" s="32" t="n"/>
      <c r="V460" s="33" t="n"/>
      <c r="W460" s="33" t="n"/>
      <c r="X460" s="33" t="n"/>
      <c r="Y460" s="33" t="n"/>
      <c r="Z460" s="33" t="n"/>
      <c r="AA460" s="33" t="n"/>
      <c r="AB460" s="33" t="n"/>
      <c r="AC460" s="33" t="n"/>
      <c r="AD460" s="33" t="n"/>
      <c r="AE460" s="33" t="n"/>
      <c r="AF460" s="32" t="n"/>
      <c r="AG460" s="32" t="n"/>
      <c r="AH460" s="32" t="n"/>
      <c r="AI460" s="32" t="n"/>
      <c r="AJ460" s="32" t="n"/>
      <c r="AK460" s="32" t="n"/>
      <c r="AL460" s="32" t="n"/>
      <c r="AM460" s="32" t="n"/>
      <c r="AN460" s="32" t="n"/>
      <c r="AO460" s="32" t="n"/>
      <c r="AP460" s="32" t="n"/>
      <c r="AQ460" s="32" t="n"/>
      <c r="AR460" s="29">
        <f>IF(NOT(COUNTA(A460:AE460)&gt;0),"",IF(A460="","New client","Update"))</f>
        <v/>
      </c>
      <c r="AS460" s="29">
        <f>IF(BA460&lt;&gt;"",BA460,IF(LEN(AZ460)=15,MID(AZ460,3,10),""))</f>
        <v/>
      </c>
      <c r="AT460" s="29">
        <f>IF(BB460="","",BB460&amp;IF(D460="","  (guessed from PAN)",""))</f>
        <v/>
      </c>
      <c r="AU460" s="29">
        <f>IF(AZ460="","",IFERROR(INDEX(Lists!$L$2:$L$38,MATCH(LEFT(AZ460,2),Lists!$K$2:$K$38,0)),"Unknown code"))</f>
        <v/>
      </c>
      <c r="AV460" s="29">
        <f>IF(AZ460="","",IFERROR(IF(NOT(AND(LEN(AZ460)=15,ISNUMBER(MATCH(LEFT(AZ460,2),Lists!$K$2:$K$38,0)),SUMPRODUCT(--ISERROR(FIND(MID(MID(AZ460,3,10),{1,2,3,4,5,10},1),"ABCDEFGHIJKLMNOPQRSTUVWXYZ")))=0,SUMPRODUCT(--ISERROR(FIND(MID(MID(AZ460,3,10),{6,7,8,9},1),"0123456789")))=0,ISNUMBER(FIND(MID(AZ460,13,1),"123456789ABCDEFGHIJKLMNOPQRSTUVWXYZ")),MID(AZ460,14,1)="Z")),"Wrong format",IF(MID("0123456789ABCDEFGHIJKLMNOPQRSTUVWXYZ",MOD(36-MOD(SUMPRODUCT(INT((FIND(MID(AZ460,{1,2,3,4,5,6,7,8,9,10,11,12,13,14},1),"0123456789ABCDEFGHIJKLMNOPQRSTUVWXYZ")-1)*{1,2,1,2,1,2,1,2,1,2,1,2,1,2}/36)+MOD((FIND(MID(AZ460,{1,2,3,4,5,6,7,8,9,10,11,12,13,14},1),"0123456789ABCDEFGHIJKLMNOPQRSTUVWXYZ")-1)*{1,2,1,2,1,2,1,2,1,2,1,2,1,2},36)),36),36)+1,1)=MID(AZ460,15,1),"OK","Typo? check digit wrong")),"Wrong format"))</f>
        <v/>
      </c>
      <c r="AW460" s="29">
        <f>IF(BA460="","",IF(AND(LEN(BA460)=10,SUMPRODUCT(--ISERROR(FIND(MID(BA460,{1,2,3,4,5,10},1),"ABCDEFGHIJKLMNOPQRSTUVWXYZ")))=0,SUMPRODUCT(--ISERROR(FIND(MID(BA460,{6,7,8,9},1),"0123456789")))=0),"OK","Wrong format"))</f>
        <v/>
      </c>
      <c r="AX460" s="29">
        <f>IF(TRIM(H460)="","",IF(AND(LEN(UPPER(TRIM(H460)))=10,SUMPRODUCT(--ISERROR(FIND(MID(UPPER(TRIM(H460)),{1,2,3,4,10},1),"ABCDEFGHIJKLMNOPQRSTUVWXYZ")))=0,SUMPRODUCT(--ISERROR(FIND(MID(UPPER(TRIM(H460)),{5,6,7,8,9},1),"0123456789")))=0),"OK","Wrong format"))</f>
        <v/>
      </c>
      <c r="AY460" s="30">
        <f>IF(NOT(COUNTA(A460:AE460)&gt;0),"",IF(BE460&lt;&gt;"","✖ "&amp;LEFT(BE460,LEN(BE460)-2),IF(BD460&gt;0,"✔ Ready — client + "&amp;BD460&amp;" service(s)","✔ Ready — client only")))</f>
        <v/>
      </c>
      <c r="AZ460" s="31">
        <f>UPPER(SUBSTITUTE(TRIM(F460)," ",""))</f>
        <v/>
      </c>
      <c r="BA460" s="31">
        <f>UPPER(SUBSTITUTE(TRIM(E460)," ",""))</f>
        <v/>
      </c>
      <c r="BB460" s="31">
        <f>IF(D460&lt;&gt;"",D460,IFERROR(VLOOKUP(MID(AS460,4,1),Lists!$E$2:$F$8,2,FALSE),""))</f>
        <v/>
      </c>
      <c r="BC460" s="31">
        <f>IFERROR(VLOOKUP(BB460,Lists!$A$2:$C$12,3,FALSE),"")</f>
        <v/>
      </c>
      <c r="BD460" s="31">
        <f>COUNTIF(W460:AC460,"Yes")</f>
        <v/>
      </c>
      <c r="BE460" s="31">
        <f>IF(TRIM(B460)="","Legal name missing; ","")&amp;IF(AND(AV460&lt;&gt;"",AV460&lt;&gt;"OK"),"GSTIN: "&amp;AV460&amp;"; ","")&amp;IF(AND(AW460&lt;&gt;"",AW460&lt;&gt;"OK"),"PAN wrong format; ","")&amp;IF(AND(BA460&lt;&gt;"",LEN(AZ460)=15,MID(AZ460,3,10)&lt;&gt;BA460),"PAN does not match GSTIN; ","")&amp;IF(AND(AX460&lt;&gt;"",AX460&lt;&gt;"OK"),"TAN wrong format; ","")&amp;IF(AS460="","PAN missing; ","")&amp;IF(BB460="","Entity type missing; ","")&amp;IF(AND(AZ460&lt;&gt;"",COUNTIF($AZ$6:$AZ$1005,AZ460)&gt;1),"GSTIN repeated in this sheet; ","")&amp;IF(AND(AS460&lt;&gt;"",COUNTIF($AS$6:$AS$1005,AS460)&gt;1),"PAN repeated in this sheet (same client? put extra GSTINs in Other GSTINs); ","")&amp;IF(AND(BD460&gt;0,V460=""),"Financial year missing; ","")&amp;IF(AND(BD460=0,V460&lt;&gt;""),"Financial year given but no service is Yes; ","")&amp;IF(AND(W460="Yes",AZ460=""),"GST needs a GSTIN; ","")&amp;IF(AND(W460="Yes",X460=""),"GST return frequency missing; ","")&amp;IF(AND(Y460="Yes",TRIM(H460)=""),"TDS needs a TAN; ","")&amp;IF(AND(AA460="Yes",BC460&lt;&gt;"",BC460&lt;&gt;"company",BC460&lt;&gt;"llp"),"ROC is only for a company / LLP; ","")&amp;IF(AND(AA460="Yes",OR(BC460="company",BC460="llp"),TRIM(I460)=""),"ROC needs the CIN / LLPIN; ","")&amp;IF((TRIM(AF460)="")&lt;&gt;(TRIM(AG460)=""),"GST login needs both user ID and password; ","")&amp;IF((TRIM(AH460)="")&lt;&gt;(TRIM(AI460)=""),"Income-tax login needs both user ID and password; ","")&amp;IF((TRIM(AJ460)="")&lt;&gt;(TRIM(AK460)=""),"Income-tax login needs both user ID and password; ","")&amp;IF((TRIM(AL460)="")&lt;&gt;(TRIM(AM460)=""),"TRACES login needs both user ID and password; ","")&amp;IF((TRIM(AN460)="")&lt;&gt;(TRIM(AO460)=""),"MCA login needs both user ID and password; ","")&amp;IF((TRIM(AP460)="")&lt;&gt;(TRIM(AQ460)=""),"E-way bill login needs both user ID and password; ","")</f>
        <v/>
      </c>
    </row>
    <row r="461">
      <c r="A461" s="32" t="n"/>
      <c r="B461" s="33" t="n"/>
      <c r="C461" s="33" t="n"/>
      <c r="D461" s="33" t="n"/>
      <c r="E461" s="32" t="n"/>
      <c r="F461" s="32" t="n"/>
      <c r="G461" s="32" t="n"/>
      <c r="H461" s="32" t="n"/>
      <c r="I461" s="32" t="n"/>
      <c r="J461" s="34" t="n"/>
      <c r="K461" s="33" t="n"/>
      <c r="L461" s="32" t="n"/>
      <c r="M461" s="33" t="n"/>
      <c r="N461" s="33" t="n"/>
      <c r="O461" s="33" t="n"/>
      <c r="P461" s="32" t="n"/>
      <c r="Q461" s="33" t="n"/>
      <c r="R461" s="33" t="n"/>
      <c r="S461" s="33" t="n"/>
      <c r="T461" s="33" t="n"/>
      <c r="U461" s="32" t="n"/>
      <c r="V461" s="33" t="n"/>
      <c r="W461" s="33" t="n"/>
      <c r="X461" s="33" t="n"/>
      <c r="Y461" s="33" t="n"/>
      <c r="Z461" s="33" t="n"/>
      <c r="AA461" s="33" t="n"/>
      <c r="AB461" s="33" t="n"/>
      <c r="AC461" s="33" t="n"/>
      <c r="AD461" s="33" t="n"/>
      <c r="AE461" s="33" t="n"/>
      <c r="AF461" s="32" t="n"/>
      <c r="AG461" s="32" t="n"/>
      <c r="AH461" s="32" t="n"/>
      <c r="AI461" s="32" t="n"/>
      <c r="AJ461" s="32" t="n"/>
      <c r="AK461" s="32" t="n"/>
      <c r="AL461" s="32" t="n"/>
      <c r="AM461" s="32" t="n"/>
      <c r="AN461" s="32" t="n"/>
      <c r="AO461" s="32" t="n"/>
      <c r="AP461" s="32" t="n"/>
      <c r="AQ461" s="32" t="n"/>
      <c r="AR461" s="29">
        <f>IF(NOT(COUNTA(A461:AE461)&gt;0),"",IF(A461="","New client","Update"))</f>
        <v/>
      </c>
      <c r="AS461" s="29">
        <f>IF(BA461&lt;&gt;"",BA461,IF(LEN(AZ461)=15,MID(AZ461,3,10),""))</f>
        <v/>
      </c>
      <c r="AT461" s="29">
        <f>IF(BB461="","",BB461&amp;IF(D461="","  (guessed from PAN)",""))</f>
        <v/>
      </c>
      <c r="AU461" s="29">
        <f>IF(AZ461="","",IFERROR(INDEX(Lists!$L$2:$L$38,MATCH(LEFT(AZ461,2),Lists!$K$2:$K$38,0)),"Unknown code"))</f>
        <v/>
      </c>
      <c r="AV461" s="29">
        <f>IF(AZ461="","",IFERROR(IF(NOT(AND(LEN(AZ461)=15,ISNUMBER(MATCH(LEFT(AZ461,2),Lists!$K$2:$K$38,0)),SUMPRODUCT(--ISERROR(FIND(MID(MID(AZ461,3,10),{1,2,3,4,5,10},1),"ABCDEFGHIJKLMNOPQRSTUVWXYZ")))=0,SUMPRODUCT(--ISERROR(FIND(MID(MID(AZ461,3,10),{6,7,8,9},1),"0123456789")))=0,ISNUMBER(FIND(MID(AZ461,13,1),"123456789ABCDEFGHIJKLMNOPQRSTUVWXYZ")),MID(AZ461,14,1)="Z")),"Wrong format",IF(MID("0123456789ABCDEFGHIJKLMNOPQRSTUVWXYZ",MOD(36-MOD(SUMPRODUCT(INT((FIND(MID(AZ461,{1,2,3,4,5,6,7,8,9,10,11,12,13,14},1),"0123456789ABCDEFGHIJKLMNOPQRSTUVWXYZ")-1)*{1,2,1,2,1,2,1,2,1,2,1,2,1,2}/36)+MOD((FIND(MID(AZ461,{1,2,3,4,5,6,7,8,9,10,11,12,13,14},1),"0123456789ABCDEFGHIJKLMNOPQRSTUVWXYZ")-1)*{1,2,1,2,1,2,1,2,1,2,1,2,1,2},36)),36),36)+1,1)=MID(AZ461,15,1),"OK","Typo? check digit wrong")),"Wrong format"))</f>
        <v/>
      </c>
      <c r="AW461" s="29">
        <f>IF(BA461="","",IF(AND(LEN(BA461)=10,SUMPRODUCT(--ISERROR(FIND(MID(BA461,{1,2,3,4,5,10},1),"ABCDEFGHIJKLMNOPQRSTUVWXYZ")))=0,SUMPRODUCT(--ISERROR(FIND(MID(BA461,{6,7,8,9},1),"0123456789")))=0),"OK","Wrong format"))</f>
        <v/>
      </c>
      <c r="AX461" s="29">
        <f>IF(TRIM(H461)="","",IF(AND(LEN(UPPER(TRIM(H461)))=10,SUMPRODUCT(--ISERROR(FIND(MID(UPPER(TRIM(H461)),{1,2,3,4,10},1),"ABCDEFGHIJKLMNOPQRSTUVWXYZ")))=0,SUMPRODUCT(--ISERROR(FIND(MID(UPPER(TRIM(H461)),{5,6,7,8,9},1),"0123456789")))=0),"OK","Wrong format"))</f>
        <v/>
      </c>
      <c r="AY461" s="30">
        <f>IF(NOT(COUNTA(A461:AE461)&gt;0),"",IF(BE461&lt;&gt;"","✖ "&amp;LEFT(BE461,LEN(BE461)-2),IF(BD461&gt;0,"✔ Ready — client + "&amp;BD461&amp;" service(s)","✔ Ready — client only")))</f>
        <v/>
      </c>
      <c r="AZ461" s="31">
        <f>UPPER(SUBSTITUTE(TRIM(F461)," ",""))</f>
        <v/>
      </c>
      <c r="BA461" s="31">
        <f>UPPER(SUBSTITUTE(TRIM(E461)," ",""))</f>
        <v/>
      </c>
      <c r="BB461" s="31">
        <f>IF(D461&lt;&gt;"",D461,IFERROR(VLOOKUP(MID(AS461,4,1),Lists!$E$2:$F$8,2,FALSE),""))</f>
        <v/>
      </c>
      <c r="BC461" s="31">
        <f>IFERROR(VLOOKUP(BB461,Lists!$A$2:$C$12,3,FALSE),"")</f>
        <v/>
      </c>
      <c r="BD461" s="31">
        <f>COUNTIF(W461:AC461,"Yes")</f>
        <v/>
      </c>
      <c r="BE461" s="31">
        <f>IF(TRIM(B461)="","Legal name missing; ","")&amp;IF(AND(AV461&lt;&gt;"",AV461&lt;&gt;"OK"),"GSTIN: "&amp;AV461&amp;"; ","")&amp;IF(AND(AW461&lt;&gt;"",AW461&lt;&gt;"OK"),"PAN wrong format; ","")&amp;IF(AND(BA461&lt;&gt;"",LEN(AZ461)=15,MID(AZ461,3,10)&lt;&gt;BA461),"PAN does not match GSTIN; ","")&amp;IF(AND(AX461&lt;&gt;"",AX461&lt;&gt;"OK"),"TAN wrong format; ","")&amp;IF(AS461="","PAN missing; ","")&amp;IF(BB461="","Entity type missing; ","")&amp;IF(AND(AZ461&lt;&gt;"",COUNTIF($AZ$6:$AZ$1005,AZ461)&gt;1),"GSTIN repeated in this sheet; ","")&amp;IF(AND(AS461&lt;&gt;"",COUNTIF($AS$6:$AS$1005,AS461)&gt;1),"PAN repeated in this sheet (same client? put extra GSTINs in Other GSTINs); ","")&amp;IF(AND(BD461&gt;0,V461=""),"Financial year missing; ","")&amp;IF(AND(BD461=0,V461&lt;&gt;""),"Financial year given but no service is Yes; ","")&amp;IF(AND(W461="Yes",AZ461=""),"GST needs a GSTIN; ","")&amp;IF(AND(W461="Yes",X461=""),"GST return frequency missing; ","")&amp;IF(AND(Y461="Yes",TRIM(H461)=""),"TDS needs a TAN; ","")&amp;IF(AND(AA461="Yes",BC461&lt;&gt;"",BC461&lt;&gt;"company",BC461&lt;&gt;"llp"),"ROC is only for a company / LLP; ","")&amp;IF(AND(AA461="Yes",OR(BC461="company",BC461="llp"),TRIM(I461)=""),"ROC needs the CIN / LLPIN; ","")&amp;IF((TRIM(AF461)="")&lt;&gt;(TRIM(AG461)=""),"GST login needs both user ID and password; ","")&amp;IF((TRIM(AH461)="")&lt;&gt;(TRIM(AI461)=""),"Income-tax login needs both user ID and password; ","")&amp;IF((TRIM(AJ461)="")&lt;&gt;(TRIM(AK461)=""),"Income-tax login needs both user ID and password; ","")&amp;IF((TRIM(AL461)="")&lt;&gt;(TRIM(AM461)=""),"TRACES login needs both user ID and password; ","")&amp;IF((TRIM(AN461)="")&lt;&gt;(TRIM(AO461)=""),"MCA login needs both user ID and password; ","")&amp;IF((TRIM(AP461)="")&lt;&gt;(TRIM(AQ461)=""),"E-way bill login needs both user ID and password; ","")</f>
        <v/>
      </c>
    </row>
    <row r="462">
      <c r="A462" s="32" t="n"/>
      <c r="B462" s="33" t="n"/>
      <c r="C462" s="33" t="n"/>
      <c r="D462" s="33" t="n"/>
      <c r="E462" s="32" t="n"/>
      <c r="F462" s="32" t="n"/>
      <c r="G462" s="32" t="n"/>
      <c r="H462" s="32" t="n"/>
      <c r="I462" s="32" t="n"/>
      <c r="J462" s="34" t="n"/>
      <c r="K462" s="33" t="n"/>
      <c r="L462" s="32" t="n"/>
      <c r="M462" s="33" t="n"/>
      <c r="N462" s="33" t="n"/>
      <c r="O462" s="33" t="n"/>
      <c r="P462" s="32" t="n"/>
      <c r="Q462" s="33" t="n"/>
      <c r="R462" s="33" t="n"/>
      <c r="S462" s="33" t="n"/>
      <c r="T462" s="33" t="n"/>
      <c r="U462" s="32" t="n"/>
      <c r="V462" s="33" t="n"/>
      <c r="W462" s="33" t="n"/>
      <c r="X462" s="33" t="n"/>
      <c r="Y462" s="33" t="n"/>
      <c r="Z462" s="33" t="n"/>
      <c r="AA462" s="33" t="n"/>
      <c r="AB462" s="33" t="n"/>
      <c r="AC462" s="33" t="n"/>
      <c r="AD462" s="33" t="n"/>
      <c r="AE462" s="33" t="n"/>
      <c r="AF462" s="32" t="n"/>
      <c r="AG462" s="32" t="n"/>
      <c r="AH462" s="32" t="n"/>
      <c r="AI462" s="32" t="n"/>
      <c r="AJ462" s="32" t="n"/>
      <c r="AK462" s="32" t="n"/>
      <c r="AL462" s="32" t="n"/>
      <c r="AM462" s="32" t="n"/>
      <c r="AN462" s="32" t="n"/>
      <c r="AO462" s="32" t="n"/>
      <c r="AP462" s="32" t="n"/>
      <c r="AQ462" s="32" t="n"/>
      <c r="AR462" s="29">
        <f>IF(NOT(COUNTA(A462:AE462)&gt;0),"",IF(A462="","New client","Update"))</f>
        <v/>
      </c>
      <c r="AS462" s="29">
        <f>IF(BA462&lt;&gt;"",BA462,IF(LEN(AZ462)=15,MID(AZ462,3,10),""))</f>
        <v/>
      </c>
      <c r="AT462" s="29">
        <f>IF(BB462="","",BB462&amp;IF(D462="","  (guessed from PAN)",""))</f>
        <v/>
      </c>
      <c r="AU462" s="29">
        <f>IF(AZ462="","",IFERROR(INDEX(Lists!$L$2:$L$38,MATCH(LEFT(AZ462,2),Lists!$K$2:$K$38,0)),"Unknown code"))</f>
        <v/>
      </c>
      <c r="AV462" s="29">
        <f>IF(AZ462="","",IFERROR(IF(NOT(AND(LEN(AZ462)=15,ISNUMBER(MATCH(LEFT(AZ462,2),Lists!$K$2:$K$38,0)),SUMPRODUCT(--ISERROR(FIND(MID(MID(AZ462,3,10),{1,2,3,4,5,10},1),"ABCDEFGHIJKLMNOPQRSTUVWXYZ")))=0,SUMPRODUCT(--ISERROR(FIND(MID(MID(AZ462,3,10),{6,7,8,9},1),"0123456789")))=0,ISNUMBER(FIND(MID(AZ462,13,1),"123456789ABCDEFGHIJKLMNOPQRSTUVWXYZ")),MID(AZ462,14,1)="Z")),"Wrong format",IF(MID("0123456789ABCDEFGHIJKLMNOPQRSTUVWXYZ",MOD(36-MOD(SUMPRODUCT(INT((FIND(MID(AZ462,{1,2,3,4,5,6,7,8,9,10,11,12,13,14},1),"0123456789ABCDEFGHIJKLMNOPQRSTUVWXYZ")-1)*{1,2,1,2,1,2,1,2,1,2,1,2,1,2}/36)+MOD((FIND(MID(AZ462,{1,2,3,4,5,6,7,8,9,10,11,12,13,14},1),"0123456789ABCDEFGHIJKLMNOPQRSTUVWXYZ")-1)*{1,2,1,2,1,2,1,2,1,2,1,2,1,2},36)),36),36)+1,1)=MID(AZ462,15,1),"OK","Typo? check digit wrong")),"Wrong format"))</f>
        <v/>
      </c>
      <c r="AW462" s="29">
        <f>IF(BA462="","",IF(AND(LEN(BA462)=10,SUMPRODUCT(--ISERROR(FIND(MID(BA462,{1,2,3,4,5,10},1),"ABCDEFGHIJKLMNOPQRSTUVWXYZ")))=0,SUMPRODUCT(--ISERROR(FIND(MID(BA462,{6,7,8,9},1),"0123456789")))=0),"OK","Wrong format"))</f>
        <v/>
      </c>
      <c r="AX462" s="29">
        <f>IF(TRIM(H462)="","",IF(AND(LEN(UPPER(TRIM(H462)))=10,SUMPRODUCT(--ISERROR(FIND(MID(UPPER(TRIM(H462)),{1,2,3,4,10},1),"ABCDEFGHIJKLMNOPQRSTUVWXYZ")))=0,SUMPRODUCT(--ISERROR(FIND(MID(UPPER(TRIM(H462)),{5,6,7,8,9},1),"0123456789")))=0),"OK","Wrong format"))</f>
        <v/>
      </c>
      <c r="AY462" s="30">
        <f>IF(NOT(COUNTA(A462:AE462)&gt;0),"",IF(BE462&lt;&gt;"","✖ "&amp;LEFT(BE462,LEN(BE462)-2),IF(BD462&gt;0,"✔ Ready — client + "&amp;BD462&amp;" service(s)","✔ Ready — client only")))</f>
        <v/>
      </c>
      <c r="AZ462" s="31">
        <f>UPPER(SUBSTITUTE(TRIM(F462)," ",""))</f>
        <v/>
      </c>
      <c r="BA462" s="31">
        <f>UPPER(SUBSTITUTE(TRIM(E462)," ",""))</f>
        <v/>
      </c>
      <c r="BB462" s="31">
        <f>IF(D462&lt;&gt;"",D462,IFERROR(VLOOKUP(MID(AS462,4,1),Lists!$E$2:$F$8,2,FALSE),""))</f>
        <v/>
      </c>
      <c r="BC462" s="31">
        <f>IFERROR(VLOOKUP(BB462,Lists!$A$2:$C$12,3,FALSE),"")</f>
        <v/>
      </c>
      <c r="BD462" s="31">
        <f>COUNTIF(W462:AC462,"Yes")</f>
        <v/>
      </c>
      <c r="BE462" s="31">
        <f>IF(TRIM(B462)="","Legal name missing; ","")&amp;IF(AND(AV462&lt;&gt;"",AV462&lt;&gt;"OK"),"GSTIN: "&amp;AV462&amp;"; ","")&amp;IF(AND(AW462&lt;&gt;"",AW462&lt;&gt;"OK"),"PAN wrong format; ","")&amp;IF(AND(BA462&lt;&gt;"",LEN(AZ462)=15,MID(AZ462,3,10)&lt;&gt;BA462),"PAN does not match GSTIN; ","")&amp;IF(AND(AX462&lt;&gt;"",AX462&lt;&gt;"OK"),"TAN wrong format; ","")&amp;IF(AS462="","PAN missing; ","")&amp;IF(BB462="","Entity type missing; ","")&amp;IF(AND(AZ462&lt;&gt;"",COUNTIF($AZ$6:$AZ$1005,AZ462)&gt;1),"GSTIN repeated in this sheet; ","")&amp;IF(AND(AS462&lt;&gt;"",COUNTIF($AS$6:$AS$1005,AS462)&gt;1),"PAN repeated in this sheet (same client? put extra GSTINs in Other GSTINs); ","")&amp;IF(AND(BD462&gt;0,V462=""),"Financial year missing; ","")&amp;IF(AND(BD462=0,V462&lt;&gt;""),"Financial year given but no service is Yes; ","")&amp;IF(AND(W462="Yes",AZ462=""),"GST needs a GSTIN; ","")&amp;IF(AND(W462="Yes",X462=""),"GST return frequency missing; ","")&amp;IF(AND(Y462="Yes",TRIM(H462)=""),"TDS needs a TAN; ","")&amp;IF(AND(AA462="Yes",BC462&lt;&gt;"",BC462&lt;&gt;"company",BC462&lt;&gt;"llp"),"ROC is only for a company / LLP; ","")&amp;IF(AND(AA462="Yes",OR(BC462="company",BC462="llp"),TRIM(I462)=""),"ROC needs the CIN / LLPIN; ","")&amp;IF((TRIM(AF462)="")&lt;&gt;(TRIM(AG462)=""),"GST login needs both user ID and password; ","")&amp;IF((TRIM(AH462)="")&lt;&gt;(TRIM(AI462)=""),"Income-tax login needs both user ID and password; ","")&amp;IF((TRIM(AJ462)="")&lt;&gt;(TRIM(AK462)=""),"Income-tax login needs both user ID and password; ","")&amp;IF((TRIM(AL462)="")&lt;&gt;(TRIM(AM462)=""),"TRACES login needs both user ID and password; ","")&amp;IF((TRIM(AN462)="")&lt;&gt;(TRIM(AO462)=""),"MCA login needs both user ID and password; ","")&amp;IF((TRIM(AP462)="")&lt;&gt;(TRIM(AQ462)=""),"E-way bill login needs both user ID and password; ","")</f>
        <v/>
      </c>
    </row>
    <row r="463">
      <c r="A463" s="32" t="n"/>
      <c r="B463" s="33" t="n"/>
      <c r="C463" s="33" t="n"/>
      <c r="D463" s="33" t="n"/>
      <c r="E463" s="32" t="n"/>
      <c r="F463" s="32" t="n"/>
      <c r="G463" s="32" t="n"/>
      <c r="H463" s="32" t="n"/>
      <c r="I463" s="32" t="n"/>
      <c r="J463" s="34" t="n"/>
      <c r="K463" s="33" t="n"/>
      <c r="L463" s="32" t="n"/>
      <c r="M463" s="33" t="n"/>
      <c r="N463" s="33" t="n"/>
      <c r="O463" s="33" t="n"/>
      <c r="P463" s="32" t="n"/>
      <c r="Q463" s="33" t="n"/>
      <c r="R463" s="33" t="n"/>
      <c r="S463" s="33" t="n"/>
      <c r="T463" s="33" t="n"/>
      <c r="U463" s="32" t="n"/>
      <c r="V463" s="33" t="n"/>
      <c r="W463" s="33" t="n"/>
      <c r="X463" s="33" t="n"/>
      <c r="Y463" s="33" t="n"/>
      <c r="Z463" s="33" t="n"/>
      <c r="AA463" s="33" t="n"/>
      <c r="AB463" s="33" t="n"/>
      <c r="AC463" s="33" t="n"/>
      <c r="AD463" s="33" t="n"/>
      <c r="AE463" s="33" t="n"/>
      <c r="AF463" s="32" t="n"/>
      <c r="AG463" s="32" t="n"/>
      <c r="AH463" s="32" t="n"/>
      <c r="AI463" s="32" t="n"/>
      <c r="AJ463" s="32" t="n"/>
      <c r="AK463" s="32" t="n"/>
      <c r="AL463" s="32" t="n"/>
      <c r="AM463" s="32" t="n"/>
      <c r="AN463" s="32" t="n"/>
      <c r="AO463" s="32" t="n"/>
      <c r="AP463" s="32" t="n"/>
      <c r="AQ463" s="32" t="n"/>
      <c r="AR463" s="29">
        <f>IF(NOT(COUNTA(A463:AE463)&gt;0),"",IF(A463="","New client","Update"))</f>
        <v/>
      </c>
      <c r="AS463" s="29">
        <f>IF(BA463&lt;&gt;"",BA463,IF(LEN(AZ463)=15,MID(AZ463,3,10),""))</f>
        <v/>
      </c>
      <c r="AT463" s="29">
        <f>IF(BB463="","",BB463&amp;IF(D463="","  (guessed from PAN)",""))</f>
        <v/>
      </c>
      <c r="AU463" s="29">
        <f>IF(AZ463="","",IFERROR(INDEX(Lists!$L$2:$L$38,MATCH(LEFT(AZ463,2),Lists!$K$2:$K$38,0)),"Unknown code"))</f>
        <v/>
      </c>
      <c r="AV463" s="29">
        <f>IF(AZ463="","",IFERROR(IF(NOT(AND(LEN(AZ463)=15,ISNUMBER(MATCH(LEFT(AZ463,2),Lists!$K$2:$K$38,0)),SUMPRODUCT(--ISERROR(FIND(MID(MID(AZ463,3,10),{1,2,3,4,5,10},1),"ABCDEFGHIJKLMNOPQRSTUVWXYZ")))=0,SUMPRODUCT(--ISERROR(FIND(MID(MID(AZ463,3,10),{6,7,8,9},1),"0123456789")))=0,ISNUMBER(FIND(MID(AZ463,13,1),"123456789ABCDEFGHIJKLMNOPQRSTUVWXYZ")),MID(AZ463,14,1)="Z")),"Wrong format",IF(MID("0123456789ABCDEFGHIJKLMNOPQRSTUVWXYZ",MOD(36-MOD(SUMPRODUCT(INT((FIND(MID(AZ463,{1,2,3,4,5,6,7,8,9,10,11,12,13,14},1),"0123456789ABCDEFGHIJKLMNOPQRSTUVWXYZ")-1)*{1,2,1,2,1,2,1,2,1,2,1,2,1,2}/36)+MOD((FIND(MID(AZ463,{1,2,3,4,5,6,7,8,9,10,11,12,13,14},1),"0123456789ABCDEFGHIJKLMNOPQRSTUVWXYZ")-1)*{1,2,1,2,1,2,1,2,1,2,1,2,1,2},36)),36),36)+1,1)=MID(AZ463,15,1),"OK","Typo? check digit wrong")),"Wrong format"))</f>
        <v/>
      </c>
      <c r="AW463" s="29">
        <f>IF(BA463="","",IF(AND(LEN(BA463)=10,SUMPRODUCT(--ISERROR(FIND(MID(BA463,{1,2,3,4,5,10},1),"ABCDEFGHIJKLMNOPQRSTUVWXYZ")))=0,SUMPRODUCT(--ISERROR(FIND(MID(BA463,{6,7,8,9},1),"0123456789")))=0),"OK","Wrong format"))</f>
        <v/>
      </c>
      <c r="AX463" s="29">
        <f>IF(TRIM(H463)="","",IF(AND(LEN(UPPER(TRIM(H463)))=10,SUMPRODUCT(--ISERROR(FIND(MID(UPPER(TRIM(H463)),{1,2,3,4,10},1),"ABCDEFGHIJKLMNOPQRSTUVWXYZ")))=0,SUMPRODUCT(--ISERROR(FIND(MID(UPPER(TRIM(H463)),{5,6,7,8,9},1),"0123456789")))=0),"OK","Wrong format"))</f>
        <v/>
      </c>
      <c r="AY463" s="30">
        <f>IF(NOT(COUNTA(A463:AE463)&gt;0),"",IF(BE463&lt;&gt;"","✖ "&amp;LEFT(BE463,LEN(BE463)-2),IF(BD463&gt;0,"✔ Ready — client + "&amp;BD463&amp;" service(s)","✔ Ready — client only")))</f>
        <v/>
      </c>
      <c r="AZ463" s="31">
        <f>UPPER(SUBSTITUTE(TRIM(F463)," ",""))</f>
        <v/>
      </c>
      <c r="BA463" s="31">
        <f>UPPER(SUBSTITUTE(TRIM(E463)," ",""))</f>
        <v/>
      </c>
      <c r="BB463" s="31">
        <f>IF(D463&lt;&gt;"",D463,IFERROR(VLOOKUP(MID(AS463,4,1),Lists!$E$2:$F$8,2,FALSE),""))</f>
        <v/>
      </c>
      <c r="BC463" s="31">
        <f>IFERROR(VLOOKUP(BB463,Lists!$A$2:$C$12,3,FALSE),"")</f>
        <v/>
      </c>
      <c r="BD463" s="31">
        <f>COUNTIF(W463:AC463,"Yes")</f>
        <v/>
      </c>
      <c r="BE463" s="31">
        <f>IF(TRIM(B463)="","Legal name missing; ","")&amp;IF(AND(AV463&lt;&gt;"",AV463&lt;&gt;"OK"),"GSTIN: "&amp;AV463&amp;"; ","")&amp;IF(AND(AW463&lt;&gt;"",AW463&lt;&gt;"OK"),"PAN wrong format; ","")&amp;IF(AND(BA463&lt;&gt;"",LEN(AZ463)=15,MID(AZ463,3,10)&lt;&gt;BA463),"PAN does not match GSTIN; ","")&amp;IF(AND(AX463&lt;&gt;"",AX463&lt;&gt;"OK"),"TAN wrong format; ","")&amp;IF(AS463="","PAN missing; ","")&amp;IF(BB463="","Entity type missing; ","")&amp;IF(AND(AZ463&lt;&gt;"",COUNTIF($AZ$6:$AZ$1005,AZ463)&gt;1),"GSTIN repeated in this sheet; ","")&amp;IF(AND(AS463&lt;&gt;"",COUNTIF($AS$6:$AS$1005,AS463)&gt;1),"PAN repeated in this sheet (same client? put extra GSTINs in Other GSTINs); ","")&amp;IF(AND(BD463&gt;0,V463=""),"Financial year missing; ","")&amp;IF(AND(BD463=0,V463&lt;&gt;""),"Financial year given but no service is Yes; ","")&amp;IF(AND(W463="Yes",AZ463=""),"GST needs a GSTIN; ","")&amp;IF(AND(W463="Yes",X463=""),"GST return frequency missing; ","")&amp;IF(AND(Y463="Yes",TRIM(H463)=""),"TDS needs a TAN; ","")&amp;IF(AND(AA463="Yes",BC463&lt;&gt;"",BC463&lt;&gt;"company",BC463&lt;&gt;"llp"),"ROC is only for a company / LLP; ","")&amp;IF(AND(AA463="Yes",OR(BC463="company",BC463="llp"),TRIM(I463)=""),"ROC needs the CIN / LLPIN; ","")&amp;IF((TRIM(AF463)="")&lt;&gt;(TRIM(AG463)=""),"GST login needs both user ID and password; ","")&amp;IF((TRIM(AH463)="")&lt;&gt;(TRIM(AI463)=""),"Income-tax login needs both user ID and password; ","")&amp;IF((TRIM(AJ463)="")&lt;&gt;(TRIM(AK463)=""),"Income-tax login needs both user ID and password; ","")&amp;IF((TRIM(AL463)="")&lt;&gt;(TRIM(AM463)=""),"TRACES login needs both user ID and password; ","")&amp;IF((TRIM(AN463)="")&lt;&gt;(TRIM(AO463)=""),"MCA login needs both user ID and password; ","")&amp;IF((TRIM(AP463)="")&lt;&gt;(TRIM(AQ463)=""),"E-way bill login needs both user ID and password; ","")</f>
        <v/>
      </c>
    </row>
    <row r="464">
      <c r="A464" s="32" t="n"/>
      <c r="B464" s="33" t="n"/>
      <c r="C464" s="33" t="n"/>
      <c r="D464" s="33" t="n"/>
      <c r="E464" s="32" t="n"/>
      <c r="F464" s="32" t="n"/>
      <c r="G464" s="32" t="n"/>
      <c r="H464" s="32" t="n"/>
      <c r="I464" s="32" t="n"/>
      <c r="J464" s="34" t="n"/>
      <c r="K464" s="33" t="n"/>
      <c r="L464" s="32" t="n"/>
      <c r="M464" s="33" t="n"/>
      <c r="N464" s="33" t="n"/>
      <c r="O464" s="33" t="n"/>
      <c r="P464" s="32" t="n"/>
      <c r="Q464" s="33" t="n"/>
      <c r="R464" s="33" t="n"/>
      <c r="S464" s="33" t="n"/>
      <c r="T464" s="33" t="n"/>
      <c r="U464" s="32" t="n"/>
      <c r="V464" s="33" t="n"/>
      <c r="W464" s="33" t="n"/>
      <c r="X464" s="33" t="n"/>
      <c r="Y464" s="33" t="n"/>
      <c r="Z464" s="33" t="n"/>
      <c r="AA464" s="33" t="n"/>
      <c r="AB464" s="33" t="n"/>
      <c r="AC464" s="33" t="n"/>
      <c r="AD464" s="33" t="n"/>
      <c r="AE464" s="33" t="n"/>
      <c r="AF464" s="32" t="n"/>
      <c r="AG464" s="32" t="n"/>
      <c r="AH464" s="32" t="n"/>
      <c r="AI464" s="32" t="n"/>
      <c r="AJ464" s="32" t="n"/>
      <c r="AK464" s="32" t="n"/>
      <c r="AL464" s="32" t="n"/>
      <c r="AM464" s="32" t="n"/>
      <c r="AN464" s="32" t="n"/>
      <c r="AO464" s="32" t="n"/>
      <c r="AP464" s="32" t="n"/>
      <c r="AQ464" s="32" t="n"/>
      <c r="AR464" s="29">
        <f>IF(NOT(COUNTA(A464:AE464)&gt;0),"",IF(A464="","New client","Update"))</f>
        <v/>
      </c>
      <c r="AS464" s="29">
        <f>IF(BA464&lt;&gt;"",BA464,IF(LEN(AZ464)=15,MID(AZ464,3,10),""))</f>
        <v/>
      </c>
      <c r="AT464" s="29">
        <f>IF(BB464="","",BB464&amp;IF(D464="","  (guessed from PAN)",""))</f>
        <v/>
      </c>
      <c r="AU464" s="29">
        <f>IF(AZ464="","",IFERROR(INDEX(Lists!$L$2:$L$38,MATCH(LEFT(AZ464,2),Lists!$K$2:$K$38,0)),"Unknown code"))</f>
        <v/>
      </c>
      <c r="AV464" s="29">
        <f>IF(AZ464="","",IFERROR(IF(NOT(AND(LEN(AZ464)=15,ISNUMBER(MATCH(LEFT(AZ464,2),Lists!$K$2:$K$38,0)),SUMPRODUCT(--ISERROR(FIND(MID(MID(AZ464,3,10),{1,2,3,4,5,10},1),"ABCDEFGHIJKLMNOPQRSTUVWXYZ")))=0,SUMPRODUCT(--ISERROR(FIND(MID(MID(AZ464,3,10),{6,7,8,9},1),"0123456789")))=0,ISNUMBER(FIND(MID(AZ464,13,1),"123456789ABCDEFGHIJKLMNOPQRSTUVWXYZ")),MID(AZ464,14,1)="Z")),"Wrong format",IF(MID("0123456789ABCDEFGHIJKLMNOPQRSTUVWXYZ",MOD(36-MOD(SUMPRODUCT(INT((FIND(MID(AZ464,{1,2,3,4,5,6,7,8,9,10,11,12,13,14},1),"0123456789ABCDEFGHIJKLMNOPQRSTUVWXYZ")-1)*{1,2,1,2,1,2,1,2,1,2,1,2,1,2}/36)+MOD((FIND(MID(AZ464,{1,2,3,4,5,6,7,8,9,10,11,12,13,14},1),"0123456789ABCDEFGHIJKLMNOPQRSTUVWXYZ")-1)*{1,2,1,2,1,2,1,2,1,2,1,2,1,2},36)),36),36)+1,1)=MID(AZ464,15,1),"OK","Typo? check digit wrong")),"Wrong format"))</f>
        <v/>
      </c>
      <c r="AW464" s="29">
        <f>IF(BA464="","",IF(AND(LEN(BA464)=10,SUMPRODUCT(--ISERROR(FIND(MID(BA464,{1,2,3,4,5,10},1),"ABCDEFGHIJKLMNOPQRSTUVWXYZ")))=0,SUMPRODUCT(--ISERROR(FIND(MID(BA464,{6,7,8,9},1),"0123456789")))=0),"OK","Wrong format"))</f>
        <v/>
      </c>
      <c r="AX464" s="29">
        <f>IF(TRIM(H464)="","",IF(AND(LEN(UPPER(TRIM(H464)))=10,SUMPRODUCT(--ISERROR(FIND(MID(UPPER(TRIM(H464)),{1,2,3,4,10},1),"ABCDEFGHIJKLMNOPQRSTUVWXYZ")))=0,SUMPRODUCT(--ISERROR(FIND(MID(UPPER(TRIM(H464)),{5,6,7,8,9},1),"0123456789")))=0),"OK","Wrong format"))</f>
        <v/>
      </c>
      <c r="AY464" s="30">
        <f>IF(NOT(COUNTA(A464:AE464)&gt;0),"",IF(BE464&lt;&gt;"","✖ "&amp;LEFT(BE464,LEN(BE464)-2),IF(BD464&gt;0,"✔ Ready — client + "&amp;BD464&amp;" service(s)","✔ Ready — client only")))</f>
        <v/>
      </c>
      <c r="AZ464" s="31">
        <f>UPPER(SUBSTITUTE(TRIM(F464)," ",""))</f>
        <v/>
      </c>
      <c r="BA464" s="31">
        <f>UPPER(SUBSTITUTE(TRIM(E464)," ",""))</f>
        <v/>
      </c>
      <c r="BB464" s="31">
        <f>IF(D464&lt;&gt;"",D464,IFERROR(VLOOKUP(MID(AS464,4,1),Lists!$E$2:$F$8,2,FALSE),""))</f>
        <v/>
      </c>
      <c r="BC464" s="31">
        <f>IFERROR(VLOOKUP(BB464,Lists!$A$2:$C$12,3,FALSE),"")</f>
        <v/>
      </c>
      <c r="BD464" s="31">
        <f>COUNTIF(W464:AC464,"Yes")</f>
        <v/>
      </c>
      <c r="BE464" s="31">
        <f>IF(TRIM(B464)="","Legal name missing; ","")&amp;IF(AND(AV464&lt;&gt;"",AV464&lt;&gt;"OK"),"GSTIN: "&amp;AV464&amp;"; ","")&amp;IF(AND(AW464&lt;&gt;"",AW464&lt;&gt;"OK"),"PAN wrong format; ","")&amp;IF(AND(BA464&lt;&gt;"",LEN(AZ464)=15,MID(AZ464,3,10)&lt;&gt;BA464),"PAN does not match GSTIN; ","")&amp;IF(AND(AX464&lt;&gt;"",AX464&lt;&gt;"OK"),"TAN wrong format; ","")&amp;IF(AS464="","PAN missing; ","")&amp;IF(BB464="","Entity type missing; ","")&amp;IF(AND(AZ464&lt;&gt;"",COUNTIF($AZ$6:$AZ$1005,AZ464)&gt;1),"GSTIN repeated in this sheet; ","")&amp;IF(AND(AS464&lt;&gt;"",COUNTIF($AS$6:$AS$1005,AS464)&gt;1),"PAN repeated in this sheet (same client? put extra GSTINs in Other GSTINs); ","")&amp;IF(AND(BD464&gt;0,V464=""),"Financial year missing; ","")&amp;IF(AND(BD464=0,V464&lt;&gt;""),"Financial year given but no service is Yes; ","")&amp;IF(AND(W464="Yes",AZ464=""),"GST needs a GSTIN; ","")&amp;IF(AND(W464="Yes",X464=""),"GST return frequency missing; ","")&amp;IF(AND(Y464="Yes",TRIM(H464)=""),"TDS needs a TAN; ","")&amp;IF(AND(AA464="Yes",BC464&lt;&gt;"",BC464&lt;&gt;"company",BC464&lt;&gt;"llp"),"ROC is only for a company / LLP; ","")&amp;IF(AND(AA464="Yes",OR(BC464="company",BC464="llp"),TRIM(I464)=""),"ROC needs the CIN / LLPIN; ","")&amp;IF((TRIM(AF464)="")&lt;&gt;(TRIM(AG464)=""),"GST login needs both user ID and password; ","")&amp;IF((TRIM(AH464)="")&lt;&gt;(TRIM(AI464)=""),"Income-tax login needs both user ID and password; ","")&amp;IF((TRIM(AJ464)="")&lt;&gt;(TRIM(AK464)=""),"Income-tax login needs both user ID and password; ","")&amp;IF((TRIM(AL464)="")&lt;&gt;(TRIM(AM464)=""),"TRACES login needs both user ID and password; ","")&amp;IF((TRIM(AN464)="")&lt;&gt;(TRIM(AO464)=""),"MCA login needs both user ID and password; ","")&amp;IF((TRIM(AP464)="")&lt;&gt;(TRIM(AQ464)=""),"E-way bill login needs both user ID and password; ","")</f>
        <v/>
      </c>
    </row>
    <row r="465">
      <c r="A465" s="32" t="n"/>
      <c r="B465" s="33" t="n"/>
      <c r="C465" s="33" t="n"/>
      <c r="D465" s="33" t="n"/>
      <c r="E465" s="32" t="n"/>
      <c r="F465" s="32" t="n"/>
      <c r="G465" s="32" t="n"/>
      <c r="H465" s="32" t="n"/>
      <c r="I465" s="32" t="n"/>
      <c r="J465" s="34" t="n"/>
      <c r="K465" s="33" t="n"/>
      <c r="L465" s="32" t="n"/>
      <c r="M465" s="33" t="n"/>
      <c r="N465" s="33" t="n"/>
      <c r="O465" s="33" t="n"/>
      <c r="P465" s="32" t="n"/>
      <c r="Q465" s="33" t="n"/>
      <c r="R465" s="33" t="n"/>
      <c r="S465" s="33" t="n"/>
      <c r="T465" s="33" t="n"/>
      <c r="U465" s="32" t="n"/>
      <c r="V465" s="33" t="n"/>
      <c r="W465" s="33" t="n"/>
      <c r="X465" s="33" t="n"/>
      <c r="Y465" s="33" t="n"/>
      <c r="Z465" s="33" t="n"/>
      <c r="AA465" s="33" t="n"/>
      <c r="AB465" s="33" t="n"/>
      <c r="AC465" s="33" t="n"/>
      <c r="AD465" s="33" t="n"/>
      <c r="AE465" s="33" t="n"/>
      <c r="AF465" s="32" t="n"/>
      <c r="AG465" s="32" t="n"/>
      <c r="AH465" s="32" t="n"/>
      <c r="AI465" s="32" t="n"/>
      <c r="AJ465" s="32" t="n"/>
      <c r="AK465" s="32" t="n"/>
      <c r="AL465" s="32" t="n"/>
      <c r="AM465" s="32" t="n"/>
      <c r="AN465" s="32" t="n"/>
      <c r="AO465" s="32" t="n"/>
      <c r="AP465" s="32" t="n"/>
      <c r="AQ465" s="32" t="n"/>
      <c r="AR465" s="29">
        <f>IF(NOT(COUNTA(A465:AE465)&gt;0),"",IF(A465="","New client","Update"))</f>
        <v/>
      </c>
      <c r="AS465" s="29">
        <f>IF(BA465&lt;&gt;"",BA465,IF(LEN(AZ465)=15,MID(AZ465,3,10),""))</f>
        <v/>
      </c>
      <c r="AT465" s="29">
        <f>IF(BB465="","",BB465&amp;IF(D465="","  (guessed from PAN)",""))</f>
        <v/>
      </c>
      <c r="AU465" s="29">
        <f>IF(AZ465="","",IFERROR(INDEX(Lists!$L$2:$L$38,MATCH(LEFT(AZ465,2),Lists!$K$2:$K$38,0)),"Unknown code"))</f>
        <v/>
      </c>
      <c r="AV465" s="29">
        <f>IF(AZ465="","",IFERROR(IF(NOT(AND(LEN(AZ465)=15,ISNUMBER(MATCH(LEFT(AZ465,2),Lists!$K$2:$K$38,0)),SUMPRODUCT(--ISERROR(FIND(MID(MID(AZ465,3,10),{1,2,3,4,5,10},1),"ABCDEFGHIJKLMNOPQRSTUVWXYZ")))=0,SUMPRODUCT(--ISERROR(FIND(MID(MID(AZ465,3,10),{6,7,8,9},1),"0123456789")))=0,ISNUMBER(FIND(MID(AZ465,13,1),"123456789ABCDEFGHIJKLMNOPQRSTUVWXYZ")),MID(AZ465,14,1)="Z")),"Wrong format",IF(MID("0123456789ABCDEFGHIJKLMNOPQRSTUVWXYZ",MOD(36-MOD(SUMPRODUCT(INT((FIND(MID(AZ465,{1,2,3,4,5,6,7,8,9,10,11,12,13,14},1),"0123456789ABCDEFGHIJKLMNOPQRSTUVWXYZ")-1)*{1,2,1,2,1,2,1,2,1,2,1,2,1,2}/36)+MOD((FIND(MID(AZ465,{1,2,3,4,5,6,7,8,9,10,11,12,13,14},1),"0123456789ABCDEFGHIJKLMNOPQRSTUVWXYZ")-1)*{1,2,1,2,1,2,1,2,1,2,1,2,1,2},36)),36),36)+1,1)=MID(AZ465,15,1),"OK","Typo? check digit wrong")),"Wrong format"))</f>
        <v/>
      </c>
      <c r="AW465" s="29">
        <f>IF(BA465="","",IF(AND(LEN(BA465)=10,SUMPRODUCT(--ISERROR(FIND(MID(BA465,{1,2,3,4,5,10},1),"ABCDEFGHIJKLMNOPQRSTUVWXYZ")))=0,SUMPRODUCT(--ISERROR(FIND(MID(BA465,{6,7,8,9},1),"0123456789")))=0),"OK","Wrong format"))</f>
        <v/>
      </c>
      <c r="AX465" s="29">
        <f>IF(TRIM(H465)="","",IF(AND(LEN(UPPER(TRIM(H465)))=10,SUMPRODUCT(--ISERROR(FIND(MID(UPPER(TRIM(H465)),{1,2,3,4,10},1),"ABCDEFGHIJKLMNOPQRSTUVWXYZ")))=0,SUMPRODUCT(--ISERROR(FIND(MID(UPPER(TRIM(H465)),{5,6,7,8,9},1),"0123456789")))=0),"OK","Wrong format"))</f>
        <v/>
      </c>
      <c r="AY465" s="30">
        <f>IF(NOT(COUNTA(A465:AE465)&gt;0),"",IF(BE465&lt;&gt;"","✖ "&amp;LEFT(BE465,LEN(BE465)-2),IF(BD465&gt;0,"✔ Ready — client + "&amp;BD465&amp;" service(s)","✔ Ready — client only")))</f>
        <v/>
      </c>
      <c r="AZ465" s="31">
        <f>UPPER(SUBSTITUTE(TRIM(F465)," ",""))</f>
        <v/>
      </c>
      <c r="BA465" s="31">
        <f>UPPER(SUBSTITUTE(TRIM(E465)," ",""))</f>
        <v/>
      </c>
      <c r="BB465" s="31">
        <f>IF(D465&lt;&gt;"",D465,IFERROR(VLOOKUP(MID(AS465,4,1),Lists!$E$2:$F$8,2,FALSE),""))</f>
        <v/>
      </c>
      <c r="BC465" s="31">
        <f>IFERROR(VLOOKUP(BB465,Lists!$A$2:$C$12,3,FALSE),"")</f>
        <v/>
      </c>
      <c r="BD465" s="31">
        <f>COUNTIF(W465:AC465,"Yes")</f>
        <v/>
      </c>
      <c r="BE465" s="31">
        <f>IF(TRIM(B465)="","Legal name missing; ","")&amp;IF(AND(AV465&lt;&gt;"",AV465&lt;&gt;"OK"),"GSTIN: "&amp;AV465&amp;"; ","")&amp;IF(AND(AW465&lt;&gt;"",AW465&lt;&gt;"OK"),"PAN wrong format; ","")&amp;IF(AND(BA465&lt;&gt;"",LEN(AZ465)=15,MID(AZ465,3,10)&lt;&gt;BA465),"PAN does not match GSTIN; ","")&amp;IF(AND(AX465&lt;&gt;"",AX465&lt;&gt;"OK"),"TAN wrong format; ","")&amp;IF(AS465="","PAN missing; ","")&amp;IF(BB465="","Entity type missing; ","")&amp;IF(AND(AZ465&lt;&gt;"",COUNTIF($AZ$6:$AZ$1005,AZ465)&gt;1),"GSTIN repeated in this sheet; ","")&amp;IF(AND(AS465&lt;&gt;"",COUNTIF($AS$6:$AS$1005,AS465)&gt;1),"PAN repeated in this sheet (same client? put extra GSTINs in Other GSTINs); ","")&amp;IF(AND(BD465&gt;0,V465=""),"Financial year missing; ","")&amp;IF(AND(BD465=0,V465&lt;&gt;""),"Financial year given but no service is Yes; ","")&amp;IF(AND(W465="Yes",AZ465=""),"GST needs a GSTIN; ","")&amp;IF(AND(W465="Yes",X465=""),"GST return frequency missing; ","")&amp;IF(AND(Y465="Yes",TRIM(H465)=""),"TDS needs a TAN; ","")&amp;IF(AND(AA465="Yes",BC465&lt;&gt;"",BC465&lt;&gt;"company",BC465&lt;&gt;"llp"),"ROC is only for a company / LLP; ","")&amp;IF(AND(AA465="Yes",OR(BC465="company",BC465="llp"),TRIM(I465)=""),"ROC needs the CIN / LLPIN; ","")&amp;IF((TRIM(AF465)="")&lt;&gt;(TRIM(AG465)=""),"GST login needs both user ID and password; ","")&amp;IF((TRIM(AH465)="")&lt;&gt;(TRIM(AI465)=""),"Income-tax login needs both user ID and password; ","")&amp;IF((TRIM(AJ465)="")&lt;&gt;(TRIM(AK465)=""),"Income-tax login needs both user ID and password; ","")&amp;IF((TRIM(AL465)="")&lt;&gt;(TRIM(AM465)=""),"TRACES login needs both user ID and password; ","")&amp;IF((TRIM(AN465)="")&lt;&gt;(TRIM(AO465)=""),"MCA login needs both user ID and password; ","")&amp;IF((TRIM(AP465)="")&lt;&gt;(TRIM(AQ465)=""),"E-way bill login needs both user ID and password; ","")</f>
        <v/>
      </c>
    </row>
    <row r="466">
      <c r="A466" s="32" t="n"/>
      <c r="B466" s="33" t="n"/>
      <c r="C466" s="33" t="n"/>
      <c r="D466" s="33" t="n"/>
      <c r="E466" s="32" t="n"/>
      <c r="F466" s="32" t="n"/>
      <c r="G466" s="32" t="n"/>
      <c r="H466" s="32" t="n"/>
      <c r="I466" s="32" t="n"/>
      <c r="J466" s="34" t="n"/>
      <c r="K466" s="33" t="n"/>
      <c r="L466" s="32" t="n"/>
      <c r="M466" s="33" t="n"/>
      <c r="N466" s="33" t="n"/>
      <c r="O466" s="33" t="n"/>
      <c r="P466" s="32" t="n"/>
      <c r="Q466" s="33" t="n"/>
      <c r="R466" s="33" t="n"/>
      <c r="S466" s="33" t="n"/>
      <c r="T466" s="33" t="n"/>
      <c r="U466" s="32" t="n"/>
      <c r="V466" s="33" t="n"/>
      <c r="W466" s="33" t="n"/>
      <c r="X466" s="33" t="n"/>
      <c r="Y466" s="33" t="n"/>
      <c r="Z466" s="33" t="n"/>
      <c r="AA466" s="33" t="n"/>
      <c r="AB466" s="33" t="n"/>
      <c r="AC466" s="33" t="n"/>
      <c r="AD466" s="33" t="n"/>
      <c r="AE466" s="33" t="n"/>
      <c r="AF466" s="32" t="n"/>
      <c r="AG466" s="32" t="n"/>
      <c r="AH466" s="32" t="n"/>
      <c r="AI466" s="32" t="n"/>
      <c r="AJ466" s="32" t="n"/>
      <c r="AK466" s="32" t="n"/>
      <c r="AL466" s="32" t="n"/>
      <c r="AM466" s="32" t="n"/>
      <c r="AN466" s="32" t="n"/>
      <c r="AO466" s="32" t="n"/>
      <c r="AP466" s="32" t="n"/>
      <c r="AQ466" s="32" t="n"/>
      <c r="AR466" s="29">
        <f>IF(NOT(COUNTA(A466:AE466)&gt;0),"",IF(A466="","New client","Update"))</f>
        <v/>
      </c>
      <c r="AS466" s="29">
        <f>IF(BA466&lt;&gt;"",BA466,IF(LEN(AZ466)=15,MID(AZ466,3,10),""))</f>
        <v/>
      </c>
      <c r="AT466" s="29">
        <f>IF(BB466="","",BB466&amp;IF(D466="","  (guessed from PAN)",""))</f>
        <v/>
      </c>
      <c r="AU466" s="29">
        <f>IF(AZ466="","",IFERROR(INDEX(Lists!$L$2:$L$38,MATCH(LEFT(AZ466,2),Lists!$K$2:$K$38,0)),"Unknown code"))</f>
        <v/>
      </c>
      <c r="AV466" s="29">
        <f>IF(AZ466="","",IFERROR(IF(NOT(AND(LEN(AZ466)=15,ISNUMBER(MATCH(LEFT(AZ466,2),Lists!$K$2:$K$38,0)),SUMPRODUCT(--ISERROR(FIND(MID(MID(AZ466,3,10),{1,2,3,4,5,10},1),"ABCDEFGHIJKLMNOPQRSTUVWXYZ")))=0,SUMPRODUCT(--ISERROR(FIND(MID(MID(AZ466,3,10),{6,7,8,9},1),"0123456789")))=0,ISNUMBER(FIND(MID(AZ466,13,1),"123456789ABCDEFGHIJKLMNOPQRSTUVWXYZ")),MID(AZ466,14,1)="Z")),"Wrong format",IF(MID("0123456789ABCDEFGHIJKLMNOPQRSTUVWXYZ",MOD(36-MOD(SUMPRODUCT(INT((FIND(MID(AZ466,{1,2,3,4,5,6,7,8,9,10,11,12,13,14},1),"0123456789ABCDEFGHIJKLMNOPQRSTUVWXYZ")-1)*{1,2,1,2,1,2,1,2,1,2,1,2,1,2}/36)+MOD((FIND(MID(AZ466,{1,2,3,4,5,6,7,8,9,10,11,12,13,14},1),"0123456789ABCDEFGHIJKLMNOPQRSTUVWXYZ")-1)*{1,2,1,2,1,2,1,2,1,2,1,2,1,2},36)),36),36)+1,1)=MID(AZ466,15,1),"OK","Typo? check digit wrong")),"Wrong format"))</f>
        <v/>
      </c>
      <c r="AW466" s="29">
        <f>IF(BA466="","",IF(AND(LEN(BA466)=10,SUMPRODUCT(--ISERROR(FIND(MID(BA466,{1,2,3,4,5,10},1),"ABCDEFGHIJKLMNOPQRSTUVWXYZ")))=0,SUMPRODUCT(--ISERROR(FIND(MID(BA466,{6,7,8,9},1),"0123456789")))=0),"OK","Wrong format"))</f>
        <v/>
      </c>
      <c r="AX466" s="29">
        <f>IF(TRIM(H466)="","",IF(AND(LEN(UPPER(TRIM(H466)))=10,SUMPRODUCT(--ISERROR(FIND(MID(UPPER(TRIM(H466)),{1,2,3,4,10},1),"ABCDEFGHIJKLMNOPQRSTUVWXYZ")))=0,SUMPRODUCT(--ISERROR(FIND(MID(UPPER(TRIM(H466)),{5,6,7,8,9},1),"0123456789")))=0),"OK","Wrong format"))</f>
        <v/>
      </c>
      <c r="AY466" s="30">
        <f>IF(NOT(COUNTA(A466:AE466)&gt;0),"",IF(BE466&lt;&gt;"","✖ "&amp;LEFT(BE466,LEN(BE466)-2),IF(BD466&gt;0,"✔ Ready — client + "&amp;BD466&amp;" service(s)","✔ Ready — client only")))</f>
        <v/>
      </c>
      <c r="AZ466" s="31">
        <f>UPPER(SUBSTITUTE(TRIM(F466)," ",""))</f>
        <v/>
      </c>
      <c r="BA466" s="31">
        <f>UPPER(SUBSTITUTE(TRIM(E466)," ",""))</f>
        <v/>
      </c>
      <c r="BB466" s="31">
        <f>IF(D466&lt;&gt;"",D466,IFERROR(VLOOKUP(MID(AS466,4,1),Lists!$E$2:$F$8,2,FALSE),""))</f>
        <v/>
      </c>
      <c r="BC466" s="31">
        <f>IFERROR(VLOOKUP(BB466,Lists!$A$2:$C$12,3,FALSE),"")</f>
        <v/>
      </c>
      <c r="BD466" s="31">
        <f>COUNTIF(W466:AC466,"Yes")</f>
        <v/>
      </c>
      <c r="BE466" s="31">
        <f>IF(TRIM(B466)="","Legal name missing; ","")&amp;IF(AND(AV466&lt;&gt;"",AV466&lt;&gt;"OK"),"GSTIN: "&amp;AV466&amp;"; ","")&amp;IF(AND(AW466&lt;&gt;"",AW466&lt;&gt;"OK"),"PAN wrong format; ","")&amp;IF(AND(BA466&lt;&gt;"",LEN(AZ466)=15,MID(AZ466,3,10)&lt;&gt;BA466),"PAN does not match GSTIN; ","")&amp;IF(AND(AX466&lt;&gt;"",AX466&lt;&gt;"OK"),"TAN wrong format; ","")&amp;IF(AS466="","PAN missing; ","")&amp;IF(BB466="","Entity type missing; ","")&amp;IF(AND(AZ466&lt;&gt;"",COUNTIF($AZ$6:$AZ$1005,AZ466)&gt;1),"GSTIN repeated in this sheet; ","")&amp;IF(AND(AS466&lt;&gt;"",COUNTIF($AS$6:$AS$1005,AS466)&gt;1),"PAN repeated in this sheet (same client? put extra GSTINs in Other GSTINs); ","")&amp;IF(AND(BD466&gt;0,V466=""),"Financial year missing; ","")&amp;IF(AND(BD466=0,V466&lt;&gt;""),"Financial year given but no service is Yes; ","")&amp;IF(AND(W466="Yes",AZ466=""),"GST needs a GSTIN; ","")&amp;IF(AND(W466="Yes",X466=""),"GST return frequency missing; ","")&amp;IF(AND(Y466="Yes",TRIM(H466)=""),"TDS needs a TAN; ","")&amp;IF(AND(AA466="Yes",BC466&lt;&gt;"",BC466&lt;&gt;"company",BC466&lt;&gt;"llp"),"ROC is only for a company / LLP; ","")&amp;IF(AND(AA466="Yes",OR(BC466="company",BC466="llp"),TRIM(I466)=""),"ROC needs the CIN / LLPIN; ","")&amp;IF((TRIM(AF466)="")&lt;&gt;(TRIM(AG466)=""),"GST login needs both user ID and password; ","")&amp;IF((TRIM(AH466)="")&lt;&gt;(TRIM(AI466)=""),"Income-tax login needs both user ID and password; ","")&amp;IF((TRIM(AJ466)="")&lt;&gt;(TRIM(AK466)=""),"Income-tax login needs both user ID and password; ","")&amp;IF((TRIM(AL466)="")&lt;&gt;(TRIM(AM466)=""),"TRACES login needs both user ID and password; ","")&amp;IF((TRIM(AN466)="")&lt;&gt;(TRIM(AO466)=""),"MCA login needs both user ID and password; ","")&amp;IF((TRIM(AP466)="")&lt;&gt;(TRIM(AQ466)=""),"E-way bill login needs both user ID and password; ","")</f>
        <v/>
      </c>
    </row>
    <row r="467">
      <c r="A467" s="32" t="n"/>
      <c r="B467" s="33" t="n"/>
      <c r="C467" s="33" t="n"/>
      <c r="D467" s="33" t="n"/>
      <c r="E467" s="32" t="n"/>
      <c r="F467" s="32" t="n"/>
      <c r="G467" s="32" t="n"/>
      <c r="H467" s="32" t="n"/>
      <c r="I467" s="32" t="n"/>
      <c r="J467" s="34" t="n"/>
      <c r="K467" s="33" t="n"/>
      <c r="L467" s="32" t="n"/>
      <c r="M467" s="33" t="n"/>
      <c r="N467" s="33" t="n"/>
      <c r="O467" s="33" t="n"/>
      <c r="P467" s="32" t="n"/>
      <c r="Q467" s="33" t="n"/>
      <c r="R467" s="33" t="n"/>
      <c r="S467" s="33" t="n"/>
      <c r="T467" s="33" t="n"/>
      <c r="U467" s="32" t="n"/>
      <c r="V467" s="33" t="n"/>
      <c r="W467" s="33" t="n"/>
      <c r="X467" s="33" t="n"/>
      <c r="Y467" s="33" t="n"/>
      <c r="Z467" s="33" t="n"/>
      <c r="AA467" s="33" t="n"/>
      <c r="AB467" s="33" t="n"/>
      <c r="AC467" s="33" t="n"/>
      <c r="AD467" s="33" t="n"/>
      <c r="AE467" s="33" t="n"/>
      <c r="AF467" s="32" t="n"/>
      <c r="AG467" s="32" t="n"/>
      <c r="AH467" s="32" t="n"/>
      <c r="AI467" s="32" t="n"/>
      <c r="AJ467" s="32" t="n"/>
      <c r="AK467" s="32" t="n"/>
      <c r="AL467" s="32" t="n"/>
      <c r="AM467" s="32" t="n"/>
      <c r="AN467" s="32" t="n"/>
      <c r="AO467" s="32" t="n"/>
      <c r="AP467" s="32" t="n"/>
      <c r="AQ467" s="32" t="n"/>
      <c r="AR467" s="29">
        <f>IF(NOT(COUNTA(A467:AE467)&gt;0),"",IF(A467="","New client","Update"))</f>
        <v/>
      </c>
      <c r="AS467" s="29">
        <f>IF(BA467&lt;&gt;"",BA467,IF(LEN(AZ467)=15,MID(AZ467,3,10),""))</f>
        <v/>
      </c>
      <c r="AT467" s="29">
        <f>IF(BB467="","",BB467&amp;IF(D467="","  (guessed from PAN)",""))</f>
        <v/>
      </c>
      <c r="AU467" s="29">
        <f>IF(AZ467="","",IFERROR(INDEX(Lists!$L$2:$L$38,MATCH(LEFT(AZ467,2),Lists!$K$2:$K$38,0)),"Unknown code"))</f>
        <v/>
      </c>
      <c r="AV467" s="29">
        <f>IF(AZ467="","",IFERROR(IF(NOT(AND(LEN(AZ467)=15,ISNUMBER(MATCH(LEFT(AZ467,2),Lists!$K$2:$K$38,0)),SUMPRODUCT(--ISERROR(FIND(MID(MID(AZ467,3,10),{1,2,3,4,5,10},1),"ABCDEFGHIJKLMNOPQRSTUVWXYZ")))=0,SUMPRODUCT(--ISERROR(FIND(MID(MID(AZ467,3,10),{6,7,8,9},1),"0123456789")))=0,ISNUMBER(FIND(MID(AZ467,13,1),"123456789ABCDEFGHIJKLMNOPQRSTUVWXYZ")),MID(AZ467,14,1)="Z")),"Wrong format",IF(MID("0123456789ABCDEFGHIJKLMNOPQRSTUVWXYZ",MOD(36-MOD(SUMPRODUCT(INT((FIND(MID(AZ467,{1,2,3,4,5,6,7,8,9,10,11,12,13,14},1),"0123456789ABCDEFGHIJKLMNOPQRSTUVWXYZ")-1)*{1,2,1,2,1,2,1,2,1,2,1,2,1,2}/36)+MOD((FIND(MID(AZ467,{1,2,3,4,5,6,7,8,9,10,11,12,13,14},1),"0123456789ABCDEFGHIJKLMNOPQRSTUVWXYZ")-1)*{1,2,1,2,1,2,1,2,1,2,1,2,1,2},36)),36),36)+1,1)=MID(AZ467,15,1),"OK","Typo? check digit wrong")),"Wrong format"))</f>
        <v/>
      </c>
      <c r="AW467" s="29">
        <f>IF(BA467="","",IF(AND(LEN(BA467)=10,SUMPRODUCT(--ISERROR(FIND(MID(BA467,{1,2,3,4,5,10},1),"ABCDEFGHIJKLMNOPQRSTUVWXYZ")))=0,SUMPRODUCT(--ISERROR(FIND(MID(BA467,{6,7,8,9},1),"0123456789")))=0),"OK","Wrong format"))</f>
        <v/>
      </c>
      <c r="AX467" s="29">
        <f>IF(TRIM(H467)="","",IF(AND(LEN(UPPER(TRIM(H467)))=10,SUMPRODUCT(--ISERROR(FIND(MID(UPPER(TRIM(H467)),{1,2,3,4,10},1),"ABCDEFGHIJKLMNOPQRSTUVWXYZ")))=0,SUMPRODUCT(--ISERROR(FIND(MID(UPPER(TRIM(H467)),{5,6,7,8,9},1),"0123456789")))=0),"OK","Wrong format"))</f>
        <v/>
      </c>
      <c r="AY467" s="30">
        <f>IF(NOT(COUNTA(A467:AE467)&gt;0),"",IF(BE467&lt;&gt;"","✖ "&amp;LEFT(BE467,LEN(BE467)-2),IF(BD467&gt;0,"✔ Ready — client + "&amp;BD467&amp;" service(s)","✔ Ready — client only")))</f>
        <v/>
      </c>
      <c r="AZ467" s="31">
        <f>UPPER(SUBSTITUTE(TRIM(F467)," ",""))</f>
        <v/>
      </c>
      <c r="BA467" s="31">
        <f>UPPER(SUBSTITUTE(TRIM(E467)," ",""))</f>
        <v/>
      </c>
      <c r="BB467" s="31">
        <f>IF(D467&lt;&gt;"",D467,IFERROR(VLOOKUP(MID(AS467,4,1),Lists!$E$2:$F$8,2,FALSE),""))</f>
        <v/>
      </c>
      <c r="BC467" s="31">
        <f>IFERROR(VLOOKUP(BB467,Lists!$A$2:$C$12,3,FALSE),"")</f>
        <v/>
      </c>
      <c r="BD467" s="31">
        <f>COUNTIF(W467:AC467,"Yes")</f>
        <v/>
      </c>
      <c r="BE467" s="31">
        <f>IF(TRIM(B467)="","Legal name missing; ","")&amp;IF(AND(AV467&lt;&gt;"",AV467&lt;&gt;"OK"),"GSTIN: "&amp;AV467&amp;"; ","")&amp;IF(AND(AW467&lt;&gt;"",AW467&lt;&gt;"OK"),"PAN wrong format; ","")&amp;IF(AND(BA467&lt;&gt;"",LEN(AZ467)=15,MID(AZ467,3,10)&lt;&gt;BA467),"PAN does not match GSTIN; ","")&amp;IF(AND(AX467&lt;&gt;"",AX467&lt;&gt;"OK"),"TAN wrong format; ","")&amp;IF(AS467="","PAN missing; ","")&amp;IF(BB467="","Entity type missing; ","")&amp;IF(AND(AZ467&lt;&gt;"",COUNTIF($AZ$6:$AZ$1005,AZ467)&gt;1),"GSTIN repeated in this sheet; ","")&amp;IF(AND(AS467&lt;&gt;"",COUNTIF($AS$6:$AS$1005,AS467)&gt;1),"PAN repeated in this sheet (same client? put extra GSTINs in Other GSTINs); ","")&amp;IF(AND(BD467&gt;0,V467=""),"Financial year missing; ","")&amp;IF(AND(BD467=0,V467&lt;&gt;""),"Financial year given but no service is Yes; ","")&amp;IF(AND(W467="Yes",AZ467=""),"GST needs a GSTIN; ","")&amp;IF(AND(W467="Yes",X467=""),"GST return frequency missing; ","")&amp;IF(AND(Y467="Yes",TRIM(H467)=""),"TDS needs a TAN; ","")&amp;IF(AND(AA467="Yes",BC467&lt;&gt;"",BC467&lt;&gt;"company",BC467&lt;&gt;"llp"),"ROC is only for a company / LLP; ","")&amp;IF(AND(AA467="Yes",OR(BC467="company",BC467="llp"),TRIM(I467)=""),"ROC needs the CIN / LLPIN; ","")&amp;IF((TRIM(AF467)="")&lt;&gt;(TRIM(AG467)=""),"GST login needs both user ID and password; ","")&amp;IF((TRIM(AH467)="")&lt;&gt;(TRIM(AI467)=""),"Income-tax login needs both user ID and password; ","")&amp;IF((TRIM(AJ467)="")&lt;&gt;(TRIM(AK467)=""),"Income-tax login needs both user ID and password; ","")&amp;IF((TRIM(AL467)="")&lt;&gt;(TRIM(AM467)=""),"TRACES login needs both user ID and password; ","")&amp;IF((TRIM(AN467)="")&lt;&gt;(TRIM(AO467)=""),"MCA login needs both user ID and password; ","")&amp;IF((TRIM(AP467)="")&lt;&gt;(TRIM(AQ467)=""),"E-way bill login needs both user ID and password; ","")</f>
        <v/>
      </c>
    </row>
    <row r="468">
      <c r="A468" s="32" t="n"/>
      <c r="B468" s="33" t="n"/>
      <c r="C468" s="33" t="n"/>
      <c r="D468" s="33" t="n"/>
      <c r="E468" s="32" t="n"/>
      <c r="F468" s="32" t="n"/>
      <c r="G468" s="32" t="n"/>
      <c r="H468" s="32" t="n"/>
      <c r="I468" s="32" t="n"/>
      <c r="J468" s="34" t="n"/>
      <c r="K468" s="33" t="n"/>
      <c r="L468" s="32" t="n"/>
      <c r="M468" s="33" t="n"/>
      <c r="N468" s="33" t="n"/>
      <c r="O468" s="33" t="n"/>
      <c r="P468" s="32" t="n"/>
      <c r="Q468" s="33" t="n"/>
      <c r="R468" s="33" t="n"/>
      <c r="S468" s="33" t="n"/>
      <c r="T468" s="33" t="n"/>
      <c r="U468" s="32" t="n"/>
      <c r="V468" s="33" t="n"/>
      <c r="W468" s="33" t="n"/>
      <c r="X468" s="33" t="n"/>
      <c r="Y468" s="33" t="n"/>
      <c r="Z468" s="33" t="n"/>
      <c r="AA468" s="33" t="n"/>
      <c r="AB468" s="33" t="n"/>
      <c r="AC468" s="33" t="n"/>
      <c r="AD468" s="33" t="n"/>
      <c r="AE468" s="33" t="n"/>
      <c r="AF468" s="32" t="n"/>
      <c r="AG468" s="32" t="n"/>
      <c r="AH468" s="32" t="n"/>
      <c r="AI468" s="32" t="n"/>
      <c r="AJ468" s="32" t="n"/>
      <c r="AK468" s="32" t="n"/>
      <c r="AL468" s="32" t="n"/>
      <c r="AM468" s="32" t="n"/>
      <c r="AN468" s="32" t="n"/>
      <c r="AO468" s="32" t="n"/>
      <c r="AP468" s="32" t="n"/>
      <c r="AQ468" s="32" t="n"/>
      <c r="AR468" s="29">
        <f>IF(NOT(COUNTA(A468:AE468)&gt;0),"",IF(A468="","New client","Update"))</f>
        <v/>
      </c>
      <c r="AS468" s="29">
        <f>IF(BA468&lt;&gt;"",BA468,IF(LEN(AZ468)=15,MID(AZ468,3,10),""))</f>
        <v/>
      </c>
      <c r="AT468" s="29">
        <f>IF(BB468="","",BB468&amp;IF(D468="","  (guessed from PAN)",""))</f>
        <v/>
      </c>
      <c r="AU468" s="29">
        <f>IF(AZ468="","",IFERROR(INDEX(Lists!$L$2:$L$38,MATCH(LEFT(AZ468,2),Lists!$K$2:$K$38,0)),"Unknown code"))</f>
        <v/>
      </c>
      <c r="AV468" s="29">
        <f>IF(AZ468="","",IFERROR(IF(NOT(AND(LEN(AZ468)=15,ISNUMBER(MATCH(LEFT(AZ468,2),Lists!$K$2:$K$38,0)),SUMPRODUCT(--ISERROR(FIND(MID(MID(AZ468,3,10),{1,2,3,4,5,10},1),"ABCDEFGHIJKLMNOPQRSTUVWXYZ")))=0,SUMPRODUCT(--ISERROR(FIND(MID(MID(AZ468,3,10),{6,7,8,9},1),"0123456789")))=0,ISNUMBER(FIND(MID(AZ468,13,1),"123456789ABCDEFGHIJKLMNOPQRSTUVWXYZ")),MID(AZ468,14,1)="Z")),"Wrong format",IF(MID("0123456789ABCDEFGHIJKLMNOPQRSTUVWXYZ",MOD(36-MOD(SUMPRODUCT(INT((FIND(MID(AZ468,{1,2,3,4,5,6,7,8,9,10,11,12,13,14},1),"0123456789ABCDEFGHIJKLMNOPQRSTUVWXYZ")-1)*{1,2,1,2,1,2,1,2,1,2,1,2,1,2}/36)+MOD((FIND(MID(AZ468,{1,2,3,4,5,6,7,8,9,10,11,12,13,14},1),"0123456789ABCDEFGHIJKLMNOPQRSTUVWXYZ")-1)*{1,2,1,2,1,2,1,2,1,2,1,2,1,2},36)),36),36)+1,1)=MID(AZ468,15,1),"OK","Typo? check digit wrong")),"Wrong format"))</f>
        <v/>
      </c>
      <c r="AW468" s="29">
        <f>IF(BA468="","",IF(AND(LEN(BA468)=10,SUMPRODUCT(--ISERROR(FIND(MID(BA468,{1,2,3,4,5,10},1),"ABCDEFGHIJKLMNOPQRSTUVWXYZ")))=0,SUMPRODUCT(--ISERROR(FIND(MID(BA468,{6,7,8,9},1),"0123456789")))=0),"OK","Wrong format"))</f>
        <v/>
      </c>
      <c r="AX468" s="29">
        <f>IF(TRIM(H468)="","",IF(AND(LEN(UPPER(TRIM(H468)))=10,SUMPRODUCT(--ISERROR(FIND(MID(UPPER(TRIM(H468)),{1,2,3,4,10},1),"ABCDEFGHIJKLMNOPQRSTUVWXYZ")))=0,SUMPRODUCT(--ISERROR(FIND(MID(UPPER(TRIM(H468)),{5,6,7,8,9},1),"0123456789")))=0),"OK","Wrong format"))</f>
        <v/>
      </c>
      <c r="AY468" s="30">
        <f>IF(NOT(COUNTA(A468:AE468)&gt;0),"",IF(BE468&lt;&gt;"","✖ "&amp;LEFT(BE468,LEN(BE468)-2),IF(BD468&gt;0,"✔ Ready — client + "&amp;BD468&amp;" service(s)","✔ Ready — client only")))</f>
        <v/>
      </c>
      <c r="AZ468" s="31">
        <f>UPPER(SUBSTITUTE(TRIM(F468)," ",""))</f>
        <v/>
      </c>
      <c r="BA468" s="31">
        <f>UPPER(SUBSTITUTE(TRIM(E468)," ",""))</f>
        <v/>
      </c>
      <c r="BB468" s="31">
        <f>IF(D468&lt;&gt;"",D468,IFERROR(VLOOKUP(MID(AS468,4,1),Lists!$E$2:$F$8,2,FALSE),""))</f>
        <v/>
      </c>
      <c r="BC468" s="31">
        <f>IFERROR(VLOOKUP(BB468,Lists!$A$2:$C$12,3,FALSE),"")</f>
        <v/>
      </c>
      <c r="BD468" s="31">
        <f>COUNTIF(W468:AC468,"Yes")</f>
        <v/>
      </c>
      <c r="BE468" s="31">
        <f>IF(TRIM(B468)="","Legal name missing; ","")&amp;IF(AND(AV468&lt;&gt;"",AV468&lt;&gt;"OK"),"GSTIN: "&amp;AV468&amp;"; ","")&amp;IF(AND(AW468&lt;&gt;"",AW468&lt;&gt;"OK"),"PAN wrong format; ","")&amp;IF(AND(BA468&lt;&gt;"",LEN(AZ468)=15,MID(AZ468,3,10)&lt;&gt;BA468),"PAN does not match GSTIN; ","")&amp;IF(AND(AX468&lt;&gt;"",AX468&lt;&gt;"OK"),"TAN wrong format; ","")&amp;IF(AS468="","PAN missing; ","")&amp;IF(BB468="","Entity type missing; ","")&amp;IF(AND(AZ468&lt;&gt;"",COUNTIF($AZ$6:$AZ$1005,AZ468)&gt;1),"GSTIN repeated in this sheet; ","")&amp;IF(AND(AS468&lt;&gt;"",COUNTIF($AS$6:$AS$1005,AS468)&gt;1),"PAN repeated in this sheet (same client? put extra GSTINs in Other GSTINs); ","")&amp;IF(AND(BD468&gt;0,V468=""),"Financial year missing; ","")&amp;IF(AND(BD468=0,V468&lt;&gt;""),"Financial year given but no service is Yes; ","")&amp;IF(AND(W468="Yes",AZ468=""),"GST needs a GSTIN; ","")&amp;IF(AND(W468="Yes",X468=""),"GST return frequency missing; ","")&amp;IF(AND(Y468="Yes",TRIM(H468)=""),"TDS needs a TAN; ","")&amp;IF(AND(AA468="Yes",BC468&lt;&gt;"",BC468&lt;&gt;"company",BC468&lt;&gt;"llp"),"ROC is only for a company / LLP; ","")&amp;IF(AND(AA468="Yes",OR(BC468="company",BC468="llp"),TRIM(I468)=""),"ROC needs the CIN / LLPIN; ","")&amp;IF((TRIM(AF468)="")&lt;&gt;(TRIM(AG468)=""),"GST login needs both user ID and password; ","")&amp;IF((TRIM(AH468)="")&lt;&gt;(TRIM(AI468)=""),"Income-tax login needs both user ID and password; ","")&amp;IF((TRIM(AJ468)="")&lt;&gt;(TRIM(AK468)=""),"Income-tax login needs both user ID and password; ","")&amp;IF((TRIM(AL468)="")&lt;&gt;(TRIM(AM468)=""),"TRACES login needs both user ID and password; ","")&amp;IF((TRIM(AN468)="")&lt;&gt;(TRIM(AO468)=""),"MCA login needs both user ID and password; ","")&amp;IF((TRIM(AP468)="")&lt;&gt;(TRIM(AQ468)=""),"E-way bill login needs both user ID and password; ","")</f>
        <v/>
      </c>
    </row>
    <row r="469">
      <c r="A469" s="32" t="n"/>
      <c r="B469" s="33" t="n"/>
      <c r="C469" s="33" t="n"/>
      <c r="D469" s="33" t="n"/>
      <c r="E469" s="32" t="n"/>
      <c r="F469" s="32" t="n"/>
      <c r="G469" s="32" t="n"/>
      <c r="H469" s="32" t="n"/>
      <c r="I469" s="32" t="n"/>
      <c r="J469" s="34" t="n"/>
      <c r="K469" s="33" t="n"/>
      <c r="L469" s="32" t="n"/>
      <c r="M469" s="33" t="n"/>
      <c r="N469" s="33" t="n"/>
      <c r="O469" s="33" t="n"/>
      <c r="P469" s="32" t="n"/>
      <c r="Q469" s="33" t="n"/>
      <c r="R469" s="33" t="n"/>
      <c r="S469" s="33" t="n"/>
      <c r="T469" s="33" t="n"/>
      <c r="U469" s="32" t="n"/>
      <c r="V469" s="33" t="n"/>
      <c r="W469" s="33" t="n"/>
      <c r="X469" s="33" t="n"/>
      <c r="Y469" s="33" t="n"/>
      <c r="Z469" s="33" t="n"/>
      <c r="AA469" s="33" t="n"/>
      <c r="AB469" s="33" t="n"/>
      <c r="AC469" s="33" t="n"/>
      <c r="AD469" s="33" t="n"/>
      <c r="AE469" s="33" t="n"/>
      <c r="AF469" s="32" t="n"/>
      <c r="AG469" s="32" t="n"/>
      <c r="AH469" s="32" t="n"/>
      <c r="AI469" s="32" t="n"/>
      <c r="AJ469" s="32" t="n"/>
      <c r="AK469" s="32" t="n"/>
      <c r="AL469" s="32" t="n"/>
      <c r="AM469" s="32" t="n"/>
      <c r="AN469" s="32" t="n"/>
      <c r="AO469" s="32" t="n"/>
      <c r="AP469" s="32" t="n"/>
      <c r="AQ469" s="32" t="n"/>
      <c r="AR469" s="29">
        <f>IF(NOT(COUNTA(A469:AE469)&gt;0),"",IF(A469="","New client","Update"))</f>
        <v/>
      </c>
      <c r="AS469" s="29">
        <f>IF(BA469&lt;&gt;"",BA469,IF(LEN(AZ469)=15,MID(AZ469,3,10),""))</f>
        <v/>
      </c>
      <c r="AT469" s="29">
        <f>IF(BB469="","",BB469&amp;IF(D469="","  (guessed from PAN)",""))</f>
        <v/>
      </c>
      <c r="AU469" s="29">
        <f>IF(AZ469="","",IFERROR(INDEX(Lists!$L$2:$L$38,MATCH(LEFT(AZ469,2),Lists!$K$2:$K$38,0)),"Unknown code"))</f>
        <v/>
      </c>
      <c r="AV469" s="29">
        <f>IF(AZ469="","",IFERROR(IF(NOT(AND(LEN(AZ469)=15,ISNUMBER(MATCH(LEFT(AZ469,2),Lists!$K$2:$K$38,0)),SUMPRODUCT(--ISERROR(FIND(MID(MID(AZ469,3,10),{1,2,3,4,5,10},1),"ABCDEFGHIJKLMNOPQRSTUVWXYZ")))=0,SUMPRODUCT(--ISERROR(FIND(MID(MID(AZ469,3,10),{6,7,8,9},1),"0123456789")))=0,ISNUMBER(FIND(MID(AZ469,13,1),"123456789ABCDEFGHIJKLMNOPQRSTUVWXYZ")),MID(AZ469,14,1)="Z")),"Wrong format",IF(MID("0123456789ABCDEFGHIJKLMNOPQRSTUVWXYZ",MOD(36-MOD(SUMPRODUCT(INT((FIND(MID(AZ469,{1,2,3,4,5,6,7,8,9,10,11,12,13,14},1),"0123456789ABCDEFGHIJKLMNOPQRSTUVWXYZ")-1)*{1,2,1,2,1,2,1,2,1,2,1,2,1,2}/36)+MOD((FIND(MID(AZ469,{1,2,3,4,5,6,7,8,9,10,11,12,13,14},1),"0123456789ABCDEFGHIJKLMNOPQRSTUVWXYZ")-1)*{1,2,1,2,1,2,1,2,1,2,1,2,1,2},36)),36),36)+1,1)=MID(AZ469,15,1),"OK","Typo? check digit wrong")),"Wrong format"))</f>
        <v/>
      </c>
      <c r="AW469" s="29">
        <f>IF(BA469="","",IF(AND(LEN(BA469)=10,SUMPRODUCT(--ISERROR(FIND(MID(BA469,{1,2,3,4,5,10},1),"ABCDEFGHIJKLMNOPQRSTUVWXYZ")))=0,SUMPRODUCT(--ISERROR(FIND(MID(BA469,{6,7,8,9},1),"0123456789")))=0),"OK","Wrong format"))</f>
        <v/>
      </c>
      <c r="AX469" s="29">
        <f>IF(TRIM(H469)="","",IF(AND(LEN(UPPER(TRIM(H469)))=10,SUMPRODUCT(--ISERROR(FIND(MID(UPPER(TRIM(H469)),{1,2,3,4,10},1),"ABCDEFGHIJKLMNOPQRSTUVWXYZ")))=0,SUMPRODUCT(--ISERROR(FIND(MID(UPPER(TRIM(H469)),{5,6,7,8,9},1),"0123456789")))=0),"OK","Wrong format"))</f>
        <v/>
      </c>
      <c r="AY469" s="30">
        <f>IF(NOT(COUNTA(A469:AE469)&gt;0),"",IF(BE469&lt;&gt;"","✖ "&amp;LEFT(BE469,LEN(BE469)-2),IF(BD469&gt;0,"✔ Ready — client + "&amp;BD469&amp;" service(s)","✔ Ready — client only")))</f>
        <v/>
      </c>
      <c r="AZ469" s="31">
        <f>UPPER(SUBSTITUTE(TRIM(F469)," ",""))</f>
        <v/>
      </c>
      <c r="BA469" s="31">
        <f>UPPER(SUBSTITUTE(TRIM(E469)," ",""))</f>
        <v/>
      </c>
      <c r="BB469" s="31">
        <f>IF(D469&lt;&gt;"",D469,IFERROR(VLOOKUP(MID(AS469,4,1),Lists!$E$2:$F$8,2,FALSE),""))</f>
        <v/>
      </c>
      <c r="BC469" s="31">
        <f>IFERROR(VLOOKUP(BB469,Lists!$A$2:$C$12,3,FALSE),"")</f>
        <v/>
      </c>
      <c r="BD469" s="31">
        <f>COUNTIF(W469:AC469,"Yes")</f>
        <v/>
      </c>
      <c r="BE469" s="31">
        <f>IF(TRIM(B469)="","Legal name missing; ","")&amp;IF(AND(AV469&lt;&gt;"",AV469&lt;&gt;"OK"),"GSTIN: "&amp;AV469&amp;"; ","")&amp;IF(AND(AW469&lt;&gt;"",AW469&lt;&gt;"OK"),"PAN wrong format; ","")&amp;IF(AND(BA469&lt;&gt;"",LEN(AZ469)=15,MID(AZ469,3,10)&lt;&gt;BA469),"PAN does not match GSTIN; ","")&amp;IF(AND(AX469&lt;&gt;"",AX469&lt;&gt;"OK"),"TAN wrong format; ","")&amp;IF(AS469="","PAN missing; ","")&amp;IF(BB469="","Entity type missing; ","")&amp;IF(AND(AZ469&lt;&gt;"",COUNTIF($AZ$6:$AZ$1005,AZ469)&gt;1),"GSTIN repeated in this sheet; ","")&amp;IF(AND(AS469&lt;&gt;"",COUNTIF($AS$6:$AS$1005,AS469)&gt;1),"PAN repeated in this sheet (same client? put extra GSTINs in Other GSTINs); ","")&amp;IF(AND(BD469&gt;0,V469=""),"Financial year missing; ","")&amp;IF(AND(BD469=0,V469&lt;&gt;""),"Financial year given but no service is Yes; ","")&amp;IF(AND(W469="Yes",AZ469=""),"GST needs a GSTIN; ","")&amp;IF(AND(W469="Yes",X469=""),"GST return frequency missing; ","")&amp;IF(AND(Y469="Yes",TRIM(H469)=""),"TDS needs a TAN; ","")&amp;IF(AND(AA469="Yes",BC469&lt;&gt;"",BC469&lt;&gt;"company",BC469&lt;&gt;"llp"),"ROC is only for a company / LLP; ","")&amp;IF(AND(AA469="Yes",OR(BC469="company",BC469="llp"),TRIM(I469)=""),"ROC needs the CIN / LLPIN; ","")&amp;IF((TRIM(AF469)="")&lt;&gt;(TRIM(AG469)=""),"GST login needs both user ID and password; ","")&amp;IF((TRIM(AH469)="")&lt;&gt;(TRIM(AI469)=""),"Income-tax login needs both user ID and password; ","")&amp;IF((TRIM(AJ469)="")&lt;&gt;(TRIM(AK469)=""),"Income-tax login needs both user ID and password; ","")&amp;IF((TRIM(AL469)="")&lt;&gt;(TRIM(AM469)=""),"TRACES login needs both user ID and password; ","")&amp;IF((TRIM(AN469)="")&lt;&gt;(TRIM(AO469)=""),"MCA login needs both user ID and password; ","")&amp;IF((TRIM(AP469)="")&lt;&gt;(TRIM(AQ469)=""),"E-way bill login needs both user ID and password; ","")</f>
        <v/>
      </c>
    </row>
    <row r="470">
      <c r="A470" s="32" t="n"/>
      <c r="B470" s="33" t="n"/>
      <c r="C470" s="33" t="n"/>
      <c r="D470" s="33" t="n"/>
      <c r="E470" s="32" t="n"/>
      <c r="F470" s="32" t="n"/>
      <c r="G470" s="32" t="n"/>
      <c r="H470" s="32" t="n"/>
      <c r="I470" s="32" t="n"/>
      <c r="J470" s="34" t="n"/>
      <c r="K470" s="33" t="n"/>
      <c r="L470" s="32" t="n"/>
      <c r="M470" s="33" t="n"/>
      <c r="N470" s="33" t="n"/>
      <c r="O470" s="33" t="n"/>
      <c r="P470" s="32" t="n"/>
      <c r="Q470" s="33" t="n"/>
      <c r="R470" s="33" t="n"/>
      <c r="S470" s="33" t="n"/>
      <c r="T470" s="33" t="n"/>
      <c r="U470" s="32" t="n"/>
      <c r="V470" s="33" t="n"/>
      <c r="W470" s="33" t="n"/>
      <c r="X470" s="33" t="n"/>
      <c r="Y470" s="33" t="n"/>
      <c r="Z470" s="33" t="n"/>
      <c r="AA470" s="33" t="n"/>
      <c r="AB470" s="33" t="n"/>
      <c r="AC470" s="33" t="n"/>
      <c r="AD470" s="33" t="n"/>
      <c r="AE470" s="33" t="n"/>
      <c r="AF470" s="32" t="n"/>
      <c r="AG470" s="32" t="n"/>
      <c r="AH470" s="32" t="n"/>
      <c r="AI470" s="32" t="n"/>
      <c r="AJ470" s="32" t="n"/>
      <c r="AK470" s="32" t="n"/>
      <c r="AL470" s="32" t="n"/>
      <c r="AM470" s="32" t="n"/>
      <c r="AN470" s="32" t="n"/>
      <c r="AO470" s="32" t="n"/>
      <c r="AP470" s="32" t="n"/>
      <c r="AQ470" s="32" t="n"/>
      <c r="AR470" s="29">
        <f>IF(NOT(COUNTA(A470:AE470)&gt;0),"",IF(A470="","New client","Update"))</f>
        <v/>
      </c>
      <c r="AS470" s="29">
        <f>IF(BA470&lt;&gt;"",BA470,IF(LEN(AZ470)=15,MID(AZ470,3,10),""))</f>
        <v/>
      </c>
      <c r="AT470" s="29">
        <f>IF(BB470="","",BB470&amp;IF(D470="","  (guessed from PAN)",""))</f>
        <v/>
      </c>
      <c r="AU470" s="29">
        <f>IF(AZ470="","",IFERROR(INDEX(Lists!$L$2:$L$38,MATCH(LEFT(AZ470,2),Lists!$K$2:$K$38,0)),"Unknown code"))</f>
        <v/>
      </c>
      <c r="AV470" s="29">
        <f>IF(AZ470="","",IFERROR(IF(NOT(AND(LEN(AZ470)=15,ISNUMBER(MATCH(LEFT(AZ470,2),Lists!$K$2:$K$38,0)),SUMPRODUCT(--ISERROR(FIND(MID(MID(AZ470,3,10),{1,2,3,4,5,10},1),"ABCDEFGHIJKLMNOPQRSTUVWXYZ")))=0,SUMPRODUCT(--ISERROR(FIND(MID(MID(AZ470,3,10),{6,7,8,9},1),"0123456789")))=0,ISNUMBER(FIND(MID(AZ470,13,1),"123456789ABCDEFGHIJKLMNOPQRSTUVWXYZ")),MID(AZ470,14,1)="Z")),"Wrong format",IF(MID("0123456789ABCDEFGHIJKLMNOPQRSTUVWXYZ",MOD(36-MOD(SUMPRODUCT(INT((FIND(MID(AZ470,{1,2,3,4,5,6,7,8,9,10,11,12,13,14},1),"0123456789ABCDEFGHIJKLMNOPQRSTUVWXYZ")-1)*{1,2,1,2,1,2,1,2,1,2,1,2,1,2}/36)+MOD((FIND(MID(AZ470,{1,2,3,4,5,6,7,8,9,10,11,12,13,14},1),"0123456789ABCDEFGHIJKLMNOPQRSTUVWXYZ")-1)*{1,2,1,2,1,2,1,2,1,2,1,2,1,2},36)),36),36)+1,1)=MID(AZ470,15,1),"OK","Typo? check digit wrong")),"Wrong format"))</f>
        <v/>
      </c>
      <c r="AW470" s="29">
        <f>IF(BA470="","",IF(AND(LEN(BA470)=10,SUMPRODUCT(--ISERROR(FIND(MID(BA470,{1,2,3,4,5,10},1),"ABCDEFGHIJKLMNOPQRSTUVWXYZ")))=0,SUMPRODUCT(--ISERROR(FIND(MID(BA470,{6,7,8,9},1),"0123456789")))=0),"OK","Wrong format"))</f>
        <v/>
      </c>
      <c r="AX470" s="29">
        <f>IF(TRIM(H470)="","",IF(AND(LEN(UPPER(TRIM(H470)))=10,SUMPRODUCT(--ISERROR(FIND(MID(UPPER(TRIM(H470)),{1,2,3,4,10},1),"ABCDEFGHIJKLMNOPQRSTUVWXYZ")))=0,SUMPRODUCT(--ISERROR(FIND(MID(UPPER(TRIM(H470)),{5,6,7,8,9},1),"0123456789")))=0),"OK","Wrong format"))</f>
        <v/>
      </c>
      <c r="AY470" s="30">
        <f>IF(NOT(COUNTA(A470:AE470)&gt;0),"",IF(BE470&lt;&gt;"","✖ "&amp;LEFT(BE470,LEN(BE470)-2),IF(BD470&gt;0,"✔ Ready — client + "&amp;BD470&amp;" service(s)","✔ Ready — client only")))</f>
        <v/>
      </c>
      <c r="AZ470" s="31">
        <f>UPPER(SUBSTITUTE(TRIM(F470)," ",""))</f>
        <v/>
      </c>
      <c r="BA470" s="31">
        <f>UPPER(SUBSTITUTE(TRIM(E470)," ",""))</f>
        <v/>
      </c>
      <c r="BB470" s="31">
        <f>IF(D470&lt;&gt;"",D470,IFERROR(VLOOKUP(MID(AS470,4,1),Lists!$E$2:$F$8,2,FALSE),""))</f>
        <v/>
      </c>
      <c r="BC470" s="31">
        <f>IFERROR(VLOOKUP(BB470,Lists!$A$2:$C$12,3,FALSE),"")</f>
        <v/>
      </c>
      <c r="BD470" s="31">
        <f>COUNTIF(W470:AC470,"Yes")</f>
        <v/>
      </c>
      <c r="BE470" s="31">
        <f>IF(TRIM(B470)="","Legal name missing; ","")&amp;IF(AND(AV470&lt;&gt;"",AV470&lt;&gt;"OK"),"GSTIN: "&amp;AV470&amp;"; ","")&amp;IF(AND(AW470&lt;&gt;"",AW470&lt;&gt;"OK"),"PAN wrong format; ","")&amp;IF(AND(BA470&lt;&gt;"",LEN(AZ470)=15,MID(AZ470,3,10)&lt;&gt;BA470),"PAN does not match GSTIN; ","")&amp;IF(AND(AX470&lt;&gt;"",AX470&lt;&gt;"OK"),"TAN wrong format; ","")&amp;IF(AS470="","PAN missing; ","")&amp;IF(BB470="","Entity type missing; ","")&amp;IF(AND(AZ470&lt;&gt;"",COUNTIF($AZ$6:$AZ$1005,AZ470)&gt;1),"GSTIN repeated in this sheet; ","")&amp;IF(AND(AS470&lt;&gt;"",COUNTIF($AS$6:$AS$1005,AS470)&gt;1),"PAN repeated in this sheet (same client? put extra GSTINs in Other GSTINs); ","")&amp;IF(AND(BD470&gt;0,V470=""),"Financial year missing; ","")&amp;IF(AND(BD470=0,V470&lt;&gt;""),"Financial year given but no service is Yes; ","")&amp;IF(AND(W470="Yes",AZ470=""),"GST needs a GSTIN; ","")&amp;IF(AND(W470="Yes",X470=""),"GST return frequency missing; ","")&amp;IF(AND(Y470="Yes",TRIM(H470)=""),"TDS needs a TAN; ","")&amp;IF(AND(AA470="Yes",BC470&lt;&gt;"",BC470&lt;&gt;"company",BC470&lt;&gt;"llp"),"ROC is only for a company / LLP; ","")&amp;IF(AND(AA470="Yes",OR(BC470="company",BC470="llp"),TRIM(I470)=""),"ROC needs the CIN / LLPIN; ","")&amp;IF((TRIM(AF470)="")&lt;&gt;(TRIM(AG470)=""),"GST login needs both user ID and password; ","")&amp;IF((TRIM(AH470)="")&lt;&gt;(TRIM(AI470)=""),"Income-tax login needs both user ID and password; ","")&amp;IF((TRIM(AJ470)="")&lt;&gt;(TRIM(AK470)=""),"Income-tax login needs both user ID and password; ","")&amp;IF((TRIM(AL470)="")&lt;&gt;(TRIM(AM470)=""),"TRACES login needs both user ID and password; ","")&amp;IF((TRIM(AN470)="")&lt;&gt;(TRIM(AO470)=""),"MCA login needs both user ID and password; ","")&amp;IF((TRIM(AP470)="")&lt;&gt;(TRIM(AQ470)=""),"E-way bill login needs both user ID and password; ","")</f>
        <v/>
      </c>
    </row>
    <row r="471">
      <c r="A471" s="32" t="n"/>
      <c r="B471" s="33" t="n"/>
      <c r="C471" s="33" t="n"/>
      <c r="D471" s="33" t="n"/>
      <c r="E471" s="32" t="n"/>
      <c r="F471" s="32" t="n"/>
      <c r="G471" s="32" t="n"/>
      <c r="H471" s="32" t="n"/>
      <c r="I471" s="32" t="n"/>
      <c r="J471" s="34" t="n"/>
      <c r="K471" s="33" t="n"/>
      <c r="L471" s="32" t="n"/>
      <c r="M471" s="33" t="n"/>
      <c r="N471" s="33" t="n"/>
      <c r="O471" s="33" t="n"/>
      <c r="P471" s="32" t="n"/>
      <c r="Q471" s="33" t="n"/>
      <c r="R471" s="33" t="n"/>
      <c r="S471" s="33" t="n"/>
      <c r="T471" s="33" t="n"/>
      <c r="U471" s="32" t="n"/>
      <c r="V471" s="33" t="n"/>
      <c r="W471" s="33" t="n"/>
      <c r="X471" s="33" t="n"/>
      <c r="Y471" s="33" t="n"/>
      <c r="Z471" s="33" t="n"/>
      <c r="AA471" s="33" t="n"/>
      <c r="AB471" s="33" t="n"/>
      <c r="AC471" s="33" t="n"/>
      <c r="AD471" s="33" t="n"/>
      <c r="AE471" s="33" t="n"/>
      <c r="AF471" s="32" t="n"/>
      <c r="AG471" s="32" t="n"/>
      <c r="AH471" s="32" t="n"/>
      <c r="AI471" s="32" t="n"/>
      <c r="AJ471" s="32" t="n"/>
      <c r="AK471" s="32" t="n"/>
      <c r="AL471" s="32" t="n"/>
      <c r="AM471" s="32" t="n"/>
      <c r="AN471" s="32" t="n"/>
      <c r="AO471" s="32" t="n"/>
      <c r="AP471" s="32" t="n"/>
      <c r="AQ471" s="32" t="n"/>
      <c r="AR471" s="29">
        <f>IF(NOT(COUNTA(A471:AE471)&gt;0),"",IF(A471="","New client","Update"))</f>
        <v/>
      </c>
      <c r="AS471" s="29">
        <f>IF(BA471&lt;&gt;"",BA471,IF(LEN(AZ471)=15,MID(AZ471,3,10),""))</f>
        <v/>
      </c>
      <c r="AT471" s="29">
        <f>IF(BB471="","",BB471&amp;IF(D471="","  (guessed from PAN)",""))</f>
        <v/>
      </c>
      <c r="AU471" s="29">
        <f>IF(AZ471="","",IFERROR(INDEX(Lists!$L$2:$L$38,MATCH(LEFT(AZ471,2),Lists!$K$2:$K$38,0)),"Unknown code"))</f>
        <v/>
      </c>
      <c r="AV471" s="29">
        <f>IF(AZ471="","",IFERROR(IF(NOT(AND(LEN(AZ471)=15,ISNUMBER(MATCH(LEFT(AZ471,2),Lists!$K$2:$K$38,0)),SUMPRODUCT(--ISERROR(FIND(MID(MID(AZ471,3,10),{1,2,3,4,5,10},1),"ABCDEFGHIJKLMNOPQRSTUVWXYZ")))=0,SUMPRODUCT(--ISERROR(FIND(MID(MID(AZ471,3,10),{6,7,8,9},1),"0123456789")))=0,ISNUMBER(FIND(MID(AZ471,13,1),"123456789ABCDEFGHIJKLMNOPQRSTUVWXYZ")),MID(AZ471,14,1)="Z")),"Wrong format",IF(MID("0123456789ABCDEFGHIJKLMNOPQRSTUVWXYZ",MOD(36-MOD(SUMPRODUCT(INT((FIND(MID(AZ471,{1,2,3,4,5,6,7,8,9,10,11,12,13,14},1),"0123456789ABCDEFGHIJKLMNOPQRSTUVWXYZ")-1)*{1,2,1,2,1,2,1,2,1,2,1,2,1,2}/36)+MOD((FIND(MID(AZ471,{1,2,3,4,5,6,7,8,9,10,11,12,13,14},1),"0123456789ABCDEFGHIJKLMNOPQRSTUVWXYZ")-1)*{1,2,1,2,1,2,1,2,1,2,1,2,1,2},36)),36),36)+1,1)=MID(AZ471,15,1),"OK","Typo? check digit wrong")),"Wrong format"))</f>
        <v/>
      </c>
      <c r="AW471" s="29">
        <f>IF(BA471="","",IF(AND(LEN(BA471)=10,SUMPRODUCT(--ISERROR(FIND(MID(BA471,{1,2,3,4,5,10},1),"ABCDEFGHIJKLMNOPQRSTUVWXYZ")))=0,SUMPRODUCT(--ISERROR(FIND(MID(BA471,{6,7,8,9},1),"0123456789")))=0),"OK","Wrong format"))</f>
        <v/>
      </c>
      <c r="AX471" s="29">
        <f>IF(TRIM(H471)="","",IF(AND(LEN(UPPER(TRIM(H471)))=10,SUMPRODUCT(--ISERROR(FIND(MID(UPPER(TRIM(H471)),{1,2,3,4,10},1),"ABCDEFGHIJKLMNOPQRSTUVWXYZ")))=0,SUMPRODUCT(--ISERROR(FIND(MID(UPPER(TRIM(H471)),{5,6,7,8,9},1),"0123456789")))=0),"OK","Wrong format"))</f>
        <v/>
      </c>
      <c r="AY471" s="30">
        <f>IF(NOT(COUNTA(A471:AE471)&gt;0),"",IF(BE471&lt;&gt;"","✖ "&amp;LEFT(BE471,LEN(BE471)-2),IF(BD471&gt;0,"✔ Ready — client + "&amp;BD471&amp;" service(s)","✔ Ready — client only")))</f>
        <v/>
      </c>
      <c r="AZ471" s="31">
        <f>UPPER(SUBSTITUTE(TRIM(F471)," ",""))</f>
        <v/>
      </c>
      <c r="BA471" s="31">
        <f>UPPER(SUBSTITUTE(TRIM(E471)," ",""))</f>
        <v/>
      </c>
      <c r="BB471" s="31">
        <f>IF(D471&lt;&gt;"",D471,IFERROR(VLOOKUP(MID(AS471,4,1),Lists!$E$2:$F$8,2,FALSE),""))</f>
        <v/>
      </c>
      <c r="BC471" s="31">
        <f>IFERROR(VLOOKUP(BB471,Lists!$A$2:$C$12,3,FALSE),"")</f>
        <v/>
      </c>
      <c r="BD471" s="31">
        <f>COUNTIF(W471:AC471,"Yes")</f>
        <v/>
      </c>
      <c r="BE471" s="31">
        <f>IF(TRIM(B471)="","Legal name missing; ","")&amp;IF(AND(AV471&lt;&gt;"",AV471&lt;&gt;"OK"),"GSTIN: "&amp;AV471&amp;"; ","")&amp;IF(AND(AW471&lt;&gt;"",AW471&lt;&gt;"OK"),"PAN wrong format; ","")&amp;IF(AND(BA471&lt;&gt;"",LEN(AZ471)=15,MID(AZ471,3,10)&lt;&gt;BA471),"PAN does not match GSTIN; ","")&amp;IF(AND(AX471&lt;&gt;"",AX471&lt;&gt;"OK"),"TAN wrong format; ","")&amp;IF(AS471="","PAN missing; ","")&amp;IF(BB471="","Entity type missing; ","")&amp;IF(AND(AZ471&lt;&gt;"",COUNTIF($AZ$6:$AZ$1005,AZ471)&gt;1),"GSTIN repeated in this sheet; ","")&amp;IF(AND(AS471&lt;&gt;"",COUNTIF($AS$6:$AS$1005,AS471)&gt;1),"PAN repeated in this sheet (same client? put extra GSTINs in Other GSTINs); ","")&amp;IF(AND(BD471&gt;0,V471=""),"Financial year missing; ","")&amp;IF(AND(BD471=0,V471&lt;&gt;""),"Financial year given but no service is Yes; ","")&amp;IF(AND(W471="Yes",AZ471=""),"GST needs a GSTIN; ","")&amp;IF(AND(W471="Yes",X471=""),"GST return frequency missing; ","")&amp;IF(AND(Y471="Yes",TRIM(H471)=""),"TDS needs a TAN; ","")&amp;IF(AND(AA471="Yes",BC471&lt;&gt;"",BC471&lt;&gt;"company",BC471&lt;&gt;"llp"),"ROC is only for a company / LLP; ","")&amp;IF(AND(AA471="Yes",OR(BC471="company",BC471="llp"),TRIM(I471)=""),"ROC needs the CIN / LLPIN; ","")&amp;IF((TRIM(AF471)="")&lt;&gt;(TRIM(AG471)=""),"GST login needs both user ID and password; ","")&amp;IF((TRIM(AH471)="")&lt;&gt;(TRIM(AI471)=""),"Income-tax login needs both user ID and password; ","")&amp;IF((TRIM(AJ471)="")&lt;&gt;(TRIM(AK471)=""),"Income-tax login needs both user ID and password; ","")&amp;IF((TRIM(AL471)="")&lt;&gt;(TRIM(AM471)=""),"TRACES login needs both user ID and password; ","")&amp;IF((TRIM(AN471)="")&lt;&gt;(TRIM(AO471)=""),"MCA login needs both user ID and password; ","")&amp;IF((TRIM(AP471)="")&lt;&gt;(TRIM(AQ471)=""),"E-way bill login needs both user ID and password; ","")</f>
        <v/>
      </c>
    </row>
    <row r="472">
      <c r="A472" s="32" t="n"/>
      <c r="B472" s="33" t="n"/>
      <c r="C472" s="33" t="n"/>
      <c r="D472" s="33" t="n"/>
      <c r="E472" s="32" t="n"/>
      <c r="F472" s="32" t="n"/>
      <c r="G472" s="32" t="n"/>
      <c r="H472" s="32" t="n"/>
      <c r="I472" s="32" t="n"/>
      <c r="J472" s="34" t="n"/>
      <c r="K472" s="33" t="n"/>
      <c r="L472" s="32" t="n"/>
      <c r="M472" s="33" t="n"/>
      <c r="N472" s="33" t="n"/>
      <c r="O472" s="33" t="n"/>
      <c r="P472" s="32" t="n"/>
      <c r="Q472" s="33" t="n"/>
      <c r="R472" s="33" t="n"/>
      <c r="S472" s="33" t="n"/>
      <c r="T472" s="33" t="n"/>
      <c r="U472" s="32" t="n"/>
      <c r="V472" s="33" t="n"/>
      <c r="W472" s="33" t="n"/>
      <c r="X472" s="33" t="n"/>
      <c r="Y472" s="33" t="n"/>
      <c r="Z472" s="33" t="n"/>
      <c r="AA472" s="33" t="n"/>
      <c r="AB472" s="33" t="n"/>
      <c r="AC472" s="33" t="n"/>
      <c r="AD472" s="33" t="n"/>
      <c r="AE472" s="33" t="n"/>
      <c r="AF472" s="32" t="n"/>
      <c r="AG472" s="32" t="n"/>
      <c r="AH472" s="32" t="n"/>
      <c r="AI472" s="32" t="n"/>
      <c r="AJ472" s="32" t="n"/>
      <c r="AK472" s="32" t="n"/>
      <c r="AL472" s="32" t="n"/>
      <c r="AM472" s="32" t="n"/>
      <c r="AN472" s="32" t="n"/>
      <c r="AO472" s="32" t="n"/>
      <c r="AP472" s="32" t="n"/>
      <c r="AQ472" s="32" t="n"/>
      <c r="AR472" s="29">
        <f>IF(NOT(COUNTA(A472:AE472)&gt;0),"",IF(A472="","New client","Update"))</f>
        <v/>
      </c>
      <c r="AS472" s="29">
        <f>IF(BA472&lt;&gt;"",BA472,IF(LEN(AZ472)=15,MID(AZ472,3,10),""))</f>
        <v/>
      </c>
      <c r="AT472" s="29">
        <f>IF(BB472="","",BB472&amp;IF(D472="","  (guessed from PAN)",""))</f>
        <v/>
      </c>
      <c r="AU472" s="29">
        <f>IF(AZ472="","",IFERROR(INDEX(Lists!$L$2:$L$38,MATCH(LEFT(AZ472,2),Lists!$K$2:$K$38,0)),"Unknown code"))</f>
        <v/>
      </c>
      <c r="AV472" s="29">
        <f>IF(AZ472="","",IFERROR(IF(NOT(AND(LEN(AZ472)=15,ISNUMBER(MATCH(LEFT(AZ472,2),Lists!$K$2:$K$38,0)),SUMPRODUCT(--ISERROR(FIND(MID(MID(AZ472,3,10),{1,2,3,4,5,10},1),"ABCDEFGHIJKLMNOPQRSTUVWXYZ")))=0,SUMPRODUCT(--ISERROR(FIND(MID(MID(AZ472,3,10),{6,7,8,9},1),"0123456789")))=0,ISNUMBER(FIND(MID(AZ472,13,1),"123456789ABCDEFGHIJKLMNOPQRSTUVWXYZ")),MID(AZ472,14,1)="Z")),"Wrong format",IF(MID("0123456789ABCDEFGHIJKLMNOPQRSTUVWXYZ",MOD(36-MOD(SUMPRODUCT(INT((FIND(MID(AZ472,{1,2,3,4,5,6,7,8,9,10,11,12,13,14},1),"0123456789ABCDEFGHIJKLMNOPQRSTUVWXYZ")-1)*{1,2,1,2,1,2,1,2,1,2,1,2,1,2}/36)+MOD((FIND(MID(AZ472,{1,2,3,4,5,6,7,8,9,10,11,12,13,14},1),"0123456789ABCDEFGHIJKLMNOPQRSTUVWXYZ")-1)*{1,2,1,2,1,2,1,2,1,2,1,2,1,2},36)),36),36)+1,1)=MID(AZ472,15,1),"OK","Typo? check digit wrong")),"Wrong format"))</f>
        <v/>
      </c>
      <c r="AW472" s="29">
        <f>IF(BA472="","",IF(AND(LEN(BA472)=10,SUMPRODUCT(--ISERROR(FIND(MID(BA472,{1,2,3,4,5,10},1),"ABCDEFGHIJKLMNOPQRSTUVWXYZ")))=0,SUMPRODUCT(--ISERROR(FIND(MID(BA472,{6,7,8,9},1),"0123456789")))=0),"OK","Wrong format"))</f>
        <v/>
      </c>
      <c r="AX472" s="29">
        <f>IF(TRIM(H472)="","",IF(AND(LEN(UPPER(TRIM(H472)))=10,SUMPRODUCT(--ISERROR(FIND(MID(UPPER(TRIM(H472)),{1,2,3,4,10},1),"ABCDEFGHIJKLMNOPQRSTUVWXYZ")))=0,SUMPRODUCT(--ISERROR(FIND(MID(UPPER(TRIM(H472)),{5,6,7,8,9},1),"0123456789")))=0),"OK","Wrong format"))</f>
        <v/>
      </c>
      <c r="AY472" s="30">
        <f>IF(NOT(COUNTA(A472:AE472)&gt;0),"",IF(BE472&lt;&gt;"","✖ "&amp;LEFT(BE472,LEN(BE472)-2),IF(BD472&gt;0,"✔ Ready — client + "&amp;BD472&amp;" service(s)","✔ Ready — client only")))</f>
        <v/>
      </c>
      <c r="AZ472" s="31">
        <f>UPPER(SUBSTITUTE(TRIM(F472)," ",""))</f>
        <v/>
      </c>
      <c r="BA472" s="31">
        <f>UPPER(SUBSTITUTE(TRIM(E472)," ",""))</f>
        <v/>
      </c>
      <c r="BB472" s="31">
        <f>IF(D472&lt;&gt;"",D472,IFERROR(VLOOKUP(MID(AS472,4,1),Lists!$E$2:$F$8,2,FALSE),""))</f>
        <v/>
      </c>
      <c r="BC472" s="31">
        <f>IFERROR(VLOOKUP(BB472,Lists!$A$2:$C$12,3,FALSE),"")</f>
        <v/>
      </c>
      <c r="BD472" s="31">
        <f>COUNTIF(W472:AC472,"Yes")</f>
        <v/>
      </c>
      <c r="BE472" s="31">
        <f>IF(TRIM(B472)="","Legal name missing; ","")&amp;IF(AND(AV472&lt;&gt;"",AV472&lt;&gt;"OK"),"GSTIN: "&amp;AV472&amp;"; ","")&amp;IF(AND(AW472&lt;&gt;"",AW472&lt;&gt;"OK"),"PAN wrong format; ","")&amp;IF(AND(BA472&lt;&gt;"",LEN(AZ472)=15,MID(AZ472,3,10)&lt;&gt;BA472),"PAN does not match GSTIN; ","")&amp;IF(AND(AX472&lt;&gt;"",AX472&lt;&gt;"OK"),"TAN wrong format; ","")&amp;IF(AS472="","PAN missing; ","")&amp;IF(BB472="","Entity type missing; ","")&amp;IF(AND(AZ472&lt;&gt;"",COUNTIF($AZ$6:$AZ$1005,AZ472)&gt;1),"GSTIN repeated in this sheet; ","")&amp;IF(AND(AS472&lt;&gt;"",COUNTIF($AS$6:$AS$1005,AS472)&gt;1),"PAN repeated in this sheet (same client? put extra GSTINs in Other GSTINs); ","")&amp;IF(AND(BD472&gt;0,V472=""),"Financial year missing; ","")&amp;IF(AND(BD472=0,V472&lt;&gt;""),"Financial year given but no service is Yes; ","")&amp;IF(AND(W472="Yes",AZ472=""),"GST needs a GSTIN; ","")&amp;IF(AND(W472="Yes",X472=""),"GST return frequency missing; ","")&amp;IF(AND(Y472="Yes",TRIM(H472)=""),"TDS needs a TAN; ","")&amp;IF(AND(AA472="Yes",BC472&lt;&gt;"",BC472&lt;&gt;"company",BC472&lt;&gt;"llp"),"ROC is only for a company / LLP; ","")&amp;IF(AND(AA472="Yes",OR(BC472="company",BC472="llp"),TRIM(I472)=""),"ROC needs the CIN / LLPIN; ","")&amp;IF((TRIM(AF472)="")&lt;&gt;(TRIM(AG472)=""),"GST login needs both user ID and password; ","")&amp;IF((TRIM(AH472)="")&lt;&gt;(TRIM(AI472)=""),"Income-tax login needs both user ID and password; ","")&amp;IF((TRIM(AJ472)="")&lt;&gt;(TRIM(AK472)=""),"Income-tax login needs both user ID and password; ","")&amp;IF((TRIM(AL472)="")&lt;&gt;(TRIM(AM472)=""),"TRACES login needs both user ID and password; ","")&amp;IF((TRIM(AN472)="")&lt;&gt;(TRIM(AO472)=""),"MCA login needs both user ID and password; ","")&amp;IF((TRIM(AP472)="")&lt;&gt;(TRIM(AQ472)=""),"E-way bill login needs both user ID and password; ","")</f>
        <v/>
      </c>
    </row>
    <row r="473">
      <c r="A473" s="32" t="n"/>
      <c r="B473" s="33" t="n"/>
      <c r="C473" s="33" t="n"/>
      <c r="D473" s="33" t="n"/>
      <c r="E473" s="32" t="n"/>
      <c r="F473" s="32" t="n"/>
      <c r="G473" s="32" t="n"/>
      <c r="H473" s="32" t="n"/>
      <c r="I473" s="32" t="n"/>
      <c r="J473" s="34" t="n"/>
      <c r="K473" s="33" t="n"/>
      <c r="L473" s="32" t="n"/>
      <c r="M473" s="33" t="n"/>
      <c r="N473" s="33" t="n"/>
      <c r="O473" s="33" t="n"/>
      <c r="P473" s="32" t="n"/>
      <c r="Q473" s="33" t="n"/>
      <c r="R473" s="33" t="n"/>
      <c r="S473" s="33" t="n"/>
      <c r="T473" s="33" t="n"/>
      <c r="U473" s="32" t="n"/>
      <c r="V473" s="33" t="n"/>
      <c r="W473" s="33" t="n"/>
      <c r="X473" s="33" t="n"/>
      <c r="Y473" s="33" t="n"/>
      <c r="Z473" s="33" t="n"/>
      <c r="AA473" s="33" t="n"/>
      <c r="AB473" s="33" t="n"/>
      <c r="AC473" s="33" t="n"/>
      <c r="AD473" s="33" t="n"/>
      <c r="AE473" s="33" t="n"/>
      <c r="AF473" s="32" t="n"/>
      <c r="AG473" s="32" t="n"/>
      <c r="AH473" s="32" t="n"/>
      <c r="AI473" s="32" t="n"/>
      <c r="AJ473" s="32" t="n"/>
      <c r="AK473" s="32" t="n"/>
      <c r="AL473" s="32" t="n"/>
      <c r="AM473" s="32" t="n"/>
      <c r="AN473" s="32" t="n"/>
      <c r="AO473" s="32" t="n"/>
      <c r="AP473" s="32" t="n"/>
      <c r="AQ473" s="32" t="n"/>
      <c r="AR473" s="29">
        <f>IF(NOT(COUNTA(A473:AE473)&gt;0),"",IF(A473="","New client","Update"))</f>
        <v/>
      </c>
      <c r="AS473" s="29">
        <f>IF(BA473&lt;&gt;"",BA473,IF(LEN(AZ473)=15,MID(AZ473,3,10),""))</f>
        <v/>
      </c>
      <c r="AT473" s="29">
        <f>IF(BB473="","",BB473&amp;IF(D473="","  (guessed from PAN)",""))</f>
        <v/>
      </c>
      <c r="AU473" s="29">
        <f>IF(AZ473="","",IFERROR(INDEX(Lists!$L$2:$L$38,MATCH(LEFT(AZ473,2),Lists!$K$2:$K$38,0)),"Unknown code"))</f>
        <v/>
      </c>
      <c r="AV473" s="29">
        <f>IF(AZ473="","",IFERROR(IF(NOT(AND(LEN(AZ473)=15,ISNUMBER(MATCH(LEFT(AZ473,2),Lists!$K$2:$K$38,0)),SUMPRODUCT(--ISERROR(FIND(MID(MID(AZ473,3,10),{1,2,3,4,5,10},1),"ABCDEFGHIJKLMNOPQRSTUVWXYZ")))=0,SUMPRODUCT(--ISERROR(FIND(MID(MID(AZ473,3,10),{6,7,8,9},1),"0123456789")))=0,ISNUMBER(FIND(MID(AZ473,13,1),"123456789ABCDEFGHIJKLMNOPQRSTUVWXYZ")),MID(AZ473,14,1)="Z")),"Wrong format",IF(MID("0123456789ABCDEFGHIJKLMNOPQRSTUVWXYZ",MOD(36-MOD(SUMPRODUCT(INT((FIND(MID(AZ473,{1,2,3,4,5,6,7,8,9,10,11,12,13,14},1),"0123456789ABCDEFGHIJKLMNOPQRSTUVWXYZ")-1)*{1,2,1,2,1,2,1,2,1,2,1,2,1,2}/36)+MOD((FIND(MID(AZ473,{1,2,3,4,5,6,7,8,9,10,11,12,13,14},1),"0123456789ABCDEFGHIJKLMNOPQRSTUVWXYZ")-1)*{1,2,1,2,1,2,1,2,1,2,1,2,1,2},36)),36),36)+1,1)=MID(AZ473,15,1),"OK","Typo? check digit wrong")),"Wrong format"))</f>
        <v/>
      </c>
      <c r="AW473" s="29">
        <f>IF(BA473="","",IF(AND(LEN(BA473)=10,SUMPRODUCT(--ISERROR(FIND(MID(BA473,{1,2,3,4,5,10},1),"ABCDEFGHIJKLMNOPQRSTUVWXYZ")))=0,SUMPRODUCT(--ISERROR(FIND(MID(BA473,{6,7,8,9},1),"0123456789")))=0),"OK","Wrong format"))</f>
        <v/>
      </c>
      <c r="AX473" s="29">
        <f>IF(TRIM(H473)="","",IF(AND(LEN(UPPER(TRIM(H473)))=10,SUMPRODUCT(--ISERROR(FIND(MID(UPPER(TRIM(H473)),{1,2,3,4,10},1),"ABCDEFGHIJKLMNOPQRSTUVWXYZ")))=0,SUMPRODUCT(--ISERROR(FIND(MID(UPPER(TRIM(H473)),{5,6,7,8,9},1),"0123456789")))=0),"OK","Wrong format"))</f>
        <v/>
      </c>
      <c r="AY473" s="30">
        <f>IF(NOT(COUNTA(A473:AE473)&gt;0),"",IF(BE473&lt;&gt;"","✖ "&amp;LEFT(BE473,LEN(BE473)-2),IF(BD473&gt;0,"✔ Ready — client + "&amp;BD473&amp;" service(s)","✔ Ready — client only")))</f>
        <v/>
      </c>
      <c r="AZ473" s="31">
        <f>UPPER(SUBSTITUTE(TRIM(F473)," ",""))</f>
        <v/>
      </c>
      <c r="BA473" s="31">
        <f>UPPER(SUBSTITUTE(TRIM(E473)," ",""))</f>
        <v/>
      </c>
      <c r="BB473" s="31">
        <f>IF(D473&lt;&gt;"",D473,IFERROR(VLOOKUP(MID(AS473,4,1),Lists!$E$2:$F$8,2,FALSE),""))</f>
        <v/>
      </c>
      <c r="BC473" s="31">
        <f>IFERROR(VLOOKUP(BB473,Lists!$A$2:$C$12,3,FALSE),"")</f>
        <v/>
      </c>
      <c r="BD473" s="31">
        <f>COUNTIF(W473:AC473,"Yes")</f>
        <v/>
      </c>
      <c r="BE473" s="31">
        <f>IF(TRIM(B473)="","Legal name missing; ","")&amp;IF(AND(AV473&lt;&gt;"",AV473&lt;&gt;"OK"),"GSTIN: "&amp;AV473&amp;"; ","")&amp;IF(AND(AW473&lt;&gt;"",AW473&lt;&gt;"OK"),"PAN wrong format; ","")&amp;IF(AND(BA473&lt;&gt;"",LEN(AZ473)=15,MID(AZ473,3,10)&lt;&gt;BA473),"PAN does not match GSTIN; ","")&amp;IF(AND(AX473&lt;&gt;"",AX473&lt;&gt;"OK"),"TAN wrong format; ","")&amp;IF(AS473="","PAN missing; ","")&amp;IF(BB473="","Entity type missing; ","")&amp;IF(AND(AZ473&lt;&gt;"",COUNTIF($AZ$6:$AZ$1005,AZ473)&gt;1),"GSTIN repeated in this sheet; ","")&amp;IF(AND(AS473&lt;&gt;"",COUNTIF($AS$6:$AS$1005,AS473)&gt;1),"PAN repeated in this sheet (same client? put extra GSTINs in Other GSTINs); ","")&amp;IF(AND(BD473&gt;0,V473=""),"Financial year missing; ","")&amp;IF(AND(BD473=0,V473&lt;&gt;""),"Financial year given but no service is Yes; ","")&amp;IF(AND(W473="Yes",AZ473=""),"GST needs a GSTIN; ","")&amp;IF(AND(W473="Yes",X473=""),"GST return frequency missing; ","")&amp;IF(AND(Y473="Yes",TRIM(H473)=""),"TDS needs a TAN; ","")&amp;IF(AND(AA473="Yes",BC473&lt;&gt;"",BC473&lt;&gt;"company",BC473&lt;&gt;"llp"),"ROC is only for a company / LLP; ","")&amp;IF(AND(AA473="Yes",OR(BC473="company",BC473="llp"),TRIM(I473)=""),"ROC needs the CIN / LLPIN; ","")&amp;IF((TRIM(AF473)="")&lt;&gt;(TRIM(AG473)=""),"GST login needs both user ID and password; ","")&amp;IF((TRIM(AH473)="")&lt;&gt;(TRIM(AI473)=""),"Income-tax login needs both user ID and password; ","")&amp;IF((TRIM(AJ473)="")&lt;&gt;(TRIM(AK473)=""),"Income-tax login needs both user ID and password; ","")&amp;IF((TRIM(AL473)="")&lt;&gt;(TRIM(AM473)=""),"TRACES login needs both user ID and password; ","")&amp;IF((TRIM(AN473)="")&lt;&gt;(TRIM(AO473)=""),"MCA login needs both user ID and password; ","")&amp;IF((TRIM(AP473)="")&lt;&gt;(TRIM(AQ473)=""),"E-way bill login needs both user ID and password; ","")</f>
        <v/>
      </c>
    </row>
    <row r="474">
      <c r="A474" s="32" t="n"/>
      <c r="B474" s="33" t="n"/>
      <c r="C474" s="33" t="n"/>
      <c r="D474" s="33" t="n"/>
      <c r="E474" s="32" t="n"/>
      <c r="F474" s="32" t="n"/>
      <c r="G474" s="32" t="n"/>
      <c r="H474" s="32" t="n"/>
      <c r="I474" s="32" t="n"/>
      <c r="J474" s="34" t="n"/>
      <c r="K474" s="33" t="n"/>
      <c r="L474" s="32" t="n"/>
      <c r="M474" s="33" t="n"/>
      <c r="N474" s="33" t="n"/>
      <c r="O474" s="33" t="n"/>
      <c r="P474" s="32" t="n"/>
      <c r="Q474" s="33" t="n"/>
      <c r="R474" s="33" t="n"/>
      <c r="S474" s="33" t="n"/>
      <c r="T474" s="33" t="n"/>
      <c r="U474" s="32" t="n"/>
      <c r="V474" s="33" t="n"/>
      <c r="W474" s="33" t="n"/>
      <c r="X474" s="33" t="n"/>
      <c r="Y474" s="33" t="n"/>
      <c r="Z474" s="33" t="n"/>
      <c r="AA474" s="33" t="n"/>
      <c r="AB474" s="33" t="n"/>
      <c r="AC474" s="33" t="n"/>
      <c r="AD474" s="33" t="n"/>
      <c r="AE474" s="33" t="n"/>
      <c r="AF474" s="32" t="n"/>
      <c r="AG474" s="32" t="n"/>
      <c r="AH474" s="32" t="n"/>
      <c r="AI474" s="32" t="n"/>
      <c r="AJ474" s="32" t="n"/>
      <c r="AK474" s="32" t="n"/>
      <c r="AL474" s="32" t="n"/>
      <c r="AM474" s="32" t="n"/>
      <c r="AN474" s="32" t="n"/>
      <c r="AO474" s="32" t="n"/>
      <c r="AP474" s="32" t="n"/>
      <c r="AQ474" s="32" t="n"/>
      <c r="AR474" s="29">
        <f>IF(NOT(COUNTA(A474:AE474)&gt;0),"",IF(A474="","New client","Update"))</f>
        <v/>
      </c>
      <c r="AS474" s="29">
        <f>IF(BA474&lt;&gt;"",BA474,IF(LEN(AZ474)=15,MID(AZ474,3,10),""))</f>
        <v/>
      </c>
      <c r="AT474" s="29">
        <f>IF(BB474="","",BB474&amp;IF(D474="","  (guessed from PAN)",""))</f>
        <v/>
      </c>
      <c r="AU474" s="29">
        <f>IF(AZ474="","",IFERROR(INDEX(Lists!$L$2:$L$38,MATCH(LEFT(AZ474,2),Lists!$K$2:$K$38,0)),"Unknown code"))</f>
        <v/>
      </c>
      <c r="AV474" s="29">
        <f>IF(AZ474="","",IFERROR(IF(NOT(AND(LEN(AZ474)=15,ISNUMBER(MATCH(LEFT(AZ474,2),Lists!$K$2:$K$38,0)),SUMPRODUCT(--ISERROR(FIND(MID(MID(AZ474,3,10),{1,2,3,4,5,10},1),"ABCDEFGHIJKLMNOPQRSTUVWXYZ")))=0,SUMPRODUCT(--ISERROR(FIND(MID(MID(AZ474,3,10),{6,7,8,9},1),"0123456789")))=0,ISNUMBER(FIND(MID(AZ474,13,1),"123456789ABCDEFGHIJKLMNOPQRSTUVWXYZ")),MID(AZ474,14,1)="Z")),"Wrong format",IF(MID("0123456789ABCDEFGHIJKLMNOPQRSTUVWXYZ",MOD(36-MOD(SUMPRODUCT(INT((FIND(MID(AZ474,{1,2,3,4,5,6,7,8,9,10,11,12,13,14},1),"0123456789ABCDEFGHIJKLMNOPQRSTUVWXYZ")-1)*{1,2,1,2,1,2,1,2,1,2,1,2,1,2}/36)+MOD((FIND(MID(AZ474,{1,2,3,4,5,6,7,8,9,10,11,12,13,14},1),"0123456789ABCDEFGHIJKLMNOPQRSTUVWXYZ")-1)*{1,2,1,2,1,2,1,2,1,2,1,2,1,2},36)),36),36)+1,1)=MID(AZ474,15,1),"OK","Typo? check digit wrong")),"Wrong format"))</f>
        <v/>
      </c>
      <c r="AW474" s="29">
        <f>IF(BA474="","",IF(AND(LEN(BA474)=10,SUMPRODUCT(--ISERROR(FIND(MID(BA474,{1,2,3,4,5,10},1),"ABCDEFGHIJKLMNOPQRSTUVWXYZ")))=0,SUMPRODUCT(--ISERROR(FIND(MID(BA474,{6,7,8,9},1),"0123456789")))=0),"OK","Wrong format"))</f>
        <v/>
      </c>
      <c r="AX474" s="29">
        <f>IF(TRIM(H474)="","",IF(AND(LEN(UPPER(TRIM(H474)))=10,SUMPRODUCT(--ISERROR(FIND(MID(UPPER(TRIM(H474)),{1,2,3,4,10},1),"ABCDEFGHIJKLMNOPQRSTUVWXYZ")))=0,SUMPRODUCT(--ISERROR(FIND(MID(UPPER(TRIM(H474)),{5,6,7,8,9},1),"0123456789")))=0),"OK","Wrong format"))</f>
        <v/>
      </c>
      <c r="AY474" s="30">
        <f>IF(NOT(COUNTA(A474:AE474)&gt;0),"",IF(BE474&lt;&gt;"","✖ "&amp;LEFT(BE474,LEN(BE474)-2),IF(BD474&gt;0,"✔ Ready — client + "&amp;BD474&amp;" service(s)","✔ Ready — client only")))</f>
        <v/>
      </c>
      <c r="AZ474" s="31">
        <f>UPPER(SUBSTITUTE(TRIM(F474)," ",""))</f>
        <v/>
      </c>
      <c r="BA474" s="31">
        <f>UPPER(SUBSTITUTE(TRIM(E474)," ",""))</f>
        <v/>
      </c>
      <c r="BB474" s="31">
        <f>IF(D474&lt;&gt;"",D474,IFERROR(VLOOKUP(MID(AS474,4,1),Lists!$E$2:$F$8,2,FALSE),""))</f>
        <v/>
      </c>
      <c r="BC474" s="31">
        <f>IFERROR(VLOOKUP(BB474,Lists!$A$2:$C$12,3,FALSE),"")</f>
        <v/>
      </c>
      <c r="BD474" s="31">
        <f>COUNTIF(W474:AC474,"Yes")</f>
        <v/>
      </c>
      <c r="BE474" s="31">
        <f>IF(TRIM(B474)="","Legal name missing; ","")&amp;IF(AND(AV474&lt;&gt;"",AV474&lt;&gt;"OK"),"GSTIN: "&amp;AV474&amp;"; ","")&amp;IF(AND(AW474&lt;&gt;"",AW474&lt;&gt;"OK"),"PAN wrong format; ","")&amp;IF(AND(BA474&lt;&gt;"",LEN(AZ474)=15,MID(AZ474,3,10)&lt;&gt;BA474),"PAN does not match GSTIN; ","")&amp;IF(AND(AX474&lt;&gt;"",AX474&lt;&gt;"OK"),"TAN wrong format; ","")&amp;IF(AS474="","PAN missing; ","")&amp;IF(BB474="","Entity type missing; ","")&amp;IF(AND(AZ474&lt;&gt;"",COUNTIF($AZ$6:$AZ$1005,AZ474)&gt;1),"GSTIN repeated in this sheet; ","")&amp;IF(AND(AS474&lt;&gt;"",COUNTIF($AS$6:$AS$1005,AS474)&gt;1),"PAN repeated in this sheet (same client? put extra GSTINs in Other GSTINs); ","")&amp;IF(AND(BD474&gt;0,V474=""),"Financial year missing; ","")&amp;IF(AND(BD474=0,V474&lt;&gt;""),"Financial year given but no service is Yes; ","")&amp;IF(AND(W474="Yes",AZ474=""),"GST needs a GSTIN; ","")&amp;IF(AND(W474="Yes",X474=""),"GST return frequency missing; ","")&amp;IF(AND(Y474="Yes",TRIM(H474)=""),"TDS needs a TAN; ","")&amp;IF(AND(AA474="Yes",BC474&lt;&gt;"",BC474&lt;&gt;"company",BC474&lt;&gt;"llp"),"ROC is only for a company / LLP; ","")&amp;IF(AND(AA474="Yes",OR(BC474="company",BC474="llp"),TRIM(I474)=""),"ROC needs the CIN / LLPIN; ","")&amp;IF((TRIM(AF474)="")&lt;&gt;(TRIM(AG474)=""),"GST login needs both user ID and password; ","")&amp;IF((TRIM(AH474)="")&lt;&gt;(TRIM(AI474)=""),"Income-tax login needs both user ID and password; ","")&amp;IF((TRIM(AJ474)="")&lt;&gt;(TRIM(AK474)=""),"Income-tax login needs both user ID and password; ","")&amp;IF((TRIM(AL474)="")&lt;&gt;(TRIM(AM474)=""),"TRACES login needs both user ID and password; ","")&amp;IF((TRIM(AN474)="")&lt;&gt;(TRIM(AO474)=""),"MCA login needs both user ID and password; ","")&amp;IF((TRIM(AP474)="")&lt;&gt;(TRIM(AQ474)=""),"E-way bill login needs both user ID and password; ","")</f>
        <v/>
      </c>
    </row>
    <row r="475">
      <c r="A475" s="32" t="n"/>
      <c r="B475" s="33" t="n"/>
      <c r="C475" s="33" t="n"/>
      <c r="D475" s="33" t="n"/>
      <c r="E475" s="32" t="n"/>
      <c r="F475" s="32" t="n"/>
      <c r="G475" s="32" t="n"/>
      <c r="H475" s="32" t="n"/>
      <c r="I475" s="32" t="n"/>
      <c r="J475" s="34" t="n"/>
      <c r="K475" s="33" t="n"/>
      <c r="L475" s="32" t="n"/>
      <c r="M475" s="33" t="n"/>
      <c r="N475" s="33" t="n"/>
      <c r="O475" s="33" t="n"/>
      <c r="P475" s="32" t="n"/>
      <c r="Q475" s="33" t="n"/>
      <c r="R475" s="33" t="n"/>
      <c r="S475" s="33" t="n"/>
      <c r="T475" s="33" t="n"/>
      <c r="U475" s="32" t="n"/>
      <c r="V475" s="33" t="n"/>
      <c r="W475" s="33" t="n"/>
      <c r="X475" s="33" t="n"/>
      <c r="Y475" s="33" t="n"/>
      <c r="Z475" s="33" t="n"/>
      <c r="AA475" s="33" t="n"/>
      <c r="AB475" s="33" t="n"/>
      <c r="AC475" s="33" t="n"/>
      <c r="AD475" s="33" t="n"/>
      <c r="AE475" s="33" t="n"/>
      <c r="AF475" s="32" t="n"/>
      <c r="AG475" s="32" t="n"/>
      <c r="AH475" s="32" t="n"/>
      <c r="AI475" s="32" t="n"/>
      <c r="AJ475" s="32" t="n"/>
      <c r="AK475" s="32" t="n"/>
      <c r="AL475" s="32" t="n"/>
      <c r="AM475" s="32" t="n"/>
      <c r="AN475" s="32" t="n"/>
      <c r="AO475" s="32" t="n"/>
      <c r="AP475" s="32" t="n"/>
      <c r="AQ475" s="32" t="n"/>
      <c r="AR475" s="29">
        <f>IF(NOT(COUNTA(A475:AE475)&gt;0),"",IF(A475="","New client","Update"))</f>
        <v/>
      </c>
      <c r="AS475" s="29">
        <f>IF(BA475&lt;&gt;"",BA475,IF(LEN(AZ475)=15,MID(AZ475,3,10),""))</f>
        <v/>
      </c>
      <c r="AT475" s="29">
        <f>IF(BB475="","",BB475&amp;IF(D475="","  (guessed from PAN)",""))</f>
        <v/>
      </c>
      <c r="AU475" s="29">
        <f>IF(AZ475="","",IFERROR(INDEX(Lists!$L$2:$L$38,MATCH(LEFT(AZ475,2),Lists!$K$2:$K$38,0)),"Unknown code"))</f>
        <v/>
      </c>
      <c r="AV475" s="29">
        <f>IF(AZ475="","",IFERROR(IF(NOT(AND(LEN(AZ475)=15,ISNUMBER(MATCH(LEFT(AZ475,2),Lists!$K$2:$K$38,0)),SUMPRODUCT(--ISERROR(FIND(MID(MID(AZ475,3,10),{1,2,3,4,5,10},1),"ABCDEFGHIJKLMNOPQRSTUVWXYZ")))=0,SUMPRODUCT(--ISERROR(FIND(MID(MID(AZ475,3,10),{6,7,8,9},1),"0123456789")))=0,ISNUMBER(FIND(MID(AZ475,13,1),"123456789ABCDEFGHIJKLMNOPQRSTUVWXYZ")),MID(AZ475,14,1)="Z")),"Wrong format",IF(MID("0123456789ABCDEFGHIJKLMNOPQRSTUVWXYZ",MOD(36-MOD(SUMPRODUCT(INT((FIND(MID(AZ475,{1,2,3,4,5,6,7,8,9,10,11,12,13,14},1),"0123456789ABCDEFGHIJKLMNOPQRSTUVWXYZ")-1)*{1,2,1,2,1,2,1,2,1,2,1,2,1,2}/36)+MOD((FIND(MID(AZ475,{1,2,3,4,5,6,7,8,9,10,11,12,13,14},1),"0123456789ABCDEFGHIJKLMNOPQRSTUVWXYZ")-1)*{1,2,1,2,1,2,1,2,1,2,1,2,1,2},36)),36),36)+1,1)=MID(AZ475,15,1),"OK","Typo? check digit wrong")),"Wrong format"))</f>
        <v/>
      </c>
      <c r="AW475" s="29">
        <f>IF(BA475="","",IF(AND(LEN(BA475)=10,SUMPRODUCT(--ISERROR(FIND(MID(BA475,{1,2,3,4,5,10},1),"ABCDEFGHIJKLMNOPQRSTUVWXYZ")))=0,SUMPRODUCT(--ISERROR(FIND(MID(BA475,{6,7,8,9},1),"0123456789")))=0),"OK","Wrong format"))</f>
        <v/>
      </c>
      <c r="AX475" s="29">
        <f>IF(TRIM(H475)="","",IF(AND(LEN(UPPER(TRIM(H475)))=10,SUMPRODUCT(--ISERROR(FIND(MID(UPPER(TRIM(H475)),{1,2,3,4,10},1),"ABCDEFGHIJKLMNOPQRSTUVWXYZ")))=0,SUMPRODUCT(--ISERROR(FIND(MID(UPPER(TRIM(H475)),{5,6,7,8,9},1),"0123456789")))=0),"OK","Wrong format"))</f>
        <v/>
      </c>
      <c r="AY475" s="30">
        <f>IF(NOT(COUNTA(A475:AE475)&gt;0),"",IF(BE475&lt;&gt;"","✖ "&amp;LEFT(BE475,LEN(BE475)-2),IF(BD475&gt;0,"✔ Ready — client + "&amp;BD475&amp;" service(s)","✔ Ready — client only")))</f>
        <v/>
      </c>
      <c r="AZ475" s="31">
        <f>UPPER(SUBSTITUTE(TRIM(F475)," ",""))</f>
        <v/>
      </c>
      <c r="BA475" s="31">
        <f>UPPER(SUBSTITUTE(TRIM(E475)," ",""))</f>
        <v/>
      </c>
      <c r="BB475" s="31">
        <f>IF(D475&lt;&gt;"",D475,IFERROR(VLOOKUP(MID(AS475,4,1),Lists!$E$2:$F$8,2,FALSE),""))</f>
        <v/>
      </c>
      <c r="BC475" s="31">
        <f>IFERROR(VLOOKUP(BB475,Lists!$A$2:$C$12,3,FALSE),"")</f>
        <v/>
      </c>
      <c r="BD475" s="31">
        <f>COUNTIF(W475:AC475,"Yes")</f>
        <v/>
      </c>
      <c r="BE475" s="31">
        <f>IF(TRIM(B475)="","Legal name missing; ","")&amp;IF(AND(AV475&lt;&gt;"",AV475&lt;&gt;"OK"),"GSTIN: "&amp;AV475&amp;"; ","")&amp;IF(AND(AW475&lt;&gt;"",AW475&lt;&gt;"OK"),"PAN wrong format; ","")&amp;IF(AND(BA475&lt;&gt;"",LEN(AZ475)=15,MID(AZ475,3,10)&lt;&gt;BA475),"PAN does not match GSTIN; ","")&amp;IF(AND(AX475&lt;&gt;"",AX475&lt;&gt;"OK"),"TAN wrong format; ","")&amp;IF(AS475="","PAN missing; ","")&amp;IF(BB475="","Entity type missing; ","")&amp;IF(AND(AZ475&lt;&gt;"",COUNTIF($AZ$6:$AZ$1005,AZ475)&gt;1),"GSTIN repeated in this sheet; ","")&amp;IF(AND(AS475&lt;&gt;"",COUNTIF($AS$6:$AS$1005,AS475)&gt;1),"PAN repeated in this sheet (same client? put extra GSTINs in Other GSTINs); ","")&amp;IF(AND(BD475&gt;0,V475=""),"Financial year missing; ","")&amp;IF(AND(BD475=0,V475&lt;&gt;""),"Financial year given but no service is Yes; ","")&amp;IF(AND(W475="Yes",AZ475=""),"GST needs a GSTIN; ","")&amp;IF(AND(W475="Yes",X475=""),"GST return frequency missing; ","")&amp;IF(AND(Y475="Yes",TRIM(H475)=""),"TDS needs a TAN; ","")&amp;IF(AND(AA475="Yes",BC475&lt;&gt;"",BC475&lt;&gt;"company",BC475&lt;&gt;"llp"),"ROC is only for a company / LLP; ","")&amp;IF(AND(AA475="Yes",OR(BC475="company",BC475="llp"),TRIM(I475)=""),"ROC needs the CIN / LLPIN; ","")&amp;IF((TRIM(AF475)="")&lt;&gt;(TRIM(AG475)=""),"GST login needs both user ID and password; ","")&amp;IF((TRIM(AH475)="")&lt;&gt;(TRIM(AI475)=""),"Income-tax login needs both user ID and password; ","")&amp;IF((TRIM(AJ475)="")&lt;&gt;(TRIM(AK475)=""),"Income-tax login needs both user ID and password; ","")&amp;IF((TRIM(AL475)="")&lt;&gt;(TRIM(AM475)=""),"TRACES login needs both user ID and password; ","")&amp;IF((TRIM(AN475)="")&lt;&gt;(TRIM(AO475)=""),"MCA login needs both user ID and password; ","")&amp;IF((TRIM(AP475)="")&lt;&gt;(TRIM(AQ475)=""),"E-way bill login needs both user ID and password; ","")</f>
        <v/>
      </c>
    </row>
    <row r="476">
      <c r="A476" s="32" t="n"/>
      <c r="B476" s="33" t="n"/>
      <c r="C476" s="33" t="n"/>
      <c r="D476" s="33" t="n"/>
      <c r="E476" s="32" t="n"/>
      <c r="F476" s="32" t="n"/>
      <c r="G476" s="32" t="n"/>
      <c r="H476" s="32" t="n"/>
      <c r="I476" s="32" t="n"/>
      <c r="J476" s="34" t="n"/>
      <c r="K476" s="33" t="n"/>
      <c r="L476" s="32" t="n"/>
      <c r="M476" s="33" t="n"/>
      <c r="N476" s="33" t="n"/>
      <c r="O476" s="33" t="n"/>
      <c r="P476" s="32" t="n"/>
      <c r="Q476" s="33" t="n"/>
      <c r="R476" s="33" t="n"/>
      <c r="S476" s="33" t="n"/>
      <c r="T476" s="33" t="n"/>
      <c r="U476" s="32" t="n"/>
      <c r="V476" s="33" t="n"/>
      <c r="W476" s="33" t="n"/>
      <c r="X476" s="33" t="n"/>
      <c r="Y476" s="33" t="n"/>
      <c r="Z476" s="33" t="n"/>
      <c r="AA476" s="33" t="n"/>
      <c r="AB476" s="33" t="n"/>
      <c r="AC476" s="33" t="n"/>
      <c r="AD476" s="33" t="n"/>
      <c r="AE476" s="33" t="n"/>
      <c r="AF476" s="32" t="n"/>
      <c r="AG476" s="32" t="n"/>
      <c r="AH476" s="32" t="n"/>
      <c r="AI476" s="32" t="n"/>
      <c r="AJ476" s="32" t="n"/>
      <c r="AK476" s="32" t="n"/>
      <c r="AL476" s="32" t="n"/>
      <c r="AM476" s="32" t="n"/>
      <c r="AN476" s="32" t="n"/>
      <c r="AO476" s="32" t="n"/>
      <c r="AP476" s="32" t="n"/>
      <c r="AQ476" s="32" t="n"/>
      <c r="AR476" s="29">
        <f>IF(NOT(COUNTA(A476:AE476)&gt;0),"",IF(A476="","New client","Update"))</f>
        <v/>
      </c>
      <c r="AS476" s="29">
        <f>IF(BA476&lt;&gt;"",BA476,IF(LEN(AZ476)=15,MID(AZ476,3,10),""))</f>
        <v/>
      </c>
      <c r="AT476" s="29">
        <f>IF(BB476="","",BB476&amp;IF(D476="","  (guessed from PAN)",""))</f>
        <v/>
      </c>
      <c r="AU476" s="29">
        <f>IF(AZ476="","",IFERROR(INDEX(Lists!$L$2:$L$38,MATCH(LEFT(AZ476,2),Lists!$K$2:$K$38,0)),"Unknown code"))</f>
        <v/>
      </c>
      <c r="AV476" s="29">
        <f>IF(AZ476="","",IFERROR(IF(NOT(AND(LEN(AZ476)=15,ISNUMBER(MATCH(LEFT(AZ476,2),Lists!$K$2:$K$38,0)),SUMPRODUCT(--ISERROR(FIND(MID(MID(AZ476,3,10),{1,2,3,4,5,10},1),"ABCDEFGHIJKLMNOPQRSTUVWXYZ")))=0,SUMPRODUCT(--ISERROR(FIND(MID(MID(AZ476,3,10),{6,7,8,9},1),"0123456789")))=0,ISNUMBER(FIND(MID(AZ476,13,1),"123456789ABCDEFGHIJKLMNOPQRSTUVWXYZ")),MID(AZ476,14,1)="Z")),"Wrong format",IF(MID("0123456789ABCDEFGHIJKLMNOPQRSTUVWXYZ",MOD(36-MOD(SUMPRODUCT(INT((FIND(MID(AZ476,{1,2,3,4,5,6,7,8,9,10,11,12,13,14},1),"0123456789ABCDEFGHIJKLMNOPQRSTUVWXYZ")-1)*{1,2,1,2,1,2,1,2,1,2,1,2,1,2}/36)+MOD((FIND(MID(AZ476,{1,2,3,4,5,6,7,8,9,10,11,12,13,14},1),"0123456789ABCDEFGHIJKLMNOPQRSTUVWXYZ")-1)*{1,2,1,2,1,2,1,2,1,2,1,2,1,2},36)),36),36)+1,1)=MID(AZ476,15,1),"OK","Typo? check digit wrong")),"Wrong format"))</f>
        <v/>
      </c>
      <c r="AW476" s="29">
        <f>IF(BA476="","",IF(AND(LEN(BA476)=10,SUMPRODUCT(--ISERROR(FIND(MID(BA476,{1,2,3,4,5,10},1),"ABCDEFGHIJKLMNOPQRSTUVWXYZ")))=0,SUMPRODUCT(--ISERROR(FIND(MID(BA476,{6,7,8,9},1),"0123456789")))=0),"OK","Wrong format"))</f>
        <v/>
      </c>
      <c r="AX476" s="29">
        <f>IF(TRIM(H476)="","",IF(AND(LEN(UPPER(TRIM(H476)))=10,SUMPRODUCT(--ISERROR(FIND(MID(UPPER(TRIM(H476)),{1,2,3,4,10},1),"ABCDEFGHIJKLMNOPQRSTUVWXYZ")))=0,SUMPRODUCT(--ISERROR(FIND(MID(UPPER(TRIM(H476)),{5,6,7,8,9},1),"0123456789")))=0),"OK","Wrong format"))</f>
        <v/>
      </c>
      <c r="AY476" s="30">
        <f>IF(NOT(COUNTA(A476:AE476)&gt;0),"",IF(BE476&lt;&gt;"","✖ "&amp;LEFT(BE476,LEN(BE476)-2),IF(BD476&gt;0,"✔ Ready — client + "&amp;BD476&amp;" service(s)","✔ Ready — client only")))</f>
        <v/>
      </c>
      <c r="AZ476" s="31">
        <f>UPPER(SUBSTITUTE(TRIM(F476)," ",""))</f>
        <v/>
      </c>
      <c r="BA476" s="31">
        <f>UPPER(SUBSTITUTE(TRIM(E476)," ",""))</f>
        <v/>
      </c>
      <c r="BB476" s="31">
        <f>IF(D476&lt;&gt;"",D476,IFERROR(VLOOKUP(MID(AS476,4,1),Lists!$E$2:$F$8,2,FALSE),""))</f>
        <v/>
      </c>
      <c r="BC476" s="31">
        <f>IFERROR(VLOOKUP(BB476,Lists!$A$2:$C$12,3,FALSE),"")</f>
        <v/>
      </c>
      <c r="BD476" s="31">
        <f>COUNTIF(W476:AC476,"Yes")</f>
        <v/>
      </c>
      <c r="BE476" s="31">
        <f>IF(TRIM(B476)="","Legal name missing; ","")&amp;IF(AND(AV476&lt;&gt;"",AV476&lt;&gt;"OK"),"GSTIN: "&amp;AV476&amp;"; ","")&amp;IF(AND(AW476&lt;&gt;"",AW476&lt;&gt;"OK"),"PAN wrong format; ","")&amp;IF(AND(BA476&lt;&gt;"",LEN(AZ476)=15,MID(AZ476,3,10)&lt;&gt;BA476),"PAN does not match GSTIN; ","")&amp;IF(AND(AX476&lt;&gt;"",AX476&lt;&gt;"OK"),"TAN wrong format; ","")&amp;IF(AS476="","PAN missing; ","")&amp;IF(BB476="","Entity type missing; ","")&amp;IF(AND(AZ476&lt;&gt;"",COUNTIF($AZ$6:$AZ$1005,AZ476)&gt;1),"GSTIN repeated in this sheet; ","")&amp;IF(AND(AS476&lt;&gt;"",COUNTIF($AS$6:$AS$1005,AS476)&gt;1),"PAN repeated in this sheet (same client? put extra GSTINs in Other GSTINs); ","")&amp;IF(AND(BD476&gt;0,V476=""),"Financial year missing; ","")&amp;IF(AND(BD476=0,V476&lt;&gt;""),"Financial year given but no service is Yes; ","")&amp;IF(AND(W476="Yes",AZ476=""),"GST needs a GSTIN; ","")&amp;IF(AND(W476="Yes",X476=""),"GST return frequency missing; ","")&amp;IF(AND(Y476="Yes",TRIM(H476)=""),"TDS needs a TAN; ","")&amp;IF(AND(AA476="Yes",BC476&lt;&gt;"",BC476&lt;&gt;"company",BC476&lt;&gt;"llp"),"ROC is only for a company / LLP; ","")&amp;IF(AND(AA476="Yes",OR(BC476="company",BC476="llp"),TRIM(I476)=""),"ROC needs the CIN / LLPIN; ","")&amp;IF((TRIM(AF476)="")&lt;&gt;(TRIM(AG476)=""),"GST login needs both user ID and password; ","")&amp;IF((TRIM(AH476)="")&lt;&gt;(TRIM(AI476)=""),"Income-tax login needs both user ID and password; ","")&amp;IF((TRIM(AJ476)="")&lt;&gt;(TRIM(AK476)=""),"Income-tax login needs both user ID and password; ","")&amp;IF((TRIM(AL476)="")&lt;&gt;(TRIM(AM476)=""),"TRACES login needs both user ID and password; ","")&amp;IF((TRIM(AN476)="")&lt;&gt;(TRIM(AO476)=""),"MCA login needs both user ID and password; ","")&amp;IF((TRIM(AP476)="")&lt;&gt;(TRIM(AQ476)=""),"E-way bill login needs both user ID and password; ","")</f>
        <v/>
      </c>
    </row>
    <row r="477">
      <c r="A477" s="32" t="n"/>
      <c r="B477" s="33" t="n"/>
      <c r="C477" s="33" t="n"/>
      <c r="D477" s="33" t="n"/>
      <c r="E477" s="32" t="n"/>
      <c r="F477" s="32" t="n"/>
      <c r="G477" s="32" t="n"/>
      <c r="H477" s="32" t="n"/>
      <c r="I477" s="32" t="n"/>
      <c r="J477" s="34" t="n"/>
      <c r="K477" s="33" t="n"/>
      <c r="L477" s="32" t="n"/>
      <c r="M477" s="33" t="n"/>
      <c r="N477" s="33" t="n"/>
      <c r="O477" s="33" t="n"/>
      <c r="P477" s="32" t="n"/>
      <c r="Q477" s="33" t="n"/>
      <c r="R477" s="33" t="n"/>
      <c r="S477" s="33" t="n"/>
      <c r="T477" s="33" t="n"/>
      <c r="U477" s="32" t="n"/>
      <c r="V477" s="33" t="n"/>
      <c r="W477" s="33" t="n"/>
      <c r="X477" s="33" t="n"/>
      <c r="Y477" s="33" t="n"/>
      <c r="Z477" s="33" t="n"/>
      <c r="AA477" s="33" t="n"/>
      <c r="AB477" s="33" t="n"/>
      <c r="AC477" s="33" t="n"/>
      <c r="AD477" s="33" t="n"/>
      <c r="AE477" s="33" t="n"/>
      <c r="AF477" s="32" t="n"/>
      <c r="AG477" s="32" t="n"/>
      <c r="AH477" s="32" t="n"/>
      <c r="AI477" s="32" t="n"/>
      <c r="AJ477" s="32" t="n"/>
      <c r="AK477" s="32" t="n"/>
      <c r="AL477" s="32" t="n"/>
      <c r="AM477" s="32" t="n"/>
      <c r="AN477" s="32" t="n"/>
      <c r="AO477" s="32" t="n"/>
      <c r="AP477" s="32" t="n"/>
      <c r="AQ477" s="32" t="n"/>
      <c r="AR477" s="29">
        <f>IF(NOT(COUNTA(A477:AE477)&gt;0),"",IF(A477="","New client","Update"))</f>
        <v/>
      </c>
      <c r="AS477" s="29">
        <f>IF(BA477&lt;&gt;"",BA477,IF(LEN(AZ477)=15,MID(AZ477,3,10),""))</f>
        <v/>
      </c>
      <c r="AT477" s="29">
        <f>IF(BB477="","",BB477&amp;IF(D477="","  (guessed from PAN)",""))</f>
        <v/>
      </c>
      <c r="AU477" s="29">
        <f>IF(AZ477="","",IFERROR(INDEX(Lists!$L$2:$L$38,MATCH(LEFT(AZ477,2),Lists!$K$2:$K$38,0)),"Unknown code"))</f>
        <v/>
      </c>
      <c r="AV477" s="29">
        <f>IF(AZ477="","",IFERROR(IF(NOT(AND(LEN(AZ477)=15,ISNUMBER(MATCH(LEFT(AZ477,2),Lists!$K$2:$K$38,0)),SUMPRODUCT(--ISERROR(FIND(MID(MID(AZ477,3,10),{1,2,3,4,5,10},1),"ABCDEFGHIJKLMNOPQRSTUVWXYZ")))=0,SUMPRODUCT(--ISERROR(FIND(MID(MID(AZ477,3,10),{6,7,8,9},1),"0123456789")))=0,ISNUMBER(FIND(MID(AZ477,13,1),"123456789ABCDEFGHIJKLMNOPQRSTUVWXYZ")),MID(AZ477,14,1)="Z")),"Wrong format",IF(MID("0123456789ABCDEFGHIJKLMNOPQRSTUVWXYZ",MOD(36-MOD(SUMPRODUCT(INT((FIND(MID(AZ477,{1,2,3,4,5,6,7,8,9,10,11,12,13,14},1),"0123456789ABCDEFGHIJKLMNOPQRSTUVWXYZ")-1)*{1,2,1,2,1,2,1,2,1,2,1,2,1,2}/36)+MOD((FIND(MID(AZ477,{1,2,3,4,5,6,7,8,9,10,11,12,13,14},1),"0123456789ABCDEFGHIJKLMNOPQRSTUVWXYZ")-1)*{1,2,1,2,1,2,1,2,1,2,1,2,1,2},36)),36),36)+1,1)=MID(AZ477,15,1),"OK","Typo? check digit wrong")),"Wrong format"))</f>
        <v/>
      </c>
      <c r="AW477" s="29">
        <f>IF(BA477="","",IF(AND(LEN(BA477)=10,SUMPRODUCT(--ISERROR(FIND(MID(BA477,{1,2,3,4,5,10},1),"ABCDEFGHIJKLMNOPQRSTUVWXYZ")))=0,SUMPRODUCT(--ISERROR(FIND(MID(BA477,{6,7,8,9},1),"0123456789")))=0),"OK","Wrong format"))</f>
        <v/>
      </c>
      <c r="AX477" s="29">
        <f>IF(TRIM(H477)="","",IF(AND(LEN(UPPER(TRIM(H477)))=10,SUMPRODUCT(--ISERROR(FIND(MID(UPPER(TRIM(H477)),{1,2,3,4,10},1),"ABCDEFGHIJKLMNOPQRSTUVWXYZ")))=0,SUMPRODUCT(--ISERROR(FIND(MID(UPPER(TRIM(H477)),{5,6,7,8,9},1),"0123456789")))=0),"OK","Wrong format"))</f>
        <v/>
      </c>
      <c r="AY477" s="30">
        <f>IF(NOT(COUNTA(A477:AE477)&gt;0),"",IF(BE477&lt;&gt;"","✖ "&amp;LEFT(BE477,LEN(BE477)-2),IF(BD477&gt;0,"✔ Ready — client + "&amp;BD477&amp;" service(s)","✔ Ready — client only")))</f>
        <v/>
      </c>
      <c r="AZ477" s="31">
        <f>UPPER(SUBSTITUTE(TRIM(F477)," ",""))</f>
        <v/>
      </c>
      <c r="BA477" s="31">
        <f>UPPER(SUBSTITUTE(TRIM(E477)," ",""))</f>
        <v/>
      </c>
      <c r="BB477" s="31">
        <f>IF(D477&lt;&gt;"",D477,IFERROR(VLOOKUP(MID(AS477,4,1),Lists!$E$2:$F$8,2,FALSE),""))</f>
        <v/>
      </c>
      <c r="BC477" s="31">
        <f>IFERROR(VLOOKUP(BB477,Lists!$A$2:$C$12,3,FALSE),"")</f>
        <v/>
      </c>
      <c r="BD477" s="31">
        <f>COUNTIF(W477:AC477,"Yes")</f>
        <v/>
      </c>
      <c r="BE477" s="31">
        <f>IF(TRIM(B477)="","Legal name missing; ","")&amp;IF(AND(AV477&lt;&gt;"",AV477&lt;&gt;"OK"),"GSTIN: "&amp;AV477&amp;"; ","")&amp;IF(AND(AW477&lt;&gt;"",AW477&lt;&gt;"OK"),"PAN wrong format; ","")&amp;IF(AND(BA477&lt;&gt;"",LEN(AZ477)=15,MID(AZ477,3,10)&lt;&gt;BA477),"PAN does not match GSTIN; ","")&amp;IF(AND(AX477&lt;&gt;"",AX477&lt;&gt;"OK"),"TAN wrong format; ","")&amp;IF(AS477="","PAN missing; ","")&amp;IF(BB477="","Entity type missing; ","")&amp;IF(AND(AZ477&lt;&gt;"",COUNTIF($AZ$6:$AZ$1005,AZ477)&gt;1),"GSTIN repeated in this sheet; ","")&amp;IF(AND(AS477&lt;&gt;"",COUNTIF($AS$6:$AS$1005,AS477)&gt;1),"PAN repeated in this sheet (same client? put extra GSTINs in Other GSTINs); ","")&amp;IF(AND(BD477&gt;0,V477=""),"Financial year missing; ","")&amp;IF(AND(BD477=0,V477&lt;&gt;""),"Financial year given but no service is Yes; ","")&amp;IF(AND(W477="Yes",AZ477=""),"GST needs a GSTIN; ","")&amp;IF(AND(W477="Yes",X477=""),"GST return frequency missing; ","")&amp;IF(AND(Y477="Yes",TRIM(H477)=""),"TDS needs a TAN; ","")&amp;IF(AND(AA477="Yes",BC477&lt;&gt;"",BC477&lt;&gt;"company",BC477&lt;&gt;"llp"),"ROC is only for a company / LLP; ","")&amp;IF(AND(AA477="Yes",OR(BC477="company",BC477="llp"),TRIM(I477)=""),"ROC needs the CIN / LLPIN; ","")&amp;IF((TRIM(AF477)="")&lt;&gt;(TRIM(AG477)=""),"GST login needs both user ID and password; ","")&amp;IF((TRIM(AH477)="")&lt;&gt;(TRIM(AI477)=""),"Income-tax login needs both user ID and password; ","")&amp;IF((TRIM(AJ477)="")&lt;&gt;(TRIM(AK477)=""),"Income-tax login needs both user ID and password; ","")&amp;IF((TRIM(AL477)="")&lt;&gt;(TRIM(AM477)=""),"TRACES login needs both user ID and password; ","")&amp;IF((TRIM(AN477)="")&lt;&gt;(TRIM(AO477)=""),"MCA login needs both user ID and password; ","")&amp;IF((TRIM(AP477)="")&lt;&gt;(TRIM(AQ477)=""),"E-way bill login needs both user ID and password; ","")</f>
        <v/>
      </c>
    </row>
    <row r="478">
      <c r="A478" s="32" t="n"/>
      <c r="B478" s="33" t="n"/>
      <c r="C478" s="33" t="n"/>
      <c r="D478" s="33" t="n"/>
      <c r="E478" s="32" t="n"/>
      <c r="F478" s="32" t="n"/>
      <c r="G478" s="32" t="n"/>
      <c r="H478" s="32" t="n"/>
      <c r="I478" s="32" t="n"/>
      <c r="J478" s="34" t="n"/>
      <c r="K478" s="33" t="n"/>
      <c r="L478" s="32" t="n"/>
      <c r="M478" s="33" t="n"/>
      <c r="N478" s="33" t="n"/>
      <c r="O478" s="33" t="n"/>
      <c r="P478" s="32" t="n"/>
      <c r="Q478" s="33" t="n"/>
      <c r="R478" s="33" t="n"/>
      <c r="S478" s="33" t="n"/>
      <c r="T478" s="33" t="n"/>
      <c r="U478" s="32" t="n"/>
      <c r="V478" s="33" t="n"/>
      <c r="W478" s="33" t="n"/>
      <c r="X478" s="33" t="n"/>
      <c r="Y478" s="33" t="n"/>
      <c r="Z478" s="33" t="n"/>
      <c r="AA478" s="33" t="n"/>
      <c r="AB478" s="33" t="n"/>
      <c r="AC478" s="33" t="n"/>
      <c r="AD478" s="33" t="n"/>
      <c r="AE478" s="33" t="n"/>
      <c r="AF478" s="32" t="n"/>
      <c r="AG478" s="32" t="n"/>
      <c r="AH478" s="32" t="n"/>
      <c r="AI478" s="32" t="n"/>
      <c r="AJ478" s="32" t="n"/>
      <c r="AK478" s="32" t="n"/>
      <c r="AL478" s="32" t="n"/>
      <c r="AM478" s="32" t="n"/>
      <c r="AN478" s="32" t="n"/>
      <c r="AO478" s="32" t="n"/>
      <c r="AP478" s="32" t="n"/>
      <c r="AQ478" s="32" t="n"/>
      <c r="AR478" s="29">
        <f>IF(NOT(COUNTA(A478:AE478)&gt;0),"",IF(A478="","New client","Update"))</f>
        <v/>
      </c>
      <c r="AS478" s="29">
        <f>IF(BA478&lt;&gt;"",BA478,IF(LEN(AZ478)=15,MID(AZ478,3,10),""))</f>
        <v/>
      </c>
      <c r="AT478" s="29">
        <f>IF(BB478="","",BB478&amp;IF(D478="","  (guessed from PAN)",""))</f>
        <v/>
      </c>
      <c r="AU478" s="29">
        <f>IF(AZ478="","",IFERROR(INDEX(Lists!$L$2:$L$38,MATCH(LEFT(AZ478,2),Lists!$K$2:$K$38,0)),"Unknown code"))</f>
        <v/>
      </c>
      <c r="AV478" s="29">
        <f>IF(AZ478="","",IFERROR(IF(NOT(AND(LEN(AZ478)=15,ISNUMBER(MATCH(LEFT(AZ478,2),Lists!$K$2:$K$38,0)),SUMPRODUCT(--ISERROR(FIND(MID(MID(AZ478,3,10),{1,2,3,4,5,10},1),"ABCDEFGHIJKLMNOPQRSTUVWXYZ")))=0,SUMPRODUCT(--ISERROR(FIND(MID(MID(AZ478,3,10),{6,7,8,9},1),"0123456789")))=0,ISNUMBER(FIND(MID(AZ478,13,1),"123456789ABCDEFGHIJKLMNOPQRSTUVWXYZ")),MID(AZ478,14,1)="Z")),"Wrong format",IF(MID("0123456789ABCDEFGHIJKLMNOPQRSTUVWXYZ",MOD(36-MOD(SUMPRODUCT(INT((FIND(MID(AZ478,{1,2,3,4,5,6,7,8,9,10,11,12,13,14},1),"0123456789ABCDEFGHIJKLMNOPQRSTUVWXYZ")-1)*{1,2,1,2,1,2,1,2,1,2,1,2,1,2}/36)+MOD((FIND(MID(AZ478,{1,2,3,4,5,6,7,8,9,10,11,12,13,14},1),"0123456789ABCDEFGHIJKLMNOPQRSTUVWXYZ")-1)*{1,2,1,2,1,2,1,2,1,2,1,2,1,2},36)),36),36)+1,1)=MID(AZ478,15,1),"OK","Typo? check digit wrong")),"Wrong format"))</f>
        <v/>
      </c>
      <c r="AW478" s="29">
        <f>IF(BA478="","",IF(AND(LEN(BA478)=10,SUMPRODUCT(--ISERROR(FIND(MID(BA478,{1,2,3,4,5,10},1),"ABCDEFGHIJKLMNOPQRSTUVWXYZ")))=0,SUMPRODUCT(--ISERROR(FIND(MID(BA478,{6,7,8,9},1),"0123456789")))=0),"OK","Wrong format"))</f>
        <v/>
      </c>
      <c r="AX478" s="29">
        <f>IF(TRIM(H478)="","",IF(AND(LEN(UPPER(TRIM(H478)))=10,SUMPRODUCT(--ISERROR(FIND(MID(UPPER(TRIM(H478)),{1,2,3,4,10},1),"ABCDEFGHIJKLMNOPQRSTUVWXYZ")))=0,SUMPRODUCT(--ISERROR(FIND(MID(UPPER(TRIM(H478)),{5,6,7,8,9},1),"0123456789")))=0),"OK","Wrong format"))</f>
        <v/>
      </c>
      <c r="AY478" s="30">
        <f>IF(NOT(COUNTA(A478:AE478)&gt;0),"",IF(BE478&lt;&gt;"","✖ "&amp;LEFT(BE478,LEN(BE478)-2),IF(BD478&gt;0,"✔ Ready — client + "&amp;BD478&amp;" service(s)","✔ Ready — client only")))</f>
        <v/>
      </c>
      <c r="AZ478" s="31">
        <f>UPPER(SUBSTITUTE(TRIM(F478)," ",""))</f>
        <v/>
      </c>
      <c r="BA478" s="31">
        <f>UPPER(SUBSTITUTE(TRIM(E478)," ",""))</f>
        <v/>
      </c>
      <c r="BB478" s="31">
        <f>IF(D478&lt;&gt;"",D478,IFERROR(VLOOKUP(MID(AS478,4,1),Lists!$E$2:$F$8,2,FALSE),""))</f>
        <v/>
      </c>
      <c r="BC478" s="31">
        <f>IFERROR(VLOOKUP(BB478,Lists!$A$2:$C$12,3,FALSE),"")</f>
        <v/>
      </c>
      <c r="BD478" s="31">
        <f>COUNTIF(W478:AC478,"Yes")</f>
        <v/>
      </c>
      <c r="BE478" s="31">
        <f>IF(TRIM(B478)="","Legal name missing; ","")&amp;IF(AND(AV478&lt;&gt;"",AV478&lt;&gt;"OK"),"GSTIN: "&amp;AV478&amp;"; ","")&amp;IF(AND(AW478&lt;&gt;"",AW478&lt;&gt;"OK"),"PAN wrong format; ","")&amp;IF(AND(BA478&lt;&gt;"",LEN(AZ478)=15,MID(AZ478,3,10)&lt;&gt;BA478),"PAN does not match GSTIN; ","")&amp;IF(AND(AX478&lt;&gt;"",AX478&lt;&gt;"OK"),"TAN wrong format; ","")&amp;IF(AS478="","PAN missing; ","")&amp;IF(BB478="","Entity type missing; ","")&amp;IF(AND(AZ478&lt;&gt;"",COUNTIF($AZ$6:$AZ$1005,AZ478)&gt;1),"GSTIN repeated in this sheet; ","")&amp;IF(AND(AS478&lt;&gt;"",COUNTIF($AS$6:$AS$1005,AS478)&gt;1),"PAN repeated in this sheet (same client? put extra GSTINs in Other GSTINs); ","")&amp;IF(AND(BD478&gt;0,V478=""),"Financial year missing; ","")&amp;IF(AND(BD478=0,V478&lt;&gt;""),"Financial year given but no service is Yes; ","")&amp;IF(AND(W478="Yes",AZ478=""),"GST needs a GSTIN; ","")&amp;IF(AND(W478="Yes",X478=""),"GST return frequency missing; ","")&amp;IF(AND(Y478="Yes",TRIM(H478)=""),"TDS needs a TAN; ","")&amp;IF(AND(AA478="Yes",BC478&lt;&gt;"",BC478&lt;&gt;"company",BC478&lt;&gt;"llp"),"ROC is only for a company / LLP; ","")&amp;IF(AND(AA478="Yes",OR(BC478="company",BC478="llp"),TRIM(I478)=""),"ROC needs the CIN / LLPIN; ","")&amp;IF((TRIM(AF478)="")&lt;&gt;(TRIM(AG478)=""),"GST login needs both user ID and password; ","")&amp;IF((TRIM(AH478)="")&lt;&gt;(TRIM(AI478)=""),"Income-tax login needs both user ID and password; ","")&amp;IF((TRIM(AJ478)="")&lt;&gt;(TRIM(AK478)=""),"Income-tax login needs both user ID and password; ","")&amp;IF((TRIM(AL478)="")&lt;&gt;(TRIM(AM478)=""),"TRACES login needs both user ID and password; ","")&amp;IF((TRIM(AN478)="")&lt;&gt;(TRIM(AO478)=""),"MCA login needs both user ID and password; ","")&amp;IF((TRIM(AP478)="")&lt;&gt;(TRIM(AQ478)=""),"E-way bill login needs both user ID and password; ","")</f>
        <v/>
      </c>
    </row>
    <row r="479">
      <c r="A479" s="32" t="n"/>
      <c r="B479" s="33" t="n"/>
      <c r="C479" s="33" t="n"/>
      <c r="D479" s="33" t="n"/>
      <c r="E479" s="32" t="n"/>
      <c r="F479" s="32" t="n"/>
      <c r="G479" s="32" t="n"/>
      <c r="H479" s="32" t="n"/>
      <c r="I479" s="32" t="n"/>
      <c r="J479" s="34" t="n"/>
      <c r="K479" s="33" t="n"/>
      <c r="L479" s="32" t="n"/>
      <c r="M479" s="33" t="n"/>
      <c r="N479" s="33" t="n"/>
      <c r="O479" s="33" t="n"/>
      <c r="P479" s="32" t="n"/>
      <c r="Q479" s="33" t="n"/>
      <c r="R479" s="33" t="n"/>
      <c r="S479" s="33" t="n"/>
      <c r="T479" s="33" t="n"/>
      <c r="U479" s="32" t="n"/>
      <c r="V479" s="33" t="n"/>
      <c r="W479" s="33" t="n"/>
      <c r="X479" s="33" t="n"/>
      <c r="Y479" s="33" t="n"/>
      <c r="Z479" s="33" t="n"/>
      <c r="AA479" s="33" t="n"/>
      <c r="AB479" s="33" t="n"/>
      <c r="AC479" s="33" t="n"/>
      <c r="AD479" s="33" t="n"/>
      <c r="AE479" s="33" t="n"/>
      <c r="AF479" s="32" t="n"/>
      <c r="AG479" s="32" t="n"/>
      <c r="AH479" s="32" t="n"/>
      <c r="AI479" s="32" t="n"/>
      <c r="AJ479" s="32" t="n"/>
      <c r="AK479" s="32" t="n"/>
      <c r="AL479" s="32" t="n"/>
      <c r="AM479" s="32" t="n"/>
      <c r="AN479" s="32" t="n"/>
      <c r="AO479" s="32" t="n"/>
      <c r="AP479" s="32" t="n"/>
      <c r="AQ479" s="32" t="n"/>
      <c r="AR479" s="29">
        <f>IF(NOT(COUNTA(A479:AE479)&gt;0),"",IF(A479="","New client","Update"))</f>
        <v/>
      </c>
      <c r="AS479" s="29">
        <f>IF(BA479&lt;&gt;"",BA479,IF(LEN(AZ479)=15,MID(AZ479,3,10),""))</f>
        <v/>
      </c>
      <c r="AT479" s="29">
        <f>IF(BB479="","",BB479&amp;IF(D479="","  (guessed from PAN)",""))</f>
        <v/>
      </c>
      <c r="AU479" s="29">
        <f>IF(AZ479="","",IFERROR(INDEX(Lists!$L$2:$L$38,MATCH(LEFT(AZ479,2),Lists!$K$2:$K$38,0)),"Unknown code"))</f>
        <v/>
      </c>
      <c r="AV479" s="29">
        <f>IF(AZ479="","",IFERROR(IF(NOT(AND(LEN(AZ479)=15,ISNUMBER(MATCH(LEFT(AZ479,2),Lists!$K$2:$K$38,0)),SUMPRODUCT(--ISERROR(FIND(MID(MID(AZ479,3,10),{1,2,3,4,5,10},1),"ABCDEFGHIJKLMNOPQRSTUVWXYZ")))=0,SUMPRODUCT(--ISERROR(FIND(MID(MID(AZ479,3,10),{6,7,8,9},1),"0123456789")))=0,ISNUMBER(FIND(MID(AZ479,13,1),"123456789ABCDEFGHIJKLMNOPQRSTUVWXYZ")),MID(AZ479,14,1)="Z")),"Wrong format",IF(MID("0123456789ABCDEFGHIJKLMNOPQRSTUVWXYZ",MOD(36-MOD(SUMPRODUCT(INT((FIND(MID(AZ479,{1,2,3,4,5,6,7,8,9,10,11,12,13,14},1),"0123456789ABCDEFGHIJKLMNOPQRSTUVWXYZ")-1)*{1,2,1,2,1,2,1,2,1,2,1,2,1,2}/36)+MOD((FIND(MID(AZ479,{1,2,3,4,5,6,7,8,9,10,11,12,13,14},1),"0123456789ABCDEFGHIJKLMNOPQRSTUVWXYZ")-1)*{1,2,1,2,1,2,1,2,1,2,1,2,1,2},36)),36),36)+1,1)=MID(AZ479,15,1),"OK","Typo? check digit wrong")),"Wrong format"))</f>
        <v/>
      </c>
      <c r="AW479" s="29">
        <f>IF(BA479="","",IF(AND(LEN(BA479)=10,SUMPRODUCT(--ISERROR(FIND(MID(BA479,{1,2,3,4,5,10},1),"ABCDEFGHIJKLMNOPQRSTUVWXYZ")))=0,SUMPRODUCT(--ISERROR(FIND(MID(BA479,{6,7,8,9},1),"0123456789")))=0),"OK","Wrong format"))</f>
        <v/>
      </c>
      <c r="AX479" s="29">
        <f>IF(TRIM(H479)="","",IF(AND(LEN(UPPER(TRIM(H479)))=10,SUMPRODUCT(--ISERROR(FIND(MID(UPPER(TRIM(H479)),{1,2,3,4,10},1),"ABCDEFGHIJKLMNOPQRSTUVWXYZ")))=0,SUMPRODUCT(--ISERROR(FIND(MID(UPPER(TRIM(H479)),{5,6,7,8,9},1),"0123456789")))=0),"OK","Wrong format"))</f>
        <v/>
      </c>
      <c r="AY479" s="30">
        <f>IF(NOT(COUNTA(A479:AE479)&gt;0),"",IF(BE479&lt;&gt;"","✖ "&amp;LEFT(BE479,LEN(BE479)-2),IF(BD479&gt;0,"✔ Ready — client + "&amp;BD479&amp;" service(s)","✔ Ready — client only")))</f>
        <v/>
      </c>
      <c r="AZ479" s="31">
        <f>UPPER(SUBSTITUTE(TRIM(F479)," ",""))</f>
        <v/>
      </c>
      <c r="BA479" s="31">
        <f>UPPER(SUBSTITUTE(TRIM(E479)," ",""))</f>
        <v/>
      </c>
      <c r="BB479" s="31">
        <f>IF(D479&lt;&gt;"",D479,IFERROR(VLOOKUP(MID(AS479,4,1),Lists!$E$2:$F$8,2,FALSE),""))</f>
        <v/>
      </c>
      <c r="BC479" s="31">
        <f>IFERROR(VLOOKUP(BB479,Lists!$A$2:$C$12,3,FALSE),"")</f>
        <v/>
      </c>
      <c r="BD479" s="31">
        <f>COUNTIF(W479:AC479,"Yes")</f>
        <v/>
      </c>
      <c r="BE479" s="31">
        <f>IF(TRIM(B479)="","Legal name missing; ","")&amp;IF(AND(AV479&lt;&gt;"",AV479&lt;&gt;"OK"),"GSTIN: "&amp;AV479&amp;"; ","")&amp;IF(AND(AW479&lt;&gt;"",AW479&lt;&gt;"OK"),"PAN wrong format; ","")&amp;IF(AND(BA479&lt;&gt;"",LEN(AZ479)=15,MID(AZ479,3,10)&lt;&gt;BA479),"PAN does not match GSTIN; ","")&amp;IF(AND(AX479&lt;&gt;"",AX479&lt;&gt;"OK"),"TAN wrong format; ","")&amp;IF(AS479="","PAN missing; ","")&amp;IF(BB479="","Entity type missing; ","")&amp;IF(AND(AZ479&lt;&gt;"",COUNTIF($AZ$6:$AZ$1005,AZ479)&gt;1),"GSTIN repeated in this sheet; ","")&amp;IF(AND(AS479&lt;&gt;"",COUNTIF($AS$6:$AS$1005,AS479)&gt;1),"PAN repeated in this sheet (same client? put extra GSTINs in Other GSTINs); ","")&amp;IF(AND(BD479&gt;0,V479=""),"Financial year missing; ","")&amp;IF(AND(BD479=0,V479&lt;&gt;""),"Financial year given but no service is Yes; ","")&amp;IF(AND(W479="Yes",AZ479=""),"GST needs a GSTIN; ","")&amp;IF(AND(W479="Yes",X479=""),"GST return frequency missing; ","")&amp;IF(AND(Y479="Yes",TRIM(H479)=""),"TDS needs a TAN; ","")&amp;IF(AND(AA479="Yes",BC479&lt;&gt;"",BC479&lt;&gt;"company",BC479&lt;&gt;"llp"),"ROC is only for a company / LLP; ","")&amp;IF(AND(AA479="Yes",OR(BC479="company",BC479="llp"),TRIM(I479)=""),"ROC needs the CIN / LLPIN; ","")&amp;IF((TRIM(AF479)="")&lt;&gt;(TRIM(AG479)=""),"GST login needs both user ID and password; ","")&amp;IF((TRIM(AH479)="")&lt;&gt;(TRIM(AI479)=""),"Income-tax login needs both user ID and password; ","")&amp;IF((TRIM(AJ479)="")&lt;&gt;(TRIM(AK479)=""),"Income-tax login needs both user ID and password; ","")&amp;IF((TRIM(AL479)="")&lt;&gt;(TRIM(AM479)=""),"TRACES login needs both user ID and password; ","")&amp;IF((TRIM(AN479)="")&lt;&gt;(TRIM(AO479)=""),"MCA login needs both user ID and password; ","")&amp;IF((TRIM(AP479)="")&lt;&gt;(TRIM(AQ479)=""),"E-way bill login needs both user ID and password; ","")</f>
        <v/>
      </c>
    </row>
    <row r="480">
      <c r="A480" s="32" t="n"/>
      <c r="B480" s="33" t="n"/>
      <c r="C480" s="33" t="n"/>
      <c r="D480" s="33" t="n"/>
      <c r="E480" s="32" t="n"/>
      <c r="F480" s="32" t="n"/>
      <c r="G480" s="32" t="n"/>
      <c r="H480" s="32" t="n"/>
      <c r="I480" s="32" t="n"/>
      <c r="J480" s="34" t="n"/>
      <c r="K480" s="33" t="n"/>
      <c r="L480" s="32" t="n"/>
      <c r="M480" s="33" t="n"/>
      <c r="N480" s="33" t="n"/>
      <c r="O480" s="33" t="n"/>
      <c r="P480" s="32" t="n"/>
      <c r="Q480" s="33" t="n"/>
      <c r="R480" s="33" t="n"/>
      <c r="S480" s="33" t="n"/>
      <c r="T480" s="33" t="n"/>
      <c r="U480" s="32" t="n"/>
      <c r="V480" s="33" t="n"/>
      <c r="W480" s="33" t="n"/>
      <c r="X480" s="33" t="n"/>
      <c r="Y480" s="33" t="n"/>
      <c r="Z480" s="33" t="n"/>
      <c r="AA480" s="33" t="n"/>
      <c r="AB480" s="33" t="n"/>
      <c r="AC480" s="33" t="n"/>
      <c r="AD480" s="33" t="n"/>
      <c r="AE480" s="33" t="n"/>
      <c r="AF480" s="32" t="n"/>
      <c r="AG480" s="32" t="n"/>
      <c r="AH480" s="32" t="n"/>
      <c r="AI480" s="32" t="n"/>
      <c r="AJ480" s="32" t="n"/>
      <c r="AK480" s="32" t="n"/>
      <c r="AL480" s="32" t="n"/>
      <c r="AM480" s="32" t="n"/>
      <c r="AN480" s="32" t="n"/>
      <c r="AO480" s="32" t="n"/>
      <c r="AP480" s="32" t="n"/>
      <c r="AQ480" s="32" t="n"/>
      <c r="AR480" s="29">
        <f>IF(NOT(COUNTA(A480:AE480)&gt;0),"",IF(A480="","New client","Update"))</f>
        <v/>
      </c>
      <c r="AS480" s="29">
        <f>IF(BA480&lt;&gt;"",BA480,IF(LEN(AZ480)=15,MID(AZ480,3,10),""))</f>
        <v/>
      </c>
      <c r="AT480" s="29">
        <f>IF(BB480="","",BB480&amp;IF(D480="","  (guessed from PAN)",""))</f>
        <v/>
      </c>
      <c r="AU480" s="29">
        <f>IF(AZ480="","",IFERROR(INDEX(Lists!$L$2:$L$38,MATCH(LEFT(AZ480,2),Lists!$K$2:$K$38,0)),"Unknown code"))</f>
        <v/>
      </c>
      <c r="AV480" s="29">
        <f>IF(AZ480="","",IFERROR(IF(NOT(AND(LEN(AZ480)=15,ISNUMBER(MATCH(LEFT(AZ480,2),Lists!$K$2:$K$38,0)),SUMPRODUCT(--ISERROR(FIND(MID(MID(AZ480,3,10),{1,2,3,4,5,10},1),"ABCDEFGHIJKLMNOPQRSTUVWXYZ")))=0,SUMPRODUCT(--ISERROR(FIND(MID(MID(AZ480,3,10),{6,7,8,9},1),"0123456789")))=0,ISNUMBER(FIND(MID(AZ480,13,1),"123456789ABCDEFGHIJKLMNOPQRSTUVWXYZ")),MID(AZ480,14,1)="Z")),"Wrong format",IF(MID("0123456789ABCDEFGHIJKLMNOPQRSTUVWXYZ",MOD(36-MOD(SUMPRODUCT(INT((FIND(MID(AZ480,{1,2,3,4,5,6,7,8,9,10,11,12,13,14},1),"0123456789ABCDEFGHIJKLMNOPQRSTUVWXYZ")-1)*{1,2,1,2,1,2,1,2,1,2,1,2,1,2}/36)+MOD((FIND(MID(AZ480,{1,2,3,4,5,6,7,8,9,10,11,12,13,14},1),"0123456789ABCDEFGHIJKLMNOPQRSTUVWXYZ")-1)*{1,2,1,2,1,2,1,2,1,2,1,2,1,2},36)),36),36)+1,1)=MID(AZ480,15,1),"OK","Typo? check digit wrong")),"Wrong format"))</f>
        <v/>
      </c>
      <c r="AW480" s="29">
        <f>IF(BA480="","",IF(AND(LEN(BA480)=10,SUMPRODUCT(--ISERROR(FIND(MID(BA480,{1,2,3,4,5,10},1),"ABCDEFGHIJKLMNOPQRSTUVWXYZ")))=0,SUMPRODUCT(--ISERROR(FIND(MID(BA480,{6,7,8,9},1),"0123456789")))=0),"OK","Wrong format"))</f>
        <v/>
      </c>
      <c r="AX480" s="29">
        <f>IF(TRIM(H480)="","",IF(AND(LEN(UPPER(TRIM(H480)))=10,SUMPRODUCT(--ISERROR(FIND(MID(UPPER(TRIM(H480)),{1,2,3,4,10},1),"ABCDEFGHIJKLMNOPQRSTUVWXYZ")))=0,SUMPRODUCT(--ISERROR(FIND(MID(UPPER(TRIM(H480)),{5,6,7,8,9},1),"0123456789")))=0),"OK","Wrong format"))</f>
        <v/>
      </c>
      <c r="AY480" s="30">
        <f>IF(NOT(COUNTA(A480:AE480)&gt;0),"",IF(BE480&lt;&gt;"","✖ "&amp;LEFT(BE480,LEN(BE480)-2),IF(BD480&gt;0,"✔ Ready — client + "&amp;BD480&amp;" service(s)","✔ Ready — client only")))</f>
        <v/>
      </c>
      <c r="AZ480" s="31">
        <f>UPPER(SUBSTITUTE(TRIM(F480)," ",""))</f>
        <v/>
      </c>
      <c r="BA480" s="31">
        <f>UPPER(SUBSTITUTE(TRIM(E480)," ",""))</f>
        <v/>
      </c>
      <c r="BB480" s="31">
        <f>IF(D480&lt;&gt;"",D480,IFERROR(VLOOKUP(MID(AS480,4,1),Lists!$E$2:$F$8,2,FALSE),""))</f>
        <v/>
      </c>
      <c r="BC480" s="31">
        <f>IFERROR(VLOOKUP(BB480,Lists!$A$2:$C$12,3,FALSE),"")</f>
        <v/>
      </c>
      <c r="BD480" s="31">
        <f>COUNTIF(W480:AC480,"Yes")</f>
        <v/>
      </c>
      <c r="BE480" s="31">
        <f>IF(TRIM(B480)="","Legal name missing; ","")&amp;IF(AND(AV480&lt;&gt;"",AV480&lt;&gt;"OK"),"GSTIN: "&amp;AV480&amp;"; ","")&amp;IF(AND(AW480&lt;&gt;"",AW480&lt;&gt;"OK"),"PAN wrong format; ","")&amp;IF(AND(BA480&lt;&gt;"",LEN(AZ480)=15,MID(AZ480,3,10)&lt;&gt;BA480),"PAN does not match GSTIN; ","")&amp;IF(AND(AX480&lt;&gt;"",AX480&lt;&gt;"OK"),"TAN wrong format; ","")&amp;IF(AS480="","PAN missing; ","")&amp;IF(BB480="","Entity type missing; ","")&amp;IF(AND(AZ480&lt;&gt;"",COUNTIF($AZ$6:$AZ$1005,AZ480)&gt;1),"GSTIN repeated in this sheet; ","")&amp;IF(AND(AS480&lt;&gt;"",COUNTIF($AS$6:$AS$1005,AS480)&gt;1),"PAN repeated in this sheet (same client? put extra GSTINs in Other GSTINs); ","")&amp;IF(AND(BD480&gt;0,V480=""),"Financial year missing; ","")&amp;IF(AND(BD480=0,V480&lt;&gt;""),"Financial year given but no service is Yes; ","")&amp;IF(AND(W480="Yes",AZ480=""),"GST needs a GSTIN; ","")&amp;IF(AND(W480="Yes",X480=""),"GST return frequency missing; ","")&amp;IF(AND(Y480="Yes",TRIM(H480)=""),"TDS needs a TAN; ","")&amp;IF(AND(AA480="Yes",BC480&lt;&gt;"",BC480&lt;&gt;"company",BC480&lt;&gt;"llp"),"ROC is only for a company / LLP; ","")&amp;IF(AND(AA480="Yes",OR(BC480="company",BC480="llp"),TRIM(I480)=""),"ROC needs the CIN / LLPIN; ","")&amp;IF((TRIM(AF480)="")&lt;&gt;(TRIM(AG480)=""),"GST login needs both user ID and password; ","")&amp;IF((TRIM(AH480)="")&lt;&gt;(TRIM(AI480)=""),"Income-tax login needs both user ID and password; ","")&amp;IF((TRIM(AJ480)="")&lt;&gt;(TRIM(AK480)=""),"Income-tax login needs both user ID and password; ","")&amp;IF((TRIM(AL480)="")&lt;&gt;(TRIM(AM480)=""),"TRACES login needs both user ID and password; ","")&amp;IF((TRIM(AN480)="")&lt;&gt;(TRIM(AO480)=""),"MCA login needs both user ID and password; ","")&amp;IF((TRIM(AP480)="")&lt;&gt;(TRIM(AQ480)=""),"E-way bill login needs both user ID and password; ","")</f>
        <v/>
      </c>
    </row>
    <row r="481">
      <c r="A481" s="32" t="n"/>
      <c r="B481" s="33" t="n"/>
      <c r="C481" s="33" t="n"/>
      <c r="D481" s="33" t="n"/>
      <c r="E481" s="32" t="n"/>
      <c r="F481" s="32" t="n"/>
      <c r="G481" s="32" t="n"/>
      <c r="H481" s="32" t="n"/>
      <c r="I481" s="32" t="n"/>
      <c r="J481" s="34" t="n"/>
      <c r="K481" s="33" t="n"/>
      <c r="L481" s="32" t="n"/>
      <c r="M481" s="33" t="n"/>
      <c r="N481" s="33" t="n"/>
      <c r="O481" s="33" t="n"/>
      <c r="P481" s="32" t="n"/>
      <c r="Q481" s="33" t="n"/>
      <c r="R481" s="33" t="n"/>
      <c r="S481" s="33" t="n"/>
      <c r="T481" s="33" t="n"/>
      <c r="U481" s="32" t="n"/>
      <c r="V481" s="33" t="n"/>
      <c r="W481" s="33" t="n"/>
      <c r="X481" s="33" t="n"/>
      <c r="Y481" s="33" t="n"/>
      <c r="Z481" s="33" t="n"/>
      <c r="AA481" s="33" t="n"/>
      <c r="AB481" s="33" t="n"/>
      <c r="AC481" s="33" t="n"/>
      <c r="AD481" s="33" t="n"/>
      <c r="AE481" s="33" t="n"/>
      <c r="AF481" s="32" t="n"/>
      <c r="AG481" s="32" t="n"/>
      <c r="AH481" s="32" t="n"/>
      <c r="AI481" s="32" t="n"/>
      <c r="AJ481" s="32" t="n"/>
      <c r="AK481" s="32" t="n"/>
      <c r="AL481" s="32" t="n"/>
      <c r="AM481" s="32" t="n"/>
      <c r="AN481" s="32" t="n"/>
      <c r="AO481" s="32" t="n"/>
      <c r="AP481" s="32" t="n"/>
      <c r="AQ481" s="32" t="n"/>
      <c r="AR481" s="29">
        <f>IF(NOT(COUNTA(A481:AE481)&gt;0),"",IF(A481="","New client","Update"))</f>
        <v/>
      </c>
      <c r="AS481" s="29">
        <f>IF(BA481&lt;&gt;"",BA481,IF(LEN(AZ481)=15,MID(AZ481,3,10),""))</f>
        <v/>
      </c>
      <c r="AT481" s="29">
        <f>IF(BB481="","",BB481&amp;IF(D481="","  (guessed from PAN)",""))</f>
        <v/>
      </c>
      <c r="AU481" s="29">
        <f>IF(AZ481="","",IFERROR(INDEX(Lists!$L$2:$L$38,MATCH(LEFT(AZ481,2),Lists!$K$2:$K$38,0)),"Unknown code"))</f>
        <v/>
      </c>
      <c r="AV481" s="29">
        <f>IF(AZ481="","",IFERROR(IF(NOT(AND(LEN(AZ481)=15,ISNUMBER(MATCH(LEFT(AZ481,2),Lists!$K$2:$K$38,0)),SUMPRODUCT(--ISERROR(FIND(MID(MID(AZ481,3,10),{1,2,3,4,5,10},1),"ABCDEFGHIJKLMNOPQRSTUVWXYZ")))=0,SUMPRODUCT(--ISERROR(FIND(MID(MID(AZ481,3,10),{6,7,8,9},1),"0123456789")))=0,ISNUMBER(FIND(MID(AZ481,13,1),"123456789ABCDEFGHIJKLMNOPQRSTUVWXYZ")),MID(AZ481,14,1)="Z")),"Wrong format",IF(MID("0123456789ABCDEFGHIJKLMNOPQRSTUVWXYZ",MOD(36-MOD(SUMPRODUCT(INT((FIND(MID(AZ481,{1,2,3,4,5,6,7,8,9,10,11,12,13,14},1),"0123456789ABCDEFGHIJKLMNOPQRSTUVWXYZ")-1)*{1,2,1,2,1,2,1,2,1,2,1,2,1,2}/36)+MOD((FIND(MID(AZ481,{1,2,3,4,5,6,7,8,9,10,11,12,13,14},1),"0123456789ABCDEFGHIJKLMNOPQRSTUVWXYZ")-1)*{1,2,1,2,1,2,1,2,1,2,1,2,1,2},36)),36),36)+1,1)=MID(AZ481,15,1),"OK","Typo? check digit wrong")),"Wrong format"))</f>
        <v/>
      </c>
      <c r="AW481" s="29">
        <f>IF(BA481="","",IF(AND(LEN(BA481)=10,SUMPRODUCT(--ISERROR(FIND(MID(BA481,{1,2,3,4,5,10},1),"ABCDEFGHIJKLMNOPQRSTUVWXYZ")))=0,SUMPRODUCT(--ISERROR(FIND(MID(BA481,{6,7,8,9},1),"0123456789")))=0),"OK","Wrong format"))</f>
        <v/>
      </c>
      <c r="AX481" s="29">
        <f>IF(TRIM(H481)="","",IF(AND(LEN(UPPER(TRIM(H481)))=10,SUMPRODUCT(--ISERROR(FIND(MID(UPPER(TRIM(H481)),{1,2,3,4,10},1),"ABCDEFGHIJKLMNOPQRSTUVWXYZ")))=0,SUMPRODUCT(--ISERROR(FIND(MID(UPPER(TRIM(H481)),{5,6,7,8,9},1),"0123456789")))=0),"OK","Wrong format"))</f>
        <v/>
      </c>
      <c r="AY481" s="30">
        <f>IF(NOT(COUNTA(A481:AE481)&gt;0),"",IF(BE481&lt;&gt;"","✖ "&amp;LEFT(BE481,LEN(BE481)-2),IF(BD481&gt;0,"✔ Ready — client + "&amp;BD481&amp;" service(s)","✔ Ready — client only")))</f>
        <v/>
      </c>
      <c r="AZ481" s="31">
        <f>UPPER(SUBSTITUTE(TRIM(F481)," ",""))</f>
        <v/>
      </c>
      <c r="BA481" s="31">
        <f>UPPER(SUBSTITUTE(TRIM(E481)," ",""))</f>
        <v/>
      </c>
      <c r="BB481" s="31">
        <f>IF(D481&lt;&gt;"",D481,IFERROR(VLOOKUP(MID(AS481,4,1),Lists!$E$2:$F$8,2,FALSE),""))</f>
        <v/>
      </c>
      <c r="BC481" s="31">
        <f>IFERROR(VLOOKUP(BB481,Lists!$A$2:$C$12,3,FALSE),"")</f>
        <v/>
      </c>
      <c r="BD481" s="31">
        <f>COUNTIF(W481:AC481,"Yes")</f>
        <v/>
      </c>
      <c r="BE481" s="31">
        <f>IF(TRIM(B481)="","Legal name missing; ","")&amp;IF(AND(AV481&lt;&gt;"",AV481&lt;&gt;"OK"),"GSTIN: "&amp;AV481&amp;"; ","")&amp;IF(AND(AW481&lt;&gt;"",AW481&lt;&gt;"OK"),"PAN wrong format; ","")&amp;IF(AND(BA481&lt;&gt;"",LEN(AZ481)=15,MID(AZ481,3,10)&lt;&gt;BA481),"PAN does not match GSTIN; ","")&amp;IF(AND(AX481&lt;&gt;"",AX481&lt;&gt;"OK"),"TAN wrong format; ","")&amp;IF(AS481="","PAN missing; ","")&amp;IF(BB481="","Entity type missing; ","")&amp;IF(AND(AZ481&lt;&gt;"",COUNTIF($AZ$6:$AZ$1005,AZ481)&gt;1),"GSTIN repeated in this sheet; ","")&amp;IF(AND(AS481&lt;&gt;"",COUNTIF($AS$6:$AS$1005,AS481)&gt;1),"PAN repeated in this sheet (same client? put extra GSTINs in Other GSTINs); ","")&amp;IF(AND(BD481&gt;0,V481=""),"Financial year missing; ","")&amp;IF(AND(BD481=0,V481&lt;&gt;""),"Financial year given but no service is Yes; ","")&amp;IF(AND(W481="Yes",AZ481=""),"GST needs a GSTIN; ","")&amp;IF(AND(W481="Yes",X481=""),"GST return frequency missing; ","")&amp;IF(AND(Y481="Yes",TRIM(H481)=""),"TDS needs a TAN; ","")&amp;IF(AND(AA481="Yes",BC481&lt;&gt;"",BC481&lt;&gt;"company",BC481&lt;&gt;"llp"),"ROC is only for a company / LLP; ","")&amp;IF(AND(AA481="Yes",OR(BC481="company",BC481="llp"),TRIM(I481)=""),"ROC needs the CIN / LLPIN; ","")&amp;IF((TRIM(AF481)="")&lt;&gt;(TRIM(AG481)=""),"GST login needs both user ID and password; ","")&amp;IF((TRIM(AH481)="")&lt;&gt;(TRIM(AI481)=""),"Income-tax login needs both user ID and password; ","")&amp;IF((TRIM(AJ481)="")&lt;&gt;(TRIM(AK481)=""),"Income-tax login needs both user ID and password; ","")&amp;IF((TRIM(AL481)="")&lt;&gt;(TRIM(AM481)=""),"TRACES login needs both user ID and password; ","")&amp;IF((TRIM(AN481)="")&lt;&gt;(TRIM(AO481)=""),"MCA login needs both user ID and password; ","")&amp;IF((TRIM(AP481)="")&lt;&gt;(TRIM(AQ481)=""),"E-way bill login needs both user ID and password; ","")</f>
        <v/>
      </c>
    </row>
    <row r="482">
      <c r="A482" s="32" t="n"/>
      <c r="B482" s="33" t="n"/>
      <c r="C482" s="33" t="n"/>
      <c r="D482" s="33" t="n"/>
      <c r="E482" s="32" t="n"/>
      <c r="F482" s="32" t="n"/>
      <c r="G482" s="32" t="n"/>
      <c r="H482" s="32" t="n"/>
      <c r="I482" s="32" t="n"/>
      <c r="J482" s="34" t="n"/>
      <c r="K482" s="33" t="n"/>
      <c r="L482" s="32" t="n"/>
      <c r="M482" s="33" t="n"/>
      <c r="N482" s="33" t="n"/>
      <c r="O482" s="33" t="n"/>
      <c r="P482" s="32" t="n"/>
      <c r="Q482" s="33" t="n"/>
      <c r="R482" s="33" t="n"/>
      <c r="S482" s="33" t="n"/>
      <c r="T482" s="33" t="n"/>
      <c r="U482" s="32" t="n"/>
      <c r="V482" s="33" t="n"/>
      <c r="W482" s="33" t="n"/>
      <c r="X482" s="33" t="n"/>
      <c r="Y482" s="33" t="n"/>
      <c r="Z482" s="33" t="n"/>
      <c r="AA482" s="33" t="n"/>
      <c r="AB482" s="33" t="n"/>
      <c r="AC482" s="33" t="n"/>
      <c r="AD482" s="33" t="n"/>
      <c r="AE482" s="33" t="n"/>
      <c r="AF482" s="32" t="n"/>
      <c r="AG482" s="32" t="n"/>
      <c r="AH482" s="32" t="n"/>
      <c r="AI482" s="32" t="n"/>
      <c r="AJ482" s="32" t="n"/>
      <c r="AK482" s="32" t="n"/>
      <c r="AL482" s="32" t="n"/>
      <c r="AM482" s="32" t="n"/>
      <c r="AN482" s="32" t="n"/>
      <c r="AO482" s="32" t="n"/>
      <c r="AP482" s="32" t="n"/>
      <c r="AQ482" s="32" t="n"/>
      <c r="AR482" s="29">
        <f>IF(NOT(COUNTA(A482:AE482)&gt;0),"",IF(A482="","New client","Update"))</f>
        <v/>
      </c>
      <c r="AS482" s="29">
        <f>IF(BA482&lt;&gt;"",BA482,IF(LEN(AZ482)=15,MID(AZ482,3,10),""))</f>
        <v/>
      </c>
      <c r="AT482" s="29">
        <f>IF(BB482="","",BB482&amp;IF(D482="","  (guessed from PAN)",""))</f>
        <v/>
      </c>
      <c r="AU482" s="29">
        <f>IF(AZ482="","",IFERROR(INDEX(Lists!$L$2:$L$38,MATCH(LEFT(AZ482,2),Lists!$K$2:$K$38,0)),"Unknown code"))</f>
        <v/>
      </c>
      <c r="AV482" s="29">
        <f>IF(AZ482="","",IFERROR(IF(NOT(AND(LEN(AZ482)=15,ISNUMBER(MATCH(LEFT(AZ482,2),Lists!$K$2:$K$38,0)),SUMPRODUCT(--ISERROR(FIND(MID(MID(AZ482,3,10),{1,2,3,4,5,10},1),"ABCDEFGHIJKLMNOPQRSTUVWXYZ")))=0,SUMPRODUCT(--ISERROR(FIND(MID(MID(AZ482,3,10),{6,7,8,9},1),"0123456789")))=0,ISNUMBER(FIND(MID(AZ482,13,1),"123456789ABCDEFGHIJKLMNOPQRSTUVWXYZ")),MID(AZ482,14,1)="Z")),"Wrong format",IF(MID("0123456789ABCDEFGHIJKLMNOPQRSTUVWXYZ",MOD(36-MOD(SUMPRODUCT(INT((FIND(MID(AZ482,{1,2,3,4,5,6,7,8,9,10,11,12,13,14},1),"0123456789ABCDEFGHIJKLMNOPQRSTUVWXYZ")-1)*{1,2,1,2,1,2,1,2,1,2,1,2,1,2}/36)+MOD((FIND(MID(AZ482,{1,2,3,4,5,6,7,8,9,10,11,12,13,14},1),"0123456789ABCDEFGHIJKLMNOPQRSTUVWXYZ")-1)*{1,2,1,2,1,2,1,2,1,2,1,2,1,2},36)),36),36)+1,1)=MID(AZ482,15,1),"OK","Typo? check digit wrong")),"Wrong format"))</f>
        <v/>
      </c>
      <c r="AW482" s="29">
        <f>IF(BA482="","",IF(AND(LEN(BA482)=10,SUMPRODUCT(--ISERROR(FIND(MID(BA482,{1,2,3,4,5,10},1),"ABCDEFGHIJKLMNOPQRSTUVWXYZ")))=0,SUMPRODUCT(--ISERROR(FIND(MID(BA482,{6,7,8,9},1),"0123456789")))=0),"OK","Wrong format"))</f>
        <v/>
      </c>
      <c r="AX482" s="29">
        <f>IF(TRIM(H482)="","",IF(AND(LEN(UPPER(TRIM(H482)))=10,SUMPRODUCT(--ISERROR(FIND(MID(UPPER(TRIM(H482)),{1,2,3,4,10},1),"ABCDEFGHIJKLMNOPQRSTUVWXYZ")))=0,SUMPRODUCT(--ISERROR(FIND(MID(UPPER(TRIM(H482)),{5,6,7,8,9},1),"0123456789")))=0),"OK","Wrong format"))</f>
        <v/>
      </c>
      <c r="AY482" s="30">
        <f>IF(NOT(COUNTA(A482:AE482)&gt;0),"",IF(BE482&lt;&gt;"","✖ "&amp;LEFT(BE482,LEN(BE482)-2),IF(BD482&gt;0,"✔ Ready — client + "&amp;BD482&amp;" service(s)","✔ Ready — client only")))</f>
        <v/>
      </c>
      <c r="AZ482" s="31">
        <f>UPPER(SUBSTITUTE(TRIM(F482)," ",""))</f>
        <v/>
      </c>
      <c r="BA482" s="31">
        <f>UPPER(SUBSTITUTE(TRIM(E482)," ",""))</f>
        <v/>
      </c>
      <c r="BB482" s="31">
        <f>IF(D482&lt;&gt;"",D482,IFERROR(VLOOKUP(MID(AS482,4,1),Lists!$E$2:$F$8,2,FALSE),""))</f>
        <v/>
      </c>
      <c r="BC482" s="31">
        <f>IFERROR(VLOOKUP(BB482,Lists!$A$2:$C$12,3,FALSE),"")</f>
        <v/>
      </c>
      <c r="BD482" s="31">
        <f>COUNTIF(W482:AC482,"Yes")</f>
        <v/>
      </c>
      <c r="BE482" s="31">
        <f>IF(TRIM(B482)="","Legal name missing; ","")&amp;IF(AND(AV482&lt;&gt;"",AV482&lt;&gt;"OK"),"GSTIN: "&amp;AV482&amp;"; ","")&amp;IF(AND(AW482&lt;&gt;"",AW482&lt;&gt;"OK"),"PAN wrong format; ","")&amp;IF(AND(BA482&lt;&gt;"",LEN(AZ482)=15,MID(AZ482,3,10)&lt;&gt;BA482),"PAN does not match GSTIN; ","")&amp;IF(AND(AX482&lt;&gt;"",AX482&lt;&gt;"OK"),"TAN wrong format; ","")&amp;IF(AS482="","PAN missing; ","")&amp;IF(BB482="","Entity type missing; ","")&amp;IF(AND(AZ482&lt;&gt;"",COUNTIF($AZ$6:$AZ$1005,AZ482)&gt;1),"GSTIN repeated in this sheet; ","")&amp;IF(AND(AS482&lt;&gt;"",COUNTIF($AS$6:$AS$1005,AS482)&gt;1),"PAN repeated in this sheet (same client? put extra GSTINs in Other GSTINs); ","")&amp;IF(AND(BD482&gt;0,V482=""),"Financial year missing; ","")&amp;IF(AND(BD482=0,V482&lt;&gt;""),"Financial year given but no service is Yes; ","")&amp;IF(AND(W482="Yes",AZ482=""),"GST needs a GSTIN; ","")&amp;IF(AND(W482="Yes",X482=""),"GST return frequency missing; ","")&amp;IF(AND(Y482="Yes",TRIM(H482)=""),"TDS needs a TAN; ","")&amp;IF(AND(AA482="Yes",BC482&lt;&gt;"",BC482&lt;&gt;"company",BC482&lt;&gt;"llp"),"ROC is only for a company / LLP; ","")&amp;IF(AND(AA482="Yes",OR(BC482="company",BC482="llp"),TRIM(I482)=""),"ROC needs the CIN / LLPIN; ","")&amp;IF((TRIM(AF482)="")&lt;&gt;(TRIM(AG482)=""),"GST login needs both user ID and password; ","")&amp;IF((TRIM(AH482)="")&lt;&gt;(TRIM(AI482)=""),"Income-tax login needs both user ID and password; ","")&amp;IF((TRIM(AJ482)="")&lt;&gt;(TRIM(AK482)=""),"Income-tax login needs both user ID and password; ","")&amp;IF((TRIM(AL482)="")&lt;&gt;(TRIM(AM482)=""),"TRACES login needs both user ID and password; ","")&amp;IF((TRIM(AN482)="")&lt;&gt;(TRIM(AO482)=""),"MCA login needs both user ID and password; ","")&amp;IF((TRIM(AP482)="")&lt;&gt;(TRIM(AQ482)=""),"E-way bill login needs both user ID and password; ","")</f>
        <v/>
      </c>
    </row>
    <row r="483">
      <c r="A483" s="32" t="n"/>
      <c r="B483" s="33" t="n"/>
      <c r="C483" s="33" t="n"/>
      <c r="D483" s="33" t="n"/>
      <c r="E483" s="32" t="n"/>
      <c r="F483" s="32" t="n"/>
      <c r="G483" s="32" t="n"/>
      <c r="H483" s="32" t="n"/>
      <c r="I483" s="32" t="n"/>
      <c r="J483" s="34" t="n"/>
      <c r="K483" s="33" t="n"/>
      <c r="L483" s="32" t="n"/>
      <c r="M483" s="33" t="n"/>
      <c r="N483" s="33" t="n"/>
      <c r="O483" s="33" t="n"/>
      <c r="P483" s="32" t="n"/>
      <c r="Q483" s="33" t="n"/>
      <c r="R483" s="33" t="n"/>
      <c r="S483" s="33" t="n"/>
      <c r="T483" s="33" t="n"/>
      <c r="U483" s="32" t="n"/>
      <c r="V483" s="33" t="n"/>
      <c r="W483" s="33" t="n"/>
      <c r="X483" s="33" t="n"/>
      <c r="Y483" s="33" t="n"/>
      <c r="Z483" s="33" t="n"/>
      <c r="AA483" s="33" t="n"/>
      <c r="AB483" s="33" t="n"/>
      <c r="AC483" s="33" t="n"/>
      <c r="AD483" s="33" t="n"/>
      <c r="AE483" s="33" t="n"/>
      <c r="AF483" s="32" t="n"/>
      <c r="AG483" s="32" t="n"/>
      <c r="AH483" s="32" t="n"/>
      <c r="AI483" s="32" t="n"/>
      <c r="AJ483" s="32" t="n"/>
      <c r="AK483" s="32" t="n"/>
      <c r="AL483" s="32" t="n"/>
      <c r="AM483" s="32" t="n"/>
      <c r="AN483" s="32" t="n"/>
      <c r="AO483" s="32" t="n"/>
      <c r="AP483" s="32" t="n"/>
      <c r="AQ483" s="32" t="n"/>
      <c r="AR483" s="29">
        <f>IF(NOT(COUNTA(A483:AE483)&gt;0),"",IF(A483="","New client","Update"))</f>
        <v/>
      </c>
      <c r="AS483" s="29">
        <f>IF(BA483&lt;&gt;"",BA483,IF(LEN(AZ483)=15,MID(AZ483,3,10),""))</f>
        <v/>
      </c>
      <c r="AT483" s="29">
        <f>IF(BB483="","",BB483&amp;IF(D483="","  (guessed from PAN)",""))</f>
        <v/>
      </c>
      <c r="AU483" s="29">
        <f>IF(AZ483="","",IFERROR(INDEX(Lists!$L$2:$L$38,MATCH(LEFT(AZ483,2),Lists!$K$2:$K$38,0)),"Unknown code"))</f>
        <v/>
      </c>
      <c r="AV483" s="29">
        <f>IF(AZ483="","",IFERROR(IF(NOT(AND(LEN(AZ483)=15,ISNUMBER(MATCH(LEFT(AZ483,2),Lists!$K$2:$K$38,0)),SUMPRODUCT(--ISERROR(FIND(MID(MID(AZ483,3,10),{1,2,3,4,5,10},1),"ABCDEFGHIJKLMNOPQRSTUVWXYZ")))=0,SUMPRODUCT(--ISERROR(FIND(MID(MID(AZ483,3,10),{6,7,8,9},1),"0123456789")))=0,ISNUMBER(FIND(MID(AZ483,13,1),"123456789ABCDEFGHIJKLMNOPQRSTUVWXYZ")),MID(AZ483,14,1)="Z")),"Wrong format",IF(MID("0123456789ABCDEFGHIJKLMNOPQRSTUVWXYZ",MOD(36-MOD(SUMPRODUCT(INT((FIND(MID(AZ483,{1,2,3,4,5,6,7,8,9,10,11,12,13,14},1),"0123456789ABCDEFGHIJKLMNOPQRSTUVWXYZ")-1)*{1,2,1,2,1,2,1,2,1,2,1,2,1,2}/36)+MOD((FIND(MID(AZ483,{1,2,3,4,5,6,7,8,9,10,11,12,13,14},1),"0123456789ABCDEFGHIJKLMNOPQRSTUVWXYZ")-1)*{1,2,1,2,1,2,1,2,1,2,1,2,1,2},36)),36),36)+1,1)=MID(AZ483,15,1),"OK","Typo? check digit wrong")),"Wrong format"))</f>
        <v/>
      </c>
      <c r="AW483" s="29">
        <f>IF(BA483="","",IF(AND(LEN(BA483)=10,SUMPRODUCT(--ISERROR(FIND(MID(BA483,{1,2,3,4,5,10},1),"ABCDEFGHIJKLMNOPQRSTUVWXYZ")))=0,SUMPRODUCT(--ISERROR(FIND(MID(BA483,{6,7,8,9},1),"0123456789")))=0),"OK","Wrong format"))</f>
        <v/>
      </c>
      <c r="AX483" s="29">
        <f>IF(TRIM(H483)="","",IF(AND(LEN(UPPER(TRIM(H483)))=10,SUMPRODUCT(--ISERROR(FIND(MID(UPPER(TRIM(H483)),{1,2,3,4,10},1),"ABCDEFGHIJKLMNOPQRSTUVWXYZ")))=0,SUMPRODUCT(--ISERROR(FIND(MID(UPPER(TRIM(H483)),{5,6,7,8,9},1),"0123456789")))=0),"OK","Wrong format"))</f>
        <v/>
      </c>
      <c r="AY483" s="30">
        <f>IF(NOT(COUNTA(A483:AE483)&gt;0),"",IF(BE483&lt;&gt;"","✖ "&amp;LEFT(BE483,LEN(BE483)-2),IF(BD483&gt;0,"✔ Ready — client + "&amp;BD483&amp;" service(s)","✔ Ready — client only")))</f>
        <v/>
      </c>
      <c r="AZ483" s="31">
        <f>UPPER(SUBSTITUTE(TRIM(F483)," ",""))</f>
        <v/>
      </c>
      <c r="BA483" s="31">
        <f>UPPER(SUBSTITUTE(TRIM(E483)," ",""))</f>
        <v/>
      </c>
      <c r="BB483" s="31">
        <f>IF(D483&lt;&gt;"",D483,IFERROR(VLOOKUP(MID(AS483,4,1),Lists!$E$2:$F$8,2,FALSE),""))</f>
        <v/>
      </c>
      <c r="BC483" s="31">
        <f>IFERROR(VLOOKUP(BB483,Lists!$A$2:$C$12,3,FALSE),"")</f>
        <v/>
      </c>
      <c r="BD483" s="31">
        <f>COUNTIF(W483:AC483,"Yes")</f>
        <v/>
      </c>
      <c r="BE483" s="31">
        <f>IF(TRIM(B483)="","Legal name missing; ","")&amp;IF(AND(AV483&lt;&gt;"",AV483&lt;&gt;"OK"),"GSTIN: "&amp;AV483&amp;"; ","")&amp;IF(AND(AW483&lt;&gt;"",AW483&lt;&gt;"OK"),"PAN wrong format; ","")&amp;IF(AND(BA483&lt;&gt;"",LEN(AZ483)=15,MID(AZ483,3,10)&lt;&gt;BA483),"PAN does not match GSTIN; ","")&amp;IF(AND(AX483&lt;&gt;"",AX483&lt;&gt;"OK"),"TAN wrong format; ","")&amp;IF(AS483="","PAN missing; ","")&amp;IF(BB483="","Entity type missing; ","")&amp;IF(AND(AZ483&lt;&gt;"",COUNTIF($AZ$6:$AZ$1005,AZ483)&gt;1),"GSTIN repeated in this sheet; ","")&amp;IF(AND(AS483&lt;&gt;"",COUNTIF($AS$6:$AS$1005,AS483)&gt;1),"PAN repeated in this sheet (same client? put extra GSTINs in Other GSTINs); ","")&amp;IF(AND(BD483&gt;0,V483=""),"Financial year missing; ","")&amp;IF(AND(BD483=0,V483&lt;&gt;""),"Financial year given but no service is Yes; ","")&amp;IF(AND(W483="Yes",AZ483=""),"GST needs a GSTIN; ","")&amp;IF(AND(W483="Yes",X483=""),"GST return frequency missing; ","")&amp;IF(AND(Y483="Yes",TRIM(H483)=""),"TDS needs a TAN; ","")&amp;IF(AND(AA483="Yes",BC483&lt;&gt;"",BC483&lt;&gt;"company",BC483&lt;&gt;"llp"),"ROC is only for a company / LLP; ","")&amp;IF(AND(AA483="Yes",OR(BC483="company",BC483="llp"),TRIM(I483)=""),"ROC needs the CIN / LLPIN; ","")&amp;IF((TRIM(AF483)="")&lt;&gt;(TRIM(AG483)=""),"GST login needs both user ID and password; ","")&amp;IF((TRIM(AH483)="")&lt;&gt;(TRIM(AI483)=""),"Income-tax login needs both user ID and password; ","")&amp;IF((TRIM(AJ483)="")&lt;&gt;(TRIM(AK483)=""),"Income-tax login needs both user ID and password; ","")&amp;IF((TRIM(AL483)="")&lt;&gt;(TRIM(AM483)=""),"TRACES login needs both user ID and password; ","")&amp;IF((TRIM(AN483)="")&lt;&gt;(TRIM(AO483)=""),"MCA login needs both user ID and password; ","")&amp;IF((TRIM(AP483)="")&lt;&gt;(TRIM(AQ483)=""),"E-way bill login needs both user ID and password; ","")</f>
        <v/>
      </c>
    </row>
    <row r="484">
      <c r="A484" s="32" t="n"/>
      <c r="B484" s="33" t="n"/>
      <c r="C484" s="33" t="n"/>
      <c r="D484" s="33" t="n"/>
      <c r="E484" s="32" t="n"/>
      <c r="F484" s="32" t="n"/>
      <c r="G484" s="32" t="n"/>
      <c r="H484" s="32" t="n"/>
      <c r="I484" s="32" t="n"/>
      <c r="J484" s="34" t="n"/>
      <c r="K484" s="33" t="n"/>
      <c r="L484" s="32" t="n"/>
      <c r="M484" s="33" t="n"/>
      <c r="N484" s="33" t="n"/>
      <c r="O484" s="33" t="n"/>
      <c r="P484" s="32" t="n"/>
      <c r="Q484" s="33" t="n"/>
      <c r="R484" s="33" t="n"/>
      <c r="S484" s="33" t="n"/>
      <c r="T484" s="33" t="n"/>
      <c r="U484" s="32" t="n"/>
      <c r="V484" s="33" t="n"/>
      <c r="W484" s="33" t="n"/>
      <c r="X484" s="33" t="n"/>
      <c r="Y484" s="33" t="n"/>
      <c r="Z484" s="33" t="n"/>
      <c r="AA484" s="33" t="n"/>
      <c r="AB484" s="33" t="n"/>
      <c r="AC484" s="33" t="n"/>
      <c r="AD484" s="33" t="n"/>
      <c r="AE484" s="33" t="n"/>
      <c r="AF484" s="32" t="n"/>
      <c r="AG484" s="32" t="n"/>
      <c r="AH484" s="32" t="n"/>
      <c r="AI484" s="32" t="n"/>
      <c r="AJ484" s="32" t="n"/>
      <c r="AK484" s="32" t="n"/>
      <c r="AL484" s="32" t="n"/>
      <c r="AM484" s="32" t="n"/>
      <c r="AN484" s="32" t="n"/>
      <c r="AO484" s="32" t="n"/>
      <c r="AP484" s="32" t="n"/>
      <c r="AQ484" s="32" t="n"/>
      <c r="AR484" s="29">
        <f>IF(NOT(COUNTA(A484:AE484)&gt;0),"",IF(A484="","New client","Update"))</f>
        <v/>
      </c>
      <c r="AS484" s="29">
        <f>IF(BA484&lt;&gt;"",BA484,IF(LEN(AZ484)=15,MID(AZ484,3,10),""))</f>
        <v/>
      </c>
      <c r="AT484" s="29">
        <f>IF(BB484="","",BB484&amp;IF(D484="","  (guessed from PAN)",""))</f>
        <v/>
      </c>
      <c r="AU484" s="29">
        <f>IF(AZ484="","",IFERROR(INDEX(Lists!$L$2:$L$38,MATCH(LEFT(AZ484,2),Lists!$K$2:$K$38,0)),"Unknown code"))</f>
        <v/>
      </c>
      <c r="AV484" s="29">
        <f>IF(AZ484="","",IFERROR(IF(NOT(AND(LEN(AZ484)=15,ISNUMBER(MATCH(LEFT(AZ484,2),Lists!$K$2:$K$38,0)),SUMPRODUCT(--ISERROR(FIND(MID(MID(AZ484,3,10),{1,2,3,4,5,10},1),"ABCDEFGHIJKLMNOPQRSTUVWXYZ")))=0,SUMPRODUCT(--ISERROR(FIND(MID(MID(AZ484,3,10),{6,7,8,9},1),"0123456789")))=0,ISNUMBER(FIND(MID(AZ484,13,1),"123456789ABCDEFGHIJKLMNOPQRSTUVWXYZ")),MID(AZ484,14,1)="Z")),"Wrong format",IF(MID("0123456789ABCDEFGHIJKLMNOPQRSTUVWXYZ",MOD(36-MOD(SUMPRODUCT(INT((FIND(MID(AZ484,{1,2,3,4,5,6,7,8,9,10,11,12,13,14},1),"0123456789ABCDEFGHIJKLMNOPQRSTUVWXYZ")-1)*{1,2,1,2,1,2,1,2,1,2,1,2,1,2}/36)+MOD((FIND(MID(AZ484,{1,2,3,4,5,6,7,8,9,10,11,12,13,14},1),"0123456789ABCDEFGHIJKLMNOPQRSTUVWXYZ")-1)*{1,2,1,2,1,2,1,2,1,2,1,2,1,2},36)),36),36)+1,1)=MID(AZ484,15,1),"OK","Typo? check digit wrong")),"Wrong format"))</f>
        <v/>
      </c>
      <c r="AW484" s="29">
        <f>IF(BA484="","",IF(AND(LEN(BA484)=10,SUMPRODUCT(--ISERROR(FIND(MID(BA484,{1,2,3,4,5,10},1),"ABCDEFGHIJKLMNOPQRSTUVWXYZ")))=0,SUMPRODUCT(--ISERROR(FIND(MID(BA484,{6,7,8,9},1),"0123456789")))=0),"OK","Wrong format"))</f>
        <v/>
      </c>
      <c r="AX484" s="29">
        <f>IF(TRIM(H484)="","",IF(AND(LEN(UPPER(TRIM(H484)))=10,SUMPRODUCT(--ISERROR(FIND(MID(UPPER(TRIM(H484)),{1,2,3,4,10},1),"ABCDEFGHIJKLMNOPQRSTUVWXYZ")))=0,SUMPRODUCT(--ISERROR(FIND(MID(UPPER(TRIM(H484)),{5,6,7,8,9},1),"0123456789")))=0),"OK","Wrong format"))</f>
        <v/>
      </c>
      <c r="AY484" s="30">
        <f>IF(NOT(COUNTA(A484:AE484)&gt;0),"",IF(BE484&lt;&gt;"","✖ "&amp;LEFT(BE484,LEN(BE484)-2),IF(BD484&gt;0,"✔ Ready — client + "&amp;BD484&amp;" service(s)","✔ Ready — client only")))</f>
        <v/>
      </c>
      <c r="AZ484" s="31">
        <f>UPPER(SUBSTITUTE(TRIM(F484)," ",""))</f>
        <v/>
      </c>
      <c r="BA484" s="31">
        <f>UPPER(SUBSTITUTE(TRIM(E484)," ",""))</f>
        <v/>
      </c>
      <c r="BB484" s="31">
        <f>IF(D484&lt;&gt;"",D484,IFERROR(VLOOKUP(MID(AS484,4,1),Lists!$E$2:$F$8,2,FALSE),""))</f>
        <v/>
      </c>
      <c r="BC484" s="31">
        <f>IFERROR(VLOOKUP(BB484,Lists!$A$2:$C$12,3,FALSE),"")</f>
        <v/>
      </c>
      <c r="BD484" s="31">
        <f>COUNTIF(W484:AC484,"Yes")</f>
        <v/>
      </c>
      <c r="BE484" s="31">
        <f>IF(TRIM(B484)="","Legal name missing; ","")&amp;IF(AND(AV484&lt;&gt;"",AV484&lt;&gt;"OK"),"GSTIN: "&amp;AV484&amp;"; ","")&amp;IF(AND(AW484&lt;&gt;"",AW484&lt;&gt;"OK"),"PAN wrong format; ","")&amp;IF(AND(BA484&lt;&gt;"",LEN(AZ484)=15,MID(AZ484,3,10)&lt;&gt;BA484),"PAN does not match GSTIN; ","")&amp;IF(AND(AX484&lt;&gt;"",AX484&lt;&gt;"OK"),"TAN wrong format; ","")&amp;IF(AS484="","PAN missing; ","")&amp;IF(BB484="","Entity type missing; ","")&amp;IF(AND(AZ484&lt;&gt;"",COUNTIF($AZ$6:$AZ$1005,AZ484)&gt;1),"GSTIN repeated in this sheet; ","")&amp;IF(AND(AS484&lt;&gt;"",COUNTIF($AS$6:$AS$1005,AS484)&gt;1),"PAN repeated in this sheet (same client? put extra GSTINs in Other GSTINs); ","")&amp;IF(AND(BD484&gt;0,V484=""),"Financial year missing; ","")&amp;IF(AND(BD484=0,V484&lt;&gt;""),"Financial year given but no service is Yes; ","")&amp;IF(AND(W484="Yes",AZ484=""),"GST needs a GSTIN; ","")&amp;IF(AND(W484="Yes",X484=""),"GST return frequency missing; ","")&amp;IF(AND(Y484="Yes",TRIM(H484)=""),"TDS needs a TAN; ","")&amp;IF(AND(AA484="Yes",BC484&lt;&gt;"",BC484&lt;&gt;"company",BC484&lt;&gt;"llp"),"ROC is only for a company / LLP; ","")&amp;IF(AND(AA484="Yes",OR(BC484="company",BC484="llp"),TRIM(I484)=""),"ROC needs the CIN / LLPIN; ","")&amp;IF((TRIM(AF484)="")&lt;&gt;(TRIM(AG484)=""),"GST login needs both user ID and password; ","")&amp;IF((TRIM(AH484)="")&lt;&gt;(TRIM(AI484)=""),"Income-tax login needs both user ID and password; ","")&amp;IF((TRIM(AJ484)="")&lt;&gt;(TRIM(AK484)=""),"Income-tax login needs both user ID and password; ","")&amp;IF((TRIM(AL484)="")&lt;&gt;(TRIM(AM484)=""),"TRACES login needs both user ID and password; ","")&amp;IF((TRIM(AN484)="")&lt;&gt;(TRIM(AO484)=""),"MCA login needs both user ID and password; ","")&amp;IF((TRIM(AP484)="")&lt;&gt;(TRIM(AQ484)=""),"E-way bill login needs both user ID and password; ","")</f>
        <v/>
      </c>
    </row>
    <row r="485">
      <c r="A485" s="32" t="n"/>
      <c r="B485" s="33" t="n"/>
      <c r="C485" s="33" t="n"/>
      <c r="D485" s="33" t="n"/>
      <c r="E485" s="32" t="n"/>
      <c r="F485" s="32" t="n"/>
      <c r="G485" s="32" t="n"/>
      <c r="H485" s="32" t="n"/>
      <c r="I485" s="32" t="n"/>
      <c r="J485" s="34" t="n"/>
      <c r="K485" s="33" t="n"/>
      <c r="L485" s="32" t="n"/>
      <c r="M485" s="33" t="n"/>
      <c r="N485" s="33" t="n"/>
      <c r="O485" s="33" t="n"/>
      <c r="P485" s="32" t="n"/>
      <c r="Q485" s="33" t="n"/>
      <c r="R485" s="33" t="n"/>
      <c r="S485" s="33" t="n"/>
      <c r="T485" s="33" t="n"/>
      <c r="U485" s="32" t="n"/>
      <c r="V485" s="33" t="n"/>
      <c r="W485" s="33" t="n"/>
      <c r="X485" s="33" t="n"/>
      <c r="Y485" s="33" t="n"/>
      <c r="Z485" s="33" t="n"/>
      <c r="AA485" s="33" t="n"/>
      <c r="AB485" s="33" t="n"/>
      <c r="AC485" s="33" t="n"/>
      <c r="AD485" s="33" t="n"/>
      <c r="AE485" s="33" t="n"/>
      <c r="AF485" s="32" t="n"/>
      <c r="AG485" s="32" t="n"/>
      <c r="AH485" s="32" t="n"/>
      <c r="AI485" s="32" t="n"/>
      <c r="AJ485" s="32" t="n"/>
      <c r="AK485" s="32" t="n"/>
      <c r="AL485" s="32" t="n"/>
      <c r="AM485" s="32" t="n"/>
      <c r="AN485" s="32" t="n"/>
      <c r="AO485" s="32" t="n"/>
      <c r="AP485" s="32" t="n"/>
      <c r="AQ485" s="32" t="n"/>
      <c r="AR485" s="29">
        <f>IF(NOT(COUNTA(A485:AE485)&gt;0),"",IF(A485="","New client","Update"))</f>
        <v/>
      </c>
      <c r="AS485" s="29">
        <f>IF(BA485&lt;&gt;"",BA485,IF(LEN(AZ485)=15,MID(AZ485,3,10),""))</f>
        <v/>
      </c>
      <c r="AT485" s="29">
        <f>IF(BB485="","",BB485&amp;IF(D485="","  (guessed from PAN)",""))</f>
        <v/>
      </c>
      <c r="AU485" s="29">
        <f>IF(AZ485="","",IFERROR(INDEX(Lists!$L$2:$L$38,MATCH(LEFT(AZ485,2),Lists!$K$2:$K$38,0)),"Unknown code"))</f>
        <v/>
      </c>
      <c r="AV485" s="29">
        <f>IF(AZ485="","",IFERROR(IF(NOT(AND(LEN(AZ485)=15,ISNUMBER(MATCH(LEFT(AZ485,2),Lists!$K$2:$K$38,0)),SUMPRODUCT(--ISERROR(FIND(MID(MID(AZ485,3,10),{1,2,3,4,5,10},1),"ABCDEFGHIJKLMNOPQRSTUVWXYZ")))=0,SUMPRODUCT(--ISERROR(FIND(MID(MID(AZ485,3,10),{6,7,8,9},1),"0123456789")))=0,ISNUMBER(FIND(MID(AZ485,13,1),"123456789ABCDEFGHIJKLMNOPQRSTUVWXYZ")),MID(AZ485,14,1)="Z")),"Wrong format",IF(MID("0123456789ABCDEFGHIJKLMNOPQRSTUVWXYZ",MOD(36-MOD(SUMPRODUCT(INT((FIND(MID(AZ485,{1,2,3,4,5,6,7,8,9,10,11,12,13,14},1),"0123456789ABCDEFGHIJKLMNOPQRSTUVWXYZ")-1)*{1,2,1,2,1,2,1,2,1,2,1,2,1,2}/36)+MOD((FIND(MID(AZ485,{1,2,3,4,5,6,7,8,9,10,11,12,13,14},1),"0123456789ABCDEFGHIJKLMNOPQRSTUVWXYZ")-1)*{1,2,1,2,1,2,1,2,1,2,1,2,1,2},36)),36),36)+1,1)=MID(AZ485,15,1),"OK","Typo? check digit wrong")),"Wrong format"))</f>
        <v/>
      </c>
      <c r="AW485" s="29">
        <f>IF(BA485="","",IF(AND(LEN(BA485)=10,SUMPRODUCT(--ISERROR(FIND(MID(BA485,{1,2,3,4,5,10},1),"ABCDEFGHIJKLMNOPQRSTUVWXYZ")))=0,SUMPRODUCT(--ISERROR(FIND(MID(BA485,{6,7,8,9},1),"0123456789")))=0),"OK","Wrong format"))</f>
        <v/>
      </c>
      <c r="AX485" s="29">
        <f>IF(TRIM(H485)="","",IF(AND(LEN(UPPER(TRIM(H485)))=10,SUMPRODUCT(--ISERROR(FIND(MID(UPPER(TRIM(H485)),{1,2,3,4,10},1),"ABCDEFGHIJKLMNOPQRSTUVWXYZ")))=0,SUMPRODUCT(--ISERROR(FIND(MID(UPPER(TRIM(H485)),{5,6,7,8,9},1),"0123456789")))=0),"OK","Wrong format"))</f>
        <v/>
      </c>
      <c r="AY485" s="30">
        <f>IF(NOT(COUNTA(A485:AE485)&gt;0),"",IF(BE485&lt;&gt;"","✖ "&amp;LEFT(BE485,LEN(BE485)-2),IF(BD485&gt;0,"✔ Ready — client + "&amp;BD485&amp;" service(s)","✔ Ready — client only")))</f>
        <v/>
      </c>
      <c r="AZ485" s="31">
        <f>UPPER(SUBSTITUTE(TRIM(F485)," ",""))</f>
        <v/>
      </c>
      <c r="BA485" s="31">
        <f>UPPER(SUBSTITUTE(TRIM(E485)," ",""))</f>
        <v/>
      </c>
      <c r="BB485" s="31">
        <f>IF(D485&lt;&gt;"",D485,IFERROR(VLOOKUP(MID(AS485,4,1),Lists!$E$2:$F$8,2,FALSE),""))</f>
        <v/>
      </c>
      <c r="BC485" s="31">
        <f>IFERROR(VLOOKUP(BB485,Lists!$A$2:$C$12,3,FALSE),"")</f>
        <v/>
      </c>
      <c r="BD485" s="31">
        <f>COUNTIF(W485:AC485,"Yes")</f>
        <v/>
      </c>
      <c r="BE485" s="31">
        <f>IF(TRIM(B485)="","Legal name missing; ","")&amp;IF(AND(AV485&lt;&gt;"",AV485&lt;&gt;"OK"),"GSTIN: "&amp;AV485&amp;"; ","")&amp;IF(AND(AW485&lt;&gt;"",AW485&lt;&gt;"OK"),"PAN wrong format; ","")&amp;IF(AND(BA485&lt;&gt;"",LEN(AZ485)=15,MID(AZ485,3,10)&lt;&gt;BA485),"PAN does not match GSTIN; ","")&amp;IF(AND(AX485&lt;&gt;"",AX485&lt;&gt;"OK"),"TAN wrong format; ","")&amp;IF(AS485="","PAN missing; ","")&amp;IF(BB485="","Entity type missing; ","")&amp;IF(AND(AZ485&lt;&gt;"",COUNTIF($AZ$6:$AZ$1005,AZ485)&gt;1),"GSTIN repeated in this sheet; ","")&amp;IF(AND(AS485&lt;&gt;"",COUNTIF($AS$6:$AS$1005,AS485)&gt;1),"PAN repeated in this sheet (same client? put extra GSTINs in Other GSTINs); ","")&amp;IF(AND(BD485&gt;0,V485=""),"Financial year missing; ","")&amp;IF(AND(BD485=0,V485&lt;&gt;""),"Financial year given but no service is Yes; ","")&amp;IF(AND(W485="Yes",AZ485=""),"GST needs a GSTIN; ","")&amp;IF(AND(W485="Yes",X485=""),"GST return frequency missing; ","")&amp;IF(AND(Y485="Yes",TRIM(H485)=""),"TDS needs a TAN; ","")&amp;IF(AND(AA485="Yes",BC485&lt;&gt;"",BC485&lt;&gt;"company",BC485&lt;&gt;"llp"),"ROC is only for a company / LLP; ","")&amp;IF(AND(AA485="Yes",OR(BC485="company",BC485="llp"),TRIM(I485)=""),"ROC needs the CIN / LLPIN; ","")&amp;IF((TRIM(AF485)="")&lt;&gt;(TRIM(AG485)=""),"GST login needs both user ID and password; ","")&amp;IF((TRIM(AH485)="")&lt;&gt;(TRIM(AI485)=""),"Income-tax login needs both user ID and password; ","")&amp;IF((TRIM(AJ485)="")&lt;&gt;(TRIM(AK485)=""),"Income-tax login needs both user ID and password; ","")&amp;IF((TRIM(AL485)="")&lt;&gt;(TRIM(AM485)=""),"TRACES login needs both user ID and password; ","")&amp;IF((TRIM(AN485)="")&lt;&gt;(TRIM(AO485)=""),"MCA login needs both user ID and password; ","")&amp;IF((TRIM(AP485)="")&lt;&gt;(TRIM(AQ485)=""),"E-way bill login needs both user ID and password; ","")</f>
        <v/>
      </c>
    </row>
    <row r="486">
      <c r="A486" s="32" t="n"/>
      <c r="B486" s="33" t="n"/>
      <c r="C486" s="33" t="n"/>
      <c r="D486" s="33" t="n"/>
      <c r="E486" s="32" t="n"/>
      <c r="F486" s="32" t="n"/>
      <c r="G486" s="32" t="n"/>
      <c r="H486" s="32" t="n"/>
      <c r="I486" s="32" t="n"/>
      <c r="J486" s="34" t="n"/>
      <c r="K486" s="33" t="n"/>
      <c r="L486" s="32" t="n"/>
      <c r="M486" s="33" t="n"/>
      <c r="N486" s="33" t="n"/>
      <c r="O486" s="33" t="n"/>
      <c r="P486" s="32" t="n"/>
      <c r="Q486" s="33" t="n"/>
      <c r="R486" s="33" t="n"/>
      <c r="S486" s="33" t="n"/>
      <c r="T486" s="33" t="n"/>
      <c r="U486" s="32" t="n"/>
      <c r="V486" s="33" t="n"/>
      <c r="W486" s="33" t="n"/>
      <c r="X486" s="33" t="n"/>
      <c r="Y486" s="33" t="n"/>
      <c r="Z486" s="33" t="n"/>
      <c r="AA486" s="33" t="n"/>
      <c r="AB486" s="33" t="n"/>
      <c r="AC486" s="33" t="n"/>
      <c r="AD486" s="33" t="n"/>
      <c r="AE486" s="33" t="n"/>
      <c r="AF486" s="32" t="n"/>
      <c r="AG486" s="32" t="n"/>
      <c r="AH486" s="32" t="n"/>
      <c r="AI486" s="32" t="n"/>
      <c r="AJ486" s="32" t="n"/>
      <c r="AK486" s="32" t="n"/>
      <c r="AL486" s="32" t="n"/>
      <c r="AM486" s="32" t="n"/>
      <c r="AN486" s="32" t="n"/>
      <c r="AO486" s="32" t="n"/>
      <c r="AP486" s="32" t="n"/>
      <c r="AQ486" s="32" t="n"/>
      <c r="AR486" s="29">
        <f>IF(NOT(COUNTA(A486:AE486)&gt;0),"",IF(A486="","New client","Update"))</f>
        <v/>
      </c>
      <c r="AS486" s="29">
        <f>IF(BA486&lt;&gt;"",BA486,IF(LEN(AZ486)=15,MID(AZ486,3,10),""))</f>
        <v/>
      </c>
      <c r="AT486" s="29">
        <f>IF(BB486="","",BB486&amp;IF(D486="","  (guessed from PAN)",""))</f>
        <v/>
      </c>
      <c r="AU486" s="29">
        <f>IF(AZ486="","",IFERROR(INDEX(Lists!$L$2:$L$38,MATCH(LEFT(AZ486,2),Lists!$K$2:$K$38,0)),"Unknown code"))</f>
        <v/>
      </c>
      <c r="AV486" s="29">
        <f>IF(AZ486="","",IFERROR(IF(NOT(AND(LEN(AZ486)=15,ISNUMBER(MATCH(LEFT(AZ486,2),Lists!$K$2:$K$38,0)),SUMPRODUCT(--ISERROR(FIND(MID(MID(AZ486,3,10),{1,2,3,4,5,10},1),"ABCDEFGHIJKLMNOPQRSTUVWXYZ")))=0,SUMPRODUCT(--ISERROR(FIND(MID(MID(AZ486,3,10),{6,7,8,9},1),"0123456789")))=0,ISNUMBER(FIND(MID(AZ486,13,1),"123456789ABCDEFGHIJKLMNOPQRSTUVWXYZ")),MID(AZ486,14,1)="Z")),"Wrong format",IF(MID("0123456789ABCDEFGHIJKLMNOPQRSTUVWXYZ",MOD(36-MOD(SUMPRODUCT(INT((FIND(MID(AZ486,{1,2,3,4,5,6,7,8,9,10,11,12,13,14},1),"0123456789ABCDEFGHIJKLMNOPQRSTUVWXYZ")-1)*{1,2,1,2,1,2,1,2,1,2,1,2,1,2}/36)+MOD((FIND(MID(AZ486,{1,2,3,4,5,6,7,8,9,10,11,12,13,14},1),"0123456789ABCDEFGHIJKLMNOPQRSTUVWXYZ")-1)*{1,2,1,2,1,2,1,2,1,2,1,2,1,2},36)),36),36)+1,1)=MID(AZ486,15,1),"OK","Typo? check digit wrong")),"Wrong format"))</f>
        <v/>
      </c>
      <c r="AW486" s="29">
        <f>IF(BA486="","",IF(AND(LEN(BA486)=10,SUMPRODUCT(--ISERROR(FIND(MID(BA486,{1,2,3,4,5,10},1),"ABCDEFGHIJKLMNOPQRSTUVWXYZ")))=0,SUMPRODUCT(--ISERROR(FIND(MID(BA486,{6,7,8,9},1),"0123456789")))=0),"OK","Wrong format"))</f>
        <v/>
      </c>
      <c r="AX486" s="29">
        <f>IF(TRIM(H486)="","",IF(AND(LEN(UPPER(TRIM(H486)))=10,SUMPRODUCT(--ISERROR(FIND(MID(UPPER(TRIM(H486)),{1,2,3,4,10},1),"ABCDEFGHIJKLMNOPQRSTUVWXYZ")))=0,SUMPRODUCT(--ISERROR(FIND(MID(UPPER(TRIM(H486)),{5,6,7,8,9},1),"0123456789")))=0),"OK","Wrong format"))</f>
        <v/>
      </c>
      <c r="AY486" s="30">
        <f>IF(NOT(COUNTA(A486:AE486)&gt;0),"",IF(BE486&lt;&gt;"","✖ "&amp;LEFT(BE486,LEN(BE486)-2),IF(BD486&gt;0,"✔ Ready — client + "&amp;BD486&amp;" service(s)","✔ Ready — client only")))</f>
        <v/>
      </c>
      <c r="AZ486" s="31">
        <f>UPPER(SUBSTITUTE(TRIM(F486)," ",""))</f>
        <v/>
      </c>
      <c r="BA486" s="31">
        <f>UPPER(SUBSTITUTE(TRIM(E486)," ",""))</f>
        <v/>
      </c>
      <c r="BB486" s="31">
        <f>IF(D486&lt;&gt;"",D486,IFERROR(VLOOKUP(MID(AS486,4,1),Lists!$E$2:$F$8,2,FALSE),""))</f>
        <v/>
      </c>
      <c r="BC486" s="31">
        <f>IFERROR(VLOOKUP(BB486,Lists!$A$2:$C$12,3,FALSE),"")</f>
        <v/>
      </c>
      <c r="BD486" s="31">
        <f>COUNTIF(W486:AC486,"Yes")</f>
        <v/>
      </c>
      <c r="BE486" s="31">
        <f>IF(TRIM(B486)="","Legal name missing; ","")&amp;IF(AND(AV486&lt;&gt;"",AV486&lt;&gt;"OK"),"GSTIN: "&amp;AV486&amp;"; ","")&amp;IF(AND(AW486&lt;&gt;"",AW486&lt;&gt;"OK"),"PAN wrong format; ","")&amp;IF(AND(BA486&lt;&gt;"",LEN(AZ486)=15,MID(AZ486,3,10)&lt;&gt;BA486),"PAN does not match GSTIN; ","")&amp;IF(AND(AX486&lt;&gt;"",AX486&lt;&gt;"OK"),"TAN wrong format; ","")&amp;IF(AS486="","PAN missing; ","")&amp;IF(BB486="","Entity type missing; ","")&amp;IF(AND(AZ486&lt;&gt;"",COUNTIF($AZ$6:$AZ$1005,AZ486)&gt;1),"GSTIN repeated in this sheet; ","")&amp;IF(AND(AS486&lt;&gt;"",COUNTIF($AS$6:$AS$1005,AS486)&gt;1),"PAN repeated in this sheet (same client? put extra GSTINs in Other GSTINs); ","")&amp;IF(AND(BD486&gt;0,V486=""),"Financial year missing; ","")&amp;IF(AND(BD486=0,V486&lt;&gt;""),"Financial year given but no service is Yes; ","")&amp;IF(AND(W486="Yes",AZ486=""),"GST needs a GSTIN; ","")&amp;IF(AND(W486="Yes",X486=""),"GST return frequency missing; ","")&amp;IF(AND(Y486="Yes",TRIM(H486)=""),"TDS needs a TAN; ","")&amp;IF(AND(AA486="Yes",BC486&lt;&gt;"",BC486&lt;&gt;"company",BC486&lt;&gt;"llp"),"ROC is only for a company / LLP; ","")&amp;IF(AND(AA486="Yes",OR(BC486="company",BC486="llp"),TRIM(I486)=""),"ROC needs the CIN / LLPIN; ","")&amp;IF((TRIM(AF486)="")&lt;&gt;(TRIM(AG486)=""),"GST login needs both user ID and password; ","")&amp;IF((TRIM(AH486)="")&lt;&gt;(TRIM(AI486)=""),"Income-tax login needs both user ID and password; ","")&amp;IF((TRIM(AJ486)="")&lt;&gt;(TRIM(AK486)=""),"Income-tax login needs both user ID and password; ","")&amp;IF((TRIM(AL486)="")&lt;&gt;(TRIM(AM486)=""),"TRACES login needs both user ID and password; ","")&amp;IF((TRIM(AN486)="")&lt;&gt;(TRIM(AO486)=""),"MCA login needs both user ID and password; ","")&amp;IF((TRIM(AP486)="")&lt;&gt;(TRIM(AQ486)=""),"E-way bill login needs both user ID and password; ","")</f>
        <v/>
      </c>
    </row>
    <row r="487">
      <c r="A487" s="32" t="n"/>
      <c r="B487" s="33" t="n"/>
      <c r="C487" s="33" t="n"/>
      <c r="D487" s="33" t="n"/>
      <c r="E487" s="32" t="n"/>
      <c r="F487" s="32" t="n"/>
      <c r="G487" s="32" t="n"/>
      <c r="H487" s="32" t="n"/>
      <c r="I487" s="32" t="n"/>
      <c r="J487" s="34" t="n"/>
      <c r="K487" s="33" t="n"/>
      <c r="L487" s="32" t="n"/>
      <c r="M487" s="33" t="n"/>
      <c r="N487" s="33" t="n"/>
      <c r="O487" s="33" t="n"/>
      <c r="P487" s="32" t="n"/>
      <c r="Q487" s="33" t="n"/>
      <c r="R487" s="33" t="n"/>
      <c r="S487" s="33" t="n"/>
      <c r="T487" s="33" t="n"/>
      <c r="U487" s="32" t="n"/>
      <c r="V487" s="33" t="n"/>
      <c r="W487" s="33" t="n"/>
      <c r="X487" s="33" t="n"/>
      <c r="Y487" s="33" t="n"/>
      <c r="Z487" s="33" t="n"/>
      <c r="AA487" s="33" t="n"/>
      <c r="AB487" s="33" t="n"/>
      <c r="AC487" s="33" t="n"/>
      <c r="AD487" s="33" t="n"/>
      <c r="AE487" s="33" t="n"/>
      <c r="AF487" s="32" t="n"/>
      <c r="AG487" s="32" t="n"/>
      <c r="AH487" s="32" t="n"/>
      <c r="AI487" s="32" t="n"/>
      <c r="AJ487" s="32" t="n"/>
      <c r="AK487" s="32" t="n"/>
      <c r="AL487" s="32" t="n"/>
      <c r="AM487" s="32" t="n"/>
      <c r="AN487" s="32" t="n"/>
      <c r="AO487" s="32" t="n"/>
      <c r="AP487" s="32" t="n"/>
      <c r="AQ487" s="32" t="n"/>
      <c r="AR487" s="29">
        <f>IF(NOT(COUNTA(A487:AE487)&gt;0),"",IF(A487="","New client","Update"))</f>
        <v/>
      </c>
      <c r="AS487" s="29">
        <f>IF(BA487&lt;&gt;"",BA487,IF(LEN(AZ487)=15,MID(AZ487,3,10),""))</f>
        <v/>
      </c>
      <c r="AT487" s="29">
        <f>IF(BB487="","",BB487&amp;IF(D487="","  (guessed from PAN)",""))</f>
        <v/>
      </c>
      <c r="AU487" s="29">
        <f>IF(AZ487="","",IFERROR(INDEX(Lists!$L$2:$L$38,MATCH(LEFT(AZ487,2),Lists!$K$2:$K$38,0)),"Unknown code"))</f>
        <v/>
      </c>
      <c r="AV487" s="29">
        <f>IF(AZ487="","",IFERROR(IF(NOT(AND(LEN(AZ487)=15,ISNUMBER(MATCH(LEFT(AZ487,2),Lists!$K$2:$K$38,0)),SUMPRODUCT(--ISERROR(FIND(MID(MID(AZ487,3,10),{1,2,3,4,5,10},1),"ABCDEFGHIJKLMNOPQRSTUVWXYZ")))=0,SUMPRODUCT(--ISERROR(FIND(MID(MID(AZ487,3,10),{6,7,8,9},1),"0123456789")))=0,ISNUMBER(FIND(MID(AZ487,13,1),"123456789ABCDEFGHIJKLMNOPQRSTUVWXYZ")),MID(AZ487,14,1)="Z")),"Wrong format",IF(MID("0123456789ABCDEFGHIJKLMNOPQRSTUVWXYZ",MOD(36-MOD(SUMPRODUCT(INT((FIND(MID(AZ487,{1,2,3,4,5,6,7,8,9,10,11,12,13,14},1),"0123456789ABCDEFGHIJKLMNOPQRSTUVWXYZ")-1)*{1,2,1,2,1,2,1,2,1,2,1,2,1,2}/36)+MOD((FIND(MID(AZ487,{1,2,3,4,5,6,7,8,9,10,11,12,13,14},1),"0123456789ABCDEFGHIJKLMNOPQRSTUVWXYZ")-1)*{1,2,1,2,1,2,1,2,1,2,1,2,1,2},36)),36),36)+1,1)=MID(AZ487,15,1),"OK","Typo? check digit wrong")),"Wrong format"))</f>
        <v/>
      </c>
      <c r="AW487" s="29">
        <f>IF(BA487="","",IF(AND(LEN(BA487)=10,SUMPRODUCT(--ISERROR(FIND(MID(BA487,{1,2,3,4,5,10},1),"ABCDEFGHIJKLMNOPQRSTUVWXYZ")))=0,SUMPRODUCT(--ISERROR(FIND(MID(BA487,{6,7,8,9},1),"0123456789")))=0),"OK","Wrong format"))</f>
        <v/>
      </c>
      <c r="AX487" s="29">
        <f>IF(TRIM(H487)="","",IF(AND(LEN(UPPER(TRIM(H487)))=10,SUMPRODUCT(--ISERROR(FIND(MID(UPPER(TRIM(H487)),{1,2,3,4,10},1),"ABCDEFGHIJKLMNOPQRSTUVWXYZ")))=0,SUMPRODUCT(--ISERROR(FIND(MID(UPPER(TRIM(H487)),{5,6,7,8,9},1),"0123456789")))=0),"OK","Wrong format"))</f>
        <v/>
      </c>
      <c r="AY487" s="30">
        <f>IF(NOT(COUNTA(A487:AE487)&gt;0),"",IF(BE487&lt;&gt;"","✖ "&amp;LEFT(BE487,LEN(BE487)-2),IF(BD487&gt;0,"✔ Ready — client + "&amp;BD487&amp;" service(s)","✔ Ready — client only")))</f>
        <v/>
      </c>
      <c r="AZ487" s="31">
        <f>UPPER(SUBSTITUTE(TRIM(F487)," ",""))</f>
        <v/>
      </c>
      <c r="BA487" s="31">
        <f>UPPER(SUBSTITUTE(TRIM(E487)," ",""))</f>
        <v/>
      </c>
      <c r="BB487" s="31">
        <f>IF(D487&lt;&gt;"",D487,IFERROR(VLOOKUP(MID(AS487,4,1),Lists!$E$2:$F$8,2,FALSE),""))</f>
        <v/>
      </c>
      <c r="BC487" s="31">
        <f>IFERROR(VLOOKUP(BB487,Lists!$A$2:$C$12,3,FALSE),"")</f>
        <v/>
      </c>
      <c r="BD487" s="31">
        <f>COUNTIF(W487:AC487,"Yes")</f>
        <v/>
      </c>
      <c r="BE487" s="31">
        <f>IF(TRIM(B487)="","Legal name missing; ","")&amp;IF(AND(AV487&lt;&gt;"",AV487&lt;&gt;"OK"),"GSTIN: "&amp;AV487&amp;"; ","")&amp;IF(AND(AW487&lt;&gt;"",AW487&lt;&gt;"OK"),"PAN wrong format; ","")&amp;IF(AND(BA487&lt;&gt;"",LEN(AZ487)=15,MID(AZ487,3,10)&lt;&gt;BA487),"PAN does not match GSTIN; ","")&amp;IF(AND(AX487&lt;&gt;"",AX487&lt;&gt;"OK"),"TAN wrong format; ","")&amp;IF(AS487="","PAN missing; ","")&amp;IF(BB487="","Entity type missing; ","")&amp;IF(AND(AZ487&lt;&gt;"",COUNTIF($AZ$6:$AZ$1005,AZ487)&gt;1),"GSTIN repeated in this sheet; ","")&amp;IF(AND(AS487&lt;&gt;"",COUNTIF($AS$6:$AS$1005,AS487)&gt;1),"PAN repeated in this sheet (same client? put extra GSTINs in Other GSTINs); ","")&amp;IF(AND(BD487&gt;0,V487=""),"Financial year missing; ","")&amp;IF(AND(BD487=0,V487&lt;&gt;""),"Financial year given but no service is Yes; ","")&amp;IF(AND(W487="Yes",AZ487=""),"GST needs a GSTIN; ","")&amp;IF(AND(W487="Yes",X487=""),"GST return frequency missing; ","")&amp;IF(AND(Y487="Yes",TRIM(H487)=""),"TDS needs a TAN; ","")&amp;IF(AND(AA487="Yes",BC487&lt;&gt;"",BC487&lt;&gt;"company",BC487&lt;&gt;"llp"),"ROC is only for a company / LLP; ","")&amp;IF(AND(AA487="Yes",OR(BC487="company",BC487="llp"),TRIM(I487)=""),"ROC needs the CIN / LLPIN; ","")&amp;IF((TRIM(AF487)="")&lt;&gt;(TRIM(AG487)=""),"GST login needs both user ID and password; ","")&amp;IF((TRIM(AH487)="")&lt;&gt;(TRIM(AI487)=""),"Income-tax login needs both user ID and password; ","")&amp;IF((TRIM(AJ487)="")&lt;&gt;(TRIM(AK487)=""),"Income-tax login needs both user ID and password; ","")&amp;IF((TRIM(AL487)="")&lt;&gt;(TRIM(AM487)=""),"TRACES login needs both user ID and password; ","")&amp;IF((TRIM(AN487)="")&lt;&gt;(TRIM(AO487)=""),"MCA login needs both user ID and password; ","")&amp;IF((TRIM(AP487)="")&lt;&gt;(TRIM(AQ487)=""),"E-way bill login needs both user ID and password; ","")</f>
        <v/>
      </c>
    </row>
    <row r="488">
      <c r="A488" s="32" t="n"/>
      <c r="B488" s="33" t="n"/>
      <c r="C488" s="33" t="n"/>
      <c r="D488" s="33" t="n"/>
      <c r="E488" s="32" t="n"/>
      <c r="F488" s="32" t="n"/>
      <c r="G488" s="32" t="n"/>
      <c r="H488" s="32" t="n"/>
      <c r="I488" s="32" t="n"/>
      <c r="J488" s="34" t="n"/>
      <c r="K488" s="33" t="n"/>
      <c r="L488" s="32" t="n"/>
      <c r="M488" s="33" t="n"/>
      <c r="N488" s="33" t="n"/>
      <c r="O488" s="33" t="n"/>
      <c r="P488" s="32" t="n"/>
      <c r="Q488" s="33" t="n"/>
      <c r="R488" s="33" t="n"/>
      <c r="S488" s="33" t="n"/>
      <c r="T488" s="33" t="n"/>
      <c r="U488" s="32" t="n"/>
      <c r="V488" s="33" t="n"/>
      <c r="W488" s="33" t="n"/>
      <c r="X488" s="33" t="n"/>
      <c r="Y488" s="33" t="n"/>
      <c r="Z488" s="33" t="n"/>
      <c r="AA488" s="33" t="n"/>
      <c r="AB488" s="33" t="n"/>
      <c r="AC488" s="33" t="n"/>
      <c r="AD488" s="33" t="n"/>
      <c r="AE488" s="33" t="n"/>
      <c r="AF488" s="32" t="n"/>
      <c r="AG488" s="32" t="n"/>
      <c r="AH488" s="32" t="n"/>
      <c r="AI488" s="32" t="n"/>
      <c r="AJ488" s="32" t="n"/>
      <c r="AK488" s="32" t="n"/>
      <c r="AL488" s="32" t="n"/>
      <c r="AM488" s="32" t="n"/>
      <c r="AN488" s="32" t="n"/>
      <c r="AO488" s="32" t="n"/>
      <c r="AP488" s="32" t="n"/>
      <c r="AQ488" s="32" t="n"/>
      <c r="AR488" s="29">
        <f>IF(NOT(COUNTA(A488:AE488)&gt;0),"",IF(A488="","New client","Update"))</f>
        <v/>
      </c>
      <c r="AS488" s="29">
        <f>IF(BA488&lt;&gt;"",BA488,IF(LEN(AZ488)=15,MID(AZ488,3,10),""))</f>
        <v/>
      </c>
      <c r="AT488" s="29">
        <f>IF(BB488="","",BB488&amp;IF(D488="","  (guessed from PAN)",""))</f>
        <v/>
      </c>
      <c r="AU488" s="29">
        <f>IF(AZ488="","",IFERROR(INDEX(Lists!$L$2:$L$38,MATCH(LEFT(AZ488,2),Lists!$K$2:$K$38,0)),"Unknown code"))</f>
        <v/>
      </c>
      <c r="AV488" s="29">
        <f>IF(AZ488="","",IFERROR(IF(NOT(AND(LEN(AZ488)=15,ISNUMBER(MATCH(LEFT(AZ488,2),Lists!$K$2:$K$38,0)),SUMPRODUCT(--ISERROR(FIND(MID(MID(AZ488,3,10),{1,2,3,4,5,10},1),"ABCDEFGHIJKLMNOPQRSTUVWXYZ")))=0,SUMPRODUCT(--ISERROR(FIND(MID(MID(AZ488,3,10),{6,7,8,9},1),"0123456789")))=0,ISNUMBER(FIND(MID(AZ488,13,1),"123456789ABCDEFGHIJKLMNOPQRSTUVWXYZ")),MID(AZ488,14,1)="Z")),"Wrong format",IF(MID("0123456789ABCDEFGHIJKLMNOPQRSTUVWXYZ",MOD(36-MOD(SUMPRODUCT(INT((FIND(MID(AZ488,{1,2,3,4,5,6,7,8,9,10,11,12,13,14},1),"0123456789ABCDEFGHIJKLMNOPQRSTUVWXYZ")-1)*{1,2,1,2,1,2,1,2,1,2,1,2,1,2}/36)+MOD((FIND(MID(AZ488,{1,2,3,4,5,6,7,8,9,10,11,12,13,14},1),"0123456789ABCDEFGHIJKLMNOPQRSTUVWXYZ")-1)*{1,2,1,2,1,2,1,2,1,2,1,2,1,2},36)),36),36)+1,1)=MID(AZ488,15,1),"OK","Typo? check digit wrong")),"Wrong format"))</f>
        <v/>
      </c>
      <c r="AW488" s="29">
        <f>IF(BA488="","",IF(AND(LEN(BA488)=10,SUMPRODUCT(--ISERROR(FIND(MID(BA488,{1,2,3,4,5,10},1),"ABCDEFGHIJKLMNOPQRSTUVWXYZ")))=0,SUMPRODUCT(--ISERROR(FIND(MID(BA488,{6,7,8,9},1),"0123456789")))=0),"OK","Wrong format"))</f>
        <v/>
      </c>
      <c r="AX488" s="29">
        <f>IF(TRIM(H488)="","",IF(AND(LEN(UPPER(TRIM(H488)))=10,SUMPRODUCT(--ISERROR(FIND(MID(UPPER(TRIM(H488)),{1,2,3,4,10},1),"ABCDEFGHIJKLMNOPQRSTUVWXYZ")))=0,SUMPRODUCT(--ISERROR(FIND(MID(UPPER(TRIM(H488)),{5,6,7,8,9},1),"0123456789")))=0),"OK","Wrong format"))</f>
        <v/>
      </c>
      <c r="AY488" s="30">
        <f>IF(NOT(COUNTA(A488:AE488)&gt;0),"",IF(BE488&lt;&gt;"","✖ "&amp;LEFT(BE488,LEN(BE488)-2),IF(BD488&gt;0,"✔ Ready — client + "&amp;BD488&amp;" service(s)","✔ Ready — client only")))</f>
        <v/>
      </c>
      <c r="AZ488" s="31">
        <f>UPPER(SUBSTITUTE(TRIM(F488)," ",""))</f>
        <v/>
      </c>
      <c r="BA488" s="31">
        <f>UPPER(SUBSTITUTE(TRIM(E488)," ",""))</f>
        <v/>
      </c>
      <c r="BB488" s="31">
        <f>IF(D488&lt;&gt;"",D488,IFERROR(VLOOKUP(MID(AS488,4,1),Lists!$E$2:$F$8,2,FALSE),""))</f>
        <v/>
      </c>
      <c r="BC488" s="31">
        <f>IFERROR(VLOOKUP(BB488,Lists!$A$2:$C$12,3,FALSE),"")</f>
        <v/>
      </c>
      <c r="BD488" s="31">
        <f>COUNTIF(W488:AC488,"Yes")</f>
        <v/>
      </c>
      <c r="BE488" s="31">
        <f>IF(TRIM(B488)="","Legal name missing; ","")&amp;IF(AND(AV488&lt;&gt;"",AV488&lt;&gt;"OK"),"GSTIN: "&amp;AV488&amp;"; ","")&amp;IF(AND(AW488&lt;&gt;"",AW488&lt;&gt;"OK"),"PAN wrong format; ","")&amp;IF(AND(BA488&lt;&gt;"",LEN(AZ488)=15,MID(AZ488,3,10)&lt;&gt;BA488),"PAN does not match GSTIN; ","")&amp;IF(AND(AX488&lt;&gt;"",AX488&lt;&gt;"OK"),"TAN wrong format; ","")&amp;IF(AS488="","PAN missing; ","")&amp;IF(BB488="","Entity type missing; ","")&amp;IF(AND(AZ488&lt;&gt;"",COUNTIF($AZ$6:$AZ$1005,AZ488)&gt;1),"GSTIN repeated in this sheet; ","")&amp;IF(AND(AS488&lt;&gt;"",COUNTIF($AS$6:$AS$1005,AS488)&gt;1),"PAN repeated in this sheet (same client? put extra GSTINs in Other GSTINs); ","")&amp;IF(AND(BD488&gt;0,V488=""),"Financial year missing; ","")&amp;IF(AND(BD488=0,V488&lt;&gt;""),"Financial year given but no service is Yes; ","")&amp;IF(AND(W488="Yes",AZ488=""),"GST needs a GSTIN; ","")&amp;IF(AND(W488="Yes",X488=""),"GST return frequency missing; ","")&amp;IF(AND(Y488="Yes",TRIM(H488)=""),"TDS needs a TAN; ","")&amp;IF(AND(AA488="Yes",BC488&lt;&gt;"",BC488&lt;&gt;"company",BC488&lt;&gt;"llp"),"ROC is only for a company / LLP; ","")&amp;IF(AND(AA488="Yes",OR(BC488="company",BC488="llp"),TRIM(I488)=""),"ROC needs the CIN / LLPIN; ","")&amp;IF((TRIM(AF488)="")&lt;&gt;(TRIM(AG488)=""),"GST login needs both user ID and password; ","")&amp;IF((TRIM(AH488)="")&lt;&gt;(TRIM(AI488)=""),"Income-tax login needs both user ID and password; ","")&amp;IF((TRIM(AJ488)="")&lt;&gt;(TRIM(AK488)=""),"Income-tax login needs both user ID and password; ","")&amp;IF((TRIM(AL488)="")&lt;&gt;(TRIM(AM488)=""),"TRACES login needs both user ID and password; ","")&amp;IF((TRIM(AN488)="")&lt;&gt;(TRIM(AO488)=""),"MCA login needs both user ID and password; ","")&amp;IF((TRIM(AP488)="")&lt;&gt;(TRIM(AQ488)=""),"E-way bill login needs both user ID and password; ","")</f>
        <v/>
      </c>
    </row>
    <row r="489">
      <c r="A489" s="32" t="n"/>
      <c r="B489" s="33" t="n"/>
      <c r="C489" s="33" t="n"/>
      <c r="D489" s="33" t="n"/>
      <c r="E489" s="32" t="n"/>
      <c r="F489" s="32" t="n"/>
      <c r="G489" s="32" t="n"/>
      <c r="H489" s="32" t="n"/>
      <c r="I489" s="32" t="n"/>
      <c r="J489" s="34" t="n"/>
      <c r="K489" s="33" t="n"/>
      <c r="L489" s="32" t="n"/>
      <c r="M489" s="33" t="n"/>
      <c r="N489" s="33" t="n"/>
      <c r="O489" s="33" t="n"/>
      <c r="P489" s="32" t="n"/>
      <c r="Q489" s="33" t="n"/>
      <c r="R489" s="33" t="n"/>
      <c r="S489" s="33" t="n"/>
      <c r="T489" s="33" t="n"/>
      <c r="U489" s="32" t="n"/>
      <c r="V489" s="33" t="n"/>
      <c r="W489" s="33" t="n"/>
      <c r="X489" s="33" t="n"/>
      <c r="Y489" s="33" t="n"/>
      <c r="Z489" s="33" t="n"/>
      <c r="AA489" s="33" t="n"/>
      <c r="AB489" s="33" t="n"/>
      <c r="AC489" s="33" t="n"/>
      <c r="AD489" s="33" t="n"/>
      <c r="AE489" s="33" t="n"/>
      <c r="AF489" s="32" t="n"/>
      <c r="AG489" s="32" t="n"/>
      <c r="AH489" s="32" t="n"/>
      <c r="AI489" s="32" t="n"/>
      <c r="AJ489" s="32" t="n"/>
      <c r="AK489" s="32" t="n"/>
      <c r="AL489" s="32" t="n"/>
      <c r="AM489" s="32" t="n"/>
      <c r="AN489" s="32" t="n"/>
      <c r="AO489" s="32" t="n"/>
      <c r="AP489" s="32" t="n"/>
      <c r="AQ489" s="32" t="n"/>
      <c r="AR489" s="29">
        <f>IF(NOT(COUNTA(A489:AE489)&gt;0),"",IF(A489="","New client","Update"))</f>
        <v/>
      </c>
      <c r="AS489" s="29">
        <f>IF(BA489&lt;&gt;"",BA489,IF(LEN(AZ489)=15,MID(AZ489,3,10),""))</f>
        <v/>
      </c>
      <c r="AT489" s="29">
        <f>IF(BB489="","",BB489&amp;IF(D489="","  (guessed from PAN)",""))</f>
        <v/>
      </c>
      <c r="AU489" s="29">
        <f>IF(AZ489="","",IFERROR(INDEX(Lists!$L$2:$L$38,MATCH(LEFT(AZ489,2),Lists!$K$2:$K$38,0)),"Unknown code"))</f>
        <v/>
      </c>
      <c r="AV489" s="29">
        <f>IF(AZ489="","",IFERROR(IF(NOT(AND(LEN(AZ489)=15,ISNUMBER(MATCH(LEFT(AZ489,2),Lists!$K$2:$K$38,0)),SUMPRODUCT(--ISERROR(FIND(MID(MID(AZ489,3,10),{1,2,3,4,5,10},1),"ABCDEFGHIJKLMNOPQRSTUVWXYZ")))=0,SUMPRODUCT(--ISERROR(FIND(MID(MID(AZ489,3,10),{6,7,8,9},1),"0123456789")))=0,ISNUMBER(FIND(MID(AZ489,13,1),"123456789ABCDEFGHIJKLMNOPQRSTUVWXYZ")),MID(AZ489,14,1)="Z")),"Wrong format",IF(MID("0123456789ABCDEFGHIJKLMNOPQRSTUVWXYZ",MOD(36-MOD(SUMPRODUCT(INT((FIND(MID(AZ489,{1,2,3,4,5,6,7,8,9,10,11,12,13,14},1),"0123456789ABCDEFGHIJKLMNOPQRSTUVWXYZ")-1)*{1,2,1,2,1,2,1,2,1,2,1,2,1,2}/36)+MOD((FIND(MID(AZ489,{1,2,3,4,5,6,7,8,9,10,11,12,13,14},1),"0123456789ABCDEFGHIJKLMNOPQRSTUVWXYZ")-1)*{1,2,1,2,1,2,1,2,1,2,1,2,1,2},36)),36),36)+1,1)=MID(AZ489,15,1),"OK","Typo? check digit wrong")),"Wrong format"))</f>
        <v/>
      </c>
      <c r="AW489" s="29">
        <f>IF(BA489="","",IF(AND(LEN(BA489)=10,SUMPRODUCT(--ISERROR(FIND(MID(BA489,{1,2,3,4,5,10},1),"ABCDEFGHIJKLMNOPQRSTUVWXYZ")))=0,SUMPRODUCT(--ISERROR(FIND(MID(BA489,{6,7,8,9},1),"0123456789")))=0),"OK","Wrong format"))</f>
        <v/>
      </c>
      <c r="AX489" s="29">
        <f>IF(TRIM(H489)="","",IF(AND(LEN(UPPER(TRIM(H489)))=10,SUMPRODUCT(--ISERROR(FIND(MID(UPPER(TRIM(H489)),{1,2,3,4,10},1),"ABCDEFGHIJKLMNOPQRSTUVWXYZ")))=0,SUMPRODUCT(--ISERROR(FIND(MID(UPPER(TRIM(H489)),{5,6,7,8,9},1),"0123456789")))=0),"OK","Wrong format"))</f>
        <v/>
      </c>
      <c r="AY489" s="30">
        <f>IF(NOT(COUNTA(A489:AE489)&gt;0),"",IF(BE489&lt;&gt;"","✖ "&amp;LEFT(BE489,LEN(BE489)-2),IF(BD489&gt;0,"✔ Ready — client + "&amp;BD489&amp;" service(s)","✔ Ready — client only")))</f>
        <v/>
      </c>
      <c r="AZ489" s="31">
        <f>UPPER(SUBSTITUTE(TRIM(F489)," ",""))</f>
        <v/>
      </c>
      <c r="BA489" s="31">
        <f>UPPER(SUBSTITUTE(TRIM(E489)," ",""))</f>
        <v/>
      </c>
      <c r="BB489" s="31">
        <f>IF(D489&lt;&gt;"",D489,IFERROR(VLOOKUP(MID(AS489,4,1),Lists!$E$2:$F$8,2,FALSE),""))</f>
        <v/>
      </c>
      <c r="BC489" s="31">
        <f>IFERROR(VLOOKUP(BB489,Lists!$A$2:$C$12,3,FALSE),"")</f>
        <v/>
      </c>
      <c r="BD489" s="31">
        <f>COUNTIF(W489:AC489,"Yes")</f>
        <v/>
      </c>
      <c r="BE489" s="31">
        <f>IF(TRIM(B489)="","Legal name missing; ","")&amp;IF(AND(AV489&lt;&gt;"",AV489&lt;&gt;"OK"),"GSTIN: "&amp;AV489&amp;"; ","")&amp;IF(AND(AW489&lt;&gt;"",AW489&lt;&gt;"OK"),"PAN wrong format; ","")&amp;IF(AND(BA489&lt;&gt;"",LEN(AZ489)=15,MID(AZ489,3,10)&lt;&gt;BA489),"PAN does not match GSTIN; ","")&amp;IF(AND(AX489&lt;&gt;"",AX489&lt;&gt;"OK"),"TAN wrong format; ","")&amp;IF(AS489="","PAN missing; ","")&amp;IF(BB489="","Entity type missing; ","")&amp;IF(AND(AZ489&lt;&gt;"",COUNTIF($AZ$6:$AZ$1005,AZ489)&gt;1),"GSTIN repeated in this sheet; ","")&amp;IF(AND(AS489&lt;&gt;"",COUNTIF($AS$6:$AS$1005,AS489)&gt;1),"PAN repeated in this sheet (same client? put extra GSTINs in Other GSTINs); ","")&amp;IF(AND(BD489&gt;0,V489=""),"Financial year missing; ","")&amp;IF(AND(BD489=0,V489&lt;&gt;""),"Financial year given but no service is Yes; ","")&amp;IF(AND(W489="Yes",AZ489=""),"GST needs a GSTIN; ","")&amp;IF(AND(W489="Yes",X489=""),"GST return frequency missing; ","")&amp;IF(AND(Y489="Yes",TRIM(H489)=""),"TDS needs a TAN; ","")&amp;IF(AND(AA489="Yes",BC489&lt;&gt;"",BC489&lt;&gt;"company",BC489&lt;&gt;"llp"),"ROC is only for a company / LLP; ","")&amp;IF(AND(AA489="Yes",OR(BC489="company",BC489="llp"),TRIM(I489)=""),"ROC needs the CIN / LLPIN; ","")&amp;IF((TRIM(AF489)="")&lt;&gt;(TRIM(AG489)=""),"GST login needs both user ID and password; ","")&amp;IF((TRIM(AH489)="")&lt;&gt;(TRIM(AI489)=""),"Income-tax login needs both user ID and password; ","")&amp;IF((TRIM(AJ489)="")&lt;&gt;(TRIM(AK489)=""),"Income-tax login needs both user ID and password; ","")&amp;IF((TRIM(AL489)="")&lt;&gt;(TRIM(AM489)=""),"TRACES login needs both user ID and password; ","")&amp;IF((TRIM(AN489)="")&lt;&gt;(TRIM(AO489)=""),"MCA login needs both user ID and password; ","")&amp;IF((TRIM(AP489)="")&lt;&gt;(TRIM(AQ489)=""),"E-way bill login needs both user ID and password; ","")</f>
        <v/>
      </c>
    </row>
    <row r="490">
      <c r="A490" s="32" t="n"/>
      <c r="B490" s="33" t="n"/>
      <c r="C490" s="33" t="n"/>
      <c r="D490" s="33" t="n"/>
      <c r="E490" s="32" t="n"/>
      <c r="F490" s="32" t="n"/>
      <c r="G490" s="32" t="n"/>
      <c r="H490" s="32" t="n"/>
      <c r="I490" s="32" t="n"/>
      <c r="J490" s="34" t="n"/>
      <c r="K490" s="33" t="n"/>
      <c r="L490" s="32" t="n"/>
      <c r="M490" s="33" t="n"/>
      <c r="N490" s="33" t="n"/>
      <c r="O490" s="33" t="n"/>
      <c r="P490" s="32" t="n"/>
      <c r="Q490" s="33" t="n"/>
      <c r="R490" s="33" t="n"/>
      <c r="S490" s="33" t="n"/>
      <c r="T490" s="33" t="n"/>
      <c r="U490" s="32" t="n"/>
      <c r="V490" s="33" t="n"/>
      <c r="W490" s="33" t="n"/>
      <c r="X490" s="33" t="n"/>
      <c r="Y490" s="33" t="n"/>
      <c r="Z490" s="33" t="n"/>
      <c r="AA490" s="33" t="n"/>
      <c r="AB490" s="33" t="n"/>
      <c r="AC490" s="33" t="n"/>
      <c r="AD490" s="33" t="n"/>
      <c r="AE490" s="33" t="n"/>
      <c r="AF490" s="32" t="n"/>
      <c r="AG490" s="32" t="n"/>
      <c r="AH490" s="32" t="n"/>
      <c r="AI490" s="32" t="n"/>
      <c r="AJ490" s="32" t="n"/>
      <c r="AK490" s="32" t="n"/>
      <c r="AL490" s="32" t="n"/>
      <c r="AM490" s="32" t="n"/>
      <c r="AN490" s="32" t="n"/>
      <c r="AO490" s="32" t="n"/>
      <c r="AP490" s="32" t="n"/>
      <c r="AQ490" s="32" t="n"/>
      <c r="AR490" s="29">
        <f>IF(NOT(COUNTA(A490:AE490)&gt;0),"",IF(A490="","New client","Update"))</f>
        <v/>
      </c>
      <c r="AS490" s="29">
        <f>IF(BA490&lt;&gt;"",BA490,IF(LEN(AZ490)=15,MID(AZ490,3,10),""))</f>
        <v/>
      </c>
      <c r="AT490" s="29">
        <f>IF(BB490="","",BB490&amp;IF(D490="","  (guessed from PAN)",""))</f>
        <v/>
      </c>
      <c r="AU490" s="29">
        <f>IF(AZ490="","",IFERROR(INDEX(Lists!$L$2:$L$38,MATCH(LEFT(AZ490,2),Lists!$K$2:$K$38,0)),"Unknown code"))</f>
        <v/>
      </c>
      <c r="AV490" s="29">
        <f>IF(AZ490="","",IFERROR(IF(NOT(AND(LEN(AZ490)=15,ISNUMBER(MATCH(LEFT(AZ490,2),Lists!$K$2:$K$38,0)),SUMPRODUCT(--ISERROR(FIND(MID(MID(AZ490,3,10),{1,2,3,4,5,10},1),"ABCDEFGHIJKLMNOPQRSTUVWXYZ")))=0,SUMPRODUCT(--ISERROR(FIND(MID(MID(AZ490,3,10),{6,7,8,9},1),"0123456789")))=0,ISNUMBER(FIND(MID(AZ490,13,1),"123456789ABCDEFGHIJKLMNOPQRSTUVWXYZ")),MID(AZ490,14,1)="Z")),"Wrong format",IF(MID("0123456789ABCDEFGHIJKLMNOPQRSTUVWXYZ",MOD(36-MOD(SUMPRODUCT(INT((FIND(MID(AZ490,{1,2,3,4,5,6,7,8,9,10,11,12,13,14},1),"0123456789ABCDEFGHIJKLMNOPQRSTUVWXYZ")-1)*{1,2,1,2,1,2,1,2,1,2,1,2,1,2}/36)+MOD((FIND(MID(AZ490,{1,2,3,4,5,6,7,8,9,10,11,12,13,14},1),"0123456789ABCDEFGHIJKLMNOPQRSTUVWXYZ")-1)*{1,2,1,2,1,2,1,2,1,2,1,2,1,2},36)),36),36)+1,1)=MID(AZ490,15,1),"OK","Typo? check digit wrong")),"Wrong format"))</f>
        <v/>
      </c>
      <c r="AW490" s="29">
        <f>IF(BA490="","",IF(AND(LEN(BA490)=10,SUMPRODUCT(--ISERROR(FIND(MID(BA490,{1,2,3,4,5,10},1),"ABCDEFGHIJKLMNOPQRSTUVWXYZ")))=0,SUMPRODUCT(--ISERROR(FIND(MID(BA490,{6,7,8,9},1),"0123456789")))=0),"OK","Wrong format"))</f>
        <v/>
      </c>
      <c r="AX490" s="29">
        <f>IF(TRIM(H490)="","",IF(AND(LEN(UPPER(TRIM(H490)))=10,SUMPRODUCT(--ISERROR(FIND(MID(UPPER(TRIM(H490)),{1,2,3,4,10},1),"ABCDEFGHIJKLMNOPQRSTUVWXYZ")))=0,SUMPRODUCT(--ISERROR(FIND(MID(UPPER(TRIM(H490)),{5,6,7,8,9},1),"0123456789")))=0),"OK","Wrong format"))</f>
        <v/>
      </c>
      <c r="AY490" s="30">
        <f>IF(NOT(COUNTA(A490:AE490)&gt;0),"",IF(BE490&lt;&gt;"","✖ "&amp;LEFT(BE490,LEN(BE490)-2),IF(BD490&gt;0,"✔ Ready — client + "&amp;BD490&amp;" service(s)","✔ Ready — client only")))</f>
        <v/>
      </c>
      <c r="AZ490" s="31">
        <f>UPPER(SUBSTITUTE(TRIM(F490)," ",""))</f>
        <v/>
      </c>
      <c r="BA490" s="31">
        <f>UPPER(SUBSTITUTE(TRIM(E490)," ",""))</f>
        <v/>
      </c>
      <c r="BB490" s="31">
        <f>IF(D490&lt;&gt;"",D490,IFERROR(VLOOKUP(MID(AS490,4,1),Lists!$E$2:$F$8,2,FALSE),""))</f>
        <v/>
      </c>
      <c r="BC490" s="31">
        <f>IFERROR(VLOOKUP(BB490,Lists!$A$2:$C$12,3,FALSE),"")</f>
        <v/>
      </c>
      <c r="BD490" s="31">
        <f>COUNTIF(W490:AC490,"Yes")</f>
        <v/>
      </c>
      <c r="BE490" s="31">
        <f>IF(TRIM(B490)="","Legal name missing; ","")&amp;IF(AND(AV490&lt;&gt;"",AV490&lt;&gt;"OK"),"GSTIN: "&amp;AV490&amp;"; ","")&amp;IF(AND(AW490&lt;&gt;"",AW490&lt;&gt;"OK"),"PAN wrong format; ","")&amp;IF(AND(BA490&lt;&gt;"",LEN(AZ490)=15,MID(AZ490,3,10)&lt;&gt;BA490),"PAN does not match GSTIN; ","")&amp;IF(AND(AX490&lt;&gt;"",AX490&lt;&gt;"OK"),"TAN wrong format; ","")&amp;IF(AS490="","PAN missing; ","")&amp;IF(BB490="","Entity type missing; ","")&amp;IF(AND(AZ490&lt;&gt;"",COUNTIF($AZ$6:$AZ$1005,AZ490)&gt;1),"GSTIN repeated in this sheet; ","")&amp;IF(AND(AS490&lt;&gt;"",COUNTIF($AS$6:$AS$1005,AS490)&gt;1),"PAN repeated in this sheet (same client? put extra GSTINs in Other GSTINs); ","")&amp;IF(AND(BD490&gt;0,V490=""),"Financial year missing; ","")&amp;IF(AND(BD490=0,V490&lt;&gt;""),"Financial year given but no service is Yes; ","")&amp;IF(AND(W490="Yes",AZ490=""),"GST needs a GSTIN; ","")&amp;IF(AND(W490="Yes",X490=""),"GST return frequency missing; ","")&amp;IF(AND(Y490="Yes",TRIM(H490)=""),"TDS needs a TAN; ","")&amp;IF(AND(AA490="Yes",BC490&lt;&gt;"",BC490&lt;&gt;"company",BC490&lt;&gt;"llp"),"ROC is only for a company / LLP; ","")&amp;IF(AND(AA490="Yes",OR(BC490="company",BC490="llp"),TRIM(I490)=""),"ROC needs the CIN / LLPIN; ","")&amp;IF((TRIM(AF490)="")&lt;&gt;(TRIM(AG490)=""),"GST login needs both user ID and password; ","")&amp;IF((TRIM(AH490)="")&lt;&gt;(TRIM(AI490)=""),"Income-tax login needs both user ID and password; ","")&amp;IF((TRIM(AJ490)="")&lt;&gt;(TRIM(AK490)=""),"Income-tax login needs both user ID and password; ","")&amp;IF((TRIM(AL490)="")&lt;&gt;(TRIM(AM490)=""),"TRACES login needs both user ID and password; ","")&amp;IF((TRIM(AN490)="")&lt;&gt;(TRIM(AO490)=""),"MCA login needs both user ID and password; ","")&amp;IF((TRIM(AP490)="")&lt;&gt;(TRIM(AQ490)=""),"E-way bill login needs both user ID and password; ","")</f>
        <v/>
      </c>
    </row>
    <row r="491">
      <c r="A491" s="32" t="n"/>
      <c r="B491" s="33" t="n"/>
      <c r="C491" s="33" t="n"/>
      <c r="D491" s="33" t="n"/>
      <c r="E491" s="32" t="n"/>
      <c r="F491" s="32" t="n"/>
      <c r="G491" s="32" t="n"/>
      <c r="H491" s="32" t="n"/>
      <c r="I491" s="32" t="n"/>
      <c r="J491" s="34" t="n"/>
      <c r="K491" s="33" t="n"/>
      <c r="L491" s="32" t="n"/>
      <c r="M491" s="33" t="n"/>
      <c r="N491" s="33" t="n"/>
      <c r="O491" s="33" t="n"/>
      <c r="P491" s="32" t="n"/>
      <c r="Q491" s="33" t="n"/>
      <c r="R491" s="33" t="n"/>
      <c r="S491" s="33" t="n"/>
      <c r="T491" s="33" t="n"/>
      <c r="U491" s="32" t="n"/>
      <c r="V491" s="33" t="n"/>
      <c r="W491" s="33" t="n"/>
      <c r="X491" s="33" t="n"/>
      <c r="Y491" s="33" t="n"/>
      <c r="Z491" s="33" t="n"/>
      <c r="AA491" s="33" t="n"/>
      <c r="AB491" s="33" t="n"/>
      <c r="AC491" s="33" t="n"/>
      <c r="AD491" s="33" t="n"/>
      <c r="AE491" s="33" t="n"/>
      <c r="AF491" s="32" t="n"/>
      <c r="AG491" s="32" t="n"/>
      <c r="AH491" s="32" t="n"/>
      <c r="AI491" s="32" t="n"/>
      <c r="AJ491" s="32" t="n"/>
      <c r="AK491" s="32" t="n"/>
      <c r="AL491" s="32" t="n"/>
      <c r="AM491" s="32" t="n"/>
      <c r="AN491" s="32" t="n"/>
      <c r="AO491" s="32" t="n"/>
      <c r="AP491" s="32" t="n"/>
      <c r="AQ491" s="32" t="n"/>
      <c r="AR491" s="29">
        <f>IF(NOT(COUNTA(A491:AE491)&gt;0),"",IF(A491="","New client","Update"))</f>
        <v/>
      </c>
      <c r="AS491" s="29">
        <f>IF(BA491&lt;&gt;"",BA491,IF(LEN(AZ491)=15,MID(AZ491,3,10),""))</f>
        <v/>
      </c>
      <c r="AT491" s="29">
        <f>IF(BB491="","",BB491&amp;IF(D491="","  (guessed from PAN)",""))</f>
        <v/>
      </c>
      <c r="AU491" s="29">
        <f>IF(AZ491="","",IFERROR(INDEX(Lists!$L$2:$L$38,MATCH(LEFT(AZ491,2),Lists!$K$2:$K$38,0)),"Unknown code"))</f>
        <v/>
      </c>
      <c r="AV491" s="29">
        <f>IF(AZ491="","",IFERROR(IF(NOT(AND(LEN(AZ491)=15,ISNUMBER(MATCH(LEFT(AZ491,2),Lists!$K$2:$K$38,0)),SUMPRODUCT(--ISERROR(FIND(MID(MID(AZ491,3,10),{1,2,3,4,5,10},1),"ABCDEFGHIJKLMNOPQRSTUVWXYZ")))=0,SUMPRODUCT(--ISERROR(FIND(MID(MID(AZ491,3,10),{6,7,8,9},1),"0123456789")))=0,ISNUMBER(FIND(MID(AZ491,13,1),"123456789ABCDEFGHIJKLMNOPQRSTUVWXYZ")),MID(AZ491,14,1)="Z")),"Wrong format",IF(MID("0123456789ABCDEFGHIJKLMNOPQRSTUVWXYZ",MOD(36-MOD(SUMPRODUCT(INT((FIND(MID(AZ491,{1,2,3,4,5,6,7,8,9,10,11,12,13,14},1),"0123456789ABCDEFGHIJKLMNOPQRSTUVWXYZ")-1)*{1,2,1,2,1,2,1,2,1,2,1,2,1,2}/36)+MOD((FIND(MID(AZ491,{1,2,3,4,5,6,7,8,9,10,11,12,13,14},1),"0123456789ABCDEFGHIJKLMNOPQRSTUVWXYZ")-1)*{1,2,1,2,1,2,1,2,1,2,1,2,1,2},36)),36),36)+1,1)=MID(AZ491,15,1),"OK","Typo? check digit wrong")),"Wrong format"))</f>
        <v/>
      </c>
      <c r="AW491" s="29">
        <f>IF(BA491="","",IF(AND(LEN(BA491)=10,SUMPRODUCT(--ISERROR(FIND(MID(BA491,{1,2,3,4,5,10},1),"ABCDEFGHIJKLMNOPQRSTUVWXYZ")))=0,SUMPRODUCT(--ISERROR(FIND(MID(BA491,{6,7,8,9},1),"0123456789")))=0),"OK","Wrong format"))</f>
        <v/>
      </c>
      <c r="AX491" s="29">
        <f>IF(TRIM(H491)="","",IF(AND(LEN(UPPER(TRIM(H491)))=10,SUMPRODUCT(--ISERROR(FIND(MID(UPPER(TRIM(H491)),{1,2,3,4,10},1),"ABCDEFGHIJKLMNOPQRSTUVWXYZ")))=0,SUMPRODUCT(--ISERROR(FIND(MID(UPPER(TRIM(H491)),{5,6,7,8,9},1),"0123456789")))=0),"OK","Wrong format"))</f>
        <v/>
      </c>
      <c r="AY491" s="30">
        <f>IF(NOT(COUNTA(A491:AE491)&gt;0),"",IF(BE491&lt;&gt;"","✖ "&amp;LEFT(BE491,LEN(BE491)-2),IF(BD491&gt;0,"✔ Ready — client + "&amp;BD491&amp;" service(s)","✔ Ready — client only")))</f>
        <v/>
      </c>
      <c r="AZ491" s="31">
        <f>UPPER(SUBSTITUTE(TRIM(F491)," ",""))</f>
        <v/>
      </c>
      <c r="BA491" s="31">
        <f>UPPER(SUBSTITUTE(TRIM(E491)," ",""))</f>
        <v/>
      </c>
      <c r="BB491" s="31">
        <f>IF(D491&lt;&gt;"",D491,IFERROR(VLOOKUP(MID(AS491,4,1),Lists!$E$2:$F$8,2,FALSE),""))</f>
        <v/>
      </c>
      <c r="BC491" s="31">
        <f>IFERROR(VLOOKUP(BB491,Lists!$A$2:$C$12,3,FALSE),"")</f>
        <v/>
      </c>
      <c r="BD491" s="31">
        <f>COUNTIF(W491:AC491,"Yes")</f>
        <v/>
      </c>
      <c r="BE491" s="31">
        <f>IF(TRIM(B491)="","Legal name missing; ","")&amp;IF(AND(AV491&lt;&gt;"",AV491&lt;&gt;"OK"),"GSTIN: "&amp;AV491&amp;"; ","")&amp;IF(AND(AW491&lt;&gt;"",AW491&lt;&gt;"OK"),"PAN wrong format; ","")&amp;IF(AND(BA491&lt;&gt;"",LEN(AZ491)=15,MID(AZ491,3,10)&lt;&gt;BA491),"PAN does not match GSTIN; ","")&amp;IF(AND(AX491&lt;&gt;"",AX491&lt;&gt;"OK"),"TAN wrong format; ","")&amp;IF(AS491="","PAN missing; ","")&amp;IF(BB491="","Entity type missing; ","")&amp;IF(AND(AZ491&lt;&gt;"",COUNTIF($AZ$6:$AZ$1005,AZ491)&gt;1),"GSTIN repeated in this sheet; ","")&amp;IF(AND(AS491&lt;&gt;"",COUNTIF($AS$6:$AS$1005,AS491)&gt;1),"PAN repeated in this sheet (same client? put extra GSTINs in Other GSTINs); ","")&amp;IF(AND(BD491&gt;0,V491=""),"Financial year missing; ","")&amp;IF(AND(BD491=0,V491&lt;&gt;""),"Financial year given but no service is Yes; ","")&amp;IF(AND(W491="Yes",AZ491=""),"GST needs a GSTIN; ","")&amp;IF(AND(W491="Yes",X491=""),"GST return frequency missing; ","")&amp;IF(AND(Y491="Yes",TRIM(H491)=""),"TDS needs a TAN; ","")&amp;IF(AND(AA491="Yes",BC491&lt;&gt;"",BC491&lt;&gt;"company",BC491&lt;&gt;"llp"),"ROC is only for a company / LLP; ","")&amp;IF(AND(AA491="Yes",OR(BC491="company",BC491="llp"),TRIM(I491)=""),"ROC needs the CIN / LLPIN; ","")&amp;IF((TRIM(AF491)="")&lt;&gt;(TRIM(AG491)=""),"GST login needs both user ID and password; ","")&amp;IF((TRIM(AH491)="")&lt;&gt;(TRIM(AI491)=""),"Income-tax login needs both user ID and password; ","")&amp;IF((TRIM(AJ491)="")&lt;&gt;(TRIM(AK491)=""),"Income-tax login needs both user ID and password; ","")&amp;IF((TRIM(AL491)="")&lt;&gt;(TRIM(AM491)=""),"TRACES login needs both user ID and password; ","")&amp;IF((TRIM(AN491)="")&lt;&gt;(TRIM(AO491)=""),"MCA login needs both user ID and password; ","")&amp;IF((TRIM(AP491)="")&lt;&gt;(TRIM(AQ491)=""),"E-way bill login needs both user ID and password; ","")</f>
        <v/>
      </c>
    </row>
    <row r="492">
      <c r="A492" s="32" t="n"/>
      <c r="B492" s="33" t="n"/>
      <c r="C492" s="33" t="n"/>
      <c r="D492" s="33" t="n"/>
      <c r="E492" s="32" t="n"/>
      <c r="F492" s="32" t="n"/>
      <c r="G492" s="32" t="n"/>
      <c r="H492" s="32" t="n"/>
      <c r="I492" s="32" t="n"/>
      <c r="J492" s="34" t="n"/>
      <c r="K492" s="33" t="n"/>
      <c r="L492" s="32" t="n"/>
      <c r="M492" s="33" t="n"/>
      <c r="N492" s="33" t="n"/>
      <c r="O492" s="33" t="n"/>
      <c r="P492" s="32" t="n"/>
      <c r="Q492" s="33" t="n"/>
      <c r="R492" s="33" t="n"/>
      <c r="S492" s="33" t="n"/>
      <c r="T492" s="33" t="n"/>
      <c r="U492" s="32" t="n"/>
      <c r="V492" s="33" t="n"/>
      <c r="W492" s="33" t="n"/>
      <c r="X492" s="33" t="n"/>
      <c r="Y492" s="33" t="n"/>
      <c r="Z492" s="33" t="n"/>
      <c r="AA492" s="33" t="n"/>
      <c r="AB492" s="33" t="n"/>
      <c r="AC492" s="33" t="n"/>
      <c r="AD492" s="33" t="n"/>
      <c r="AE492" s="33" t="n"/>
      <c r="AF492" s="32" t="n"/>
      <c r="AG492" s="32" t="n"/>
      <c r="AH492" s="32" t="n"/>
      <c r="AI492" s="32" t="n"/>
      <c r="AJ492" s="32" t="n"/>
      <c r="AK492" s="32" t="n"/>
      <c r="AL492" s="32" t="n"/>
      <c r="AM492" s="32" t="n"/>
      <c r="AN492" s="32" t="n"/>
      <c r="AO492" s="32" t="n"/>
      <c r="AP492" s="32" t="n"/>
      <c r="AQ492" s="32" t="n"/>
      <c r="AR492" s="29">
        <f>IF(NOT(COUNTA(A492:AE492)&gt;0),"",IF(A492="","New client","Update"))</f>
        <v/>
      </c>
      <c r="AS492" s="29">
        <f>IF(BA492&lt;&gt;"",BA492,IF(LEN(AZ492)=15,MID(AZ492,3,10),""))</f>
        <v/>
      </c>
      <c r="AT492" s="29">
        <f>IF(BB492="","",BB492&amp;IF(D492="","  (guessed from PAN)",""))</f>
        <v/>
      </c>
      <c r="AU492" s="29">
        <f>IF(AZ492="","",IFERROR(INDEX(Lists!$L$2:$L$38,MATCH(LEFT(AZ492,2),Lists!$K$2:$K$38,0)),"Unknown code"))</f>
        <v/>
      </c>
      <c r="AV492" s="29">
        <f>IF(AZ492="","",IFERROR(IF(NOT(AND(LEN(AZ492)=15,ISNUMBER(MATCH(LEFT(AZ492,2),Lists!$K$2:$K$38,0)),SUMPRODUCT(--ISERROR(FIND(MID(MID(AZ492,3,10),{1,2,3,4,5,10},1),"ABCDEFGHIJKLMNOPQRSTUVWXYZ")))=0,SUMPRODUCT(--ISERROR(FIND(MID(MID(AZ492,3,10),{6,7,8,9},1),"0123456789")))=0,ISNUMBER(FIND(MID(AZ492,13,1),"123456789ABCDEFGHIJKLMNOPQRSTUVWXYZ")),MID(AZ492,14,1)="Z")),"Wrong format",IF(MID("0123456789ABCDEFGHIJKLMNOPQRSTUVWXYZ",MOD(36-MOD(SUMPRODUCT(INT((FIND(MID(AZ492,{1,2,3,4,5,6,7,8,9,10,11,12,13,14},1),"0123456789ABCDEFGHIJKLMNOPQRSTUVWXYZ")-1)*{1,2,1,2,1,2,1,2,1,2,1,2,1,2}/36)+MOD((FIND(MID(AZ492,{1,2,3,4,5,6,7,8,9,10,11,12,13,14},1),"0123456789ABCDEFGHIJKLMNOPQRSTUVWXYZ")-1)*{1,2,1,2,1,2,1,2,1,2,1,2,1,2},36)),36),36)+1,1)=MID(AZ492,15,1),"OK","Typo? check digit wrong")),"Wrong format"))</f>
        <v/>
      </c>
      <c r="AW492" s="29">
        <f>IF(BA492="","",IF(AND(LEN(BA492)=10,SUMPRODUCT(--ISERROR(FIND(MID(BA492,{1,2,3,4,5,10},1),"ABCDEFGHIJKLMNOPQRSTUVWXYZ")))=0,SUMPRODUCT(--ISERROR(FIND(MID(BA492,{6,7,8,9},1),"0123456789")))=0),"OK","Wrong format"))</f>
        <v/>
      </c>
      <c r="AX492" s="29">
        <f>IF(TRIM(H492)="","",IF(AND(LEN(UPPER(TRIM(H492)))=10,SUMPRODUCT(--ISERROR(FIND(MID(UPPER(TRIM(H492)),{1,2,3,4,10},1),"ABCDEFGHIJKLMNOPQRSTUVWXYZ")))=0,SUMPRODUCT(--ISERROR(FIND(MID(UPPER(TRIM(H492)),{5,6,7,8,9},1),"0123456789")))=0),"OK","Wrong format"))</f>
        <v/>
      </c>
      <c r="AY492" s="30">
        <f>IF(NOT(COUNTA(A492:AE492)&gt;0),"",IF(BE492&lt;&gt;"","✖ "&amp;LEFT(BE492,LEN(BE492)-2),IF(BD492&gt;0,"✔ Ready — client + "&amp;BD492&amp;" service(s)","✔ Ready — client only")))</f>
        <v/>
      </c>
      <c r="AZ492" s="31">
        <f>UPPER(SUBSTITUTE(TRIM(F492)," ",""))</f>
        <v/>
      </c>
      <c r="BA492" s="31">
        <f>UPPER(SUBSTITUTE(TRIM(E492)," ",""))</f>
        <v/>
      </c>
      <c r="BB492" s="31">
        <f>IF(D492&lt;&gt;"",D492,IFERROR(VLOOKUP(MID(AS492,4,1),Lists!$E$2:$F$8,2,FALSE),""))</f>
        <v/>
      </c>
      <c r="BC492" s="31">
        <f>IFERROR(VLOOKUP(BB492,Lists!$A$2:$C$12,3,FALSE),"")</f>
        <v/>
      </c>
      <c r="BD492" s="31">
        <f>COUNTIF(W492:AC492,"Yes")</f>
        <v/>
      </c>
      <c r="BE492" s="31">
        <f>IF(TRIM(B492)="","Legal name missing; ","")&amp;IF(AND(AV492&lt;&gt;"",AV492&lt;&gt;"OK"),"GSTIN: "&amp;AV492&amp;"; ","")&amp;IF(AND(AW492&lt;&gt;"",AW492&lt;&gt;"OK"),"PAN wrong format; ","")&amp;IF(AND(BA492&lt;&gt;"",LEN(AZ492)=15,MID(AZ492,3,10)&lt;&gt;BA492),"PAN does not match GSTIN; ","")&amp;IF(AND(AX492&lt;&gt;"",AX492&lt;&gt;"OK"),"TAN wrong format; ","")&amp;IF(AS492="","PAN missing; ","")&amp;IF(BB492="","Entity type missing; ","")&amp;IF(AND(AZ492&lt;&gt;"",COUNTIF($AZ$6:$AZ$1005,AZ492)&gt;1),"GSTIN repeated in this sheet; ","")&amp;IF(AND(AS492&lt;&gt;"",COUNTIF($AS$6:$AS$1005,AS492)&gt;1),"PAN repeated in this sheet (same client? put extra GSTINs in Other GSTINs); ","")&amp;IF(AND(BD492&gt;0,V492=""),"Financial year missing; ","")&amp;IF(AND(BD492=0,V492&lt;&gt;""),"Financial year given but no service is Yes; ","")&amp;IF(AND(W492="Yes",AZ492=""),"GST needs a GSTIN; ","")&amp;IF(AND(W492="Yes",X492=""),"GST return frequency missing; ","")&amp;IF(AND(Y492="Yes",TRIM(H492)=""),"TDS needs a TAN; ","")&amp;IF(AND(AA492="Yes",BC492&lt;&gt;"",BC492&lt;&gt;"company",BC492&lt;&gt;"llp"),"ROC is only for a company / LLP; ","")&amp;IF(AND(AA492="Yes",OR(BC492="company",BC492="llp"),TRIM(I492)=""),"ROC needs the CIN / LLPIN; ","")&amp;IF((TRIM(AF492)="")&lt;&gt;(TRIM(AG492)=""),"GST login needs both user ID and password; ","")&amp;IF((TRIM(AH492)="")&lt;&gt;(TRIM(AI492)=""),"Income-tax login needs both user ID and password; ","")&amp;IF((TRIM(AJ492)="")&lt;&gt;(TRIM(AK492)=""),"Income-tax login needs both user ID and password; ","")&amp;IF((TRIM(AL492)="")&lt;&gt;(TRIM(AM492)=""),"TRACES login needs both user ID and password; ","")&amp;IF((TRIM(AN492)="")&lt;&gt;(TRIM(AO492)=""),"MCA login needs both user ID and password; ","")&amp;IF((TRIM(AP492)="")&lt;&gt;(TRIM(AQ492)=""),"E-way bill login needs both user ID and password; ","")</f>
        <v/>
      </c>
    </row>
    <row r="493">
      <c r="A493" s="32" t="n"/>
      <c r="B493" s="33" t="n"/>
      <c r="C493" s="33" t="n"/>
      <c r="D493" s="33" t="n"/>
      <c r="E493" s="32" t="n"/>
      <c r="F493" s="32" t="n"/>
      <c r="G493" s="32" t="n"/>
      <c r="H493" s="32" t="n"/>
      <c r="I493" s="32" t="n"/>
      <c r="J493" s="34" t="n"/>
      <c r="K493" s="33" t="n"/>
      <c r="L493" s="32" t="n"/>
      <c r="M493" s="33" t="n"/>
      <c r="N493" s="33" t="n"/>
      <c r="O493" s="33" t="n"/>
      <c r="P493" s="32" t="n"/>
      <c r="Q493" s="33" t="n"/>
      <c r="R493" s="33" t="n"/>
      <c r="S493" s="33" t="n"/>
      <c r="T493" s="33" t="n"/>
      <c r="U493" s="32" t="n"/>
      <c r="V493" s="33" t="n"/>
      <c r="W493" s="33" t="n"/>
      <c r="X493" s="33" t="n"/>
      <c r="Y493" s="33" t="n"/>
      <c r="Z493" s="33" t="n"/>
      <c r="AA493" s="33" t="n"/>
      <c r="AB493" s="33" t="n"/>
      <c r="AC493" s="33" t="n"/>
      <c r="AD493" s="33" t="n"/>
      <c r="AE493" s="33" t="n"/>
      <c r="AF493" s="32" t="n"/>
      <c r="AG493" s="32" t="n"/>
      <c r="AH493" s="32" t="n"/>
      <c r="AI493" s="32" t="n"/>
      <c r="AJ493" s="32" t="n"/>
      <c r="AK493" s="32" t="n"/>
      <c r="AL493" s="32" t="n"/>
      <c r="AM493" s="32" t="n"/>
      <c r="AN493" s="32" t="n"/>
      <c r="AO493" s="32" t="n"/>
      <c r="AP493" s="32" t="n"/>
      <c r="AQ493" s="32" t="n"/>
      <c r="AR493" s="29">
        <f>IF(NOT(COUNTA(A493:AE493)&gt;0),"",IF(A493="","New client","Update"))</f>
        <v/>
      </c>
      <c r="AS493" s="29">
        <f>IF(BA493&lt;&gt;"",BA493,IF(LEN(AZ493)=15,MID(AZ493,3,10),""))</f>
        <v/>
      </c>
      <c r="AT493" s="29">
        <f>IF(BB493="","",BB493&amp;IF(D493="","  (guessed from PAN)",""))</f>
        <v/>
      </c>
      <c r="AU493" s="29">
        <f>IF(AZ493="","",IFERROR(INDEX(Lists!$L$2:$L$38,MATCH(LEFT(AZ493,2),Lists!$K$2:$K$38,0)),"Unknown code"))</f>
        <v/>
      </c>
      <c r="AV493" s="29">
        <f>IF(AZ493="","",IFERROR(IF(NOT(AND(LEN(AZ493)=15,ISNUMBER(MATCH(LEFT(AZ493,2),Lists!$K$2:$K$38,0)),SUMPRODUCT(--ISERROR(FIND(MID(MID(AZ493,3,10),{1,2,3,4,5,10},1),"ABCDEFGHIJKLMNOPQRSTUVWXYZ")))=0,SUMPRODUCT(--ISERROR(FIND(MID(MID(AZ493,3,10),{6,7,8,9},1),"0123456789")))=0,ISNUMBER(FIND(MID(AZ493,13,1),"123456789ABCDEFGHIJKLMNOPQRSTUVWXYZ")),MID(AZ493,14,1)="Z")),"Wrong format",IF(MID("0123456789ABCDEFGHIJKLMNOPQRSTUVWXYZ",MOD(36-MOD(SUMPRODUCT(INT((FIND(MID(AZ493,{1,2,3,4,5,6,7,8,9,10,11,12,13,14},1),"0123456789ABCDEFGHIJKLMNOPQRSTUVWXYZ")-1)*{1,2,1,2,1,2,1,2,1,2,1,2,1,2}/36)+MOD((FIND(MID(AZ493,{1,2,3,4,5,6,7,8,9,10,11,12,13,14},1),"0123456789ABCDEFGHIJKLMNOPQRSTUVWXYZ")-1)*{1,2,1,2,1,2,1,2,1,2,1,2,1,2},36)),36),36)+1,1)=MID(AZ493,15,1),"OK","Typo? check digit wrong")),"Wrong format"))</f>
        <v/>
      </c>
      <c r="AW493" s="29">
        <f>IF(BA493="","",IF(AND(LEN(BA493)=10,SUMPRODUCT(--ISERROR(FIND(MID(BA493,{1,2,3,4,5,10},1),"ABCDEFGHIJKLMNOPQRSTUVWXYZ")))=0,SUMPRODUCT(--ISERROR(FIND(MID(BA493,{6,7,8,9},1),"0123456789")))=0),"OK","Wrong format"))</f>
        <v/>
      </c>
      <c r="AX493" s="29">
        <f>IF(TRIM(H493)="","",IF(AND(LEN(UPPER(TRIM(H493)))=10,SUMPRODUCT(--ISERROR(FIND(MID(UPPER(TRIM(H493)),{1,2,3,4,10},1),"ABCDEFGHIJKLMNOPQRSTUVWXYZ")))=0,SUMPRODUCT(--ISERROR(FIND(MID(UPPER(TRIM(H493)),{5,6,7,8,9},1),"0123456789")))=0),"OK","Wrong format"))</f>
        <v/>
      </c>
      <c r="AY493" s="30">
        <f>IF(NOT(COUNTA(A493:AE493)&gt;0),"",IF(BE493&lt;&gt;"","✖ "&amp;LEFT(BE493,LEN(BE493)-2),IF(BD493&gt;0,"✔ Ready — client + "&amp;BD493&amp;" service(s)","✔ Ready — client only")))</f>
        <v/>
      </c>
      <c r="AZ493" s="31">
        <f>UPPER(SUBSTITUTE(TRIM(F493)," ",""))</f>
        <v/>
      </c>
      <c r="BA493" s="31">
        <f>UPPER(SUBSTITUTE(TRIM(E493)," ",""))</f>
        <v/>
      </c>
      <c r="BB493" s="31">
        <f>IF(D493&lt;&gt;"",D493,IFERROR(VLOOKUP(MID(AS493,4,1),Lists!$E$2:$F$8,2,FALSE),""))</f>
        <v/>
      </c>
      <c r="BC493" s="31">
        <f>IFERROR(VLOOKUP(BB493,Lists!$A$2:$C$12,3,FALSE),"")</f>
        <v/>
      </c>
      <c r="BD493" s="31">
        <f>COUNTIF(W493:AC493,"Yes")</f>
        <v/>
      </c>
      <c r="BE493" s="31">
        <f>IF(TRIM(B493)="","Legal name missing; ","")&amp;IF(AND(AV493&lt;&gt;"",AV493&lt;&gt;"OK"),"GSTIN: "&amp;AV493&amp;"; ","")&amp;IF(AND(AW493&lt;&gt;"",AW493&lt;&gt;"OK"),"PAN wrong format; ","")&amp;IF(AND(BA493&lt;&gt;"",LEN(AZ493)=15,MID(AZ493,3,10)&lt;&gt;BA493),"PAN does not match GSTIN; ","")&amp;IF(AND(AX493&lt;&gt;"",AX493&lt;&gt;"OK"),"TAN wrong format; ","")&amp;IF(AS493="","PAN missing; ","")&amp;IF(BB493="","Entity type missing; ","")&amp;IF(AND(AZ493&lt;&gt;"",COUNTIF($AZ$6:$AZ$1005,AZ493)&gt;1),"GSTIN repeated in this sheet; ","")&amp;IF(AND(AS493&lt;&gt;"",COUNTIF($AS$6:$AS$1005,AS493)&gt;1),"PAN repeated in this sheet (same client? put extra GSTINs in Other GSTINs); ","")&amp;IF(AND(BD493&gt;0,V493=""),"Financial year missing; ","")&amp;IF(AND(BD493=0,V493&lt;&gt;""),"Financial year given but no service is Yes; ","")&amp;IF(AND(W493="Yes",AZ493=""),"GST needs a GSTIN; ","")&amp;IF(AND(W493="Yes",X493=""),"GST return frequency missing; ","")&amp;IF(AND(Y493="Yes",TRIM(H493)=""),"TDS needs a TAN; ","")&amp;IF(AND(AA493="Yes",BC493&lt;&gt;"",BC493&lt;&gt;"company",BC493&lt;&gt;"llp"),"ROC is only for a company / LLP; ","")&amp;IF(AND(AA493="Yes",OR(BC493="company",BC493="llp"),TRIM(I493)=""),"ROC needs the CIN / LLPIN; ","")&amp;IF((TRIM(AF493)="")&lt;&gt;(TRIM(AG493)=""),"GST login needs both user ID and password; ","")&amp;IF((TRIM(AH493)="")&lt;&gt;(TRIM(AI493)=""),"Income-tax login needs both user ID and password; ","")&amp;IF((TRIM(AJ493)="")&lt;&gt;(TRIM(AK493)=""),"Income-tax login needs both user ID and password; ","")&amp;IF((TRIM(AL493)="")&lt;&gt;(TRIM(AM493)=""),"TRACES login needs both user ID and password; ","")&amp;IF((TRIM(AN493)="")&lt;&gt;(TRIM(AO493)=""),"MCA login needs both user ID and password; ","")&amp;IF((TRIM(AP493)="")&lt;&gt;(TRIM(AQ493)=""),"E-way bill login needs both user ID and password; ","")</f>
        <v/>
      </c>
    </row>
    <row r="494">
      <c r="A494" s="32" t="n"/>
      <c r="B494" s="33" t="n"/>
      <c r="C494" s="33" t="n"/>
      <c r="D494" s="33" t="n"/>
      <c r="E494" s="32" t="n"/>
      <c r="F494" s="32" t="n"/>
      <c r="G494" s="32" t="n"/>
      <c r="H494" s="32" t="n"/>
      <c r="I494" s="32" t="n"/>
      <c r="J494" s="34" t="n"/>
      <c r="K494" s="33" t="n"/>
      <c r="L494" s="32" t="n"/>
      <c r="M494" s="33" t="n"/>
      <c r="N494" s="33" t="n"/>
      <c r="O494" s="33" t="n"/>
      <c r="P494" s="32" t="n"/>
      <c r="Q494" s="33" t="n"/>
      <c r="R494" s="33" t="n"/>
      <c r="S494" s="33" t="n"/>
      <c r="T494" s="33" t="n"/>
      <c r="U494" s="32" t="n"/>
      <c r="V494" s="33" t="n"/>
      <c r="W494" s="33" t="n"/>
      <c r="X494" s="33" t="n"/>
      <c r="Y494" s="33" t="n"/>
      <c r="Z494" s="33" t="n"/>
      <c r="AA494" s="33" t="n"/>
      <c r="AB494" s="33" t="n"/>
      <c r="AC494" s="33" t="n"/>
      <c r="AD494" s="33" t="n"/>
      <c r="AE494" s="33" t="n"/>
      <c r="AF494" s="32" t="n"/>
      <c r="AG494" s="32" t="n"/>
      <c r="AH494" s="32" t="n"/>
      <c r="AI494" s="32" t="n"/>
      <c r="AJ494" s="32" t="n"/>
      <c r="AK494" s="32" t="n"/>
      <c r="AL494" s="32" t="n"/>
      <c r="AM494" s="32" t="n"/>
      <c r="AN494" s="32" t="n"/>
      <c r="AO494" s="32" t="n"/>
      <c r="AP494" s="32" t="n"/>
      <c r="AQ494" s="32" t="n"/>
      <c r="AR494" s="29">
        <f>IF(NOT(COUNTA(A494:AE494)&gt;0),"",IF(A494="","New client","Update"))</f>
        <v/>
      </c>
      <c r="AS494" s="29">
        <f>IF(BA494&lt;&gt;"",BA494,IF(LEN(AZ494)=15,MID(AZ494,3,10),""))</f>
        <v/>
      </c>
      <c r="AT494" s="29">
        <f>IF(BB494="","",BB494&amp;IF(D494="","  (guessed from PAN)",""))</f>
        <v/>
      </c>
      <c r="AU494" s="29">
        <f>IF(AZ494="","",IFERROR(INDEX(Lists!$L$2:$L$38,MATCH(LEFT(AZ494,2),Lists!$K$2:$K$38,0)),"Unknown code"))</f>
        <v/>
      </c>
      <c r="AV494" s="29">
        <f>IF(AZ494="","",IFERROR(IF(NOT(AND(LEN(AZ494)=15,ISNUMBER(MATCH(LEFT(AZ494,2),Lists!$K$2:$K$38,0)),SUMPRODUCT(--ISERROR(FIND(MID(MID(AZ494,3,10),{1,2,3,4,5,10},1),"ABCDEFGHIJKLMNOPQRSTUVWXYZ")))=0,SUMPRODUCT(--ISERROR(FIND(MID(MID(AZ494,3,10),{6,7,8,9},1),"0123456789")))=0,ISNUMBER(FIND(MID(AZ494,13,1),"123456789ABCDEFGHIJKLMNOPQRSTUVWXYZ")),MID(AZ494,14,1)="Z")),"Wrong format",IF(MID("0123456789ABCDEFGHIJKLMNOPQRSTUVWXYZ",MOD(36-MOD(SUMPRODUCT(INT((FIND(MID(AZ494,{1,2,3,4,5,6,7,8,9,10,11,12,13,14},1),"0123456789ABCDEFGHIJKLMNOPQRSTUVWXYZ")-1)*{1,2,1,2,1,2,1,2,1,2,1,2,1,2}/36)+MOD((FIND(MID(AZ494,{1,2,3,4,5,6,7,8,9,10,11,12,13,14},1),"0123456789ABCDEFGHIJKLMNOPQRSTUVWXYZ")-1)*{1,2,1,2,1,2,1,2,1,2,1,2,1,2},36)),36),36)+1,1)=MID(AZ494,15,1),"OK","Typo? check digit wrong")),"Wrong format"))</f>
        <v/>
      </c>
      <c r="AW494" s="29">
        <f>IF(BA494="","",IF(AND(LEN(BA494)=10,SUMPRODUCT(--ISERROR(FIND(MID(BA494,{1,2,3,4,5,10},1),"ABCDEFGHIJKLMNOPQRSTUVWXYZ")))=0,SUMPRODUCT(--ISERROR(FIND(MID(BA494,{6,7,8,9},1),"0123456789")))=0),"OK","Wrong format"))</f>
        <v/>
      </c>
      <c r="AX494" s="29">
        <f>IF(TRIM(H494)="","",IF(AND(LEN(UPPER(TRIM(H494)))=10,SUMPRODUCT(--ISERROR(FIND(MID(UPPER(TRIM(H494)),{1,2,3,4,10},1),"ABCDEFGHIJKLMNOPQRSTUVWXYZ")))=0,SUMPRODUCT(--ISERROR(FIND(MID(UPPER(TRIM(H494)),{5,6,7,8,9},1),"0123456789")))=0),"OK","Wrong format"))</f>
        <v/>
      </c>
      <c r="AY494" s="30">
        <f>IF(NOT(COUNTA(A494:AE494)&gt;0),"",IF(BE494&lt;&gt;"","✖ "&amp;LEFT(BE494,LEN(BE494)-2),IF(BD494&gt;0,"✔ Ready — client + "&amp;BD494&amp;" service(s)","✔ Ready — client only")))</f>
        <v/>
      </c>
      <c r="AZ494" s="31">
        <f>UPPER(SUBSTITUTE(TRIM(F494)," ",""))</f>
        <v/>
      </c>
      <c r="BA494" s="31">
        <f>UPPER(SUBSTITUTE(TRIM(E494)," ",""))</f>
        <v/>
      </c>
      <c r="BB494" s="31">
        <f>IF(D494&lt;&gt;"",D494,IFERROR(VLOOKUP(MID(AS494,4,1),Lists!$E$2:$F$8,2,FALSE),""))</f>
        <v/>
      </c>
      <c r="BC494" s="31">
        <f>IFERROR(VLOOKUP(BB494,Lists!$A$2:$C$12,3,FALSE),"")</f>
        <v/>
      </c>
      <c r="BD494" s="31">
        <f>COUNTIF(W494:AC494,"Yes")</f>
        <v/>
      </c>
      <c r="BE494" s="31">
        <f>IF(TRIM(B494)="","Legal name missing; ","")&amp;IF(AND(AV494&lt;&gt;"",AV494&lt;&gt;"OK"),"GSTIN: "&amp;AV494&amp;"; ","")&amp;IF(AND(AW494&lt;&gt;"",AW494&lt;&gt;"OK"),"PAN wrong format; ","")&amp;IF(AND(BA494&lt;&gt;"",LEN(AZ494)=15,MID(AZ494,3,10)&lt;&gt;BA494),"PAN does not match GSTIN; ","")&amp;IF(AND(AX494&lt;&gt;"",AX494&lt;&gt;"OK"),"TAN wrong format; ","")&amp;IF(AS494="","PAN missing; ","")&amp;IF(BB494="","Entity type missing; ","")&amp;IF(AND(AZ494&lt;&gt;"",COUNTIF($AZ$6:$AZ$1005,AZ494)&gt;1),"GSTIN repeated in this sheet; ","")&amp;IF(AND(AS494&lt;&gt;"",COUNTIF($AS$6:$AS$1005,AS494)&gt;1),"PAN repeated in this sheet (same client? put extra GSTINs in Other GSTINs); ","")&amp;IF(AND(BD494&gt;0,V494=""),"Financial year missing; ","")&amp;IF(AND(BD494=0,V494&lt;&gt;""),"Financial year given but no service is Yes; ","")&amp;IF(AND(W494="Yes",AZ494=""),"GST needs a GSTIN; ","")&amp;IF(AND(W494="Yes",X494=""),"GST return frequency missing; ","")&amp;IF(AND(Y494="Yes",TRIM(H494)=""),"TDS needs a TAN; ","")&amp;IF(AND(AA494="Yes",BC494&lt;&gt;"",BC494&lt;&gt;"company",BC494&lt;&gt;"llp"),"ROC is only for a company / LLP; ","")&amp;IF(AND(AA494="Yes",OR(BC494="company",BC494="llp"),TRIM(I494)=""),"ROC needs the CIN / LLPIN; ","")&amp;IF((TRIM(AF494)="")&lt;&gt;(TRIM(AG494)=""),"GST login needs both user ID and password; ","")&amp;IF((TRIM(AH494)="")&lt;&gt;(TRIM(AI494)=""),"Income-tax login needs both user ID and password; ","")&amp;IF((TRIM(AJ494)="")&lt;&gt;(TRIM(AK494)=""),"Income-tax login needs both user ID and password; ","")&amp;IF((TRIM(AL494)="")&lt;&gt;(TRIM(AM494)=""),"TRACES login needs both user ID and password; ","")&amp;IF((TRIM(AN494)="")&lt;&gt;(TRIM(AO494)=""),"MCA login needs both user ID and password; ","")&amp;IF((TRIM(AP494)="")&lt;&gt;(TRIM(AQ494)=""),"E-way bill login needs both user ID and password; ","")</f>
        <v/>
      </c>
    </row>
    <row r="495">
      <c r="A495" s="32" t="n"/>
      <c r="B495" s="33" t="n"/>
      <c r="C495" s="33" t="n"/>
      <c r="D495" s="33" t="n"/>
      <c r="E495" s="32" t="n"/>
      <c r="F495" s="32" t="n"/>
      <c r="G495" s="32" t="n"/>
      <c r="H495" s="32" t="n"/>
      <c r="I495" s="32" t="n"/>
      <c r="J495" s="34" t="n"/>
      <c r="K495" s="33" t="n"/>
      <c r="L495" s="32" t="n"/>
      <c r="M495" s="33" t="n"/>
      <c r="N495" s="33" t="n"/>
      <c r="O495" s="33" t="n"/>
      <c r="P495" s="32" t="n"/>
      <c r="Q495" s="33" t="n"/>
      <c r="R495" s="33" t="n"/>
      <c r="S495" s="33" t="n"/>
      <c r="T495" s="33" t="n"/>
      <c r="U495" s="32" t="n"/>
      <c r="V495" s="33" t="n"/>
      <c r="W495" s="33" t="n"/>
      <c r="X495" s="33" t="n"/>
      <c r="Y495" s="33" t="n"/>
      <c r="Z495" s="33" t="n"/>
      <c r="AA495" s="33" t="n"/>
      <c r="AB495" s="33" t="n"/>
      <c r="AC495" s="33" t="n"/>
      <c r="AD495" s="33" t="n"/>
      <c r="AE495" s="33" t="n"/>
      <c r="AF495" s="32" t="n"/>
      <c r="AG495" s="32" t="n"/>
      <c r="AH495" s="32" t="n"/>
      <c r="AI495" s="32" t="n"/>
      <c r="AJ495" s="32" t="n"/>
      <c r="AK495" s="32" t="n"/>
      <c r="AL495" s="32" t="n"/>
      <c r="AM495" s="32" t="n"/>
      <c r="AN495" s="32" t="n"/>
      <c r="AO495" s="32" t="n"/>
      <c r="AP495" s="32" t="n"/>
      <c r="AQ495" s="32" t="n"/>
      <c r="AR495" s="29">
        <f>IF(NOT(COUNTA(A495:AE495)&gt;0),"",IF(A495="","New client","Update"))</f>
        <v/>
      </c>
      <c r="AS495" s="29">
        <f>IF(BA495&lt;&gt;"",BA495,IF(LEN(AZ495)=15,MID(AZ495,3,10),""))</f>
        <v/>
      </c>
      <c r="AT495" s="29">
        <f>IF(BB495="","",BB495&amp;IF(D495="","  (guessed from PAN)",""))</f>
        <v/>
      </c>
      <c r="AU495" s="29">
        <f>IF(AZ495="","",IFERROR(INDEX(Lists!$L$2:$L$38,MATCH(LEFT(AZ495,2),Lists!$K$2:$K$38,0)),"Unknown code"))</f>
        <v/>
      </c>
      <c r="AV495" s="29">
        <f>IF(AZ495="","",IFERROR(IF(NOT(AND(LEN(AZ495)=15,ISNUMBER(MATCH(LEFT(AZ495,2),Lists!$K$2:$K$38,0)),SUMPRODUCT(--ISERROR(FIND(MID(MID(AZ495,3,10),{1,2,3,4,5,10},1),"ABCDEFGHIJKLMNOPQRSTUVWXYZ")))=0,SUMPRODUCT(--ISERROR(FIND(MID(MID(AZ495,3,10),{6,7,8,9},1),"0123456789")))=0,ISNUMBER(FIND(MID(AZ495,13,1),"123456789ABCDEFGHIJKLMNOPQRSTUVWXYZ")),MID(AZ495,14,1)="Z")),"Wrong format",IF(MID("0123456789ABCDEFGHIJKLMNOPQRSTUVWXYZ",MOD(36-MOD(SUMPRODUCT(INT((FIND(MID(AZ495,{1,2,3,4,5,6,7,8,9,10,11,12,13,14},1),"0123456789ABCDEFGHIJKLMNOPQRSTUVWXYZ")-1)*{1,2,1,2,1,2,1,2,1,2,1,2,1,2}/36)+MOD((FIND(MID(AZ495,{1,2,3,4,5,6,7,8,9,10,11,12,13,14},1),"0123456789ABCDEFGHIJKLMNOPQRSTUVWXYZ")-1)*{1,2,1,2,1,2,1,2,1,2,1,2,1,2},36)),36),36)+1,1)=MID(AZ495,15,1),"OK","Typo? check digit wrong")),"Wrong format"))</f>
        <v/>
      </c>
      <c r="AW495" s="29">
        <f>IF(BA495="","",IF(AND(LEN(BA495)=10,SUMPRODUCT(--ISERROR(FIND(MID(BA495,{1,2,3,4,5,10},1),"ABCDEFGHIJKLMNOPQRSTUVWXYZ")))=0,SUMPRODUCT(--ISERROR(FIND(MID(BA495,{6,7,8,9},1),"0123456789")))=0),"OK","Wrong format"))</f>
        <v/>
      </c>
      <c r="AX495" s="29">
        <f>IF(TRIM(H495)="","",IF(AND(LEN(UPPER(TRIM(H495)))=10,SUMPRODUCT(--ISERROR(FIND(MID(UPPER(TRIM(H495)),{1,2,3,4,10},1),"ABCDEFGHIJKLMNOPQRSTUVWXYZ")))=0,SUMPRODUCT(--ISERROR(FIND(MID(UPPER(TRIM(H495)),{5,6,7,8,9},1),"0123456789")))=0),"OK","Wrong format"))</f>
        <v/>
      </c>
      <c r="AY495" s="30">
        <f>IF(NOT(COUNTA(A495:AE495)&gt;0),"",IF(BE495&lt;&gt;"","✖ "&amp;LEFT(BE495,LEN(BE495)-2),IF(BD495&gt;0,"✔ Ready — client + "&amp;BD495&amp;" service(s)","✔ Ready — client only")))</f>
        <v/>
      </c>
      <c r="AZ495" s="31">
        <f>UPPER(SUBSTITUTE(TRIM(F495)," ",""))</f>
        <v/>
      </c>
      <c r="BA495" s="31">
        <f>UPPER(SUBSTITUTE(TRIM(E495)," ",""))</f>
        <v/>
      </c>
      <c r="BB495" s="31">
        <f>IF(D495&lt;&gt;"",D495,IFERROR(VLOOKUP(MID(AS495,4,1),Lists!$E$2:$F$8,2,FALSE),""))</f>
        <v/>
      </c>
      <c r="BC495" s="31">
        <f>IFERROR(VLOOKUP(BB495,Lists!$A$2:$C$12,3,FALSE),"")</f>
        <v/>
      </c>
      <c r="BD495" s="31">
        <f>COUNTIF(W495:AC495,"Yes")</f>
        <v/>
      </c>
      <c r="BE495" s="31">
        <f>IF(TRIM(B495)="","Legal name missing; ","")&amp;IF(AND(AV495&lt;&gt;"",AV495&lt;&gt;"OK"),"GSTIN: "&amp;AV495&amp;"; ","")&amp;IF(AND(AW495&lt;&gt;"",AW495&lt;&gt;"OK"),"PAN wrong format; ","")&amp;IF(AND(BA495&lt;&gt;"",LEN(AZ495)=15,MID(AZ495,3,10)&lt;&gt;BA495),"PAN does not match GSTIN; ","")&amp;IF(AND(AX495&lt;&gt;"",AX495&lt;&gt;"OK"),"TAN wrong format; ","")&amp;IF(AS495="","PAN missing; ","")&amp;IF(BB495="","Entity type missing; ","")&amp;IF(AND(AZ495&lt;&gt;"",COUNTIF($AZ$6:$AZ$1005,AZ495)&gt;1),"GSTIN repeated in this sheet; ","")&amp;IF(AND(AS495&lt;&gt;"",COUNTIF($AS$6:$AS$1005,AS495)&gt;1),"PAN repeated in this sheet (same client? put extra GSTINs in Other GSTINs); ","")&amp;IF(AND(BD495&gt;0,V495=""),"Financial year missing; ","")&amp;IF(AND(BD495=0,V495&lt;&gt;""),"Financial year given but no service is Yes; ","")&amp;IF(AND(W495="Yes",AZ495=""),"GST needs a GSTIN; ","")&amp;IF(AND(W495="Yes",X495=""),"GST return frequency missing; ","")&amp;IF(AND(Y495="Yes",TRIM(H495)=""),"TDS needs a TAN; ","")&amp;IF(AND(AA495="Yes",BC495&lt;&gt;"",BC495&lt;&gt;"company",BC495&lt;&gt;"llp"),"ROC is only for a company / LLP; ","")&amp;IF(AND(AA495="Yes",OR(BC495="company",BC495="llp"),TRIM(I495)=""),"ROC needs the CIN / LLPIN; ","")&amp;IF((TRIM(AF495)="")&lt;&gt;(TRIM(AG495)=""),"GST login needs both user ID and password; ","")&amp;IF((TRIM(AH495)="")&lt;&gt;(TRIM(AI495)=""),"Income-tax login needs both user ID and password; ","")&amp;IF((TRIM(AJ495)="")&lt;&gt;(TRIM(AK495)=""),"Income-tax login needs both user ID and password; ","")&amp;IF((TRIM(AL495)="")&lt;&gt;(TRIM(AM495)=""),"TRACES login needs both user ID and password; ","")&amp;IF((TRIM(AN495)="")&lt;&gt;(TRIM(AO495)=""),"MCA login needs both user ID and password; ","")&amp;IF((TRIM(AP495)="")&lt;&gt;(TRIM(AQ495)=""),"E-way bill login needs both user ID and password; ","")</f>
        <v/>
      </c>
    </row>
    <row r="496">
      <c r="A496" s="32" t="n"/>
      <c r="B496" s="33" t="n"/>
      <c r="C496" s="33" t="n"/>
      <c r="D496" s="33" t="n"/>
      <c r="E496" s="32" t="n"/>
      <c r="F496" s="32" t="n"/>
      <c r="G496" s="32" t="n"/>
      <c r="H496" s="32" t="n"/>
      <c r="I496" s="32" t="n"/>
      <c r="J496" s="34" t="n"/>
      <c r="K496" s="33" t="n"/>
      <c r="L496" s="32" t="n"/>
      <c r="M496" s="33" t="n"/>
      <c r="N496" s="33" t="n"/>
      <c r="O496" s="33" t="n"/>
      <c r="P496" s="32" t="n"/>
      <c r="Q496" s="33" t="n"/>
      <c r="R496" s="33" t="n"/>
      <c r="S496" s="33" t="n"/>
      <c r="T496" s="33" t="n"/>
      <c r="U496" s="32" t="n"/>
      <c r="V496" s="33" t="n"/>
      <c r="W496" s="33" t="n"/>
      <c r="X496" s="33" t="n"/>
      <c r="Y496" s="33" t="n"/>
      <c r="Z496" s="33" t="n"/>
      <c r="AA496" s="33" t="n"/>
      <c r="AB496" s="33" t="n"/>
      <c r="AC496" s="33" t="n"/>
      <c r="AD496" s="33" t="n"/>
      <c r="AE496" s="33" t="n"/>
      <c r="AF496" s="32" t="n"/>
      <c r="AG496" s="32" t="n"/>
      <c r="AH496" s="32" t="n"/>
      <c r="AI496" s="32" t="n"/>
      <c r="AJ496" s="32" t="n"/>
      <c r="AK496" s="32" t="n"/>
      <c r="AL496" s="32" t="n"/>
      <c r="AM496" s="32" t="n"/>
      <c r="AN496" s="32" t="n"/>
      <c r="AO496" s="32" t="n"/>
      <c r="AP496" s="32" t="n"/>
      <c r="AQ496" s="32" t="n"/>
      <c r="AR496" s="29">
        <f>IF(NOT(COUNTA(A496:AE496)&gt;0),"",IF(A496="","New client","Update"))</f>
        <v/>
      </c>
      <c r="AS496" s="29">
        <f>IF(BA496&lt;&gt;"",BA496,IF(LEN(AZ496)=15,MID(AZ496,3,10),""))</f>
        <v/>
      </c>
      <c r="AT496" s="29">
        <f>IF(BB496="","",BB496&amp;IF(D496="","  (guessed from PAN)",""))</f>
        <v/>
      </c>
      <c r="AU496" s="29">
        <f>IF(AZ496="","",IFERROR(INDEX(Lists!$L$2:$L$38,MATCH(LEFT(AZ496,2),Lists!$K$2:$K$38,0)),"Unknown code"))</f>
        <v/>
      </c>
      <c r="AV496" s="29">
        <f>IF(AZ496="","",IFERROR(IF(NOT(AND(LEN(AZ496)=15,ISNUMBER(MATCH(LEFT(AZ496,2),Lists!$K$2:$K$38,0)),SUMPRODUCT(--ISERROR(FIND(MID(MID(AZ496,3,10),{1,2,3,4,5,10},1),"ABCDEFGHIJKLMNOPQRSTUVWXYZ")))=0,SUMPRODUCT(--ISERROR(FIND(MID(MID(AZ496,3,10),{6,7,8,9},1),"0123456789")))=0,ISNUMBER(FIND(MID(AZ496,13,1),"123456789ABCDEFGHIJKLMNOPQRSTUVWXYZ")),MID(AZ496,14,1)="Z")),"Wrong format",IF(MID("0123456789ABCDEFGHIJKLMNOPQRSTUVWXYZ",MOD(36-MOD(SUMPRODUCT(INT((FIND(MID(AZ496,{1,2,3,4,5,6,7,8,9,10,11,12,13,14},1),"0123456789ABCDEFGHIJKLMNOPQRSTUVWXYZ")-1)*{1,2,1,2,1,2,1,2,1,2,1,2,1,2}/36)+MOD((FIND(MID(AZ496,{1,2,3,4,5,6,7,8,9,10,11,12,13,14},1),"0123456789ABCDEFGHIJKLMNOPQRSTUVWXYZ")-1)*{1,2,1,2,1,2,1,2,1,2,1,2,1,2},36)),36),36)+1,1)=MID(AZ496,15,1),"OK","Typo? check digit wrong")),"Wrong format"))</f>
        <v/>
      </c>
      <c r="AW496" s="29">
        <f>IF(BA496="","",IF(AND(LEN(BA496)=10,SUMPRODUCT(--ISERROR(FIND(MID(BA496,{1,2,3,4,5,10},1),"ABCDEFGHIJKLMNOPQRSTUVWXYZ")))=0,SUMPRODUCT(--ISERROR(FIND(MID(BA496,{6,7,8,9},1),"0123456789")))=0),"OK","Wrong format"))</f>
        <v/>
      </c>
      <c r="AX496" s="29">
        <f>IF(TRIM(H496)="","",IF(AND(LEN(UPPER(TRIM(H496)))=10,SUMPRODUCT(--ISERROR(FIND(MID(UPPER(TRIM(H496)),{1,2,3,4,10},1),"ABCDEFGHIJKLMNOPQRSTUVWXYZ")))=0,SUMPRODUCT(--ISERROR(FIND(MID(UPPER(TRIM(H496)),{5,6,7,8,9},1),"0123456789")))=0),"OK","Wrong format"))</f>
        <v/>
      </c>
      <c r="AY496" s="30">
        <f>IF(NOT(COUNTA(A496:AE496)&gt;0),"",IF(BE496&lt;&gt;"","✖ "&amp;LEFT(BE496,LEN(BE496)-2),IF(BD496&gt;0,"✔ Ready — client + "&amp;BD496&amp;" service(s)","✔ Ready — client only")))</f>
        <v/>
      </c>
      <c r="AZ496" s="31">
        <f>UPPER(SUBSTITUTE(TRIM(F496)," ",""))</f>
        <v/>
      </c>
      <c r="BA496" s="31">
        <f>UPPER(SUBSTITUTE(TRIM(E496)," ",""))</f>
        <v/>
      </c>
      <c r="BB496" s="31">
        <f>IF(D496&lt;&gt;"",D496,IFERROR(VLOOKUP(MID(AS496,4,1),Lists!$E$2:$F$8,2,FALSE),""))</f>
        <v/>
      </c>
      <c r="BC496" s="31">
        <f>IFERROR(VLOOKUP(BB496,Lists!$A$2:$C$12,3,FALSE),"")</f>
        <v/>
      </c>
      <c r="BD496" s="31">
        <f>COUNTIF(W496:AC496,"Yes")</f>
        <v/>
      </c>
      <c r="BE496" s="31">
        <f>IF(TRIM(B496)="","Legal name missing; ","")&amp;IF(AND(AV496&lt;&gt;"",AV496&lt;&gt;"OK"),"GSTIN: "&amp;AV496&amp;"; ","")&amp;IF(AND(AW496&lt;&gt;"",AW496&lt;&gt;"OK"),"PAN wrong format; ","")&amp;IF(AND(BA496&lt;&gt;"",LEN(AZ496)=15,MID(AZ496,3,10)&lt;&gt;BA496),"PAN does not match GSTIN; ","")&amp;IF(AND(AX496&lt;&gt;"",AX496&lt;&gt;"OK"),"TAN wrong format; ","")&amp;IF(AS496="","PAN missing; ","")&amp;IF(BB496="","Entity type missing; ","")&amp;IF(AND(AZ496&lt;&gt;"",COUNTIF($AZ$6:$AZ$1005,AZ496)&gt;1),"GSTIN repeated in this sheet; ","")&amp;IF(AND(AS496&lt;&gt;"",COUNTIF($AS$6:$AS$1005,AS496)&gt;1),"PAN repeated in this sheet (same client? put extra GSTINs in Other GSTINs); ","")&amp;IF(AND(BD496&gt;0,V496=""),"Financial year missing; ","")&amp;IF(AND(BD496=0,V496&lt;&gt;""),"Financial year given but no service is Yes; ","")&amp;IF(AND(W496="Yes",AZ496=""),"GST needs a GSTIN; ","")&amp;IF(AND(W496="Yes",X496=""),"GST return frequency missing; ","")&amp;IF(AND(Y496="Yes",TRIM(H496)=""),"TDS needs a TAN; ","")&amp;IF(AND(AA496="Yes",BC496&lt;&gt;"",BC496&lt;&gt;"company",BC496&lt;&gt;"llp"),"ROC is only for a company / LLP; ","")&amp;IF(AND(AA496="Yes",OR(BC496="company",BC496="llp"),TRIM(I496)=""),"ROC needs the CIN / LLPIN; ","")&amp;IF((TRIM(AF496)="")&lt;&gt;(TRIM(AG496)=""),"GST login needs both user ID and password; ","")&amp;IF((TRIM(AH496)="")&lt;&gt;(TRIM(AI496)=""),"Income-tax login needs both user ID and password; ","")&amp;IF((TRIM(AJ496)="")&lt;&gt;(TRIM(AK496)=""),"Income-tax login needs both user ID and password; ","")&amp;IF((TRIM(AL496)="")&lt;&gt;(TRIM(AM496)=""),"TRACES login needs both user ID and password; ","")&amp;IF((TRIM(AN496)="")&lt;&gt;(TRIM(AO496)=""),"MCA login needs both user ID and password; ","")&amp;IF((TRIM(AP496)="")&lt;&gt;(TRIM(AQ496)=""),"E-way bill login needs both user ID and password; ","")</f>
        <v/>
      </c>
    </row>
    <row r="497">
      <c r="A497" s="32" t="n"/>
      <c r="B497" s="33" t="n"/>
      <c r="C497" s="33" t="n"/>
      <c r="D497" s="33" t="n"/>
      <c r="E497" s="32" t="n"/>
      <c r="F497" s="32" t="n"/>
      <c r="G497" s="32" t="n"/>
      <c r="H497" s="32" t="n"/>
      <c r="I497" s="32" t="n"/>
      <c r="J497" s="34" t="n"/>
      <c r="K497" s="33" t="n"/>
      <c r="L497" s="32" t="n"/>
      <c r="M497" s="33" t="n"/>
      <c r="N497" s="33" t="n"/>
      <c r="O497" s="33" t="n"/>
      <c r="P497" s="32" t="n"/>
      <c r="Q497" s="33" t="n"/>
      <c r="R497" s="33" t="n"/>
      <c r="S497" s="33" t="n"/>
      <c r="T497" s="33" t="n"/>
      <c r="U497" s="32" t="n"/>
      <c r="V497" s="33" t="n"/>
      <c r="W497" s="33" t="n"/>
      <c r="X497" s="33" t="n"/>
      <c r="Y497" s="33" t="n"/>
      <c r="Z497" s="33" t="n"/>
      <c r="AA497" s="33" t="n"/>
      <c r="AB497" s="33" t="n"/>
      <c r="AC497" s="33" t="n"/>
      <c r="AD497" s="33" t="n"/>
      <c r="AE497" s="33" t="n"/>
      <c r="AF497" s="32" t="n"/>
      <c r="AG497" s="32" t="n"/>
      <c r="AH497" s="32" t="n"/>
      <c r="AI497" s="32" t="n"/>
      <c r="AJ497" s="32" t="n"/>
      <c r="AK497" s="32" t="n"/>
      <c r="AL497" s="32" t="n"/>
      <c r="AM497" s="32" t="n"/>
      <c r="AN497" s="32" t="n"/>
      <c r="AO497" s="32" t="n"/>
      <c r="AP497" s="32" t="n"/>
      <c r="AQ497" s="32" t="n"/>
      <c r="AR497" s="29">
        <f>IF(NOT(COUNTA(A497:AE497)&gt;0),"",IF(A497="","New client","Update"))</f>
        <v/>
      </c>
      <c r="AS497" s="29">
        <f>IF(BA497&lt;&gt;"",BA497,IF(LEN(AZ497)=15,MID(AZ497,3,10),""))</f>
        <v/>
      </c>
      <c r="AT497" s="29">
        <f>IF(BB497="","",BB497&amp;IF(D497="","  (guessed from PAN)",""))</f>
        <v/>
      </c>
      <c r="AU497" s="29">
        <f>IF(AZ497="","",IFERROR(INDEX(Lists!$L$2:$L$38,MATCH(LEFT(AZ497,2),Lists!$K$2:$K$38,0)),"Unknown code"))</f>
        <v/>
      </c>
      <c r="AV497" s="29">
        <f>IF(AZ497="","",IFERROR(IF(NOT(AND(LEN(AZ497)=15,ISNUMBER(MATCH(LEFT(AZ497,2),Lists!$K$2:$K$38,0)),SUMPRODUCT(--ISERROR(FIND(MID(MID(AZ497,3,10),{1,2,3,4,5,10},1),"ABCDEFGHIJKLMNOPQRSTUVWXYZ")))=0,SUMPRODUCT(--ISERROR(FIND(MID(MID(AZ497,3,10),{6,7,8,9},1),"0123456789")))=0,ISNUMBER(FIND(MID(AZ497,13,1),"123456789ABCDEFGHIJKLMNOPQRSTUVWXYZ")),MID(AZ497,14,1)="Z")),"Wrong format",IF(MID("0123456789ABCDEFGHIJKLMNOPQRSTUVWXYZ",MOD(36-MOD(SUMPRODUCT(INT((FIND(MID(AZ497,{1,2,3,4,5,6,7,8,9,10,11,12,13,14},1),"0123456789ABCDEFGHIJKLMNOPQRSTUVWXYZ")-1)*{1,2,1,2,1,2,1,2,1,2,1,2,1,2}/36)+MOD((FIND(MID(AZ497,{1,2,3,4,5,6,7,8,9,10,11,12,13,14},1),"0123456789ABCDEFGHIJKLMNOPQRSTUVWXYZ")-1)*{1,2,1,2,1,2,1,2,1,2,1,2,1,2},36)),36),36)+1,1)=MID(AZ497,15,1),"OK","Typo? check digit wrong")),"Wrong format"))</f>
        <v/>
      </c>
      <c r="AW497" s="29">
        <f>IF(BA497="","",IF(AND(LEN(BA497)=10,SUMPRODUCT(--ISERROR(FIND(MID(BA497,{1,2,3,4,5,10},1),"ABCDEFGHIJKLMNOPQRSTUVWXYZ")))=0,SUMPRODUCT(--ISERROR(FIND(MID(BA497,{6,7,8,9},1),"0123456789")))=0),"OK","Wrong format"))</f>
        <v/>
      </c>
      <c r="AX497" s="29">
        <f>IF(TRIM(H497)="","",IF(AND(LEN(UPPER(TRIM(H497)))=10,SUMPRODUCT(--ISERROR(FIND(MID(UPPER(TRIM(H497)),{1,2,3,4,10},1),"ABCDEFGHIJKLMNOPQRSTUVWXYZ")))=0,SUMPRODUCT(--ISERROR(FIND(MID(UPPER(TRIM(H497)),{5,6,7,8,9},1),"0123456789")))=0),"OK","Wrong format"))</f>
        <v/>
      </c>
      <c r="AY497" s="30">
        <f>IF(NOT(COUNTA(A497:AE497)&gt;0),"",IF(BE497&lt;&gt;"","✖ "&amp;LEFT(BE497,LEN(BE497)-2),IF(BD497&gt;0,"✔ Ready — client + "&amp;BD497&amp;" service(s)","✔ Ready — client only")))</f>
        <v/>
      </c>
      <c r="AZ497" s="31">
        <f>UPPER(SUBSTITUTE(TRIM(F497)," ",""))</f>
        <v/>
      </c>
      <c r="BA497" s="31">
        <f>UPPER(SUBSTITUTE(TRIM(E497)," ",""))</f>
        <v/>
      </c>
      <c r="BB497" s="31">
        <f>IF(D497&lt;&gt;"",D497,IFERROR(VLOOKUP(MID(AS497,4,1),Lists!$E$2:$F$8,2,FALSE),""))</f>
        <v/>
      </c>
      <c r="BC497" s="31">
        <f>IFERROR(VLOOKUP(BB497,Lists!$A$2:$C$12,3,FALSE),"")</f>
        <v/>
      </c>
      <c r="BD497" s="31">
        <f>COUNTIF(W497:AC497,"Yes")</f>
        <v/>
      </c>
      <c r="BE497" s="31">
        <f>IF(TRIM(B497)="","Legal name missing; ","")&amp;IF(AND(AV497&lt;&gt;"",AV497&lt;&gt;"OK"),"GSTIN: "&amp;AV497&amp;"; ","")&amp;IF(AND(AW497&lt;&gt;"",AW497&lt;&gt;"OK"),"PAN wrong format; ","")&amp;IF(AND(BA497&lt;&gt;"",LEN(AZ497)=15,MID(AZ497,3,10)&lt;&gt;BA497),"PAN does not match GSTIN; ","")&amp;IF(AND(AX497&lt;&gt;"",AX497&lt;&gt;"OK"),"TAN wrong format; ","")&amp;IF(AS497="","PAN missing; ","")&amp;IF(BB497="","Entity type missing; ","")&amp;IF(AND(AZ497&lt;&gt;"",COUNTIF($AZ$6:$AZ$1005,AZ497)&gt;1),"GSTIN repeated in this sheet; ","")&amp;IF(AND(AS497&lt;&gt;"",COUNTIF($AS$6:$AS$1005,AS497)&gt;1),"PAN repeated in this sheet (same client? put extra GSTINs in Other GSTINs); ","")&amp;IF(AND(BD497&gt;0,V497=""),"Financial year missing; ","")&amp;IF(AND(BD497=0,V497&lt;&gt;""),"Financial year given but no service is Yes; ","")&amp;IF(AND(W497="Yes",AZ497=""),"GST needs a GSTIN; ","")&amp;IF(AND(W497="Yes",X497=""),"GST return frequency missing; ","")&amp;IF(AND(Y497="Yes",TRIM(H497)=""),"TDS needs a TAN; ","")&amp;IF(AND(AA497="Yes",BC497&lt;&gt;"",BC497&lt;&gt;"company",BC497&lt;&gt;"llp"),"ROC is only for a company / LLP; ","")&amp;IF(AND(AA497="Yes",OR(BC497="company",BC497="llp"),TRIM(I497)=""),"ROC needs the CIN / LLPIN; ","")&amp;IF((TRIM(AF497)="")&lt;&gt;(TRIM(AG497)=""),"GST login needs both user ID and password; ","")&amp;IF((TRIM(AH497)="")&lt;&gt;(TRIM(AI497)=""),"Income-tax login needs both user ID and password; ","")&amp;IF((TRIM(AJ497)="")&lt;&gt;(TRIM(AK497)=""),"Income-tax login needs both user ID and password; ","")&amp;IF((TRIM(AL497)="")&lt;&gt;(TRIM(AM497)=""),"TRACES login needs both user ID and password; ","")&amp;IF((TRIM(AN497)="")&lt;&gt;(TRIM(AO497)=""),"MCA login needs both user ID and password; ","")&amp;IF((TRIM(AP497)="")&lt;&gt;(TRIM(AQ497)=""),"E-way bill login needs both user ID and password; ","")</f>
        <v/>
      </c>
    </row>
    <row r="498">
      <c r="A498" s="32" t="n"/>
      <c r="B498" s="33" t="n"/>
      <c r="C498" s="33" t="n"/>
      <c r="D498" s="33" t="n"/>
      <c r="E498" s="32" t="n"/>
      <c r="F498" s="32" t="n"/>
      <c r="G498" s="32" t="n"/>
      <c r="H498" s="32" t="n"/>
      <c r="I498" s="32" t="n"/>
      <c r="J498" s="34" t="n"/>
      <c r="K498" s="33" t="n"/>
      <c r="L498" s="32" t="n"/>
      <c r="M498" s="33" t="n"/>
      <c r="N498" s="33" t="n"/>
      <c r="O498" s="33" t="n"/>
      <c r="P498" s="32" t="n"/>
      <c r="Q498" s="33" t="n"/>
      <c r="R498" s="33" t="n"/>
      <c r="S498" s="33" t="n"/>
      <c r="T498" s="33" t="n"/>
      <c r="U498" s="32" t="n"/>
      <c r="V498" s="33" t="n"/>
      <c r="W498" s="33" t="n"/>
      <c r="X498" s="33" t="n"/>
      <c r="Y498" s="33" t="n"/>
      <c r="Z498" s="33" t="n"/>
      <c r="AA498" s="33" t="n"/>
      <c r="AB498" s="33" t="n"/>
      <c r="AC498" s="33" t="n"/>
      <c r="AD498" s="33" t="n"/>
      <c r="AE498" s="33" t="n"/>
      <c r="AF498" s="32" t="n"/>
      <c r="AG498" s="32" t="n"/>
      <c r="AH498" s="32" t="n"/>
      <c r="AI498" s="32" t="n"/>
      <c r="AJ498" s="32" t="n"/>
      <c r="AK498" s="32" t="n"/>
      <c r="AL498" s="32" t="n"/>
      <c r="AM498" s="32" t="n"/>
      <c r="AN498" s="32" t="n"/>
      <c r="AO498" s="32" t="n"/>
      <c r="AP498" s="32" t="n"/>
      <c r="AQ498" s="32" t="n"/>
      <c r="AR498" s="29">
        <f>IF(NOT(COUNTA(A498:AE498)&gt;0),"",IF(A498="","New client","Update"))</f>
        <v/>
      </c>
      <c r="AS498" s="29">
        <f>IF(BA498&lt;&gt;"",BA498,IF(LEN(AZ498)=15,MID(AZ498,3,10),""))</f>
        <v/>
      </c>
      <c r="AT498" s="29">
        <f>IF(BB498="","",BB498&amp;IF(D498="","  (guessed from PAN)",""))</f>
        <v/>
      </c>
      <c r="AU498" s="29">
        <f>IF(AZ498="","",IFERROR(INDEX(Lists!$L$2:$L$38,MATCH(LEFT(AZ498,2),Lists!$K$2:$K$38,0)),"Unknown code"))</f>
        <v/>
      </c>
      <c r="AV498" s="29">
        <f>IF(AZ498="","",IFERROR(IF(NOT(AND(LEN(AZ498)=15,ISNUMBER(MATCH(LEFT(AZ498,2),Lists!$K$2:$K$38,0)),SUMPRODUCT(--ISERROR(FIND(MID(MID(AZ498,3,10),{1,2,3,4,5,10},1),"ABCDEFGHIJKLMNOPQRSTUVWXYZ")))=0,SUMPRODUCT(--ISERROR(FIND(MID(MID(AZ498,3,10),{6,7,8,9},1),"0123456789")))=0,ISNUMBER(FIND(MID(AZ498,13,1),"123456789ABCDEFGHIJKLMNOPQRSTUVWXYZ")),MID(AZ498,14,1)="Z")),"Wrong format",IF(MID("0123456789ABCDEFGHIJKLMNOPQRSTUVWXYZ",MOD(36-MOD(SUMPRODUCT(INT((FIND(MID(AZ498,{1,2,3,4,5,6,7,8,9,10,11,12,13,14},1),"0123456789ABCDEFGHIJKLMNOPQRSTUVWXYZ")-1)*{1,2,1,2,1,2,1,2,1,2,1,2,1,2}/36)+MOD((FIND(MID(AZ498,{1,2,3,4,5,6,7,8,9,10,11,12,13,14},1),"0123456789ABCDEFGHIJKLMNOPQRSTUVWXYZ")-1)*{1,2,1,2,1,2,1,2,1,2,1,2,1,2},36)),36),36)+1,1)=MID(AZ498,15,1),"OK","Typo? check digit wrong")),"Wrong format"))</f>
        <v/>
      </c>
      <c r="AW498" s="29">
        <f>IF(BA498="","",IF(AND(LEN(BA498)=10,SUMPRODUCT(--ISERROR(FIND(MID(BA498,{1,2,3,4,5,10},1),"ABCDEFGHIJKLMNOPQRSTUVWXYZ")))=0,SUMPRODUCT(--ISERROR(FIND(MID(BA498,{6,7,8,9},1),"0123456789")))=0),"OK","Wrong format"))</f>
        <v/>
      </c>
      <c r="AX498" s="29">
        <f>IF(TRIM(H498)="","",IF(AND(LEN(UPPER(TRIM(H498)))=10,SUMPRODUCT(--ISERROR(FIND(MID(UPPER(TRIM(H498)),{1,2,3,4,10},1),"ABCDEFGHIJKLMNOPQRSTUVWXYZ")))=0,SUMPRODUCT(--ISERROR(FIND(MID(UPPER(TRIM(H498)),{5,6,7,8,9},1),"0123456789")))=0),"OK","Wrong format"))</f>
        <v/>
      </c>
      <c r="AY498" s="30">
        <f>IF(NOT(COUNTA(A498:AE498)&gt;0),"",IF(BE498&lt;&gt;"","✖ "&amp;LEFT(BE498,LEN(BE498)-2),IF(BD498&gt;0,"✔ Ready — client + "&amp;BD498&amp;" service(s)","✔ Ready — client only")))</f>
        <v/>
      </c>
      <c r="AZ498" s="31">
        <f>UPPER(SUBSTITUTE(TRIM(F498)," ",""))</f>
        <v/>
      </c>
      <c r="BA498" s="31">
        <f>UPPER(SUBSTITUTE(TRIM(E498)," ",""))</f>
        <v/>
      </c>
      <c r="BB498" s="31">
        <f>IF(D498&lt;&gt;"",D498,IFERROR(VLOOKUP(MID(AS498,4,1),Lists!$E$2:$F$8,2,FALSE),""))</f>
        <v/>
      </c>
      <c r="BC498" s="31">
        <f>IFERROR(VLOOKUP(BB498,Lists!$A$2:$C$12,3,FALSE),"")</f>
        <v/>
      </c>
      <c r="BD498" s="31">
        <f>COUNTIF(W498:AC498,"Yes")</f>
        <v/>
      </c>
      <c r="BE498" s="31">
        <f>IF(TRIM(B498)="","Legal name missing; ","")&amp;IF(AND(AV498&lt;&gt;"",AV498&lt;&gt;"OK"),"GSTIN: "&amp;AV498&amp;"; ","")&amp;IF(AND(AW498&lt;&gt;"",AW498&lt;&gt;"OK"),"PAN wrong format; ","")&amp;IF(AND(BA498&lt;&gt;"",LEN(AZ498)=15,MID(AZ498,3,10)&lt;&gt;BA498),"PAN does not match GSTIN; ","")&amp;IF(AND(AX498&lt;&gt;"",AX498&lt;&gt;"OK"),"TAN wrong format; ","")&amp;IF(AS498="","PAN missing; ","")&amp;IF(BB498="","Entity type missing; ","")&amp;IF(AND(AZ498&lt;&gt;"",COUNTIF($AZ$6:$AZ$1005,AZ498)&gt;1),"GSTIN repeated in this sheet; ","")&amp;IF(AND(AS498&lt;&gt;"",COUNTIF($AS$6:$AS$1005,AS498)&gt;1),"PAN repeated in this sheet (same client? put extra GSTINs in Other GSTINs); ","")&amp;IF(AND(BD498&gt;0,V498=""),"Financial year missing; ","")&amp;IF(AND(BD498=0,V498&lt;&gt;""),"Financial year given but no service is Yes; ","")&amp;IF(AND(W498="Yes",AZ498=""),"GST needs a GSTIN; ","")&amp;IF(AND(W498="Yes",X498=""),"GST return frequency missing; ","")&amp;IF(AND(Y498="Yes",TRIM(H498)=""),"TDS needs a TAN; ","")&amp;IF(AND(AA498="Yes",BC498&lt;&gt;"",BC498&lt;&gt;"company",BC498&lt;&gt;"llp"),"ROC is only for a company / LLP; ","")&amp;IF(AND(AA498="Yes",OR(BC498="company",BC498="llp"),TRIM(I498)=""),"ROC needs the CIN / LLPIN; ","")&amp;IF((TRIM(AF498)="")&lt;&gt;(TRIM(AG498)=""),"GST login needs both user ID and password; ","")&amp;IF((TRIM(AH498)="")&lt;&gt;(TRIM(AI498)=""),"Income-tax login needs both user ID and password; ","")&amp;IF((TRIM(AJ498)="")&lt;&gt;(TRIM(AK498)=""),"Income-tax login needs both user ID and password; ","")&amp;IF((TRIM(AL498)="")&lt;&gt;(TRIM(AM498)=""),"TRACES login needs both user ID and password; ","")&amp;IF((TRIM(AN498)="")&lt;&gt;(TRIM(AO498)=""),"MCA login needs both user ID and password; ","")&amp;IF((TRIM(AP498)="")&lt;&gt;(TRIM(AQ498)=""),"E-way bill login needs both user ID and password; ","")</f>
        <v/>
      </c>
    </row>
    <row r="499">
      <c r="A499" s="32" t="n"/>
      <c r="B499" s="33" t="n"/>
      <c r="C499" s="33" t="n"/>
      <c r="D499" s="33" t="n"/>
      <c r="E499" s="32" t="n"/>
      <c r="F499" s="32" t="n"/>
      <c r="G499" s="32" t="n"/>
      <c r="H499" s="32" t="n"/>
      <c r="I499" s="32" t="n"/>
      <c r="J499" s="34" t="n"/>
      <c r="K499" s="33" t="n"/>
      <c r="L499" s="32" t="n"/>
      <c r="M499" s="33" t="n"/>
      <c r="N499" s="33" t="n"/>
      <c r="O499" s="33" t="n"/>
      <c r="P499" s="32" t="n"/>
      <c r="Q499" s="33" t="n"/>
      <c r="R499" s="33" t="n"/>
      <c r="S499" s="33" t="n"/>
      <c r="T499" s="33" t="n"/>
      <c r="U499" s="32" t="n"/>
      <c r="V499" s="33" t="n"/>
      <c r="W499" s="33" t="n"/>
      <c r="X499" s="33" t="n"/>
      <c r="Y499" s="33" t="n"/>
      <c r="Z499" s="33" t="n"/>
      <c r="AA499" s="33" t="n"/>
      <c r="AB499" s="33" t="n"/>
      <c r="AC499" s="33" t="n"/>
      <c r="AD499" s="33" t="n"/>
      <c r="AE499" s="33" t="n"/>
      <c r="AF499" s="32" t="n"/>
      <c r="AG499" s="32" t="n"/>
      <c r="AH499" s="32" t="n"/>
      <c r="AI499" s="32" t="n"/>
      <c r="AJ499" s="32" t="n"/>
      <c r="AK499" s="32" t="n"/>
      <c r="AL499" s="32" t="n"/>
      <c r="AM499" s="32" t="n"/>
      <c r="AN499" s="32" t="n"/>
      <c r="AO499" s="32" t="n"/>
      <c r="AP499" s="32" t="n"/>
      <c r="AQ499" s="32" t="n"/>
      <c r="AR499" s="29">
        <f>IF(NOT(COUNTA(A499:AE499)&gt;0),"",IF(A499="","New client","Update"))</f>
        <v/>
      </c>
      <c r="AS499" s="29">
        <f>IF(BA499&lt;&gt;"",BA499,IF(LEN(AZ499)=15,MID(AZ499,3,10),""))</f>
        <v/>
      </c>
      <c r="AT499" s="29">
        <f>IF(BB499="","",BB499&amp;IF(D499="","  (guessed from PAN)",""))</f>
        <v/>
      </c>
      <c r="AU499" s="29">
        <f>IF(AZ499="","",IFERROR(INDEX(Lists!$L$2:$L$38,MATCH(LEFT(AZ499,2),Lists!$K$2:$K$38,0)),"Unknown code"))</f>
        <v/>
      </c>
      <c r="AV499" s="29">
        <f>IF(AZ499="","",IFERROR(IF(NOT(AND(LEN(AZ499)=15,ISNUMBER(MATCH(LEFT(AZ499,2),Lists!$K$2:$K$38,0)),SUMPRODUCT(--ISERROR(FIND(MID(MID(AZ499,3,10),{1,2,3,4,5,10},1),"ABCDEFGHIJKLMNOPQRSTUVWXYZ")))=0,SUMPRODUCT(--ISERROR(FIND(MID(MID(AZ499,3,10),{6,7,8,9},1),"0123456789")))=0,ISNUMBER(FIND(MID(AZ499,13,1),"123456789ABCDEFGHIJKLMNOPQRSTUVWXYZ")),MID(AZ499,14,1)="Z")),"Wrong format",IF(MID("0123456789ABCDEFGHIJKLMNOPQRSTUVWXYZ",MOD(36-MOD(SUMPRODUCT(INT((FIND(MID(AZ499,{1,2,3,4,5,6,7,8,9,10,11,12,13,14},1),"0123456789ABCDEFGHIJKLMNOPQRSTUVWXYZ")-1)*{1,2,1,2,1,2,1,2,1,2,1,2,1,2}/36)+MOD((FIND(MID(AZ499,{1,2,3,4,5,6,7,8,9,10,11,12,13,14},1),"0123456789ABCDEFGHIJKLMNOPQRSTUVWXYZ")-1)*{1,2,1,2,1,2,1,2,1,2,1,2,1,2},36)),36),36)+1,1)=MID(AZ499,15,1),"OK","Typo? check digit wrong")),"Wrong format"))</f>
        <v/>
      </c>
      <c r="AW499" s="29">
        <f>IF(BA499="","",IF(AND(LEN(BA499)=10,SUMPRODUCT(--ISERROR(FIND(MID(BA499,{1,2,3,4,5,10},1),"ABCDEFGHIJKLMNOPQRSTUVWXYZ")))=0,SUMPRODUCT(--ISERROR(FIND(MID(BA499,{6,7,8,9},1),"0123456789")))=0),"OK","Wrong format"))</f>
        <v/>
      </c>
      <c r="AX499" s="29">
        <f>IF(TRIM(H499)="","",IF(AND(LEN(UPPER(TRIM(H499)))=10,SUMPRODUCT(--ISERROR(FIND(MID(UPPER(TRIM(H499)),{1,2,3,4,10},1),"ABCDEFGHIJKLMNOPQRSTUVWXYZ")))=0,SUMPRODUCT(--ISERROR(FIND(MID(UPPER(TRIM(H499)),{5,6,7,8,9},1),"0123456789")))=0),"OK","Wrong format"))</f>
        <v/>
      </c>
      <c r="AY499" s="30">
        <f>IF(NOT(COUNTA(A499:AE499)&gt;0),"",IF(BE499&lt;&gt;"","✖ "&amp;LEFT(BE499,LEN(BE499)-2),IF(BD499&gt;0,"✔ Ready — client + "&amp;BD499&amp;" service(s)","✔ Ready — client only")))</f>
        <v/>
      </c>
      <c r="AZ499" s="31">
        <f>UPPER(SUBSTITUTE(TRIM(F499)," ",""))</f>
        <v/>
      </c>
      <c r="BA499" s="31">
        <f>UPPER(SUBSTITUTE(TRIM(E499)," ",""))</f>
        <v/>
      </c>
      <c r="BB499" s="31">
        <f>IF(D499&lt;&gt;"",D499,IFERROR(VLOOKUP(MID(AS499,4,1),Lists!$E$2:$F$8,2,FALSE),""))</f>
        <v/>
      </c>
      <c r="BC499" s="31">
        <f>IFERROR(VLOOKUP(BB499,Lists!$A$2:$C$12,3,FALSE),"")</f>
        <v/>
      </c>
      <c r="BD499" s="31">
        <f>COUNTIF(W499:AC499,"Yes")</f>
        <v/>
      </c>
      <c r="BE499" s="31">
        <f>IF(TRIM(B499)="","Legal name missing; ","")&amp;IF(AND(AV499&lt;&gt;"",AV499&lt;&gt;"OK"),"GSTIN: "&amp;AV499&amp;"; ","")&amp;IF(AND(AW499&lt;&gt;"",AW499&lt;&gt;"OK"),"PAN wrong format; ","")&amp;IF(AND(BA499&lt;&gt;"",LEN(AZ499)=15,MID(AZ499,3,10)&lt;&gt;BA499),"PAN does not match GSTIN; ","")&amp;IF(AND(AX499&lt;&gt;"",AX499&lt;&gt;"OK"),"TAN wrong format; ","")&amp;IF(AS499="","PAN missing; ","")&amp;IF(BB499="","Entity type missing; ","")&amp;IF(AND(AZ499&lt;&gt;"",COUNTIF($AZ$6:$AZ$1005,AZ499)&gt;1),"GSTIN repeated in this sheet; ","")&amp;IF(AND(AS499&lt;&gt;"",COUNTIF($AS$6:$AS$1005,AS499)&gt;1),"PAN repeated in this sheet (same client? put extra GSTINs in Other GSTINs); ","")&amp;IF(AND(BD499&gt;0,V499=""),"Financial year missing; ","")&amp;IF(AND(BD499=0,V499&lt;&gt;""),"Financial year given but no service is Yes; ","")&amp;IF(AND(W499="Yes",AZ499=""),"GST needs a GSTIN; ","")&amp;IF(AND(W499="Yes",X499=""),"GST return frequency missing; ","")&amp;IF(AND(Y499="Yes",TRIM(H499)=""),"TDS needs a TAN; ","")&amp;IF(AND(AA499="Yes",BC499&lt;&gt;"",BC499&lt;&gt;"company",BC499&lt;&gt;"llp"),"ROC is only for a company / LLP; ","")&amp;IF(AND(AA499="Yes",OR(BC499="company",BC499="llp"),TRIM(I499)=""),"ROC needs the CIN / LLPIN; ","")&amp;IF((TRIM(AF499)="")&lt;&gt;(TRIM(AG499)=""),"GST login needs both user ID and password; ","")&amp;IF((TRIM(AH499)="")&lt;&gt;(TRIM(AI499)=""),"Income-tax login needs both user ID and password; ","")&amp;IF((TRIM(AJ499)="")&lt;&gt;(TRIM(AK499)=""),"Income-tax login needs both user ID and password; ","")&amp;IF((TRIM(AL499)="")&lt;&gt;(TRIM(AM499)=""),"TRACES login needs both user ID and password; ","")&amp;IF((TRIM(AN499)="")&lt;&gt;(TRIM(AO499)=""),"MCA login needs both user ID and password; ","")&amp;IF((TRIM(AP499)="")&lt;&gt;(TRIM(AQ499)=""),"E-way bill login needs both user ID and password; ","")</f>
        <v/>
      </c>
    </row>
    <row r="500">
      <c r="A500" s="32" t="n"/>
      <c r="B500" s="33" t="n"/>
      <c r="C500" s="33" t="n"/>
      <c r="D500" s="33" t="n"/>
      <c r="E500" s="32" t="n"/>
      <c r="F500" s="32" t="n"/>
      <c r="G500" s="32" t="n"/>
      <c r="H500" s="32" t="n"/>
      <c r="I500" s="32" t="n"/>
      <c r="J500" s="34" t="n"/>
      <c r="K500" s="33" t="n"/>
      <c r="L500" s="32" t="n"/>
      <c r="M500" s="33" t="n"/>
      <c r="N500" s="33" t="n"/>
      <c r="O500" s="33" t="n"/>
      <c r="P500" s="32" t="n"/>
      <c r="Q500" s="33" t="n"/>
      <c r="R500" s="33" t="n"/>
      <c r="S500" s="33" t="n"/>
      <c r="T500" s="33" t="n"/>
      <c r="U500" s="32" t="n"/>
      <c r="V500" s="33" t="n"/>
      <c r="W500" s="33" t="n"/>
      <c r="X500" s="33" t="n"/>
      <c r="Y500" s="33" t="n"/>
      <c r="Z500" s="33" t="n"/>
      <c r="AA500" s="33" t="n"/>
      <c r="AB500" s="33" t="n"/>
      <c r="AC500" s="33" t="n"/>
      <c r="AD500" s="33" t="n"/>
      <c r="AE500" s="33" t="n"/>
      <c r="AF500" s="32" t="n"/>
      <c r="AG500" s="32" t="n"/>
      <c r="AH500" s="32" t="n"/>
      <c r="AI500" s="32" t="n"/>
      <c r="AJ500" s="32" t="n"/>
      <c r="AK500" s="32" t="n"/>
      <c r="AL500" s="32" t="n"/>
      <c r="AM500" s="32" t="n"/>
      <c r="AN500" s="32" t="n"/>
      <c r="AO500" s="32" t="n"/>
      <c r="AP500" s="32" t="n"/>
      <c r="AQ500" s="32" t="n"/>
      <c r="AR500" s="29">
        <f>IF(NOT(COUNTA(A500:AE500)&gt;0),"",IF(A500="","New client","Update"))</f>
        <v/>
      </c>
      <c r="AS500" s="29">
        <f>IF(BA500&lt;&gt;"",BA500,IF(LEN(AZ500)=15,MID(AZ500,3,10),""))</f>
        <v/>
      </c>
      <c r="AT500" s="29">
        <f>IF(BB500="","",BB500&amp;IF(D500="","  (guessed from PAN)",""))</f>
        <v/>
      </c>
      <c r="AU500" s="29">
        <f>IF(AZ500="","",IFERROR(INDEX(Lists!$L$2:$L$38,MATCH(LEFT(AZ500,2),Lists!$K$2:$K$38,0)),"Unknown code"))</f>
        <v/>
      </c>
      <c r="AV500" s="29">
        <f>IF(AZ500="","",IFERROR(IF(NOT(AND(LEN(AZ500)=15,ISNUMBER(MATCH(LEFT(AZ500,2),Lists!$K$2:$K$38,0)),SUMPRODUCT(--ISERROR(FIND(MID(MID(AZ500,3,10),{1,2,3,4,5,10},1),"ABCDEFGHIJKLMNOPQRSTUVWXYZ")))=0,SUMPRODUCT(--ISERROR(FIND(MID(MID(AZ500,3,10),{6,7,8,9},1),"0123456789")))=0,ISNUMBER(FIND(MID(AZ500,13,1),"123456789ABCDEFGHIJKLMNOPQRSTUVWXYZ")),MID(AZ500,14,1)="Z")),"Wrong format",IF(MID("0123456789ABCDEFGHIJKLMNOPQRSTUVWXYZ",MOD(36-MOD(SUMPRODUCT(INT((FIND(MID(AZ500,{1,2,3,4,5,6,7,8,9,10,11,12,13,14},1),"0123456789ABCDEFGHIJKLMNOPQRSTUVWXYZ")-1)*{1,2,1,2,1,2,1,2,1,2,1,2,1,2}/36)+MOD((FIND(MID(AZ500,{1,2,3,4,5,6,7,8,9,10,11,12,13,14},1),"0123456789ABCDEFGHIJKLMNOPQRSTUVWXYZ")-1)*{1,2,1,2,1,2,1,2,1,2,1,2,1,2},36)),36),36)+1,1)=MID(AZ500,15,1),"OK","Typo? check digit wrong")),"Wrong format"))</f>
        <v/>
      </c>
      <c r="AW500" s="29">
        <f>IF(BA500="","",IF(AND(LEN(BA500)=10,SUMPRODUCT(--ISERROR(FIND(MID(BA500,{1,2,3,4,5,10},1),"ABCDEFGHIJKLMNOPQRSTUVWXYZ")))=0,SUMPRODUCT(--ISERROR(FIND(MID(BA500,{6,7,8,9},1),"0123456789")))=0),"OK","Wrong format"))</f>
        <v/>
      </c>
      <c r="AX500" s="29">
        <f>IF(TRIM(H500)="","",IF(AND(LEN(UPPER(TRIM(H500)))=10,SUMPRODUCT(--ISERROR(FIND(MID(UPPER(TRIM(H500)),{1,2,3,4,10},1),"ABCDEFGHIJKLMNOPQRSTUVWXYZ")))=0,SUMPRODUCT(--ISERROR(FIND(MID(UPPER(TRIM(H500)),{5,6,7,8,9},1),"0123456789")))=0),"OK","Wrong format"))</f>
        <v/>
      </c>
      <c r="AY500" s="30">
        <f>IF(NOT(COUNTA(A500:AE500)&gt;0),"",IF(BE500&lt;&gt;"","✖ "&amp;LEFT(BE500,LEN(BE500)-2),IF(BD500&gt;0,"✔ Ready — client + "&amp;BD500&amp;" service(s)","✔ Ready — client only")))</f>
        <v/>
      </c>
      <c r="AZ500" s="31">
        <f>UPPER(SUBSTITUTE(TRIM(F500)," ",""))</f>
        <v/>
      </c>
      <c r="BA500" s="31">
        <f>UPPER(SUBSTITUTE(TRIM(E500)," ",""))</f>
        <v/>
      </c>
      <c r="BB500" s="31">
        <f>IF(D500&lt;&gt;"",D500,IFERROR(VLOOKUP(MID(AS500,4,1),Lists!$E$2:$F$8,2,FALSE),""))</f>
        <v/>
      </c>
      <c r="BC500" s="31">
        <f>IFERROR(VLOOKUP(BB500,Lists!$A$2:$C$12,3,FALSE),"")</f>
        <v/>
      </c>
      <c r="BD500" s="31">
        <f>COUNTIF(W500:AC500,"Yes")</f>
        <v/>
      </c>
      <c r="BE500" s="31">
        <f>IF(TRIM(B500)="","Legal name missing; ","")&amp;IF(AND(AV500&lt;&gt;"",AV500&lt;&gt;"OK"),"GSTIN: "&amp;AV500&amp;"; ","")&amp;IF(AND(AW500&lt;&gt;"",AW500&lt;&gt;"OK"),"PAN wrong format; ","")&amp;IF(AND(BA500&lt;&gt;"",LEN(AZ500)=15,MID(AZ500,3,10)&lt;&gt;BA500),"PAN does not match GSTIN; ","")&amp;IF(AND(AX500&lt;&gt;"",AX500&lt;&gt;"OK"),"TAN wrong format; ","")&amp;IF(AS500="","PAN missing; ","")&amp;IF(BB500="","Entity type missing; ","")&amp;IF(AND(AZ500&lt;&gt;"",COUNTIF($AZ$6:$AZ$1005,AZ500)&gt;1),"GSTIN repeated in this sheet; ","")&amp;IF(AND(AS500&lt;&gt;"",COUNTIF($AS$6:$AS$1005,AS500)&gt;1),"PAN repeated in this sheet (same client? put extra GSTINs in Other GSTINs); ","")&amp;IF(AND(BD500&gt;0,V500=""),"Financial year missing; ","")&amp;IF(AND(BD500=0,V500&lt;&gt;""),"Financial year given but no service is Yes; ","")&amp;IF(AND(W500="Yes",AZ500=""),"GST needs a GSTIN; ","")&amp;IF(AND(W500="Yes",X500=""),"GST return frequency missing; ","")&amp;IF(AND(Y500="Yes",TRIM(H500)=""),"TDS needs a TAN; ","")&amp;IF(AND(AA500="Yes",BC500&lt;&gt;"",BC500&lt;&gt;"company",BC500&lt;&gt;"llp"),"ROC is only for a company / LLP; ","")&amp;IF(AND(AA500="Yes",OR(BC500="company",BC500="llp"),TRIM(I500)=""),"ROC needs the CIN / LLPIN; ","")&amp;IF((TRIM(AF500)="")&lt;&gt;(TRIM(AG500)=""),"GST login needs both user ID and password; ","")&amp;IF((TRIM(AH500)="")&lt;&gt;(TRIM(AI500)=""),"Income-tax login needs both user ID and password; ","")&amp;IF((TRIM(AJ500)="")&lt;&gt;(TRIM(AK500)=""),"Income-tax login needs both user ID and password; ","")&amp;IF((TRIM(AL500)="")&lt;&gt;(TRIM(AM500)=""),"TRACES login needs both user ID and password; ","")&amp;IF((TRIM(AN500)="")&lt;&gt;(TRIM(AO500)=""),"MCA login needs both user ID and password; ","")&amp;IF((TRIM(AP500)="")&lt;&gt;(TRIM(AQ500)=""),"E-way bill login needs both user ID and password; ","")</f>
        <v/>
      </c>
    </row>
    <row r="501">
      <c r="A501" s="32" t="n"/>
      <c r="B501" s="33" t="n"/>
      <c r="C501" s="33" t="n"/>
      <c r="D501" s="33" t="n"/>
      <c r="E501" s="32" t="n"/>
      <c r="F501" s="32" t="n"/>
      <c r="G501" s="32" t="n"/>
      <c r="H501" s="32" t="n"/>
      <c r="I501" s="32" t="n"/>
      <c r="J501" s="34" t="n"/>
      <c r="K501" s="33" t="n"/>
      <c r="L501" s="32" t="n"/>
      <c r="M501" s="33" t="n"/>
      <c r="N501" s="33" t="n"/>
      <c r="O501" s="33" t="n"/>
      <c r="P501" s="32" t="n"/>
      <c r="Q501" s="33" t="n"/>
      <c r="R501" s="33" t="n"/>
      <c r="S501" s="33" t="n"/>
      <c r="T501" s="33" t="n"/>
      <c r="U501" s="32" t="n"/>
      <c r="V501" s="33" t="n"/>
      <c r="W501" s="33" t="n"/>
      <c r="X501" s="33" t="n"/>
      <c r="Y501" s="33" t="n"/>
      <c r="Z501" s="33" t="n"/>
      <c r="AA501" s="33" t="n"/>
      <c r="AB501" s="33" t="n"/>
      <c r="AC501" s="33" t="n"/>
      <c r="AD501" s="33" t="n"/>
      <c r="AE501" s="33" t="n"/>
      <c r="AF501" s="32" t="n"/>
      <c r="AG501" s="32" t="n"/>
      <c r="AH501" s="32" t="n"/>
      <c r="AI501" s="32" t="n"/>
      <c r="AJ501" s="32" t="n"/>
      <c r="AK501" s="32" t="n"/>
      <c r="AL501" s="32" t="n"/>
      <c r="AM501" s="32" t="n"/>
      <c r="AN501" s="32" t="n"/>
      <c r="AO501" s="32" t="n"/>
      <c r="AP501" s="32" t="n"/>
      <c r="AQ501" s="32" t="n"/>
      <c r="AR501" s="29">
        <f>IF(NOT(COUNTA(A501:AE501)&gt;0),"",IF(A501="","New client","Update"))</f>
        <v/>
      </c>
      <c r="AS501" s="29">
        <f>IF(BA501&lt;&gt;"",BA501,IF(LEN(AZ501)=15,MID(AZ501,3,10),""))</f>
        <v/>
      </c>
      <c r="AT501" s="29">
        <f>IF(BB501="","",BB501&amp;IF(D501="","  (guessed from PAN)",""))</f>
        <v/>
      </c>
      <c r="AU501" s="29">
        <f>IF(AZ501="","",IFERROR(INDEX(Lists!$L$2:$L$38,MATCH(LEFT(AZ501,2),Lists!$K$2:$K$38,0)),"Unknown code"))</f>
        <v/>
      </c>
      <c r="AV501" s="29">
        <f>IF(AZ501="","",IFERROR(IF(NOT(AND(LEN(AZ501)=15,ISNUMBER(MATCH(LEFT(AZ501,2),Lists!$K$2:$K$38,0)),SUMPRODUCT(--ISERROR(FIND(MID(MID(AZ501,3,10),{1,2,3,4,5,10},1),"ABCDEFGHIJKLMNOPQRSTUVWXYZ")))=0,SUMPRODUCT(--ISERROR(FIND(MID(MID(AZ501,3,10),{6,7,8,9},1),"0123456789")))=0,ISNUMBER(FIND(MID(AZ501,13,1),"123456789ABCDEFGHIJKLMNOPQRSTUVWXYZ")),MID(AZ501,14,1)="Z")),"Wrong format",IF(MID("0123456789ABCDEFGHIJKLMNOPQRSTUVWXYZ",MOD(36-MOD(SUMPRODUCT(INT((FIND(MID(AZ501,{1,2,3,4,5,6,7,8,9,10,11,12,13,14},1),"0123456789ABCDEFGHIJKLMNOPQRSTUVWXYZ")-1)*{1,2,1,2,1,2,1,2,1,2,1,2,1,2}/36)+MOD((FIND(MID(AZ501,{1,2,3,4,5,6,7,8,9,10,11,12,13,14},1),"0123456789ABCDEFGHIJKLMNOPQRSTUVWXYZ")-1)*{1,2,1,2,1,2,1,2,1,2,1,2,1,2},36)),36),36)+1,1)=MID(AZ501,15,1),"OK","Typo? check digit wrong")),"Wrong format"))</f>
        <v/>
      </c>
      <c r="AW501" s="29">
        <f>IF(BA501="","",IF(AND(LEN(BA501)=10,SUMPRODUCT(--ISERROR(FIND(MID(BA501,{1,2,3,4,5,10},1),"ABCDEFGHIJKLMNOPQRSTUVWXYZ")))=0,SUMPRODUCT(--ISERROR(FIND(MID(BA501,{6,7,8,9},1),"0123456789")))=0),"OK","Wrong format"))</f>
        <v/>
      </c>
      <c r="AX501" s="29">
        <f>IF(TRIM(H501)="","",IF(AND(LEN(UPPER(TRIM(H501)))=10,SUMPRODUCT(--ISERROR(FIND(MID(UPPER(TRIM(H501)),{1,2,3,4,10},1),"ABCDEFGHIJKLMNOPQRSTUVWXYZ")))=0,SUMPRODUCT(--ISERROR(FIND(MID(UPPER(TRIM(H501)),{5,6,7,8,9},1),"0123456789")))=0),"OK","Wrong format"))</f>
        <v/>
      </c>
      <c r="AY501" s="30">
        <f>IF(NOT(COUNTA(A501:AE501)&gt;0),"",IF(BE501&lt;&gt;"","✖ "&amp;LEFT(BE501,LEN(BE501)-2),IF(BD501&gt;0,"✔ Ready — client + "&amp;BD501&amp;" service(s)","✔ Ready — client only")))</f>
        <v/>
      </c>
      <c r="AZ501" s="31">
        <f>UPPER(SUBSTITUTE(TRIM(F501)," ",""))</f>
        <v/>
      </c>
      <c r="BA501" s="31">
        <f>UPPER(SUBSTITUTE(TRIM(E501)," ",""))</f>
        <v/>
      </c>
      <c r="BB501" s="31">
        <f>IF(D501&lt;&gt;"",D501,IFERROR(VLOOKUP(MID(AS501,4,1),Lists!$E$2:$F$8,2,FALSE),""))</f>
        <v/>
      </c>
      <c r="BC501" s="31">
        <f>IFERROR(VLOOKUP(BB501,Lists!$A$2:$C$12,3,FALSE),"")</f>
        <v/>
      </c>
      <c r="BD501" s="31">
        <f>COUNTIF(W501:AC501,"Yes")</f>
        <v/>
      </c>
      <c r="BE501" s="31">
        <f>IF(TRIM(B501)="","Legal name missing; ","")&amp;IF(AND(AV501&lt;&gt;"",AV501&lt;&gt;"OK"),"GSTIN: "&amp;AV501&amp;"; ","")&amp;IF(AND(AW501&lt;&gt;"",AW501&lt;&gt;"OK"),"PAN wrong format; ","")&amp;IF(AND(BA501&lt;&gt;"",LEN(AZ501)=15,MID(AZ501,3,10)&lt;&gt;BA501),"PAN does not match GSTIN; ","")&amp;IF(AND(AX501&lt;&gt;"",AX501&lt;&gt;"OK"),"TAN wrong format; ","")&amp;IF(AS501="","PAN missing; ","")&amp;IF(BB501="","Entity type missing; ","")&amp;IF(AND(AZ501&lt;&gt;"",COUNTIF($AZ$6:$AZ$1005,AZ501)&gt;1),"GSTIN repeated in this sheet; ","")&amp;IF(AND(AS501&lt;&gt;"",COUNTIF($AS$6:$AS$1005,AS501)&gt;1),"PAN repeated in this sheet (same client? put extra GSTINs in Other GSTINs); ","")&amp;IF(AND(BD501&gt;0,V501=""),"Financial year missing; ","")&amp;IF(AND(BD501=0,V501&lt;&gt;""),"Financial year given but no service is Yes; ","")&amp;IF(AND(W501="Yes",AZ501=""),"GST needs a GSTIN; ","")&amp;IF(AND(W501="Yes",X501=""),"GST return frequency missing; ","")&amp;IF(AND(Y501="Yes",TRIM(H501)=""),"TDS needs a TAN; ","")&amp;IF(AND(AA501="Yes",BC501&lt;&gt;"",BC501&lt;&gt;"company",BC501&lt;&gt;"llp"),"ROC is only for a company / LLP; ","")&amp;IF(AND(AA501="Yes",OR(BC501="company",BC501="llp"),TRIM(I501)=""),"ROC needs the CIN / LLPIN; ","")&amp;IF((TRIM(AF501)="")&lt;&gt;(TRIM(AG501)=""),"GST login needs both user ID and password; ","")&amp;IF((TRIM(AH501)="")&lt;&gt;(TRIM(AI501)=""),"Income-tax login needs both user ID and password; ","")&amp;IF((TRIM(AJ501)="")&lt;&gt;(TRIM(AK501)=""),"Income-tax login needs both user ID and password; ","")&amp;IF((TRIM(AL501)="")&lt;&gt;(TRIM(AM501)=""),"TRACES login needs both user ID and password; ","")&amp;IF((TRIM(AN501)="")&lt;&gt;(TRIM(AO501)=""),"MCA login needs both user ID and password; ","")&amp;IF((TRIM(AP501)="")&lt;&gt;(TRIM(AQ501)=""),"E-way bill login needs both user ID and password; ","")</f>
        <v/>
      </c>
    </row>
    <row r="502">
      <c r="A502" s="32" t="n"/>
      <c r="B502" s="33" t="n"/>
      <c r="C502" s="33" t="n"/>
      <c r="D502" s="33" t="n"/>
      <c r="E502" s="32" t="n"/>
      <c r="F502" s="32" t="n"/>
      <c r="G502" s="32" t="n"/>
      <c r="H502" s="32" t="n"/>
      <c r="I502" s="32" t="n"/>
      <c r="J502" s="34" t="n"/>
      <c r="K502" s="33" t="n"/>
      <c r="L502" s="32" t="n"/>
      <c r="M502" s="33" t="n"/>
      <c r="N502" s="33" t="n"/>
      <c r="O502" s="33" t="n"/>
      <c r="P502" s="32" t="n"/>
      <c r="Q502" s="33" t="n"/>
      <c r="R502" s="33" t="n"/>
      <c r="S502" s="33" t="n"/>
      <c r="T502" s="33" t="n"/>
      <c r="U502" s="32" t="n"/>
      <c r="V502" s="33" t="n"/>
      <c r="W502" s="33" t="n"/>
      <c r="X502" s="33" t="n"/>
      <c r="Y502" s="33" t="n"/>
      <c r="Z502" s="33" t="n"/>
      <c r="AA502" s="33" t="n"/>
      <c r="AB502" s="33" t="n"/>
      <c r="AC502" s="33" t="n"/>
      <c r="AD502" s="33" t="n"/>
      <c r="AE502" s="33" t="n"/>
      <c r="AF502" s="32" t="n"/>
      <c r="AG502" s="32" t="n"/>
      <c r="AH502" s="32" t="n"/>
      <c r="AI502" s="32" t="n"/>
      <c r="AJ502" s="32" t="n"/>
      <c r="AK502" s="32" t="n"/>
      <c r="AL502" s="32" t="n"/>
      <c r="AM502" s="32" t="n"/>
      <c r="AN502" s="32" t="n"/>
      <c r="AO502" s="32" t="n"/>
      <c r="AP502" s="32" t="n"/>
      <c r="AQ502" s="32" t="n"/>
      <c r="AR502" s="29">
        <f>IF(NOT(COUNTA(A502:AE502)&gt;0),"",IF(A502="","New client","Update"))</f>
        <v/>
      </c>
      <c r="AS502" s="29">
        <f>IF(BA502&lt;&gt;"",BA502,IF(LEN(AZ502)=15,MID(AZ502,3,10),""))</f>
        <v/>
      </c>
      <c r="AT502" s="29">
        <f>IF(BB502="","",BB502&amp;IF(D502="","  (guessed from PAN)",""))</f>
        <v/>
      </c>
      <c r="AU502" s="29">
        <f>IF(AZ502="","",IFERROR(INDEX(Lists!$L$2:$L$38,MATCH(LEFT(AZ502,2),Lists!$K$2:$K$38,0)),"Unknown code"))</f>
        <v/>
      </c>
      <c r="AV502" s="29">
        <f>IF(AZ502="","",IFERROR(IF(NOT(AND(LEN(AZ502)=15,ISNUMBER(MATCH(LEFT(AZ502,2),Lists!$K$2:$K$38,0)),SUMPRODUCT(--ISERROR(FIND(MID(MID(AZ502,3,10),{1,2,3,4,5,10},1),"ABCDEFGHIJKLMNOPQRSTUVWXYZ")))=0,SUMPRODUCT(--ISERROR(FIND(MID(MID(AZ502,3,10),{6,7,8,9},1),"0123456789")))=0,ISNUMBER(FIND(MID(AZ502,13,1),"123456789ABCDEFGHIJKLMNOPQRSTUVWXYZ")),MID(AZ502,14,1)="Z")),"Wrong format",IF(MID("0123456789ABCDEFGHIJKLMNOPQRSTUVWXYZ",MOD(36-MOD(SUMPRODUCT(INT((FIND(MID(AZ502,{1,2,3,4,5,6,7,8,9,10,11,12,13,14},1),"0123456789ABCDEFGHIJKLMNOPQRSTUVWXYZ")-1)*{1,2,1,2,1,2,1,2,1,2,1,2,1,2}/36)+MOD((FIND(MID(AZ502,{1,2,3,4,5,6,7,8,9,10,11,12,13,14},1),"0123456789ABCDEFGHIJKLMNOPQRSTUVWXYZ")-1)*{1,2,1,2,1,2,1,2,1,2,1,2,1,2},36)),36),36)+1,1)=MID(AZ502,15,1),"OK","Typo? check digit wrong")),"Wrong format"))</f>
        <v/>
      </c>
      <c r="AW502" s="29">
        <f>IF(BA502="","",IF(AND(LEN(BA502)=10,SUMPRODUCT(--ISERROR(FIND(MID(BA502,{1,2,3,4,5,10},1),"ABCDEFGHIJKLMNOPQRSTUVWXYZ")))=0,SUMPRODUCT(--ISERROR(FIND(MID(BA502,{6,7,8,9},1),"0123456789")))=0),"OK","Wrong format"))</f>
        <v/>
      </c>
      <c r="AX502" s="29">
        <f>IF(TRIM(H502)="","",IF(AND(LEN(UPPER(TRIM(H502)))=10,SUMPRODUCT(--ISERROR(FIND(MID(UPPER(TRIM(H502)),{1,2,3,4,10},1),"ABCDEFGHIJKLMNOPQRSTUVWXYZ")))=0,SUMPRODUCT(--ISERROR(FIND(MID(UPPER(TRIM(H502)),{5,6,7,8,9},1),"0123456789")))=0),"OK","Wrong format"))</f>
        <v/>
      </c>
      <c r="AY502" s="30">
        <f>IF(NOT(COUNTA(A502:AE502)&gt;0),"",IF(BE502&lt;&gt;"","✖ "&amp;LEFT(BE502,LEN(BE502)-2),IF(BD502&gt;0,"✔ Ready — client + "&amp;BD502&amp;" service(s)","✔ Ready — client only")))</f>
        <v/>
      </c>
      <c r="AZ502" s="31">
        <f>UPPER(SUBSTITUTE(TRIM(F502)," ",""))</f>
        <v/>
      </c>
      <c r="BA502" s="31">
        <f>UPPER(SUBSTITUTE(TRIM(E502)," ",""))</f>
        <v/>
      </c>
      <c r="BB502" s="31">
        <f>IF(D502&lt;&gt;"",D502,IFERROR(VLOOKUP(MID(AS502,4,1),Lists!$E$2:$F$8,2,FALSE),""))</f>
        <v/>
      </c>
      <c r="BC502" s="31">
        <f>IFERROR(VLOOKUP(BB502,Lists!$A$2:$C$12,3,FALSE),"")</f>
        <v/>
      </c>
      <c r="BD502" s="31">
        <f>COUNTIF(W502:AC502,"Yes")</f>
        <v/>
      </c>
      <c r="BE502" s="31">
        <f>IF(TRIM(B502)="","Legal name missing; ","")&amp;IF(AND(AV502&lt;&gt;"",AV502&lt;&gt;"OK"),"GSTIN: "&amp;AV502&amp;"; ","")&amp;IF(AND(AW502&lt;&gt;"",AW502&lt;&gt;"OK"),"PAN wrong format; ","")&amp;IF(AND(BA502&lt;&gt;"",LEN(AZ502)=15,MID(AZ502,3,10)&lt;&gt;BA502),"PAN does not match GSTIN; ","")&amp;IF(AND(AX502&lt;&gt;"",AX502&lt;&gt;"OK"),"TAN wrong format; ","")&amp;IF(AS502="","PAN missing; ","")&amp;IF(BB502="","Entity type missing; ","")&amp;IF(AND(AZ502&lt;&gt;"",COUNTIF($AZ$6:$AZ$1005,AZ502)&gt;1),"GSTIN repeated in this sheet; ","")&amp;IF(AND(AS502&lt;&gt;"",COUNTIF($AS$6:$AS$1005,AS502)&gt;1),"PAN repeated in this sheet (same client? put extra GSTINs in Other GSTINs); ","")&amp;IF(AND(BD502&gt;0,V502=""),"Financial year missing; ","")&amp;IF(AND(BD502=0,V502&lt;&gt;""),"Financial year given but no service is Yes; ","")&amp;IF(AND(W502="Yes",AZ502=""),"GST needs a GSTIN; ","")&amp;IF(AND(W502="Yes",X502=""),"GST return frequency missing; ","")&amp;IF(AND(Y502="Yes",TRIM(H502)=""),"TDS needs a TAN; ","")&amp;IF(AND(AA502="Yes",BC502&lt;&gt;"",BC502&lt;&gt;"company",BC502&lt;&gt;"llp"),"ROC is only for a company / LLP; ","")&amp;IF(AND(AA502="Yes",OR(BC502="company",BC502="llp"),TRIM(I502)=""),"ROC needs the CIN / LLPIN; ","")&amp;IF((TRIM(AF502)="")&lt;&gt;(TRIM(AG502)=""),"GST login needs both user ID and password; ","")&amp;IF((TRIM(AH502)="")&lt;&gt;(TRIM(AI502)=""),"Income-tax login needs both user ID and password; ","")&amp;IF((TRIM(AJ502)="")&lt;&gt;(TRIM(AK502)=""),"Income-tax login needs both user ID and password; ","")&amp;IF((TRIM(AL502)="")&lt;&gt;(TRIM(AM502)=""),"TRACES login needs both user ID and password; ","")&amp;IF((TRIM(AN502)="")&lt;&gt;(TRIM(AO502)=""),"MCA login needs both user ID and password; ","")&amp;IF((TRIM(AP502)="")&lt;&gt;(TRIM(AQ502)=""),"E-way bill login needs both user ID and password; ","")</f>
        <v/>
      </c>
    </row>
    <row r="503">
      <c r="A503" s="32" t="n"/>
      <c r="B503" s="33" t="n"/>
      <c r="C503" s="33" t="n"/>
      <c r="D503" s="33" t="n"/>
      <c r="E503" s="32" t="n"/>
      <c r="F503" s="32" t="n"/>
      <c r="G503" s="32" t="n"/>
      <c r="H503" s="32" t="n"/>
      <c r="I503" s="32" t="n"/>
      <c r="J503" s="34" t="n"/>
      <c r="K503" s="33" t="n"/>
      <c r="L503" s="32" t="n"/>
      <c r="M503" s="33" t="n"/>
      <c r="N503" s="33" t="n"/>
      <c r="O503" s="33" t="n"/>
      <c r="P503" s="32" t="n"/>
      <c r="Q503" s="33" t="n"/>
      <c r="R503" s="33" t="n"/>
      <c r="S503" s="33" t="n"/>
      <c r="T503" s="33" t="n"/>
      <c r="U503" s="32" t="n"/>
      <c r="V503" s="33" t="n"/>
      <c r="W503" s="33" t="n"/>
      <c r="X503" s="33" t="n"/>
      <c r="Y503" s="33" t="n"/>
      <c r="Z503" s="33" t="n"/>
      <c r="AA503" s="33" t="n"/>
      <c r="AB503" s="33" t="n"/>
      <c r="AC503" s="33" t="n"/>
      <c r="AD503" s="33" t="n"/>
      <c r="AE503" s="33" t="n"/>
      <c r="AF503" s="32" t="n"/>
      <c r="AG503" s="32" t="n"/>
      <c r="AH503" s="32" t="n"/>
      <c r="AI503" s="32" t="n"/>
      <c r="AJ503" s="32" t="n"/>
      <c r="AK503" s="32" t="n"/>
      <c r="AL503" s="32" t="n"/>
      <c r="AM503" s="32" t="n"/>
      <c r="AN503" s="32" t="n"/>
      <c r="AO503" s="32" t="n"/>
      <c r="AP503" s="32" t="n"/>
      <c r="AQ503" s="32" t="n"/>
      <c r="AR503" s="29">
        <f>IF(NOT(COUNTA(A503:AE503)&gt;0),"",IF(A503="","New client","Update"))</f>
        <v/>
      </c>
      <c r="AS503" s="29">
        <f>IF(BA503&lt;&gt;"",BA503,IF(LEN(AZ503)=15,MID(AZ503,3,10),""))</f>
        <v/>
      </c>
      <c r="AT503" s="29">
        <f>IF(BB503="","",BB503&amp;IF(D503="","  (guessed from PAN)",""))</f>
        <v/>
      </c>
      <c r="AU503" s="29">
        <f>IF(AZ503="","",IFERROR(INDEX(Lists!$L$2:$L$38,MATCH(LEFT(AZ503,2),Lists!$K$2:$K$38,0)),"Unknown code"))</f>
        <v/>
      </c>
      <c r="AV503" s="29">
        <f>IF(AZ503="","",IFERROR(IF(NOT(AND(LEN(AZ503)=15,ISNUMBER(MATCH(LEFT(AZ503,2),Lists!$K$2:$K$38,0)),SUMPRODUCT(--ISERROR(FIND(MID(MID(AZ503,3,10),{1,2,3,4,5,10},1),"ABCDEFGHIJKLMNOPQRSTUVWXYZ")))=0,SUMPRODUCT(--ISERROR(FIND(MID(MID(AZ503,3,10),{6,7,8,9},1),"0123456789")))=0,ISNUMBER(FIND(MID(AZ503,13,1),"123456789ABCDEFGHIJKLMNOPQRSTUVWXYZ")),MID(AZ503,14,1)="Z")),"Wrong format",IF(MID("0123456789ABCDEFGHIJKLMNOPQRSTUVWXYZ",MOD(36-MOD(SUMPRODUCT(INT((FIND(MID(AZ503,{1,2,3,4,5,6,7,8,9,10,11,12,13,14},1),"0123456789ABCDEFGHIJKLMNOPQRSTUVWXYZ")-1)*{1,2,1,2,1,2,1,2,1,2,1,2,1,2}/36)+MOD((FIND(MID(AZ503,{1,2,3,4,5,6,7,8,9,10,11,12,13,14},1),"0123456789ABCDEFGHIJKLMNOPQRSTUVWXYZ")-1)*{1,2,1,2,1,2,1,2,1,2,1,2,1,2},36)),36),36)+1,1)=MID(AZ503,15,1),"OK","Typo? check digit wrong")),"Wrong format"))</f>
        <v/>
      </c>
      <c r="AW503" s="29">
        <f>IF(BA503="","",IF(AND(LEN(BA503)=10,SUMPRODUCT(--ISERROR(FIND(MID(BA503,{1,2,3,4,5,10},1),"ABCDEFGHIJKLMNOPQRSTUVWXYZ")))=0,SUMPRODUCT(--ISERROR(FIND(MID(BA503,{6,7,8,9},1),"0123456789")))=0),"OK","Wrong format"))</f>
        <v/>
      </c>
      <c r="AX503" s="29">
        <f>IF(TRIM(H503)="","",IF(AND(LEN(UPPER(TRIM(H503)))=10,SUMPRODUCT(--ISERROR(FIND(MID(UPPER(TRIM(H503)),{1,2,3,4,10},1),"ABCDEFGHIJKLMNOPQRSTUVWXYZ")))=0,SUMPRODUCT(--ISERROR(FIND(MID(UPPER(TRIM(H503)),{5,6,7,8,9},1),"0123456789")))=0),"OK","Wrong format"))</f>
        <v/>
      </c>
      <c r="AY503" s="30">
        <f>IF(NOT(COUNTA(A503:AE503)&gt;0),"",IF(BE503&lt;&gt;"","✖ "&amp;LEFT(BE503,LEN(BE503)-2),IF(BD503&gt;0,"✔ Ready — client + "&amp;BD503&amp;" service(s)","✔ Ready — client only")))</f>
        <v/>
      </c>
      <c r="AZ503" s="31">
        <f>UPPER(SUBSTITUTE(TRIM(F503)," ",""))</f>
        <v/>
      </c>
      <c r="BA503" s="31">
        <f>UPPER(SUBSTITUTE(TRIM(E503)," ",""))</f>
        <v/>
      </c>
      <c r="BB503" s="31">
        <f>IF(D503&lt;&gt;"",D503,IFERROR(VLOOKUP(MID(AS503,4,1),Lists!$E$2:$F$8,2,FALSE),""))</f>
        <v/>
      </c>
      <c r="BC503" s="31">
        <f>IFERROR(VLOOKUP(BB503,Lists!$A$2:$C$12,3,FALSE),"")</f>
        <v/>
      </c>
      <c r="BD503" s="31">
        <f>COUNTIF(W503:AC503,"Yes")</f>
        <v/>
      </c>
      <c r="BE503" s="31">
        <f>IF(TRIM(B503)="","Legal name missing; ","")&amp;IF(AND(AV503&lt;&gt;"",AV503&lt;&gt;"OK"),"GSTIN: "&amp;AV503&amp;"; ","")&amp;IF(AND(AW503&lt;&gt;"",AW503&lt;&gt;"OK"),"PAN wrong format; ","")&amp;IF(AND(BA503&lt;&gt;"",LEN(AZ503)=15,MID(AZ503,3,10)&lt;&gt;BA503),"PAN does not match GSTIN; ","")&amp;IF(AND(AX503&lt;&gt;"",AX503&lt;&gt;"OK"),"TAN wrong format; ","")&amp;IF(AS503="","PAN missing; ","")&amp;IF(BB503="","Entity type missing; ","")&amp;IF(AND(AZ503&lt;&gt;"",COUNTIF($AZ$6:$AZ$1005,AZ503)&gt;1),"GSTIN repeated in this sheet; ","")&amp;IF(AND(AS503&lt;&gt;"",COUNTIF($AS$6:$AS$1005,AS503)&gt;1),"PAN repeated in this sheet (same client? put extra GSTINs in Other GSTINs); ","")&amp;IF(AND(BD503&gt;0,V503=""),"Financial year missing; ","")&amp;IF(AND(BD503=0,V503&lt;&gt;""),"Financial year given but no service is Yes; ","")&amp;IF(AND(W503="Yes",AZ503=""),"GST needs a GSTIN; ","")&amp;IF(AND(W503="Yes",X503=""),"GST return frequency missing; ","")&amp;IF(AND(Y503="Yes",TRIM(H503)=""),"TDS needs a TAN; ","")&amp;IF(AND(AA503="Yes",BC503&lt;&gt;"",BC503&lt;&gt;"company",BC503&lt;&gt;"llp"),"ROC is only for a company / LLP; ","")&amp;IF(AND(AA503="Yes",OR(BC503="company",BC503="llp"),TRIM(I503)=""),"ROC needs the CIN / LLPIN; ","")&amp;IF((TRIM(AF503)="")&lt;&gt;(TRIM(AG503)=""),"GST login needs both user ID and password; ","")&amp;IF((TRIM(AH503)="")&lt;&gt;(TRIM(AI503)=""),"Income-tax login needs both user ID and password; ","")&amp;IF((TRIM(AJ503)="")&lt;&gt;(TRIM(AK503)=""),"Income-tax login needs both user ID and password; ","")&amp;IF((TRIM(AL503)="")&lt;&gt;(TRIM(AM503)=""),"TRACES login needs both user ID and password; ","")&amp;IF((TRIM(AN503)="")&lt;&gt;(TRIM(AO503)=""),"MCA login needs both user ID and password; ","")&amp;IF((TRIM(AP503)="")&lt;&gt;(TRIM(AQ503)=""),"E-way bill login needs both user ID and password; ","")</f>
        <v/>
      </c>
    </row>
    <row r="504">
      <c r="A504" s="32" t="n"/>
      <c r="B504" s="33" t="n"/>
      <c r="C504" s="33" t="n"/>
      <c r="D504" s="33" t="n"/>
      <c r="E504" s="32" t="n"/>
      <c r="F504" s="32" t="n"/>
      <c r="G504" s="32" t="n"/>
      <c r="H504" s="32" t="n"/>
      <c r="I504" s="32" t="n"/>
      <c r="J504" s="34" t="n"/>
      <c r="K504" s="33" t="n"/>
      <c r="L504" s="32" t="n"/>
      <c r="M504" s="33" t="n"/>
      <c r="N504" s="33" t="n"/>
      <c r="O504" s="33" t="n"/>
      <c r="P504" s="32" t="n"/>
      <c r="Q504" s="33" t="n"/>
      <c r="R504" s="33" t="n"/>
      <c r="S504" s="33" t="n"/>
      <c r="T504" s="33" t="n"/>
      <c r="U504" s="32" t="n"/>
      <c r="V504" s="33" t="n"/>
      <c r="W504" s="33" t="n"/>
      <c r="X504" s="33" t="n"/>
      <c r="Y504" s="33" t="n"/>
      <c r="Z504" s="33" t="n"/>
      <c r="AA504" s="33" t="n"/>
      <c r="AB504" s="33" t="n"/>
      <c r="AC504" s="33" t="n"/>
      <c r="AD504" s="33" t="n"/>
      <c r="AE504" s="33" t="n"/>
      <c r="AF504" s="32" t="n"/>
      <c r="AG504" s="32" t="n"/>
      <c r="AH504" s="32" t="n"/>
      <c r="AI504" s="32" t="n"/>
      <c r="AJ504" s="32" t="n"/>
      <c r="AK504" s="32" t="n"/>
      <c r="AL504" s="32" t="n"/>
      <c r="AM504" s="32" t="n"/>
      <c r="AN504" s="32" t="n"/>
      <c r="AO504" s="32" t="n"/>
      <c r="AP504" s="32" t="n"/>
      <c r="AQ504" s="32" t="n"/>
      <c r="AR504" s="29">
        <f>IF(NOT(COUNTA(A504:AE504)&gt;0),"",IF(A504="","New client","Update"))</f>
        <v/>
      </c>
      <c r="AS504" s="29">
        <f>IF(BA504&lt;&gt;"",BA504,IF(LEN(AZ504)=15,MID(AZ504,3,10),""))</f>
        <v/>
      </c>
      <c r="AT504" s="29">
        <f>IF(BB504="","",BB504&amp;IF(D504="","  (guessed from PAN)",""))</f>
        <v/>
      </c>
      <c r="AU504" s="29">
        <f>IF(AZ504="","",IFERROR(INDEX(Lists!$L$2:$L$38,MATCH(LEFT(AZ504,2),Lists!$K$2:$K$38,0)),"Unknown code"))</f>
        <v/>
      </c>
      <c r="AV504" s="29">
        <f>IF(AZ504="","",IFERROR(IF(NOT(AND(LEN(AZ504)=15,ISNUMBER(MATCH(LEFT(AZ504,2),Lists!$K$2:$K$38,0)),SUMPRODUCT(--ISERROR(FIND(MID(MID(AZ504,3,10),{1,2,3,4,5,10},1),"ABCDEFGHIJKLMNOPQRSTUVWXYZ")))=0,SUMPRODUCT(--ISERROR(FIND(MID(MID(AZ504,3,10),{6,7,8,9},1),"0123456789")))=0,ISNUMBER(FIND(MID(AZ504,13,1),"123456789ABCDEFGHIJKLMNOPQRSTUVWXYZ")),MID(AZ504,14,1)="Z")),"Wrong format",IF(MID("0123456789ABCDEFGHIJKLMNOPQRSTUVWXYZ",MOD(36-MOD(SUMPRODUCT(INT((FIND(MID(AZ504,{1,2,3,4,5,6,7,8,9,10,11,12,13,14},1),"0123456789ABCDEFGHIJKLMNOPQRSTUVWXYZ")-1)*{1,2,1,2,1,2,1,2,1,2,1,2,1,2}/36)+MOD((FIND(MID(AZ504,{1,2,3,4,5,6,7,8,9,10,11,12,13,14},1),"0123456789ABCDEFGHIJKLMNOPQRSTUVWXYZ")-1)*{1,2,1,2,1,2,1,2,1,2,1,2,1,2},36)),36),36)+1,1)=MID(AZ504,15,1),"OK","Typo? check digit wrong")),"Wrong format"))</f>
        <v/>
      </c>
      <c r="AW504" s="29">
        <f>IF(BA504="","",IF(AND(LEN(BA504)=10,SUMPRODUCT(--ISERROR(FIND(MID(BA504,{1,2,3,4,5,10},1),"ABCDEFGHIJKLMNOPQRSTUVWXYZ")))=0,SUMPRODUCT(--ISERROR(FIND(MID(BA504,{6,7,8,9},1),"0123456789")))=0),"OK","Wrong format"))</f>
        <v/>
      </c>
      <c r="AX504" s="29">
        <f>IF(TRIM(H504)="","",IF(AND(LEN(UPPER(TRIM(H504)))=10,SUMPRODUCT(--ISERROR(FIND(MID(UPPER(TRIM(H504)),{1,2,3,4,10},1),"ABCDEFGHIJKLMNOPQRSTUVWXYZ")))=0,SUMPRODUCT(--ISERROR(FIND(MID(UPPER(TRIM(H504)),{5,6,7,8,9},1),"0123456789")))=0),"OK","Wrong format"))</f>
        <v/>
      </c>
      <c r="AY504" s="30">
        <f>IF(NOT(COUNTA(A504:AE504)&gt;0),"",IF(BE504&lt;&gt;"","✖ "&amp;LEFT(BE504,LEN(BE504)-2),IF(BD504&gt;0,"✔ Ready — client + "&amp;BD504&amp;" service(s)","✔ Ready — client only")))</f>
        <v/>
      </c>
      <c r="AZ504" s="31">
        <f>UPPER(SUBSTITUTE(TRIM(F504)," ",""))</f>
        <v/>
      </c>
      <c r="BA504" s="31">
        <f>UPPER(SUBSTITUTE(TRIM(E504)," ",""))</f>
        <v/>
      </c>
      <c r="BB504" s="31">
        <f>IF(D504&lt;&gt;"",D504,IFERROR(VLOOKUP(MID(AS504,4,1),Lists!$E$2:$F$8,2,FALSE),""))</f>
        <v/>
      </c>
      <c r="BC504" s="31">
        <f>IFERROR(VLOOKUP(BB504,Lists!$A$2:$C$12,3,FALSE),"")</f>
        <v/>
      </c>
      <c r="BD504" s="31">
        <f>COUNTIF(W504:AC504,"Yes")</f>
        <v/>
      </c>
      <c r="BE504" s="31">
        <f>IF(TRIM(B504)="","Legal name missing; ","")&amp;IF(AND(AV504&lt;&gt;"",AV504&lt;&gt;"OK"),"GSTIN: "&amp;AV504&amp;"; ","")&amp;IF(AND(AW504&lt;&gt;"",AW504&lt;&gt;"OK"),"PAN wrong format; ","")&amp;IF(AND(BA504&lt;&gt;"",LEN(AZ504)=15,MID(AZ504,3,10)&lt;&gt;BA504),"PAN does not match GSTIN; ","")&amp;IF(AND(AX504&lt;&gt;"",AX504&lt;&gt;"OK"),"TAN wrong format; ","")&amp;IF(AS504="","PAN missing; ","")&amp;IF(BB504="","Entity type missing; ","")&amp;IF(AND(AZ504&lt;&gt;"",COUNTIF($AZ$6:$AZ$1005,AZ504)&gt;1),"GSTIN repeated in this sheet; ","")&amp;IF(AND(AS504&lt;&gt;"",COUNTIF($AS$6:$AS$1005,AS504)&gt;1),"PAN repeated in this sheet (same client? put extra GSTINs in Other GSTINs); ","")&amp;IF(AND(BD504&gt;0,V504=""),"Financial year missing; ","")&amp;IF(AND(BD504=0,V504&lt;&gt;""),"Financial year given but no service is Yes; ","")&amp;IF(AND(W504="Yes",AZ504=""),"GST needs a GSTIN; ","")&amp;IF(AND(W504="Yes",X504=""),"GST return frequency missing; ","")&amp;IF(AND(Y504="Yes",TRIM(H504)=""),"TDS needs a TAN; ","")&amp;IF(AND(AA504="Yes",BC504&lt;&gt;"",BC504&lt;&gt;"company",BC504&lt;&gt;"llp"),"ROC is only for a company / LLP; ","")&amp;IF(AND(AA504="Yes",OR(BC504="company",BC504="llp"),TRIM(I504)=""),"ROC needs the CIN / LLPIN; ","")&amp;IF((TRIM(AF504)="")&lt;&gt;(TRIM(AG504)=""),"GST login needs both user ID and password; ","")&amp;IF((TRIM(AH504)="")&lt;&gt;(TRIM(AI504)=""),"Income-tax login needs both user ID and password; ","")&amp;IF((TRIM(AJ504)="")&lt;&gt;(TRIM(AK504)=""),"Income-tax login needs both user ID and password; ","")&amp;IF((TRIM(AL504)="")&lt;&gt;(TRIM(AM504)=""),"TRACES login needs both user ID and password; ","")&amp;IF((TRIM(AN504)="")&lt;&gt;(TRIM(AO504)=""),"MCA login needs both user ID and password; ","")&amp;IF((TRIM(AP504)="")&lt;&gt;(TRIM(AQ504)=""),"E-way bill login needs both user ID and password; ","")</f>
        <v/>
      </c>
    </row>
    <row r="505">
      <c r="A505" s="32" t="n"/>
      <c r="B505" s="33" t="n"/>
      <c r="C505" s="33" t="n"/>
      <c r="D505" s="33" t="n"/>
      <c r="E505" s="32" t="n"/>
      <c r="F505" s="32" t="n"/>
      <c r="G505" s="32" t="n"/>
      <c r="H505" s="32" t="n"/>
      <c r="I505" s="32" t="n"/>
      <c r="J505" s="34" t="n"/>
      <c r="K505" s="33" t="n"/>
      <c r="L505" s="32" t="n"/>
      <c r="M505" s="33" t="n"/>
      <c r="N505" s="33" t="n"/>
      <c r="O505" s="33" t="n"/>
      <c r="P505" s="32" t="n"/>
      <c r="Q505" s="33" t="n"/>
      <c r="R505" s="33" t="n"/>
      <c r="S505" s="33" t="n"/>
      <c r="T505" s="33" t="n"/>
      <c r="U505" s="32" t="n"/>
      <c r="V505" s="33" t="n"/>
      <c r="W505" s="33" t="n"/>
      <c r="X505" s="33" t="n"/>
      <c r="Y505" s="33" t="n"/>
      <c r="Z505" s="33" t="n"/>
      <c r="AA505" s="33" t="n"/>
      <c r="AB505" s="33" t="n"/>
      <c r="AC505" s="33" t="n"/>
      <c r="AD505" s="33" t="n"/>
      <c r="AE505" s="33" t="n"/>
      <c r="AF505" s="32" t="n"/>
      <c r="AG505" s="32" t="n"/>
      <c r="AH505" s="32" t="n"/>
      <c r="AI505" s="32" t="n"/>
      <c r="AJ505" s="32" t="n"/>
      <c r="AK505" s="32" t="n"/>
      <c r="AL505" s="32" t="n"/>
      <c r="AM505" s="32" t="n"/>
      <c r="AN505" s="32" t="n"/>
      <c r="AO505" s="32" t="n"/>
      <c r="AP505" s="32" t="n"/>
      <c r="AQ505" s="32" t="n"/>
      <c r="AR505" s="29">
        <f>IF(NOT(COUNTA(A505:AE505)&gt;0),"",IF(A505="","New client","Update"))</f>
        <v/>
      </c>
      <c r="AS505" s="29">
        <f>IF(BA505&lt;&gt;"",BA505,IF(LEN(AZ505)=15,MID(AZ505,3,10),""))</f>
        <v/>
      </c>
      <c r="AT505" s="29">
        <f>IF(BB505="","",BB505&amp;IF(D505="","  (guessed from PAN)",""))</f>
        <v/>
      </c>
      <c r="AU505" s="29">
        <f>IF(AZ505="","",IFERROR(INDEX(Lists!$L$2:$L$38,MATCH(LEFT(AZ505,2),Lists!$K$2:$K$38,0)),"Unknown code"))</f>
        <v/>
      </c>
      <c r="AV505" s="29">
        <f>IF(AZ505="","",IFERROR(IF(NOT(AND(LEN(AZ505)=15,ISNUMBER(MATCH(LEFT(AZ505,2),Lists!$K$2:$K$38,0)),SUMPRODUCT(--ISERROR(FIND(MID(MID(AZ505,3,10),{1,2,3,4,5,10},1),"ABCDEFGHIJKLMNOPQRSTUVWXYZ")))=0,SUMPRODUCT(--ISERROR(FIND(MID(MID(AZ505,3,10),{6,7,8,9},1),"0123456789")))=0,ISNUMBER(FIND(MID(AZ505,13,1),"123456789ABCDEFGHIJKLMNOPQRSTUVWXYZ")),MID(AZ505,14,1)="Z")),"Wrong format",IF(MID("0123456789ABCDEFGHIJKLMNOPQRSTUVWXYZ",MOD(36-MOD(SUMPRODUCT(INT((FIND(MID(AZ505,{1,2,3,4,5,6,7,8,9,10,11,12,13,14},1),"0123456789ABCDEFGHIJKLMNOPQRSTUVWXYZ")-1)*{1,2,1,2,1,2,1,2,1,2,1,2,1,2}/36)+MOD((FIND(MID(AZ505,{1,2,3,4,5,6,7,8,9,10,11,12,13,14},1),"0123456789ABCDEFGHIJKLMNOPQRSTUVWXYZ")-1)*{1,2,1,2,1,2,1,2,1,2,1,2,1,2},36)),36),36)+1,1)=MID(AZ505,15,1),"OK","Typo? check digit wrong")),"Wrong format"))</f>
        <v/>
      </c>
      <c r="AW505" s="29">
        <f>IF(BA505="","",IF(AND(LEN(BA505)=10,SUMPRODUCT(--ISERROR(FIND(MID(BA505,{1,2,3,4,5,10},1),"ABCDEFGHIJKLMNOPQRSTUVWXYZ")))=0,SUMPRODUCT(--ISERROR(FIND(MID(BA505,{6,7,8,9},1),"0123456789")))=0),"OK","Wrong format"))</f>
        <v/>
      </c>
      <c r="AX505" s="29">
        <f>IF(TRIM(H505)="","",IF(AND(LEN(UPPER(TRIM(H505)))=10,SUMPRODUCT(--ISERROR(FIND(MID(UPPER(TRIM(H505)),{1,2,3,4,10},1),"ABCDEFGHIJKLMNOPQRSTUVWXYZ")))=0,SUMPRODUCT(--ISERROR(FIND(MID(UPPER(TRIM(H505)),{5,6,7,8,9},1),"0123456789")))=0),"OK","Wrong format"))</f>
        <v/>
      </c>
      <c r="AY505" s="30">
        <f>IF(NOT(COUNTA(A505:AE505)&gt;0),"",IF(BE505&lt;&gt;"","✖ "&amp;LEFT(BE505,LEN(BE505)-2),IF(BD505&gt;0,"✔ Ready — client + "&amp;BD505&amp;" service(s)","✔ Ready — client only")))</f>
        <v/>
      </c>
      <c r="AZ505" s="31">
        <f>UPPER(SUBSTITUTE(TRIM(F505)," ",""))</f>
        <v/>
      </c>
      <c r="BA505" s="31">
        <f>UPPER(SUBSTITUTE(TRIM(E505)," ",""))</f>
        <v/>
      </c>
      <c r="BB505" s="31">
        <f>IF(D505&lt;&gt;"",D505,IFERROR(VLOOKUP(MID(AS505,4,1),Lists!$E$2:$F$8,2,FALSE),""))</f>
        <v/>
      </c>
      <c r="BC505" s="31">
        <f>IFERROR(VLOOKUP(BB505,Lists!$A$2:$C$12,3,FALSE),"")</f>
        <v/>
      </c>
      <c r="BD505" s="31">
        <f>COUNTIF(W505:AC505,"Yes")</f>
        <v/>
      </c>
      <c r="BE505" s="31">
        <f>IF(TRIM(B505)="","Legal name missing; ","")&amp;IF(AND(AV505&lt;&gt;"",AV505&lt;&gt;"OK"),"GSTIN: "&amp;AV505&amp;"; ","")&amp;IF(AND(AW505&lt;&gt;"",AW505&lt;&gt;"OK"),"PAN wrong format; ","")&amp;IF(AND(BA505&lt;&gt;"",LEN(AZ505)=15,MID(AZ505,3,10)&lt;&gt;BA505),"PAN does not match GSTIN; ","")&amp;IF(AND(AX505&lt;&gt;"",AX505&lt;&gt;"OK"),"TAN wrong format; ","")&amp;IF(AS505="","PAN missing; ","")&amp;IF(BB505="","Entity type missing; ","")&amp;IF(AND(AZ505&lt;&gt;"",COUNTIF($AZ$6:$AZ$1005,AZ505)&gt;1),"GSTIN repeated in this sheet; ","")&amp;IF(AND(AS505&lt;&gt;"",COUNTIF($AS$6:$AS$1005,AS505)&gt;1),"PAN repeated in this sheet (same client? put extra GSTINs in Other GSTINs); ","")&amp;IF(AND(BD505&gt;0,V505=""),"Financial year missing; ","")&amp;IF(AND(BD505=0,V505&lt;&gt;""),"Financial year given but no service is Yes; ","")&amp;IF(AND(W505="Yes",AZ505=""),"GST needs a GSTIN; ","")&amp;IF(AND(W505="Yes",X505=""),"GST return frequency missing; ","")&amp;IF(AND(Y505="Yes",TRIM(H505)=""),"TDS needs a TAN; ","")&amp;IF(AND(AA505="Yes",BC505&lt;&gt;"",BC505&lt;&gt;"company",BC505&lt;&gt;"llp"),"ROC is only for a company / LLP; ","")&amp;IF(AND(AA505="Yes",OR(BC505="company",BC505="llp"),TRIM(I505)=""),"ROC needs the CIN / LLPIN; ","")&amp;IF((TRIM(AF505)="")&lt;&gt;(TRIM(AG505)=""),"GST login needs both user ID and password; ","")&amp;IF((TRIM(AH505)="")&lt;&gt;(TRIM(AI505)=""),"Income-tax login needs both user ID and password; ","")&amp;IF((TRIM(AJ505)="")&lt;&gt;(TRIM(AK505)=""),"Income-tax login needs both user ID and password; ","")&amp;IF((TRIM(AL505)="")&lt;&gt;(TRIM(AM505)=""),"TRACES login needs both user ID and password; ","")&amp;IF((TRIM(AN505)="")&lt;&gt;(TRIM(AO505)=""),"MCA login needs both user ID and password; ","")&amp;IF((TRIM(AP505)="")&lt;&gt;(TRIM(AQ505)=""),"E-way bill login needs both user ID and password; ","")</f>
        <v/>
      </c>
    </row>
    <row r="506">
      <c r="A506" s="32" t="n"/>
      <c r="B506" s="33" t="n"/>
      <c r="C506" s="33" t="n"/>
      <c r="D506" s="33" t="n"/>
      <c r="E506" s="32" t="n"/>
      <c r="F506" s="32" t="n"/>
      <c r="G506" s="32" t="n"/>
      <c r="H506" s="32" t="n"/>
      <c r="I506" s="32" t="n"/>
      <c r="J506" s="34" t="n"/>
      <c r="K506" s="33" t="n"/>
      <c r="L506" s="32" t="n"/>
      <c r="M506" s="33" t="n"/>
      <c r="N506" s="33" t="n"/>
      <c r="O506" s="33" t="n"/>
      <c r="P506" s="32" t="n"/>
      <c r="Q506" s="33" t="n"/>
      <c r="R506" s="33" t="n"/>
      <c r="S506" s="33" t="n"/>
      <c r="T506" s="33" t="n"/>
      <c r="U506" s="32" t="n"/>
      <c r="V506" s="33" t="n"/>
      <c r="W506" s="33" t="n"/>
      <c r="X506" s="33" t="n"/>
      <c r="Y506" s="33" t="n"/>
      <c r="Z506" s="33" t="n"/>
      <c r="AA506" s="33" t="n"/>
      <c r="AB506" s="33" t="n"/>
      <c r="AC506" s="33" t="n"/>
      <c r="AD506" s="33" t="n"/>
      <c r="AE506" s="33" t="n"/>
      <c r="AF506" s="32" t="n"/>
      <c r="AG506" s="32" t="n"/>
      <c r="AH506" s="32" t="n"/>
      <c r="AI506" s="32" t="n"/>
      <c r="AJ506" s="32" t="n"/>
      <c r="AK506" s="32" t="n"/>
      <c r="AL506" s="32" t="n"/>
      <c r="AM506" s="32" t="n"/>
      <c r="AN506" s="32" t="n"/>
      <c r="AO506" s="32" t="n"/>
      <c r="AP506" s="32" t="n"/>
      <c r="AQ506" s="32" t="n"/>
      <c r="AR506" s="29">
        <f>IF(NOT(COUNTA(A506:AE506)&gt;0),"",IF(A506="","New client","Update"))</f>
        <v/>
      </c>
      <c r="AS506" s="29">
        <f>IF(BA506&lt;&gt;"",BA506,IF(LEN(AZ506)=15,MID(AZ506,3,10),""))</f>
        <v/>
      </c>
      <c r="AT506" s="29">
        <f>IF(BB506="","",BB506&amp;IF(D506="","  (guessed from PAN)",""))</f>
        <v/>
      </c>
      <c r="AU506" s="29">
        <f>IF(AZ506="","",IFERROR(INDEX(Lists!$L$2:$L$38,MATCH(LEFT(AZ506,2),Lists!$K$2:$K$38,0)),"Unknown code"))</f>
        <v/>
      </c>
      <c r="AV506" s="29">
        <f>IF(AZ506="","",IFERROR(IF(NOT(AND(LEN(AZ506)=15,ISNUMBER(MATCH(LEFT(AZ506,2),Lists!$K$2:$K$38,0)),SUMPRODUCT(--ISERROR(FIND(MID(MID(AZ506,3,10),{1,2,3,4,5,10},1),"ABCDEFGHIJKLMNOPQRSTUVWXYZ")))=0,SUMPRODUCT(--ISERROR(FIND(MID(MID(AZ506,3,10),{6,7,8,9},1),"0123456789")))=0,ISNUMBER(FIND(MID(AZ506,13,1),"123456789ABCDEFGHIJKLMNOPQRSTUVWXYZ")),MID(AZ506,14,1)="Z")),"Wrong format",IF(MID("0123456789ABCDEFGHIJKLMNOPQRSTUVWXYZ",MOD(36-MOD(SUMPRODUCT(INT((FIND(MID(AZ506,{1,2,3,4,5,6,7,8,9,10,11,12,13,14},1),"0123456789ABCDEFGHIJKLMNOPQRSTUVWXYZ")-1)*{1,2,1,2,1,2,1,2,1,2,1,2,1,2}/36)+MOD((FIND(MID(AZ506,{1,2,3,4,5,6,7,8,9,10,11,12,13,14},1),"0123456789ABCDEFGHIJKLMNOPQRSTUVWXYZ")-1)*{1,2,1,2,1,2,1,2,1,2,1,2,1,2},36)),36),36)+1,1)=MID(AZ506,15,1),"OK","Typo? check digit wrong")),"Wrong format"))</f>
        <v/>
      </c>
      <c r="AW506" s="29">
        <f>IF(BA506="","",IF(AND(LEN(BA506)=10,SUMPRODUCT(--ISERROR(FIND(MID(BA506,{1,2,3,4,5,10},1),"ABCDEFGHIJKLMNOPQRSTUVWXYZ")))=0,SUMPRODUCT(--ISERROR(FIND(MID(BA506,{6,7,8,9},1),"0123456789")))=0),"OK","Wrong format"))</f>
        <v/>
      </c>
      <c r="AX506" s="29">
        <f>IF(TRIM(H506)="","",IF(AND(LEN(UPPER(TRIM(H506)))=10,SUMPRODUCT(--ISERROR(FIND(MID(UPPER(TRIM(H506)),{1,2,3,4,10},1),"ABCDEFGHIJKLMNOPQRSTUVWXYZ")))=0,SUMPRODUCT(--ISERROR(FIND(MID(UPPER(TRIM(H506)),{5,6,7,8,9},1),"0123456789")))=0),"OK","Wrong format"))</f>
        <v/>
      </c>
      <c r="AY506" s="30">
        <f>IF(NOT(COUNTA(A506:AE506)&gt;0),"",IF(BE506&lt;&gt;"","✖ "&amp;LEFT(BE506,LEN(BE506)-2),IF(BD506&gt;0,"✔ Ready — client + "&amp;BD506&amp;" service(s)","✔ Ready — client only")))</f>
        <v/>
      </c>
      <c r="AZ506" s="31">
        <f>UPPER(SUBSTITUTE(TRIM(F506)," ",""))</f>
        <v/>
      </c>
      <c r="BA506" s="31">
        <f>UPPER(SUBSTITUTE(TRIM(E506)," ",""))</f>
        <v/>
      </c>
      <c r="BB506" s="31">
        <f>IF(D506&lt;&gt;"",D506,IFERROR(VLOOKUP(MID(AS506,4,1),Lists!$E$2:$F$8,2,FALSE),""))</f>
        <v/>
      </c>
      <c r="BC506" s="31">
        <f>IFERROR(VLOOKUP(BB506,Lists!$A$2:$C$12,3,FALSE),"")</f>
        <v/>
      </c>
      <c r="BD506" s="31">
        <f>COUNTIF(W506:AC506,"Yes")</f>
        <v/>
      </c>
      <c r="BE506" s="31">
        <f>IF(TRIM(B506)="","Legal name missing; ","")&amp;IF(AND(AV506&lt;&gt;"",AV506&lt;&gt;"OK"),"GSTIN: "&amp;AV506&amp;"; ","")&amp;IF(AND(AW506&lt;&gt;"",AW506&lt;&gt;"OK"),"PAN wrong format; ","")&amp;IF(AND(BA506&lt;&gt;"",LEN(AZ506)=15,MID(AZ506,3,10)&lt;&gt;BA506),"PAN does not match GSTIN; ","")&amp;IF(AND(AX506&lt;&gt;"",AX506&lt;&gt;"OK"),"TAN wrong format; ","")&amp;IF(AS506="","PAN missing; ","")&amp;IF(BB506="","Entity type missing; ","")&amp;IF(AND(AZ506&lt;&gt;"",COUNTIF($AZ$6:$AZ$1005,AZ506)&gt;1),"GSTIN repeated in this sheet; ","")&amp;IF(AND(AS506&lt;&gt;"",COUNTIF($AS$6:$AS$1005,AS506)&gt;1),"PAN repeated in this sheet (same client? put extra GSTINs in Other GSTINs); ","")&amp;IF(AND(BD506&gt;0,V506=""),"Financial year missing; ","")&amp;IF(AND(BD506=0,V506&lt;&gt;""),"Financial year given but no service is Yes; ","")&amp;IF(AND(W506="Yes",AZ506=""),"GST needs a GSTIN; ","")&amp;IF(AND(W506="Yes",X506=""),"GST return frequency missing; ","")&amp;IF(AND(Y506="Yes",TRIM(H506)=""),"TDS needs a TAN; ","")&amp;IF(AND(AA506="Yes",BC506&lt;&gt;"",BC506&lt;&gt;"company",BC506&lt;&gt;"llp"),"ROC is only for a company / LLP; ","")&amp;IF(AND(AA506="Yes",OR(BC506="company",BC506="llp"),TRIM(I506)=""),"ROC needs the CIN / LLPIN; ","")&amp;IF((TRIM(AF506)="")&lt;&gt;(TRIM(AG506)=""),"GST login needs both user ID and password; ","")&amp;IF((TRIM(AH506)="")&lt;&gt;(TRIM(AI506)=""),"Income-tax login needs both user ID and password; ","")&amp;IF((TRIM(AJ506)="")&lt;&gt;(TRIM(AK506)=""),"Income-tax login needs both user ID and password; ","")&amp;IF((TRIM(AL506)="")&lt;&gt;(TRIM(AM506)=""),"TRACES login needs both user ID and password; ","")&amp;IF((TRIM(AN506)="")&lt;&gt;(TRIM(AO506)=""),"MCA login needs both user ID and password; ","")&amp;IF((TRIM(AP506)="")&lt;&gt;(TRIM(AQ506)=""),"E-way bill login needs both user ID and password; ","")</f>
        <v/>
      </c>
    </row>
    <row r="507">
      <c r="A507" s="32" t="n"/>
      <c r="B507" s="33" t="n"/>
      <c r="C507" s="33" t="n"/>
      <c r="D507" s="33" t="n"/>
      <c r="E507" s="32" t="n"/>
      <c r="F507" s="32" t="n"/>
      <c r="G507" s="32" t="n"/>
      <c r="H507" s="32" t="n"/>
      <c r="I507" s="32" t="n"/>
      <c r="J507" s="34" t="n"/>
      <c r="K507" s="33" t="n"/>
      <c r="L507" s="32" t="n"/>
      <c r="M507" s="33" t="n"/>
      <c r="N507" s="33" t="n"/>
      <c r="O507" s="33" t="n"/>
      <c r="P507" s="32" t="n"/>
      <c r="Q507" s="33" t="n"/>
      <c r="R507" s="33" t="n"/>
      <c r="S507" s="33" t="n"/>
      <c r="T507" s="33" t="n"/>
      <c r="U507" s="32" t="n"/>
      <c r="V507" s="33" t="n"/>
      <c r="W507" s="33" t="n"/>
      <c r="X507" s="33" t="n"/>
      <c r="Y507" s="33" t="n"/>
      <c r="Z507" s="33" t="n"/>
      <c r="AA507" s="33" t="n"/>
      <c r="AB507" s="33" t="n"/>
      <c r="AC507" s="33" t="n"/>
      <c r="AD507" s="33" t="n"/>
      <c r="AE507" s="33" t="n"/>
      <c r="AF507" s="32" t="n"/>
      <c r="AG507" s="32" t="n"/>
      <c r="AH507" s="32" t="n"/>
      <c r="AI507" s="32" t="n"/>
      <c r="AJ507" s="32" t="n"/>
      <c r="AK507" s="32" t="n"/>
      <c r="AL507" s="32" t="n"/>
      <c r="AM507" s="32" t="n"/>
      <c r="AN507" s="32" t="n"/>
      <c r="AO507" s="32" t="n"/>
      <c r="AP507" s="32" t="n"/>
      <c r="AQ507" s="32" t="n"/>
      <c r="AR507" s="29">
        <f>IF(NOT(COUNTA(A507:AE507)&gt;0),"",IF(A507="","New client","Update"))</f>
        <v/>
      </c>
      <c r="AS507" s="29">
        <f>IF(BA507&lt;&gt;"",BA507,IF(LEN(AZ507)=15,MID(AZ507,3,10),""))</f>
        <v/>
      </c>
      <c r="AT507" s="29">
        <f>IF(BB507="","",BB507&amp;IF(D507="","  (guessed from PAN)",""))</f>
        <v/>
      </c>
      <c r="AU507" s="29">
        <f>IF(AZ507="","",IFERROR(INDEX(Lists!$L$2:$L$38,MATCH(LEFT(AZ507,2),Lists!$K$2:$K$38,0)),"Unknown code"))</f>
        <v/>
      </c>
      <c r="AV507" s="29">
        <f>IF(AZ507="","",IFERROR(IF(NOT(AND(LEN(AZ507)=15,ISNUMBER(MATCH(LEFT(AZ507,2),Lists!$K$2:$K$38,0)),SUMPRODUCT(--ISERROR(FIND(MID(MID(AZ507,3,10),{1,2,3,4,5,10},1),"ABCDEFGHIJKLMNOPQRSTUVWXYZ")))=0,SUMPRODUCT(--ISERROR(FIND(MID(MID(AZ507,3,10),{6,7,8,9},1),"0123456789")))=0,ISNUMBER(FIND(MID(AZ507,13,1),"123456789ABCDEFGHIJKLMNOPQRSTUVWXYZ")),MID(AZ507,14,1)="Z")),"Wrong format",IF(MID("0123456789ABCDEFGHIJKLMNOPQRSTUVWXYZ",MOD(36-MOD(SUMPRODUCT(INT((FIND(MID(AZ507,{1,2,3,4,5,6,7,8,9,10,11,12,13,14},1),"0123456789ABCDEFGHIJKLMNOPQRSTUVWXYZ")-1)*{1,2,1,2,1,2,1,2,1,2,1,2,1,2}/36)+MOD((FIND(MID(AZ507,{1,2,3,4,5,6,7,8,9,10,11,12,13,14},1),"0123456789ABCDEFGHIJKLMNOPQRSTUVWXYZ")-1)*{1,2,1,2,1,2,1,2,1,2,1,2,1,2},36)),36),36)+1,1)=MID(AZ507,15,1),"OK","Typo? check digit wrong")),"Wrong format"))</f>
        <v/>
      </c>
      <c r="AW507" s="29">
        <f>IF(BA507="","",IF(AND(LEN(BA507)=10,SUMPRODUCT(--ISERROR(FIND(MID(BA507,{1,2,3,4,5,10},1),"ABCDEFGHIJKLMNOPQRSTUVWXYZ")))=0,SUMPRODUCT(--ISERROR(FIND(MID(BA507,{6,7,8,9},1),"0123456789")))=0),"OK","Wrong format"))</f>
        <v/>
      </c>
      <c r="AX507" s="29">
        <f>IF(TRIM(H507)="","",IF(AND(LEN(UPPER(TRIM(H507)))=10,SUMPRODUCT(--ISERROR(FIND(MID(UPPER(TRIM(H507)),{1,2,3,4,10},1),"ABCDEFGHIJKLMNOPQRSTUVWXYZ")))=0,SUMPRODUCT(--ISERROR(FIND(MID(UPPER(TRIM(H507)),{5,6,7,8,9},1),"0123456789")))=0),"OK","Wrong format"))</f>
        <v/>
      </c>
      <c r="AY507" s="30">
        <f>IF(NOT(COUNTA(A507:AE507)&gt;0),"",IF(BE507&lt;&gt;"","✖ "&amp;LEFT(BE507,LEN(BE507)-2),IF(BD507&gt;0,"✔ Ready — client + "&amp;BD507&amp;" service(s)","✔ Ready — client only")))</f>
        <v/>
      </c>
      <c r="AZ507" s="31">
        <f>UPPER(SUBSTITUTE(TRIM(F507)," ",""))</f>
        <v/>
      </c>
      <c r="BA507" s="31">
        <f>UPPER(SUBSTITUTE(TRIM(E507)," ",""))</f>
        <v/>
      </c>
      <c r="BB507" s="31">
        <f>IF(D507&lt;&gt;"",D507,IFERROR(VLOOKUP(MID(AS507,4,1),Lists!$E$2:$F$8,2,FALSE),""))</f>
        <v/>
      </c>
      <c r="BC507" s="31">
        <f>IFERROR(VLOOKUP(BB507,Lists!$A$2:$C$12,3,FALSE),"")</f>
        <v/>
      </c>
      <c r="BD507" s="31">
        <f>COUNTIF(W507:AC507,"Yes")</f>
        <v/>
      </c>
      <c r="BE507" s="31">
        <f>IF(TRIM(B507)="","Legal name missing; ","")&amp;IF(AND(AV507&lt;&gt;"",AV507&lt;&gt;"OK"),"GSTIN: "&amp;AV507&amp;"; ","")&amp;IF(AND(AW507&lt;&gt;"",AW507&lt;&gt;"OK"),"PAN wrong format; ","")&amp;IF(AND(BA507&lt;&gt;"",LEN(AZ507)=15,MID(AZ507,3,10)&lt;&gt;BA507),"PAN does not match GSTIN; ","")&amp;IF(AND(AX507&lt;&gt;"",AX507&lt;&gt;"OK"),"TAN wrong format; ","")&amp;IF(AS507="","PAN missing; ","")&amp;IF(BB507="","Entity type missing; ","")&amp;IF(AND(AZ507&lt;&gt;"",COUNTIF($AZ$6:$AZ$1005,AZ507)&gt;1),"GSTIN repeated in this sheet; ","")&amp;IF(AND(AS507&lt;&gt;"",COUNTIF($AS$6:$AS$1005,AS507)&gt;1),"PAN repeated in this sheet (same client? put extra GSTINs in Other GSTINs); ","")&amp;IF(AND(BD507&gt;0,V507=""),"Financial year missing; ","")&amp;IF(AND(BD507=0,V507&lt;&gt;""),"Financial year given but no service is Yes; ","")&amp;IF(AND(W507="Yes",AZ507=""),"GST needs a GSTIN; ","")&amp;IF(AND(W507="Yes",X507=""),"GST return frequency missing; ","")&amp;IF(AND(Y507="Yes",TRIM(H507)=""),"TDS needs a TAN; ","")&amp;IF(AND(AA507="Yes",BC507&lt;&gt;"",BC507&lt;&gt;"company",BC507&lt;&gt;"llp"),"ROC is only for a company / LLP; ","")&amp;IF(AND(AA507="Yes",OR(BC507="company",BC507="llp"),TRIM(I507)=""),"ROC needs the CIN / LLPIN; ","")&amp;IF((TRIM(AF507)="")&lt;&gt;(TRIM(AG507)=""),"GST login needs both user ID and password; ","")&amp;IF((TRIM(AH507)="")&lt;&gt;(TRIM(AI507)=""),"Income-tax login needs both user ID and password; ","")&amp;IF((TRIM(AJ507)="")&lt;&gt;(TRIM(AK507)=""),"Income-tax login needs both user ID and password; ","")&amp;IF((TRIM(AL507)="")&lt;&gt;(TRIM(AM507)=""),"TRACES login needs both user ID and password; ","")&amp;IF((TRIM(AN507)="")&lt;&gt;(TRIM(AO507)=""),"MCA login needs both user ID and password; ","")&amp;IF((TRIM(AP507)="")&lt;&gt;(TRIM(AQ507)=""),"E-way bill login needs both user ID and password; ","")</f>
        <v/>
      </c>
    </row>
    <row r="508">
      <c r="A508" s="32" t="n"/>
      <c r="B508" s="33" t="n"/>
      <c r="C508" s="33" t="n"/>
      <c r="D508" s="33" t="n"/>
      <c r="E508" s="32" t="n"/>
      <c r="F508" s="32" t="n"/>
      <c r="G508" s="32" t="n"/>
      <c r="H508" s="32" t="n"/>
      <c r="I508" s="32" t="n"/>
      <c r="J508" s="34" t="n"/>
      <c r="K508" s="33" t="n"/>
      <c r="L508" s="32" t="n"/>
      <c r="M508" s="33" t="n"/>
      <c r="N508" s="33" t="n"/>
      <c r="O508" s="33" t="n"/>
      <c r="P508" s="32" t="n"/>
      <c r="Q508" s="33" t="n"/>
      <c r="R508" s="33" t="n"/>
      <c r="S508" s="33" t="n"/>
      <c r="T508" s="33" t="n"/>
      <c r="U508" s="32" t="n"/>
      <c r="V508" s="33" t="n"/>
      <c r="W508" s="33" t="n"/>
      <c r="X508" s="33" t="n"/>
      <c r="Y508" s="33" t="n"/>
      <c r="Z508" s="33" t="n"/>
      <c r="AA508" s="33" t="n"/>
      <c r="AB508" s="33" t="n"/>
      <c r="AC508" s="33" t="n"/>
      <c r="AD508" s="33" t="n"/>
      <c r="AE508" s="33" t="n"/>
      <c r="AF508" s="32" t="n"/>
      <c r="AG508" s="32" t="n"/>
      <c r="AH508" s="32" t="n"/>
      <c r="AI508" s="32" t="n"/>
      <c r="AJ508" s="32" t="n"/>
      <c r="AK508" s="32" t="n"/>
      <c r="AL508" s="32" t="n"/>
      <c r="AM508" s="32" t="n"/>
      <c r="AN508" s="32" t="n"/>
      <c r="AO508" s="32" t="n"/>
      <c r="AP508" s="32" t="n"/>
      <c r="AQ508" s="32" t="n"/>
      <c r="AR508" s="29">
        <f>IF(NOT(COUNTA(A508:AE508)&gt;0),"",IF(A508="","New client","Update"))</f>
        <v/>
      </c>
      <c r="AS508" s="29">
        <f>IF(BA508&lt;&gt;"",BA508,IF(LEN(AZ508)=15,MID(AZ508,3,10),""))</f>
        <v/>
      </c>
      <c r="AT508" s="29">
        <f>IF(BB508="","",BB508&amp;IF(D508="","  (guessed from PAN)",""))</f>
        <v/>
      </c>
      <c r="AU508" s="29">
        <f>IF(AZ508="","",IFERROR(INDEX(Lists!$L$2:$L$38,MATCH(LEFT(AZ508,2),Lists!$K$2:$K$38,0)),"Unknown code"))</f>
        <v/>
      </c>
      <c r="AV508" s="29">
        <f>IF(AZ508="","",IFERROR(IF(NOT(AND(LEN(AZ508)=15,ISNUMBER(MATCH(LEFT(AZ508,2),Lists!$K$2:$K$38,0)),SUMPRODUCT(--ISERROR(FIND(MID(MID(AZ508,3,10),{1,2,3,4,5,10},1),"ABCDEFGHIJKLMNOPQRSTUVWXYZ")))=0,SUMPRODUCT(--ISERROR(FIND(MID(MID(AZ508,3,10),{6,7,8,9},1),"0123456789")))=0,ISNUMBER(FIND(MID(AZ508,13,1),"123456789ABCDEFGHIJKLMNOPQRSTUVWXYZ")),MID(AZ508,14,1)="Z")),"Wrong format",IF(MID("0123456789ABCDEFGHIJKLMNOPQRSTUVWXYZ",MOD(36-MOD(SUMPRODUCT(INT((FIND(MID(AZ508,{1,2,3,4,5,6,7,8,9,10,11,12,13,14},1),"0123456789ABCDEFGHIJKLMNOPQRSTUVWXYZ")-1)*{1,2,1,2,1,2,1,2,1,2,1,2,1,2}/36)+MOD((FIND(MID(AZ508,{1,2,3,4,5,6,7,8,9,10,11,12,13,14},1),"0123456789ABCDEFGHIJKLMNOPQRSTUVWXYZ")-1)*{1,2,1,2,1,2,1,2,1,2,1,2,1,2},36)),36),36)+1,1)=MID(AZ508,15,1),"OK","Typo? check digit wrong")),"Wrong format"))</f>
        <v/>
      </c>
      <c r="AW508" s="29">
        <f>IF(BA508="","",IF(AND(LEN(BA508)=10,SUMPRODUCT(--ISERROR(FIND(MID(BA508,{1,2,3,4,5,10},1),"ABCDEFGHIJKLMNOPQRSTUVWXYZ")))=0,SUMPRODUCT(--ISERROR(FIND(MID(BA508,{6,7,8,9},1),"0123456789")))=0),"OK","Wrong format"))</f>
        <v/>
      </c>
      <c r="AX508" s="29">
        <f>IF(TRIM(H508)="","",IF(AND(LEN(UPPER(TRIM(H508)))=10,SUMPRODUCT(--ISERROR(FIND(MID(UPPER(TRIM(H508)),{1,2,3,4,10},1),"ABCDEFGHIJKLMNOPQRSTUVWXYZ")))=0,SUMPRODUCT(--ISERROR(FIND(MID(UPPER(TRIM(H508)),{5,6,7,8,9},1),"0123456789")))=0),"OK","Wrong format"))</f>
        <v/>
      </c>
      <c r="AY508" s="30">
        <f>IF(NOT(COUNTA(A508:AE508)&gt;0),"",IF(BE508&lt;&gt;"","✖ "&amp;LEFT(BE508,LEN(BE508)-2),IF(BD508&gt;0,"✔ Ready — client + "&amp;BD508&amp;" service(s)","✔ Ready — client only")))</f>
        <v/>
      </c>
      <c r="AZ508" s="31">
        <f>UPPER(SUBSTITUTE(TRIM(F508)," ",""))</f>
        <v/>
      </c>
      <c r="BA508" s="31">
        <f>UPPER(SUBSTITUTE(TRIM(E508)," ",""))</f>
        <v/>
      </c>
      <c r="BB508" s="31">
        <f>IF(D508&lt;&gt;"",D508,IFERROR(VLOOKUP(MID(AS508,4,1),Lists!$E$2:$F$8,2,FALSE),""))</f>
        <v/>
      </c>
      <c r="BC508" s="31">
        <f>IFERROR(VLOOKUP(BB508,Lists!$A$2:$C$12,3,FALSE),"")</f>
        <v/>
      </c>
      <c r="BD508" s="31">
        <f>COUNTIF(W508:AC508,"Yes")</f>
        <v/>
      </c>
      <c r="BE508" s="31">
        <f>IF(TRIM(B508)="","Legal name missing; ","")&amp;IF(AND(AV508&lt;&gt;"",AV508&lt;&gt;"OK"),"GSTIN: "&amp;AV508&amp;"; ","")&amp;IF(AND(AW508&lt;&gt;"",AW508&lt;&gt;"OK"),"PAN wrong format; ","")&amp;IF(AND(BA508&lt;&gt;"",LEN(AZ508)=15,MID(AZ508,3,10)&lt;&gt;BA508),"PAN does not match GSTIN; ","")&amp;IF(AND(AX508&lt;&gt;"",AX508&lt;&gt;"OK"),"TAN wrong format; ","")&amp;IF(AS508="","PAN missing; ","")&amp;IF(BB508="","Entity type missing; ","")&amp;IF(AND(AZ508&lt;&gt;"",COUNTIF($AZ$6:$AZ$1005,AZ508)&gt;1),"GSTIN repeated in this sheet; ","")&amp;IF(AND(AS508&lt;&gt;"",COUNTIF($AS$6:$AS$1005,AS508)&gt;1),"PAN repeated in this sheet (same client? put extra GSTINs in Other GSTINs); ","")&amp;IF(AND(BD508&gt;0,V508=""),"Financial year missing; ","")&amp;IF(AND(BD508=0,V508&lt;&gt;""),"Financial year given but no service is Yes; ","")&amp;IF(AND(W508="Yes",AZ508=""),"GST needs a GSTIN; ","")&amp;IF(AND(W508="Yes",X508=""),"GST return frequency missing; ","")&amp;IF(AND(Y508="Yes",TRIM(H508)=""),"TDS needs a TAN; ","")&amp;IF(AND(AA508="Yes",BC508&lt;&gt;"",BC508&lt;&gt;"company",BC508&lt;&gt;"llp"),"ROC is only for a company / LLP; ","")&amp;IF(AND(AA508="Yes",OR(BC508="company",BC508="llp"),TRIM(I508)=""),"ROC needs the CIN / LLPIN; ","")&amp;IF((TRIM(AF508)="")&lt;&gt;(TRIM(AG508)=""),"GST login needs both user ID and password; ","")&amp;IF((TRIM(AH508)="")&lt;&gt;(TRIM(AI508)=""),"Income-tax login needs both user ID and password; ","")&amp;IF((TRIM(AJ508)="")&lt;&gt;(TRIM(AK508)=""),"Income-tax login needs both user ID and password; ","")&amp;IF((TRIM(AL508)="")&lt;&gt;(TRIM(AM508)=""),"TRACES login needs both user ID and password; ","")&amp;IF((TRIM(AN508)="")&lt;&gt;(TRIM(AO508)=""),"MCA login needs both user ID and password; ","")&amp;IF((TRIM(AP508)="")&lt;&gt;(TRIM(AQ508)=""),"E-way bill login needs both user ID and password; ","")</f>
        <v/>
      </c>
    </row>
    <row r="509">
      <c r="A509" s="32" t="n"/>
      <c r="B509" s="33" t="n"/>
      <c r="C509" s="33" t="n"/>
      <c r="D509" s="33" t="n"/>
      <c r="E509" s="32" t="n"/>
      <c r="F509" s="32" t="n"/>
      <c r="G509" s="32" t="n"/>
      <c r="H509" s="32" t="n"/>
      <c r="I509" s="32" t="n"/>
      <c r="J509" s="34" t="n"/>
      <c r="K509" s="33" t="n"/>
      <c r="L509" s="32" t="n"/>
      <c r="M509" s="33" t="n"/>
      <c r="N509" s="33" t="n"/>
      <c r="O509" s="33" t="n"/>
      <c r="P509" s="32" t="n"/>
      <c r="Q509" s="33" t="n"/>
      <c r="R509" s="33" t="n"/>
      <c r="S509" s="33" t="n"/>
      <c r="T509" s="33" t="n"/>
      <c r="U509" s="32" t="n"/>
      <c r="V509" s="33" t="n"/>
      <c r="W509" s="33" t="n"/>
      <c r="X509" s="33" t="n"/>
      <c r="Y509" s="33" t="n"/>
      <c r="Z509" s="33" t="n"/>
      <c r="AA509" s="33" t="n"/>
      <c r="AB509" s="33" t="n"/>
      <c r="AC509" s="33" t="n"/>
      <c r="AD509" s="33" t="n"/>
      <c r="AE509" s="33" t="n"/>
      <c r="AF509" s="32" t="n"/>
      <c r="AG509" s="32" t="n"/>
      <c r="AH509" s="32" t="n"/>
      <c r="AI509" s="32" t="n"/>
      <c r="AJ509" s="32" t="n"/>
      <c r="AK509" s="32" t="n"/>
      <c r="AL509" s="32" t="n"/>
      <c r="AM509" s="32" t="n"/>
      <c r="AN509" s="32" t="n"/>
      <c r="AO509" s="32" t="n"/>
      <c r="AP509" s="32" t="n"/>
      <c r="AQ509" s="32" t="n"/>
      <c r="AR509" s="29">
        <f>IF(NOT(COUNTA(A509:AE509)&gt;0),"",IF(A509="","New client","Update"))</f>
        <v/>
      </c>
      <c r="AS509" s="29">
        <f>IF(BA509&lt;&gt;"",BA509,IF(LEN(AZ509)=15,MID(AZ509,3,10),""))</f>
        <v/>
      </c>
      <c r="AT509" s="29">
        <f>IF(BB509="","",BB509&amp;IF(D509="","  (guessed from PAN)",""))</f>
        <v/>
      </c>
      <c r="AU509" s="29">
        <f>IF(AZ509="","",IFERROR(INDEX(Lists!$L$2:$L$38,MATCH(LEFT(AZ509,2),Lists!$K$2:$K$38,0)),"Unknown code"))</f>
        <v/>
      </c>
      <c r="AV509" s="29">
        <f>IF(AZ509="","",IFERROR(IF(NOT(AND(LEN(AZ509)=15,ISNUMBER(MATCH(LEFT(AZ509,2),Lists!$K$2:$K$38,0)),SUMPRODUCT(--ISERROR(FIND(MID(MID(AZ509,3,10),{1,2,3,4,5,10},1),"ABCDEFGHIJKLMNOPQRSTUVWXYZ")))=0,SUMPRODUCT(--ISERROR(FIND(MID(MID(AZ509,3,10),{6,7,8,9},1),"0123456789")))=0,ISNUMBER(FIND(MID(AZ509,13,1),"123456789ABCDEFGHIJKLMNOPQRSTUVWXYZ")),MID(AZ509,14,1)="Z")),"Wrong format",IF(MID("0123456789ABCDEFGHIJKLMNOPQRSTUVWXYZ",MOD(36-MOD(SUMPRODUCT(INT((FIND(MID(AZ509,{1,2,3,4,5,6,7,8,9,10,11,12,13,14},1),"0123456789ABCDEFGHIJKLMNOPQRSTUVWXYZ")-1)*{1,2,1,2,1,2,1,2,1,2,1,2,1,2}/36)+MOD((FIND(MID(AZ509,{1,2,3,4,5,6,7,8,9,10,11,12,13,14},1),"0123456789ABCDEFGHIJKLMNOPQRSTUVWXYZ")-1)*{1,2,1,2,1,2,1,2,1,2,1,2,1,2},36)),36),36)+1,1)=MID(AZ509,15,1),"OK","Typo? check digit wrong")),"Wrong format"))</f>
        <v/>
      </c>
      <c r="AW509" s="29">
        <f>IF(BA509="","",IF(AND(LEN(BA509)=10,SUMPRODUCT(--ISERROR(FIND(MID(BA509,{1,2,3,4,5,10},1),"ABCDEFGHIJKLMNOPQRSTUVWXYZ")))=0,SUMPRODUCT(--ISERROR(FIND(MID(BA509,{6,7,8,9},1),"0123456789")))=0),"OK","Wrong format"))</f>
        <v/>
      </c>
      <c r="AX509" s="29">
        <f>IF(TRIM(H509)="","",IF(AND(LEN(UPPER(TRIM(H509)))=10,SUMPRODUCT(--ISERROR(FIND(MID(UPPER(TRIM(H509)),{1,2,3,4,10},1),"ABCDEFGHIJKLMNOPQRSTUVWXYZ")))=0,SUMPRODUCT(--ISERROR(FIND(MID(UPPER(TRIM(H509)),{5,6,7,8,9},1),"0123456789")))=0),"OK","Wrong format"))</f>
        <v/>
      </c>
      <c r="AY509" s="30">
        <f>IF(NOT(COUNTA(A509:AE509)&gt;0),"",IF(BE509&lt;&gt;"","✖ "&amp;LEFT(BE509,LEN(BE509)-2),IF(BD509&gt;0,"✔ Ready — client + "&amp;BD509&amp;" service(s)","✔ Ready — client only")))</f>
        <v/>
      </c>
      <c r="AZ509" s="31">
        <f>UPPER(SUBSTITUTE(TRIM(F509)," ",""))</f>
        <v/>
      </c>
      <c r="BA509" s="31">
        <f>UPPER(SUBSTITUTE(TRIM(E509)," ",""))</f>
        <v/>
      </c>
      <c r="BB509" s="31">
        <f>IF(D509&lt;&gt;"",D509,IFERROR(VLOOKUP(MID(AS509,4,1),Lists!$E$2:$F$8,2,FALSE),""))</f>
        <v/>
      </c>
      <c r="BC509" s="31">
        <f>IFERROR(VLOOKUP(BB509,Lists!$A$2:$C$12,3,FALSE),"")</f>
        <v/>
      </c>
      <c r="BD509" s="31">
        <f>COUNTIF(W509:AC509,"Yes")</f>
        <v/>
      </c>
      <c r="BE509" s="31">
        <f>IF(TRIM(B509)="","Legal name missing; ","")&amp;IF(AND(AV509&lt;&gt;"",AV509&lt;&gt;"OK"),"GSTIN: "&amp;AV509&amp;"; ","")&amp;IF(AND(AW509&lt;&gt;"",AW509&lt;&gt;"OK"),"PAN wrong format; ","")&amp;IF(AND(BA509&lt;&gt;"",LEN(AZ509)=15,MID(AZ509,3,10)&lt;&gt;BA509),"PAN does not match GSTIN; ","")&amp;IF(AND(AX509&lt;&gt;"",AX509&lt;&gt;"OK"),"TAN wrong format; ","")&amp;IF(AS509="","PAN missing; ","")&amp;IF(BB509="","Entity type missing; ","")&amp;IF(AND(AZ509&lt;&gt;"",COUNTIF($AZ$6:$AZ$1005,AZ509)&gt;1),"GSTIN repeated in this sheet; ","")&amp;IF(AND(AS509&lt;&gt;"",COUNTIF($AS$6:$AS$1005,AS509)&gt;1),"PAN repeated in this sheet (same client? put extra GSTINs in Other GSTINs); ","")&amp;IF(AND(BD509&gt;0,V509=""),"Financial year missing; ","")&amp;IF(AND(BD509=0,V509&lt;&gt;""),"Financial year given but no service is Yes; ","")&amp;IF(AND(W509="Yes",AZ509=""),"GST needs a GSTIN; ","")&amp;IF(AND(W509="Yes",X509=""),"GST return frequency missing; ","")&amp;IF(AND(Y509="Yes",TRIM(H509)=""),"TDS needs a TAN; ","")&amp;IF(AND(AA509="Yes",BC509&lt;&gt;"",BC509&lt;&gt;"company",BC509&lt;&gt;"llp"),"ROC is only for a company / LLP; ","")&amp;IF(AND(AA509="Yes",OR(BC509="company",BC509="llp"),TRIM(I509)=""),"ROC needs the CIN / LLPIN; ","")&amp;IF((TRIM(AF509)="")&lt;&gt;(TRIM(AG509)=""),"GST login needs both user ID and password; ","")&amp;IF((TRIM(AH509)="")&lt;&gt;(TRIM(AI509)=""),"Income-tax login needs both user ID and password; ","")&amp;IF((TRIM(AJ509)="")&lt;&gt;(TRIM(AK509)=""),"Income-tax login needs both user ID and password; ","")&amp;IF((TRIM(AL509)="")&lt;&gt;(TRIM(AM509)=""),"TRACES login needs both user ID and password; ","")&amp;IF((TRIM(AN509)="")&lt;&gt;(TRIM(AO509)=""),"MCA login needs both user ID and password; ","")&amp;IF((TRIM(AP509)="")&lt;&gt;(TRIM(AQ509)=""),"E-way bill login needs both user ID and password; ","")</f>
        <v/>
      </c>
    </row>
    <row r="510">
      <c r="A510" s="32" t="n"/>
      <c r="B510" s="33" t="n"/>
      <c r="C510" s="33" t="n"/>
      <c r="D510" s="33" t="n"/>
      <c r="E510" s="32" t="n"/>
      <c r="F510" s="32" t="n"/>
      <c r="G510" s="32" t="n"/>
      <c r="H510" s="32" t="n"/>
      <c r="I510" s="32" t="n"/>
      <c r="J510" s="34" t="n"/>
      <c r="K510" s="33" t="n"/>
      <c r="L510" s="32" t="n"/>
      <c r="M510" s="33" t="n"/>
      <c r="N510" s="33" t="n"/>
      <c r="O510" s="33" t="n"/>
      <c r="P510" s="32" t="n"/>
      <c r="Q510" s="33" t="n"/>
      <c r="R510" s="33" t="n"/>
      <c r="S510" s="33" t="n"/>
      <c r="T510" s="33" t="n"/>
      <c r="U510" s="32" t="n"/>
      <c r="V510" s="33" t="n"/>
      <c r="W510" s="33" t="n"/>
      <c r="X510" s="33" t="n"/>
      <c r="Y510" s="33" t="n"/>
      <c r="Z510" s="33" t="n"/>
      <c r="AA510" s="33" t="n"/>
      <c r="AB510" s="33" t="n"/>
      <c r="AC510" s="33" t="n"/>
      <c r="AD510" s="33" t="n"/>
      <c r="AE510" s="33" t="n"/>
      <c r="AF510" s="32" t="n"/>
      <c r="AG510" s="32" t="n"/>
      <c r="AH510" s="32" t="n"/>
      <c r="AI510" s="32" t="n"/>
      <c r="AJ510" s="32" t="n"/>
      <c r="AK510" s="32" t="n"/>
      <c r="AL510" s="32" t="n"/>
      <c r="AM510" s="32" t="n"/>
      <c r="AN510" s="32" t="n"/>
      <c r="AO510" s="32" t="n"/>
      <c r="AP510" s="32" t="n"/>
      <c r="AQ510" s="32" t="n"/>
      <c r="AR510" s="29">
        <f>IF(NOT(COUNTA(A510:AE510)&gt;0),"",IF(A510="","New client","Update"))</f>
        <v/>
      </c>
      <c r="AS510" s="29">
        <f>IF(BA510&lt;&gt;"",BA510,IF(LEN(AZ510)=15,MID(AZ510,3,10),""))</f>
        <v/>
      </c>
      <c r="AT510" s="29">
        <f>IF(BB510="","",BB510&amp;IF(D510="","  (guessed from PAN)",""))</f>
        <v/>
      </c>
      <c r="AU510" s="29">
        <f>IF(AZ510="","",IFERROR(INDEX(Lists!$L$2:$L$38,MATCH(LEFT(AZ510,2),Lists!$K$2:$K$38,0)),"Unknown code"))</f>
        <v/>
      </c>
      <c r="AV510" s="29">
        <f>IF(AZ510="","",IFERROR(IF(NOT(AND(LEN(AZ510)=15,ISNUMBER(MATCH(LEFT(AZ510,2),Lists!$K$2:$K$38,0)),SUMPRODUCT(--ISERROR(FIND(MID(MID(AZ510,3,10),{1,2,3,4,5,10},1),"ABCDEFGHIJKLMNOPQRSTUVWXYZ")))=0,SUMPRODUCT(--ISERROR(FIND(MID(MID(AZ510,3,10),{6,7,8,9},1),"0123456789")))=0,ISNUMBER(FIND(MID(AZ510,13,1),"123456789ABCDEFGHIJKLMNOPQRSTUVWXYZ")),MID(AZ510,14,1)="Z")),"Wrong format",IF(MID("0123456789ABCDEFGHIJKLMNOPQRSTUVWXYZ",MOD(36-MOD(SUMPRODUCT(INT((FIND(MID(AZ510,{1,2,3,4,5,6,7,8,9,10,11,12,13,14},1),"0123456789ABCDEFGHIJKLMNOPQRSTUVWXYZ")-1)*{1,2,1,2,1,2,1,2,1,2,1,2,1,2}/36)+MOD((FIND(MID(AZ510,{1,2,3,4,5,6,7,8,9,10,11,12,13,14},1),"0123456789ABCDEFGHIJKLMNOPQRSTUVWXYZ")-1)*{1,2,1,2,1,2,1,2,1,2,1,2,1,2},36)),36),36)+1,1)=MID(AZ510,15,1),"OK","Typo? check digit wrong")),"Wrong format"))</f>
        <v/>
      </c>
      <c r="AW510" s="29">
        <f>IF(BA510="","",IF(AND(LEN(BA510)=10,SUMPRODUCT(--ISERROR(FIND(MID(BA510,{1,2,3,4,5,10},1),"ABCDEFGHIJKLMNOPQRSTUVWXYZ")))=0,SUMPRODUCT(--ISERROR(FIND(MID(BA510,{6,7,8,9},1),"0123456789")))=0),"OK","Wrong format"))</f>
        <v/>
      </c>
      <c r="AX510" s="29">
        <f>IF(TRIM(H510)="","",IF(AND(LEN(UPPER(TRIM(H510)))=10,SUMPRODUCT(--ISERROR(FIND(MID(UPPER(TRIM(H510)),{1,2,3,4,10},1),"ABCDEFGHIJKLMNOPQRSTUVWXYZ")))=0,SUMPRODUCT(--ISERROR(FIND(MID(UPPER(TRIM(H510)),{5,6,7,8,9},1),"0123456789")))=0),"OK","Wrong format"))</f>
        <v/>
      </c>
      <c r="AY510" s="30">
        <f>IF(NOT(COUNTA(A510:AE510)&gt;0),"",IF(BE510&lt;&gt;"","✖ "&amp;LEFT(BE510,LEN(BE510)-2),IF(BD510&gt;0,"✔ Ready — client + "&amp;BD510&amp;" service(s)","✔ Ready — client only")))</f>
        <v/>
      </c>
      <c r="AZ510" s="31">
        <f>UPPER(SUBSTITUTE(TRIM(F510)," ",""))</f>
        <v/>
      </c>
      <c r="BA510" s="31">
        <f>UPPER(SUBSTITUTE(TRIM(E510)," ",""))</f>
        <v/>
      </c>
      <c r="BB510" s="31">
        <f>IF(D510&lt;&gt;"",D510,IFERROR(VLOOKUP(MID(AS510,4,1),Lists!$E$2:$F$8,2,FALSE),""))</f>
        <v/>
      </c>
      <c r="BC510" s="31">
        <f>IFERROR(VLOOKUP(BB510,Lists!$A$2:$C$12,3,FALSE),"")</f>
        <v/>
      </c>
      <c r="BD510" s="31">
        <f>COUNTIF(W510:AC510,"Yes")</f>
        <v/>
      </c>
      <c r="BE510" s="31">
        <f>IF(TRIM(B510)="","Legal name missing; ","")&amp;IF(AND(AV510&lt;&gt;"",AV510&lt;&gt;"OK"),"GSTIN: "&amp;AV510&amp;"; ","")&amp;IF(AND(AW510&lt;&gt;"",AW510&lt;&gt;"OK"),"PAN wrong format; ","")&amp;IF(AND(BA510&lt;&gt;"",LEN(AZ510)=15,MID(AZ510,3,10)&lt;&gt;BA510),"PAN does not match GSTIN; ","")&amp;IF(AND(AX510&lt;&gt;"",AX510&lt;&gt;"OK"),"TAN wrong format; ","")&amp;IF(AS510="","PAN missing; ","")&amp;IF(BB510="","Entity type missing; ","")&amp;IF(AND(AZ510&lt;&gt;"",COUNTIF($AZ$6:$AZ$1005,AZ510)&gt;1),"GSTIN repeated in this sheet; ","")&amp;IF(AND(AS510&lt;&gt;"",COUNTIF($AS$6:$AS$1005,AS510)&gt;1),"PAN repeated in this sheet (same client? put extra GSTINs in Other GSTINs); ","")&amp;IF(AND(BD510&gt;0,V510=""),"Financial year missing; ","")&amp;IF(AND(BD510=0,V510&lt;&gt;""),"Financial year given but no service is Yes; ","")&amp;IF(AND(W510="Yes",AZ510=""),"GST needs a GSTIN; ","")&amp;IF(AND(W510="Yes",X510=""),"GST return frequency missing; ","")&amp;IF(AND(Y510="Yes",TRIM(H510)=""),"TDS needs a TAN; ","")&amp;IF(AND(AA510="Yes",BC510&lt;&gt;"",BC510&lt;&gt;"company",BC510&lt;&gt;"llp"),"ROC is only for a company / LLP; ","")&amp;IF(AND(AA510="Yes",OR(BC510="company",BC510="llp"),TRIM(I510)=""),"ROC needs the CIN / LLPIN; ","")&amp;IF((TRIM(AF510)="")&lt;&gt;(TRIM(AG510)=""),"GST login needs both user ID and password; ","")&amp;IF((TRIM(AH510)="")&lt;&gt;(TRIM(AI510)=""),"Income-tax login needs both user ID and password; ","")&amp;IF((TRIM(AJ510)="")&lt;&gt;(TRIM(AK510)=""),"Income-tax login needs both user ID and password; ","")&amp;IF((TRIM(AL510)="")&lt;&gt;(TRIM(AM510)=""),"TRACES login needs both user ID and password; ","")&amp;IF((TRIM(AN510)="")&lt;&gt;(TRIM(AO510)=""),"MCA login needs both user ID and password; ","")&amp;IF((TRIM(AP510)="")&lt;&gt;(TRIM(AQ510)=""),"E-way bill login needs both user ID and password; ","")</f>
        <v/>
      </c>
    </row>
    <row r="511">
      <c r="A511" s="32" t="n"/>
      <c r="B511" s="33" t="n"/>
      <c r="C511" s="33" t="n"/>
      <c r="D511" s="33" t="n"/>
      <c r="E511" s="32" t="n"/>
      <c r="F511" s="32" t="n"/>
      <c r="G511" s="32" t="n"/>
      <c r="H511" s="32" t="n"/>
      <c r="I511" s="32" t="n"/>
      <c r="J511" s="34" t="n"/>
      <c r="K511" s="33" t="n"/>
      <c r="L511" s="32" t="n"/>
      <c r="M511" s="33" t="n"/>
      <c r="N511" s="33" t="n"/>
      <c r="O511" s="33" t="n"/>
      <c r="P511" s="32" t="n"/>
      <c r="Q511" s="33" t="n"/>
      <c r="R511" s="33" t="n"/>
      <c r="S511" s="33" t="n"/>
      <c r="T511" s="33" t="n"/>
      <c r="U511" s="32" t="n"/>
      <c r="V511" s="33" t="n"/>
      <c r="W511" s="33" t="n"/>
      <c r="X511" s="33" t="n"/>
      <c r="Y511" s="33" t="n"/>
      <c r="Z511" s="33" t="n"/>
      <c r="AA511" s="33" t="n"/>
      <c r="AB511" s="33" t="n"/>
      <c r="AC511" s="33" t="n"/>
      <c r="AD511" s="33" t="n"/>
      <c r="AE511" s="33" t="n"/>
      <c r="AF511" s="32" t="n"/>
      <c r="AG511" s="32" t="n"/>
      <c r="AH511" s="32" t="n"/>
      <c r="AI511" s="32" t="n"/>
      <c r="AJ511" s="32" t="n"/>
      <c r="AK511" s="32" t="n"/>
      <c r="AL511" s="32" t="n"/>
      <c r="AM511" s="32" t="n"/>
      <c r="AN511" s="32" t="n"/>
      <c r="AO511" s="32" t="n"/>
      <c r="AP511" s="32" t="n"/>
      <c r="AQ511" s="32" t="n"/>
      <c r="AR511" s="29">
        <f>IF(NOT(COUNTA(A511:AE511)&gt;0),"",IF(A511="","New client","Update"))</f>
        <v/>
      </c>
      <c r="AS511" s="29">
        <f>IF(BA511&lt;&gt;"",BA511,IF(LEN(AZ511)=15,MID(AZ511,3,10),""))</f>
        <v/>
      </c>
      <c r="AT511" s="29">
        <f>IF(BB511="","",BB511&amp;IF(D511="","  (guessed from PAN)",""))</f>
        <v/>
      </c>
      <c r="AU511" s="29">
        <f>IF(AZ511="","",IFERROR(INDEX(Lists!$L$2:$L$38,MATCH(LEFT(AZ511,2),Lists!$K$2:$K$38,0)),"Unknown code"))</f>
        <v/>
      </c>
      <c r="AV511" s="29">
        <f>IF(AZ511="","",IFERROR(IF(NOT(AND(LEN(AZ511)=15,ISNUMBER(MATCH(LEFT(AZ511,2),Lists!$K$2:$K$38,0)),SUMPRODUCT(--ISERROR(FIND(MID(MID(AZ511,3,10),{1,2,3,4,5,10},1),"ABCDEFGHIJKLMNOPQRSTUVWXYZ")))=0,SUMPRODUCT(--ISERROR(FIND(MID(MID(AZ511,3,10),{6,7,8,9},1),"0123456789")))=0,ISNUMBER(FIND(MID(AZ511,13,1),"123456789ABCDEFGHIJKLMNOPQRSTUVWXYZ")),MID(AZ511,14,1)="Z")),"Wrong format",IF(MID("0123456789ABCDEFGHIJKLMNOPQRSTUVWXYZ",MOD(36-MOD(SUMPRODUCT(INT((FIND(MID(AZ511,{1,2,3,4,5,6,7,8,9,10,11,12,13,14},1),"0123456789ABCDEFGHIJKLMNOPQRSTUVWXYZ")-1)*{1,2,1,2,1,2,1,2,1,2,1,2,1,2}/36)+MOD((FIND(MID(AZ511,{1,2,3,4,5,6,7,8,9,10,11,12,13,14},1),"0123456789ABCDEFGHIJKLMNOPQRSTUVWXYZ")-1)*{1,2,1,2,1,2,1,2,1,2,1,2,1,2},36)),36),36)+1,1)=MID(AZ511,15,1),"OK","Typo? check digit wrong")),"Wrong format"))</f>
        <v/>
      </c>
      <c r="AW511" s="29">
        <f>IF(BA511="","",IF(AND(LEN(BA511)=10,SUMPRODUCT(--ISERROR(FIND(MID(BA511,{1,2,3,4,5,10},1),"ABCDEFGHIJKLMNOPQRSTUVWXYZ")))=0,SUMPRODUCT(--ISERROR(FIND(MID(BA511,{6,7,8,9},1),"0123456789")))=0),"OK","Wrong format"))</f>
        <v/>
      </c>
      <c r="AX511" s="29">
        <f>IF(TRIM(H511)="","",IF(AND(LEN(UPPER(TRIM(H511)))=10,SUMPRODUCT(--ISERROR(FIND(MID(UPPER(TRIM(H511)),{1,2,3,4,10},1),"ABCDEFGHIJKLMNOPQRSTUVWXYZ")))=0,SUMPRODUCT(--ISERROR(FIND(MID(UPPER(TRIM(H511)),{5,6,7,8,9},1),"0123456789")))=0),"OK","Wrong format"))</f>
        <v/>
      </c>
      <c r="AY511" s="30">
        <f>IF(NOT(COUNTA(A511:AE511)&gt;0),"",IF(BE511&lt;&gt;"","✖ "&amp;LEFT(BE511,LEN(BE511)-2),IF(BD511&gt;0,"✔ Ready — client + "&amp;BD511&amp;" service(s)","✔ Ready — client only")))</f>
        <v/>
      </c>
      <c r="AZ511" s="31">
        <f>UPPER(SUBSTITUTE(TRIM(F511)," ",""))</f>
        <v/>
      </c>
      <c r="BA511" s="31">
        <f>UPPER(SUBSTITUTE(TRIM(E511)," ",""))</f>
        <v/>
      </c>
      <c r="BB511" s="31">
        <f>IF(D511&lt;&gt;"",D511,IFERROR(VLOOKUP(MID(AS511,4,1),Lists!$E$2:$F$8,2,FALSE),""))</f>
        <v/>
      </c>
      <c r="BC511" s="31">
        <f>IFERROR(VLOOKUP(BB511,Lists!$A$2:$C$12,3,FALSE),"")</f>
        <v/>
      </c>
      <c r="BD511" s="31">
        <f>COUNTIF(W511:AC511,"Yes")</f>
        <v/>
      </c>
      <c r="BE511" s="31">
        <f>IF(TRIM(B511)="","Legal name missing; ","")&amp;IF(AND(AV511&lt;&gt;"",AV511&lt;&gt;"OK"),"GSTIN: "&amp;AV511&amp;"; ","")&amp;IF(AND(AW511&lt;&gt;"",AW511&lt;&gt;"OK"),"PAN wrong format; ","")&amp;IF(AND(BA511&lt;&gt;"",LEN(AZ511)=15,MID(AZ511,3,10)&lt;&gt;BA511),"PAN does not match GSTIN; ","")&amp;IF(AND(AX511&lt;&gt;"",AX511&lt;&gt;"OK"),"TAN wrong format; ","")&amp;IF(AS511="","PAN missing; ","")&amp;IF(BB511="","Entity type missing; ","")&amp;IF(AND(AZ511&lt;&gt;"",COUNTIF($AZ$6:$AZ$1005,AZ511)&gt;1),"GSTIN repeated in this sheet; ","")&amp;IF(AND(AS511&lt;&gt;"",COUNTIF($AS$6:$AS$1005,AS511)&gt;1),"PAN repeated in this sheet (same client? put extra GSTINs in Other GSTINs); ","")&amp;IF(AND(BD511&gt;0,V511=""),"Financial year missing; ","")&amp;IF(AND(BD511=0,V511&lt;&gt;""),"Financial year given but no service is Yes; ","")&amp;IF(AND(W511="Yes",AZ511=""),"GST needs a GSTIN; ","")&amp;IF(AND(W511="Yes",X511=""),"GST return frequency missing; ","")&amp;IF(AND(Y511="Yes",TRIM(H511)=""),"TDS needs a TAN; ","")&amp;IF(AND(AA511="Yes",BC511&lt;&gt;"",BC511&lt;&gt;"company",BC511&lt;&gt;"llp"),"ROC is only for a company / LLP; ","")&amp;IF(AND(AA511="Yes",OR(BC511="company",BC511="llp"),TRIM(I511)=""),"ROC needs the CIN / LLPIN; ","")&amp;IF((TRIM(AF511)="")&lt;&gt;(TRIM(AG511)=""),"GST login needs both user ID and password; ","")&amp;IF((TRIM(AH511)="")&lt;&gt;(TRIM(AI511)=""),"Income-tax login needs both user ID and password; ","")&amp;IF((TRIM(AJ511)="")&lt;&gt;(TRIM(AK511)=""),"Income-tax login needs both user ID and password; ","")&amp;IF((TRIM(AL511)="")&lt;&gt;(TRIM(AM511)=""),"TRACES login needs both user ID and password; ","")&amp;IF((TRIM(AN511)="")&lt;&gt;(TRIM(AO511)=""),"MCA login needs both user ID and password; ","")&amp;IF((TRIM(AP511)="")&lt;&gt;(TRIM(AQ511)=""),"E-way bill login needs both user ID and password; ","")</f>
        <v/>
      </c>
    </row>
    <row r="512">
      <c r="A512" s="32" t="n"/>
      <c r="B512" s="33" t="n"/>
      <c r="C512" s="33" t="n"/>
      <c r="D512" s="33" t="n"/>
      <c r="E512" s="32" t="n"/>
      <c r="F512" s="32" t="n"/>
      <c r="G512" s="32" t="n"/>
      <c r="H512" s="32" t="n"/>
      <c r="I512" s="32" t="n"/>
      <c r="J512" s="34" t="n"/>
      <c r="K512" s="33" t="n"/>
      <c r="L512" s="32" t="n"/>
      <c r="M512" s="33" t="n"/>
      <c r="N512" s="33" t="n"/>
      <c r="O512" s="33" t="n"/>
      <c r="P512" s="32" t="n"/>
      <c r="Q512" s="33" t="n"/>
      <c r="R512" s="33" t="n"/>
      <c r="S512" s="33" t="n"/>
      <c r="T512" s="33" t="n"/>
      <c r="U512" s="32" t="n"/>
      <c r="V512" s="33" t="n"/>
      <c r="W512" s="33" t="n"/>
      <c r="X512" s="33" t="n"/>
      <c r="Y512" s="33" t="n"/>
      <c r="Z512" s="33" t="n"/>
      <c r="AA512" s="33" t="n"/>
      <c r="AB512" s="33" t="n"/>
      <c r="AC512" s="33" t="n"/>
      <c r="AD512" s="33" t="n"/>
      <c r="AE512" s="33" t="n"/>
      <c r="AF512" s="32" t="n"/>
      <c r="AG512" s="32" t="n"/>
      <c r="AH512" s="32" t="n"/>
      <c r="AI512" s="32" t="n"/>
      <c r="AJ512" s="32" t="n"/>
      <c r="AK512" s="32" t="n"/>
      <c r="AL512" s="32" t="n"/>
      <c r="AM512" s="32" t="n"/>
      <c r="AN512" s="32" t="n"/>
      <c r="AO512" s="32" t="n"/>
      <c r="AP512" s="32" t="n"/>
      <c r="AQ512" s="32" t="n"/>
      <c r="AR512" s="29">
        <f>IF(NOT(COUNTA(A512:AE512)&gt;0),"",IF(A512="","New client","Update"))</f>
        <v/>
      </c>
      <c r="AS512" s="29">
        <f>IF(BA512&lt;&gt;"",BA512,IF(LEN(AZ512)=15,MID(AZ512,3,10),""))</f>
        <v/>
      </c>
      <c r="AT512" s="29">
        <f>IF(BB512="","",BB512&amp;IF(D512="","  (guessed from PAN)",""))</f>
        <v/>
      </c>
      <c r="AU512" s="29">
        <f>IF(AZ512="","",IFERROR(INDEX(Lists!$L$2:$L$38,MATCH(LEFT(AZ512,2),Lists!$K$2:$K$38,0)),"Unknown code"))</f>
        <v/>
      </c>
      <c r="AV512" s="29">
        <f>IF(AZ512="","",IFERROR(IF(NOT(AND(LEN(AZ512)=15,ISNUMBER(MATCH(LEFT(AZ512,2),Lists!$K$2:$K$38,0)),SUMPRODUCT(--ISERROR(FIND(MID(MID(AZ512,3,10),{1,2,3,4,5,10},1),"ABCDEFGHIJKLMNOPQRSTUVWXYZ")))=0,SUMPRODUCT(--ISERROR(FIND(MID(MID(AZ512,3,10),{6,7,8,9},1),"0123456789")))=0,ISNUMBER(FIND(MID(AZ512,13,1),"123456789ABCDEFGHIJKLMNOPQRSTUVWXYZ")),MID(AZ512,14,1)="Z")),"Wrong format",IF(MID("0123456789ABCDEFGHIJKLMNOPQRSTUVWXYZ",MOD(36-MOD(SUMPRODUCT(INT((FIND(MID(AZ512,{1,2,3,4,5,6,7,8,9,10,11,12,13,14},1),"0123456789ABCDEFGHIJKLMNOPQRSTUVWXYZ")-1)*{1,2,1,2,1,2,1,2,1,2,1,2,1,2}/36)+MOD((FIND(MID(AZ512,{1,2,3,4,5,6,7,8,9,10,11,12,13,14},1),"0123456789ABCDEFGHIJKLMNOPQRSTUVWXYZ")-1)*{1,2,1,2,1,2,1,2,1,2,1,2,1,2},36)),36),36)+1,1)=MID(AZ512,15,1),"OK","Typo? check digit wrong")),"Wrong format"))</f>
        <v/>
      </c>
      <c r="AW512" s="29">
        <f>IF(BA512="","",IF(AND(LEN(BA512)=10,SUMPRODUCT(--ISERROR(FIND(MID(BA512,{1,2,3,4,5,10},1),"ABCDEFGHIJKLMNOPQRSTUVWXYZ")))=0,SUMPRODUCT(--ISERROR(FIND(MID(BA512,{6,7,8,9},1),"0123456789")))=0),"OK","Wrong format"))</f>
        <v/>
      </c>
      <c r="AX512" s="29">
        <f>IF(TRIM(H512)="","",IF(AND(LEN(UPPER(TRIM(H512)))=10,SUMPRODUCT(--ISERROR(FIND(MID(UPPER(TRIM(H512)),{1,2,3,4,10},1),"ABCDEFGHIJKLMNOPQRSTUVWXYZ")))=0,SUMPRODUCT(--ISERROR(FIND(MID(UPPER(TRIM(H512)),{5,6,7,8,9},1),"0123456789")))=0),"OK","Wrong format"))</f>
        <v/>
      </c>
      <c r="AY512" s="30">
        <f>IF(NOT(COUNTA(A512:AE512)&gt;0),"",IF(BE512&lt;&gt;"","✖ "&amp;LEFT(BE512,LEN(BE512)-2),IF(BD512&gt;0,"✔ Ready — client + "&amp;BD512&amp;" service(s)","✔ Ready — client only")))</f>
        <v/>
      </c>
      <c r="AZ512" s="31">
        <f>UPPER(SUBSTITUTE(TRIM(F512)," ",""))</f>
        <v/>
      </c>
      <c r="BA512" s="31">
        <f>UPPER(SUBSTITUTE(TRIM(E512)," ",""))</f>
        <v/>
      </c>
      <c r="BB512" s="31">
        <f>IF(D512&lt;&gt;"",D512,IFERROR(VLOOKUP(MID(AS512,4,1),Lists!$E$2:$F$8,2,FALSE),""))</f>
        <v/>
      </c>
      <c r="BC512" s="31">
        <f>IFERROR(VLOOKUP(BB512,Lists!$A$2:$C$12,3,FALSE),"")</f>
        <v/>
      </c>
      <c r="BD512" s="31">
        <f>COUNTIF(W512:AC512,"Yes")</f>
        <v/>
      </c>
      <c r="BE512" s="31">
        <f>IF(TRIM(B512)="","Legal name missing; ","")&amp;IF(AND(AV512&lt;&gt;"",AV512&lt;&gt;"OK"),"GSTIN: "&amp;AV512&amp;"; ","")&amp;IF(AND(AW512&lt;&gt;"",AW512&lt;&gt;"OK"),"PAN wrong format; ","")&amp;IF(AND(BA512&lt;&gt;"",LEN(AZ512)=15,MID(AZ512,3,10)&lt;&gt;BA512),"PAN does not match GSTIN; ","")&amp;IF(AND(AX512&lt;&gt;"",AX512&lt;&gt;"OK"),"TAN wrong format; ","")&amp;IF(AS512="","PAN missing; ","")&amp;IF(BB512="","Entity type missing; ","")&amp;IF(AND(AZ512&lt;&gt;"",COUNTIF($AZ$6:$AZ$1005,AZ512)&gt;1),"GSTIN repeated in this sheet; ","")&amp;IF(AND(AS512&lt;&gt;"",COUNTIF($AS$6:$AS$1005,AS512)&gt;1),"PAN repeated in this sheet (same client? put extra GSTINs in Other GSTINs); ","")&amp;IF(AND(BD512&gt;0,V512=""),"Financial year missing; ","")&amp;IF(AND(BD512=0,V512&lt;&gt;""),"Financial year given but no service is Yes; ","")&amp;IF(AND(W512="Yes",AZ512=""),"GST needs a GSTIN; ","")&amp;IF(AND(W512="Yes",X512=""),"GST return frequency missing; ","")&amp;IF(AND(Y512="Yes",TRIM(H512)=""),"TDS needs a TAN; ","")&amp;IF(AND(AA512="Yes",BC512&lt;&gt;"",BC512&lt;&gt;"company",BC512&lt;&gt;"llp"),"ROC is only for a company / LLP; ","")&amp;IF(AND(AA512="Yes",OR(BC512="company",BC512="llp"),TRIM(I512)=""),"ROC needs the CIN / LLPIN; ","")&amp;IF((TRIM(AF512)="")&lt;&gt;(TRIM(AG512)=""),"GST login needs both user ID and password; ","")&amp;IF((TRIM(AH512)="")&lt;&gt;(TRIM(AI512)=""),"Income-tax login needs both user ID and password; ","")&amp;IF((TRIM(AJ512)="")&lt;&gt;(TRIM(AK512)=""),"Income-tax login needs both user ID and password; ","")&amp;IF((TRIM(AL512)="")&lt;&gt;(TRIM(AM512)=""),"TRACES login needs both user ID and password; ","")&amp;IF((TRIM(AN512)="")&lt;&gt;(TRIM(AO512)=""),"MCA login needs both user ID and password; ","")&amp;IF((TRIM(AP512)="")&lt;&gt;(TRIM(AQ512)=""),"E-way bill login needs both user ID and password; ","")</f>
        <v/>
      </c>
    </row>
    <row r="513">
      <c r="A513" s="32" t="n"/>
      <c r="B513" s="33" t="n"/>
      <c r="C513" s="33" t="n"/>
      <c r="D513" s="33" t="n"/>
      <c r="E513" s="32" t="n"/>
      <c r="F513" s="32" t="n"/>
      <c r="G513" s="32" t="n"/>
      <c r="H513" s="32" t="n"/>
      <c r="I513" s="32" t="n"/>
      <c r="J513" s="34" t="n"/>
      <c r="K513" s="33" t="n"/>
      <c r="L513" s="32" t="n"/>
      <c r="M513" s="33" t="n"/>
      <c r="N513" s="33" t="n"/>
      <c r="O513" s="33" t="n"/>
      <c r="P513" s="32" t="n"/>
      <c r="Q513" s="33" t="n"/>
      <c r="R513" s="33" t="n"/>
      <c r="S513" s="33" t="n"/>
      <c r="T513" s="33" t="n"/>
      <c r="U513" s="32" t="n"/>
      <c r="V513" s="33" t="n"/>
      <c r="W513" s="33" t="n"/>
      <c r="X513" s="33" t="n"/>
      <c r="Y513" s="33" t="n"/>
      <c r="Z513" s="33" t="n"/>
      <c r="AA513" s="33" t="n"/>
      <c r="AB513" s="33" t="n"/>
      <c r="AC513" s="33" t="n"/>
      <c r="AD513" s="33" t="n"/>
      <c r="AE513" s="33" t="n"/>
      <c r="AF513" s="32" t="n"/>
      <c r="AG513" s="32" t="n"/>
      <c r="AH513" s="32" t="n"/>
      <c r="AI513" s="32" t="n"/>
      <c r="AJ513" s="32" t="n"/>
      <c r="AK513" s="32" t="n"/>
      <c r="AL513" s="32" t="n"/>
      <c r="AM513" s="32" t="n"/>
      <c r="AN513" s="32" t="n"/>
      <c r="AO513" s="32" t="n"/>
      <c r="AP513" s="32" t="n"/>
      <c r="AQ513" s="32" t="n"/>
      <c r="AR513" s="29">
        <f>IF(NOT(COUNTA(A513:AE513)&gt;0),"",IF(A513="","New client","Update"))</f>
        <v/>
      </c>
      <c r="AS513" s="29">
        <f>IF(BA513&lt;&gt;"",BA513,IF(LEN(AZ513)=15,MID(AZ513,3,10),""))</f>
        <v/>
      </c>
      <c r="AT513" s="29">
        <f>IF(BB513="","",BB513&amp;IF(D513="","  (guessed from PAN)",""))</f>
        <v/>
      </c>
      <c r="AU513" s="29">
        <f>IF(AZ513="","",IFERROR(INDEX(Lists!$L$2:$L$38,MATCH(LEFT(AZ513,2),Lists!$K$2:$K$38,0)),"Unknown code"))</f>
        <v/>
      </c>
      <c r="AV513" s="29">
        <f>IF(AZ513="","",IFERROR(IF(NOT(AND(LEN(AZ513)=15,ISNUMBER(MATCH(LEFT(AZ513,2),Lists!$K$2:$K$38,0)),SUMPRODUCT(--ISERROR(FIND(MID(MID(AZ513,3,10),{1,2,3,4,5,10},1),"ABCDEFGHIJKLMNOPQRSTUVWXYZ")))=0,SUMPRODUCT(--ISERROR(FIND(MID(MID(AZ513,3,10),{6,7,8,9},1),"0123456789")))=0,ISNUMBER(FIND(MID(AZ513,13,1),"123456789ABCDEFGHIJKLMNOPQRSTUVWXYZ")),MID(AZ513,14,1)="Z")),"Wrong format",IF(MID("0123456789ABCDEFGHIJKLMNOPQRSTUVWXYZ",MOD(36-MOD(SUMPRODUCT(INT((FIND(MID(AZ513,{1,2,3,4,5,6,7,8,9,10,11,12,13,14},1),"0123456789ABCDEFGHIJKLMNOPQRSTUVWXYZ")-1)*{1,2,1,2,1,2,1,2,1,2,1,2,1,2}/36)+MOD((FIND(MID(AZ513,{1,2,3,4,5,6,7,8,9,10,11,12,13,14},1),"0123456789ABCDEFGHIJKLMNOPQRSTUVWXYZ")-1)*{1,2,1,2,1,2,1,2,1,2,1,2,1,2},36)),36),36)+1,1)=MID(AZ513,15,1),"OK","Typo? check digit wrong")),"Wrong format"))</f>
        <v/>
      </c>
      <c r="AW513" s="29">
        <f>IF(BA513="","",IF(AND(LEN(BA513)=10,SUMPRODUCT(--ISERROR(FIND(MID(BA513,{1,2,3,4,5,10},1),"ABCDEFGHIJKLMNOPQRSTUVWXYZ")))=0,SUMPRODUCT(--ISERROR(FIND(MID(BA513,{6,7,8,9},1),"0123456789")))=0),"OK","Wrong format"))</f>
        <v/>
      </c>
      <c r="AX513" s="29">
        <f>IF(TRIM(H513)="","",IF(AND(LEN(UPPER(TRIM(H513)))=10,SUMPRODUCT(--ISERROR(FIND(MID(UPPER(TRIM(H513)),{1,2,3,4,10},1),"ABCDEFGHIJKLMNOPQRSTUVWXYZ")))=0,SUMPRODUCT(--ISERROR(FIND(MID(UPPER(TRIM(H513)),{5,6,7,8,9},1),"0123456789")))=0),"OK","Wrong format"))</f>
        <v/>
      </c>
      <c r="AY513" s="30">
        <f>IF(NOT(COUNTA(A513:AE513)&gt;0),"",IF(BE513&lt;&gt;"","✖ "&amp;LEFT(BE513,LEN(BE513)-2),IF(BD513&gt;0,"✔ Ready — client + "&amp;BD513&amp;" service(s)","✔ Ready — client only")))</f>
        <v/>
      </c>
      <c r="AZ513" s="31">
        <f>UPPER(SUBSTITUTE(TRIM(F513)," ",""))</f>
        <v/>
      </c>
      <c r="BA513" s="31">
        <f>UPPER(SUBSTITUTE(TRIM(E513)," ",""))</f>
        <v/>
      </c>
      <c r="BB513" s="31">
        <f>IF(D513&lt;&gt;"",D513,IFERROR(VLOOKUP(MID(AS513,4,1),Lists!$E$2:$F$8,2,FALSE),""))</f>
        <v/>
      </c>
      <c r="BC513" s="31">
        <f>IFERROR(VLOOKUP(BB513,Lists!$A$2:$C$12,3,FALSE),"")</f>
        <v/>
      </c>
      <c r="BD513" s="31">
        <f>COUNTIF(W513:AC513,"Yes")</f>
        <v/>
      </c>
      <c r="BE513" s="31">
        <f>IF(TRIM(B513)="","Legal name missing; ","")&amp;IF(AND(AV513&lt;&gt;"",AV513&lt;&gt;"OK"),"GSTIN: "&amp;AV513&amp;"; ","")&amp;IF(AND(AW513&lt;&gt;"",AW513&lt;&gt;"OK"),"PAN wrong format; ","")&amp;IF(AND(BA513&lt;&gt;"",LEN(AZ513)=15,MID(AZ513,3,10)&lt;&gt;BA513),"PAN does not match GSTIN; ","")&amp;IF(AND(AX513&lt;&gt;"",AX513&lt;&gt;"OK"),"TAN wrong format; ","")&amp;IF(AS513="","PAN missing; ","")&amp;IF(BB513="","Entity type missing; ","")&amp;IF(AND(AZ513&lt;&gt;"",COUNTIF($AZ$6:$AZ$1005,AZ513)&gt;1),"GSTIN repeated in this sheet; ","")&amp;IF(AND(AS513&lt;&gt;"",COUNTIF($AS$6:$AS$1005,AS513)&gt;1),"PAN repeated in this sheet (same client? put extra GSTINs in Other GSTINs); ","")&amp;IF(AND(BD513&gt;0,V513=""),"Financial year missing; ","")&amp;IF(AND(BD513=0,V513&lt;&gt;""),"Financial year given but no service is Yes; ","")&amp;IF(AND(W513="Yes",AZ513=""),"GST needs a GSTIN; ","")&amp;IF(AND(W513="Yes",X513=""),"GST return frequency missing; ","")&amp;IF(AND(Y513="Yes",TRIM(H513)=""),"TDS needs a TAN; ","")&amp;IF(AND(AA513="Yes",BC513&lt;&gt;"",BC513&lt;&gt;"company",BC513&lt;&gt;"llp"),"ROC is only for a company / LLP; ","")&amp;IF(AND(AA513="Yes",OR(BC513="company",BC513="llp"),TRIM(I513)=""),"ROC needs the CIN / LLPIN; ","")&amp;IF((TRIM(AF513)="")&lt;&gt;(TRIM(AG513)=""),"GST login needs both user ID and password; ","")&amp;IF((TRIM(AH513)="")&lt;&gt;(TRIM(AI513)=""),"Income-tax login needs both user ID and password; ","")&amp;IF((TRIM(AJ513)="")&lt;&gt;(TRIM(AK513)=""),"Income-tax login needs both user ID and password; ","")&amp;IF((TRIM(AL513)="")&lt;&gt;(TRIM(AM513)=""),"TRACES login needs both user ID and password; ","")&amp;IF((TRIM(AN513)="")&lt;&gt;(TRIM(AO513)=""),"MCA login needs both user ID and password; ","")&amp;IF((TRIM(AP513)="")&lt;&gt;(TRIM(AQ513)=""),"E-way bill login needs both user ID and password; ","")</f>
        <v/>
      </c>
    </row>
    <row r="514">
      <c r="A514" s="32" t="n"/>
      <c r="B514" s="33" t="n"/>
      <c r="C514" s="33" t="n"/>
      <c r="D514" s="33" t="n"/>
      <c r="E514" s="32" t="n"/>
      <c r="F514" s="32" t="n"/>
      <c r="G514" s="32" t="n"/>
      <c r="H514" s="32" t="n"/>
      <c r="I514" s="32" t="n"/>
      <c r="J514" s="34" t="n"/>
      <c r="K514" s="33" t="n"/>
      <c r="L514" s="32" t="n"/>
      <c r="M514" s="33" t="n"/>
      <c r="N514" s="33" t="n"/>
      <c r="O514" s="33" t="n"/>
      <c r="P514" s="32" t="n"/>
      <c r="Q514" s="33" t="n"/>
      <c r="R514" s="33" t="n"/>
      <c r="S514" s="33" t="n"/>
      <c r="T514" s="33" t="n"/>
      <c r="U514" s="32" t="n"/>
      <c r="V514" s="33" t="n"/>
      <c r="W514" s="33" t="n"/>
      <c r="X514" s="33" t="n"/>
      <c r="Y514" s="33" t="n"/>
      <c r="Z514" s="33" t="n"/>
      <c r="AA514" s="33" t="n"/>
      <c r="AB514" s="33" t="n"/>
      <c r="AC514" s="33" t="n"/>
      <c r="AD514" s="33" t="n"/>
      <c r="AE514" s="33" t="n"/>
      <c r="AF514" s="32" t="n"/>
      <c r="AG514" s="32" t="n"/>
      <c r="AH514" s="32" t="n"/>
      <c r="AI514" s="32" t="n"/>
      <c r="AJ514" s="32" t="n"/>
      <c r="AK514" s="32" t="n"/>
      <c r="AL514" s="32" t="n"/>
      <c r="AM514" s="32" t="n"/>
      <c r="AN514" s="32" t="n"/>
      <c r="AO514" s="32" t="n"/>
      <c r="AP514" s="32" t="n"/>
      <c r="AQ514" s="32" t="n"/>
      <c r="AR514" s="29">
        <f>IF(NOT(COUNTA(A514:AE514)&gt;0),"",IF(A514="","New client","Update"))</f>
        <v/>
      </c>
      <c r="AS514" s="29">
        <f>IF(BA514&lt;&gt;"",BA514,IF(LEN(AZ514)=15,MID(AZ514,3,10),""))</f>
        <v/>
      </c>
      <c r="AT514" s="29">
        <f>IF(BB514="","",BB514&amp;IF(D514="","  (guessed from PAN)",""))</f>
        <v/>
      </c>
      <c r="AU514" s="29">
        <f>IF(AZ514="","",IFERROR(INDEX(Lists!$L$2:$L$38,MATCH(LEFT(AZ514,2),Lists!$K$2:$K$38,0)),"Unknown code"))</f>
        <v/>
      </c>
      <c r="AV514" s="29">
        <f>IF(AZ514="","",IFERROR(IF(NOT(AND(LEN(AZ514)=15,ISNUMBER(MATCH(LEFT(AZ514,2),Lists!$K$2:$K$38,0)),SUMPRODUCT(--ISERROR(FIND(MID(MID(AZ514,3,10),{1,2,3,4,5,10},1),"ABCDEFGHIJKLMNOPQRSTUVWXYZ")))=0,SUMPRODUCT(--ISERROR(FIND(MID(MID(AZ514,3,10),{6,7,8,9},1),"0123456789")))=0,ISNUMBER(FIND(MID(AZ514,13,1),"123456789ABCDEFGHIJKLMNOPQRSTUVWXYZ")),MID(AZ514,14,1)="Z")),"Wrong format",IF(MID("0123456789ABCDEFGHIJKLMNOPQRSTUVWXYZ",MOD(36-MOD(SUMPRODUCT(INT((FIND(MID(AZ514,{1,2,3,4,5,6,7,8,9,10,11,12,13,14},1),"0123456789ABCDEFGHIJKLMNOPQRSTUVWXYZ")-1)*{1,2,1,2,1,2,1,2,1,2,1,2,1,2}/36)+MOD((FIND(MID(AZ514,{1,2,3,4,5,6,7,8,9,10,11,12,13,14},1),"0123456789ABCDEFGHIJKLMNOPQRSTUVWXYZ")-1)*{1,2,1,2,1,2,1,2,1,2,1,2,1,2},36)),36),36)+1,1)=MID(AZ514,15,1),"OK","Typo? check digit wrong")),"Wrong format"))</f>
        <v/>
      </c>
      <c r="AW514" s="29">
        <f>IF(BA514="","",IF(AND(LEN(BA514)=10,SUMPRODUCT(--ISERROR(FIND(MID(BA514,{1,2,3,4,5,10},1),"ABCDEFGHIJKLMNOPQRSTUVWXYZ")))=0,SUMPRODUCT(--ISERROR(FIND(MID(BA514,{6,7,8,9},1),"0123456789")))=0),"OK","Wrong format"))</f>
        <v/>
      </c>
      <c r="AX514" s="29">
        <f>IF(TRIM(H514)="","",IF(AND(LEN(UPPER(TRIM(H514)))=10,SUMPRODUCT(--ISERROR(FIND(MID(UPPER(TRIM(H514)),{1,2,3,4,10},1),"ABCDEFGHIJKLMNOPQRSTUVWXYZ")))=0,SUMPRODUCT(--ISERROR(FIND(MID(UPPER(TRIM(H514)),{5,6,7,8,9},1),"0123456789")))=0),"OK","Wrong format"))</f>
        <v/>
      </c>
      <c r="AY514" s="30">
        <f>IF(NOT(COUNTA(A514:AE514)&gt;0),"",IF(BE514&lt;&gt;"","✖ "&amp;LEFT(BE514,LEN(BE514)-2),IF(BD514&gt;0,"✔ Ready — client + "&amp;BD514&amp;" service(s)","✔ Ready — client only")))</f>
        <v/>
      </c>
      <c r="AZ514" s="31">
        <f>UPPER(SUBSTITUTE(TRIM(F514)," ",""))</f>
        <v/>
      </c>
      <c r="BA514" s="31">
        <f>UPPER(SUBSTITUTE(TRIM(E514)," ",""))</f>
        <v/>
      </c>
      <c r="BB514" s="31">
        <f>IF(D514&lt;&gt;"",D514,IFERROR(VLOOKUP(MID(AS514,4,1),Lists!$E$2:$F$8,2,FALSE),""))</f>
        <v/>
      </c>
      <c r="BC514" s="31">
        <f>IFERROR(VLOOKUP(BB514,Lists!$A$2:$C$12,3,FALSE),"")</f>
        <v/>
      </c>
      <c r="BD514" s="31">
        <f>COUNTIF(W514:AC514,"Yes")</f>
        <v/>
      </c>
      <c r="BE514" s="31">
        <f>IF(TRIM(B514)="","Legal name missing; ","")&amp;IF(AND(AV514&lt;&gt;"",AV514&lt;&gt;"OK"),"GSTIN: "&amp;AV514&amp;"; ","")&amp;IF(AND(AW514&lt;&gt;"",AW514&lt;&gt;"OK"),"PAN wrong format; ","")&amp;IF(AND(BA514&lt;&gt;"",LEN(AZ514)=15,MID(AZ514,3,10)&lt;&gt;BA514),"PAN does not match GSTIN; ","")&amp;IF(AND(AX514&lt;&gt;"",AX514&lt;&gt;"OK"),"TAN wrong format; ","")&amp;IF(AS514="","PAN missing; ","")&amp;IF(BB514="","Entity type missing; ","")&amp;IF(AND(AZ514&lt;&gt;"",COUNTIF($AZ$6:$AZ$1005,AZ514)&gt;1),"GSTIN repeated in this sheet; ","")&amp;IF(AND(AS514&lt;&gt;"",COUNTIF($AS$6:$AS$1005,AS514)&gt;1),"PAN repeated in this sheet (same client? put extra GSTINs in Other GSTINs); ","")&amp;IF(AND(BD514&gt;0,V514=""),"Financial year missing; ","")&amp;IF(AND(BD514=0,V514&lt;&gt;""),"Financial year given but no service is Yes; ","")&amp;IF(AND(W514="Yes",AZ514=""),"GST needs a GSTIN; ","")&amp;IF(AND(W514="Yes",X514=""),"GST return frequency missing; ","")&amp;IF(AND(Y514="Yes",TRIM(H514)=""),"TDS needs a TAN; ","")&amp;IF(AND(AA514="Yes",BC514&lt;&gt;"",BC514&lt;&gt;"company",BC514&lt;&gt;"llp"),"ROC is only for a company / LLP; ","")&amp;IF(AND(AA514="Yes",OR(BC514="company",BC514="llp"),TRIM(I514)=""),"ROC needs the CIN / LLPIN; ","")&amp;IF((TRIM(AF514)="")&lt;&gt;(TRIM(AG514)=""),"GST login needs both user ID and password; ","")&amp;IF((TRIM(AH514)="")&lt;&gt;(TRIM(AI514)=""),"Income-tax login needs both user ID and password; ","")&amp;IF((TRIM(AJ514)="")&lt;&gt;(TRIM(AK514)=""),"Income-tax login needs both user ID and password; ","")&amp;IF((TRIM(AL514)="")&lt;&gt;(TRIM(AM514)=""),"TRACES login needs both user ID and password; ","")&amp;IF((TRIM(AN514)="")&lt;&gt;(TRIM(AO514)=""),"MCA login needs both user ID and password; ","")&amp;IF((TRIM(AP514)="")&lt;&gt;(TRIM(AQ514)=""),"E-way bill login needs both user ID and password; ","")</f>
        <v/>
      </c>
    </row>
    <row r="515">
      <c r="A515" s="32" t="n"/>
      <c r="B515" s="33" t="n"/>
      <c r="C515" s="33" t="n"/>
      <c r="D515" s="33" t="n"/>
      <c r="E515" s="32" t="n"/>
      <c r="F515" s="32" t="n"/>
      <c r="G515" s="32" t="n"/>
      <c r="H515" s="32" t="n"/>
      <c r="I515" s="32" t="n"/>
      <c r="J515" s="34" t="n"/>
      <c r="K515" s="33" t="n"/>
      <c r="L515" s="32" t="n"/>
      <c r="M515" s="33" t="n"/>
      <c r="N515" s="33" t="n"/>
      <c r="O515" s="33" t="n"/>
      <c r="P515" s="32" t="n"/>
      <c r="Q515" s="33" t="n"/>
      <c r="R515" s="33" t="n"/>
      <c r="S515" s="33" t="n"/>
      <c r="T515" s="33" t="n"/>
      <c r="U515" s="32" t="n"/>
      <c r="V515" s="33" t="n"/>
      <c r="W515" s="33" t="n"/>
      <c r="X515" s="33" t="n"/>
      <c r="Y515" s="33" t="n"/>
      <c r="Z515" s="33" t="n"/>
      <c r="AA515" s="33" t="n"/>
      <c r="AB515" s="33" t="n"/>
      <c r="AC515" s="33" t="n"/>
      <c r="AD515" s="33" t="n"/>
      <c r="AE515" s="33" t="n"/>
      <c r="AF515" s="32" t="n"/>
      <c r="AG515" s="32" t="n"/>
      <c r="AH515" s="32" t="n"/>
      <c r="AI515" s="32" t="n"/>
      <c r="AJ515" s="32" t="n"/>
      <c r="AK515" s="32" t="n"/>
      <c r="AL515" s="32" t="n"/>
      <c r="AM515" s="32" t="n"/>
      <c r="AN515" s="32" t="n"/>
      <c r="AO515" s="32" t="n"/>
      <c r="AP515" s="32" t="n"/>
      <c r="AQ515" s="32" t="n"/>
      <c r="AR515" s="29">
        <f>IF(NOT(COUNTA(A515:AE515)&gt;0),"",IF(A515="","New client","Update"))</f>
        <v/>
      </c>
      <c r="AS515" s="29">
        <f>IF(BA515&lt;&gt;"",BA515,IF(LEN(AZ515)=15,MID(AZ515,3,10),""))</f>
        <v/>
      </c>
      <c r="AT515" s="29">
        <f>IF(BB515="","",BB515&amp;IF(D515="","  (guessed from PAN)",""))</f>
        <v/>
      </c>
      <c r="AU515" s="29">
        <f>IF(AZ515="","",IFERROR(INDEX(Lists!$L$2:$L$38,MATCH(LEFT(AZ515,2),Lists!$K$2:$K$38,0)),"Unknown code"))</f>
        <v/>
      </c>
      <c r="AV515" s="29">
        <f>IF(AZ515="","",IFERROR(IF(NOT(AND(LEN(AZ515)=15,ISNUMBER(MATCH(LEFT(AZ515,2),Lists!$K$2:$K$38,0)),SUMPRODUCT(--ISERROR(FIND(MID(MID(AZ515,3,10),{1,2,3,4,5,10},1),"ABCDEFGHIJKLMNOPQRSTUVWXYZ")))=0,SUMPRODUCT(--ISERROR(FIND(MID(MID(AZ515,3,10),{6,7,8,9},1),"0123456789")))=0,ISNUMBER(FIND(MID(AZ515,13,1),"123456789ABCDEFGHIJKLMNOPQRSTUVWXYZ")),MID(AZ515,14,1)="Z")),"Wrong format",IF(MID("0123456789ABCDEFGHIJKLMNOPQRSTUVWXYZ",MOD(36-MOD(SUMPRODUCT(INT((FIND(MID(AZ515,{1,2,3,4,5,6,7,8,9,10,11,12,13,14},1),"0123456789ABCDEFGHIJKLMNOPQRSTUVWXYZ")-1)*{1,2,1,2,1,2,1,2,1,2,1,2,1,2}/36)+MOD((FIND(MID(AZ515,{1,2,3,4,5,6,7,8,9,10,11,12,13,14},1),"0123456789ABCDEFGHIJKLMNOPQRSTUVWXYZ")-1)*{1,2,1,2,1,2,1,2,1,2,1,2,1,2},36)),36),36)+1,1)=MID(AZ515,15,1),"OK","Typo? check digit wrong")),"Wrong format"))</f>
        <v/>
      </c>
      <c r="AW515" s="29">
        <f>IF(BA515="","",IF(AND(LEN(BA515)=10,SUMPRODUCT(--ISERROR(FIND(MID(BA515,{1,2,3,4,5,10},1),"ABCDEFGHIJKLMNOPQRSTUVWXYZ")))=0,SUMPRODUCT(--ISERROR(FIND(MID(BA515,{6,7,8,9},1),"0123456789")))=0),"OK","Wrong format"))</f>
        <v/>
      </c>
      <c r="AX515" s="29">
        <f>IF(TRIM(H515)="","",IF(AND(LEN(UPPER(TRIM(H515)))=10,SUMPRODUCT(--ISERROR(FIND(MID(UPPER(TRIM(H515)),{1,2,3,4,10},1),"ABCDEFGHIJKLMNOPQRSTUVWXYZ")))=0,SUMPRODUCT(--ISERROR(FIND(MID(UPPER(TRIM(H515)),{5,6,7,8,9},1),"0123456789")))=0),"OK","Wrong format"))</f>
        <v/>
      </c>
      <c r="AY515" s="30">
        <f>IF(NOT(COUNTA(A515:AE515)&gt;0),"",IF(BE515&lt;&gt;"","✖ "&amp;LEFT(BE515,LEN(BE515)-2),IF(BD515&gt;0,"✔ Ready — client + "&amp;BD515&amp;" service(s)","✔ Ready — client only")))</f>
        <v/>
      </c>
      <c r="AZ515" s="31">
        <f>UPPER(SUBSTITUTE(TRIM(F515)," ",""))</f>
        <v/>
      </c>
      <c r="BA515" s="31">
        <f>UPPER(SUBSTITUTE(TRIM(E515)," ",""))</f>
        <v/>
      </c>
      <c r="BB515" s="31">
        <f>IF(D515&lt;&gt;"",D515,IFERROR(VLOOKUP(MID(AS515,4,1),Lists!$E$2:$F$8,2,FALSE),""))</f>
        <v/>
      </c>
      <c r="BC515" s="31">
        <f>IFERROR(VLOOKUP(BB515,Lists!$A$2:$C$12,3,FALSE),"")</f>
        <v/>
      </c>
      <c r="BD515" s="31">
        <f>COUNTIF(W515:AC515,"Yes")</f>
        <v/>
      </c>
      <c r="BE515" s="31">
        <f>IF(TRIM(B515)="","Legal name missing; ","")&amp;IF(AND(AV515&lt;&gt;"",AV515&lt;&gt;"OK"),"GSTIN: "&amp;AV515&amp;"; ","")&amp;IF(AND(AW515&lt;&gt;"",AW515&lt;&gt;"OK"),"PAN wrong format; ","")&amp;IF(AND(BA515&lt;&gt;"",LEN(AZ515)=15,MID(AZ515,3,10)&lt;&gt;BA515),"PAN does not match GSTIN; ","")&amp;IF(AND(AX515&lt;&gt;"",AX515&lt;&gt;"OK"),"TAN wrong format; ","")&amp;IF(AS515="","PAN missing; ","")&amp;IF(BB515="","Entity type missing; ","")&amp;IF(AND(AZ515&lt;&gt;"",COUNTIF($AZ$6:$AZ$1005,AZ515)&gt;1),"GSTIN repeated in this sheet; ","")&amp;IF(AND(AS515&lt;&gt;"",COUNTIF($AS$6:$AS$1005,AS515)&gt;1),"PAN repeated in this sheet (same client? put extra GSTINs in Other GSTINs); ","")&amp;IF(AND(BD515&gt;0,V515=""),"Financial year missing; ","")&amp;IF(AND(BD515=0,V515&lt;&gt;""),"Financial year given but no service is Yes; ","")&amp;IF(AND(W515="Yes",AZ515=""),"GST needs a GSTIN; ","")&amp;IF(AND(W515="Yes",X515=""),"GST return frequency missing; ","")&amp;IF(AND(Y515="Yes",TRIM(H515)=""),"TDS needs a TAN; ","")&amp;IF(AND(AA515="Yes",BC515&lt;&gt;"",BC515&lt;&gt;"company",BC515&lt;&gt;"llp"),"ROC is only for a company / LLP; ","")&amp;IF(AND(AA515="Yes",OR(BC515="company",BC515="llp"),TRIM(I515)=""),"ROC needs the CIN / LLPIN; ","")&amp;IF((TRIM(AF515)="")&lt;&gt;(TRIM(AG515)=""),"GST login needs both user ID and password; ","")&amp;IF((TRIM(AH515)="")&lt;&gt;(TRIM(AI515)=""),"Income-tax login needs both user ID and password; ","")&amp;IF((TRIM(AJ515)="")&lt;&gt;(TRIM(AK515)=""),"Income-tax login needs both user ID and password; ","")&amp;IF((TRIM(AL515)="")&lt;&gt;(TRIM(AM515)=""),"TRACES login needs both user ID and password; ","")&amp;IF((TRIM(AN515)="")&lt;&gt;(TRIM(AO515)=""),"MCA login needs both user ID and password; ","")&amp;IF((TRIM(AP515)="")&lt;&gt;(TRIM(AQ515)=""),"E-way bill login needs both user ID and password; ","")</f>
        <v/>
      </c>
    </row>
    <row r="516">
      <c r="A516" s="32" t="n"/>
      <c r="B516" s="33" t="n"/>
      <c r="C516" s="33" t="n"/>
      <c r="D516" s="33" t="n"/>
      <c r="E516" s="32" t="n"/>
      <c r="F516" s="32" t="n"/>
      <c r="G516" s="32" t="n"/>
      <c r="H516" s="32" t="n"/>
      <c r="I516" s="32" t="n"/>
      <c r="J516" s="34" t="n"/>
      <c r="K516" s="33" t="n"/>
      <c r="L516" s="32" t="n"/>
      <c r="M516" s="33" t="n"/>
      <c r="N516" s="33" t="n"/>
      <c r="O516" s="33" t="n"/>
      <c r="P516" s="32" t="n"/>
      <c r="Q516" s="33" t="n"/>
      <c r="R516" s="33" t="n"/>
      <c r="S516" s="33" t="n"/>
      <c r="T516" s="33" t="n"/>
      <c r="U516" s="32" t="n"/>
      <c r="V516" s="33" t="n"/>
      <c r="W516" s="33" t="n"/>
      <c r="X516" s="33" t="n"/>
      <c r="Y516" s="33" t="n"/>
      <c r="Z516" s="33" t="n"/>
      <c r="AA516" s="33" t="n"/>
      <c r="AB516" s="33" t="n"/>
      <c r="AC516" s="33" t="n"/>
      <c r="AD516" s="33" t="n"/>
      <c r="AE516" s="33" t="n"/>
      <c r="AF516" s="32" t="n"/>
      <c r="AG516" s="32" t="n"/>
      <c r="AH516" s="32" t="n"/>
      <c r="AI516" s="32" t="n"/>
      <c r="AJ516" s="32" t="n"/>
      <c r="AK516" s="32" t="n"/>
      <c r="AL516" s="32" t="n"/>
      <c r="AM516" s="32" t="n"/>
      <c r="AN516" s="32" t="n"/>
      <c r="AO516" s="32" t="n"/>
      <c r="AP516" s="32" t="n"/>
      <c r="AQ516" s="32" t="n"/>
      <c r="AR516" s="29">
        <f>IF(NOT(COUNTA(A516:AE516)&gt;0),"",IF(A516="","New client","Update"))</f>
        <v/>
      </c>
      <c r="AS516" s="29">
        <f>IF(BA516&lt;&gt;"",BA516,IF(LEN(AZ516)=15,MID(AZ516,3,10),""))</f>
        <v/>
      </c>
      <c r="AT516" s="29">
        <f>IF(BB516="","",BB516&amp;IF(D516="","  (guessed from PAN)",""))</f>
        <v/>
      </c>
      <c r="AU516" s="29">
        <f>IF(AZ516="","",IFERROR(INDEX(Lists!$L$2:$L$38,MATCH(LEFT(AZ516,2),Lists!$K$2:$K$38,0)),"Unknown code"))</f>
        <v/>
      </c>
      <c r="AV516" s="29">
        <f>IF(AZ516="","",IFERROR(IF(NOT(AND(LEN(AZ516)=15,ISNUMBER(MATCH(LEFT(AZ516,2),Lists!$K$2:$K$38,0)),SUMPRODUCT(--ISERROR(FIND(MID(MID(AZ516,3,10),{1,2,3,4,5,10},1),"ABCDEFGHIJKLMNOPQRSTUVWXYZ")))=0,SUMPRODUCT(--ISERROR(FIND(MID(MID(AZ516,3,10),{6,7,8,9},1),"0123456789")))=0,ISNUMBER(FIND(MID(AZ516,13,1),"123456789ABCDEFGHIJKLMNOPQRSTUVWXYZ")),MID(AZ516,14,1)="Z")),"Wrong format",IF(MID("0123456789ABCDEFGHIJKLMNOPQRSTUVWXYZ",MOD(36-MOD(SUMPRODUCT(INT((FIND(MID(AZ516,{1,2,3,4,5,6,7,8,9,10,11,12,13,14},1),"0123456789ABCDEFGHIJKLMNOPQRSTUVWXYZ")-1)*{1,2,1,2,1,2,1,2,1,2,1,2,1,2}/36)+MOD((FIND(MID(AZ516,{1,2,3,4,5,6,7,8,9,10,11,12,13,14},1),"0123456789ABCDEFGHIJKLMNOPQRSTUVWXYZ")-1)*{1,2,1,2,1,2,1,2,1,2,1,2,1,2},36)),36),36)+1,1)=MID(AZ516,15,1),"OK","Typo? check digit wrong")),"Wrong format"))</f>
        <v/>
      </c>
      <c r="AW516" s="29">
        <f>IF(BA516="","",IF(AND(LEN(BA516)=10,SUMPRODUCT(--ISERROR(FIND(MID(BA516,{1,2,3,4,5,10},1),"ABCDEFGHIJKLMNOPQRSTUVWXYZ")))=0,SUMPRODUCT(--ISERROR(FIND(MID(BA516,{6,7,8,9},1),"0123456789")))=0),"OK","Wrong format"))</f>
        <v/>
      </c>
      <c r="AX516" s="29">
        <f>IF(TRIM(H516)="","",IF(AND(LEN(UPPER(TRIM(H516)))=10,SUMPRODUCT(--ISERROR(FIND(MID(UPPER(TRIM(H516)),{1,2,3,4,10},1),"ABCDEFGHIJKLMNOPQRSTUVWXYZ")))=0,SUMPRODUCT(--ISERROR(FIND(MID(UPPER(TRIM(H516)),{5,6,7,8,9},1),"0123456789")))=0),"OK","Wrong format"))</f>
        <v/>
      </c>
      <c r="AY516" s="30">
        <f>IF(NOT(COUNTA(A516:AE516)&gt;0),"",IF(BE516&lt;&gt;"","✖ "&amp;LEFT(BE516,LEN(BE516)-2),IF(BD516&gt;0,"✔ Ready — client + "&amp;BD516&amp;" service(s)","✔ Ready — client only")))</f>
        <v/>
      </c>
      <c r="AZ516" s="31">
        <f>UPPER(SUBSTITUTE(TRIM(F516)," ",""))</f>
        <v/>
      </c>
      <c r="BA516" s="31">
        <f>UPPER(SUBSTITUTE(TRIM(E516)," ",""))</f>
        <v/>
      </c>
      <c r="BB516" s="31">
        <f>IF(D516&lt;&gt;"",D516,IFERROR(VLOOKUP(MID(AS516,4,1),Lists!$E$2:$F$8,2,FALSE),""))</f>
        <v/>
      </c>
      <c r="BC516" s="31">
        <f>IFERROR(VLOOKUP(BB516,Lists!$A$2:$C$12,3,FALSE),"")</f>
        <v/>
      </c>
      <c r="BD516" s="31">
        <f>COUNTIF(W516:AC516,"Yes")</f>
        <v/>
      </c>
      <c r="BE516" s="31">
        <f>IF(TRIM(B516)="","Legal name missing; ","")&amp;IF(AND(AV516&lt;&gt;"",AV516&lt;&gt;"OK"),"GSTIN: "&amp;AV516&amp;"; ","")&amp;IF(AND(AW516&lt;&gt;"",AW516&lt;&gt;"OK"),"PAN wrong format; ","")&amp;IF(AND(BA516&lt;&gt;"",LEN(AZ516)=15,MID(AZ516,3,10)&lt;&gt;BA516),"PAN does not match GSTIN; ","")&amp;IF(AND(AX516&lt;&gt;"",AX516&lt;&gt;"OK"),"TAN wrong format; ","")&amp;IF(AS516="","PAN missing; ","")&amp;IF(BB516="","Entity type missing; ","")&amp;IF(AND(AZ516&lt;&gt;"",COUNTIF($AZ$6:$AZ$1005,AZ516)&gt;1),"GSTIN repeated in this sheet; ","")&amp;IF(AND(AS516&lt;&gt;"",COUNTIF($AS$6:$AS$1005,AS516)&gt;1),"PAN repeated in this sheet (same client? put extra GSTINs in Other GSTINs); ","")&amp;IF(AND(BD516&gt;0,V516=""),"Financial year missing; ","")&amp;IF(AND(BD516=0,V516&lt;&gt;""),"Financial year given but no service is Yes; ","")&amp;IF(AND(W516="Yes",AZ516=""),"GST needs a GSTIN; ","")&amp;IF(AND(W516="Yes",X516=""),"GST return frequency missing; ","")&amp;IF(AND(Y516="Yes",TRIM(H516)=""),"TDS needs a TAN; ","")&amp;IF(AND(AA516="Yes",BC516&lt;&gt;"",BC516&lt;&gt;"company",BC516&lt;&gt;"llp"),"ROC is only for a company / LLP; ","")&amp;IF(AND(AA516="Yes",OR(BC516="company",BC516="llp"),TRIM(I516)=""),"ROC needs the CIN / LLPIN; ","")&amp;IF((TRIM(AF516)="")&lt;&gt;(TRIM(AG516)=""),"GST login needs both user ID and password; ","")&amp;IF((TRIM(AH516)="")&lt;&gt;(TRIM(AI516)=""),"Income-tax login needs both user ID and password; ","")&amp;IF((TRIM(AJ516)="")&lt;&gt;(TRIM(AK516)=""),"Income-tax login needs both user ID and password; ","")&amp;IF((TRIM(AL516)="")&lt;&gt;(TRIM(AM516)=""),"TRACES login needs both user ID and password; ","")&amp;IF((TRIM(AN516)="")&lt;&gt;(TRIM(AO516)=""),"MCA login needs both user ID and password; ","")&amp;IF((TRIM(AP516)="")&lt;&gt;(TRIM(AQ516)=""),"E-way bill login needs both user ID and password; ","")</f>
        <v/>
      </c>
    </row>
    <row r="517">
      <c r="A517" s="32" t="n"/>
      <c r="B517" s="33" t="n"/>
      <c r="C517" s="33" t="n"/>
      <c r="D517" s="33" t="n"/>
      <c r="E517" s="32" t="n"/>
      <c r="F517" s="32" t="n"/>
      <c r="G517" s="32" t="n"/>
      <c r="H517" s="32" t="n"/>
      <c r="I517" s="32" t="n"/>
      <c r="J517" s="34" t="n"/>
      <c r="K517" s="33" t="n"/>
      <c r="L517" s="32" t="n"/>
      <c r="M517" s="33" t="n"/>
      <c r="N517" s="33" t="n"/>
      <c r="O517" s="33" t="n"/>
      <c r="P517" s="32" t="n"/>
      <c r="Q517" s="33" t="n"/>
      <c r="R517" s="33" t="n"/>
      <c r="S517" s="33" t="n"/>
      <c r="T517" s="33" t="n"/>
      <c r="U517" s="32" t="n"/>
      <c r="V517" s="33" t="n"/>
      <c r="W517" s="33" t="n"/>
      <c r="X517" s="33" t="n"/>
      <c r="Y517" s="33" t="n"/>
      <c r="Z517" s="33" t="n"/>
      <c r="AA517" s="33" t="n"/>
      <c r="AB517" s="33" t="n"/>
      <c r="AC517" s="33" t="n"/>
      <c r="AD517" s="33" t="n"/>
      <c r="AE517" s="33" t="n"/>
      <c r="AF517" s="32" t="n"/>
      <c r="AG517" s="32" t="n"/>
      <c r="AH517" s="32" t="n"/>
      <c r="AI517" s="32" t="n"/>
      <c r="AJ517" s="32" t="n"/>
      <c r="AK517" s="32" t="n"/>
      <c r="AL517" s="32" t="n"/>
      <c r="AM517" s="32" t="n"/>
      <c r="AN517" s="32" t="n"/>
      <c r="AO517" s="32" t="n"/>
      <c r="AP517" s="32" t="n"/>
      <c r="AQ517" s="32" t="n"/>
      <c r="AR517" s="29">
        <f>IF(NOT(COUNTA(A517:AE517)&gt;0),"",IF(A517="","New client","Update"))</f>
        <v/>
      </c>
      <c r="AS517" s="29">
        <f>IF(BA517&lt;&gt;"",BA517,IF(LEN(AZ517)=15,MID(AZ517,3,10),""))</f>
        <v/>
      </c>
      <c r="AT517" s="29">
        <f>IF(BB517="","",BB517&amp;IF(D517="","  (guessed from PAN)",""))</f>
        <v/>
      </c>
      <c r="AU517" s="29">
        <f>IF(AZ517="","",IFERROR(INDEX(Lists!$L$2:$L$38,MATCH(LEFT(AZ517,2),Lists!$K$2:$K$38,0)),"Unknown code"))</f>
        <v/>
      </c>
      <c r="AV517" s="29">
        <f>IF(AZ517="","",IFERROR(IF(NOT(AND(LEN(AZ517)=15,ISNUMBER(MATCH(LEFT(AZ517,2),Lists!$K$2:$K$38,0)),SUMPRODUCT(--ISERROR(FIND(MID(MID(AZ517,3,10),{1,2,3,4,5,10},1),"ABCDEFGHIJKLMNOPQRSTUVWXYZ")))=0,SUMPRODUCT(--ISERROR(FIND(MID(MID(AZ517,3,10),{6,7,8,9},1),"0123456789")))=0,ISNUMBER(FIND(MID(AZ517,13,1),"123456789ABCDEFGHIJKLMNOPQRSTUVWXYZ")),MID(AZ517,14,1)="Z")),"Wrong format",IF(MID("0123456789ABCDEFGHIJKLMNOPQRSTUVWXYZ",MOD(36-MOD(SUMPRODUCT(INT((FIND(MID(AZ517,{1,2,3,4,5,6,7,8,9,10,11,12,13,14},1),"0123456789ABCDEFGHIJKLMNOPQRSTUVWXYZ")-1)*{1,2,1,2,1,2,1,2,1,2,1,2,1,2}/36)+MOD((FIND(MID(AZ517,{1,2,3,4,5,6,7,8,9,10,11,12,13,14},1),"0123456789ABCDEFGHIJKLMNOPQRSTUVWXYZ")-1)*{1,2,1,2,1,2,1,2,1,2,1,2,1,2},36)),36),36)+1,1)=MID(AZ517,15,1),"OK","Typo? check digit wrong")),"Wrong format"))</f>
        <v/>
      </c>
      <c r="AW517" s="29">
        <f>IF(BA517="","",IF(AND(LEN(BA517)=10,SUMPRODUCT(--ISERROR(FIND(MID(BA517,{1,2,3,4,5,10},1),"ABCDEFGHIJKLMNOPQRSTUVWXYZ")))=0,SUMPRODUCT(--ISERROR(FIND(MID(BA517,{6,7,8,9},1),"0123456789")))=0),"OK","Wrong format"))</f>
        <v/>
      </c>
      <c r="AX517" s="29">
        <f>IF(TRIM(H517)="","",IF(AND(LEN(UPPER(TRIM(H517)))=10,SUMPRODUCT(--ISERROR(FIND(MID(UPPER(TRIM(H517)),{1,2,3,4,10},1),"ABCDEFGHIJKLMNOPQRSTUVWXYZ")))=0,SUMPRODUCT(--ISERROR(FIND(MID(UPPER(TRIM(H517)),{5,6,7,8,9},1),"0123456789")))=0),"OK","Wrong format"))</f>
        <v/>
      </c>
      <c r="AY517" s="30">
        <f>IF(NOT(COUNTA(A517:AE517)&gt;0),"",IF(BE517&lt;&gt;"","✖ "&amp;LEFT(BE517,LEN(BE517)-2),IF(BD517&gt;0,"✔ Ready — client + "&amp;BD517&amp;" service(s)","✔ Ready — client only")))</f>
        <v/>
      </c>
      <c r="AZ517" s="31">
        <f>UPPER(SUBSTITUTE(TRIM(F517)," ",""))</f>
        <v/>
      </c>
      <c r="BA517" s="31">
        <f>UPPER(SUBSTITUTE(TRIM(E517)," ",""))</f>
        <v/>
      </c>
      <c r="BB517" s="31">
        <f>IF(D517&lt;&gt;"",D517,IFERROR(VLOOKUP(MID(AS517,4,1),Lists!$E$2:$F$8,2,FALSE),""))</f>
        <v/>
      </c>
      <c r="BC517" s="31">
        <f>IFERROR(VLOOKUP(BB517,Lists!$A$2:$C$12,3,FALSE),"")</f>
        <v/>
      </c>
      <c r="BD517" s="31">
        <f>COUNTIF(W517:AC517,"Yes")</f>
        <v/>
      </c>
      <c r="BE517" s="31">
        <f>IF(TRIM(B517)="","Legal name missing; ","")&amp;IF(AND(AV517&lt;&gt;"",AV517&lt;&gt;"OK"),"GSTIN: "&amp;AV517&amp;"; ","")&amp;IF(AND(AW517&lt;&gt;"",AW517&lt;&gt;"OK"),"PAN wrong format; ","")&amp;IF(AND(BA517&lt;&gt;"",LEN(AZ517)=15,MID(AZ517,3,10)&lt;&gt;BA517),"PAN does not match GSTIN; ","")&amp;IF(AND(AX517&lt;&gt;"",AX517&lt;&gt;"OK"),"TAN wrong format; ","")&amp;IF(AS517="","PAN missing; ","")&amp;IF(BB517="","Entity type missing; ","")&amp;IF(AND(AZ517&lt;&gt;"",COUNTIF($AZ$6:$AZ$1005,AZ517)&gt;1),"GSTIN repeated in this sheet; ","")&amp;IF(AND(AS517&lt;&gt;"",COUNTIF($AS$6:$AS$1005,AS517)&gt;1),"PAN repeated in this sheet (same client? put extra GSTINs in Other GSTINs); ","")&amp;IF(AND(BD517&gt;0,V517=""),"Financial year missing; ","")&amp;IF(AND(BD517=0,V517&lt;&gt;""),"Financial year given but no service is Yes; ","")&amp;IF(AND(W517="Yes",AZ517=""),"GST needs a GSTIN; ","")&amp;IF(AND(W517="Yes",X517=""),"GST return frequency missing; ","")&amp;IF(AND(Y517="Yes",TRIM(H517)=""),"TDS needs a TAN; ","")&amp;IF(AND(AA517="Yes",BC517&lt;&gt;"",BC517&lt;&gt;"company",BC517&lt;&gt;"llp"),"ROC is only for a company / LLP; ","")&amp;IF(AND(AA517="Yes",OR(BC517="company",BC517="llp"),TRIM(I517)=""),"ROC needs the CIN / LLPIN; ","")&amp;IF((TRIM(AF517)="")&lt;&gt;(TRIM(AG517)=""),"GST login needs both user ID and password; ","")&amp;IF((TRIM(AH517)="")&lt;&gt;(TRIM(AI517)=""),"Income-tax login needs both user ID and password; ","")&amp;IF((TRIM(AJ517)="")&lt;&gt;(TRIM(AK517)=""),"Income-tax login needs both user ID and password; ","")&amp;IF((TRIM(AL517)="")&lt;&gt;(TRIM(AM517)=""),"TRACES login needs both user ID and password; ","")&amp;IF((TRIM(AN517)="")&lt;&gt;(TRIM(AO517)=""),"MCA login needs both user ID and password; ","")&amp;IF((TRIM(AP517)="")&lt;&gt;(TRIM(AQ517)=""),"E-way bill login needs both user ID and password; ","")</f>
        <v/>
      </c>
    </row>
    <row r="518">
      <c r="A518" s="32" t="n"/>
      <c r="B518" s="33" t="n"/>
      <c r="C518" s="33" t="n"/>
      <c r="D518" s="33" t="n"/>
      <c r="E518" s="32" t="n"/>
      <c r="F518" s="32" t="n"/>
      <c r="G518" s="32" t="n"/>
      <c r="H518" s="32" t="n"/>
      <c r="I518" s="32" t="n"/>
      <c r="J518" s="34" t="n"/>
      <c r="K518" s="33" t="n"/>
      <c r="L518" s="32" t="n"/>
      <c r="M518" s="33" t="n"/>
      <c r="N518" s="33" t="n"/>
      <c r="O518" s="33" t="n"/>
      <c r="P518" s="32" t="n"/>
      <c r="Q518" s="33" t="n"/>
      <c r="R518" s="33" t="n"/>
      <c r="S518" s="33" t="n"/>
      <c r="T518" s="33" t="n"/>
      <c r="U518" s="32" t="n"/>
      <c r="V518" s="33" t="n"/>
      <c r="W518" s="33" t="n"/>
      <c r="X518" s="33" t="n"/>
      <c r="Y518" s="33" t="n"/>
      <c r="Z518" s="33" t="n"/>
      <c r="AA518" s="33" t="n"/>
      <c r="AB518" s="33" t="n"/>
      <c r="AC518" s="33" t="n"/>
      <c r="AD518" s="33" t="n"/>
      <c r="AE518" s="33" t="n"/>
      <c r="AF518" s="32" t="n"/>
      <c r="AG518" s="32" t="n"/>
      <c r="AH518" s="32" t="n"/>
      <c r="AI518" s="32" t="n"/>
      <c r="AJ518" s="32" t="n"/>
      <c r="AK518" s="32" t="n"/>
      <c r="AL518" s="32" t="n"/>
      <c r="AM518" s="32" t="n"/>
      <c r="AN518" s="32" t="n"/>
      <c r="AO518" s="32" t="n"/>
      <c r="AP518" s="32" t="n"/>
      <c r="AQ518" s="32" t="n"/>
      <c r="AR518" s="29">
        <f>IF(NOT(COUNTA(A518:AE518)&gt;0),"",IF(A518="","New client","Update"))</f>
        <v/>
      </c>
      <c r="AS518" s="29">
        <f>IF(BA518&lt;&gt;"",BA518,IF(LEN(AZ518)=15,MID(AZ518,3,10),""))</f>
        <v/>
      </c>
      <c r="AT518" s="29">
        <f>IF(BB518="","",BB518&amp;IF(D518="","  (guessed from PAN)",""))</f>
        <v/>
      </c>
      <c r="AU518" s="29">
        <f>IF(AZ518="","",IFERROR(INDEX(Lists!$L$2:$L$38,MATCH(LEFT(AZ518,2),Lists!$K$2:$K$38,0)),"Unknown code"))</f>
        <v/>
      </c>
      <c r="AV518" s="29">
        <f>IF(AZ518="","",IFERROR(IF(NOT(AND(LEN(AZ518)=15,ISNUMBER(MATCH(LEFT(AZ518,2),Lists!$K$2:$K$38,0)),SUMPRODUCT(--ISERROR(FIND(MID(MID(AZ518,3,10),{1,2,3,4,5,10},1),"ABCDEFGHIJKLMNOPQRSTUVWXYZ")))=0,SUMPRODUCT(--ISERROR(FIND(MID(MID(AZ518,3,10),{6,7,8,9},1),"0123456789")))=0,ISNUMBER(FIND(MID(AZ518,13,1),"123456789ABCDEFGHIJKLMNOPQRSTUVWXYZ")),MID(AZ518,14,1)="Z")),"Wrong format",IF(MID("0123456789ABCDEFGHIJKLMNOPQRSTUVWXYZ",MOD(36-MOD(SUMPRODUCT(INT((FIND(MID(AZ518,{1,2,3,4,5,6,7,8,9,10,11,12,13,14},1),"0123456789ABCDEFGHIJKLMNOPQRSTUVWXYZ")-1)*{1,2,1,2,1,2,1,2,1,2,1,2,1,2}/36)+MOD((FIND(MID(AZ518,{1,2,3,4,5,6,7,8,9,10,11,12,13,14},1),"0123456789ABCDEFGHIJKLMNOPQRSTUVWXYZ")-1)*{1,2,1,2,1,2,1,2,1,2,1,2,1,2},36)),36),36)+1,1)=MID(AZ518,15,1),"OK","Typo? check digit wrong")),"Wrong format"))</f>
        <v/>
      </c>
      <c r="AW518" s="29">
        <f>IF(BA518="","",IF(AND(LEN(BA518)=10,SUMPRODUCT(--ISERROR(FIND(MID(BA518,{1,2,3,4,5,10},1),"ABCDEFGHIJKLMNOPQRSTUVWXYZ")))=0,SUMPRODUCT(--ISERROR(FIND(MID(BA518,{6,7,8,9},1),"0123456789")))=0),"OK","Wrong format"))</f>
        <v/>
      </c>
      <c r="AX518" s="29">
        <f>IF(TRIM(H518)="","",IF(AND(LEN(UPPER(TRIM(H518)))=10,SUMPRODUCT(--ISERROR(FIND(MID(UPPER(TRIM(H518)),{1,2,3,4,10},1),"ABCDEFGHIJKLMNOPQRSTUVWXYZ")))=0,SUMPRODUCT(--ISERROR(FIND(MID(UPPER(TRIM(H518)),{5,6,7,8,9},1),"0123456789")))=0),"OK","Wrong format"))</f>
        <v/>
      </c>
      <c r="AY518" s="30">
        <f>IF(NOT(COUNTA(A518:AE518)&gt;0),"",IF(BE518&lt;&gt;"","✖ "&amp;LEFT(BE518,LEN(BE518)-2),IF(BD518&gt;0,"✔ Ready — client + "&amp;BD518&amp;" service(s)","✔ Ready — client only")))</f>
        <v/>
      </c>
      <c r="AZ518" s="31">
        <f>UPPER(SUBSTITUTE(TRIM(F518)," ",""))</f>
        <v/>
      </c>
      <c r="BA518" s="31">
        <f>UPPER(SUBSTITUTE(TRIM(E518)," ",""))</f>
        <v/>
      </c>
      <c r="BB518" s="31">
        <f>IF(D518&lt;&gt;"",D518,IFERROR(VLOOKUP(MID(AS518,4,1),Lists!$E$2:$F$8,2,FALSE),""))</f>
        <v/>
      </c>
      <c r="BC518" s="31">
        <f>IFERROR(VLOOKUP(BB518,Lists!$A$2:$C$12,3,FALSE),"")</f>
        <v/>
      </c>
      <c r="BD518" s="31">
        <f>COUNTIF(W518:AC518,"Yes")</f>
        <v/>
      </c>
      <c r="BE518" s="31">
        <f>IF(TRIM(B518)="","Legal name missing; ","")&amp;IF(AND(AV518&lt;&gt;"",AV518&lt;&gt;"OK"),"GSTIN: "&amp;AV518&amp;"; ","")&amp;IF(AND(AW518&lt;&gt;"",AW518&lt;&gt;"OK"),"PAN wrong format; ","")&amp;IF(AND(BA518&lt;&gt;"",LEN(AZ518)=15,MID(AZ518,3,10)&lt;&gt;BA518),"PAN does not match GSTIN; ","")&amp;IF(AND(AX518&lt;&gt;"",AX518&lt;&gt;"OK"),"TAN wrong format; ","")&amp;IF(AS518="","PAN missing; ","")&amp;IF(BB518="","Entity type missing; ","")&amp;IF(AND(AZ518&lt;&gt;"",COUNTIF($AZ$6:$AZ$1005,AZ518)&gt;1),"GSTIN repeated in this sheet; ","")&amp;IF(AND(AS518&lt;&gt;"",COUNTIF($AS$6:$AS$1005,AS518)&gt;1),"PAN repeated in this sheet (same client? put extra GSTINs in Other GSTINs); ","")&amp;IF(AND(BD518&gt;0,V518=""),"Financial year missing; ","")&amp;IF(AND(BD518=0,V518&lt;&gt;""),"Financial year given but no service is Yes; ","")&amp;IF(AND(W518="Yes",AZ518=""),"GST needs a GSTIN; ","")&amp;IF(AND(W518="Yes",X518=""),"GST return frequency missing; ","")&amp;IF(AND(Y518="Yes",TRIM(H518)=""),"TDS needs a TAN; ","")&amp;IF(AND(AA518="Yes",BC518&lt;&gt;"",BC518&lt;&gt;"company",BC518&lt;&gt;"llp"),"ROC is only for a company / LLP; ","")&amp;IF(AND(AA518="Yes",OR(BC518="company",BC518="llp"),TRIM(I518)=""),"ROC needs the CIN / LLPIN; ","")&amp;IF((TRIM(AF518)="")&lt;&gt;(TRIM(AG518)=""),"GST login needs both user ID and password; ","")&amp;IF((TRIM(AH518)="")&lt;&gt;(TRIM(AI518)=""),"Income-tax login needs both user ID and password; ","")&amp;IF((TRIM(AJ518)="")&lt;&gt;(TRIM(AK518)=""),"Income-tax login needs both user ID and password; ","")&amp;IF((TRIM(AL518)="")&lt;&gt;(TRIM(AM518)=""),"TRACES login needs both user ID and password; ","")&amp;IF((TRIM(AN518)="")&lt;&gt;(TRIM(AO518)=""),"MCA login needs both user ID and password; ","")&amp;IF((TRIM(AP518)="")&lt;&gt;(TRIM(AQ518)=""),"E-way bill login needs both user ID and password; ","")</f>
        <v/>
      </c>
    </row>
    <row r="519">
      <c r="A519" s="32" t="n"/>
      <c r="B519" s="33" t="n"/>
      <c r="C519" s="33" t="n"/>
      <c r="D519" s="33" t="n"/>
      <c r="E519" s="32" t="n"/>
      <c r="F519" s="32" t="n"/>
      <c r="G519" s="32" t="n"/>
      <c r="H519" s="32" t="n"/>
      <c r="I519" s="32" t="n"/>
      <c r="J519" s="34" t="n"/>
      <c r="K519" s="33" t="n"/>
      <c r="L519" s="32" t="n"/>
      <c r="M519" s="33" t="n"/>
      <c r="N519" s="33" t="n"/>
      <c r="O519" s="33" t="n"/>
      <c r="P519" s="32" t="n"/>
      <c r="Q519" s="33" t="n"/>
      <c r="R519" s="33" t="n"/>
      <c r="S519" s="33" t="n"/>
      <c r="T519" s="33" t="n"/>
      <c r="U519" s="32" t="n"/>
      <c r="V519" s="33" t="n"/>
      <c r="W519" s="33" t="n"/>
      <c r="X519" s="33" t="n"/>
      <c r="Y519" s="33" t="n"/>
      <c r="Z519" s="33" t="n"/>
      <c r="AA519" s="33" t="n"/>
      <c r="AB519" s="33" t="n"/>
      <c r="AC519" s="33" t="n"/>
      <c r="AD519" s="33" t="n"/>
      <c r="AE519" s="33" t="n"/>
      <c r="AF519" s="32" t="n"/>
      <c r="AG519" s="32" t="n"/>
      <c r="AH519" s="32" t="n"/>
      <c r="AI519" s="32" t="n"/>
      <c r="AJ519" s="32" t="n"/>
      <c r="AK519" s="32" t="n"/>
      <c r="AL519" s="32" t="n"/>
      <c r="AM519" s="32" t="n"/>
      <c r="AN519" s="32" t="n"/>
      <c r="AO519" s="32" t="n"/>
      <c r="AP519" s="32" t="n"/>
      <c r="AQ519" s="32" t="n"/>
      <c r="AR519" s="29">
        <f>IF(NOT(COUNTA(A519:AE519)&gt;0),"",IF(A519="","New client","Update"))</f>
        <v/>
      </c>
      <c r="AS519" s="29">
        <f>IF(BA519&lt;&gt;"",BA519,IF(LEN(AZ519)=15,MID(AZ519,3,10),""))</f>
        <v/>
      </c>
      <c r="AT519" s="29">
        <f>IF(BB519="","",BB519&amp;IF(D519="","  (guessed from PAN)",""))</f>
        <v/>
      </c>
      <c r="AU519" s="29">
        <f>IF(AZ519="","",IFERROR(INDEX(Lists!$L$2:$L$38,MATCH(LEFT(AZ519,2),Lists!$K$2:$K$38,0)),"Unknown code"))</f>
        <v/>
      </c>
      <c r="AV519" s="29">
        <f>IF(AZ519="","",IFERROR(IF(NOT(AND(LEN(AZ519)=15,ISNUMBER(MATCH(LEFT(AZ519,2),Lists!$K$2:$K$38,0)),SUMPRODUCT(--ISERROR(FIND(MID(MID(AZ519,3,10),{1,2,3,4,5,10},1),"ABCDEFGHIJKLMNOPQRSTUVWXYZ")))=0,SUMPRODUCT(--ISERROR(FIND(MID(MID(AZ519,3,10),{6,7,8,9},1),"0123456789")))=0,ISNUMBER(FIND(MID(AZ519,13,1),"123456789ABCDEFGHIJKLMNOPQRSTUVWXYZ")),MID(AZ519,14,1)="Z")),"Wrong format",IF(MID("0123456789ABCDEFGHIJKLMNOPQRSTUVWXYZ",MOD(36-MOD(SUMPRODUCT(INT((FIND(MID(AZ519,{1,2,3,4,5,6,7,8,9,10,11,12,13,14},1),"0123456789ABCDEFGHIJKLMNOPQRSTUVWXYZ")-1)*{1,2,1,2,1,2,1,2,1,2,1,2,1,2}/36)+MOD((FIND(MID(AZ519,{1,2,3,4,5,6,7,8,9,10,11,12,13,14},1),"0123456789ABCDEFGHIJKLMNOPQRSTUVWXYZ")-1)*{1,2,1,2,1,2,1,2,1,2,1,2,1,2},36)),36),36)+1,1)=MID(AZ519,15,1),"OK","Typo? check digit wrong")),"Wrong format"))</f>
        <v/>
      </c>
      <c r="AW519" s="29">
        <f>IF(BA519="","",IF(AND(LEN(BA519)=10,SUMPRODUCT(--ISERROR(FIND(MID(BA519,{1,2,3,4,5,10},1),"ABCDEFGHIJKLMNOPQRSTUVWXYZ")))=0,SUMPRODUCT(--ISERROR(FIND(MID(BA519,{6,7,8,9},1),"0123456789")))=0),"OK","Wrong format"))</f>
        <v/>
      </c>
      <c r="AX519" s="29">
        <f>IF(TRIM(H519)="","",IF(AND(LEN(UPPER(TRIM(H519)))=10,SUMPRODUCT(--ISERROR(FIND(MID(UPPER(TRIM(H519)),{1,2,3,4,10},1),"ABCDEFGHIJKLMNOPQRSTUVWXYZ")))=0,SUMPRODUCT(--ISERROR(FIND(MID(UPPER(TRIM(H519)),{5,6,7,8,9},1),"0123456789")))=0),"OK","Wrong format"))</f>
        <v/>
      </c>
      <c r="AY519" s="30">
        <f>IF(NOT(COUNTA(A519:AE519)&gt;0),"",IF(BE519&lt;&gt;"","✖ "&amp;LEFT(BE519,LEN(BE519)-2),IF(BD519&gt;0,"✔ Ready — client + "&amp;BD519&amp;" service(s)","✔ Ready — client only")))</f>
        <v/>
      </c>
      <c r="AZ519" s="31">
        <f>UPPER(SUBSTITUTE(TRIM(F519)," ",""))</f>
        <v/>
      </c>
      <c r="BA519" s="31">
        <f>UPPER(SUBSTITUTE(TRIM(E519)," ",""))</f>
        <v/>
      </c>
      <c r="BB519" s="31">
        <f>IF(D519&lt;&gt;"",D519,IFERROR(VLOOKUP(MID(AS519,4,1),Lists!$E$2:$F$8,2,FALSE),""))</f>
        <v/>
      </c>
      <c r="BC519" s="31">
        <f>IFERROR(VLOOKUP(BB519,Lists!$A$2:$C$12,3,FALSE),"")</f>
        <v/>
      </c>
      <c r="BD519" s="31">
        <f>COUNTIF(W519:AC519,"Yes")</f>
        <v/>
      </c>
      <c r="BE519" s="31">
        <f>IF(TRIM(B519)="","Legal name missing; ","")&amp;IF(AND(AV519&lt;&gt;"",AV519&lt;&gt;"OK"),"GSTIN: "&amp;AV519&amp;"; ","")&amp;IF(AND(AW519&lt;&gt;"",AW519&lt;&gt;"OK"),"PAN wrong format; ","")&amp;IF(AND(BA519&lt;&gt;"",LEN(AZ519)=15,MID(AZ519,3,10)&lt;&gt;BA519),"PAN does not match GSTIN; ","")&amp;IF(AND(AX519&lt;&gt;"",AX519&lt;&gt;"OK"),"TAN wrong format; ","")&amp;IF(AS519="","PAN missing; ","")&amp;IF(BB519="","Entity type missing; ","")&amp;IF(AND(AZ519&lt;&gt;"",COUNTIF($AZ$6:$AZ$1005,AZ519)&gt;1),"GSTIN repeated in this sheet; ","")&amp;IF(AND(AS519&lt;&gt;"",COUNTIF($AS$6:$AS$1005,AS519)&gt;1),"PAN repeated in this sheet (same client? put extra GSTINs in Other GSTINs); ","")&amp;IF(AND(BD519&gt;0,V519=""),"Financial year missing; ","")&amp;IF(AND(BD519=0,V519&lt;&gt;""),"Financial year given but no service is Yes; ","")&amp;IF(AND(W519="Yes",AZ519=""),"GST needs a GSTIN; ","")&amp;IF(AND(W519="Yes",X519=""),"GST return frequency missing; ","")&amp;IF(AND(Y519="Yes",TRIM(H519)=""),"TDS needs a TAN; ","")&amp;IF(AND(AA519="Yes",BC519&lt;&gt;"",BC519&lt;&gt;"company",BC519&lt;&gt;"llp"),"ROC is only for a company / LLP; ","")&amp;IF(AND(AA519="Yes",OR(BC519="company",BC519="llp"),TRIM(I519)=""),"ROC needs the CIN / LLPIN; ","")&amp;IF((TRIM(AF519)="")&lt;&gt;(TRIM(AG519)=""),"GST login needs both user ID and password; ","")&amp;IF((TRIM(AH519)="")&lt;&gt;(TRIM(AI519)=""),"Income-tax login needs both user ID and password; ","")&amp;IF((TRIM(AJ519)="")&lt;&gt;(TRIM(AK519)=""),"Income-tax login needs both user ID and password; ","")&amp;IF((TRIM(AL519)="")&lt;&gt;(TRIM(AM519)=""),"TRACES login needs both user ID and password; ","")&amp;IF((TRIM(AN519)="")&lt;&gt;(TRIM(AO519)=""),"MCA login needs both user ID and password; ","")&amp;IF((TRIM(AP519)="")&lt;&gt;(TRIM(AQ519)=""),"E-way bill login needs both user ID and password; ","")</f>
        <v/>
      </c>
    </row>
    <row r="520">
      <c r="A520" s="32" t="n"/>
      <c r="B520" s="33" t="n"/>
      <c r="C520" s="33" t="n"/>
      <c r="D520" s="33" t="n"/>
      <c r="E520" s="32" t="n"/>
      <c r="F520" s="32" t="n"/>
      <c r="G520" s="32" t="n"/>
      <c r="H520" s="32" t="n"/>
      <c r="I520" s="32" t="n"/>
      <c r="J520" s="34" t="n"/>
      <c r="K520" s="33" t="n"/>
      <c r="L520" s="32" t="n"/>
      <c r="M520" s="33" t="n"/>
      <c r="N520" s="33" t="n"/>
      <c r="O520" s="33" t="n"/>
      <c r="P520" s="32" t="n"/>
      <c r="Q520" s="33" t="n"/>
      <c r="R520" s="33" t="n"/>
      <c r="S520" s="33" t="n"/>
      <c r="T520" s="33" t="n"/>
      <c r="U520" s="32" t="n"/>
      <c r="V520" s="33" t="n"/>
      <c r="W520" s="33" t="n"/>
      <c r="X520" s="33" t="n"/>
      <c r="Y520" s="33" t="n"/>
      <c r="Z520" s="33" t="n"/>
      <c r="AA520" s="33" t="n"/>
      <c r="AB520" s="33" t="n"/>
      <c r="AC520" s="33" t="n"/>
      <c r="AD520" s="33" t="n"/>
      <c r="AE520" s="33" t="n"/>
      <c r="AF520" s="32" t="n"/>
      <c r="AG520" s="32" t="n"/>
      <c r="AH520" s="32" t="n"/>
      <c r="AI520" s="32" t="n"/>
      <c r="AJ520" s="32" t="n"/>
      <c r="AK520" s="32" t="n"/>
      <c r="AL520" s="32" t="n"/>
      <c r="AM520" s="32" t="n"/>
      <c r="AN520" s="32" t="n"/>
      <c r="AO520" s="32" t="n"/>
      <c r="AP520" s="32" t="n"/>
      <c r="AQ520" s="32" t="n"/>
      <c r="AR520" s="29">
        <f>IF(NOT(COUNTA(A520:AE520)&gt;0),"",IF(A520="","New client","Update"))</f>
        <v/>
      </c>
      <c r="AS520" s="29">
        <f>IF(BA520&lt;&gt;"",BA520,IF(LEN(AZ520)=15,MID(AZ520,3,10),""))</f>
        <v/>
      </c>
      <c r="AT520" s="29">
        <f>IF(BB520="","",BB520&amp;IF(D520="","  (guessed from PAN)",""))</f>
        <v/>
      </c>
      <c r="AU520" s="29">
        <f>IF(AZ520="","",IFERROR(INDEX(Lists!$L$2:$L$38,MATCH(LEFT(AZ520,2),Lists!$K$2:$K$38,0)),"Unknown code"))</f>
        <v/>
      </c>
      <c r="AV520" s="29">
        <f>IF(AZ520="","",IFERROR(IF(NOT(AND(LEN(AZ520)=15,ISNUMBER(MATCH(LEFT(AZ520,2),Lists!$K$2:$K$38,0)),SUMPRODUCT(--ISERROR(FIND(MID(MID(AZ520,3,10),{1,2,3,4,5,10},1),"ABCDEFGHIJKLMNOPQRSTUVWXYZ")))=0,SUMPRODUCT(--ISERROR(FIND(MID(MID(AZ520,3,10),{6,7,8,9},1),"0123456789")))=0,ISNUMBER(FIND(MID(AZ520,13,1),"123456789ABCDEFGHIJKLMNOPQRSTUVWXYZ")),MID(AZ520,14,1)="Z")),"Wrong format",IF(MID("0123456789ABCDEFGHIJKLMNOPQRSTUVWXYZ",MOD(36-MOD(SUMPRODUCT(INT((FIND(MID(AZ520,{1,2,3,4,5,6,7,8,9,10,11,12,13,14},1),"0123456789ABCDEFGHIJKLMNOPQRSTUVWXYZ")-1)*{1,2,1,2,1,2,1,2,1,2,1,2,1,2}/36)+MOD((FIND(MID(AZ520,{1,2,3,4,5,6,7,8,9,10,11,12,13,14},1),"0123456789ABCDEFGHIJKLMNOPQRSTUVWXYZ")-1)*{1,2,1,2,1,2,1,2,1,2,1,2,1,2},36)),36),36)+1,1)=MID(AZ520,15,1),"OK","Typo? check digit wrong")),"Wrong format"))</f>
        <v/>
      </c>
      <c r="AW520" s="29">
        <f>IF(BA520="","",IF(AND(LEN(BA520)=10,SUMPRODUCT(--ISERROR(FIND(MID(BA520,{1,2,3,4,5,10},1),"ABCDEFGHIJKLMNOPQRSTUVWXYZ")))=0,SUMPRODUCT(--ISERROR(FIND(MID(BA520,{6,7,8,9},1),"0123456789")))=0),"OK","Wrong format"))</f>
        <v/>
      </c>
      <c r="AX520" s="29">
        <f>IF(TRIM(H520)="","",IF(AND(LEN(UPPER(TRIM(H520)))=10,SUMPRODUCT(--ISERROR(FIND(MID(UPPER(TRIM(H520)),{1,2,3,4,10},1),"ABCDEFGHIJKLMNOPQRSTUVWXYZ")))=0,SUMPRODUCT(--ISERROR(FIND(MID(UPPER(TRIM(H520)),{5,6,7,8,9},1),"0123456789")))=0),"OK","Wrong format"))</f>
        <v/>
      </c>
      <c r="AY520" s="30">
        <f>IF(NOT(COUNTA(A520:AE520)&gt;0),"",IF(BE520&lt;&gt;"","✖ "&amp;LEFT(BE520,LEN(BE520)-2),IF(BD520&gt;0,"✔ Ready — client + "&amp;BD520&amp;" service(s)","✔ Ready — client only")))</f>
        <v/>
      </c>
      <c r="AZ520" s="31">
        <f>UPPER(SUBSTITUTE(TRIM(F520)," ",""))</f>
        <v/>
      </c>
      <c r="BA520" s="31">
        <f>UPPER(SUBSTITUTE(TRIM(E520)," ",""))</f>
        <v/>
      </c>
      <c r="BB520" s="31">
        <f>IF(D520&lt;&gt;"",D520,IFERROR(VLOOKUP(MID(AS520,4,1),Lists!$E$2:$F$8,2,FALSE),""))</f>
        <v/>
      </c>
      <c r="BC520" s="31">
        <f>IFERROR(VLOOKUP(BB520,Lists!$A$2:$C$12,3,FALSE),"")</f>
        <v/>
      </c>
      <c r="BD520" s="31">
        <f>COUNTIF(W520:AC520,"Yes")</f>
        <v/>
      </c>
      <c r="BE520" s="31">
        <f>IF(TRIM(B520)="","Legal name missing; ","")&amp;IF(AND(AV520&lt;&gt;"",AV520&lt;&gt;"OK"),"GSTIN: "&amp;AV520&amp;"; ","")&amp;IF(AND(AW520&lt;&gt;"",AW520&lt;&gt;"OK"),"PAN wrong format; ","")&amp;IF(AND(BA520&lt;&gt;"",LEN(AZ520)=15,MID(AZ520,3,10)&lt;&gt;BA520),"PAN does not match GSTIN; ","")&amp;IF(AND(AX520&lt;&gt;"",AX520&lt;&gt;"OK"),"TAN wrong format; ","")&amp;IF(AS520="","PAN missing; ","")&amp;IF(BB520="","Entity type missing; ","")&amp;IF(AND(AZ520&lt;&gt;"",COUNTIF($AZ$6:$AZ$1005,AZ520)&gt;1),"GSTIN repeated in this sheet; ","")&amp;IF(AND(AS520&lt;&gt;"",COUNTIF($AS$6:$AS$1005,AS520)&gt;1),"PAN repeated in this sheet (same client? put extra GSTINs in Other GSTINs); ","")&amp;IF(AND(BD520&gt;0,V520=""),"Financial year missing; ","")&amp;IF(AND(BD520=0,V520&lt;&gt;""),"Financial year given but no service is Yes; ","")&amp;IF(AND(W520="Yes",AZ520=""),"GST needs a GSTIN; ","")&amp;IF(AND(W520="Yes",X520=""),"GST return frequency missing; ","")&amp;IF(AND(Y520="Yes",TRIM(H520)=""),"TDS needs a TAN; ","")&amp;IF(AND(AA520="Yes",BC520&lt;&gt;"",BC520&lt;&gt;"company",BC520&lt;&gt;"llp"),"ROC is only for a company / LLP; ","")&amp;IF(AND(AA520="Yes",OR(BC520="company",BC520="llp"),TRIM(I520)=""),"ROC needs the CIN / LLPIN; ","")&amp;IF((TRIM(AF520)="")&lt;&gt;(TRIM(AG520)=""),"GST login needs both user ID and password; ","")&amp;IF((TRIM(AH520)="")&lt;&gt;(TRIM(AI520)=""),"Income-tax login needs both user ID and password; ","")&amp;IF((TRIM(AJ520)="")&lt;&gt;(TRIM(AK520)=""),"Income-tax login needs both user ID and password; ","")&amp;IF((TRIM(AL520)="")&lt;&gt;(TRIM(AM520)=""),"TRACES login needs both user ID and password; ","")&amp;IF((TRIM(AN520)="")&lt;&gt;(TRIM(AO520)=""),"MCA login needs both user ID and password; ","")&amp;IF((TRIM(AP520)="")&lt;&gt;(TRIM(AQ520)=""),"E-way bill login needs both user ID and password; ","")</f>
        <v/>
      </c>
    </row>
    <row r="521">
      <c r="A521" s="32" t="n"/>
      <c r="B521" s="33" t="n"/>
      <c r="C521" s="33" t="n"/>
      <c r="D521" s="33" t="n"/>
      <c r="E521" s="32" t="n"/>
      <c r="F521" s="32" t="n"/>
      <c r="G521" s="32" t="n"/>
      <c r="H521" s="32" t="n"/>
      <c r="I521" s="32" t="n"/>
      <c r="J521" s="34" t="n"/>
      <c r="K521" s="33" t="n"/>
      <c r="L521" s="32" t="n"/>
      <c r="M521" s="33" t="n"/>
      <c r="N521" s="33" t="n"/>
      <c r="O521" s="33" t="n"/>
      <c r="P521" s="32" t="n"/>
      <c r="Q521" s="33" t="n"/>
      <c r="R521" s="33" t="n"/>
      <c r="S521" s="33" t="n"/>
      <c r="T521" s="33" t="n"/>
      <c r="U521" s="32" t="n"/>
      <c r="V521" s="33" t="n"/>
      <c r="W521" s="33" t="n"/>
      <c r="X521" s="33" t="n"/>
      <c r="Y521" s="33" t="n"/>
      <c r="Z521" s="33" t="n"/>
      <c r="AA521" s="33" t="n"/>
      <c r="AB521" s="33" t="n"/>
      <c r="AC521" s="33" t="n"/>
      <c r="AD521" s="33" t="n"/>
      <c r="AE521" s="33" t="n"/>
      <c r="AF521" s="32" t="n"/>
      <c r="AG521" s="32" t="n"/>
      <c r="AH521" s="32" t="n"/>
      <c r="AI521" s="32" t="n"/>
      <c r="AJ521" s="32" t="n"/>
      <c r="AK521" s="32" t="n"/>
      <c r="AL521" s="32" t="n"/>
      <c r="AM521" s="32" t="n"/>
      <c r="AN521" s="32" t="n"/>
      <c r="AO521" s="32" t="n"/>
      <c r="AP521" s="32" t="n"/>
      <c r="AQ521" s="32" t="n"/>
      <c r="AR521" s="29">
        <f>IF(NOT(COUNTA(A521:AE521)&gt;0),"",IF(A521="","New client","Update"))</f>
        <v/>
      </c>
      <c r="AS521" s="29">
        <f>IF(BA521&lt;&gt;"",BA521,IF(LEN(AZ521)=15,MID(AZ521,3,10),""))</f>
        <v/>
      </c>
      <c r="AT521" s="29">
        <f>IF(BB521="","",BB521&amp;IF(D521="","  (guessed from PAN)",""))</f>
        <v/>
      </c>
      <c r="AU521" s="29">
        <f>IF(AZ521="","",IFERROR(INDEX(Lists!$L$2:$L$38,MATCH(LEFT(AZ521,2),Lists!$K$2:$K$38,0)),"Unknown code"))</f>
        <v/>
      </c>
      <c r="AV521" s="29">
        <f>IF(AZ521="","",IFERROR(IF(NOT(AND(LEN(AZ521)=15,ISNUMBER(MATCH(LEFT(AZ521,2),Lists!$K$2:$K$38,0)),SUMPRODUCT(--ISERROR(FIND(MID(MID(AZ521,3,10),{1,2,3,4,5,10},1),"ABCDEFGHIJKLMNOPQRSTUVWXYZ")))=0,SUMPRODUCT(--ISERROR(FIND(MID(MID(AZ521,3,10),{6,7,8,9},1),"0123456789")))=0,ISNUMBER(FIND(MID(AZ521,13,1),"123456789ABCDEFGHIJKLMNOPQRSTUVWXYZ")),MID(AZ521,14,1)="Z")),"Wrong format",IF(MID("0123456789ABCDEFGHIJKLMNOPQRSTUVWXYZ",MOD(36-MOD(SUMPRODUCT(INT((FIND(MID(AZ521,{1,2,3,4,5,6,7,8,9,10,11,12,13,14},1),"0123456789ABCDEFGHIJKLMNOPQRSTUVWXYZ")-1)*{1,2,1,2,1,2,1,2,1,2,1,2,1,2}/36)+MOD((FIND(MID(AZ521,{1,2,3,4,5,6,7,8,9,10,11,12,13,14},1),"0123456789ABCDEFGHIJKLMNOPQRSTUVWXYZ")-1)*{1,2,1,2,1,2,1,2,1,2,1,2,1,2},36)),36),36)+1,1)=MID(AZ521,15,1),"OK","Typo? check digit wrong")),"Wrong format"))</f>
        <v/>
      </c>
      <c r="AW521" s="29">
        <f>IF(BA521="","",IF(AND(LEN(BA521)=10,SUMPRODUCT(--ISERROR(FIND(MID(BA521,{1,2,3,4,5,10},1),"ABCDEFGHIJKLMNOPQRSTUVWXYZ")))=0,SUMPRODUCT(--ISERROR(FIND(MID(BA521,{6,7,8,9},1),"0123456789")))=0),"OK","Wrong format"))</f>
        <v/>
      </c>
      <c r="AX521" s="29">
        <f>IF(TRIM(H521)="","",IF(AND(LEN(UPPER(TRIM(H521)))=10,SUMPRODUCT(--ISERROR(FIND(MID(UPPER(TRIM(H521)),{1,2,3,4,10},1),"ABCDEFGHIJKLMNOPQRSTUVWXYZ")))=0,SUMPRODUCT(--ISERROR(FIND(MID(UPPER(TRIM(H521)),{5,6,7,8,9},1),"0123456789")))=0),"OK","Wrong format"))</f>
        <v/>
      </c>
      <c r="AY521" s="30">
        <f>IF(NOT(COUNTA(A521:AE521)&gt;0),"",IF(BE521&lt;&gt;"","✖ "&amp;LEFT(BE521,LEN(BE521)-2),IF(BD521&gt;0,"✔ Ready — client + "&amp;BD521&amp;" service(s)","✔ Ready — client only")))</f>
        <v/>
      </c>
      <c r="AZ521" s="31">
        <f>UPPER(SUBSTITUTE(TRIM(F521)," ",""))</f>
        <v/>
      </c>
      <c r="BA521" s="31">
        <f>UPPER(SUBSTITUTE(TRIM(E521)," ",""))</f>
        <v/>
      </c>
      <c r="BB521" s="31">
        <f>IF(D521&lt;&gt;"",D521,IFERROR(VLOOKUP(MID(AS521,4,1),Lists!$E$2:$F$8,2,FALSE),""))</f>
        <v/>
      </c>
      <c r="BC521" s="31">
        <f>IFERROR(VLOOKUP(BB521,Lists!$A$2:$C$12,3,FALSE),"")</f>
        <v/>
      </c>
      <c r="BD521" s="31">
        <f>COUNTIF(W521:AC521,"Yes")</f>
        <v/>
      </c>
      <c r="BE521" s="31">
        <f>IF(TRIM(B521)="","Legal name missing; ","")&amp;IF(AND(AV521&lt;&gt;"",AV521&lt;&gt;"OK"),"GSTIN: "&amp;AV521&amp;"; ","")&amp;IF(AND(AW521&lt;&gt;"",AW521&lt;&gt;"OK"),"PAN wrong format; ","")&amp;IF(AND(BA521&lt;&gt;"",LEN(AZ521)=15,MID(AZ521,3,10)&lt;&gt;BA521),"PAN does not match GSTIN; ","")&amp;IF(AND(AX521&lt;&gt;"",AX521&lt;&gt;"OK"),"TAN wrong format; ","")&amp;IF(AS521="","PAN missing; ","")&amp;IF(BB521="","Entity type missing; ","")&amp;IF(AND(AZ521&lt;&gt;"",COUNTIF($AZ$6:$AZ$1005,AZ521)&gt;1),"GSTIN repeated in this sheet; ","")&amp;IF(AND(AS521&lt;&gt;"",COUNTIF($AS$6:$AS$1005,AS521)&gt;1),"PAN repeated in this sheet (same client? put extra GSTINs in Other GSTINs); ","")&amp;IF(AND(BD521&gt;0,V521=""),"Financial year missing; ","")&amp;IF(AND(BD521=0,V521&lt;&gt;""),"Financial year given but no service is Yes; ","")&amp;IF(AND(W521="Yes",AZ521=""),"GST needs a GSTIN; ","")&amp;IF(AND(W521="Yes",X521=""),"GST return frequency missing; ","")&amp;IF(AND(Y521="Yes",TRIM(H521)=""),"TDS needs a TAN; ","")&amp;IF(AND(AA521="Yes",BC521&lt;&gt;"",BC521&lt;&gt;"company",BC521&lt;&gt;"llp"),"ROC is only for a company / LLP; ","")&amp;IF(AND(AA521="Yes",OR(BC521="company",BC521="llp"),TRIM(I521)=""),"ROC needs the CIN / LLPIN; ","")&amp;IF((TRIM(AF521)="")&lt;&gt;(TRIM(AG521)=""),"GST login needs both user ID and password; ","")&amp;IF((TRIM(AH521)="")&lt;&gt;(TRIM(AI521)=""),"Income-tax login needs both user ID and password; ","")&amp;IF((TRIM(AJ521)="")&lt;&gt;(TRIM(AK521)=""),"Income-tax login needs both user ID and password; ","")&amp;IF((TRIM(AL521)="")&lt;&gt;(TRIM(AM521)=""),"TRACES login needs both user ID and password; ","")&amp;IF((TRIM(AN521)="")&lt;&gt;(TRIM(AO521)=""),"MCA login needs both user ID and password; ","")&amp;IF((TRIM(AP521)="")&lt;&gt;(TRIM(AQ521)=""),"E-way bill login needs both user ID and password; ","")</f>
        <v/>
      </c>
    </row>
    <row r="522">
      <c r="A522" s="32" t="n"/>
      <c r="B522" s="33" t="n"/>
      <c r="C522" s="33" t="n"/>
      <c r="D522" s="33" t="n"/>
      <c r="E522" s="32" t="n"/>
      <c r="F522" s="32" t="n"/>
      <c r="G522" s="32" t="n"/>
      <c r="H522" s="32" t="n"/>
      <c r="I522" s="32" t="n"/>
      <c r="J522" s="34" t="n"/>
      <c r="K522" s="33" t="n"/>
      <c r="L522" s="32" t="n"/>
      <c r="M522" s="33" t="n"/>
      <c r="N522" s="33" t="n"/>
      <c r="O522" s="33" t="n"/>
      <c r="P522" s="32" t="n"/>
      <c r="Q522" s="33" t="n"/>
      <c r="R522" s="33" t="n"/>
      <c r="S522" s="33" t="n"/>
      <c r="T522" s="33" t="n"/>
      <c r="U522" s="32" t="n"/>
      <c r="V522" s="33" t="n"/>
      <c r="W522" s="33" t="n"/>
      <c r="X522" s="33" t="n"/>
      <c r="Y522" s="33" t="n"/>
      <c r="Z522" s="33" t="n"/>
      <c r="AA522" s="33" t="n"/>
      <c r="AB522" s="33" t="n"/>
      <c r="AC522" s="33" t="n"/>
      <c r="AD522" s="33" t="n"/>
      <c r="AE522" s="33" t="n"/>
      <c r="AF522" s="32" t="n"/>
      <c r="AG522" s="32" t="n"/>
      <c r="AH522" s="32" t="n"/>
      <c r="AI522" s="32" t="n"/>
      <c r="AJ522" s="32" t="n"/>
      <c r="AK522" s="32" t="n"/>
      <c r="AL522" s="32" t="n"/>
      <c r="AM522" s="32" t="n"/>
      <c r="AN522" s="32" t="n"/>
      <c r="AO522" s="32" t="n"/>
      <c r="AP522" s="32" t="n"/>
      <c r="AQ522" s="32" t="n"/>
      <c r="AR522" s="29">
        <f>IF(NOT(COUNTA(A522:AE522)&gt;0),"",IF(A522="","New client","Update"))</f>
        <v/>
      </c>
      <c r="AS522" s="29">
        <f>IF(BA522&lt;&gt;"",BA522,IF(LEN(AZ522)=15,MID(AZ522,3,10),""))</f>
        <v/>
      </c>
      <c r="AT522" s="29">
        <f>IF(BB522="","",BB522&amp;IF(D522="","  (guessed from PAN)",""))</f>
        <v/>
      </c>
      <c r="AU522" s="29">
        <f>IF(AZ522="","",IFERROR(INDEX(Lists!$L$2:$L$38,MATCH(LEFT(AZ522,2),Lists!$K$2:$K$38,0)),"Unknown code"))</f>
        <v/>
      </c>
      <c r="AV522" s="29">
        <f>IF(AZ522="","",IFERROR(IF(NOT(AND(LEN(AZ522)=15,ISNUMBER(MATCH(LEFT(AZ522,2),Lists!$K$2:$K$38,0)),SUMPRODUCT(--ISERROR(FIND(MID(MID(AZ522,3,10),{1,2,3,4,5,10},1),"ABCDEFGHIJKLMNOPQRSTUVWXYZ")))=0,SUMPRODUCT(--ISERROR(FIND(MID(MID(AZ522,3,10),{6,7,8,9},1),"0123456789")))=0,ISNUMBER(FIND(MID(AZ522,13,1),"123456789ABCDEFGHIJKLMNOPQRSTUVWXYZ")),MID(AZ522,14,1)="Z")),"Wrong format",IF(MID("0123456789ABCDEFGHIJKLMNOPQRSTUVWXYZ",MOD(36-MOD(SUMPRODUCT(INT((FIND(MID(AZ522,{1,2,3,4,5,6,7,8,9,10,11,12,13,14},1),"0123456789ABCDEFGHIJKLMNOPQRSTUVWXYZ")-1)*{1,2,1,2,1,2,1,2,1,2,1,2,1,2}/36)+MOD((FIND(MID(AZ522,{1,2,3,4,5,6,7,8,9,10,11,12,13,14},1),"0123456789ABCDEFGHIJKLMNOPQRSTUVWXYZ")-1)*{1,2,1,2,1,2,1,2,1,2,1,2,1,2},36)),36),36)+1,1)=MID(AZ522,15,1),"OK","Typo? check digit wrong")),"Wrong format"))</f>
        <v/>
      </c>
      <c r="AW522" s="29">
        <f>IF(BA522="","",IF(AND(LEN(BA522)=10,SUMPRODUCT(--ISERROR(FIND(MID(BA522,{1,2,3,4,5,10},1),"ABCDEFGHIJKLMNOPQRSTUVWXYZ")))=0,SUMPRODUCT(--ISERROR(FIND(MID(BA522,{6,7,8,9},1),"0123456789")))=0),"OK","Wrong format"))</f>
        <v/>
      </c>
      <c r="AX522" s="29">
        <f>IF(TRIM(H522)="","",IF(AND(LEN(UPPER(TRIM(H522)))=10,SUMPRODUCT(--ISERROR(FIND(MID(UPPER(TRIM(H522)),{1,2,3,4,10},1),"ABCDEFGHIJKLMNOPQRSTUVWXYZ")))=0,SUMPRODUCT(--ISERROR(FIND(MID(UPPER(TRIM(H522)),{5,6,7,8,9},1),"0123456789")))=0),"OK","Wrong format"))</f>
        <v/>
      </c>
      <c r="AY522" s="30">
        <f>IF(NOT(COUNTA(A522:AE522)&gt;0),"",IF(BE522&lt;&gt;"","✖ "&amp;LEFT(BE522,LEN(BE522)-2),IF(BD522&gt;0,"✔ Ready — client + "&amp;BD522&amp;" service(s)","✔ Ready — client only")))</f>
        <v/>
      </c>
      <c r="AZ522" s="31">
        <f>UPPER(SUBSTITUTE(TRIM(F522)," ",""))</f>
        <v/>
      </c>
      <c r="BA522" s="31">
        <f>UPPER(SUBSTITUTE(TRIM(E522)," ",""))</f>
        <v/>
      </c>
      <c r="BB522" s="31">
        <f>IF(D522&lt;&gt;"",D522,IFERROR(VLOOKUP(MID(AS522,4,1),Lists!$E$2:$F$8,2,FALSE),""))</f>
        <v/>
      </c>
      <c r="BC522" s="31">
        <f>IFERROR(VLOOKUP(BB522,Lists!$A$2:$C$12,3,FALSE),"")</f>
        <v/>
      </c>
      <c r="BD522" s="31">
        <f>COUNTIF(W522:AC522,"Yes")</f>
        <v/>
      </c>
      <c r="BE522" s="31">
        <f>IF(TRIM(B522)="","Legal name missing; ","")&amp;IF(AND(AV522&lt;&gt;"",AV522&lt;&gt;"OK"),"GSTIN: "&amp;AV522&amp;"; ","")&amp;IF(AND(AW522&lt;&gt;"",AW522&lt;&gt;"OK"),"PAN wrong format; ","")&amp;IF(AND(BA522&lt;&gt;"",LEN(AZ522)=15,MID(AZ522,3,10)&lt;&gt;BA522),"PAN does not match GSTIN; ","")&amp;IF(AND(AX522&lt;&gt;"",AX522&lt;&gt;"OK"),"TAN wrong format; ","")&amp;IF(AS522="","PAN missing; ","")&amp;IF(BB522="","Entity type missing; ","")&amp;IF(AND(AZ522&lt;&gt;"",COUNTIF($AZ$6:$AZ$1005,AZ522)&gt;1),"GSTIN repeated in this sheet; ","")&amp;IF(AND(AS522&lt;&gt;"",COUNTIF($AS$6:$AS$1005,AS522)&gt;1),"PAN repeated in this sheet (same client? put extra GSTINs in Other GSTINs); ","")&amp;IF(AND(BD522&gt;0,V522=""),"Financial year missing; ","")&amp;IF(AND(BD522=0,V522&lt;&gt;""),"Financial year given but no service is Yes; ","")&amp;IF(AND(W522="Yes",AZ522=""),"GST needs a GSTIN; ","")&amp;IF(AND(W522="Yes",X522=""),"GST return frequency missing; ","")&amp;IF(AND(Y522="Yes",TRIM(H522)=""),"TDS needs a TAN; ","")&amp;IF(AND(AA522="Yes",BC522&lt;&gt;"",BC522&lt;&gt;"company",BC522&lt;&gt;"llp"),"ROC is only for a company / LLP; ","")&amp;IF(AND(AA522="Yes",OR(BC522="company",BC522="llp"),TRIM(I522)=""),"ROC needs the CIN / LLPIN; ","")&amp;IF((TRIM(AF522)="")&lt;&gt;(TRIM(AG522)=""),"GST login needs both user ID and password; ","")&amp;IF((TRIM(AH522)="")&lt;&gt;(TRIM(AI522)=""),"Income-tax login needs both user ID and password; ","")&amp;IF((TRIM(AJ522)="")&lt;&gt;(TRIM(AK522)=""),"Income-tax login needs both user ID and password; ","")&amp;IF((TRIM(AL522)="")&lt;&gt;(TRIM(AM522)=""),"TRACES login needs both user ID and password; ","")&amp;IF((TRIM(AN522)="")&lt;&gt;(TRIM(AO522)=""),"MCA login needs both user ID and password; ","")&amp;IF((TRIM(AP522)="")&lt;&gt;(TRIM(AQ522)=""),"E-way bill login needs both user ID and password; ","")</f>
        <v/>
      </c>
    </row>
    <row r="523">
      <c r="A523" s="32" t="n"/>
      <c r="B523" s="33" t="n"/>
      <c r="C523" s="33" t="n"/>
      <c r="D523" s="33" t="n"/>
      <c r="E523" s="32" t="n"/>
      <c r="F523" s="32" t="n"/>
      <c r="G523" s="32" t="n"/>
      <c r="H523" s="32" t="n"/>
      <c r="I523" s="32" t="n"/>
      <c r="J523" s="34" t="n"/>
      <c r="K523" s="33" t="n"/>
      <c r="L523" s="32" t="n"/>
      <c r="M523" s="33" t="n"/>
      <c r="N523" s="33" t="n"/>
      <c r="O523" s="33" t="n"/>
      <c r="P523" s="32" t="n"/>
      <c r="Q523" s="33" t="n"/>
      <c r="R523" s="33" t="n"/>
      <c r="S523" s="33" t="n"/>
      <c r="T523" s="33" t="n"/>
      <c r="U523" s="32" t="n"/>
      <c r="V523" s="33" t="n"/>
      <c r="W523" s="33" t="n"/>
      <c r="X523" s="33" t="n"/>
      <c r="Y523" s="33" t="n"/>
      <c r="Z523" s="33" t="n"/>
      <c r="AA523" s="33" t="n"/>
      <c r="AB523" s="33" t="n"/>
      <c r="AC523" s="33" t="n"/>
      <c r="AD523" s="33" t="n"/>
      <c r="AE523" s="33" t="n"/>
      <c r="AF523" s="32" t="n"/>
      <c r="AG523" s="32" t="n"/>
      <c r="AH523" s="32" t="n"/>
      <c r="AI523" s="32" t="n"/>
      <c r="AJ523" s="32" t="n"/>
      <c r="AK523" s="32" t="n"/>
      <c r="AL523" s="32" t="n"/>
      <c r="AM523" s="32" t="n"/>
      <c r="AN523" s="32" t="n"/>
      <c r="AO523" s="32" t="n"/>
      <c r="AP523" s="32" t="n"/>
      <c r="AQ523" s="32" t="n"/>
      <c r="AR523" s="29">
        <f>IF(NOT(COUNTA(A523:AE523)&gt;0),"",IF(A523="","New client","Update"))</f>
        <v/>
      </c>
      <c r="AS523" s="29">
        <f>IF(BA523&lt;&gt;"",BA523,IF(LEN(AZ523)=15,MID(AZ523,3,10),""))</f>
        <v/>
      </c>
      <c r="AT523" s="29">
        <f>IF(BB523="","",BB523&amp;IF(D523="","  (guessed from PAN)",""))</f>
        <v/>
      </c>
      <c r="AU523" s="29">
        <f>IF(AZ523="","",IFERROR(INDEX(Lists!$L$2:$L$38,MATCH(LEFT(AZ523,2),Lists!$K$2:$K$38,0)),"Unknown code"))</f>
        <v/>
      </c>
      <c r="AV523" s="29">
        <f>IF(AZ523="","",IFERROR(IF(NOT(AND(LEN(AZ523)=15,ISNUMBER(MATCH(LEFT(AZ523,2),Lists!$K$2:$K$38,0)),SUMPRODUCT(--ISERROR(FIND(MID(MID(AZ523,3,10),{1,2,3,4,5,10},1),"ABCDEFGHIJKLMNOPQRSTUVWXYZ")))=0,SUMPRODUCT(--ISERROR(FIND(MID(MID(AZ523,3,10),{6,7,8,9},1),"0123456789")))=0,ISNUMBER(FIND(MID(AZ523,13,1),"123456789ABCDEFGHIJKLMNOPQRSTUVWXYZ")),MID(AZ523,14,1)="Z")),"Wrong format",IF(MID("0123456789ABCDEFGHIJKLMNOPQRSTUVWXYZ",MOD(36-MOD(SUMPRODUCT(INT((FIND(MID(AZ523,{1,2,3,4,5,6,7,8,9,10,11,12,13,14},1),"0123456789ABCDEFGHIJKLMNOPQRSTUVWXYZ")-1)*{1,2,1,2,1,2,1,2,1,2,1,2,1,2}/36)+MOD((FIND(MID(AZ523,{1,2,3,4,5,6,7,8,9,10,11,12,13,14},1),"0123456789ABCDEFGHIJKLMNOPQRSTUVWXYZ")-1)*{1,2,1,2,1,2,1,2,1,2,1,2,1,2},36)),36),36)+1,1)=MID(AZ523,15,1),"OK","Typo? check digit wrong")),"Wrong format"))</f>
        <v/>
      </c>
      <c r="AW523" s="29">
        <f>IF(BA523="","",IF(AND(LEN(BA523)=10,SUMPRODUCT(--ISERROR(FIND(MID(BA523,{1,2,3,4,5,10},1),"ABCDEFGHIJKLMNOPQRSTUVWXYZ")))=0,SUMPRODUCT(--ISERROR(FIND(MID(BA523,{6,7,8,9},1),"0123456789")))=0),"OK","Wrong format"))</f>
        <v/>
      </c>
      <c r="AX523" s="29">
        <f>IF(TRIM(H523)="","",IF(AND(LEN(UPPER(TRIM(H523)))=10,SUMPRODUCT(--ISERROR(FIND(MID(UPPER(TRIM(H523)),{1,2,3,4,10},1),"ABCDEFGHIJKLMNOPQRSTUVWXYZ")))=0,SUMPRODUCT(--ISERROR(FIND(MID(UPPER(TRIM(H523)),{5,6,7,8,9},1),"0123456789")))=0),"OK","Wrong format"))</f>
        <v/>
      </c>
      <c r="AY523" s="30">
        <f>IF(NOT(COUNTA(A523:AE523)&gt;0),"",IF(BE523&lt;&gt;"","✖ "&amp;LEFT(BE523,LEN(BE523)-2),IF(BD523&gt;0,"✔ Ready — client + "&amp;BD523&amp;" service(s)","✔ Ready — client only")))</f>
        <v/>
      </c>
      <c r="AZ523" s="31">
        <f>UPPER(SUBSTITUTE(TRIM(F523)," ",""))</f>
        <v/>
      </c>
      <c r="BA523" s="31">
        <f>UPPER(SUBSTITUTE(TRIM(E523)," ",""))</f>
        <v/>
      </c>
      <c r="BB523" s="31">
        <f>IF(D523&lt;&gt;"",D523,IFERROR(VLOOKUP(MID(AS523,4,1),Lists!$E$2:$F$8,2,FALSE),""))</f>
        <v/>
      </c>
      <c r="BC523" s="31">
        <f>IFERROR(VLOOKUP(BB523,Lists!$A$2:$C$12,3,FALSE),"")</f>
        <v/>
      </c>
      <c r="BD523" s="31">
        <f>COUNTIF(W523:AC523,"Yes")</f>
        <v/>
      </c>
      <c r="BE523" s="31">
        <f>IF(TRIM(B523)="","Legal name missing; ","")&amp;IF(AND(AV523&lt;&gt;"",AV523&lt;&gt;"OK"),"GSTIN: "&amp;AV523&amp;"; ","")&amp;IF(AND(AW523&lt;&gt;"",AW523&lt;&gt;"OK"),"PAN wrong format; ","")&amp;IF(AND(BA523&lt;&gt;"",LEN(AZ523)=15,MID(AZ523,3,10)&lt;&gt;BA523),"PAN does not match GSTIN; ","")&amp;IF(AND(AX523&lt;&gt;"",AX523&lt;&gt;"OK"),"TAN wrong format; ","")&amp;IF(AS523="","PAN missing; ","")&amp;IF(BB523="","Entity type missing; ","")&amp;IF(AND(AZ523&lt;&gt;"",COUNTIF($AZ$6:$AZ$1005,AZ523)&gt;1),"GSTIN repeated in this sheet; ","")&amp;IF(AND(AS523&lt;&gt;"",COUNTIF($AS$6:$AS$1005,AS523)&gt;1),"PAN repeated in this sheet (same client? put extra GSTINs in Other GSTINs); ","")&amp;IF(AND(BD523&gt;0,V523=""),"Financial year missing; ","")&amp;IF(AND(BD523=0,V523&lt;&gt;""),"Financial year given but no service is Yes; ","")&amp;IF(AND(W523="Yes",AZ523=""),"GST needs a GSTIN; ","")&amp;IF(AND(W523="Yes",X523=""),"GST return frequency missing; ","")&amp;IF(AND(Y523="Yes",TRIM(H523)=""),"TDS needs a TAN; ","")&amp;IF(AND(AA523="Yes",BC523&lt;&gt;"",BC523&lt;&gt;"company",BC523&lt;&gt;"llp"),"ROC is only for a company / LLP; ","")&amp;IF(AND(AA523="Yes",OR(BC523="company",BC523="llp"),TRIM(I523)=""),"ROC needs the CIN / LLPIN; ","")&amp;IF((TRIM(AF523)="")&lt;&gt;(TRIM(AG523)=""),"GST login needs both user ID and password; ","")&amp;IF((TRIM(AH523)="")&lt;&gt;(TRIM(AI523)=""),"Income-tax login needs both user ID and password; ","")&amp;IF((TRIM(AJ523)="")&lt;&gt;(TRIM(AK523)=""),"Income-tax login needs both user ID and password; ","")&amp;IF((TRIM(AL523)="")&lt;&gt;(TRIM(AM523)=""),"TRACES login needs both user ID and password; ","")&amp;IF((TRIM(AN523)="")&lt;&gt;(TRIM(AO523)=""),"MCA login needs both user ID and password; ","")&amp;IF((TRIM(AP523)="")&lt;&gt;(TRIM(AQ523)=""),"E-way bill login needs both user ID and password; ","")</f>
        <v/>
      </c>
    </row>
    <row r="524">
      <c r="A524" s="32" t="n"/>
      <c r="B524" s="33" t="n"/>
      <c r="C524" s="33" t="n"/>
      <c r="D524" s="33" t="n"/>
      <c r="E524" s="32" t="n"/>
      <c r="F524" s="32" t="n"/>
      <c r="G524" s="32" t="n"/>
      <c r="H524" s="32" t="n"/>
      <c r="I524" s="32" t="n"/>
      <c r="J524" s="34" t="n"/>
      <c r="K524" s="33" t="n"/>
      <c r="L524" s="32" t="n"/>
      <c r="M524" s="33" t="n"/>
      <c r="N524" s="33" t="n"/>
      <c r="O524" s="33" t="n"/>
      <c r="P524" s="32" t="n"/>
      <c r="Q524" s="33" t="n"/>
      <c r="R524" s="33" t="n"/>
      <c r="S524" s="33" t="n"/>
      <c r="T524" s="33" t="n"/>
      <c r="U524" s="32" t="n"/>
      <c r="V524" s="33" t="n"/>
      <c r="W524" s="33" t="n"/>
      <c r="X524" s="33" t="n"/>
      <c r="Y524" s="33" t="n"/>
      <c r="Z524" s="33" t="n"/>
      <c r="AA524" s="33" t="n"/>
      <c r="AB524" s="33" t="n"/>
      <c r="AC524" s="33" t="n"/>
      <c r="AD524" s="33" t="n"/>
      <c r="AE524" s="33" t="n"/>
      <c r="AF524" s="32" t="n"/>
      <c r="AG524" s="32" t="n"/>
      <c r="AH524" s="32" t="n"/>
      <c r="AI524" s="32" t="n"/>
      <c r="AJ524" s="32" t="n"/>
      <c r="AK524" s="32" t="n"/>
      <c r="AL524" s="32" t="n"/>
      <c r="AM524" s="32" t="n"/>
      <c r="AN524" s="32" t="n"/>
      <c r="AO524" s="32" t="n"/>
      <c r="AP524" s="32" t="n"/>
      <c r="AQ524" s="32" t="n"/>
      <c r="AR524" s="29">
        <f>IF(NOT(COUNTA(A524:AE524)&gt;0),"",IF(A524="","New client","Update"))</f>
        <v/>
      </c>
      <c r="AS524" s="29">
        <f>IF(BA524&lt;&gt;"",BA524,IF(LEN(AZ524)=15,MID(AZ524,3,10),""))</f>
        <v/>
      </c>
      <c r="AT524" s="29">
        <f>IF(BB524="","",BB524&amp;IF(D524="","  (guessed from PAN)",""))</f>
        <v/>
      </c>
      <c r="AU524" s="29">
        <f>IF(AZ524="","",IFERROR(INDEX(Lists!$L$2:$L$38,MATCH(LEFT(AZ524,2),Lists!$K$2:$K$38,0)),"Unknown code"))</f>
        <v/>
      </c>
      <c r="AV524" s="29">
        <f>IF(AZ524="","",IFERROR(IF(NOT(AND(LEN(AZ524)=15,ISNUMBER(MATCH(LEFT(AZ524,2),Lists!$K$2:$K$38,0)),SUMPRODUCT(--ISERROR(FIND(MID(MID(AZ524,3,10),{1,2,3,4,5,10},1),"ABCDEFGHIJKLMNOPQRSTUVWXYZ")))=0,SUMPRODUCT(--ISERROR(FIND(MID(MID(AZ524,3,10),{6,7,8,9},1),"0123456789")))=0,ISNUMBER(FIND(MID(AZ524,13,1),"123456789ABCDEFGHIJKLMNOPQRSTUVWXYZ")),MID(AZ524,14,1)="Z")),"Wrong format",IF(MID("0123456789ABCDEFGHIJKLMNOPQRSTUVWXYZ",MOD(36-MOD(SUMPRODUCT(INT((FIND(MID(AZ524,{1,2,3,4,5,6,7,8,9,10,11,12,13,14},1),"0123456789ABCDEFGHIJKLMNOPQRSTUVWXYZ")-1)*{1,2,1,2,1,2,1,2,1,2,1,2,1,2}/36)+MOD((FIND(MID(AZ524,{1,2,3,4,5,6,7,8,9,10,11,12,13,14},1),"0123456789ABCDEFGHIJKLMNOPQRSTUVWXYZ")-1)*{1,2,1,2,1,2,1,2,1,2,1,2,1,2},36)),36),36)+1,1)=MID(AZ524,15,1),"OK","Typo? check digit wrong")),"Wrong format"))</f>
        <v/>
      </c>
      <c r="AW524" s="29">
        <f>IF(BA524="","",IF(AND(LEN(BA524)=10,SUMPRODUCT(--ISERROR(FIND(MID(BA524,{1,2,3,4,5,10},1),"ABCDEFGHIJKLMNOPQRSTUVWXYZ")))=0,SUMPRODUCT(--ISERROR(FIND(MID(BA524,{6,7,8,9},1),"0123456789")))=0),"OK","Wrong format"))</f>
        <v/>
      </c>
      <c r="AX524" s="29">
        <f>IF(TRIM(H524)="","",IF(AND(LEN(UPPER(TRIM(H524)))=10,SUMPRODUCT(--ISERROR(FIND(MID(UPPER(TRIM(H524)),{1,2,3,4,10},1),"ABCDEFGHIJKLMNOPQRSTUVWXYZ")))=0,SUMPRODUCT(--ISERROR(FIND(MID(UPPER(TRIM(H524)),{5,6,7,8,9},1),"0123456789")))=0),"OK","Wrong format"))</f>
        <v/>
      </c>
      <c r="AY524" s="30">
        <f>IF(NOT(COUNTA(A524:AE524)&gt;0),"",IF(BE524&lt;&gt;"","✖ "&amp;LEFT(BE524,LEN(BE524)-2),IF(BD524&gt;0,"✔ Ready — client + "&amp;BD524&amp;" service(s)","✔ Ready — client only")))</f>
        <v/>
      </c>
      <c r="AZ524" s="31">
        <f>UPPER(SUBSTITUTE(TRIM(F524)," ",""))</f>
        <v/>
      </c>
      <c r="BA524" s="31">
        <f>UPPER(SUBSTITUTE(TRIM(E524)," ",""))</f>
        <v/>
      </c>
      <c r="BB524" s="31">
        <f>IF(D524&lt;&gt;"",D524,IFERROR(VLOOKUP(MID(AS524,4,1),Lists!$E$2:$F$8,2,FALSE),""))</f>
        <v/>
      </c>
      <c r="BC524" s="31">
        <f>IFERROR(VLOOKUP(BB524,Lists!$A$2:$C$12,3,FALSE),"")</f>
        <v/>
      </c>
      <c r="BD524" s="31">
        <f>COUNTIF(W524:AC524,"Yes")</f>
        <v/>
      </c>
      <c r="BE524" s="31">
        <f>IF(TRIM(B524)="","Legal name missing; ","")&amp;IF(AND(AV524&lt;&gt;"",AV524&lt;&gt;"OK"),"GSTIN: "&amp;AV524&amp;"; ","")&amp;IF(AND(AW524&lt;&gt;"",AW524&lt;&gt;"OK"),"PAN wrong format; ","")&amp;IF(AND(BA524&lt;&gt;"",LEN(AZ524)=15,MID(AZ524,3,10)&lt;&gt;BA524),"PAN does not match GSTIN; ","")&amp;IF(AND(AX524&lt;&gt;"",AX524&lt;&gt;"OK"),"TAN wrong format; ","")&amp;IF(AS524="","PAN missing; ","")&amp;IF(BB524="","Entity type missing; ","")&amp;IF(AND(AZ524&lt;&gt;"",COUNTIF($AZ$6:$AZ$1005,AZ524)&gt;1),"GSTIN repeated in this sheet; ","")&amp;IF(AND(AS524&lt;&gt;"",COUNTIF($AS$6:$AS$1005,AS524)&gt;1),"PAN repeated in this sheet (same client? put extra GSTINs in Other GSTINs); ","")&amp;IF(AND(BD524&gt;0,V524=""),"Financial year missing; ","")&amp;IF(AND(BD524=0,V524&lt;&gt;""),"Financial year given but no service is Yes; ","")&amp;IF(AND(W524="Yes",AZ524=""),"GST needs a GSTIN; ","")&amp;IF(AND(W524="Yes",X524=""),"GST return frequency missing; ","")&amp;IF(AND(Y524="Yes",TRIM(H524)=""),"TDS needs a TAN; ","")&amp;IF(AND(AA524="Yes",BC524&lt;&gt;"",BC524&lt;&gt;"company",BC524&lt;&gt;"llp"),"ROC is only for a company / LLP; ","")&amp;IF(AND(AA524="Yes",OR(BC524="company",BC524="llp"),TRIM(I524)=""),"ROC needs the CIN / LLPIN; ","")&amp;IF((TRIM(AF524)="")&lt;&gt;(TRIM(AG524)=""),"GST login needs both user ID and password; ","")&amp;IF((TRIM(AH524)="")&lt;&gt;(TRIM(AI524)=""),"Income-tax login needs both user ID and password; ","")&amp;IF((TRIM(AJ524)="")&lt;&gt;(TRIM(AK524)=""),"Income-tax login needs both user ID and password; ","")&amp;IF((TRIM(AL524)="")&lt;&gt;(TRIM(AM524)=""),"TRACES login needs both user ID and password; ","")&amp;IF((TRIM(AN524)="")&lt;&gt;(TRIM(AO524)=""),"MCA login needs both user ID and password; ","")&amp;IF((TRIM(AP524)="")&lt;&gt;(TRIM(AQ524)=""),"E-way bill login needs both user ID and password; ","")</f>
        <v/>
      </c>
    </row>
    <row r="525">
      <c r="A525" s="32" t="n"/>
      <c r="B525" s="33" t="n"/>
      <c r="C525" s="33" t="n"/>
      <c r="D525" s="33" t="n"/>
      <c r="E525" s="32" t="n"/>
      <c r="F525" s="32" t="n"/>
      <c r="G525" s="32" t="n"/>
      <c r="H525" s="32" t="n"/>
      <c r="I525" s="32" t="n"/>
      <c r="J525" s="34" t="n"/>
      <c r="K525" s="33" t="n"/>
      <c r="L525" s="32" t="n"/>
      <c r="M525" s="33" t="n"/>
      <c r="N525" s="33" t="n"/>
      <c r="O525" s="33" t="n"/>
      <c r="P525" s="32" t="n"/>
      <c r="Q525" s="33" t="n"/>
      <c r="R525" s="33" t="n"/>
      <c r="S525" s="33" t="n"/>
      <c r="T525" s="33" t="n"/>
      <c r="U525" s="32" t="n"/>
      <c r="V525" s="33" t="n"/>
      <c r="W525" s="33" t="n"/>
      <c r="X525" s="33" t="n"/>
      <c r="Y525" s="33" t="n"/>
      <c r="Z525" s="33" t="n"/>
      <c r="AA525" s="33" t="n"/>
      <c r="AB525" s="33" t="n"/>
      <c r="AC525" s="33" t="n"/>
      <c r="AD525" s="33" t="n"/>
      <c r="AE525" s="33" t="n"/>
      <c r="AF525" s="32" t="n"/>
      <c r="AG525" s="32" t="n"/>
      <c r="AH525" s="32" t="n"/>
      <c r="AI525" s="32" t="n"/>
      <c r="AJ525" s="32" t="n"/>
      <c r="AK525" s="32" t="n"/>
      <c r="AL525" s="32" t="n"/>
      <c r="AM525" s="32" t="n"/>
      <c r="AN525" s="32" t="n"/>
      <c r="AO525" s="32" t="n"/>
      <c r="AP525" s="32" t="n"/>
      <c r="AQ525" s="32" t="n"/>
      <c r="AR525" s="29">
        <f>IF(NOT(COUNTA(A525:AE525)&gt;0),"",IF(A525="","New client","Update"))</f>
        <v/>
      </c>
      <c r="AS525" s="29">
        <f>IF(BA525&lt;&gt;"",BA525,IF(LEN(AZ525)=15,MID(AZ525,3,10),""))</f>
        <v/>
      </c>
      <c r="AT525" s="29">
        <f>IF(BB525="","",BB525&amp;IF(D525="","  (guessed from PAN)",""))</f>
        <v/>
      </c>
      <c r="AU525" s="29">
        <f>IF(AZ525="","",IFERROR(INDEX(Lists!$L$2:$L$38,MATCH(LEFT(AZ525,2),Lists!$K$2:$K$38,0)),"Unknown code"))</f>
        <v/>
      </c>
      <c r="AV525" s="29">
        <f>IF(AZ525="","",IFERROR(IF(NOT(AND(LEN(AZ525)=15,ISNUMBER(MATCH(LEFT(AZ525,2),Lists!$K$2:$K$38,0)),SUMPRODUCT(--ISERROR(FIND(MID(MID(AZ525,3,10),{1,2,3,4,5,10},1),"ABCDEFGHIJKLMNOPQRSTUVWXYZ")))=0,SUMPRODUCT(--ISERROR(FIND(MID(MID(AZ525,3,10),{6,7,8,9},1),"0123456789")))=0,ISNUMBER(FIND(MID(AZ525,13,1),"123456789ABCDEFGHIJKLMNOPQRSTUVWXYZ")),MID(AZ525,14,1)="Z")),"Wrong format",IF(MID("0123456789ABCDEFGHIJKLMNOPQRSTUVWXYZ",MOD(36-MOD(SUMPRODUCT(INT((FIND(MID(AZ525,{1,2,3,4,5,6,7,8,9,10,11,12,13,14},1),"0123456789ABCDEFGHIJKLMNOPQRSTUVWXYZ")-1)*{1,2,1,2,1,2,1,2,1,2,1,2,1,2}/36)+MOD((FIND(MID(AZ525,{1,2,3,4,5,6,7,8,9,10,11,12,13,14},1),"0123456789ABCDEFGHIJKLMNOPQRSTUVWXYZ")-1)*{1,2,1,2,1,2,1,2,1,2,1,2,1,2},36)),36),36)+1,1)=MID(AZ525,15,1),"OK","Typo? check digit wrong")),"Wrong format"))</f>
        <v/>
      </c>
      <c r="AW525" s="29">
        <f>IF(BA525="","",IF(AND(LEN(BA525)=10,SUMPRODUCT(--ISERROR(FIND(MID(BA525,{1,2,3,4,5,10},1),"ABCDEFGHIJKLMNOPQRSTUVWXYZ")))=0,SUMPRODUCT(--ISERROR(FIND(MID(BA525,{6,7,8,9},1),"0123456789")))=0),"OK","Wrong format"))</f>
        <v/>
      </c>
      <c r="AX525" s="29">
        <f>IF(TRIM(H525)="","",IF(AND(LEN(UPPER(TRIM(H525)))=10,SUMPRODUCT(--ISERROR(FIND(MID(UPPER(TRIM(H525)),{1,2,3,4,10},1),"ABCDEFGHIJKLMNOPQRSTUVWXYZ")))=0,SUMPRODUCT(--ISERROR(FIND(MID(UPPER(TRIM(H525)),{5,6,7,8,9},1),"0123456789")))=0),"OK","Wrong format"))</f>
        <v/>
      </c>
      <c r="AY525" s="30">
        <f>IF(NOT(COUNTA(A525:AE525)&gt;0),"",IF(BE525&lt;&gt;"","✖ "&amp;LEFT(BE525,LEN(BE525)-2),IF(BD525&gt;0,"✔ Ready — client + "&amp;BD525&amp;" service(s)","✔ Ready — client only")))</f>
        <v/>
      </c>
      <c r="AZ525" s="31">
        <f>UPPER(SUBSTITUTE(TRIM(F525)," ",""))</f>
        <v/>
      </c>
      <c r="BA525" s="31">
        <f>UPPER(SUBSTITUTE(TRIM(E525)," ",""))</f>
        <v/>
      </c>
      <c r="BB525" s="31">
        <f>IF(D525&lt;&gt;"",D525,IFERROR(VLOOKUP(MID(AS525,4,1),Lists!$E$2:$F$8,2,FALSE),""))</f>
        <v/>
      </c>
      <c r="BC525" s="31">
        <f>IFERROR(VLOOKUP(BB525,Lists!$A$2:$C$12,3,FALSE),"")</f>
        <v/>
      </c>
      <c r="BD525" s="31">
        <f>COUNTIF(W525:AC525,"Yes")</f>
        <v/>
      </c>
      <c r="BE525" s="31">
        <f>IF(TRIM(B525)="","Legal name missing; ","")&amp;IF(AND(AV525&lt;&gt;"",AV525&lt;&gt;"OK"),"GSTIN: "&amp;AV525&amp;"; ","")&amp;IF(AND(AW525&lt;&gt;"",AW525&lt;&gt;"OK"),"PAN wrong format; ","")&amp;IF(AND(BA525&lt;&gt;"",LEN(AZ525)=15,MID(AZ525,3,10)&lt;&gt;BA525),"PAN does not match GSTIN; ","")&amp;IF(AND(AX525&lt;&gt;"",AX525&lt;&gt;"OK"),"TAN wrong format; ","")&amp;IF(AS525="","PAN missing; ","")&amp;IF(BB525="","Entity type missing; ","")&amp;IF(AND(AZ525&lt;&gt;"",COUNTIF($AZ$6:$AZ$1005,AZ525)&gt;1),"GSTIN repeated in this sheet; ","")&amp;IF(AND(AS525&lt;&gt;"",COUNTIF($AS$6:$AS$1005,AS525)&gt;1),"PAN repeated in this sheet (same client? put extra GSTINs in Other GSTINs); ","")&amp;IF(AND(BD525&gt;0,V525=""),"Financial year missing; ","")&amp;IF(AND(BD525=0,V525&lt;&gt;""),"Financial year given but no service is Yes; ","")&amp;IF(AND(W525="Yes",AZ525=""),"GST needs a GSTIN; ","")&amp;IF(AND(W525="Yes",X525=""),"GST return frequency missing; ","")&amp;IF(AND(Y525="Yes",TRIM(H525)=""),"TDS needs a TAN; ","")&amp;IF(AND(AA525="Yes",BC525&lt;&gt;"",BC525&lt;&gt;"company",BC525&lt;&gt;"llp"),"ROC is only for a company / LLP; ","")&amp;IF(AND(AA525="Yes",OR(BC525="company",BC525="llp"),TRIM(I525)=""),"ROC needs the CIN / LLPIN; ","")&amp;IF((TRIM(AF525)="")&lt;&gt;(TRIM(AG525)=""),"GST login needs both user ID and password; ","")&amp;IF((TRIM(AH525)="")&lt;&gt;(TRIM(AI525)=""),"Income-tax login needs both user ID and password; ","")&amp;IF((TRIM(AJ525)="")&lt;&gt;(TRIM(AK525)=""),"Income-tax login needs both user ID and password; ","")&amp;IF((TRIM(AL525)="")&lt;&gt;(TRIM(AM525)=""),"TRACES login needs both user ID and password; ","")&amp;IF((TRIM(AN525)="")&lt;&gt;(TRIM(AO525)=""),"MCA login needs both user ID and password; ","")&amp;IF((TRIM(AP525)="")&lt;&gt;(TRIM(AQ525)=""),"E-way bill login needs both user ID and password; ","")</f>
        <v/>
      </c>
    </row>
    <row r="526">
      <c r="A526" s="32" t="n"/>
      <c r="B526" s="33" t="n"/>
      <c r="C526" s="33" t="n"/>
      <c r="D526" s="33" t="n"/>
      <c r="E526" s="32" t="n"/>
      <c r="F526" s="32" t="n"/>
      <c r="G526" s="32" t="n"/>
      <c r="H526" s="32" t="n"/>
      <c r="I526" s="32" t="n"/>
      <c r="J526" s="34" t="n"/>
      <c r="K526" s="33" t="n"/>
      <c r="L526" s="32" t="n"/>
      <c r="M526" s="33" t="n"/>
      <c r="N526" s="33" t="n"/>
      <c r="O526" s="33" t="n"/>
      <c r="P526" s="32" t="n"/>
      <c r="Q526" s="33" t="n"/>
      <c r="R526" s="33" t="n"/>
      <c r="S526" s="33" t="n"/>
      <c r="T526" s="33" t="n"/>
      <c r="U526" s="32" t="n"/>
      <c r="V526" s="33" t="n"/>
      <c r="W526" s="33" t="n"/>
      <c r="X526" s="33" t="n"/>
      <c r="Y526" s="33" t="n"/>
      <c r="Z526" s="33" t="n"/>
      <c r="AA526" s="33" t="n"/>
      <c r="AB526" s="33" t="n"/>
      <c r="AC526" s="33" t="n"/>
      <c r="AD526" s="33" t="n"/>
      <c r="AE526" s="33" t="n"/>
      <c r="AF526" s="32" t="n"/>
      <c r="AG526" s="32" t="n"/>
      <c r="AH526" s="32" t="n"/>
      <c r="AI526" s="32" t="n"/>
      <c r="AJ526" s="32" t="n"/>
      <c r="AK526" s="32" t="n"/>
      <c r="AL526" s="32" t="n"/>
      <c r="AM526" s="32" t="n"/>
      <c r="AN526" s="32" t="n"/>
      <c r="AO526" s="32" t="n"/>
      <c r="AP526" s="32" t="n"/>
      <c r="AQ526" s="32" t="n"/>
      <c r="AR526" s="29">
        <f>IF(NOT(COUNTA(A526:AE526)&gt;0),"",IF(A526="","New client","Update"))</f>
        <v/>
      </c>
      <c r="AS526" s="29">
        <f>IF(BA526&lt;&gt;"",BA526,IF(LEN(AZ526)=15,MID(AZ526,3,10),""))</f>
        <v/>
      </c>
      <c r="AT526" s="29">
        <f>IF(BB526="","",BB526&amp;IF(D526="","  (guessed from PAN)",""))</f>
        <v/>
      </c>
      <c r="AU526" s="29">
        <f>IF(AZ526="","",IFERROR(INDEX(Lists!$L$2:$L$38,MATCH(LEFT(AZ526,2),Lists!$K$2:$K$38,0)),"Unknown code"))</f>
        <v/>
      </c>
      <c r="AV526" s="29">
        <f>IF(AZ526="","",IFERROR(IF(NOT(AND(LEN(AZ526)=15,ISNUMBER(MATCH(LEFT(AZ526,2),Lists!$K$2:$K$38,0)),SUMPRODUCT(--ISERROR(FIND(MID(MID(AZ526,3,10),{1,2,3,4,5,10},1),"ABCDEFGHIJKLMNOPQRSTUVWXYZ")))=0,SUMPRODUCT(--ISERROR(FIND(MID(MID(AZ526,3,10),{6,7,8,9},1),"0123456789")))=0,ISNUMBER(FIND(MID(AZ526,13,1),"123456789ABCDEFGHIJKLMNOPQRSTUVWXYZ")),MID(AZ526,14,1)="Z")),"Wrong format",IF(MID("0123456789ABCDEFGHIJKLMNOPQRSTUVWXYZ",MOD(36-MOD(SUMPRODUCT(INT((FIND(MID(AZ526,{1,2,3,4,5,6,7,8,9,10,11,12,13,14},1),"0123456789ABCDEFGHIJKLMNOPQRSTUVWXYZ")-1)*{1,2,1,2,1,2,1,2,1,2,1,2,1,2}/36)+MOD((FIND(MID(AZ526,{1,2,3,4,5,6,7,8,9,10,11,12,13,14},1),"0123456789ABCDEFGHIJKLMNOPQRSTUVWXYZ")-1)*{1,2,1,2,1,2,1,2,1,2,1,2,1,2},36)),36),36)+1,1)=MID(AZ526,15,1),"OK","Typo? check digit wrong")),"Wrong format"))</f>
        <v/>
      </c>
      <c r="AW526" s="29">
        <f>IF(BA526="","",IF(AND(LEN(BA526)=10,SUMPRODUCT(--ISERROR(FIND(MID(BA526,{1,2,3,4,5,10},1),"ABCDEFGHIJKLMNOPQRSTUVWXYZ")))=0,SUMPRODUCT(--ISERROR(FIND(MID(BA526,{6,7,8,9},1),"0123456789")))=0),"OK","Wrong format"))</f>
        <v/>
      </c>
      <c r="AX526" s="29">
        <f>IF(TRIM(H526)="","",IF(AND(LEN(UPPER(TRIM(H526)))=10,SUMPRODUCT(--ISERROR(FIND(MID(UPPER(TRIM(H526)),{1,2,3,4,10},1),"ABCDEFGHIJKLMNOPQRSTUVWXYZ")))=0,SUMPRODUCT(--ISERROR(FIND(MID(UPPER(TRIM(H526)),{5,6,7,8,9},1),"0123456789")))=0),"OK","Wrong format"))</f>
        <v/>
      </c>
      <c r="AY526" s="30">
        <f>IF(NOT(COUNTA(A526:AE526)&gt;0),"",IF(BE526&lt;&gt;"","✖ "&amp;LEFT(BE526,LEN(BE526)-2),IF(BD526&gt;0,"✔ Ready — client + "&amp;BD526&amp;" service(s)","✔ Ready — client only")))</f>
        <v/>
      </c>
      <c r="AZ526" s="31">
        <f>UPPER(SUBSTITUTE(TRIM(F526)," ",""))</f>
        <v/>
      </c>
      <c r="BA526" s="31">
        <f>UPPER(SUBSTITUTE(TRIM(E526)," ",""))</f>
        <v/>
      </c>
      <c r="BB526" s="31">
        <f>IF(D526&lt;&gt;"",D526,IFERROR(VLOOKUP(MID(AS526,4,1),Lists!$E$2:$F$8,2,FALSE),""))</f>
        <v/>
      </c>
      <c r="BC526" s="31">
        <f>IFERROR(VLOOKUP(BB526,Lists!$A$2:$C$12,3,FALSE),"")</f>
        <v/>
      </c>
      <c r="BD526" s="31">
        <f>COUNTIF(W526:AC526,"Yes")</f>
        <v/>
      </c>
      <c r="BE526" s="31">
        <f>IF(TRIM(B526)="","Legal name missing; ","")&amp;IF(AND(AV526&lt;&gt;"",AV526&lt;&gt;"OK"),"GSTIN: "&amp;AV526&amp;"; ","")&amp;IF(AND(AW526&lt;&gt;"",AW526&lt;&gt;"OK"),"PAN wrong format; ","")&amp;IF(AND(BA526&lt;&gt;"",LEN(AZ526)=15,MID(AZ526,3,10)&lt;&gt;BA526),"PAN does not match GSTIN; ","")&amp;IF(AND(AX526&lt;&gt;"",AX526&lt;&gt;"OK"),"TAN wrong format; ","")&amp;IF(AS526="","PAN missing; ","")&amp;IF(BB526="","Entity type missing; ","")&amp;IF(AND(AZ526&lt;&gt;"",COUNTIF($AZ$6:$AZ$1005,AZ526)&gt;1),"GSTIN repeated in this sheet; ","")&amp;IF(AND(AS526&lt;&gt;"",COUNTIF($AS$6:$AS$1005,AS526)&gt;1),"PAN repeated in this sheet (same client? put extra GSTINs in Other GSTINs); ","")&amp;IF(AND(BD526&gt;0,V526=""),"Financial year missing; ","")&amp;IF(AND(BD526=0,V526&lt;&gt;""),"Financial year given but no service is Yes; ","")&amp;IF(AND(W526="Yes",AZ526=""),"GST needs a GSTIN; ","")&amp;IF(AND(W526="Yes",X526=""),"GST return frequency missing; ","")&amp;IF(AND(Y526="Yes",TRIM(H526)=""),"TDS needs a TAN; ","")&amp;IF(AND(AA526="Yes",BC526&lt;&gt;"",BC526&lt;&gt;"company",BC526&lt;&gt;"llp"),"ROC is only for a company / LLP; ","")&amp;IF(AND(AA526="Yes",OR(BC526="company",BC526="llp"),TRIM(I526)=""),"ROC needs the CIN / LLPIN; ","")&amp;IF((TRIM(AF526)="")&lt;&gt;(TRIM(AG526)=""),"GST login needs both user ID and password; ","")&amp;IF((TRIM(AH526)="")&lt;&gt;(TRIM(AI526)=""),"Income-tax login needs both user ID and password; ","")&amp;IF((TRIM(AJ526)="")&lt;&gt;(TRIM(AK526)=""),"Income-tax login needs both user ID and password; ","")&amp;IF((TRIM(AL526)="")&lt;&gt;(TRIM(AM526)=""),"TRACES login needs both user ID and password; ","")&amp;IF((TRIM(AN526)="")&lt;&gt;(TRIM(AO526)=""),"MCA login needs both user ID and password; ","")&amp;IF((TRIM(AP526)="")&lt;&gt;(TRIM(AQ526)=""),"E-way bill login needs both user ID and password; ","")</f>
        <v/>
      </c>
    </row>
    <row r="527">
      <c r="A527" s="32" t="n"/>
      <c r="B527" s="33" t="n"/>
      <c r="C527" s="33" t="n"/>
      <c r="D527" s="33" t="n"/>
      <c r="E527" s="32" t="n"/>
      <c r="F527" s="32" t="n"/>
      <c r="G527" s="32" t="n"/>
      <c r="H527" s="32" t="n"/>
      <c r="I527" s="32" t="n"/>
      <c r="J527" s="34" t="n"/>
      <c r="K527" s="33" t="n"/>
      <c r="L527" s="32" t="n"/>
      <c r="M527" s="33" t="n"/>
      <c r="N527" s="33" t="n"/>
      <c r="O527" s="33" t="n"/>
      <c r="P527" s="32" t="n"/>
      <c r="Q527" s="33" t="n"/>
      <c r="R527" s="33" t="n"/>
      <c r="S527" s="33" t="n"/>
      <c r="T527" s="33" t="n"/>
      <c r="U527" s="32" t="n"/>
      <c r="V527" s="33" t="n"/>
      <c r="W527" s="33" t="n"/>
      <c r="X527" s="33" t="n"/>
      <c r="Y527" s="33" t="n"/>
      <c r="Z527" s="33" t="n"/>
      <c r="AA527" s="33" t="n"/>
      <c r="AB527" s="33" t="n"/>
      <c r="AC527" s="33" t="n"/>
      <c r="AD527" s="33" t="n"/>
      <c r="AE527" s="33" t="n"/>
      <c r="AF527" s="32" t="n"/>
      <c r="AG527" s="32" t="n"/>
      <c r="AH527" s="32" t="n"/>
      <c r="AI527" s="32" t="n"/>
      <c r="AJ527" s="32" t="n"/>
      <c r="AK527" s="32" t="n"/>
      <c r="AL527" s="32" t="n"/>
      <c r="AM527" s="32" t="n"/>
      <c r="AN527" s="32" t="n"/>
      <c r="AO527" s="32" t="n"/>
      <c r="AP527" s="32" t="n"/>
      <c r="AQ527" s="32" t="n"/>
      <c r="AR527" s="29">
        <f>IF(NOT(COUNTA(A527:AE527)&gt;0),"",IF(A527="","New client","Update"))</f>
        <v/>
      </c>
      <c r="AS527" s="29">
        <f>IF(BA527&lt;&gt;"",BA527,IF(LEN(AZ527)=15,MID(AZ527,3,10),""))</f>
        <v/>
      </c>
      <c r="AT527" s="29">
        <f>IF(BB527="","",BB527&amp;IF(D527="","  (guessed from PAN)",""))</f>
        <v/>
      </c>
      <c r="AU527" s="29">
        <f>IF(AZ527="","",IFERROR(INDEX(Lists!$L$2:$L$38,MATCH(LEFT(AZ527,2),Lists!$K$2:$K$38,0)),"Unknown code"))</f>
        <v/>
      </c>
      <c r="AV527" s="29">
        <f>IF(AZ527="","",IFERROR(IF(NOT(AND(LEN(AZ527)=15,ISNUMBER(MATCH(LEFT(AZ527,2),Lists!$K$2:$K$38,0)),SUMPRODUCT(--ISERROR(FIND(MID(MID(AZ527,3,10),{1,2,3,4,5,10},1),"ABCDEFGHIJKLMNOPQRSTUVWXYZ")))=0,SUMPRODUCT(--ISERROR(FIND(MID(MID(AZ527,3,10),{6,7,8,9},1),"0123456789")))=0,ISNUMBER(FIND(MID(AZ527,13,1),"123456789ABCDEFGHIJKLMNOPQRSTUVWXYZ")),MID(AZ527,14,1)="Z")),"Wrong format",IF(MID("0123456789ABCDEFGHIJKLMNOPQRSTUVWXYZ",MOD(36-MOD(SUMPRODUCT(INT((FIND(MID(AZ527,{1,2,3,4,5,6,7,8,9,10,11,12,13,14},1),"0123456789ABCDEFGHIJKLMNOPQRSTUVWXYZ")-1)*{1,2,1,2,1,2,1,2,1,2,1,2,1,2}/36)+MOD((FIND(MID(AZ527,{1,2,3,4,5,6,7,8,9,10,11,12,13,14},1),"0123456789ABCDEFGHIJKLMNOPQRSTUVWXYZ")-1)*{1,2,1,2,1,2,1,2,1,2,1,2,1,2},36)),36),36)+1,1)=MID(AZ527,15,1),"OK","Typo? check digit wrong")),"Wrong format"))</f>
        <v/>
      </c>
      <c r="AW527" s="29">
        <f>IF(BA527="","",IF(AND(LEN(BA527)=10,SUMPRODUCT(--ISERROR(FIND(MID(BA527,{1,2,3,4,5,10},1),"ABCDEFGHIJKLMNOPQRSTUVWXYZ")))=0,SUMPRODUCT(--ISERROR(FIND(MID(BA527,{6,7,8,9},1),"0123456789")))=0),"OK","Wrong format"))</f>
        <v/>
      </c>
      <c r="AX527" s="29">
        <f>IF(TRIM(H527)="","",IF(AND(LEN(UPPER(TRIM(H527)))=10,SUMPRODUCT(--ISERROR(FIND(MID(UPPER(TRIM(H527)),{1,2,3,4,10},1),"ABCDEFGHIJKLMNOPQRSTUVWXYZ")))=0,SUMPRODUCT(--ISERROR(FIND(MID(UPPER(TRIM(H527)),{5,6,7,8,9},1),"0123456789")))=0),"OK","Wrong format"))</f>
        <v/>
      </c>
      <c r="AY527" s="30">
        <f>IF(NOT(COUNTA(A527:AE527)&gt;0),"",IF(BE527&lt;&gt;"","✖ "&amp;LEFT(BE527,LEN(BE527)-2),IF(BD527&gt;0,"✔ Ready — client + "&amp;BD527&amp;" service(s)","✔ Ready — client only")))</f>
        <v/>
      </c>
      <c r="AZ527" s="31">
        <f>UPPER(SUBSTITUTE(TRIM(F527)," ",""))</f>
        <v/>
      </c>
      <c r="BA527" s="31">
        <f>UPPER(SUBSTITUTE(TRIM(E527)," ",""))</f>
        <v/>
      </c>
      <c r="BB527" s="31">
        <f>IF(D527&lt;&gt;"",D527,IFERROR(VLOOKUP(MID(AS527,4,1),Lists!$E$2:$F$8,2,FALSE),""))</f>
        <v/>
      </c>
      <c r="BC527" s="31">
        <f>IFERROR(VLOOKUP(BB527,Lists!$A$2:$C$12,3,FALSE),"")</f>
        <v/>
      </c>
      <c r="BD527" s="31">
        <f>COUNTIF(W527:AC527,"Yes")</f>
        <v/>
      </c>
      <c r="BE527" s="31">
        <f>IF(TRIM(B527)="","Legal name missing; ","")&amp;IF(AND(AV527&lt;&gt;"",AV527&lt;&gt;"OK"),"GSTIN: "&amp;AV527&amp;"; ","")&amp;IF(AND(AW527&lt;&gt;"",AW527&lt;&gt;"OK"),"PAN wrong format; ","")&amp;IF(AND(BA527&lt;&gt;"",LEN(AZ527)=15,MID(AZ527,3,10)&lt;&gt;BA527),"PAN does not match GSTIN; ","")&amp;IF(AND(AX527&lt;&gt;"",AX527&lt;&gt;"OK"),"TAN wrong format; ","")&amp;IF(AS527="","PAN missing; ","")&amp;IF(BB527="","Entity type missing; ","")&amp;IF(AND(AZ527&lt;&gt;"",COUNTIF($AZ$6:$AZ$1005,AZ527)&gt;1),"GSTIN repeated in this sheet; ","")&amp;IF(AND(AS527&lt;&gt;"",COUNTIF($AS$6:$AS$1005,AS527)&gt;1),"PAN repeated in this sheet (same client? put extra GSTINs in Other GSTINs); ","")&amp;IF(AND(BD527&gt;0,V527=""),"Financial year missing; ","")&amp;IF(AND(BD527=0,V527&lt;&gt;""),"Financial year given but no service is Yes; ","")&amp;IF(AND(W527="Yes",AZ527=""),"GST needs a GSTIN; ","")&amp;IF(AND(W527="Yes",X527=""),"GST return frequency missing; ","")&amp;IF(AND(Y527="Yes",TRIM(H527)=""),"TDS needs a TAN; ","")&amp;IF(AND(AA527="Yes",BC527&lt;&gt;"",BC527&lt;&gt;"company",BC527&lt;&gt;"llp"),"ROC is only for a company / LLP; ","")&amp;IF(AND(AA527="Yes",OR(BC527="company",BC527="llp"),TRIM(I527)=""),"ROC needs the CIN / LLPIN; ","")&amp;IF((TRIM(AF527)="")&lt;&gt;(TRIM(AG527)=""),"GST login needs both user ID and password; ","")&amp;IF((TRIM(AH527)="")&lt;&gt;(TRIM(AI527)=""),"Income-tax login needs both user ID and password; ","")&amp;IF((TRIM(AJ527)="")&lt;&gt;(TRIM(AK527)=""),"Income-tax login needs both user ID and password; ","")&amp;IF((TRIM(AL527)="")&lt;&gt;(TRIM(AM527)=""),"TRACES login needs both user ID and password; ","")&amp;IF((TRIM(AN527)="")&lt;&gt;(TRIM(AO527)=""),"MCA login needs both user ID and password; ","")&amp;IF((TRIM(AP527)="")&lt;&gt;(TRIM(AQ527)=""),"E-way bill login needs both user ID and password; ","")</f>
        <v/>
      </c>
    </row>
    <row r="528">
      <c r="A528" s="32" t="n"/>
      <c r="B528" s="33" t="n"/>
      <c r="C528" s="33" t="n"/>
      <c r="D528" s="33" t="n"/>
      <c r="E528" s="32" t="n"/>
      <c r="F528" s="32" t="n"/>
      <c r="G528" s="32" t="n"/>
      <c r="H528" s="32" t="n"/>
      <c r="I528" s="32" t="n"/>
      <c r="J528" s="34" t="n"/>
      <c r="K528" s="33" t="n"/>
      <c r="L528" s="32" t="n"/>
      <c r="M528" s="33" t="n"/>
      <c r="N528" s="33" t="n"/>
      <c r="O528" s="33" t="n"/>
      <c r="P528" s="32" t="n"/>
      <c r="Q528" s="33" t="n"/>
      <c r="R528" s="33" t="n"/>
      <c r="S528" s="33" t="n"/>
      <c r="T528" s="33" t="n"/>
      <c r="U528" s="32" t="n"/>
      <c r="V528" s="33" t="n"/>
      <c r="W528" s="33" t="n"/>
      <c r="X528" s="33" t="n"/>
      <c r="Y528" s="33" t="n"/>
      <c r="Z528" s="33" t="n"/>
      <c r="AA528" s="33" t="n"/>
      <c r="AB528" s="33" t="n"/>
      <c r="AC528" s="33" t="n"/>
      <c r="AD528" s="33" t="n"/>
      <c r="AE528" s="33" t="n"/>
      <c r="AF528" s="32" t="n"/>
      <c r="AG528" s="32" t="n"/>
      <c r="AH528" s="32" t="n"/>
      <c r="AI528" s="32" t="n"/>
      <c r="AJ528" s="32" t="n"/>
      <c r="AK528" s="32" t="n"/>
      <c r="AL528" s="32" t="n"/>
      <c r="AM528" s="32" t="n"/>
      <c r="AN528" s="32" t="n"/>
      <c r="AO528" s="32" t="n"/>
      <c r="AP528" s="32" t="n"/>
      <c r="AQ528" s="32" t="n"/>
      <c r="AR528" s="29">
        <f>IF(NOT(COUNTA(A528:AE528)&gt;0),"",IF(A528="","New client","Update"))</f>
        <v/>
      </c>
      <c r="AS528" s="29">
        <f>IF(BA528&lt;&gt;"",BA528,IF(LEN(AZ528)=15,MID(AZ528,3,10),""))</f>
        <v/>
      </c>
      <c r="AT528" s="29">
        <f>IF(BB528="","",BB528&amp;IF(D528="","  (guessed from PAN)",""))</f>
        <v/>
      </c>
      <c r="AU528" s="29">
        <f>IF(AZ528="","",IFERROR(INDEX(Lists!$L$2:$L$38,MATCH(LEFT(AZ528,2),Lists!$K$2:$K$38,0)),"Unknown code"))</f>
        <v/>
      </c>
      <c r="AV528" s="29">
        <f>IF(AZ528="","",IFERROR(IF(NOT(AND(LEN(AZ528)=15,ISNUMBER(MATCH(LEFT(AZ528,2),Lists!$K$2:$K$38,0)),SUMPRODUCT(--ISERROR(FIND(MID(MID(AZ528,3,10),{1,2,3,4,5,10},1),"ABCDEFGHIJKLMNOPQRSTUVWXYZ")))=0,SUMPRODUCT(--ISERROR(FIND(MID(MID(AZ528,3,10),{6,7,8,9},1),"0123456789")))=0,ISNUMBER(FIND(MID(AZ528,13,1),"123456789ABCDEFGHIJKLMNOPQRSTUVWXYZ")),MID(AZ528,14,1)="Z")),"Wrong format",IF(MID("0123456789ABCDEFGHIJKLMNOPQRSTUVWXYZ",MOD(36-MOD(SUMPRODUCT(INT((FIND(MID(AZ528,{1,2,3,4,5,6,7,8,9,10,11,12,13,14},1),"0123456789ABCDEFGHIJKLMNOPQRSTUVWXYZ")-1)*{1,2,1,2,1,2,1,2,1,2,1,2,1,2}/36)+MOD((FIND(MID(AZ528,{1,2,3,4,5,6,7,8,9,10,11,12,13,14},1),"0123456789ABCDEFGHIJKLMNOPQRSTUVWXYZ")-1)*{1,2,1,2,1,2,1,2,1,2,1,2,1,2},36)),36),36)+1,1)=MID(AZ528,15,1),"OK","Typo? check digit wrong")),"Wrong format"))</f>
        <v/>
      </c>
      <c r="AW528" s="29">
        <f>IF(BA528="","",IF(AND(LEN(BA528)=10,SUMPRODUCT(--ISERROR(FIND(MID(BA528,{1,2,3,4,5,10},1),"ABCDEFGHIJKLMNOPQRSTUVWXYZ")))=0,SUMPRODUCT(--ISERROR(FIND(MID(BA528,{6,7,8,9},1),"0123456789")))=0),"OK","Wrong format"))</f>
        <v/>
      </c>
      <c r="AX528" s="29">
        <f>IF(TRIM(H528)="","",IF(AND(LEN(UPPER(TRIM(H528)))=10,SUMPRODUCT(--ISERROR(FIND(MID(UPPER(TRIM(H528)),{1,2,3,4,10},1),"ABCDEFGHIJKLMNOPQRSTUVWXYZ")))=0,SUMPRODUCT(--ISERROR(FIND(MID(UPPER(TRIM(H528)),{5,6,7,8,9},1),"0123456789")))=0),"OK","Wrong format"))</f>
        <v/>
      </c>
      <c r="AY528" s="30">
        <f>IF(NOT(COUNTA(A528:AE528)&gt;0),"",IF(BE528&lt;&gt;"","✖ "&amp;LEFT(BE528,LEN(BE528)-2),IF(BD528&gt;0,"✔ Ready — client + "&amp;BD528&amp;" service(s)","✔ Ready — client only")))</f>
        <v/>
      </c>
      <c r="AZ528" s="31">
        <f>UPPER(SUBSTITUTE(TRIM(F528)," ",""))</f>
        <v/>
      </c>
      <c r="BA528" s="31">
        <f>UPPER(SUBSTITUTE(TRIM(E528)," ",""))</f>
        <v/>
      </c>
      <c r="BB528" s="31">
        <f>IF(D528&lt;&gt;"",D528,IFERROR(VLOOKUP(MID(AS528,4,1),Lists!$E$2:$F$8,2,FALSE),""))</f>
        <v/>
      </c>
      <c r="BC528" s="31">
        <f>IFERROR(VLOOKUP(BB528,Lists!$A$2:$C$12,3,FALSE),"")</f>
        <v/>
      </c>
      <c r="BD528" s="31">
        <f>COUNTIF(W528:AC528,"Yes")</f>
        <v/>
      </c>
      <c r="BE528" s="31">
        <f>IF(TRIM(B528)="","Legal name missing; ","")&amp;IF(AND(AV528&lt;&gt;"",AV528&lt;&gt;"OK"),"GSTIN: "&amp;AV528&amp;"; ","")&amp;IF(AND(AW528&lt;&gt;"",AW528&lt;&gt;"OK"),"PAN wrong format; ","")&amp;IF(AND(BA528&lt;&gt;"",LEN(AZ528)=15,MID(AZ528,3,10)&lt;&gt;BA528),"PAN does not match GSTIN; ","")&amp;IF(AND(AX528&lt;&gt;"",AX528&lt;&gt;"OK"),"TAN wrong format; ","")&amp;IF(AS528="","PAN missing; ","")&amp;IF(BB528="","Entity type missing; ","")&amp;IF(AND(AZ528&lt;&gt;"",COUNTIF($AZ$6:$AZ$1005,AZ528)&gt;1),"GSTIN repeated in this sheet; ","")&amp;IF(AND(AS528&lt;&gt;"",COUNTIF($AS$6:$AS$1005,AS528)&gt;1),"PAN repeated in this sheet (same client? put extra GSTINs in Other GSTINs); ","")&amp;IF(AND(BD528&gt;0,V528=""),"Financial year missing; ","")&amp;IF(AND(BD528=0,V528&lt;&gt;""),"Financial year given but no service is Yes; ","")&amp;IF(AND(W528="Yes",AZ528=""),"GST needs a GSTIN; ","")&amp;IF(AND(W528="Yes",X528=""),"GST return frequency missing; ","")&amp;IF(AND(Y528="Yes",TRIM(H528)=""),"TDS needs a TAN; ","")&amp;IF(AND(AA528="Yes",BC528&lt;&gt;"",BC528&lt;&gt;"company",BC528&lt;&gt;"llp"),"ROC is only for a company / LLP; ","")&amp;IF(AND(AA528="Yes",OR(BC528="company",BC528="llp"),TRIM(I528)=""),"ROC needs the CIN / LLPIN; ","")&amp;IF((TRIM(AF528)="")&lt;&gt;(TRIM(AG528)=""),"GST login needs both user ID and password; ","")&amp;IF((TRIM(AH528)="")&lt;&gt;(TRIM(AI528)=""),"Income-tax login needs both user ID and password; ","")&amp;IF((TRIM(AJ528)="")&lt;&gt;(TRIM(AK528)=""),"Income-tax login needs both user ID and password; ","")&amp;IF((TRIM(AL528)="")&lt;&gt;(TRIM(AM528)=""),"TRACES login needs both user ID and password; ","")&amp;IF((TRIM(AN528)="")&lt;&gt;(TRIM(AO528)=""),"MCA login needs both user ID and password; ","")&amp;IF((TRIM(AP528)="")&lt;&gt;(TRIM(AQ528)=""),"E-way bill login needs both user ID and password; ","")</f>
        <v/>
      </c>
    </row>
    <row r="529">
      <c r="A529" s="32" t="n"/>
      <c r="B529" s="33" t="n"/>
      <c r="C529" s="33" t="n"/>
      <c r="D529" s="33" t="n"/>
      <c r="E529" s="32" t="n"/>
      <c r="F529" s="32" t="n"/>
      <c r="G529" s="32" t="n"/>
      <c r="H529" s="32" t="n"/>
      <c r="I529" s="32" t="n"/>
      <c r="J529" s="34" t="n"/>
      <c r="K529" s="33" t="n"/>
      <c r="L529" s="32" t="n"/>
      <c r="M529" s="33" t="n"/>
      <c r="N529" s="33" t="n"/>
      <c r="O529" s="33" t="n"/>
      <c r="P529" s="32" t="n"/>
      <c r="Q529" s="33" t="n"/>
      <c r="R529" s="33" t="n"/>
      <c r="S529" s="33" t="n"/>
      <c r="T529" s="33" t="n"/>
      <c r="U529" s="32" t="n"/>
      <c r="V529" s="33" t="n"/>
      <c r="W529" s="33" t="n"/>
      <c r="X529" s="33" t="n"/>
      <c r="Y529" s="33" t="n"/>
      <c r="Z529" s="33" t="n"/>
      <c r="AA529" s="33" t="n"/>
      <c r="AB529" s="33" t="n"/>
      <c r="AC529" s="33" t="n"/>
      <c r="AD529" s="33" t="n"/>
      <c r="AE529" s="33" t="n"/>
      <c r="AF529" s="32" t="n"/>
      <c r="AG529" s="32" t="n"/>
      <c r="AH529" s="32" t="n"/>
      <c r="AI529" s="32" t="n"/>
      <c r="AJ529" s="32" t="n"/>
      <c r="AK529" s="32" t="n"/>
      <c r="AL529" s="32" t="n"/>
      <c r="AM529" s="32" t="n"/>
      <c r="AN529" s="32" t="n"/>
      <c r="AO529" s="32" t="n"/>
      <c r="AP529" s="32" t="n"/>
      <c r="AQ529" s="32" t="n"/>
      <c r="AR529" s="29">
        <f>IF(NOT(COUNTA(A529:AE529)&gt;0),"",IF(A529="","New client","Update"))</f>
        <v/>
      </c>
      <c r="AS529" s="29">
        <f>IF(BA529&lt;&gt;"",BA529,IF(LEN(AZ529)=15,MID(AZ529,3,10),""))</f>
        <v/>
      </c>
      <c r="AT529" s="29">
        <f>IF(BB529="","",BB529&amp;IF(D529="","  (guessed from PAN)",""))</f>
        <v/>
      </c>
      <c r="AU529" s="29">
        <f>IF(AZ529="","",IFERROR(INDEX(Lists!$L$2:$L$38,MATCH(LEFT(AZ529,2),Lists!$K$2:$K$38,0)),"Unknown code"))</f>
        <v/>
      </c>
      <c r="AV529" s="29">
        <f>IF(AZ529="","",IFERROR(IF(NOT(AND(LEN(AZ529)=15,ISNUMBER(MATCH(LEFT(AZ529,2),Lists!$K$2:$K$38,0)),SUMPRODUCT(--ISERROR(FIND(MID(MID(AZ529,3,10),{1,2,3,4,5,10},1),"ABCDEFGHIJKLMNOPQRSTUVWXYZ")))=0,SUMPRODUCT(--ISERROR(FIND(MID(MID(AZ529,3,10),{6,7,8,9},1),"0123456789")))=0,ISNUMBER(FIND(MID(AZ529,13,1),"123456789ABCDEFGHIJKLMNOPQRSTUVWXYZ")),MID(AZ529,14,1)="Z")),"Wrong format",IF(MID("0123456789ABCDEFGHIJKLMNOPQRSTUVWXYZ",MOD(36-MOD(SUMPRODUCT(INT((FIND(MID(AZ529,{1,2,3,4,5,6,7,8,9,10,11,12,13,14},1),"0123456789ABCDEFGHIJKLMNOPQRSTUVWXYZ")-1)*{1,2,1,2,1,2,1,2,1,2,1,2,1,2}/36)+MOD((FIND(MID(AZ529,{1,2,3,4,5,6,7,8,9,10,11,12,13,14},1),"0123456789ABCDEFGHIJKLMNOPQRSTUVWXYZ")-1)*{1,2,1,2,1,2,1,2,1,2,1,2,1,2},36)),36),36)+1,1)=MID(AZ529,15,1),"OK","Typo? check digit wrong")),"Wrong format"))</f>
        <v/>
      </c>
      <c r="AW529" s="29">
        <f>IF(BA529="","",IF(AND(LEN(BA529)=10,SUMPRODUCT(--ISERROR(FIND(MID(BA529,{1,2,3,4,5,10},1),"ABCDEFGHIJKLMNOPQRSTUVWXYZ")))=0,SUMPRODUCT(--ISERROR(FIND(MID(BA529,{6,7,8,9},1),"0123456789")))=0),"OK","Wrong format"))</f>
        <v/>
      </c>
      <c r="AX529" s="29">
        <f>IF(TRIM(H529)="","",IF(AND(LEN(UPPER(TRIM(H529)))=10,SUMPRODUCT(--ISERROR(FIND(MID(UPPER(TRIM(H529)),{1,2,3,4,10},1),"ABCDEFGHIJKLMNOPQRSTUVWXYZ")))=0,SUMPRODUCT(--ISERROR(FIND(MID(UPPER(TRIM(H529)),{5,6,7,8,9},1),"0123456789")))=0),"OK","Wrong format"))</f>
        <v/>
      </c>
      <c r="AY529" s="30">
        <f>IF(NOT(COUNTA(A529:AE529)&gt;0),"",IF(BE529&lt;&gt;"","✖ "&amp;LEFT(BE529,LEN(BE529)-2),IF(BD529&gt;0,"✔ Ready — client + "&amp;BD529&amp;" service(s)","✔ Ready — client only")))</f>
        <v/>
      </c>
      <c r="AZ529" s="31">
        <f>UPPER(SUBSTITUTE(TRIM(F529)," ",""))</f>
        <v/>
      </c>
      <c r="BA529" s="31">
        <f>UPPER(SUBSTITUTE(TRIM(E529)," ",""))</f>
        <v/>
      </c>
      <c r="BB529" s="31">
        <f>IF(D529&lt;&gt;"",D529,IFERROR(VLOOKUP(MID(AS529,4,1),Lists!$E$2:$F$8,2,FALSE),""))</f>
        <v/>
      </c>
      <c r="BC529" s="31">
        <f>IFERROR(VLOOKUP(BB529,Lists!$A$2:$C$12,3,FALSE),"")</f>
        <v/>
      </c>
      <c r="BD529" s="31">
        <f>COUNTIF(W529:AC529,"Yes")</f>
        <v/>
      </c>
      <c r="BE529" s="31">
        <f>IF(TRIM(B529)="","Legal name missing; ","")&amp;IF(AND(AV529&lt;&gt;"",AV529&lt;&gt;"OK"),"GSTIN: "&amp;AV529&amp;"; ","")&amp;IF(AND(AW529&lt;&gt;"",AW529&lt;&gt;"OK"),"PAN wrong format; ","")&amp;IF(AND(BA529&lt;&gt;"",LEN(AZ529)=15,MID(AZ529,3,10)&lt;&gt;BA529),"PAN does not match GSTIN; ","")&amp;IF(AND(AX529&lt;&gt;"",AX529&lt;&gt;"OK"),"TAN wrong format; ","")&amp;IF(AS529="","PAN missing; ","")&amp;IF(BB529="","Entity type missing; ","")&amp;IF(AND(AZ529&lt;&gt;"",COUNTIF($AZ$6:$AZ$1005,AZ529)&gt;1),"GSTIN repeated in this sheet; ","")&amp;IF(AND(AS529&lt;&gt;"",COUNTIF($AS$6:$AS$1005,AS529)&gt;1),"PAN repeated in this sheet (same client? put extra GSTINs in Other GSTINs); ","")&amp;IF(AND(BD529&gt;0,V529=""),"Financial year missing; ","")&amp;IF(AND(BD529=0,V529&lt;&gt;""),"Financial year given but no service is Yes; ","")&amp;IF(AND(W529="Yes",AZ529=""),"GST needs a GSTIN; ","")&amp;IF(AND(W529="Yes",X529=""),"GST return frequency missing; ","")&amp;IF(AND(Y529="Yes",TRIM(H529)=""),"TDS needs a TAN; ","")&amp;IF(AND(AA529="Yes",BC529&lt;&gt;"",BC529&lt;&gt;"company",BC529&lt;&gt;"llp"),"ROC is only for a company / LLP; ","")&amp;IF(AND(AA529="Yes",OR(BC529="company",BC529="llp"),TRIM(I529)=""),"ROC needs the CIN / LLPIN; ","")&amp;IF((TRIM(AF529)="")&lt;&gt;(TRIM(AG529)=""),"GST login needs both user ID and password; ","")&amp;IF((TRIM(AH529)="")&lt;&gt;(TRIM(AI529)=""),"Income-tax login needs both user ID and password; ","")&amp;IF((TRIM(AJ529)="")&lt;&gt;(TRIM(AK529)=""),"Income-tax login needs both user ID and password; ","")&amp;IF((TRIM(AL529)="")&lt;&gt;(TRIM(AM529)=""),"TRACES login needs both user ID and password; ","")&amp;IF((TRIM(AN529)="")&lt;&gt;(TRIM(AO529)=""),"MCA login needs both user ID and password; ","")&amp;IF((TRIM(AP529)="")&lt;&gt;(TRIM(AQ529)=""),"E-way bill login needs both user ID and password; ","")</f>
        <v/>
      </c>
    </row>
    <row r="530">
      <c r="A530" s="32" t="n"/>
      <c r="B530" s="33" t="n"/>
      <c r="C530" s="33" t="n"/>
      <c r="D530" s="33" t="n"/>
      <c r="E530" s="32" t="n"/>
      <c r="F530" s="32" t="n"/>
      <c r="G530" s="32" t="n"/>
      <c r="H530" s="32" t="n"/>
      <c r="I530" s="32" t="n"/>
      <c r="J530" s="34" t="n"/>
      <c r="K530" s="33" t="n"/>
      <c r="L530" s="32" t="n"/>
      <c r="M530" s="33" t="n"/>
      <c r="N530" s="33" t="n"/>
      <c r="O530" s="33" t="n"/>
      <c r="P530" s="32" t="n"/>
      <c r="Q530" s="33" t="n"/>
      <c r="R530" s="33" t="n"/>
      <c r="S530" s="33" t="n"/>
      <c r="T530" s="33" t="n"/>
      <c r="U530" s="32" t="n"/>
      <c r="V530" s="33" t="n"/>
      <c r="W530" s="33" t="n"/>
      <c r="X530" s="33" t="n"/>
      <c r="Y530" s="33" t="n"/>
      <c r="Z530" s="33" t="n"/>
      <c r="AA530" s="33" t="n"/>
      <c r="AB530" s="33" t="n"/>
      <c r="AC530" s="33" t="n"/>
      <c r="AD530" s="33" t="n"/>
      <c r="AE530" s="33" t="n"/>
      <c r="AF530" s="32" t="n"/>
      <c r="AG530" s="32" t="n"/>
      <c r="AH530" s="32" t="n"/>
      <c r="AI530" s="32" t="n"/>
      <c r="AJ530" s="32" t="n"/>
      <c r="AK530" s="32" t="n"/>
      <c r="AL530" s="32" t="n"/>
      <c r="AM530" s="32" t="n"/>
      <c r="AN530" s="32" t="n"/>
      <c r="AO530" s="32" t="n"/>
      <c r="AP530" s="32" t="n"/>
      <c r="AQ530" s="32" t="n"/>
      <c r="AR530" s="29">
        <f>IF(NOT(COUNTA(A530:AE530)&gt;0),"",IF(A530="","New client","Update"))</f>
        <v/>
      </c>
      <c r="AS530" s="29">
        <f>IF(BA530&lt;&gt;"",BA530,IF(LEN(AZ530)=15,MID(AZ530,3,10),""))</f>
        <v/>
      </c>
      <c r="AT530" s="29">
        <f>IF(BB530="","",BB530&amp;IF(D530="","  (guessed from PAN)",""))</f>
        <v/>
      </c>
      <c r="AU530" s="29">
        <f>IF(AZ530="","",IFERROR(INDEX(Lists!$L$2:$L$38,MATCH(LEFT(AZ530,2),Lists!$K$2:$K$38,0)),"Unknown code"))</f>
        <v/>
      </c>
      <c r="AV530" s="29">
        <f>IF(AZ530="","",IFERROR(IF(NOT(AND(LEN(AZ530)=15,ISNUMBER(MATCH(LEFT(AZ530,2),Lists!$K$2:$K$38,0)),SUMPRODUCT(--ISERROR(FIND(MID(MID(AZ530,3,10),{1,2,3,4,5,10},1),"ABCDEFGHIJKLMNOPQRSTUVWXYZ")))=0,SUMPRODUCT(--ISERROR(FIND(MID(MID(AZ530,3,10),{6,7,8,9},1),"0123456789")))=0,ISNUMBER(FIND(MID(AZ530,13,1),"123456789ABCDEFGHIJKLMNOPQRSTUVWXYZ")),MID(AZ530,14,1)="Z")),"Wrong format",IF(MID("0123456789ABCDEFGHIJKLMNOPQRSTUVWXYZ",MOD(36-MOD(SUMPRODUCT(INT((FIND(MID(AZ530,{1,2,3,4,5,6,7,8,9,10,11,12,13,14},1),"0123456789ABCDEFGHIJKLMNOPQRSTUVWXYZ")-1)*{1,2,1,2,1,2,1,2,1,2,1,2,1,2}/36)+MOD((FIND(MID(AZ530,{1,2,3,4,5,6,7,8,9,10,11,12,13,14},1),"0123456789ABCDEFGHIJKLMNOPQRSTUVWXYZ")-1)*{1,2,1,2,1,2,1,2,1,2,1,2,1,2},36)),36),36)+1,1)=MID(AZ530,15,1),"OK","Typo? check digit wrong")),"Wrong format"))</f>
        <v/>
      </c>
      <c r="AW530" s="29">
        <f>IF(BA530="","",IF(AND(LEN(BA530)=10,SUMPRODUCT(--ISERROR(FIND(MID(BA530,{1,2,3,4,5,10},1),"ABCDEFGHIJKLMNOPQRSTUVWXYZ")))=0,SUMPRODUCT(--ISERROR(FIND(MID(BA530,{6,7,8,9},1),"0123456789")))=0),"OK","Wrong format"))</f>
        <v/>
      </c>
      <c r="AX530" s="29">
        <f>IF(TRIM(H530)="","",IF(AND(LEN(UPPER(TRIM(H530)))=10,SUMPRODUCT(--ISERROR(FIND(MID(UPPER(TRIM(H530)),{1,2,3,4,10},1),"ABCDEFGHIJKLMNOPQRSTUVWXYZ")))=0,SUMPRODUCT(--ISERROR(FIND(MID(UPPER(TRIM(H530)),{5,6,7,8,9},1),"0123456789")))=0),"OK","Wrong format"))</f>
        <v/>
      </c>
      <c r="AY530" s="30">
        <f>IF(NOT(COUNTA(A530:AE530)&gt;0),"",IF(BE530&lt;&gt;"","✖ "&amp;LEFT(BE530,LEN(BE530)-2),IF(BD530&gt;0,"✔ Ready — client + "&amp;BD530&amp;" service(s)","✔ Ready — client only")))</f>
        <v/>
      </c>
      <c r="AZ530" s="31">
        <f>UPPER(SUBSTITUTE(TRIM(F530)," ",""))</f>
        <v/>
      </c>
      <c r="BA530" s="31">
        <f>UPPER(SUBSTITUTE(TRIM(E530)," ",""))</f>
        <v/>
      </c>
      <c r="BB530" s="31">
        <f>IF(D530&lt;&gt;"",D530,IFERROR(VLOOKUP(MID(AS530,4,1),Lists!$E$2:$F$8,2,FALSE),""))</f>
        <v/>
      </c>
      <c r="BC530" s="31">
        <f>IFERROR(VLOOKUP(BB530,Lists!$A$2:$C$12,3,FALSE),"")</f>
        <v/>
      </c>
      <c r="BD530" s="31">
        <f>COUNTIF(W530:AC530,"Yes")</f>
        <v/>
      </c>
      <c r="BE530" s="31">
        <f>IF(TRIM(B530)="","Legal name missing; ","")&amp;IF(AND(AV530&lt;&gt;"",AV530&lt;&gt;"OK"),"GSTIN: "&amp;AV530&amp;"; ","")&amp;IF(AND(AW530&lt;&gt;"",AW530&lt;&gt;"OK"),"PAN wrong format; ","")&amp;IF(AND(BA530&lt;&gt;"",LEN(AZ530)=15,MID(AZ530,3,10)&lt;&gt;BA530),"PAN does not match GSTIN; ","")&amp;IF(AND(AX530&lt;&gt;"",AX530&lt;&gt;"OK"),"TAN wrong format; ","")&amp;IF(AS530="","PAN missing; ","")&amp;IF(BB530="","Entity type missing; ","")&amp;IF(AND(AZ530&lt;&gt;"",COUNTIF($AZ$6:$AZ$1005,AZ530)&gt;1),"GSTIN repeated in this sheet; ","")&amp;IF(AND(AS530&lt;&gt;"",COUNTIF($AS$6:$AS$1005,AS530)&gt;1),"PAN repeated in this sheet (same client? put extra GSTINs in Other GSTINs); ","")&amp;IF(AND(BD530&gt;0,V530=""),"Financial year missing; ","")&amp;IF(AND(BD530=0,V530&lt;&gt;""),"Financial year given but no service is Yes; ","")&amp;IF(AND(W530="Yes",AZ530=""),"GST needs a GSTIN; ","")&amp;IF(AND(W530="Yes",X530=""),"GST return frequency missing; ","")&amp;IF(AND(Y530="Yes",TRIM(H530)=""),"TDS needs a TAN; ","")&amp;IF(AND(AA530="Yes",BC530&lt;&gt;"",BC530&lt;&gt;"company",BC530&lt;&gt;"llp"),"ROC is only for a company / LLP; ","")&amp;IF(AND(AA530="Yes",OR(BC530="company",BC530="llp"),TRIM(I530)=""),"ROC needs the CIN / LLPIN; ","")&amp;IF((TRIM(AF530)="")&lt;&gt;(TRIM(AG530)=""),"GST login needs both user ID and password; ","")&amp;IF((TRIM(AH530)="")&lt;&gt;(TRIM(AI530)=""),"Income-tax login needs both user ID and password; ","")&amp;IF((TRIM(AJ530)="")&lt;&gt;(TRIM(AK530)=""),"Income-tax login needs both user ID and password; ","")&amp;IF((TRIM(AL530)="")&lt;&gt;(TRIM(AM530)=""),"TRACES login needs both user ID and password; ","")&amp;IF((TRIM(AN530)="")&lt;&gt;(TRIM(AO530)=""),"MCA login needs both user ID and password; ","")&amp;IF((TRIM(AP530)="")&lt;&gt;(TRIM(AQ530)=""),"E-way bill login needs both user ID and password; ","")</f>
        <v/>
      </c>
    </row>
    <row r="531">
      <c r="A531" s="32" t="n"/>
      <c r="B531" s="33" t="n"/>
      <c r="C531" s="33" t="n"/>
      <c r="D531" s="33" t="n"/>
      <c r="E531" s="32" t="n"/>
      <c r="F531" s="32" t="n"/>
      <c r="G531" s="32" t="n"/>
      <c r="H531" s="32" t="n"/>
      <c r="I531" s="32" t="n"/>
      <c r="J531" s="34" t="n"/>
      <c r="K531" s="33" t="n"/>
      <c r="L531" s="32" t="n"/>
      <c r="M531" s="33" t="n"/>
      <c r="N531" s="33" t="n"/>
      <c r="O531" s="33" t="n"/>
      <c r="P531" s="32" t="n"/>
      <c r="Q531" s="33" t="n"/>
      <c r="R531" s="33" t="n"/>
      <c r="S531" s="33" t="n"/>
      <c r="T531" s="33" t="n"/>
      <c r="U531" s="32" t="n"/>
      <c r="V531" s="33" t="n"/>
      <c r="W531" s="33" t="n"/>
      <c r="X531" s="33" t="n"/>
      <c r="Y531" s="33" t="n"/>
      <c r="Z531" s="33" t="n"/>
      <c r="AA531" s="33" t="n"/>
      <c r="AB531" s="33" t="n"/>
      <c r="AC531" s="33" t="n"/>
      <c r="AD531" s="33" t="n"/>
      <c r="AE531" s="33" t="n"/>
      <c r="AF531" s="32" t="n"/>
      <c r="AG531" s="32" t="n"/>
      <c r="AH531" s="32" t="n"/>
      <c r="AI531" s="32" t="n"/>
      <c r="AJ531" s="32" t="n"/>
      <c r="AK531" s="32" t="n"/>
      <c r="AL531" s="32" t="n"/>
      <c r="AM531" s="32" t="n"/>
      <c r="AN531" s="32" t="n"/>
      <c r="AO531" s="32" t="n"/>
      <c r="AP531" s="32" t="n"/>
      <c r="AQ531" s="32" t="n"/>
      <c r="AR531" s="29">
        <f>IF(NOT(COUNTA(A531:AE531)&gt;0),"",IF(A531="","New client","Update"))</f>
        <v/>
      </c>
      <c r="AS531" s="29">
        <f>IF(BA531&lt;&gt;"",BA531,IF(LEN(AZ531)=15,MID(AZ531,3,10),""))</f>
        <v/>
      </c>
      <c r="AT531" s="29">
        <f>IF(BB531="","",BB531&amp;IF(D531="","  (guessed from PAN)",""))</f>
        <v/>
      </c>
      <c r="AU531" s="29">
        <f>IF(AZ531="","",IFERROR(INDEX(Lists!$L$2:$L$38,MATCH(LEFT(AZ531,2),Lists!$K$2:$K$38,0)),"Unknown code"))</f>
        <v/>
      </c>
      <c r="AV531" s="29">
        <f>IF(AZ531="","",IFERROR(IF(NOT(AND(LEN(AZ531)=15,ISNUMBER(MATCH(LEFT(AZ531,2),Lists!$K$2:$K$38,0)),SUMPRODUCT(--ISERROR(FIND(MID(MID(AZ531,3,10),{1,2,3,4,5,10},1),"ABCDEFGHIJKLMNOPQRSTUVWXYZ")))=0,SUMPRODUCT(--ISERROR(FIND(MID(MID(AZ531,3,10),{6,7,8,9},1),"0123456789")))=0,ISNUMBER(FIND(MID(AZ531,13,1),"123456789ABCDEFGHIJKLMNOPQRSTUVWXYZ")),MID(AZ531,14,1)="Z")),"Wrong format",IF(MID("0123456789ABCDEFGHIJKLMNOPQRSTUVWXYZ",MOD(36-MOD(SUMPRODUCT(INT((FIND(MID(AZ531,{1,2,3,4,5,6,7,8,9,10,11,12,13,14},1),"0123456789ABCDEFGHIJKLMNOPQRSTUVWXYZ")-1)*{1,2,1,2,1,2,1,2,1,2,1,2,1,2}/36)+MOD((FIND(MID(AZ531,{1,2,3,4,5,6,7,8,9,10,11,12,13,14},1),"0123456789ABCDEFGHIJKLMNOPQRSTUVWXYZ")-1)*{1,2,1,2,1,2,1,2,1,2,1,2,1,2},36)),36),36)+1,1)=MID(AZ531,15,1),"OK","Typo? check digit wrong")),"Wrong format"))</f>
        <v/>
      </c>
      <c r="AW531" s="29">
        <f>IF(BA531="","",IF(AND(LEN(BA531)=10,SUMPRODUCT(--ISERROR(FIND(MID(BA531,{1,2,3,4,5,10},1),"ABCDEFGHIJKLMNOPQRSTUVWXYZ")))=0,SUMPRODUCT(--ISERROR(FIND(MID(BA531,{6,7,8,9},1),"0123456789")))=0),"OK","Wrong format"))</f>
        <v/>
      </c>
      <c r="AX531" s="29">
        <f>IF(TRIM(H531)="","",IF(AND(LEN(UPPER(TRIM(H531)))=10,SUMPRODUCT(--ISERROR(FIND(MID(UPPER(TRIM(H531)),{1,2,3,4,10},1),"ABCDEFGHIJKLMNOPQRSTUVWXYZ")))=0,SUMPRODUCT(--ISERROR(FIND(MID(UPPER(TRIM(H531)),{5,6,7,8,9},1),"0123456789")))=0),"OK","Wrong format"))</f>
        <v/>
      </c>
      <c r="AY531" s="30">
        <f>IF(NOT(COUNTA(A531:AE531)&gt;0),"",IF(BE531&lt;&gt;"","✖ "&amp;LEFT(BE531,LEN(BE531)-2),IF(BD531&gt;0,"✔ Ready — client + "&amp;BD531&amp;" service(s)","✔ Ready — client only")))</f>
        <v/>
      </c>
      <c r="AZ531" s="31">
        <f>UPPER(SUBSTITUTE(TRIM(F531)," ",""))</f>
        <v/>
      </c>
      <c r="BA531" s="31">
        <f>UPPER(SUBSTITUTE(TRIM(E531)," ",""))</f>
        <v/>
      </c>
      <c r="BB531" s="31">
        <f>IF(D531&lt;&gt;"",D531,IFERROR(VLOOKUP(MID(AS531,4,1),Lists!$E$2:$F$8,2,FALSE),""))</f>
        <v/>
      </c>
      <c r="BC531" s="31">
        <f>IFERROR(VLOOKUP(BB531,Lists!$A$2:$C$12,3,FALSE),"")</f>
        <v/>
      </c>
      <c r="BD531" s="31">
        <f>COUNTIF(W531:AC531,"Yes")</f>
        <v/>
      </c>
      <c r="BE531" s="31">
        <f>IF(TRIM(B531)="","Legal name missing; ","")&amp;IF(AND(AV531&lt;&gt;"",AV531&lt;&gt;"OK"),"GSTIN: "&amp;AV531&amp;"; ","")&amp;IF(AND(AW531&lt;&gt;"",AW531&lt;&gt;"OK"),"PAN wrong format; ","")&amp;IF(AND(BA531&lt;&gt;"",LEN(AZ531)=15,MID(AZ531,3,10)&lt;&gt;BA531),"PAN does not match GSTIN; ","")&amp;IF(AND(AX531&lt;&gt;"",AX531&lt;&gt;"OK"),"TAN wrong format; ","")&amp;IF(AS531="","PAN missing; ","")&amp;IF(BB531="","Entity type missing; ","")&amp;IF(AND(AZ531&lt;&gt;"",COUNTIF($AZ$6:$AZ$1005,AZ531)&gt;1),"GSTIN repeated in this sheet; ","")&amp;IF(AND(AS531&lt;&gt;"",COUNTIF($AS$6:$AS$1005,AS531)&gt;1),"PAN repeated in this sheet (same client? put extra GSTINs in Other GSTINs); ","")&amp;IF(AND(BD531&gt;0,V531=""),"Financial year missing; ","")&amp;IF(AND(BD531=0,V531&lt;&gt;""),"Financial year given but no service is Yes; ","")&amp;IF(AND(W531="Yes",AZ531=""),"GST needs a GSTIN; ","")&amp;IF(AND(W531="Yes",X531=""),"GST return frequency missing; ","")&amp;IF(AND(Y531="Yes",TRIM(H531)=""),"TDS needs a TAN; ","")&amp;IF(AND(AA531="Yes",BC531&lt;&gt;"",BC531&lt;&gt;"company",BC531&lt;&gt;"llp"),"ROC is only for a company / LLP; ","")&amp;IF(AND(AA531="Yes",OR(BC531="company",BC531="llp"),TRIM(I531)=""),"ROC needs the CIN / LLPIN; ","")&amp;IF((TRIM(AF531)="")&lt;&gt;(TRIM(AG531)=""),"GST login needs both user ID and password; ","")&amp;IF((TRIM(AH531)="")&lt;&gt;(TRIM(AI531)=""),"Income-tax login needs both user ID and password; ","")&amp;IF((TRIM(AJ531)="")&lt;&gt;(TRIM(AK531)=""),"Income-tax login needs both user ID and password; ","")&amp;IF((TRIM(AL531)="")&lt;&gt;(TRIM(AM531)=""),"TRACES login needs both user ID and password; ","")&amp;IF((TRIM(AN531)="")&lt;&gt;(TRIM(AO531)=""),"MCA login needs both user ID and password; ","")&amp;IF((TRIM(AP531)="")&lt;&gt;(TRIM(AQ531)=""),"E-way bill login needs both user ID and password; ","")</f>
        <v/>
      </c>
    </row>
    <row r="532">
      <c r="A532" s="32" t="n"/>
      <c r="B532" s="33" t="n"/>
      <c r="C532" s="33" t="n"/>
      <c r="D532" s="33" t="n"/>
      <c r="E532" s="32" t="n"/>
      <c r="F532" s="32" t="n"/>
      <c r="G532" s="32" t="n"/>
      <c r="H532" s="32" t="n"/>
      <c r="I532" s="32" t="n"/>
      <c r="J532" s="34" t="n"/>
      <c r="K532" s="33" t="n"/>
      <c r="L532" s="32" t="n"/>
      <c r="M532" s="33" t="n"/>
      <c r="N532" s="33" t="n"/>
      <c r="O532" s="33" t="n"/>
      <c r="P532" s="32" t="n"/>
      <c r="Q532" s="33" t="n"/>
      <c r="R532" s="33" t="n"/>
      <c r="S532" s="33" t="n"/>
      <c r="T532" s="33" t="n"/>
      <c r="U532" s="32" t="n"/>
      <c r="V532" s="33" t="n"/>
      <c r="W532" s="33" t="n"/>
      <c r="X532" s="33" t="n"/>
      <c r="Y532" s="33" t="n"/>
      <c r="Z532" s="33" t="n"/>
      <c r="AA532" s="33" t="n"/>
      <c r="AB532" s="33" t="n"/>
      <c r="AC532" s="33" t="n"/>
      <c r="AD532" s="33" t="n"/>
      <c r="AE532" s="33" t="n"/>
      <c r="AF532" s="32" t="n"/>
      <c r="AG532" s="32" t="n"/>
      <c r="AH532" s="32" t="n"/>
      <c r="AI532" s="32" t="n"/>
      <c r="AJ532" s="32" t="n"/>
      <c r="AK532" s="32" t="n"/>
      <c r="AL532" s="32" t="n"/>
      <c r="AM532" s="32" t="n"/>
      <c r="AN532" s="32" t="n"/>
      <c r="AO532" s="32" t="n"/>
      <c r="AP532" s="32" t="n"/>
      <c r="AQ532" s="32" t="n"/>
      <c r="AR532" s="29">
        <f>IF(NOT(COUNTA(A532:AE532)&gt;0),"",IF(A532="","New client","Update"))</f>
        <v/>
      </c>
      <c r="AS532" s="29">
        <f>IF(BA532&lt;&gt;"",BA532,IF(LEN(AZ532)=15,MID(AZ532,3,10),""))</f>
        <v/>
      </c>
      <c r="AT532" s="29">
        <f>IF(BB532="","",BB532&amp;IF(D532="","  (guessed from PAN)",""))</f>
        <v/>
      </c>
      <c r="AU532" s="29">
        <f>IF(AZ532="","",IFERROR(INDEX(Lists!$L$2:$L$38,MATCH(LEFT(AZ532,2),Lists!$K$2:$K$38,0)),"Unknown code"))</f>
        <v/>
      </c>
      <c r="AV532" s="29">
        <f>IF(AZ532="","",IFERROR(IF(NOT(AND(LEN(AZ532)=15,ISNUMBER(MATCH(LEFT(AZ532,2),Lists!$K$2:$K$38,0)),SUMPRODUCT(--ISERROR(FIND(MID(MID(AZ532,3,10),{1,2,3,4,5,10},1),"ABCDEFGHIJKLMNOPQRSTUVWXYZ")))=0,SUMPRODUCT(--ISERROR(FIND(MID(MID(AZ532,3,10),{6,7,8,9},1),"0123456789")))=0,ISNUMBER(FIND(MID(AZ532,13,1),"123456789ABCDEFGHIJKLMNOPQRSTUVWXYZ")),MID(AZ532,14,1)="Z")),"Wrong format",IF(MID("0123456789ABCDEFGHIJKLMNOPQRSTUVWXYZ",MOD(36-MOD(SUMPRODUCT(INT((FIND(MID(AZ532,{1,2,3,4,5,6,7,8,9,10,11,12,13,14},1),"0123456789ABCDEFGHIJKLMNOPQRSTUVWXYZ")-1)*{1,2,1,2,1,2,1,2,1,2,1,2,1,2}/36)+MOD((FIND(MID(AZ532,{1,2,3,4,5,6,7,8,9,10,11,12,13,14},1),"0123456789ABCDEFGHIJKLMNOPQRSTUVWXYZ")-1)*{1,2,1,2,1,2,1,2,1,2,1,2,1,2},36)),36),36)+1,1)=MID(AZ532,15,1),"OK","Typo? check digit wrong")),"Wrong format"))</f>
        <v/>
      </c>
      <c r="AW532" s="29">
        <f>IF(BA532="","",IF(AND(LEN(BA532)=10,SUMPRODUCT(--ISERROR(FIND(MID(BA532,{1,2,3,4,5,10},1),"ABCDEFGHIJKLMNOPQRSTUVWXYZ")))=0,SUMPRODUCT(--ISERROR(FIND(MID(BA532,{6,7,8,9},1),"0123456789")))=0),"OK","Wrong format"))</f>
        <v/>
      </c>
      <c r="AX532" s="29">
        <f>IF(TRIM(H532)="","",IF(AND(LEN(UPPER(TRIM(H532)))=10,SUMPRODUCT(--ISERROR(FIND(MID(UPPER(TRIM(H532)),{1,2,3,4,10},1),"ABCDEFGHIJKLMNOPQRSTUVWXYZ")))=0,SUMPRODUCT(--ISERROR(FIND(MID(UPPER(TRIM(H532)),{5,6,7,8,9},1),"0123456789")))=0),"OK","Wrong format"))</f>
        <v/>
      </c>
      <c r="AY532" s="30">
        <f>IF(NOT(COUNTA(A532:AE532)&gt;0),"",IF(BE532&lt;&gt;"","✖ "&amp;LEFT(BE532,LEN(BE532)-2),IF(BD532&gt;0,"✔ Ready — client + "&amp;BD532&amp;" service(s)","✔ Ready — client only")))</f>
        <v/>
      </c>
      <c r="AZ532" s="31">
        <f>UPPER(SUBSTITUTE(TRIM(F532)," ",""))</f>
        <v/>
      </c>
      <c r="BA532" s="31">
        <f>UPPER(SUBSTITUTE(TRIM(E532)," ",""))</f>
        <v/>
      </c>
      <c r="BB532" s="31">
        <f>IF(D532&lt;&gt;"",D532,IFERROR(VLOOKUP(MID(AS532,4,1),Lists!$E$2:$F$8,2,FALSE),""))</f>
        <v/>
      </c>
      <c r="BC532" s="31">
        <f>IFERROR(VLOOKUP(BB532,Lists!$A$2:$C$12,3,FALSE),"")</f>
        <v/>
      </c>
      <c r="BD532" s="31">
        <f>COUNTIF(W532:AC532,"Yes")</f>
        <v/>
      </c>
      <c r="BE532" s="31">
        <f>IF(TRIM(B532)="","Legal name missing; ","")&amp;IF(AND(AV532&lt;&gt;"",AV532&lt;&gt;"OK"),"GSTIN: "&amp;AV532&amp;"; ","")&amp;IF(AND(AW532&lt;&gt;"",AW532&lt;&gt;"OK"),"PAN wrong format; ","")&amp;IF(AND(BA532&lt;&gt;"",LEN(AZ532)=15,MID(AZ532,3,10)&lt;&gt;BA532),"PAN does not match GSTIN; ","")&amp;IF(AND(AX532&lt;&gt;"",AX532&lt;&gt;"OK"),"TAN wrong format; ","")&amp;IF(AS532="","PAN missing; ","")&amp;IF(BB532="","Entity type missing; ","")&amp;IF(AND(AZ532&lt;&gt;"",COUNTIF($AZ$6:$AZ$1005,AZ532)&gt;1),"GSTIN repeated in this sheet; ","")&amp;IF(AND(AS532&lt;&gt;"",COUNTIF($AS$6:$AS$1005,AS532)&gt;1),"PAN repeated in this sheet (same client? put extra GSTINs in Other GSTINs); ","")&amp;IF(AND(BD532&gt;0,V532=""),"Financial year missing; ","")&amp;IF(AND(BD532=0,V532&lt;&gt;""),"Financial year given but no service is Yes; ","")&amp;IF(AND(W532="Yes",AZ532=""),"GST needs a GSTIN; ","")&amp;IF(AND(W532="Yes",X532=""),"GST return frequency missing; ","")&amp;IF(AND(Y532="Yes",TRIM(H532)=""),"TDS needs a TAN; ","")&amp;IF(AND(AA532="Yes",BC532&lt;&gt;"",BC532&lt;&gt;"company",BC532&lt;&gt;"llp"),"ROC is only for a company / LLP; ","")&amp;IF(AND(AA532="Yes",OR(BC532="company",BC532="llp"),TRIM(I532)=""),"ROC needs the CIN / LLPIN; ","")&amp;IF((TRIM(AF532)="")&lt;&gt;(TRIM(AG532)=""),"GST login needs both user ID and password; ","")&amp;IF((TRIM(AH532)="")&lt;&gt;(TRIM(AI532)=""),"Income-tax login needs both user ID and password; ","")&amp;IF((TRIM(AJ532)="")&lt;&gt;(TRIM(AK532)=""),"Income-tax login needs both user ID and password; ","")&amp;IF((TRIM(AL532)="")&lt;&gt;(TRIM(AM532)=""),"TRACES login needs both user ID and password; ","")&amp;IF((TRIM(AN532)="")&lt;&gt;(TRIM(AO532)=""),"MCA login needs both user ID and password; ","")&amp;IF((TRIM(AP532)="")&lt;&gt;(TRIM(AQ532)=""),"E-way bill login needs both user ID and password; ","")</f>
        <v/>
      </c>
    </row>
    <row r="533">
      <c r="A533" s="32" t="n"/>
      <c r="B533" s="33" t="n"/>
      <c r="C533" s="33" t="n"/>
      <c r="D533" s="33" t="n"/>
      <c r="E533" s="32" t="n"/>
      <c r="F533" s="32" t="n"/>
      <c r="G533" s="32" t="n"/>
      <c r="H533" s="32" t="n"/>
      <c r="I533" s="32" t="n"/>
      <c r="J533" s="34" t="n"/>
      <c r="K533" s="33" t="n"/>
      <c r="L533" s="32" t="n"/>
      <c r="M533" s="33" t="n"/>
      <c r="N533" s="33" t="n"/>
      <c r="O533" s="33" t="n"/>
      <c r="P533" s="32" t="n"/>
      <c r="Q533" s="33" t="n"/>
      <c r="R533" s="33" t="n"/>
      <c r="S533" s="33" t="n"/>
      <c r="T533" s="33" t="n"/>
      <c r="U533" s="32" t="n"/>
      <c r="V533" s="33" t="n"/>
      <c r="W533" s="33" t="n"/>
      <c r="X533" s="33" t="n"/>
      <c r="Y533" s="33" t="n"/>
      <c r="Z533" s="33" t="n"/>
      <c r="AA533" s="33" t="n"/>
      <c r="AB533" s="33" t="n"/>
      <c r="AC533" s="33" t="n"/>
      <c r="AD533" s="33" t="n"/>
      <c r="AE533" s="33" t="n"/>
      <c r="AF533" s="32" t="n"/>
      <c r="AG533" s="32" t="n"/>
      <c r="AH533" s="32" t="n"/>
      <c r="AI533" s="32" t="n"/>
      <c r="AJ533" s="32" t="n"/>
      <c r="AK533" s="32" t="n"/>
      <c r="AL533" s="32" t="n"/>
      <c r="AM533" s="32" t="n"/>
      <c r="AN533" s="32" t="n"/>
      <c r="AO533" s="32" t="n"/>
      <c r="AP533" s="32" t="n"/>
      <c r="AQ533" s="32" t="n"/>
      <c r="AR533" s="29">
        <f>IF(NOT(COUNTA(A533:AE533)&gt;0),"",IF(A533="","New client","Update"))</f>
        <v/>
      </c>
      <c r="AS533" s="29">
        <f>IF(BA533&lt;&gt;"",BA533,IF(LEN(AZ533)=15,MID(AZ533,3,10),""))</f>
        <v/>
      </c>
      <c r="AT533" s="29">
        <f>IF(BB533="","",BB533&amp;IF(D533="","  (guessed from PAN)",""))</f>
        <v/>
      </c>
      <c r="AU533" s="29">
        <f>IF(AZ533="","",IFERROR(INDEX(Lists!$L$2:$L$38,MATCH(LEFT(AZ533,2),Lists!$K$2:$K$38,0)),"Unknown code"))</f>
        <v/>
      </c>
      <c r="AV533" s="29">
        <f>IF(AZ533="","",IFERROR(IF(NOT(AND(LEN(AZ533)=15,ISNUMBER(MATCH(LEFT(AZ533,2),Lists!$K$2:$K$38,0)),SUMPRODUCT(--ISERROR(FIND(MID(MID(AZ533,3,10),{1,2,3,4,5,10},1),"ABCDEFGHIJKLMNOPQRSTUVWXYZ")))=0,SUMPRODUCT(--ISERROR(FIND(MID(MID(AZ533,3,10),{6,7,8,9},1),"0123456789")))=0,ISNUMBER(FIND(MID(AZ533,13,1),"123456789ABCDEFGHIJKLMNOPQRSTUVWXYZ")),MID(AZ533,14,1)="Z")),"Wrong format",IF(MID("0123456789ABCDEFGHIJKLMNOPQRSTUVWXYZ",MOD(36-MOD(SUMPRODUCT(INT((FIND(MID(AZ533,{1,2,3,4,5,6,7,8,9,10,11,12,13,14},1),"0123456789ABCDEFGHIJKLMNOPQRSTUVWXYZ")-1)*{1,2,1,2,1,2,1,2,1,2,1,2,1,2}/36)+MOD((FIND(MID(AZ533,{1,2,3,4,5,6,7,8,9,10,11,12,13,14},1),"0123456789ABCDEFGHIJKLMNOPQRSTUVWXYZ")-1)*{1,2,1,2,1,2,1,2,1,2,1,2,1,2},36)),36),36)+1,1)=MID(AZ533,15,1),"OK","Typo? check digit wrong")),"Wrong format"))</f>
        <v/>
      </c>
      <c r="AW533" s="29">
        <f>IF(BA533="","",IF(AND(LEN(BA533)=10,SUMPRODUCT(--ISERROR(FIND(MID(BA533,{1,2,3,4,5,10},1),"ABCDEFGHIJKLMNOPQRSTUVWXYZ")))=0,SUMPRODUCT(--ISERROR(FIND(MID(BA533,{6,7,8,9},1),"0123456789")))=0),"OK","Wrong format"))</f>
        <v/>
      </c>
      <c r="AX533" s="29">
        <f>IF(TRIM(H533)="","",IF(AND(LEN(UPPER(TRIM(H533)))=10,SUMPRODUCT(--ISERROR(FIND(MID(UPPER(TRIM(H533)),{1,2,3,4,10},1),"ABCDEFGHIJKLMNOPQRSTUVWXYZ")))=0,SUMPRODUCT(--ISERROR(FIND(MID(UPPER(TRIM(H533)),{5,6,7,8,9},1),"0123456789")))=0),"OK","Wrong format"))</f>
        <v/>
      </c>
      <c r="AY533" s="30">
        <f>IF(NOT(COUNTA(A533:AE533)&gt;0),"",IF(BE533&lt;&gt;"","✖ "&amp;LEFT(BE533,LEN(BE533)-2),IF(BD533&gt;0,"✔ Ready — client + "&amp;BD533&amp;" service(s)","✔ Ready — client only")))</f>
        <v/>
      </c>
      <c r="AZ533" s="31">
        <f>UPPER(SUBSTITUTE(TRIM(F533)," ",""))</f>
        <v/>
      </c>
      <c r="BA533" s="31">
        <f>UPPER(SUBSTITUTE(TRIM(E533)," ",""))</f>
        <v/>
      </c>
      <c r="BB533" s="31">
        <f>IF(D533&lt;&gt;"",D533,IFERROR(VLOOKUP(MID(AS533,4,1),Lists!$E$2:$F$8,2,FALSE),""))</f>
        <v/>
      </c>
      <c r="BC533" s="31">
        <f>IFERROR(VLOOKUP(BB533,Lists!$A$2:$C$12,3,FALSE),"")</f>
        <v/>
      </c>
      <c r="BD533" s="31">
        <f>COUNTIF(W533:AC533,"Yes")</f>
        <v/>
      </c>
      <c r="BE533" s="31">
        <f>IF(TRIM(B533)="","Legal name missing; ","")&amp;IF(AND(AV533&lt;&gt;"",AV533&lt;&gt;"OK"),"GSTIN: "&amp;AV533&amp;"; ","")&amp;IF(AND(AW533&lt;&gt;"",AW533&lt;&gt;"OK"),"PAN wrong format; ","")&amp;IF(AND(BA533&lt;&gt;"",LEN(AZ533)=15,MID(AZ533,3,10)&lt;&gt;BA533),"PAN does not match GSTIN; ","")&amp;IF(AND(AX533&lt;&gt;"",AX533&lt;&gt;"OK"),"TAN wrong format; ","")&amp;IF(AS533="","PAN missing; ","")&amp;IF(BB533="","Entity type missing; ","")&amp;IF(AND(AZ533&lt;&gt;"",COUNTIF($AZ$6:$AZ$1005,AZ533)&gt;1),"GSTIN repeated in this sheet; ","")&amp;IF(AND(AS533&lt;&gt;"",COUNTIF($AS$6:$AS$1005,AS533)&gt;1),"PAN repeated in this sheet (same client? put extra GSTINs in Other GSTINs); ","")&amp;IF(AND(BD533&gt;0,V533=""),"Financial year missing; ","")&amp;IF(AND(BD533=0,V533&lt;&gt;""),"Financial year given but no service is Yes; ","")&amp;IF(AND(W533="Yes",AZ533=""),"GST needs a GSTIN; ","")&amp;IF(AND(W533="Yes",X533=""),"GST return frequency missing; ","")&amp;IF(AND(Y533="Yes",TRIM(H533)=""),"TDS needs a TAN; ","")&amp;IF(AND(AA533="Yes",BC533&lt;&gt;"",BC533&lt;&gt;"company",BC533&lt;&gt;"llp"),"ROC is only for a company / LLP; ","")&amp;IF(AND(AA533="Yes",OR(BC533="company",BC533="llp"),TRIM(I533)=""),"ROC needs the CIN / LLPIN; ","")&amp;IF((TRIM(AF533)="")&lt;&gt;(TRIM(AG533)=""),"GST login needs both user ID and password; ","")&amp;IF((TRIM(AH533)="")&lt;&gt;(TRIM(AI533)=""),"Income-tax login needs both user ID and password; ","")&amp;IF((TRIM(AJ533)="")&lt;&gt;(TRIM(AK533)=""),"Income-tax login needs both user ID and password; ","")&amp;IF((TRIM(AL533)="")&lt;&gt;(TRIM(AM533)=""),"TRACES login needs both user ID and password; ","")&amp;IF((TRIM(AN533)="")&lt;&gt;(TRIM(AO533)=""),"MCA login needs both user ID and password; ","")&amp;IF((TRIM(AP533)="")&lt;&gt;(TRIM(AQ533)=""),"E-way bill login needs both user ID and password; ","")</f>
        <v/>
      </c>
    </row>
    <row r="534">
      <c r="A534" s="32" t="n"/>
      <c r="B534" s="33" t="n"/>
      <c r="C534" s="33" t="n"/>
      <c r="D534" s="33" t="n"/>
      <c r="E534" s="32" t="n"/>
      <c r="F534" s="32" t="n"/>
      <c r="G534" s="32" t="n"/>
      <c r="H534" s="32" t="n"/>
      <c r="I534" s="32" t="n"/>
      <c r="J534" s="34" t="n"/>
      <c r="K534" s="33" t="n"/>
      <c r="L534" s="32" t="n"/>
      <c r="M534" s="33" t="n"/>
      <c r="N534" s="33" t="n"/>
      <c r="O534" s="33" t="n"/>
      <c r="P534" s="32" t="n"/>
      <c r="Q534" s="33" t="n"/>
      <c r="R534" s="33" t="n"/>
      <c r="S534" s="33" t="n"/>
      <c r="T534" s="33" t="n"/>
      <c r="U534" s="32" t="n"/>
      <c r="V534" s="33" t="n"/>
      <c r="W534" s="33" t="n"/>
      <c r="X534" s="33" t="n"/>
      <c r="Y534" s="33" t="n"/>
      <c r="Z534" s="33" t="n"/>
      <c r="AA534" s="33" t="n"/>
      <c r="AB534" s="33" t="n"/>
      <c r="AC534" s="33" t="n"/>
      <c r="AD534" s="33" t="n"/>
      <c r="AE534" s="33" t="n"/>
      <c r="AF534" s="32" t="n"/>
      <c r="AG534" s="32" t="n"/>
      <c r="AH534" s="32" t="n"/>
      <c r="AI534" s="32" t="n"/>
      <c r="AJ534" s="32" t="n"/>
      <c r="AK534" s="32" t="n"/>
      <c r="AL534" s="32" t="n"/>
      <c r="AM534" s="32" t="n"/>
      <c r="AN534" s="32" t="n"/>
      <c r="AO534" s="32" t="n"/>
      <c r="AP534" s="32" t="n"/>
      <c r="AQ534" s="32" t="n"/>
      <c r="AR534" s="29">
        <f>IF(NOT(COUNTA(A534:AE534)&gt;0),"",IF(A534="","New client","Update"))</f>
        <v/>
      </c>
      <c r="AS534" s="29">
        <f>IF(BA534&lt;&gt;"",BA534,IF(LEN(AZ534)=15,MID(AZ534,3,10),""))</f>
        <v/>
      </c>
      <c r="AT534" s="29">
        <f>IF(BB534="","",BB534&amp;IF(D534="","  (guessed from PAN)",""))</f>
        <v/>
      </c>
      <c r="AU534" s="29">
        <f>IF(AZ534="","",IFERROR(INDEX(Lists!$L$2:$L$38,MATCH(LEFT(AZ534,2),Lists!$K$2:$K$38,0)),"Unknown code"))</f>
        <v/>
      </c>
      <c r="AV534" s="29">
        <f>IF(AZ534="","",IFERROR(IF(NOT(AND(LEN(AZ534)=15,ISNUMBER(MATCH(LEFT(AZ534,2),Lists!$K$2:$K$38,0)),SUMPRODUCT(--ISERROR(FIND(MID(MID(AZ534,3,10),{1,2,3,4,5,10},1),"ABCDEFGHIJKLMNOPQRSTUVWXYZ")))=0,SUMPRODUCT(--ISERROR(FIND(MID(MID(AZ534,3,10),{6,7,8,9},1),"0123456789")))=0,ISNUMBER(FIND(MID(AZ534,13,1),"123456789ABCDEFGHIJKLMNOPQRSTUVWXYZ")),MID(AZ534,14,1)="Z")),"Wrong format",IF(MID("0123456789ABCDEFGHIJKLMNOPQRSTUVWXYZ",MOD(36-MOD(SUMPRODUCT(INT((FIND(MID(AZ534,{1,2,3,4,5,6,7,8,9,10,11,12,13,14},1),"0123456789ABCDEFGHIJKLMNOPQRSTUVWXYZ")-1)*{1,2,1,2,1,2,1,2,1,2,1,2,1,2}/36)+MOD((FIND(MID(AZ534,{1,2,3,4,5,6,7,8,9,10,11,12,13,14},1),"0123456789ABCDEFGHIJKLMNOPQRSTUVWXYZ")-1)*{1,2,1,2,1,2,1,2,1,2,1,2,1,2},36)),36),36)+1,1)=MID(AZ534,15,1),"OK","Typo? check digit wrong")),"Wrong format"))</f>
        <v/>
      </c>
      <c r="AW534" s="29">
        <f>IF(BA534="","",IF(AND(LEN(BA534)=10,SUMPRODUCT(--ISERROR(FIND(MID(BA534,{1,2,3,4,5,10},1),"ABCDEFGHIJKLMNOPQRSTUVWXYZ")))=0,SUMPRODUCT(--ISERROR(FIND(MID(BA534,{6,7,8,9},1),"0123456789")))=0),"OK","Wrong format"))</f>
        <v/>
      </c>
      <c r="AX534" s="29">
        <f>IF(TRIM(H534)="","",IF(AND(LEN(UPPER(TRIM(H534)))=10,SUMPRODUCT(--ISERROR(FIND(MID(UPPER(TRIM(H534)),{1,2,3,4,10},1),"ABCDEFGHIJKLMNOPQRSTUVWXYZ")))=0,SUMPRODUCT(--ISERROR(FIND(MID(UPPER(TRIM(H534)),{5,6,7,8,9},1),"0123456789")))=0),"OK","Wrong format"))</f>
        <v/>
      </c>
      <c r="AY534" s="30">
        <f>IF(NOT(COUNTA(A534:AE534)&gt;0),"",IF(BE534&lt;&gt;"","✖ "&amp;LEFT(BE534,LEN(BE534)-2),IF(BD534&gt;0,"✔ Ready — client + "&amp;BD534&amp;" service(s)","✔ Ready — client only")))</f>
        <v/>
      </c>
      <c r="AZ534" s="31">
        <f>UPPER(SUBSTITUTE(TRIM(F534)," ",""))</f>
        <v/>
      </c>
      <c r="BA534" s="31">
        <f>UPPER(SUBSTITUTE(TRIM(E534)," ",""))</f>
        <v/>
      </c>
      <c r="BB534" s="31">
        <f>IF(D534&lt;&gt;"",D534,IFERROR(VLOOKUP(MID(AS534,4,1),Lists!$E$2:$F$8,2,FALSE),""))</f>
        <v/>
      </c>
      <c r="BC534" s="31">
        <f>IFERROR(VLOOKUP(BB534,Lists!$A$2:$C$12,3,FALSE),"")</f>
        <v/>
      </c>
      <c r="BD534" s="31">
        <f>COUNTIF(W534:AC534,"Yes")</f>
        <v/>
      </c>
      <c r="BE534" s="31">
        <f>IF(TRIM(B534)="","Legal name missing; ","")&amp;IF(AND(AV534&lt;&gt;"",AV534&lt;&gt;"OK"),"GSTIN: "&amp;AV534&amp;"; ","")&amp;IF(AND(AW534&lt;&gt;"",AW534&lt;&gt;"OK"),"PAN wrong format; ","")&amp;IF(AND(BA534&lt;&gt;"",LEN(AZ534)=15,MID(AZ534,3,10)&lt;&gt;BA534),"PAN does not match GSTIN; ","")&amp;IF(AND(AX534&lt;&gt;"",AX534&lt;&gt;"OK"),"TAN wrong format; ","")&amp;IF(AS534="","PAN missing; ","")&amp;IF(BB534="","Entity type missing; ","")&amp;IF(AND(AZ534&lt;&gt;"",COUNTIF($AZ$6:$AZ$1005,AZ534)&gt;1),"GSTIN repeated in this sheet; ","")&amp;IF(AND(AS534&lt;&gt;"",COUNTIF($AS$6:$AS$1005,AS534)&gt;1),"PAN repeated in this sheet (same client? put extra GSTINs in Other GSTINs); ","")&amp;IF(AND(BD534&gt;0,V534=""),"Financial year missing; ","")&amp;IF(AND(BD534=0,V534&lt;&gt;""),"Financial year given but no service is Yes; ","")&amp;IF(AND(W534="Yes",AZ534=""),"GST needs a GSTIN; ","")&amp;IF(AND(W534="Yes",X534=""),"GST return frequency missing; ","")&amp;IF(AND(Y534="Yes",TRIM(H534)=""),"TDS needs a TAN; ","")&amp;IF(AND(AA534="Yes",BC534&lt;&gt;"",BC534&lt;&gt;"company",BC534&lt;&gt;"llp"),"ROC is only for a company / LLP; ","")&amp;IF(AND(AA534="Yes",OR(BC534="company",BC534="llp"),TRIM(I534)=""),"ROC needs the CIN / LLPIN; ","")&amp;IF((TRIM(AF534)="")&lt;&gt;(TRIM(AG534)=""),"GST login needs both user ID and password; ","")&amp;IF((TRIM(AH534)="")&lt;&gt;(TRIM(AI534)=""),"Income-tax login needs both user ID and password; ","")&amp;IF((TRIM(AJ534)="")&lt;&gt;(TRIM(AK534)=""),"Income-tax login needs both user ID and password; ","")&amp;IF((TRIM(AL534)="")&lt;&gt;(TRIM(AM534)=""),"TRACES login needs both user ID and password; ","")&amp;IF((TRIM(AN534)="")&lt;&gt;(TRIM(AO534)=""),"MCA login needs both user ID and password; ","")&amp;IF((TRIM(AP534)="")&lt;&gt;(TRIM(AQ534)=""),"E-way bill login needs both user ID and password; ","")</f>
        <v/>
      </c>
    </row>
    <row r="535">
      <c r="A535" s="32" t="n"/>
      <c r="B535" s="33" t="n"/>
      <c r="C535" s="33" t="n"/>
      <c r="D535" s="33" t="n"/>
      <c r="E535" s="32" t="n"/>
      <c r="F535" s="32" t="n"/>
      <c r="G535" s="32" t="n"/>
      <c r="H535" s="32" t="n"/>
      <c r="I535" s="32" t="n"/>
      <c r="J535" s="34" t="n"/>
      <c r="K535" s="33" t="n"/>
      <c r="L535" s="32" t="n"/>
      <c r="M535" s="33" t="n"/>
      <c r="N535" s="33" t="n"/>
      <c r="O535" s="33" t="n"/>
      <c r="P535" s="32" t="n"/>
      <c r="Q535" s="33" t="n"/>
      <c r="R535" s="33" t="n"/>
      <c r="S535" s="33" t="n"/>
      <c r="T535" s="33" t="n"/>
      <c r="U535" s="32" t="n"/>
      <c r="V535" s="33" t="n"/>
      <c r="W535" s="33" t="n"/>
      <c r="X535" s="33" t="n"/>
      <c r="Y535" s="33" t="n"/>
      <c r="Z535" s="33" t="n"/>
      <c r="AA535" s="33" t="n"/>
      <c r="AB535" s="33" t="n"/>
      <c r="AC535" s="33" t="n"/>
      <c r="AD535" s="33" t="n"/>
      <c r="AE535" s="33" t="n"/>
      <c r="AF535" s="32" t="n"/>
      <c r="AG535" s="32" t="n"/>
      <c r="AH535" s="32" t="n"/>
      <c r="AI535" s="32" t="n"/>
      <c r="AJ535" s="32" t="n"/>
      <c r="AK535" s="32" t="n"/>
      <c r="AL535" s="32" t="n"/>
      <c r="AM535" s="32" t="n"/>
      <c r="AN535" s="32" t="n"/>
      <c r="AO535" s="32" t="n"/>
      <c r="AP535" s="32" t="n"/>
      <c r="AQ535" s="32" t="n"/>
      <c r="AR535" s="29">
        <f>IF(NOT(COUNTA(A535:AE535)&gt;0),"",IF(A535="","New client","Update"))</f>
        <v/>
      </c>
      <c r="AS535" s="29">
        <f>IF(BA535&lt;&gt;"",BA535,IF(LEN(AZ535)=15,MID(AZ535,3,10),""))</f>
        <v/>
      </c>
      <c r="AT535" s="29">
        <f>IF(BB535="","",BB535&amp;IF(D535="","  (guessed from PAN)",""))</f>
        <v/>
      </c>
      <c r="AU535" s="29">
        <f>IF(AZ535="","",IFERROR(INDEX(Lists!$L$2:$L$38,MATCH(LEFT(AZ535,2),Lists!$K$2:$K$38,0)),"Unknown code"))</f>
        <v/>
      </c>
      <c r="AV535" s="29">
        <f>IF(AZ535="","",IFERROR(IF(NOT(AND(LEN(AZ535)=15,ISNUMBER(MATCH(LEFT(AZ535,2),Lists!$K$2:$K$38,0)),SUMPRODUCT(--ISERROR(FIND(MID(MID(AZ535,3,10),{1,2,3,4,5,10},1),"ABCDEFGHIJKLMNOPQRSTUVWXYZ")))=0,SUMPRODUCT(--ISERROR(FIND(MID(MID(AZ535,3,10),{6,7,8,9},1),"0123456789")))=0,ISNUMBER(FIND(MID(AZ535,13,1),"123456789ABCDEFGHIJKLMNOPQRSTUVWXYZ")),MID(AZ535,14,1)="Z")),"Wrong format",IF(MID("0123456789ABCDEFGHIJKLMNOPQRSTUVWXYZ",MOD(36-MOD(SUMPRODUCT(INT((FIND(MID(AZ535,{1,2,3,4,5,6,7,8,9,10,11,12,13,14},1),"0123456789ABCDEFGHIJKLMNOPQRSTUVWXYZ")-1)*{1,2,1,2,1,2,1,2,1,2,1,2,1,2}/36)+MOD((FIND(MID(AZ535,{1,2,3,4,5,6,7,8,9,10,11,12,13,14},1),"0123456789ABCDEFGHIJKLMNOPQRSTUVWXYZ")-1)*{1,2,1,2,1,2,1,2,1,2,1,2,1,2},36)),36),36)+1,1)=MID(AZ535,15,1),"OK","Typo? check digit wrong")),"Wrong format"))</f>
        <v/>
      </c>
      <c r="AW535" s="29">
        <f>IF(BA535="","",IF(AND(LEN(BA535)=10,SUMPRODUCT(--ISERROR(FIND(MID(BA535,{1,2,3,4,5,10},1),"ABCDEFGHIJKLMNOPQRSTUVWXYZ")))=0,SUMPRODUCT(--ISERROR(FIND(MID(BA535,{6,7,8,9},1),"0123456789")))=0),"OK","Wrong format"))</f>
        <v/>
      </c>
      <c r="AX535" s="29">
        <f>IF(TRIM(H535)="","",IF(AND(LEN(UPPER(TRIM(H535)))=10,SUMPRODUCT(--ISERROR(FIND(MID(UPPER(TRIM(H535)),{1,2,3,4,10},1),"ABCDEFGHIJKLMNOPQRSTUVWXYZ")))=0,SUMPRODUCT(--ISERROR(FIND(MID(UPPER(TRIM(H535)),{5,6,7,8,9},1),"0123456789")))=0),"OK","Wrong format"))</f>
        <v/>
      </c>
      <c r="AY535" s="30">
        <f>IF(NOT(COUNTA(A535:AE535)&gt;0),"",IF(BE535&lt;&gt;"","✖ "&amp;LEFT(BE535,LEN(BE535)-2),IF(BD535&gt;0,"✔ Ready — client + "&amp;BD535&amp;" service(s)","✔ Ready — client only")))</f>
        <v/>
      </c>
      <c r="AZ535" s="31">
        <f>UPPER(SUBSTITUTE(TRIM(F535)," ",""))</f>
        <v/>
      </c>
      <c r="BA535" s="31">
        <f>UPPER(SUBSTITUTE(TRIM(E535)," ",""))</f>
        <v/>
      </c>
      <c r="BB535" s="31">
        <f>IF(D535&lt;&gt;"",D535,IFERROR(VLOOKUP(MID(AS535,4,1),Lists!$E$2:$F$8,2,FALSE),""))</f>
        <v/>
      </c>
      <c r="BC535" s="31">
        <f>IFERROR(VLOOKUP(BB535,Lists!$A$2:$C$12,3,FALSE),"")</f>
        <v/>
      </c>
      <c r="BD535" s="31">
        <f>COUNTIF(W535:AC535,"Yes")</f>
        <v/>
      </c>
      <c r="BE535" s="31">
        <f>IF(TRIM(B535)="","Legal name missing; ","")&amp;IF(AND(AV535&lt;&gt;"",AV535&lt;&gt;"OK"),"GSTIN: "&amp;AV535&amp;"; ","")&amp;IF(AND(AW535&lt;&gt;"",AW535&lt;&gt;"OK"),"PAN wrong format; ","")&amp;IF(AND(BA535&lt;&gt;"",LEN(AZ535)=15,MID(AZ535,3,10)&lt;&gt;BA535),"PAN does not match GSTIN; ","")&amp;IF(AND(AX535&lt;&gt;"",AX535&lt;&gt;"OK"),"TAN wrong format; ","")&amp;IF(AS535="","PAN missing; ","")&amp;IF(BB535="","Entity type missing; ","")&amp;IF(AND(AZ535&lt;&gt;"",COUNTIF($AZ$6:$AZ$1005,AZ535)&gt;1),"GSTIN repeated in this sheet; ","")&amp;IF(AND(AS535&lt;&gt;"",COUNTIF($AS$6:$AS$1005,AS535)&gt;1),"PAN repeated in this sheet (same client? put extra GSTINs in Other GSTINs); ","")&amp;IF(AND(BD535&gt;0,V535=""),"Financial year missing; ","")&amp;IF(AND(BD535=0,V535&lt;&gt;""),"Financial year given but no service is Yes; ","")&amp;IF(AND(W535="Yes",AZ535=""),"GST needs a GSTIN; ","")&amp;IF(AND(W535="Yes",X535=""),"GST return frequency missing; ","")&amp;IF(AND(Y535="Yes",TRIM(H535)=""),"TDS needs a TAN; ","")&amp;IF(AND(AA535="Yes",BC535&lt;&gt;"",BC535&lt;&gt;"company",BC535&lt;&gt;"llp"),"ROC is only for a company / LLP; ","")&amp;IF(AND(AA535="Yes",OR(BC535="company",BC535="llp"),TRIM(I535)=""),"ROC needs the CIN / LLPIN; ","")&amp;IF((TRIM(AF535)="")&lt;&gt;(TRIM(AG535)=""),"GST login needs both user ID and password; ","")&amp;IF((TRIM(AH535)="")&lt;&gt;(TRIM(AI535)=""),"Income-tax login needs both user ID and password; ","")&amp;IF((TRIM(AJ535)="")&lt;&gt;(TRIM(AK535)=""),"Income-tax login needs both user ID and password; ","")&amp;IF((TRIM(AL535)="")&lt;&gt;(TRIM(AM535)=""),"TRACES login needs both user ID and password; ","")&amp;IF((TRIM(AN535)="")&lt;&gt;(TRIM(AO535)=""),"MCA login needs both user ID and password; ","")&amp;IF((TRIM(AP535)="")&lt;&gt;(TRIM(AQ535)=""),"E-way bill login needs both user ID and password; ","")</f>
        <v/>
      </c>
    </row>
    <row r="536">
      <c r="A536" s="32" t="n"/>
      <c r="B536" s="33" t="n"/>
      <c r="C536" s="33" t="n"/>
      <c r="D536" s="33" t="n"/>
      <c r="E536" s="32" t="n"/>
      <c r="F536" s="32" t="n"/>
      <c r="G536" s="32" t="n"/>
      <c r="H536" s="32" t="n"/>
      <c r="I536" s="32" t="n"/>
      <c r="J536" s="34" t="n"/>
      <c r="K536" s="33" t="n"/>
      <c r="L536" s="32" t="n"/>
      <c r="M536" s="33" t="n"/>
      <c r="N536" s="33" t="n"/>
      <c r="O536" s="33" t="n"/>
      <c r="P536" s="32" t="n"/>
      <c r="Q536" s="33" t="n"/>
      <c r="R536" s="33" t="n"/>
      <c r="S536" s="33" t="n"/>
      <c r="T536" s="33" t="n"/>
      <c r="U536" s="32" t="n"/>
      <c r="V536" s="33" t="n"/>
      <c r="W536" s="33" t="n"/>
      <c r="X536" s="33" t="n"/>
      <c r="Y536" s="33" t="n"/>
      <c r="Z536" s="33" t="n"/>
      <c r="AA536" s="33" t="n"/>
      <c r="AB536" s="33" t="n"/>
      <c r="AC536" s="33" t="n"/>
      <c r="AD536" s="33" t="n"/>
      <c r="AE536" s="33" t="n"/>
      <c r="AF536" s="32" t="n"/>
      <c r="AG536" s="32" t="n"/>
      <c r="AH536" s="32" t="n"/>
      <c r="AI536" s="32" t="n"/>
      <c r="AJ536" s="32" t="n"/>
      <c r="AK536" s="32" t="n"/>
      <c r="AL536" s="32" t="n"/>
      <c r="AM536" s="32" t="n"/>
      <c r="AN536" s="32" t="n"/>
      <c r="AO536" s="32" t="n"/>
      <c r="AP536" s="32" t="n"/>
      <c r="AQ536" s="32" t="n"/>
      <c r="AR536" s="29">
        <f>IF(NOT(COUNTA(A536:AE536)&gt;0),"",IF(A536="","New client","Update"))</f>
        <v/>
      </c>
      <c r="AS536" s="29">
        <f>IF(BA536&lt;&gt;"",BA536,IF(LEN(AZ536)=15,MID(AZ536,3,10),""))</f>
        <v/>
      </c>
      <c r="AT536" s="29">
        <f>IF(BB536="","",BB536&amp;IF(D536="","  (guessed from PAN)",""))</f>
        <v/>
      </c>
      <c r="AU536" s="29">
        <f>IF(AZ536="","",IFERROR(INDEX(Lists!$L$2:$L$38,MATCH(LEFT(AZ536,2),Lists!$K$2:$K$38,0)),"Unknown code"))</f>
        <v/>
      </c>
      <c r="AV536" s="29">
        <f>IF(AZ536="","",IFERROR(IF(NOT(AND(LEN(AZ536)=15,ISNUMBER(MATCH(LEFT(AZ536,2),Lists!$K$2:$K$38,0)),SUMPRODUCT(--ISERROR(FIND(MID(MID(AZ536,3,10),{1,2,3,4,5,10},1),"ABCDEFGHIJKLMNOPQRSTUVWXYZ")))=0,SUMPRODUCT(--ISERROR(FIND(MID(MID(AZ536,3,10),{6,7,8,9},1),"0123456789")))=0,ISNUMBER(FIND(MID(AZ536,13,1),"123456789ABCDEFGHIJKLMNOPQRSTUVWXYZ")),MID(AZ536,14,1)="Z")),"Wrong format",IF(MID("0123456789ABCDEFGHIJKLMNOPQRSTUVWXYZ",MOD(36-MOD(SUMPRODUCT(INT((FIND(MID(AZ536,{1,2,3,4,5,6,7,8,9,10,11,12,13,14},1),"0123456789ABCDEFGHIJKLMNOPQRSTUVWXYZ")-1)*{1,2,1,2,1,2,1,2,1,2,1,2,1,2}/36)+MOD((FIND(MID(AZ536,{1,2,3,4,5,6,7,8,9,10,11,12,13,14},1),"0123456789ABCDEFGHIJKLMNOPQRSTUVWXYZ")-1)*{1,2,1,2,1,2,1,2,1,2,1,2,1,2},36)),36),36)+1,1)=MID(AZ536,15,1),"OK","Typo? check digit wrong")),"Wrong format"))</f>
        <v/>
      </c>
      <c r="AW536" s="29">
        <f>IF(BA536="","",IF(AND(LEN(BA536)=10,SUMPRODUCT(--ISERROR(FIND(MID(BA536,{1,2,3,4,5,10},1),"ABCDEFGHIJKLMNOPQRSTUVWXYZ")))=0,SUMPRODUCT(--ISERROR(FIND(MID(BA536,{6,7,8,9},1),"0123456789")))=0),"OK","Wrong format"))</f>
        <v/>
      </c>
      <c r="AX536" s="29">
        <f>IF(TRIM(H536)="","",IF(AND(LEN(UPPER(TRIM(H536)))=10,SUMPRODUCT(--ISERROR(FIND(MID(UPPER(TRIM(H536)),{1,2,3,4,10},1),"ABCDEFGHIJKLMNOPQRSTUVWXYZ")))=0,SUMPRODUCT(--ISERROR(FIND(MID(UPPER(TRIM(H536)),{5,6,7,8,9},1),"0123456789")))=0),"OK","Wrong format"))</f>
        <v/>
      </c>
      <c r="AY536" s="30">
        <f>IF(NOT(COUNTA(A536:AE536)&gt;0),"",IF(BE536&lt;&gt;"","✖ "&amp;LEFT(BE536,LEN(BE536)-2),IF(BD536&gt;0,"✔ Ready — client + "&amp;BD536&amp;" service(s)","✔ Ready — client only")))</f>
        <v/>
      </c>
      <c r="AZ536" s="31">
        <f>UPPER(SUBSTITUTE(TRIM(F536)," ",""))</f>
        <v/>
      </c>
      <c r="BA536" s="31">
        <f>UPPER(SUBSTITUTE(TRIM(E536)," ",""))</f>
        <v/>
      </c>
      <c r="BB536" s="31">
        <f>IF(D536&lt;&gt;"",D536,IFERROR(VLOOKUP(MID(AS536,4,1),Lists!$E$2:$F$8,2,FALSE),""))</f>
        <v/>
      </c>
      <c r="BC536" s="31">
        <f>IFERROR(VLOOKUP(BB536,Lists!$A$2:$C$12,3,FALSE),"")</f>
        <v/>
      </c>
      <c r="BD536" s="31">
        <f>COUNTIF(W536:AC536,"Yes")</f>
        <v/>
      </c>
      <c r="BE536" s="31">
        <f>IF(TRIM(B536)="","Legal name missing; ","")&amp;IF(AND(AV536&lt;&gt;"",AV536&lt;&gt;"OK"),"GSTIN: "&amp;AV536&amp;"; ","")&amp;IF(AND(AW536&lt;&gt;"",AW536&lt;&gt;"OK"),"PAN wrong format; ","")&amp;IF(AND(BA536&lt;&gt;"",LEN(AZ536)=15,MID(AZ536,3,10)&lt;&gt;BA536),"PAN does not match GSTIN; ","")&amp;IF(AND(AX536&lt;&gt;"",AX536&lt;&gt;"OK"),"TAN wrong format; ","")&amp;IF(AS536="","PAN missing; ","")&amp;IF(BB536="","Entity type missing; ","")&amp;IF(AND(AZ536&lt;&gt;"",COUNTIF($AZ$6:$AZ$1005,AZ536)&gt;1),"GSTIN repeated in this sheet; ","")&amp;IF(AND(AS536&lt;&gt;"",COUNTIF($AS$6:$AS$1005,AS536)&gt;1),"PAN repeated in this sheet (same client? put extra GSTINs in Other GSTINs); ","")&amp;IF(AND(BD536&gt;0,V536=""),"Financial year missing; ","")&amp;IF(AND(BD536=0,V536&lt;&gt;""),"Financial year given but no service is Yes; ","")&amp;IF(AND(W536="Yes",AZ536=""),"GST needs a GSTIN; ","")&amp;IF(AND(W536="Yes",X536=""),"GST return frequency missing; ","")&amp;IF(AND(Y536="Yes",TRIM(H536)=""),"TDS needs a TAN; ","")&amp;IF(AND(AA536="Yes",BC536&lt;&gt;"",BC536&lt;&gt;"company",BC536&lt;&gt;"llp"),"ROC is only for a company / LLP; ","")&amp;IF(AND(AA536="Yes",OR(BC536="company",BC536="llp"),TRIM(I536)=""),"ROC needs the CIN / LLPIN; ","")&amp;IF((TRIM(AF536)="")&lt;&gt;(TRIM(AG536)=""),"GST login needs both user ID and password; ","")&amp;IF((TRIM(AH536)="")&lt;&gt;(TRIM(AI536)=""),"Income-tax login needs both user ID and password; ","")&amp;IF((TRIM(AJ536)="")&lt;&gt;(TRIM(AK536)=""),"Income-tax login needs both user ID and password; ","")&amp;IF((TRIM(AL536)="")&lt;&gt;(TRIM(AM536)=""),"TRACES login needs both user ID and password; ","")&amp;IF((TRIM(AN536)="")&lt;&gt;(TRIM(AO536)=""),"MCA login needs both user ID and password; ","")&amp;IF((TRIM(AP536)="")&lt;&gt;(TRIM(AQ536)=""),"E-way bill login needs both user ID and password; ","")</f>
        <v/>
      </c>
    </row>
    <row r="537">
      <c r="A537" s="32" t="n"/>
      <c r="B537" s="33" t="n"/>
      <c r="C537" s="33" t="n"/>
      <c r="D537" s="33" t="n"/>
      <c r="E537" s="32" t="n"/>
      <c r="F537" s="32" t="n"/>
      <c r="G537" s="32" t="n"/>
      <c r="H537" s="32" t="n"/>
      <c r="I537" s="32" t="n"/>
      <c r="J537" s="34" t="n"/>
      <c r="K537" s="33" t="n"/>
      <c r="L537" s="32" t="n"/>
      <c r="M537" s="33" t="n"/>
      <c r="N537" s="33" t="n"/>
      <c r="O537" s="33" t="n"/>
      <c r="P537" s="32" t="n"/>
      <c r="Q537" s="33" t="n"/>
      <c r="R537" s="33" t="n"/>
      <c r="S537" s="33" t="n"/>
      <c r="T537" s="33" t="n"/>
      <c r="U537" s="32" t="n"/>
      <c r="V537" s="33" t="n"/>
      <c r="W537" s="33" t="n"/>
      <c r="X537" s="33" t="n"/>
      <c r="Y537" s="33" t="n"/>
      <c r="Z537" s="33" t="n"/>
      <c r="AA537" s="33" t="n"/>
      <c r="AB537" s="33" t="n"/>
      <c r="AC537" s="33" t="n"/>
      <c r="AD537" s="33" t="n"/>
      <c r="AE537" s="33" t="n"/>
      <c r="AF537" s="32" t="n"/>
      <c r="AG537" s="32" t="n"/>
      <c r="AH537" s="32" t="n"/>
      <c r="AI537" s="32" t="n"/>
      <c r="AJ537" s="32" t="n"/>
      <c r="AK537" s="32" t="n"/>
      <c r="AL537" s="32" t="n"/>
      <c r="AM537" s="32" t="n"/>
      <c r="AN537" s="32" t="n"/>
      <c r="AO537" s="32" t="n"/>
      <c r="AP537" s="32" t="n"/>
      <c r="AQ537" s="32" t="n"/>
      <c r="AR537" s="29">
        <f>IF(NOT(COUNTA(A537:AE537)&gt;0),"",IF(A537="","New client","Update"))</f>
        <v/>
      </c>
      <c r="AS537" s="29">
        <f>IF(BA537&lt;&gt;"",BA537,IF(LEN(AZ537)=15,MID(AZ537,3,10),""))</f>
        <v/>
      </c>
      <c r="AT537" s="29">
        <f>IF(BB537="","",BB537&amp;IF(D537="","  (guessed from PAN)",""))</f>
        <v/>
      </c>
      <c r="AU537" s="29">
        <f>IF(AZ537="","",IFERROR(INDEX(Lists!$L$2:$L$38,MATCH(LEFT(AZ537,2),Lists!$K$2:$K$38,0)),"Unknown code"))</f>
        <v/>
      </c>
      <c r="AV537" s="29">
        <f>IF(AZ537="","",IFERROR(IF(NOT(AND(LEN(AZ537)=15,ISNUMBER(MATCH(LEFT(AZ537,2),Lists!$K$2:$K$38,0)),SUMPRODUCT(--ISERROR(FIND(MID(MID(AZ537,3,10),{1,2,3,4,5,10},1),"ABCDEFGHIJKLMNOPQRSTUVWXYZ")))=0,SUMPRODUCT(--ISERROR(FIND(MID(MID(AZ537,3,10),{6,7,8,9},1),"0123456789")))=0,ISNUMBER(FIND(MID(AZ537,13,1),"123456789ABCDEFGHIJKLMNOPQRSTUVWXYZ")),MID(AZ537,14,1)="Z")),"Wrong format",IF(MID("0123456789ABCDEFGHIJKLMNOPQRSTUVWXYZ",MOD(36-MOD(SUMPRODUCT(INT((FIND(MID(AZ537,{1,2,3,4,5,6,7,8,9,10,11,12,13,14},1),"0123456789ABCDEFGHIJKLMNOPQRSTUVWXYZ")-1)*{1,2,1,2,1,2,1,2,1,2,1,2,1,2}/36)+MOD((FIND(MID(AZ537,{1,2,3,4,5,6,7,8,9,10,11,12,13,14},1),"0123456789ABCDEFGHIJKLMNOPQRSTUVWXYZ")-1)*{1,2,1,2,1,2,1,2,1,2,1,2,1,2},36)),36),36)+1,1)=MID(AZ537,15,1),"OK","Typo? check digit wrong")),"Wrong format"))</f>
        <v/>
      </c>
      <c r="AW537" s="29">
        <f>IF(BA537="","",IF(AND(LEN(BA537)=10,SUMPRODUCT(--ISERROR(FIND(MID(BA537,{1,2,3,4,5,10},1),"ABCDEFGHIJKLMNOPQRSTUVWXYZ")))=0,SUMPRODUCT(--ISERROR(FIND(MID(BA537,{6,7,8,9},1),"0123456789")))=0),"OK","Wrong format"))</f>
        <v/>
      </c>
      <c r="AX537" s="29">
        <f>IF(TRIM(H537)="","",IF(AND(LEN(UPPER(TRIM(H537)))=10,SUMPRODUCT(--ISERROR(FIND(MID(UPPER(TRIM(H537)),{1,2,3,4,10},1),"ABCDEFGHIJKLMNOPQRSTUVWXYZ")))=0,SUMPRODUCT(--ISERROR(FIND(MID(UPPER(TRIM(H537)),{5,6,7,8,9},1),"0123456789")))=0),"OK","Wrong format"))</f>
        <v/>
      </c>
      <c r="AY537" s="30">
        <f>IF(NOT(COUNTA(A537:AE537)&gt;0),"",IF(BE537&lt;&gt;"","✖ "&amp;LEFT(BE537,LEN(BE537)-2),IF(BD537&gt;0,"✔ Ready — client + "&amp;BD537&amp;" service(s)","✔ Ready — client only")))</f>
        <v/>
      </c>
      <c r="AZ537" s="31">
        <f>UPPER(SUBSTITUTE(TRIM(F537)," ",""))</f>
        <v/>
      </c>
      <c r="BA537" s="31">
        <f>UPPER(SUBSTITUTE(TRIM(E537)," ",""))</f>
        <v/>
      </c>
      <c r="BB537" s="31">
        <f>IF(D537&lt;&gt;"",D537,IFERROR(VLOOKUP(MID(AS537,4,1),Lists!$E$2:$F$8,2,FALSE),""))</f>
        <v/>
      </c>
      <c r="BC537" s="31">
        <f>IFERROR(VLOOKUP(BB537,Lists!$A$2:$C$12,3,FALSE),"")</f>
        <v/>
      </c>
      <c r="BD537" s="31">
        <f>COUNTIF(W537:AC537,"Yes")</f>
        <v/>
      </c>
      <c r="BE537" s="31">
        <f>IF(TRIM(B537)="","Legal name missing; ","")&amp;IF(AND(AV537&lt;&gt;"",AV537&lt;&gt;"OK"),"GSTIN: "&amp;AV537&amp;"; ","")&amp;IF(AND(AW537&lt;&gt;"",AW537&lt;&gt;"OK"),"PAN wrong format; ","")&amp;IF(AND(BA537&lt;&gt;"",LEN(AZ537)=15,MID(AZ537,3,10)&lt;&gt;BA537),"PAN does not match GSTIN; ","")&amp;IF(AND(AX537&lt;&gt;"",AX537&lt;&gt;"OK"),"TAN wrong format; ","")&amp;IF(AS537="","PAN missing; ","")&amp;IF(BB537="","Entity type missing; ","")&amp;IF(AND(AZ537&lt;&gt;"",COUNTIF($AZ$6:$AZ$1005,AZ537)&gt;1),"GSTIN repeated in this sheet; ","")&amp;IF(AND(AS537&lt;&gt;"",COUNTIF($AS$6:$AS$1005,AS537)&gt;1),"PAN repeated in this sheet (same client? put extra GSTINs in Other GSTINs); ","")&amp;IF(AND(BD537&gt;0,V537=""),"Financial year missing; ","")&amp;IF(AND(BD537=0,V537&lt;&gt;""),"Financial year given but no service is Yes; ","")&amp;IF(AND(W537="Yes",AZ537=""),"GST needs a GSTIN; ","")&amp;IF(AND(W537="Yes",X537=""),"GST return frequency missing; ","")&amp;IF(AND(Y537="Yes",TRIM(H537)=""),"TDS needs a TAN; ","")&amp;IF(AND(AA537="Yes",BC537&lt;&gt;"",BC537&lt;&gt;"company",BC537&lt;&gt;"llp"),"ROC is only for a company / LLP; ","")&amp;IF(AND(AA537="Yes",OR(BC537="company",BC537="llp"),TRIM(I537)=""),"ROC needs the CIN / LLPIN; ","")&amp;IF((TRIM(AF537)="")&lt;&gt;(TRIM(AG537)=""),"GST login needs both user ID and password; ","")&amp;IF((TRIM(AH537)="")&lt;&gt;(TRIM(AI537)=""),"Income-tax login needs both user ID and password; ","")&amp;IF((TRIM(AJ537)="")&lt;&gt;(TRIM(AK537)=""),"Income-tax login needs both user ID and password; ","")&amp;IF((TRIM(AL537)="")&lt;&gt;(TRIM(AM537)=""),"TRACES login needs both user ID and password; ","")&amp;IF((TRIM(AN537)="")&lt;&gt;(TRIM(AO537)=""),"MCA login needs both user ID and password; ","")&amp;IF((TRIM(AP537)="")&lt;&gt;(TRIM(AQ537)=""),"E-way bill login needs both user ID and password; ","")</f>
        <v/>
      </c>
    </row>
    <row r="538">
      <c r="A538" s="32" t="n"/>
      <c r="B538" s="33" t="n"/>
      <c r="C538" s="33" t="n"/>
      <c r="D538" s="33" t="n"/>
      <c r="E538" s="32" t="n"/>
      <c r="F538" s="32" t="n"/>
      <c r="G538" s="32" t="n"/>
      <c r="H538" s="32" t="n"/>
      <c r="I538" s="32" t="n"/>
      <c r="J538" s="34" t="n"/>
      <c r="K538" s="33" t="n"/>
      <c r="L538" s="32" t="n"/>
      <c r="M538" s="33" t="n"/>
      <c r="N538" s="33" t="n"/>
      <c r="O538" s="33" t="n"/>
      <c r="P538" s="32" t="n"/>
      <c r="Q538" s="33" t="n"/>
      <c r="R538" s="33" t="n"/>
      <c r="S538" s="33" t="n"/>
      <c r="T538" s="33" t="n"/>
      <c r="U538" s="32" t="n"/>
      <c r="V538" s="33" t="n"/>
      <c r="W538" s="33" t="n"/>
      <c r="X538" s="33" t="n"/>
      <c r="Y538" s="33" t="n"/>
      <c r="Z538" s="33" t="n"/>
      <c r="AA538" s="33" t="n"/>
      <c r="AB538" s="33" t="n"/>
      <c r="AC538" s="33" t="n"/>
      <c r="AD538" s="33" t="n"/>
      <c r="AE538" s="33" t="n"/>
      <c r="AF538" s="32" t="n"/>
      <c r="AG538" s="32" t="n"/>
      <c r="AH538" s="32" t="n"/>
      <c r="AI538" s="32" t="n"/>
      <c r="AJ538" s="32" t="n"/>
      <c r="AK538" s="32" t="n"/>
      <c r="AL538" s="32" t="n"/>
      <c r="AM538" s="32" t="n"/>
      <c r="AN538" s="32" t="n"/>
      <c r="AO538" s="32" t="n"/>
      <c r="AP538" s="32" t="n"/>
      <c r="AQ538" s="32" t="n"/>
      <c r="AR538" s="29">
        <f>IF(NOT(COUNTA(A538:AE538)&gt;0),"",IF(A538="","New client","Update"))</f>
        <v/>
      </c>
      <c r="AS538" s="29">
        <f>IF(BA538&lt;&gt;"",BA538,IF(LEN(AZ538)=15,MID(AZ538,3,10),""))</f>
        <v/>
      </c>
      <c r="AT538" s="29">
        <f>IF(BB538="","",BB538&amp;IF(D538="","  (guessed from PAN)",""))</f>
        <v/>
      </c>
      <c r="AU538" s="29">
        <f>IF(AZ538="","",IFERROR(INDEX(Lists!$L$2:$L$38,MATCH(LEFT(AZ538,2),Lists!$K$2:$K$38,0)),"Unknown code"))</f>
        <v/>
      </c>
      <c r="AV538" s="29">
        <f>IF(AZ538="","",IFERROR(IF(NOT(AND(LEN(AZ538)=15,ISNUMBER(MATCH(LEFT(AZ538,2),Lists!$K$2:$K$38,0)),SUMPRODUCT(--ISERROR(FIND(MID(MID(AZ538,3,10),{1,2,3,4,5,10},1),"ABCDEFGHIJKLMNOPQRSTUVWXYZ")))=0,SUMPRODUCT(--ISERROR(FIND(MID(MID(AZ538,3,10),{6,7,8,9},1),"0123456789")))=0,ISNUMBER(FIND(MID(AZ538,13,1),"123456789ABCDEFGHIJKLMNOPQRSTUVWXYZ")),MID(AZ538,14,1)="Z")),"Wrong format",IF(MID("0123456789ABCDEFGHIJKLMNOPQRSTUVWXYZ",MOD(36-MOD(SUMPRODUCT(INT((FIND(MID(AZ538,{1,2,3,4,5,6,7,8,9,10,11,12,13,14},1),"0123456789ABCDEFGHIJKLMNOPQRSTUVWXYZ")-1)*{1,2,1,2,1,2,1,2,1,2,1,2,1,2}/36)+MOD((FIND(MID(AZ538,{1,2,3,4,5,6,7,8,9,10,11,12,13,14},1),"0123456789ABCDEFGHIJKLMNOPQRSTUVWXYZ")-1)*{1,2,1,2,1,2,1,2,1,2,1,2,1,2},36)),36),36)+1,1)=MID(AZ538,15,1),"OK","Typo? check digit wrong")),"Wrong format"))</f>
        <v/>
      </c>
      <c r="AW538" s="29">
        <f>IF(BA538="","",IF(AND(LEN(BA538)=10,SUMPRODUCT(--ISERROR(FIND(MID(BA538,{1,2,3,4,5,10},1),"ABCDEFGHIJKLMNOPQRSTUVWXYZ")))=0,SUMPRODUCT(--ISERROR(FIND(MID(BA538,{6,7,8,9},1),"0123456789")))=0),"OK","Wrong format"))</f>
        <v/>
      </c>
      <c r="AX538" s="29">
        <f>IF(TRIM(H538)="","",IF(AND(LEN(UPPER(TRIM(H538)))=10,SUMPRODUCT(--ISERROR(FIND(MID(UPPER(TRIM(H538)),{1,2,3,4,10},1),"ABCDEFGHIJKLMNOPQRSTUVWXYZ")))=0,SUMPRODUCT(--ISERROR(FIND(MID(UPPER(TRIM(H538)),{5,6,7,8,9},1),"0123456789")))=0),"OK","Wrong format"))</f>
        <v/>
      </c>
      <c r="AY538" s="30">
        <f>IF(NOT(COUNTA(A538:AE538)&gt;0),"",IF(BE538&lt;&gt;"","✖ "&amp;LEFT(BE538,LEN(BE538)-2),IF(BD538&gt;0,"✔ Ready — client + "&amp;BD538&amp;" service(s)","✔ Ready — client only")))</f>
        <v/>
      </c>
      <c r="AZ538" s="31">
        <f>UPPER(SUBSTITUTE(TRIM(F538)," ",""))</f>
        <v/>
      </c>
      <c r="BA538" s="31">
        <f>UPPER(SUBSTITUTE(TRIM(E538)," ",""))</f>
        <v/>
      </c>
      <c r="BB538" s="31">
        <f>IF(D538&lt;&gt;"",D538,IFERROR(VLOOKUP(MID(AS538,4,1),Lists!$E$2:$F$8,2,FALSE),""))</f>
        <v/>
      </c>
      <c r="BC538" s="31">
        <f>IFERROR(VLOOKUP(BB538,Lists!$A$2:$C$12,3,FALSE),"")</f>
        <v/>
      </c>
      <c r="BD538" s="31">
        <f>COUNTIF(W538:AC538,"Yes")</f>
        <v/>
      </c>
      <c r="BE538" s="31">
        <f>IF(TRIM(B538)="","Legal name missing; ","")&amp;IF(AND(AV538&lt;&gt;"",AV538&lt;&gt;"OK"),"GSTIN: "&amp;AV538&amp;"; ","")&amp;IF(AND(AW538&lt;&gt;"",AW538&lt;&gt;"OK"),"PAN wrong format; ","")&amp;IF(AND(BA538&lt;&gt;"",LEN(AZ538)=15,MID(AZ538,3,10)&lt;&gt;BA538),"PAN does not match GSTIN; ","")&amp;IF(AND(AX538&lt;&gt;"",AX538&lt;&gt;"OK"),"TAN wrong format; ","")&amp;IF(AS538="","PAN missing; ","")&amp;IF(BB538="","Entity type missing; ","")&amp;IF(AND(AZ538&lt;&gt;"",COUNTIF($AZ$6:$AZ$1005,AZ538)&gt;1),"GSTIN repeated in this sheet; ","")&amp;IF(AND(AS538&lt;&gt;"",COUNTIF($AS$6:$AS$1005,AS538)&gt;1),"PAN repeated in this sheet (same client? put extra GSTINs in Other GSTINs); ","")&amp;IF(AND(BD538&gt;0,V538=""),"Financial year missing; ","")&amp;IF(AND(BD538=0,V538&lt;&gt;""),"Financial year given but no service is Yes; ","")&amp;IF(AND(W538="Yes",AZ538=""),"GST needs a GSTIN; ","")&amp;IF(AND(W538="Yes",X538=""),"GST return frequency missing; ","")&amp;IF(AND(Y538="Yes",TRIM(H538)=""),"TDS needs a TAN; ","")&amp;IF(AND(AA538="Yes",BC538&lt;&gt;"",BC538&lt;&gt;"company",BC538&lt;&gt;"llp"),"ROC is only for a company / LLP; ","")&amp;IF(AND(AA538="Yes",OR(BC538="company",BC538="llp"),TRIM(I538)=""),"ROC needs the CIN / LLPIN; ","")&amp;IF((TRIM(AF538)="")&lt;&gt;(TRIM(AG538)=""),"GST login needs both user ID and password; ","")&amp;IF((TRIM(AH538)="")&lt;&gt;(TRIM(AI538)=""),"Income-tax login needs both user ID and password; ","")&amp;IF((TRIM(AJ538)="")&lt;&gt;(TRIM(AK538)=""),"Income-tax login needs both user ID and password; ","")&amp;IF((TRIM(AL538)="")&lt;&gt;(TRIM(AM538)=""),"TRACES login needs both user ID and password; ","")&amp;IF((TRIM(AN538)="")&lt;&gt;(TRIM(AO538)=""),"MCA login needs both user ID and password; ","")&amp;IF((TRIM(AP538)="")&lt;&gt;(TRIM(AQ538)=""),"E-way bill login needs both user ID and password; ","")</f>
        <v/>
      </c>
    </row>
    <row r="539">
      <c r="A539" s="32" t="n"/>
      <c r="B539" s="33" t="n"/>
      <c r="C539" s="33" t="n"/>
      <c r="D539" s="33" t="n"/>
      <c r="E539" s="32" t="n"/>
      <c r="F539" s="32" t="n"/>
      <c r="G539" s="32" t="n"/>
      <c r="H539" s="32" t="n"/>
      <c r="I539" s="32" t="n"/>
      <c r="J539" s="34" t="n"/>
      <c r="K539" s="33" t="n"/>
      <c r="L539" s="32" t="n"/>
      <c r="M539" s="33" t="n"/>
      <c r="N539" s="33" t="n"/>
      <c r="O539" s="33" t="n"/>
      <c r="P539" s="32" t="n"/>
      <c r="Q539" s="33" t="n"/>
      <c r="R539" s="33" t="n"/>
      <c r="S539" s="33" t="n"/>
      <c r="T539" s="33" t="n"/>
      <c r="U539" s="32" t="n"/>
      <c r="V539" s="33" t="n"/>
      <c r="W539" s="33" t="n"/>
      <c r="X539" s="33" t="n"/>
      <c r="Y539" s="33" t="n"/>
      <c r="Z539" s="33" t="n"/>
      <c r="AA539" s="33" t="n"/>
      <c r="AB539" s="33" t="n"/>
      <c r="AC539" s="33" t="n"/>
      <c r="AD539" s="33" t="n"/>
      <c r="AE539" s="33" t="n"/>
      <c r="AF539" s="32" t="n"/>
      <c r="AG539" s="32" t="n"/>
      <c r="AH539" s="32" t="n"/>
      <c r="AI539" s="32" t="n"/>
      <c r="AJ539" s="32" t="n"/>
      <c r="AK539" s="32" t="n"/>
      <c r="AL539" s="32" t="n"/>
      <c r="AM539" s="32" t="n"/>
      <c r="AN539" s="32" t="n"/>
      <c r="AO539" s="32" t="n"/>
      <c r="AP539" s="32" t="n"/>
      <c r="AQ539" s="32" t="n"/>
      <c r="AR539" s="29">
        <f>IF(NOT(COUNTA(A539:AE539)&gt;0),"",IF(A539="","New client","Update"))</f>
        <v/>
      </c>
      <c r="AS539" s="29">
        <f>IF(BA539&lt;&gt;"",BA539,IF(LEN(AZ539)=15,MID(AZ539,3,10),""))</f>
        <v/>
      </c>
      <c r="AT539" s="29">
        <f>IF(BB539="","",BB539&amp;IF(D539="","  (guessed from PAN)",""))</f>
        <v/>
      </c>
      <c r="AU539" s="29">
        <f>IF(AZ539="","",IFERROR(INDEX(Lists!$L$2:$L$38,MATCH(LEFT(AZ539,2),Lists!$K$2:$K$38,0)),"Unknown code"))</f>
        <v/>
      </c>
      <c r="AV539" s="29">
        <f>IF(AZ539="","",IFERROR(IF(NOT(AND(LEN(AZ539)=15,ISNUMBER(MATCH(LEFT(AZ539,2),Lists!$K$2:$K$38,0)),SUMPRODUCT(--ISERROR(FIND(MID(MID(AZ539,3,10),{1,2,3,4,5,10},1),"ABCDEFGHIJKLMNOPQRSTUVWXYZ")))=0,SUMPRODUCT(--ISERROR(FIND(MID(MID(AZ539,3,10),{6,7,8,9},1),"0123456789")))=0,ISNUMBER(FIND(MID(AZ539,13,1),"123456789ABCDEFGHIJKLMNOPQRSTUVWXYZ")),MID(AZ539,14,1)="Z")),"Wrong format",IF(MID("0123456789ABCDEFGHIJKLMNOPQRSTUVWXYZ",MOD(36-MOD(SUMPRODUCT(INT((FIND(MID(AZ539,{1,2,3,4,5,6,7,8,9,10,11,12,13,14},1),"0123456789ABCDEFGHIJKLMNOPQRSTUVWXYZ")-1)*{1,2,1,2,1,2,1,2,1,2,1,2,1,2}/36)+MOD((FIND(MID(AZ539,{1,2,3,4,5,6,7,8,9,10,11,12,13,14},1),"0123456789ABCDEFGHIJKLMNOPQRSTUVWXYZ")-1)*{1,2,1,2,1,2,1,2,1,2,1,2,1,2},36)),36),36)+1,1)=MID(AZ539,15,1),"OK","Typo? check digit wrong")),"Wrong format"))</f>
        <v/>
      </c>
      <c r="AW539" s="29">
        <f>IF(BA539="","",IF(AND(LEN(BA539)=10,SUMPRODUCT(--ISERROR(FIND(MID(BA539,{1,2,3,4,5,10},1),"ABCDEFGHIJKLMNOPQRSTUVWXYZ")))=0,SUMPRODUCT(--ISERROR(FIND(MID(BA539,{6,7,8,9},1),"0123456789")))=0),"OK","Wrong format"))</f>
        <v/>
      </c>
      <c r="AX539" s="29">
        <f>IF(TRIM(H539)="","",IF(AND(LEN(UPPER(TRIM(H539)))=10,SUMPRODUCT(--ISERROR(FIND(MID(UPPER(TRIM(H539)),{1,2,3,4,10},1),"ABCDEFGHIJKLMNOPQRSTUVWXYZ")))=0,SUMPRODUCT(--ISERROR(FIND(MID(UPPER(TRIM(H539)),{5,6,7,8,9},1),"0123456789")))=0),"OK","Wrong format"))</f>
        <v/>
      </c>
      <c r="AY539" s="30">
        <f>IF(NOT(COUNTA(A539:AE539)&gt;0),"",IF(BE539&lt;&gt;"","✖ "&amp;LEFT(BE539,LEN(BE539)-2),IF(BD539&gt;0,"✔ Ready — client + "&amp;BD539&amp;" service(s)","✔ Ready — client only")))</f>
        <v/>
      </c>
      <c r="AZ539" s="31">
        <f>UPPER(SUBSTITUTE(TRIM(F539)," ",""))</f>
        <v/>
      </c>
      <c r="BA539" s="31">
        <f>UPPER(SUBSTITUTE(TRIM(E539)," ",""))</f>
        <v/>
      </c>
      <c r="BB539" s="31">
        <f>IF(D539&lt;&gt;"",D539,IFERROR(VLOOKUP(MID(AS539,4,1),Lists!$E$2:$F$8,2,FALSE),""))</f>
        <v/>
      </c>
      <c r="BC539" s="31">
        <f>IFERROR(VLOOKUP(BB539,Lists!$A$2:$C$12,3,FALSE),"")</f>
        <v/>
      </c>
      <c r="BD539" s="31">
        <f>COUNTIF(W539:AC539,"Yes")</f>
        <v/>
      </c>
      <c r="BE539" s="31">
        <f>IF(TRIM(B539)="","Legal name missing; ","")&amp;IF(AND(AV539&lt;&gt;"",AV539&lt;&gt;"OK"),"GSTIN: "&amp;AV539&amp;"; ","")&amp;IF(AND(AW539&lt;&gt;"",AW539&lt;&gt;"OK"),"PAN wrong format; ","")&amp;IF(AND(BA539&lt;&gt;"",LEN(AZ539)=15,MID(AZ539,3,10)&lt;&gt;BA539),"PAN does not match GSTIN; ","")&amp;IF(AND(AX539&lt;&gt;"",AX539&lt;&gt;"OK"),"TAN wrong format; ","")&amp;IF(AS539="","PAN missing; ","")&amp;IF(BB539="","Entity type missing; ","")&amp;IF(AND(AZ539&lt;&gt;"",COUNTIF($AZ$6:$AZ$1005,AZ539)&gt;1),"GSTIN repeated in this sheet; ","")&amp;IF(AND(AS539&lt;&gt;"",COUNTIF($AS$6:$AS$1005,AS539)&gt;1),"PAN repeated in this sheet (same client? put extra GSTINs in Other GSTINs); ","")&amp;IF(AND(BD539&gt;0,V539=""),"Financial year missing; ","")&amp;IF(AND(BD539=0,V539&lt;&gt;""),"Financial year given but no service is Yes; ","")&amp;IF(AND(W539="Yes",AZ539=""),"GST needs a GSTIN; ","")&amp;IF(AND(W539="Yes",X539=""),"GST return frequency missing; ","")&amp;IF(AND(Y539="Yes",TRIM(H539)=""),"TDS needs a TAN; ","")&amp;IF(AND(AA539="Yes",BC539&lt;&gt;"",BC539&lt;&gt;"company",BC539&lt;&gt;"llp"),"ROC is only for a company / LLP; ","")&amp;IF(AND(AA539="Yes",OR(BC539="company",BC539="llp"),TRIM(I539)=""),"ROC needs the CIN / LLPIN; ","")&amp;IF((TRIM(AF539)="")&lt;&gt;(TRIM(AG539)=""),"GST login needs both user ID and password; ","")&amp;IF((TRIM(AH539)="")&lt;&gt;(TRIM(AI539)=""),"Income-tax login needs both user ID and password; ","")&amp;IF((TRIM(AJ539)="")&lt;&gt;(TRIM(AK539)=""),"Income-tax login needs both user ID and password; ","")&amp;IF((TRIM(AL539)="")&lt;&gt;(TRIM(AM539)=""),"TRACES login needs both user ID and password; ","")&amp;IF((TRIM(AN539)="")&lt;&gt;(TRIM(AO539)=""),"MCA login needs both user ID and password; ","")&amp;IF((TRIM(AP539)="")&lt;&gt;(TRIM(AQ539)=""),"E-way bill login needs both user ID and password; ","")</f>
        <v/>
      </c>
    </row>
    <row r="540">
      <c r="A540" s="32" t="n"/>
      <c r="B540" s="33" t="n"/>
      <c r="C540" s="33" t="n"/>
      <c r="D540" s="33" t="n"/>
      <c r="E540" s="32" t="n"/>
      <c r="F540" s="32" t="n"/>
      <c r="G540" s="32" t="n"/>
      <c r="H540" s="32" t="n"/>
      <c r="I540" s="32" t="n"/>
      <c r="J540" s="34" t="n"/>
      <c r="K540" s="33" t="n"/>
      <c r="L540" s="32" t="n"/>
      <c r="M540" s="33" t="n"/>
      <c r="N540" s="33" t="n"/>
      <c r="O540" s="33" t="n"/>
      <c r="P540" s="32" t="n"/>
      <c r="Q540" s="33" t="n"/>
      <c r="R540" s="33" t="n"/>
      <c r="S540" s="33" t="n"/>
      <c r="T540" s="33" t="n"/>
      <c r="U540" s="32" t="n"/>
      <c r="V540" s="33" t="n"/>
      <c r="W540" s="33" t="n"/>
      <c r="X540" s="33" t="n"/>
      <c r="Y540" s="33" t="n"/>
      <c r="Z540" s="33" t="n"/>
      <c r="AA540" s="33" t="n"/>
      <c r="AB540" s="33" t="n"/>
      <c r="AC540" s="33" t="n"/>
      <c r="AD540" s="33" t="n"/>
      <c r="AE540" s="33" t="n"/>
      <c r="AF540" s="32" t="n"/>
      <c r="AG540" s="32" t="n"/>
      <c r="AH540" s="32" t="n"/>
      <c r="AI540" s="32" t="n"/>
      <c r="AJ540" s="32" t="n"/>
      <c r="AK540" s="32" t="n"/>
      <c r="AL540" s="32" t="n"/>
      <c r="AM540" s="32" t="n"/>
      <c r="AN540" s="32" t="n"/>
      <c r="AO540" s="32" t="n"/>
      <c r="AP540" s="32" t="n"/>
      <c r="AQ540" s="32" t="n"/>
      <c r="AR540" s="29">
        <f>IF(NOT(COUNTA(A540:AE540)&gt;0),"",IF(A540="","New client","Update"))</f>
        <v/>
      </c>
      <c r="AS540" s="29">
        <f>IF(BA540&lt;&gt;"",BA540,IF(LEN(AZ540)=15,MID(AZ540,3,10),""))</f>
        <v/>
      </c>
      <c r="AT540" s="29">
        <f>IF(BB540="","",BB540&amp;IF(D540="","  (guessed from PAN)",""))</f>
        <v/>
      </c>
      <c r="AU540" s="29">
        <f>IF(AZ540="","",IFERROR(INDEX(Lists!$L$2:$L$38,MATCH(LEFT(AZ540,2),Lists!$K$2:$K$38,0)),"Unknown code"))</f>
        <v/>
      </c>
      <c r="AV540" s="29">
        <f>IF(AZ540="","",IFERROR(IF(NOT(AND(LEN(AZ540)=15,ISNUMBER(MATCH(LEFT(AZ540,2),Lists!$K$2:$K$38,0)),SUMPRODUCT(--ISERROR(FIND(MID(MID(AZ540,3,10),{1,2,3,4,5,10},1),"ABCDEFGHIJKLMNOPQRSTUVWXYZ")))=0,SUMPRODUCT(--ISERROR(FIND(MID(MID(AZ540,3,10),{6,7,8,9},1),"0123456789")))=0,ISNUMBER(FIND(MID(AZ540,13,1),"123456789ABCDEFGHIJKLMNOPQRSTUVWXYZ")),MID(AZ540,14,1)="Z")),"Wrong format",IF(MID("0123456789ABCDEFGHIJKLMNOPQRSTUVWXYZ",MOD(36-MOD(SUMPRODUCT(INT((FIND(MID(AZ540,{1,2,3,4,5,6,7,8,9,10,11,12,13,14},1),"0123456789ABCDEFGHIJKLMNOPQRSTUVWXYZ")-1)*{1,2,1,2,1,2,1,2,1,2,1,2,1,2}/36)+MOD((FIND(MID(AZ540,{1,2,3,4,5,6,7,8,9,10,11,12,13,14},1),"0123456789ABCDEFGHIJKLMNOPQRSTUVWXYZ")-1)*{1,2,1,2,1,2,1,2,1,2,1,2,1,2},36)),36),36)+1,1)=MID(AZ540,15,1),"OK","Typo? check digit wrong")),"Wrong format"))</f>
        <v/>
      </c>
      <c r="AW540" s="29">
        <f>IF(BA540="","",IF(AND(LEN(BA540)=10,SUMPRODUCT(--ISERROR(FIND(MID(BA540,{1,2,3,4,5,10},1),"ABCDEFGHIJKLMNOPQRSTUVWXYZ")))=0,SUMPRODUCT(--ISERROR(FIND(MID(BA540,{6,7,8,9},1),"0123456789")))=0),"OK","Wrong format"))</f>
        <v/>
      </c>
      <c r="AX540" s="29">
        <f>IF(TRIM(H540)="","",IF(AND(LEN(UPPER(TRIM(H540)))=10,SUMPRODUCT(--ISERROR(FIND(MID(UPPER(TRIM(H540)),{1,2,3,4,10},1),"ABCDEFGHIJKLMNOPQRSTUVWXYZ")))=0,SUMPRODUCT(--ISERROR(FIND(MID(UPPER(TRIM(H540)),{5,6,7,8,9},1),"0123456789")))=0),"OK","Wrong format"))</f>
        <v/>
      </c>
      <c r="AY540" s="30">
        <f>IF(NOT(COUNTA(A540:AE540)&gt;0),"",IF(BE540&lt;&gt;"","✖ "&amp;LEFT(BE540,LEN(BE540)-2),IF(BD540&gt;0,"✔ Ready — client + "&amp;BD540&amp;" service(s)","✔ Ready — client only")))</f>
        <v/>
      </c>
      <c r="AZ540" s="31">
        <f>UPPER(SUBSTITUTE(TRIM(F540)," ",""))</f>
        <v/>
      </c>
      <c r="BA540" s="31">
        <f>UPPER(SUBSTITUTE(TRIM(E540)," ",""))</f>
        <v/>
      </c>
      <c r="BB540" s="31">
        <f>IF(D540&lt;&gt;"",D540,IFERROR(VLOOKUP(MID(AS540,4,1),Lists!$E$2:$F$8,2,FALSE),""))</f>
        <v/>
      </c>
      <c r="BC540" s="31">
        <f>IFERROR(VLOOKUP(BB540,Lists!$A$2:$C$12,3,FALSE),"")</f>
        <v/>
      </c>
      <c r="BD540" s="31">
        <f>COUNTIF(W540:AC540,"Yes")</f>
        <v/>
      </c>
      <c r="BE540" s="31">
        <f>IF(TRIM(B540)="","Legal name missing; ","")&amp;IF(AND(AV540&lt;&gt;"",AV540&lt;&gt;"OK"),"GSTIN: "&amp;AV540&amp;"; ","")&amp;IF(AND(AW540&lt;&gt;"",AW540&lt;&gt;"OK"),"PAN wrong format; ","")&amp;IF(AND(BA540&lt;&gt;"",LEN(AZ540)=15,MID(AZ540,3,10)&lt;&gt;BA540),"PAN does not match GSTIN; ","")&amp;IF(AND(AX540&lt;&gt;"",AX540&lt;&gt;"OK"),"TAN wrong format; ","")&amp;IF(AS540="","PAN missing; ","")&amp;IF(BB540="","Entity type missing; ","")&amp;IF(AND(AZ540&lt;&gt;"",COUNTIF($AZ$6:$AZ$1005,AZ540)&gt;1),"GSTIN repeated in this sheet; ","")&amp;IF(AND(AS540&lt;&gt;"",COUNTIF($AS$6:$AS$1005,AS540)&gt;1),"PAN repeated in this sheet (same client? put extra GSTINs in Other GSTINs); ","")&amp;IF(AND(BD540&gt;0,V540=""),"Financial year missing; ","")&amp;IF(AND(BD540=0,V540&lt;&gt;""),"Financial year given but no service is Yes; ","")&amp;IF(AND(W540="Yes",AZ540=""),"GST needs a GSTIN; ","")&amp;IF(AND(W540="Yes",X540=""),"GST return frequency missing; ","")&amp;IF(AND(Y540="Yes",TRIM(H540)=""),"TDS needs a TAN; ","")&amp;IF(AND(AA540="Yes",BC540&lt;&gt;"",BC540&lt;&gt;"company",BC540&lt;&gt;"llp"),"ROC is only for a company / LLP; ","")&amp;IF(AND(AA540="Yes",OR(BC540="company",BC540="llp"),TRIM(I540)=""),"ROC needs the CIN / LLPIN; ","")&amp;IF((TRIM(AF540)="")&lt;&gt;(TRIM(AG540)=""),"GST login needs both user ID and password; ","")&amp;IF((TRIM(AH540)="")&lt;&gt;(TRIM(AI540)=""),"Income-tax login needs both user ID and password; ","")&amp;IF((TRIM(AJ540)="")&lt;&gt;(TRIM(AK540)=""),"Income-tax login needs both user ID and password; ","")&amp;IF((TRIM(AL540)="")&lt;&gt;(TRIM(AM540)=""),"TRACES login needs both user ID and password; ","")&amp;IF((TRIM(AN540)="")&lt;&gt;(TRIM(AO540)=""),"MCA login needs both user ID and password; ","")&amp;IF((TRIM(AP540)="")&lt;&gt;(TRIM(AQ540)=""),"E-way bill login needs both user ID and password; ","")</f>
        <v/>
      </c>
    </row>
    <row r="541">
      <c r="A541" s="32" t="n"/>
      <c r="B541" s="33" t="n"/>
      <c r="C541" s="33" t="n"/>
      <c r="D541" s="33" t="n"/>
      <c r="E541" s="32" t="n"/>
      <c r="F541" s="32" t="n"/>
      <c r="G541" s="32" t="n"/>
      <c r="H541" s="32" t="n"/>
      <c r="I541" s="32" t="n"/>
      <c r="J541" s="34" t="n"/>
      <c r="K541" s="33" t="n"/>
      <c r="L541" s="32" t="n"/>
      <c r="M541" s="33" t="n"/>
      <c r="N541" s="33" t="n"/>
      <c r="O541" s="33" t="n"/>
      <c r="P541" s="32" t="n"/>
      <c r="Q541" s="33" t="n"/>
      <c r="R541" s="33" t="n"/>
      <c r="S541" s="33" t="n"/>
      <c r="T541" s="33" t="n"/>
      <c r="U541" s="32" t="n"/>
      <c r="V541" s="33" t="n"/>
      <c r="W541" s="33" t="n"/>
      <c r="X541" s="33" t="n"/>
      <c r="Y541" s="33" t="n"/>
      <c r="Z541" s="33" t="n"/>
      <c r="AA541" s="33" t="n"/>
      <c r="AB541" s="33" t="n"/>
      <c r="AC541" s="33" t="n"/>
      <c r="AD541" s="33" t="n"/>
      <c r="AE541" s="33" t="n"/>
      <c r="AF541" s="32" t="n"/>
      <c r="AG541" s="32" t="n"/>
      <c r="AH541" s="32" t="n"/>
      <c r="AI541" s="32" t="n"/>
      <c r="AJ541" s="32" t="n"/>
      <c r="AK541" s="32" t="n"/>
      <c r="AL541" s="32" t="n"/>
      <c r="AM541" s="32" t="n"/>
      <c r="AN541" s="32" t="n"/>
      <c r="AO541" s="32" t="n"/>
      <c r="AP541" s="32" t="n"/>
      <c r="AQ541" s="32" t="n"/>
      <c r="AR541" s="29">
        <f>IF(NOT(COUNTA(A541:AE541)&gt;0),"",IF(A541="","New client","Update"))</f>
        <v/>
      </c>
      <c r="AS541" s="29">
        <f>IF(BA541&lt;&gt;"",BA541,IF(LEN(AZ541)=15,MID(AZ541,3,10),""))</f>
        <v/>
      </c>
      <c r="AT541" s="29">
        <f>IF(BB541="","",BB541&amp;IF(D541="","  (guessed from PAN)",""))</f>
        <v/>
      </c>
      <c r="AU541" s="29">
        <f>IF(AZ541="","",IFERROR(INDEX(Lists!$L$2:$L$38,MATCH(LEFT(AZ541,2),Lists!$K$2:$K$38,0)),"Unknown code"))</f>
        <v/>
      </c>
      <c r="AV541" s="29">
        <f>IF(AZ541="","",IFERROR(IF(NOT(AND(LEN(AZ541)=15,ISNUMBER(MATCH(LEFT(AZ541,2),Lists!$K$2:$K$38,0)),SUMPRODUCT(--ISERROR(FIND(MID(MID(AZ541,3,10),{1,2,3,4,5,10},1),"ABCDEFGHIJKLMNOPQRSTUVWXYZ")))=0,SUMPRODUCT(--ISERROR(FIND(MID(MID(AZ541,3,10),{6,7,8,9},1),"0123456789")))=0,ISNUMBER(FIND(MID(AZ541,13,1),"123456789ABCDEFGHIJKLMNOPQRSTUVWXYZ")),MID(AZ541,14,1)="Z")),"Wrong format",IF(MID("0123456789ABCDEFGHIJKLMNOPQRSTUVWXYZ",MOD(36-MOD(SUMPRODUCT(INT((FIND(MID(AZ541,{1,2,3,4,5,6,7,8,9,10,11,12,13,14},1),"0123456789ABCDEFGHIJKLMNOPQRSTUVWXYZ")-1)*{1,2,1,2,1,2,1,2,1,2,1,2,1,2}/36)+MOD((FIND(MID(AZ541,{1,2,3,4,5,6,7,8,9,10,11,12,13,14},1),"0123456789ABCDEFGHIJKLMNOPQRSTUVWXYZ")-1)*{1,2,1,2,1,2,1,2,1,2,1,2,1,2},36)),36),36)+1,1)=MID(AZ541,15,1),"OK","Typo? check digit wrong")),"Wrong format"))</f>
        <v/>
      </c>
      <c r="AW541" s="29">
        <f>IF(BA541="","",IF(AND(LEN(BA541)=10,SUMPRODUCT(--ISERROR(FIND(MID(BA541,{1,2,3,4,5,10},1),"ABCDEFGHIJKLMNOPQRSTUVWXYZ")))=0,SUMPRODUCT(--ISERROR(FIND(MID(BA541,{6,7,8,9},1),"0123456789")))=0),"OK","Wrong format"))</f>
        <v/>
      </c>
      <c r="AX541" s="29">
        <f>IF(TRIM(H541)="","",IF(AND(LEN(UPPER(TRIM(H541)))=10,SUMPRODUCT(--ISERROR(FIND(MID(UPPER(TRIM(H541)),{1,2,3,4,10},1),"ABCDEFGHIJKLMNOPQRSTUVWXYZ")))=0,SUMPRODUCT(--ISERROR(FIND(MID(UPPER(TRIM(H541)),{5,6,7,8,9},1),"0123456789")))=0),"OK","Wrong format"))</f>
        <v/>
      </c>
      <c r="AY541" s="30">
        <f>IF(NOT(COUNTA(A541:AE541)&gt;0),"",IF(BE541&lt;&gt;"","✖ "&amp;LEFT(BE541,LEN(BE541)-2),IF(BD541&gt;0,"✔ Ready — client + "&amp;BD541&amp;" service(s)","✔ Ready — client only")))</f>
        <v/>
      </c>
      <c r="AZ541" s="31">
        <f>UPPER(SUBSTITUTE(TRIM(F541)," ",""))</f>
        <v/>
      </c>
      <c r="BA541" s="31">
        <f>UPPER(SUBSTITUTE(TRIM(E541)," ",""))</f>
        <v/>
      </c>
      <c r="BB541" s="31">
        <f>IF(D541&lt;&gt;"",D541,IFERROR(VLOOKUP(MID(AS541,4,1),Lists!$E$2:$F$8,2,FALSE),""))</f>
        <v/>
      </c>
      <c r="BC541" s="31">
        <f>IFERROR(VLOOKUP(BB541,Lists!$A$2:$C$12,3,FALSE),"")</f>
        <v/>
      </c>
      <c r="BD541" s="31">
        <f>COUNTIF(W541:AC541,"Yes")</f>
        <v/>
      </c>
      <c r="BE541" s="31">
        <f>IF(TRIM(B541)="","Legal name missing; ","")&amp;IF(AND(AV541&lt;&gt;"",AV541&lt;&gt;"OK"),"GSTIN: "&amp;AV541&amp;"; ","")&amp;IF(AND(AW541&lt;&gt;"",AW541&lt;&gt;"OK"),"PAN wrong format; ","")&amp;IF(AND(BA541&lt;&gt;"",LEN(AZ541)=15,MID(AZ541,3,10)&lt;&gt;BA541),"PAN does not match GSTIN; ","")&amp;IF(AND(AX541&lt;&gt;"",AX541&lt;&gt;"OK"),"TAN wrong format; ","")&amp;IF(AS541="","PAN missing; ","")&amp;IF(BB541="","Entity type missing; ","")&amp;IF(AND(AZ541&lt;&gt;"",COUNTIF($AZ$6:$AZ$1005,AZ541)&gt;1),"GSTIN repeated in this sheet; ","")&amp;IF(AND(AS541&lt;&gt;"",COUNTIF($AS$6:$AS$1005,AS541)&gt;1),"PAN repeated in this sheet (same client? put extra GSTINs in Other GSTINs); ","")&amp;IF(AND(BD541&gt;0,V541=""),"Financial year missing; ","")&amp;IF(AND(BD541=0,V541&lt;&gt;""),"Financial year given but no service is Yes; ","")&amp;IF(AND(W541="Yes",AZ541=""),"GST needs a GSTIN; ","")&amp;IF(AND(W541="Yes",X541=""),"GST return frequency missing; ","")&amp;IF(AND(Y541="Yes",TRIM(H541)=""),"TDS needs a TAN; ","")&amp;IF(AND(AA541="Yes",BC541&lt;&gt;"",BC541&lt;&gt;"company",BC541&lt;&gt;"llp"),"ROC is only for a company / LLP; ","")&amp;IF(AND(AA541="Yes",OR(BC541="company",BC541="llp"),TRIM(I541)=""),"ROC needs the CIN / LLPIN; ","")&amp;IF((TRIM(AF541)="")&lt;&gt;(TRIM(AG541)=""),"GST login needs both user ID and password; ","")&amp;IF((TRIM(AH541)="")&lt;&gt;(TRIM(AI541)=""),"Income-tax login needs both user ID and password; ","")&amp;IF((TRIM(AJ541)="")&lt;&gt;(TRIM(AK541)=""),"Income-tax login needs both user ID and password; ","")&amp;IF((TRIM(AL541)="")&lt;&gt;(TRIM(AM541)=""),"TRACES login needs both user ID and password; ","")&amp;IF((TRIM(AN541)="")&lt;&gt;(TRIM(AO541)=""),"MCA login needs both user ID and password; ","")&amp;IF((TRIM(AP541)="")&lt;&gt;(TRIM(AQ541)=""),"E-way bill login needs both user ID and password; ","")</f>
        <v/>
      </c>
    </row>
    <row r="542">
      <c r="A542" s="32" t="n"/>
      <c r="B542" s="33" t="n"/>
      <c r="C542" s="33" t="n"/>
      <c r="D542" s="33" t="n"/>
      <c r="E542" s="32" t="n"/>
      <c r="F542" s="32" t="n"/>
      <c r="G542" s="32" t="n"/>
      <c r="H542" s="32" t="n"/>
      <c r="I542" s="32" t="n"/>
      <c r="J542" s="34" t="n"/>
      <c r="K542" s="33" t="n"/>
      <c r="L542" s="32" t="n"/>
      <c r="M542" s="33" t="n"/>
      <c r="N542" s="33" t="n"/>
      <c r="O542" s="33" t="n"/>
      <c r="P542" s="32" t="n"/>
      <c r="Q542" s="33" t="n"/>
      <c r="R542" s="33" t="n"/>
      <c r="S542" s="33" t="n"/>
      <c r="T542" s="33" t="n"/>
      <c r="U542" s="32" t="n"/>
      <c r="V542" s="33" t="n"/>
      <c r="W542" s="33" t="n"/>
      <c r="X542" s="33" t="n"/>
      <c r="Y542" s="33" t="n"/>
      <c r="Z542" s="33" t="n"/>
      <c r="AA542" s="33" t="n"/>
      <c r="AB542" s="33" t="n"/>
      <c r="AC542" s="33" t="n"/>
      <c r="AD542" s="33" t="n"/>
      <c r="AE542" s="33" t="n"/>
      <c r="AF542" s="32" t="n"/>
      <c r="AG542" s="32" t="n"/>
      <c r="AH542" s="32" t="n"/>
      <c r="AI542" s="32" t="n"/>
      <c r="AJ542" s="32" t="n"/>
      <c r="AK542" s="32" t="n"/>
      <c r="AL542" s="32" t="n"/>
      <c r="AM542" s="32" t="n"/>
      <c r="AN542" s="32" t="n"/>
      <c r="AO542" s="32" t="n"/>
      <c r="AP542" s="32" t="n"/>
      <c r="AQ542" s="32" t="n"/>
      <c r="AR542" s="29">
        <f>IF(NOT(COUNTA(A542:AE542)&gt;0),"",IF(A542="","New client","Update"))</f>
        <v/>
      </c>
      <c r="AS542" s="29">
        <f>IF(BA542&lt;&gt;"",BA542,IF(LEN(AZ542)=15,MID(AZ542,3,10),""))</f>
        <v/>
      </c>
      <c r="AT542" s="29">
        <f>IF(BB542="","",BB542&amp;IF(D542="","  (guessed from PAN)",""))</f>
        <v/>
      </c>
      <c r="AU542" s="29">
        <f>IF(AZ542="","",IFERROR(INDEX(Lists!$L$2:$L$38,MATCH(LEFT(AZ542,2),Lists!$K$2:$K$38,0)),"Unknown code"))</f>
        <v/>
      </c>
      <c r="AV542" s="29">
        <f>IF(AZ542="","",IFERROR(IF(NOT(AND(LEN(AZ542)=15,ISNUMBER(MATCH(LEFT(AZ542,2),Lists!$K$2:$K$38,0)),SUMPRODUCT(--ISERROR(FIND(MID(MID(AZ542,3,10),{1,2,3,4,5,10},1),"ABCDEFGHIJKLMNOPQRSTUVWXYZ")))=0,SUMPRODUCT(--ISERROR(FIND(MID(MID(AZ542,3,10),{6,7,8,9},1),"0123456789")))=0,ISNUMBER(FIND(MID(AZ542,13,1),"123456789ABCDEFGHIJKLMNOPQRSTUVWXYZ")),MID(AZ542,14,1)="Z")),"Wrong format",IF(MID("0123456789ABCDEFGHIJKLMNOPQRSTUVWXYZ",MOD(36-MOD(SUMPRODUCT(INT((FIND(MID(AZ542,{1,2,3,4,5,6,7,8,9,10,11,12,13,14},1),"0123456789ABCDEFGHIJKLMNOPQRSTUVWXYZ")-1)*{1,2,1,2,1,2,1,2,1,2,1,2,1,2}/36)+MOD((FIND(MID(AZ542,{1,2,3,4,5,6,7,8,9,10,11,12,13,14},1),"0123456789ABCDEFGHIJKLMNOPQRSTUVWXYZ")-1)*{1,2,1,2,1,2,1,2,1,2,1,2,1,2},36)),36),36)+1,1)=MID(AZ542,15,1),"OK","Typo? check digit wrong")),"Wrong format"))</f>
        <v/>
      </c>
      <c r="AW542" s="29">
        <f>IF(BA542="","",IF(AND(LEN(BA542)=10,SUMPRODUCT(--ISERROR(FIND(MID(BA542,{1,2,3,4,5,10},1),"ABCDEFGHIJKLMNOPQRSTUVWXYZ")))=0,SUMPRODUCT(--ISERROR(FIND(MID(BA542,{6,7,8,9},1),"0123456789")))=0),"OK","Wrong format"))</f>
        <v/>
      </c>
      <c r="AX542" s="29">
        <f>IF(TRIM(H542)="","",IF(AND(LEN(UPPER(TRIM(H542)))=10,SUMPRODUCT(--ISERROR(FIND(MID(UPPER(TRIM(H542)),{1,2,3,4,10},1),"ABCDEFGHIJKLMNOPQRSTUVWXYZ")))=0,SUMPRODUCT(--ISERROR(FIND(MID(UPPER(TRIM(H542)),{5,6,7,8,9},1),"0123456789")))=0),"OK","Wrong format"))</f>
        <v/>
      </c>
      <c r="AY542" s="30">
        <f>IF(NOT(COUNTA(A542:AE542)&gt;0),"",IF(BE542&lt;&gt;"","✖ "&amp;LEFT(BE542,LEN(BE542)-2),IF(BD542&gt;0,"✔ Ready — client + "&amp;BD542&amp;" service(s)","✔ Ready — client only")))</f>
        <v/>
      </c>
      <c r="AZ542" s="31">
        <f>UPPER(SUBSTITUTE(TRIM(F542)," ",""))</f>
        <v/>
      </c>
      <c r="BA542" s="31">
        <f>UPPER(SUBSTITUTE(TRIM(E542)," ",""))</f>
        <v/>
      </c>
      <c r="BB542" s="31">
        <f>IF(D542&lt;&gt;"",D542,IFERROR(VLOOKUP(MID(AS542,4,1),Lists!$E$2:$F$8,2,FALSE),""))</f>
        <v/>
      </c>
      <c r="BC542" s="31">
        <f>IFERROR(VLOOKUP(BB542,Lists!$A$2:$C$12,3,FALSE),"")</f>
        <v/>
      </c>
      <c r="BD542" s="31">
        <f>COUNTIF(W542:AC542,"Yes")</f>
        <v/>
      </c>
      <c r="BE542" s="31">
        <f>IF(TRIM(B542)="","Legal name missing; ","")&amp;IF(AND(AV542&lt;&gt;"",AV542&lt;&gt;"OK"),"GSTIN: "&amp;AV542&amp;"; ","")&amp;IF(AND(AW542&lt;&gt;"",AW542&lt;&gt;"OK"),"PAN wrong format; ","")&amp;IF(AND(BA542&lt;&gt;"",LEN(AZ542)=15,MID(AZ542,3,10)&lt;&gt;BA542),"PAN does not match GSTIN; ","")&amp;IF(AND(AX542&lt;&gt;"",AX542&lt;&gt;"OK"),"TAN wrong format; ","")&amp;IF(AS542="","PAN missing; ","")&amp;IF(BB542="","Entity type missing; ","")&amp;IF(AND(AZ542&lt;&gt;"",COUNTIF($AZ$6:$AZ$1005,AZ542)&gt;1),"GSTIN repeated in this sheet; ","")&amp;IF(AND(AS542&lt;&gt;"",COUNTIF($AS$6:$AS$1005,AS542)&gt;1),"PAN repeated in this sheet (same client? put extra GSTINs in Other GSTINs); ","")&amp;IF(AND(BD542&gt;0,V542=""),"Financial year missing; ","")&amp;IF(AND(BD542=0,V542&lt;&gt;""),"Financial year given but no service is Yes; ","")&amp;IF(AND(W542="Yes",AZ542=""),"GST needs a GSTIN; ","")&amp;IF(AND(W542="Yes",X542=""),"GST return frequency missing; ","")&amp;IF(AND(Y542="Yes",TRIM(H542)=""),"TDS needs a TAN; ","")&amp;IF(AND(AA542="Yes",BC542&lt;&gt;"",BC542&lt;&gt;"company",BC542&lt;&gt;"llp"),"ROC is only for a company / LLP; ","")&amp;IF(AND(AA542="Yes",OR(BC542="company",BC542="llp"),TRIM(I542)=""),"ROC needs the CIN / LLPIN; ","")&amp;IF((TRIM(AF542)="")&lt;&gt;(TRIM(AG542)=""),"GST login needs both user ID and password; ","")&amp;IF((TRIM(AH542)="")&lt;&gt;(TRIM(AI542)=""),"Income-tax login needs both user ID and password; ","")&amp;IF((TRIM(AJ542)="")&lt;&gt;(TRIM(AK542)=""),"Income-tax login needs both user ID and password; ","")&amp;IF((TRIM(AL542)="")&lt;&gt;(TRIM(AM542)=""),"TRACES login needs both user ID and password; ","")&amp;IF((TRIM(AN542)="")&lt;&gt;(TRIM(AO542)=""),"MCA login needs both user ID and password; ","")&amp;IF((TRIM(AP542)="")&lt;&gt;(TRIM(AQ542)=""),"E-way bill login needs both user ID and password; ","")</f>
        <v/>
      </c>
    </row>
    <row r="543">
      <c r="A543" s="32" t="n"/>
      <c r="B543" s="33" t="n"/>
      <c r="C543" s="33" t="n"/>
      <c r="D543" s="33" t="n"/>
      <c r="E543" s="32" t="n"/>
      <c r="F543" s="32" t="n"/>
      <c r="G543" s="32" t="n"/>
      <c r="H543" s="32" t="n"/>
      <c r="I543" s="32" t="n"/>
      <c r="J543" s="34" t="n"/>
      <c r="K543" s="33" t="n"/>
      <c r="L543" s="32" t="n"/>
      <c r="M543" s="33" t="n"/>
      <c r="N543" s="33" t="n"/>
      <c r="O543" s="33" t="n"/>
      <c r="P543" s="32" t="n"/>
      <c r="Q543" s="33" t="n"/>
      <c r="R543" s="33" t="n"/>
      <c r="S543" s="33" t="n"/>
      <c r="T543" s="33" t="n"/>
      <c r="U543" s="32" t="n"/>
      <c r="V543" s="33" t="n"/>
      <c r="W543" s="33" t="n"/>
      <c r="X543" s="33" t="n"/>
      <c r="Y543" s="33" t="n"/>
      <c r="Z543" s="33" t="n"/>
      <c r="AA543" s="33" t="n"/>
      <c r="AB543" s="33" t="n"/>
      <c r="AC543" s="33" t="n"/>
      <c r="AD543" s="33" t="n"/>
      <c r="AE543" s="33" t="n"/>
      <c r="AF543" s="32" t="n"/>
      <c r="AG543" s="32" t="n"/>
      <c r="AH543" s="32" t="n"/>
      <c r="AI543" s="32" t="n"/>
      <c r="AJ543" s="32" t="n"/>
      <c r="AK543" s="32" t="n"/>
      <c r="AL543" s="32" t="n"/>
      <c r="AM543" s="32" t="n"/>
      <c r="AN543" s="32" t="n"/>
      <c r="AO543" s="32" t="n"/>
      <c r="AP543" s="32" t="n"/>
      <c r="AQ543" s="32" t="n"/>
      <c r="AR543" s="29">
        <f>IF(NOT(COUNTA(A543:AE543)&gt;0),"",IF(A543="","New client","Update"))</f>
        <v/>
      </c>
      <c r="AS543" s="29">
        <f>IF(BA543&lt;&gt;"",BA543,IF(LEN(AZ543)=15,MID(AZ543,3,10),""))</f>
        <v/>
      </c>
      <c r="AT543" s="29">
        <f>IF(BB543="","",BB543&amp;IF(D543="","  (guessed from PAN)",""))</f>
        <v/>
      </c>
      <c r="AU543" s="29">
        <f>IF(AZ543="","",IFERROR(INDEX(Lists!$L$2:$L$38,MATCH(LEFT(AZ543,2),Lists!$K$2:$K$38,0)),"Unknown code"))</f>
        <v/>
      </c>
      <c r="AV543" s="29">
        <f>IF(AZ543="","",IFERROR(IF(NOT(AND(LEN(AZ543)=15,ISNUMBER(MATCH(LEFT(AZ543,2),Lists!$K$2:$K$38,0)),SUMPRODUCT(--ISERROR(FIND(MID(MID(AZ543,3,10),{1,2,3,4,5,10},1),"ABCDEFGHIJKLMNOPQRSTUVWXYZ")))=0,SUMPRODUCT(--ISERROR(FIND(MID(MID(AZ543,3,10),{6,7,8,9},1),"0123456789")))=0,ISNUMBER(FIND(MID(AZ543,13,1),"123456789ABCDEFGHIJKLMNOPQRSTUVWXYZ")),MID(AZ543,14,1)="Z")),"Wrong format",IF(MID("0123456789ABCDEFGHIJKLMNOPQRSTUVWXYZ",MOD(36-MOD(SUMPRODUCT(INT((FIND(MID(AZ543,{1,2,3,4,5,6,7,8,9,10,11,12,13,14},1),"0123456789ABCDEFGHIJKLMNOPQRSTUVWXYZ")-1)*{1,2,1,2,1,2,1,2,1,2,1,2,1,2}/36)+MOD((FIND(MID(AZ543,{1,2,3,4,5,6,7,8,9,10,11,12,13,14},1),"0123456789ABCDEFGHIJKLMNOPQRSTUVWXYZ")-1)*{1,2,1,2,1,2,1,2,1,2,1,2,1,2},36)),36),36)+1,1)=MID(AZ543,15,1),"OK","Typo? check digit wrong")),"Wrong format"))</f>
        <v/>
      </c>
      <c r="AW543" s="29">
        <f>IF(BA543="","",IF(AND(LEN(BA543)=10,SUMPRODUCT(--ISERROR(FIND(MID(BA543,{1,2,3,4,5,10},1),"ABCDEFGHIJKLMNOPQRSTUVWXYZ")))=0,SUMPRODUCT(--ISERROR(FIND(MID(BA543,{6,7,8,9},1),"0123456789")))=0),"OK","Wrong format"))</f>
        <v/>
      </c>
      <c r="AX543" s="29">
        <f>IF(TRIM(H543)="","",IF(AND(LEN(UPPER(TRIM(H543)))=10,SUMPRODUCT(--ISERROR(FIND(MID(UPPER(TRIM(H543)),{1,2,3,4,10},1),"ABCDEFGHIJKLMNOPQRSTUVWXYZ")))=0,SUMPRODUCT(--ISERROR(FIND(MID(UPPER(TRIM(H543)),{5,6,7,8,9},1),"0123456789")))=0),"OK","Wrong format"))</f>
        <v/>
      </c>
      <c r="AY543" s="30">
        <f>IF(NOT(COUNTA(A543:AE543)&gt;0),"",IF(BE543&lt;&gt;"","✖ "&amp;LEFT(BE543,LEN(BE543)-2),IF(BD543&gt;0,"✔ Ready — client + "&amp;BD543&amp;" service(s)","✔ Ready — client only")))</f>
        <v/>
      </c>
      <c r="AZ543" s="31">
        <f>UPPER(SUBSTITUTE(TRIM(F543)," ",""))</f>
        <v/>
      </c>
      <c r="BA543" s="31">
        <f>UPPER(SUBSTITUTE(TRIM(E543)," ",""))</f>
        <v/>
      </c>
      <c r="BB543" s="31">
        <f>IF(D543&lt;&gt;"",D543,IFERROR(VLOOKUP(MID(AS543,4,1),Lists!$E$2:$F$8,2,FALSE),""))</f>
        <v/>
      </c>
      <c r="BC543" s="31">
        <f>IFERROR(VLOOKUP(BB543,Lists!$A$2:$C$12,3,FALSE),"")</f>
        <v/>
      </c>
      <c r="BD543" s="31">
        <f>COUNTIF(W543:AC543,"Yes")</f>
        <v/>
      </c>
      <c r="BE543" s="31">
        <f>IF(TRIM(B543)="","Legal name missing; ","")&amp;IF(AND(AV543&lt;&gt;"",AV543&lt;&gt;"OK"),"GSTIN: "&amp;AV543&amp;"; ","")&amp;IF(AND(AW543&lt;&gt;"",AW543&lt;&gt;"OK"),"PAN wrong format; ","")&amp;IF(AND(BA543&lt;&gt;"",LEN(AZ543)=15,MID(AZ543,3,10)&lt;&gt;BA543),"PAN does not match GSTIN; ","")&amp;IF(AND(AX543&lt;&gt;"",AX543&lt;&gt;"OK"),"TAN wrong format; ","")&amp;IF(AS543="","PAN missing; ","")&amp;IF(BB543="","Entity type missing; ","")&amp;IF(AND(AZ543&lt;&gt;"",COUNTIF($AZ$6:$AZ$1005,AZ543)&gt;1),"GSTIN repeated in this sheet; ","")&amp;IF(AND(AS543&lt;&gt;"",COUNTIF($AS$6:$AS$1005,AS543)&gt;1),"PAN repeated in this sheet (same client? put extra GSTINs in Other GSTINs); ","")&amp;IF(AND(BD543&gt;0,V543=""),"Financial year missing; ","")&amp;IF(AND(BD543=0,V543&lt;&gt;""),"Financial year given but no service is Yes; ","")&amp;IF(AND(W543="Yes",AZ543=""),"GST needs a GSTIN; ","")&amp;IF(AND(W543="Yes",X543=""),"GST return frequency missing; ","")&amp;IF(AND(Y543="Yes",TRIM(H543)=""),"TDS needs a TAN; ","")&amp;IF(AND(AA543="Yes",BC543&lt;&gt;"",BC543&lt;&gt;"company",BC543&lt;&gt;"llp"),"ROC is only for a company / LLP; ","")&amp;IF(AND(AA543="Yes",OR(BC543="company",BC543="llp"),TRIM(I543)=""),"ROC needs the CIN / LLPIN; ","")&amp;IF((TRIM(AF543)="")&lt;&gt;(TRIM(AG543)=""),"GST login needs both user ID and password; ","")&amp;IF((TRIM(AH543)="")&lt;&gt;(TRIM(AI543)=""),"Income-tax login needs both user ID and password; ","")&amp;IF((TRIM(AJ543)="")&lt;&gt;(TRIM(AK543)=""),"Income-tax login needs both user ID and password; ","")&amp;IF((TRIM(AL543)="")&lt;&gt;(TRIM(AM543)=""),"TRACES login needs both user ID and password; ","")&amp;IF((TRIM(AN543)="")&lt;&gt;(TRIM(AO543)=""),"MCA login needs both user ID and password; ","")&amp;IF((TRIM(AP543)="")&lt;&gt;(TRIM(AQ543)=""),"E-way bill login needs both user ID and password; ","")</f>
        <v/>
      </c>
    </row>
    <row r="544">
      <c r="A544" s="32" t="n"/>
      <c r="B544" s="33" t="n"/>
      <c r="C544" s="33" t="n"/>
      <c r="D544" s="33" t="n"/>
      <c r="E544" s="32" t="n"/>
      <c r="F544" s="32" t="n"/>
      <c r="G544" s="32" t="n"/>
      <c r="H544" s="32" t="n"/>
      <c r="I544" s="32" t="n"/>
      <c r="J544" s="34" t="n"/>
      <c r="K544" s="33" t="n"/>
      <c r="L544" s="32" t="n"/>
      <c r="M544" s="33" t="n"/>
      <c r="N544" s="33" t="n"/>
      <c r="O544" s="33" t="n"/>
      <c r="P544" s="32" t="n"/>
      <c r="Q544" s="33" t="n"/>
      <c r="R544" s="33" t="n"/>
      <c r="S544" s="33" t="n"/>
      <c r="T544" s="33" t="n"/>
      <c r="U544" s="32" t="n"/>
      <c r="V544" s="33" t="n"/>
      <c r="W544" s="33" t="n"/>
      <c r="X544" s="33" t="n"/>
      <c r="Y544" s="33" t="n"/>
      <c r="Z544" s="33" t="n"/>
      <c r="AA544" s="33" t="n"/>
      <c r="AB544" s="33" t="n"/>
      <c r="AC544" s="33" t="n"/>
      <c r="AD544" s="33" t="n"/>
      <c r="AE544" s="33" t="n"/>
      <c r="AF544" s="32" t="n"/>
      <c r="AG544" s="32" t="n"/>
      <c r="AH544" s="32" t="n"/>
      <c r="AI544" s="32" t="n"/>
      <c r="AJ544" s="32" t="n"/>
      <c r="AK544" s="32" t="n"/>
      <c r="AL544" s="32" t="n"/>
      <c r="AM544" s="32" t="n"/>
      <c r="AN544" s="32" t="n"/>
      <c r="AO544" s="32" t="n"/>
      <c r="AP544" s="32" t="n"/>
      <c r="AQ544" s="32" t="n"/>
      <c r="AR544" s="29">
        <f>IF(NOT(COUNTA(A544:AE544)&gt;0),"",IF(A544="","New client","Update"))</f>
        <v/>
      </c>
      <c r="AS544" s="29">
        <f>IF(BA544&lt;&gt;"",BA544,IF(LEN(AZ544)=15,MID(AZ544,3,10),""))</f>
        <v/>
      </c>
      <c r="AT544" s="29">
        <f>IF(BB544="","",BB544&amp;IF(D544="","  (guessed from PAN)",""))</f>
        <v/>
      </c>
      <c r="AU544" s="29">
        <f>IF(AZ544="","",IFERROR(INDEX(Lists!$L$2:$L$38,MATCH(LEFT(AZ544,2),Lists!$K$2:$K$38,0)),"Unknown code"))</f>
        <v/>
      </c>
      <c r="AV544" s="29">
        <f>IF(AZ544="","",IFERROR(IF(NOT(AND(LEN(AZ544)=15,ISNUMBER(MATCH(LEFT(AZ544,2),Lists!$K$2:$K$38,0)),SUMPRODUCT(--ISERROR(FIND(MID(MID(AZ544,3,10),{1,2,3,4,5,10},1),"ABCDEFGHIJKLMNOPQRSTUVWXYZ")))=0,SUMPRODUCT(--ISERROR(FIND(MID(MID(AZ544,3,10),{6,7,8,9},1),"0123456789")))=0,ISNUMBER(FIND(MID(AZ544,13,1),"123456789ABCDEFGHIJKLMNOPQRSTUVWXYZ")),MID(AZ544,14,1)="Z")),"Wrong format",IF(MID("0123456789ABCDEFGHIJKLMNOPQRSTUVWXYZ",MOD(36-MOD(SUMPRODUCT(INT((FIND(MID(AZ544,{1,2,3,4,5,6,7,8,9,10,11,12,13,14},1),"0123456789ABCDEFGHIJKLMNOPQRSTUVWXYZ")-1)*{1,2,1,2,1,2,1,2,1,2,1,2,1,2}/36)+MOD((FIND(MID(AZ544,{1,2,3,4,5,6,7,8,9,10,11,12,13,14},1),"0123456789ABCDEFGHIJKLMNOPQRSTUVWXYZ")-1)*{1,2,1,2,1,2,1,2,1,2,1,2,1,2},36)),36),36)+1,1)=MID(AZ544,15,1),"OK","Typo? check digit wrong")),"Wrong format"))</f>
        <v/>
      </c>
      <c r="AW544" s="29">
        <f>IF(BA544="","",IF(AND(LEN(BA544)=10,SUMPRODUCT(--ISERROR(FIND(MID(BA544,{1,2,3,4,5,10},1),"ABCDEFGHIJKLMNOPQRSTUVWXYZ")))=0,SUMPRODUCT(--ISERROR(FIND(MID(BA544,{6,7,8,9},1),"0123456789")))=0),"OK","Wrong format"))</f>
        <v/>
      </c>
      <c r="AX544" s="29">
        <f>IF(TRIM(H544)="","",IF(AND(LEN(UPPER(TRIM(H544)))=10,SUMPRODUCT(--ISERROR(FIND(MID(UPPER(TRIM(H544)),{1,2,3,4,10},1),"ABCDEFGHIJKLMNOPQRSTUVWXYZ")))=0,SUMPRODUCT(--ISERROR(FIND(MID(UPPER(TRIM(H544)),{5,6,7,8,9},1),"0123456789")))=0),"OK","Wrong format"))</f>
        <v/>
      </c>
      <c r="AY544" s="30">
        <f>IF(NOT(COUNTA(A544:AE544)&gt;0),"",IF(BE544&lt;&gt;"","✖ "&amp;LEFT(BE544,LEN(BE544)-2),IF(BD544&gt;0,"✔ Ready — client + "&amp;BD544&amp;" service(s)","✔ Ready — client only")))</f>
        <v/>
      </c>
      <c r="AZ544" s="31">
        <f>UPPER(SUBSTITUTE(TRIM(F544)," ",""))</f>
        <v/>
      </c>
      <c r="BA544" s="31">
        <f>UPPER(SUBSTITUTE(TRIM(E544)," ",""))</f>
        <v/>
      </c>
      <c r="BB544" s="31">
        <f>IF(D544&lt;&gt;"",D544,IFERROR(VLOOKUP(MID(AS544,4,1),Lists!$E$2:$F$8,2,FALSE),""))</f>
        <v/>
      </c>
      <c r="BC544" s="31">
        <f>IFERROR(VLOOKUP(BB544,Lists!$A$2:$C$12,3,FALSE),"")</f>
        <v/>
      </c>
      <c r="BD544" s="31">
        <f>COUNTIF(W544:AC544,"Yes")</f>
        <v/>
      </c>
      <c r="BE544" s="31">
        <f>IF(TRIM(B544)="","Legal name missing; ","")&amp;IF(AND(AV544&lt;&gt;"",AV544&lt;&gt;"OK"),"GSTIN: "&amp;AV544&amp;"; ","")&amp;IF(AND(AW544&lt;&gt;"",AW544&lt;&gt;"OK"),"PAN wrong format; ","")&amp;IF(AND(BA544&lt;&gt;"",LEN(AZ544)=15,MID(AZ544,3,10)&lt;&gt;BA544),"PAN does not match GSTIN; ","")&amp;IF(AND(AX544&lt;&gt;"",AX544&lt;&gt;"OK"),"TAN wrong format; ","")&amp;IF(AS544="","PAN missing; ","")&amp;IF(BB544="","Entity type missing; ","")&amp;IF(AND(AZ544&lt;&gt;"",COUNTIF($AZ$6:$AZ$1005,AZ544)&gt;1),"GSTIN repeated in this sheet; ","")&amp;IF(AND(AS544&lt;&gt;"",COUNTIF($AS$6:$AS$1005,AS544)&gt;1),"PAN repeated in this sheet (same client? put extra GSTINs in Other GSTINs); ","")&amp;IF(AND(BD544&gt;0,V544=""),"Financial year missing; ","")&amp;IF(AND(BD544=0,V544&lt;&gt;""),"Financial year given but no service is Yes; ","")&amp;IF(AND(W544="Yes",AZ544=""),"GST needs a GSTIN; ","")&amp;IF(AND(W544="Yes",X544=""),"GST return frequency missing; ","")&amp;IF(AND(Y544="Yes",TRIM(H544)=""),"TDS needs a TAN; ","")&amp;IF(AND(AA544="Yes",BC544&lt;&gt;"",BC544&lt;&gt;"company",BC544&lt;&gt;"llp"),"ROC is only for a company / LLP; ","")&amp;IF(AND(AA544="Yes",OR(BC544="company",BC544="llp"),TRIM(I544)=""),"ROC needs the CIN / LLPIN; ","")&amp;IF((TRIM(AF544)="")&lt;&gt;(TRIM(AG544)=""),"GST login needs both user ID and password; ","")&amp;IF((TRIM(AH544)="")&lt;&gt;(TRIM(AI544)=""),"Income-tax login needs both user ID and password; ","")&amp;IF((TRIM(AJ544)="")&lt;&gt;(TRIM(AK544)=""),"Income-tax login needs both user ID and password; ","")&amp;IF((TRIM(AL544)="")&lt;&gt;(TRIM(AM544)=""),"TRACES login needs both user ID and password; ","")&amp;IF((TRIM(AN544)="")&lt;&gt;(TRIM(AO544)=""),"MCA login needs both user ID and password; ","")&amp;IF((TRIM(AP544)="")&lt;&gt;(TRIM(AQ544)=""),"E-way bill login needs both user ID and password; ","")</f>
        <v/>
      </c>
    </row>
    <row r="545">
      <c r="A545" s="32" t="n"/>
      <c r="B545" s="33" t="n"/>
      <c r="C545" s="33" t="n"/>
      <c r="D545" s="33" t="n"/>
      <c r="E545" s="32" t="n"/>
      <c r="F545" s="32" t="n"/>
      <c r="G545" s="32" t="n"/>
      <c r="H545" s="32" t="n"/>
      <c r="I545" s="32" t="n"/>
      <c r="J545" s="34" t="n"/>
      <c r="K545" s="33" t="n"/>
      <c r="L545" s="32" t="n"/>
      <c r="M545" s="33" t="n"/>
      <c r="N545" s="33" t="n"/>
      <c r="O545" s="33" t="n"/>
      <c r="P545" s="32" t="n"/>
      <c r="Q545" s="33" t="n"/>
      <c r="R545" s="33" t="n"/>
      <c r="S545" s="33" t="n"/>
      <c r="T545" s="33" t="n"/>
      <c r="U545" s="32" t="n"/>
      <c r="V545" s="33" t="n"/>
      <c r="W545" s="33" t="n"/>
      <c r="X545" s="33" t="n"/>
      <c r="Y545" s="33" t="n"/>
      <c r="Z545" s="33" t="n"/>
      <c r="AA545" s="33" t="n"/>
      <c r="AB545" s="33" t="n"/>
      <c r="AC545" s="33" t="n"/>
      <c r="AD545" s="33" t="n"/>
      <c r="AE545" s="33" t="n"/>
      <c r="AF545" s="32" t="n"/>
      <c r="AG545" s="32" t="n"/>
      <c r="AH545" s="32" t="n"/>
      <c r="AI545" s="32" t="n"/>
      <c r="AJ545" s="32" t="n"/>
      <c r="AK545" s="32" t="n"/>
      <c r="AL545" s="32" t="n"/>
      <c r="AM545" s="32" t="n"/>
      <c r="AN545" s="32" t="n"/>
      <c r="AO545" s="32" t="n"/>
      <c r="AP545" s="32" t="n"/>
      <c r="AQ545" s="32" t="n"/>
      <c r="AR545" s="29">
        <f>IF(NOT(COUNTA(A545:AE545)&gt;0),"",IF(A545="","New client","Update"))</f>
        <v/>
      </c>
      <c r="AS545" s="29">
        <f>IF(BA545&lt;&gt;"",BA545,IF(LEN(AZ545)=15,MID(AZ545,3,10),""))</f>
        <v/>
      </c>
      <c r="AT545" s="29">
        <f>IF(BB545="","",BB545&amp;IF(D545="","  (guessed from PAN)",""))</f>
        <v/>
      </c>
      <c r="AU545" s="29">
        <f>IF(AZ545="","",IFERROR(INDEX(Lists!$L$2:$L$38,MATCH(LEFT(AZ545,2),Lists!$K$2:$K$38,0)),"Unknown code"))</f>
        <v/>
      </c>
      <c r="AV545" s="29">
        <f>IF(AZ545="","",IFERROR(IF(NOT(AND(LEN(AZ545)=15,ISNUMBER(MATCH(LEFT(AZ545,2),Lists!$K$2:$K$38,0)),SUMPRODUCT(--ISERROR(FIND(MID(MID(AZ545,3,10),{1,2,3,4,5,10},1),"ABCDEFGHIJKLMNOPQRSTUVWXYZ")))=0,SUMPRODUCT(--ISERROR(FIND(MID(MID(AZ545,3,10),{6,7,8,9},1),"0123456789")))=0,ISNUMBER(FIND(MID(AZ545,13,1),"123456789ABCDEFGHIJKLMNOPQRSTUVWXYZ")),MID(AZ545,14,1)="Z")),"Wrong format",IF(MID("0123456789ABCDEFGHIJKLMNOPQRSTUVWXYZ",MOD(36-MOD(SUMPRODUCT(INT((FIND(MID(AZ545,{1,2,3,4,5,6,7,8,9,10,11,12,13,14},1),"0123456789ABCDEFGHIJKLMNOPQRSTUVWXYZ")-1)*{1,2,1,2,1,2,1,2,1,2,1,2,1,2}/36)+MOD((FIND(MID(AZ545,{1,2,3,4,5,6,7,8,9,10,11,12,13,14},1),"0123456789ABCDEFGHIJKLMNOPQRSTUVWXYZ")-1)*{1,2,1,2,1,2,1,2,1,2,1,2,1,2},36)),36),36)+1,1)=MID(AZ545,15,1),"OK","Typo? check digit wrong")),"Wrong format"))</f>
        <v/>
      </c>
      <c r="AW545" s="29">
        <f>IF(BA545="","",IF(AND(LEN(BA545)=10,SUMPRODUCT(--ISERROR(FIND(MID(BA545,{1,2,3,4,5,10},1),"ABCDEFGHIJKLMNOPQRSTUVWXYZ")))=0,SUMPRODUCT(--ISERROR(FIND(MID(BA545,{6,7,8,9},1),"0123456789")))=0),"OK","Wrong format"))</f>
        <v/>
      </c>
      <c r="AX545" s="29">
        <f>IF(TRIM(H545)="","",IF(AND(LEN(UPPER(TRIM(H545)))=10,SUMPRODUCT(--ISERROR(FIND(MID(UPPER(TRIM(H545)),{1,2,3,4,10},1),"ABCDEFGHIJKLMNOPQRSTUVWXYZ")))=0,SUMPRODUCT(--ISERROR(FIND(MID(UPPER(TRIM(H545)),{5,6,7,8,9},1),"0123456789")))=0),"OK","Wrong format"))</f>
        <v/>
      </c>
      <c r="AY545" s="30">
        <f>IF(NOT(COUNTA(A545:AE545)&gt;0),"",IF(BE545&lt;&gt;"","✖ "&amp;LEFT(BE545,LEN(BE545)-2),IF(BD545&gt;0,"✔ Ready — client + "&amp;BD545&amp;" service(s)","✔ Ready — client only")))</f>
        <v/>
      </c>
      <c r="AZ545" s="31">
        <f>UPPER(SUBSTITUTE(TRIM(F545)," ",""))</f>
        <v/>
      </c>
      <c r="BA545" s="31">
        <f>UPPER(SUBSTITUTE(TRIM(E545)," ",""))</f>
        <v/>
      </c>
      <c r="BB545" s="31">
        <f>IF(D545&lt;&gt;"",D545,IFERROR(VLOOKUP(MID(AS545,4,1),Lists!$E$2:$F$8,2,FALSE),""))</f>
        <v/>
      </c>
      <c r="BC545" s="31">
        <f>IFERROR(VLOOKUP(BB545,Lists!$A$2:$C$12,3,FALSE),"")</f>
        <v/>
      </c>
      <c r="BD545" s="31">
        <f>COUNTIF(W545:AC545,"Yes")</f>
        <v/>
      </c>
      <c r="BE545" s="31">
        <f>IF(TRIM(B545)="","Legal name missing; ","")&amp;IF(AND(AV545&lt;&gt;"",AV545&lt;&gt;"OK"),"GSTIN: "&amp;AV545&amp;"; ","")&amp;IF(AND(AW545&lt;&gt;"",AW545&lt;&gt;"OK"),"PAN wrong format; ","")&amp;IF(AND(BA545&lt;&gt;"",LEN(AZ545)=15,MID(AZ545,3,10)&lt;&gt;BA545),"PAN does not match GSTIN; ","")&amp;IF(AND(AX545&lt;&gt;"",AX545&lt;&gt;"OK"),"TAN wrong format; ","")&amp;IF(AS545="","PAN missing; ","")&amp;IF(BB545="","Entity type missing; ","")&amp;IF(AND(AZ545&lt;&gt;"",COUNTIF($AZ$6:$AZ$1005,AZ545)&gt;1),"GSTIN repeated in this sheet; ","")&amp;IF(AND(AS545&lt;&gt;"",COUNTIF($AS$6:$AS$1005,AS545)&gt;1),"PAN repeated in this sheet (same client? put extra GSTINs in Other GSTINs); ","")&amp;IF(AND(BD545&gt;0,V545=""),"Financial year missing; ","")&amp;IF(AND(BD545=0,V545&lt;&gt;""),"Financial year given but no service is Yes; ","")&amp;IF(AND(W545="Yes",AZ545=""),"GST needs a GSTIN; ","")&amp;IF(AND(W545="Yes",X545=""),"GST return frequency missing; ","")&amp;IF(AND(Y545="Yes",TRIM(H545)=""),"TDS needs a TAN; ","")&amp;IF(AND(AA545="Yes",BC545&lt;&gt;"",BC545&lt;&gt;"company",BC545&lt;&gt;"llp"),"ROC is only for a company / LLP; ","")&amp;IF(AND(AA545="Yes",OR(BC545="company",BC545="llp"),TRIM(I545)=""),"ROC needs the CIN / LLPIN; ","")&amp;IF((TRIM(AF545)="")&lt;&gt;(TRIM(AG545)=""),"GST login needs both user ID and password; ","")&amp;IF((TRIM(AH545)="")&lt;&gt;(TRIM(AI545)=""),"Income-tax login needs both user ID and password; ","")&amp;IF((TRIM(AJ545)="")&lt;&gt;(TRIM(AK545)=""),"Income-tax login needs both user ID and password; ","")&amp;IF((TRIM(AL545)="")&lt;&gt;(TRIM(AM545)=""),"TRACES login needs both user ID and password; ","")&amp;IF((TRIM(AN545)="")&lt;&gt;(TRIM(AO545)=""),"MCA login needs both user ID and password; ","")&amp;IF((TRIM(AP545)="")&lt;&gt;(TRIM(AQ545)=""),"E-way bill login needs both user ID and password; ","")</f>
        <v/>
      </c>
    </row>
    <row r="546">
      <c r="A546" s="32" t="n"/>
      <c r="B546" s="33" t="n"/>
      <c r="C546" s="33" t="n"/>
      <c r="D546" s="33" t="n"/>
      <c r="E546" s="32" t="n"/>
      <c r="F546" s="32" t="n"/>
      <c r="G546" s="32" t="n"/>
      <c r="H546" s="32" t="n"/>
      <c r="I546" s="32" t="n"/>
      <c r="J546" s="34" t="n"/>
      <c r="K546" s="33" t="n"/>
      <c r="L546" s="32" t="n"/>
      <c r="M546" s="33" t="n"/>
      <c r="N546" s="33" t="n"/>
      <c r="O546" s="33" t="n"/>
      <c r="P546" s="32" t="n"/>
      <c r="Q546" s="33" t="n"/>
      <c r="R546" s="33" t="n"/>
      <c r="S546" s="33" t="n"/>
      <c r="T546" s="33" t="n"/>
      <c r="U546" s="32" t="n"/>
      <c r="V546" s="33" t="n"/>
      <c r="W546" s="33" t="n"/>
      <c r="X546" s="33" t="n"/>
      <c r="Y546" s="33" t="n"/>
      <c r="Z546" s="33" t="n"/>
      <c r="AA546" s="33" t="n"/>
      <c r="AB546" s="33" t="n"/>
      <c r="AC546" s="33" t="n"/>
      <c r="AD546" s="33" t="n"/>
      <c r="AE546" s="33" t="n"/>
      <c r="AF546" s="32" t="n"/>
      <c r="AG546" s="32" t="n"/>
      <c r="AH546" s="32" t="n"/>
      <c r="AI546" s="32" t="n"/>
      <c r="AJ546" s="32" t="n"/>
      <c r="AK546" s="32" t="n"/>
      <c r="AL546" s="32" t="n"/>
      <c r="AM546" s="32" t="n"/>
      <c r="AN546" s="32" t="n"/>
      <c r="AO546" s="32" t="n"/>
      <c r="AP546" s="32" t="n"/>
      <c r="AQ546" s="32" t="n"/>
      <c r="AR546" s="29">
        <f>IF(NOT(COUNTA(A546:AE546)&gt;0),"",IF(A546="","New client","Update"))</f>
        <v/>
      </c>
      <c r="AS546" s="29">
        <f>IF(BA546&lt;&gt;"",BA546,IF(LEN(AZ546)=15,MID(AZ546,3,10),""))</f>
        <v/>
      </c>
      <c r="AT546" s="29">
        <f>IF(BB546="","",BB546&amp;IF(D546="","  (guessed from PAN)",""))</f>
        <v/>
      </c>
      <c r="AU546" s="29">
        <f>IF(AZ546="","",IFERROR(INDEX(Lists!$L$2:$L$38,MATCH(LEFT(AZ546,2),Lists!$K$2:$K$38,0)),"Unknown code"))</f>
        <v/>
      </c>
      <c r="AV546" s="29">
        <f>IF(AZ546="","",IFERROR(IF(NOT(AND(LEN(AZ546)=15,ISNUMBER(MATCH(LEFT(AZ546,2),Lists!$K$2:$K$38,0)),SUMPRODUCT(--ISERROR(FIND(MID(MID(AZ546,3,10),{1,2,3,4,5,10},1),"ABCDEFGHIJKLMNOPQRSTUVWXYZ")))=0,SUMPRODUCT(--ISERROR(FIND(MID(MID(AZ546,3,10),{6,7,8,9},1),"0123456789")))=0,ISNUMBER(FIND(MID(AZ546,13,1),"123456789ABCDEFGHIJKLMNOPQRSTUVWXYZ")),MID(AZ546,14,1)="Z")),"Wrong format",IF(MID("0123456789ABCDEFGHIJKLMNOPQRSTUVWXYZ",MOD(36-MOD(SUMPRODUCT(INT((FIND(MID(AZ546,{1,2,3,4,5,6,7,8,9,10,11,12,13,14},1),"0123456789ABCDEFGHIJKLMNOPQRSTUVWXYZ")-1)*{1,2,1,2,1,2,1,2,1,2,1,2,1,2}/36)+MOD((FIND(MID(AZ546,{1,2,3,4,5,6,7,8,9,10,11,12,13,14},1),"0123456789ABCDEFGHIJKLMNOPQRSTUVWXYZ")-1)*{1,2,1,2,1,2,1,2,1,2,1,2,1,2},36)),36),36)+1,1)=MID(AZ546,15,1),"OK","Typo? check digit wrong")),"Wrong format"))</f>
        <v/>
      </c>
      <c r="AW546" s="29">
        <f>IF(BA546="","",IF(AND(LEN(BA546)=10,SUMPRODUCT(--ISERROR(FIND(MID(BA546,{1,2,3,4,5,10},1),"ABCDEFGHIJKLMNOPQRSTUVWXYZ")))=0,SUMPRODUCT(--ISERROR(FIND(MID(BA546,{6,7,8,9},1),"0123456789")))=0),"OK","Wrong format"))</f>
        <v/>
      </c>
      <c r="AX546" s="29">
        <f>IF(TRIM(H546)="","",IF(AND(LEN(UPPER(TRIM(H546)))=10,SUMPRODUCT(--ISERROR(FIND(MID(UPPER(TRIM(H546)),{1,2,3,4,10},1),"ABCDEFGHIJKLMNOPQRSTUVWXYZ")))=0,SUMPRODUCT(--ISERROR(FIND(MID(UPPER(TRIM(H546)),{5,6,7,8,9},1),"0123456789")))=0),"OK","Wrong format"))</f>
        <v/>
      </c>
      <c r="AY546" s="30">
        <f>IF(NOT(COUNTA(A546:AE546)&gt;0),"",IF(BE546&lt;&gt;"","✖ "&amp;LEFT(BE546,LEN(BE546)-2),IF(BD546&gt;0,"✔ Ready — client + "&amp;BD546&amp;" service(s)","✔ Ready — client only")))</f>
        <v/>
      </c>
      <c r="AZ546" s="31">
        <f>UPPER(SUBSTITUTE(TRIM(F546)," ",""))</f>
        <v/>
      </c>
      <c r="BA546" s="31">
        <f>UPPER(SUBSTITUTE(TRIM(E546)," ",""))</f>
        <v/>
      </c>
      <c r="BB546" s="31">
        <f>IF(D546&lt;&gt;"",D546,IFERROR(VLOOKUP(MID(AS546,4,1),Lists!$E$2:$F$8,2,FALSE),""))</f>
        <v/>
      </c>
      <c r="BC546" s="31">
        <f>IFERROR(VLOOKUP(BB546,Lists!$A$2:$C$12,3,FALSE),"")</f>
        <v/>
      </c>
      <c r="BD546" s="31">
        <f>COUNTIF(W546:AC546,"Yes")</f>
        <v/>
      </c>
      <c r="BE546" s="31">
        <f>IF(TRIM(B546)="","Legal name missing; ","")&amp;IF(AND(AV546&lt;&gt;"",AV546&lt;&gt;"OK"),"GSTIN: "&amp;AV546&amp;"; ","")&amp;IF(AND(AW546&lt;&gt;"",AW546&lt;&gt;"OK"),"PAN wrong format; ","")&amp;IF(AND(BA546&lt;&gt;"",LEN(AZ546)=15,MID(AZ546,3,10)&lt;&gt;BA546),"PAN does not match GSTIN; ","")&amp;IF(AND(AX546&lt;&gt;"",AX546&lt;&gt;"OK"),"TAN wrong format; ","")&amp;IF(AS546="","PAN missing; ","")&amp;IF(BB546="","Entity type missing; ","")&amp;IF(AND(AZ546&lt;&gt;"",COUNTIF($AZ$6:$AZ$1005,AZ546)&gt;1),"GSTIN repeated in this sheet; ","")&amp;IF(AND(AS546&lt;&gt;"",COUNTIF($AS$6:$AS$1005,AS546)&gt;1),"PAN repeated in this sheet (same client? put extra GSTINs in Other GSTINs); ","")&amp;IF(AND(BD546&gt;0,V546=""),"Financial year missing; ","")&amp;IF(AND(BD546=0,V546&lt;&gt;""),"Financial year given but no service is Yes; ","")&amp;IF(AND(W546="Yes",AZ546=""),"GST needs a GSTIN; ","")&amp;IF(AND(W546="Yes",X546=""),"GST return frequency missing; ","")&amp;IF(AND(Y546="Yes",TRIM(H546)=""),"TDS needs a TAN; ","")&amp;IF(AND(AA546="Yes",BC546&lt;&gt;"",BC546&lt;&gt;"company",BC546&lt;&gt;"llp"),"ROC is only for a company / LLP; ","")&amp;IF(AND(AA546="Yes",OR(BC546="company",BC546="llp"),TRIM(I546)=""),"ROC needs the CIN / LLPIN; ","")&amp;IF((TRIM(AF546)="")&lt;&gt;(TRIM(AG546)=""),"GST login needs both user ID and password; ","")&amp;IF((TRIM(AH546)="")&lt;&gt;(TRIM(AI546)=""),"Income-tax login needs both user ID and password; ","")&amp;IF((TRIM(AJ546)="")&lt;&gt;(TRIM(AK546)=""),"Income-tax login needs both user ID and password; ","")&amp;IF((TRIM(AL546)="")&lt;&gt;(TRIM(AM546)=""),"TRACES login needs both user ID and password; ","")&amp;IF((TRIM(AN546)="")&lt;&gt;(TRIM(AO546)=""),"MCA login needs both user ID and password; ","")&amp;IF((TRIM(AP546)="")&lt;&gt;(TRIM(AQ546)=""),"E-way bill login needs both user ID and password; ","")</f>
        <v/>
      </c>
    </row>
    <row r="547">
      <c r="A547" s="32" t="n"/>
      <c r="B547" s="33" t="n"/>
      <c r="C547" s="33" t="n"/>
      <c r="D547" s="33" t="n"/>
      <c r="E547" s="32" t="n"/>
      <c r="F547" s="32" t="n"/>
      <c r="G547" s="32" t="n"/>
      <c r="H547" s="32" t="n"/>
      <c r="I547" s="32" t="n"/>
      <c r="J547" s="34" t="n"/>
      <c r="K547" s="33" t="n"/>
      <c r="L547" s="32" t="n"/>
      <c r="M547" s="33" t="n"/>
      <c r="N547" s="33" t="n"/>
      <c r="O547" s="33" t="n"/>
      <c r="P547" s="32" t="n"/>
      <c r="Q547" s="33" t="n"/>
      <c r="R547" s="33" t="n"/>
      <c r="S547" s="33" t="n"/>
      <c r="T547" s="33" t="n"/>
      <c r="U547" s="32" t="n"/>
      <c r="V547" s="33" t="n"/>
      <c r="W547" s="33" t="n"/>
      <c r="X547" s="33" t="n"/>
      <c r="Y547" s="33" t="n"/>
      <c r="Z547" s="33" t="n"/>
      <c r="AA547" s="33" t="n"/>
      <c r="AB547" s="33" t="n"/>
      <c r="AC547" s="33" t="n"/>
      <c r="AD547" s="33" t="n"/>
      <c r="AE547" s="33" t="n"/>
      <c r="AF547" s="32" t="n"/>
      <c r="AG547" s="32" t="n"/>
      <c r="AH547" s="32" t="n"/>
      <c r="AI547" s="32" t="n"/>
      <c r="AJ547" s="32" t="n"/>
      <c r="AK547" s="32" t="n"/>
      <c r="AL547" s="32" t="n"/>
      <c r="AM547" s="32" t="n"/>
      <c r="AN547" s="32" t="n"/>
      <c r="AO547" s="32" t="n"/>
      <c r="AP547" s="32" t="n"/>
      <c r="AQ547" s="32" t="n"/>
      <c r="AR547" s="29">
        <f>IF(NOT(COUNTA(A547:AE547)&gt;0),"",IF(A547="","New client","Update"))</f>
        <v/>
      </c>
      <c r="AS547" s="29">
        <f>IF(BA547&lt;&gt;"",BA547,IF(LEN(AZ547)=15,MID(AZ547,3,10),""))</f>
        <v/>
      </c>
      <c r="AT547" s="29">
        <f>IF(BB547="","",BB547&amp;IF(D547="","  (guessed from PAN)",""))</f>
        <v/>
      </c>
      <c r="AU547" s="29">
        <f>IF(AZ547="","",IFERROR(INDEX(Lists!$L$2:$L$38,MATCH(LEFT(AZ547,2),Lists!$K$2:$K$38,0)),"Unknown code"))</f>
        <v/>
      </c>
      <c r="AV547" s="29">
        <f>IF(AZ547="","",IFERROR(IF(NOT(AND(LEN(AZ547)=15,ISNUMBER(MATCH(LEFT(AZ547,2),Lists!$K$2:$K$38,0)),SUMPRODUCT(--ISERROR(FIND(MID(MID(AZ547,3,10),{1,2,3,4,5,10},1),"ABCDEFGHIJKLMNOPQRSTUVWXYZ")))=0,SUMPRODUCT(--ISERROR(FIND(MID(MID(AZ547,3,10),{6,7,8,9},1),"0123456789")))=0,ISNUMBER(FIND(MID(AZ547,13,1),"123456789ABCDEFGHIJKLMNOPQRSTUVWXYZ")),MID(AZ547,14,1)="Z")),"Wrong format",IF(MID("0123456789ABCDEFGHIJKLMNOPQRSTUVWXYZ",MOD(36-MOD(SUMPRODUCT(INT((FIND(MID(AZ547,{1,2,3,4,5,6,7,8,9,10,11,12,13,14},1),"0123456789ABCDEFGHIJKLMNOPQRSTUVWXYZ")-1)*{1,2,1,2,1,2,1,2,1,2,1,2,1,2}/36)+MOD((FIND(MID(AZ547,{1,2,3,4,5,6,7,8,9,10,11,12,13,14},1),"0123456789ABCDEFGHIJKLMNOPQRSTUVWXYZ")-1)*{1,2,1,2,1,2,1,2,1,2,1,2,1,2},36)),36),36)+1,1)=MID(AZ547,15,1),"OK","Typo? check digit wrong")),"Wrong format"))</f>
        <v/>
      </c>
      <c r="AW547" s="29">
        <f>IF(BA547="","",IF(AND(LEN(BA547)=10,SUMPRODUCT(--ISERROR(FIND(MID(BA547,{1,2,3,4,5,10},1),"ABCDEFGHIJKLMNOPQRSTUVWXYZ")))=0,SUMPRODUCT(--ISERROR(FIND(MID(BA547,{6,7,8,9},1),"0123456789")))=0),"OK","Wrong format"))</f>
        <v/>
      </c>
      <c r="AX547" s="29">
        <f>IF(TRIM(H547)="","",IF(AND(LEN(UPPER(TRIM(H547)))=10,SUMPRODUCT(--ISERROR(FIND(MID(UPPER(TRIM(H547)),{1,2,3,4,10},1),"ABCDEFGHIJKLMNOPQRSTUVWXYZ")))=0,SUMPRODUCT(--ISERROR(FIND(MID(UPPER(TRIM(H547)),{5,6,7,8,9},1),"0123456789")))=0),"OK","Wrong format"))</f>
        <v/>
      </c>
      <c r="AY547" s="30">
        <f>IF(NOT(COUNTA(A547:AE547)&gt;0),"",IF(BE547&lt;&gt;"","✖ "&amp;LEFT(BE547,LEN(BE547)-2),IF(BD547&gt;0,"✔ Ready — client + "&amp;BD547&amp;" service(s)","✔ Ready — client only")))</f>
        <v/>
      </c>
      <c r="AZ547" s="31">
        <f>UPPER(SUBSTITUTE(TRIM(F547)," ",""))</f>
        <v/>
      </c>
      <c r="BA547" s="31">
        <f>UPPER(SUBSTITUTE(TRIM(E547)," ",""))</f>
        <v/>
      </c>
      <c r="BB547" s="31">
        <f>IF(D547&lt;&gt;"",D547,IFERROR(VLOOKUP(MID(AS547,4,1),Lists!$E$2:$F$8,2,FALSE),""))</f>
        <v/>
      </c>
      <c r="BC547" s="31">
        <f>IFERROR(VLOOKUP(BB547,Lists!$A$2:$C$12,3,FALSE),"")</f>
        <v/>
      </c>
      <c r="BD547" s="31">
        <f>COUNTIF(W547:AC547,"Yes")</f>
        <v/>
      </c>
      <c r="BE547" s="31">
        <f>IF(TRIM(B547)="","Legal name missing; ","")&amp;IF(AND(AV547&lt;&gt;"",AV547&lt;&gt;"OK"),"GSTIN: "&amp;AV547&amp;"; ","")&amp;IF(AND(AW547&lt;&gt;"",AW547&lt;&gt;"OK"),"PAN wrong format; ","")&amp;IF(AND(BA547&lt;&gt;"",LEN(AZ547)=15,MID(AZ547,3,10)&lt;&gt;BA547),"PAN does not match GSTIN; ","")&amp;IF(AND(AX547&lt;&gt;"",AX547&lt;&gt;"OK"),"TAN wrong format; ","")&amp;IF(AS547="","PAN missing; ","")&amp;IF(BB547="","Entity type missing; ","")&amp;IF(AND(AZ547&lt;&gt;"",COUNTIF($AZ$6:$AZ$1005,AZ547)&gt;1),"GSTIN repeated in this sheet; ","")&amp;IF(AND(AS547&lt;&gt;"",COUNTIF($AS$6:$AS$1005,AS547)&gt;1),"PAN repeated in this sheet (same client? put extra GSTINs in Other GSTINs); ","")&amp;IF(AND(BD547&gt;0,V547=""),"Financial year missing; ","")&amp;IF(AND(BD547=0,V547&lt;&gt;""),"Financial year given but no service is Yes; ","")&amp;IF(AND(W547="Yes",AZ547=""),"GST needs a GSTIN; ","")&amp;IF(AND(W547="Yes",X547=""),"GST return frequency missing; ","")&amp;IF(AND(Y547="Yes",TRIM(H547)=""),"TDS needs a TAN; ","")&amp;IF(AND(AA547="Yes",BC547&lt;&gt;"",BC547&lt;&gt;"company",BC547&lt;&gt;"llp"),"ROC is only for a company / LLP; ","")&amp;IF(AND(AA547="Yes",OR(BC547="company",BC547="llp"),TRIM(I547)=""),"ROC needs the CIN / LLPIN; ","")&amp;IF((TRIM(AF547)="")&lt;&gt;(TRIM(AG547)=""),"GST login needs both user ID and password; ","")&amp;IF((TRIM(AH547)="")&lt;&gt;(TRIM(AI547)=""),"Income-tax login needs both user ID and password; ","")&amp;IF((TRIM(AJ547)="")&lt;&gt;(TRIM(AK547)=""),"Income-tax login needs both user ID and password; ","")&amp;IF((TRIM(AL547)="")&lt;&gt;(TRIM(AM547)=""),"TRACES login needs both user ID and password; ","")&amp;IF((TRIM(AN547)="")&lt;&gt;(TRIM(AO547)=""),"MCA login needs both user ID and password; ","")&amp;IF((TRIM(AP547)="")&lt;&gt;(TRIM(AQ547)=""),"E-way bill login needs both user ID and password; ","")</f>
        <v/>
      </c>
    </row>
    <row r="548">
      <c r="A548" s="32" t="n"/>
      <c r="B548" s="33" t="n"/>
      <c r="C548" s="33" t="n"/>
      <c r="D548" s="33" t="n"/>
      <c r="E548" s="32" t="n"/>
      <c r="F548" s="32" t="n"/>
      <c r="G548" s="32" t="n"/>
      <c r="H548" s="32" t="n"/>
      <c r="I548" s="32" t="n"/>
      <c r="J548" s="34" t="n"/>
      <c r="K548" s="33" t="n"/>
      <c r="L548" s="32" t="n"/>
      <c r="M548" s="33" t="n"/>
      <c r="N548" s="33" t="n"/>
      <c r="O548" s="33" t="n"/>
      <c r="P548" s="32" t="n"/>
      <c r="Q548" s="33" t="n"/>
      <c r="R548" s="33" t="n"/>
      <c r="S548" s="33" t="n"/>
      <c r="T548" s="33" t="n"/>
      <c r="U548" s="32" t="n"/>
      <c r="V548" s="33" t="n"/>
      <c r="W548" s="33" t="n"/>
      <c r="X548" s="33" t="n"/>
      <c r="Y548" s="33" t="n"/>
      <c r="Z548" s="33" t="n"/>
      <c r="AA548" s="33" t="n"/>
      <c r="AB548" s="33" t="n"/>
      <c r="AC548" s="33" t="n"/>
      <c r="AD548" s="33" t="n"/>
      <c r="AE548" s="33" t="n"/>
      <c r="AF548" s="32" t="n"/>
      <c r="AG548" s="32" t="n"/>
      <c r="AH548" s="32" t="n"/>
      <c r="AI548" s="32" t="n"/>
      <c r="AJ548" s="32" t="n"/>
      <c r="AK548" s="32" t="n"/>
      <c r="AL548" s="32" t="n"/>
      <c r="AM548" s="32" t="n"/>
      <c r="AN548" s="32" t="n"/>
      <c r="AO548" s="32" t="n"/>
      <c r="AP548" s="32" t="n"/>
      <c r="AQ548" s="32" t="n"/>
      <c r="AR548" s="29">
        <f>IF(NOT(COUNTA(A548:AE548)&gt;0),"",IF(A548="","New client","Update"))</f>
        <v/>
      </c>
      <c r="AS548" s="29">
        <f>IF(BA548&lt;&gt;"",BA548,IF(LEN(AZ548)=15,MID(AZ548,3,10),""))</f>
        <v/>
      </c>
      <c r="AT548" s="29">
        <f>IF(BB548="","",BB548&amp;IF(D548="","  (guessed from PAN)",""))</f>
        <v/>
      </c>
      <c r="AU548" s="29">
        <f>IF(AZ548="","",IFERROR(INDEX(Lists!$L$2:$L$38,MATCH(LEFT(AZ548,2),Lists!$K$2:$K$38,0)),"Unknown code"))</f>
        <v/>
      </c>
      <c r="AV548" s="29">
        <f>IF(AZ548="","",IFERROR(IF(NOT(AND(LEN(AZ548)=15,ISNUMBER(MATCH(LEFT(AZ548,2),Lists!$K$2:$K$38,0)),SUMPRODUCT(--ISERROR(FIND(MID(MID(AZ548,3,10),{1,2,3,4,5,10},1),"ABCDEFGHIJKLMNOPQRSTUVWXYZ")))=0,SUMPRODUCT(--ISERROR(FIND(MID(MID(AZ548,3,10),{6,7,8,9},1),"0123456789")))=0,ISNUMBER(FIND(MID(AZ548,13,1),"123456789ABCDEFGHIJKLMNOPQRSTUVWXYZ")),MID(AZ548,14,1)="Z")),"Wrong format",IF(MID("0123456789ABCDEFGHIJKLMNOPQRSTUVWXYZ",MOD(36-MOD(SUMPRODUCT(INT((FIND(MID(AZ548,{1,2,3,4,5,6,7,8,9,10,11,12,13,14},1),"0123456789ABCDEFGHIJKLMNOPQRSTUVWXYZ")-1)*{1,2,1,2,1,2,1,2,1,2,1,2,1,2}/36)+MOD((FIND(MID(AZ548,{1,2,3,4,5,6,7,8,9,10,11,12,13,14},1),"0123456789ABCDEFGHIJKLMNOPQRSTUVWXYZ")-1)*{1,2,1,2,1,2,1,2,1,2,1,2,1,2},36)),36),36)+1,1)=MID(AZ548,15,1),"OK","Typo? check digit wrong")),"Wrong format"))</f>
        <v/>
      </c>
      <c r="AW548" s="29">
        <f>IF(BA548="","",IF(AND(LEN(BA548)=10,SUMPRODUCT(--ISERROR(FIND(MID(BA548,{1,2,3,4,5,10},1),"ABCDEFGHIJKLMNOPQRSTUVWXYZ")))=0,SUMPRODUCT(--ISERROR(FIND(MID(BA548,{6,7,8,9},1),"0123456789")))=0),"OK","Wrong format"))</f>
        <v/>
      </c>
      <c r="AX548" s="29">
        <f>IF(TRIM(H548)="","",IF(AND(LEN(UPPER(TRIM(H548)))=10,SUMPRODUCT(--ISERROR(FIND(MID(UPPER(TRIM(H548)),{1,2,3,4,10},1),"ABCDEFGHIJKLMNOPQRSTUVWXYZ")))=0,SUMPRODUCT(--ISERROR(FIND(MID(UPPER(TRIM(H548)),{5,6,7,8,9},1),"0123456789")))=0),"OK","Wrong format"))</f>
        <v/>
      </c>
      <c r="AY548" s="30">
        <f>IF(NOT(COUNTA(A548:AE548)&gt;0),"",IF(BE548&lt;&gt;"","✖ "&amp;LEFT(BE548,LEN(BE548)-2),IF(BD548&gt;0,"✔ Ready — client + "&amp;BD548&amp;" service(s)","✔ Ready — client only")))</f>
        <v/>
      </c>
      <c r="AZ548" s="31">
        <f>UPPER(SUBSTITUTE(TRIM(F548)," ",""))</f>
        <v/>
      </c>
      <c r="BA548" s="31">
        <f>UPPER(SUBSTITUTE(TRIM(E548)," ",""))</f>
        <v/>
      </c>
      <c r="BB548" s="31">
        <f>IF(D548&lt;&gt;"",D548,IFERROR(VLOOKUP(MID(AS548,4,1),Lists!$E$2:$F$8,2,FALSE),""))</f>
        <v/>
      </c>
      <c r="BC548" s="31">
        <f>IFERROR(VLOOKUP(BB548,Lists!$A$2:$C$12,3,FALSE),"")</f>
        <v/>
      </c>
      <c r="BD548" s="31">
        <f>COUNTIF(W548:AC548,"Yes")</f>
        <v/>
      </c>
      <c r="BE548" s="31">
        <f>IF(TRIM(B548)="","Legal name missing; ","")&amp;IF(AND(AV548&lt;&gt;"",AV548&lt;&gt;"OK"),"GSTIN: "&amp;AV548&amp;"; ","")&amp;IF(AND(AW548&lt;&gt;"",AW548&lt;&gt;"OK"),"PAN wrong format; ","")&amp;IF(AND(BA548&lt;&gt;"",LEN(AZ548)=15,MID(AZ548,3,10)&lt;&gt;BA548),"PAN does not match GSTIN; ","")&amp;IF(AND(AX548&lt;&gt;"",AX548&lt;&gt;"OK"),"TAN wrong format; ","")&amp;IF(AS548="","PAN missing; ","")&amp;IF(BB548="","Entity type missing; ","")&amp;IF(AND(AZ548&lt;&gt;"",COUNTIF($AZ$6:$AZ$1005,AZ548)&gt;1),"GSTIN repeated in this sheet; ","")&amp;IF(AND(AS548&lt;&gt;"",COUNTIF($AS$6:$AS$1005,AS548)&gt;1),"PAN repeated in this sheet (same client? put extra GSTINs in Other GSTINs); ","")&amp;IF(AND(BD548&gt;0,V548=""),"Financial year missing; ","")&amp;IF(AND(BD548=0,V548&lt;&gt;""),"Financial year given but no service is Yes; ","")&amp;IF(AND(W548="Yes",AZ548=""),"GST needs a GSTIN; ","")&amp;IF(AND(W548="Yes",X548=""),"GST return frequency missing; ","")&amp;IF(AND(Y548="Yes",TRIM(H548)=""),"TDS needs a TAN; ","")&amp;IF(AND(AA548="Yes",BC548&lt;&gt;"",BC548&lt;&gt;"company",BC548&lt;&gt;"llp"),"ROC is only for a company / LLP; ","")&amp;IF(AND(AA548="Yes",OR(BC548="company",BC548="llp"),TRIM(I548)=""),"ROC needs the CIN / LLPIN; ","")&amp;IF((TRIM(AF548)="")&lt;&gt;(TRIM(AG548)=""),"GST login needs both user ID and password; ","")&amp;IF((TRIM(AH548)="")&lt;&gt;(TRIM(AI548)=""),"Income-tax login needs both user ID and password; ","")&amp;IF((TRIM(AJ548)="")&lt;&gt;(TRIM(AK548)=""),"Income-tax login needs both user ID and password; ","")&amp;IF((TRIM(AL548)="")&lt;&gt;(TRIM(AM548)=""),"TRACES login needs both user ID and password; ","")&amp;IF((TRIM(AN548)="")&lt;&gt;(TRIM(AO548)=""),"MCA login needs both user ID and password; ","")&amp;IF((TRIM(AP548)="")&lt;&gt;(TRIM(AQ548)=""),"E-way bill login needs both user ID and password; ","")</f>
        <v/>
      </c>
    </row>
    <row r="549">
      <c r="A549" s="32" t="n"/>
      <c r="B549" s="33" t="n"/>
      <c r="C549" s="33" t="n"/>
      <c r="D549" s="33" t="n"/>
      <c r="E549" s="32" t="n"/>
      <c r="F549" s="32" t="n"/>
      <c r="G549" s="32" t="n"/>
      <c r="H549" s="32" t="n"/>
      <c r="I549" s="32" t="n"/>
      <c r="J549" s="34" t="n"/>
      <c r="K549" s="33" t="n"/>
      <c r="L549" s="32" t="n"/>
      <c r="M549" s="33" t="n"/>
      <c r="N549" s="33" t="n"/>
      <c r="O549" s="33" t="n"/>
      <c r="P549" s="32" t="n"/>
      <c r="Q549" s="33" t="n"/>
      <c r="R549" s="33" t="n"/>
      <c r="S549" s="33" t="n"/>
      <c r="T549" s="33" t="n"/>
      <c r="U549" s="32" t="n"/>
      <c r="V549" s="33" t="n"/>
      <c r="W549" s="33" t="n"/>
      <c r="X549" s="33" t="n"/>
      <c r="Y549" s="33" t="n"/>
      <c r="Z549" s="33" t="n"/>
      <c r="AA549" s="33" t="n"/>
      <c r="AB549" s="33" t="n"/>
      <c r="AC549" s="33" t="n"/>
      <c r="AD549" s="33" t="n"/>
      <c r="AE549" s="33" t="n"/>
      <c r="AF549" s="32" t="n"/>
      <c r="AG549" s="32" t="n"/>
      <c r="AH549" s="32" t="n"/>
      <c r="AI549" s="32" t="n"/>
      <c r="AJ549" s="32" t="n"/>
      <c r="AK549" s="32" t="n"/>
      <c r="AL549" s="32" t="n"/>
      <c r="AM549" s="32" t="n"/>
      <c r="AN549" s="32" t="n"/>
      <c r="AO549" s="32" t="n"/>
      <c r="AP549" s="32" t="n"/>
      <c r="AQ549" s="32" t="n"/>
      <c r="AR549" s="29">
        <f>IF(NOT(COUNTA(A549:AE549)&gt;0),"",IF(A549="","New client","Update"))</f>
        <v/>
      </c>
      <c r="AS549" s="29">
        <f>IF(BA549&lt;&gt;"",BA549,IF(LEN(AZ549)=15,MID(AZ549,3,10),""))</f>
        <v/>
      </c>
      <c r="AT549" s="29">
        <f>IF(BB549="","",BB549&amp;IF(D549="","  (guessed from PAN)",""))</f>
        <v/>
      </c>
      <c r="AU549" s="29">
        <f>IF(AZ549="","",IFERROR(INDEX(Lists!$L$2:$L$38,MATCH(LEFT(AZ549,2),Lists!$K$2:$K$38,0)),"Unknown code"))</f>
        <v/>
      </c>
      <c r="AV549" s="29">
        <f>IF(AZ549="","",IFERROR(IF(NOT(AND(LEN(AZ549)=15,ISNUMBER(MATCH(LEFT(AZ549,2),Lists!$K$2:$K$38,0)),SUMPRODUCT(--ISERROR(FIND(MID(MID(AZ549,3,10),{1,2,3,4,5,10},1),"ABCDEFGHIJKLMNOPQRSTUVWXYZ")))=0,SUMPRODUCT(--ISERROR(FIND(MID(MID(AZ549,3,10),{6,7,8,9},1),"0123456789")))=0,ISNUMBER(FIND(MID(AZ549,13,1),"123456789ABCDEFGHIJKLMNOPQRSTUVWXYZ")),MID(AZ549,14,1)="Z")),"Wrong format",IF(MID("0123456789ABCDEFGHIJKLMNOPQRSTUVWXYZ",MOD(36-MOD(SUMPRODUCT(INT((FIND(MID(AZ549,{1,2,3,4,5,6,7,8,9,10,11,12,13,14},1),"0123456789ABCDEFGHIJKLMNOPQRSTUVWXYZ")-1)*{1,2,1,2,1,2,1,2,1,2,1,2,1,2}/36)+MOD((FIND(MID(AZ549,{1,2,3,4,5,6,7,8,9,10,11,12,13,14},1),"0123456789ABCDEFGHIJKLMNOPQRSTUVWXYZ")-1)*{1,2,1,2,1,2,1,2,1,2,1,2,1,2},36)),36),36)+1,1)=MID(AZ549,15,1),"OK","Typo? check digit wrong")),"Wrong format"))</f>
        <v/>
      </c>
      <c r="AW549" s="29">
        <f>IF(BA549="","",IF(AND(LEN(BA549)=10,SUMPRODUCT(--ISERROR(FIND(MID(BA549,{1,2,3,4,5,10},1),"ABCDEFGHIJKLMNOPQRSTUVWXYZ")))=0,SUMPRODUCT(--ISERROR(FIND(MID(BA549,{6,7,8,9},1),"0123456789")))=0),"OK","Wrong format"))</f>
        <v/>
      </c>
      <c r="AX549" s="29">
        <f>IF(TRIM(H549)="","",IF(AND(LEN(UPPER(TRIM(H549)))=10,SUMPRODUCT(--ISERROR(FIND(MID(UPPER(TRIM(H549)),{1,2,3,4,10},1),"ABCDEFGHIJKLMNOPQRSTUVWXYZ")))=0,SUMPRODUCT(--ISERROR(FIND(MID(UPPER(TRIM(H549)),{5,6,7,8,9},1),"0123456789")))=0),"OK","Wrong format"))</f>
        <v/>
      </c>
      <c r="AY549" s="30">
        <f>IF(NOT(COUNTA(A549:AE549)&gt;0),"",IF(BE549&lt;&gt;"","✖ "&amp;LEFT(BE549,LEN(BE549)-2),IF(BD549&gt;0,"✔ Ready — client + "&amp;BD549&amp;" service(s)","✔ Ready — client only")))</f>
        <v/>
      </c>
      <c r="AZ549" s="31">
        <f>UPPER(SUBSTITUTE(TRIM(F549)," ",""))</f>
        <v/>
      </c>
      <c r="BA549" s="31">
        <f>UPPER(SUBSTITUTE(TRIM(E549)," ",""))</f>
        <v/>
      </c>
      <c r="BB549" s="31">
        <f>IF(D549&lt;&gt;"",D549,IFERROR(VLOOKUP(MID(AS549,4,1),Lists!$E$2:$F$8,2,FALSE),""))</f>
        <v/>
      </c>
      <c r="BC549" s="31">
        <f>IFERROR(VLOOKUP(BB549,Lists!$A$2:$C$12,3,FALSE),"")</f>
        <v/>
      </c>
      <c r="BD549" s="31">
        <f>COUNTIF(W549:AC549,"Yes")</f>
        <v/>
      </c>
      <c r="BE549" s="31">
        <f>IF(TRIM(B549)="","Legal name missing; ","")&amp;IF(AND(AV549&lt;&gt;"",AV549&lt;&gt;"OK"),"GSTIN: "&amp;AV549&amp;"; ","")&amp;IF(AND(AW549&lt;&gt;"",AW549&lt;&gt;"OK"),"PAN wrong format; ","")&amp;IF(AND(BA549&lt;&gt;"",LEN(AZ549)=15,MID(AZ549,3,10)&lt;&gt;BA549),"PAN does not match GSTIN; ","")&amp;IF(AND(AX549&lt;&gt;"",AX549&lt;&gt;"OK"),"TAN wrong format; ","")&amp;IF(AS549="","PAN missing; ","")&amp;IF(BB549="","Entity type missing; ","")&amp;IF(AND(AZ549&lt;&gt;"",COUNTIF($AZ$6:$AZ$1005,AZ549)&gt;1),"GSTIN repeated in this sheet; ","")&amp;IF(AND(AS549&lt;&gt;"",COUNTIF($AS$6:$AS$1005,AS549)&gt;1),"PAN repeated in this sheet (same client? put extra GSTINs in Other GSTINs); ","")&amp;IF(AND(BD549&gt;0,V549=""),"Financial year missing; ","")&amp;IF(AND(BD549=0,V549&lt;&gt;""),"Financial year given but no service is Yes; ","")&amp;IF(AND(W549="Yes",AZ549=""),"GST needs a GSTIN; ","")&amp;IF(AND(W549="Yes",X549=""),"GST return frequency missing; ","")&amp;IF(AND(Y549="Yes",TRIM(H549)=""),"TDS needs a TAN; ","")&amp;IF(AND(AA549="Yes",BC549&lt;&gt;"",BC549&lt;&gt;"company",BC549&lt;&gt;"llp"),"ROC is only for a company / LLP; ","")&amp;IF(AND(AA549="Yes",OR(BC549="company",BC549="llp"),TRIM(I549)=""),"ROC needs the CIN / LLPIN; ","")&amp;IF((TRIM(AF549)="")&lt;&gt;(TRIM(AG549)=""),"GST login needs both user ID and password; ","")&amp;IF((TRIM(AH549)="")&lt;&gt;(TRIM(AI549)=""),"Income-tax login needs both user ID and password; ","")&amp;IF((TRIM(AJ549)="")&lt;&gt;(TRIM(AK549)=""),"Income-tax login needs both user ID and password; ","")&amp;IF((TRIM(AL549)="")&lt;&gt;(TRIM(AM549)=""),"TRACES login needs both user ID and password; ","")&amp;IF((TRIM(AN549)="")&lt;&gt;(TRIM(AO549)=""),"MCA login needs both user ID and password; ","")&amp;IF((TRIM(AP549)="")&lt;&gt;(TRIM(AQ549)=""),"E-way bill login needs both user ID and password; ","")</f>
        <v/>
      </c>
    </row>
    <row r="550">
      <c r="A550" s="32" t="n"/>
      <c r="B550" s="33" t="n"/>
      <c r="C550" s="33" t="n"/>
      <c r="D550" s="33" t="n"/>
      <c r="E550" s="32" t="n"/>
      <c r="F550" s="32" t="n"/>
      <c r="G550" s="32" t="n"/>
      <c r="H550" s="32" t="n"/>
      <c r="I550" s="32" t="n"/>
      <c r="J550" s="34" t="n"/>
      <c r="K550" s="33" t="n"/>
      <c r="L550" s="32" t="n"/>
      <c r="M550" s="33" t="n"/>
      <c r="N550" s="33" t="n"/>
      <c r="O550" s="33" t="n"/>
      <c r="P550" s="32" t="n"/>
      <c r="Q550" s="33" t="n"/>
      <c r="R550" s="33" t="n"/>
      <c r="S550" s="33" t="n"/>
      <c r="T550" s="33" t="n"/>
      <c r="U550" s="32" t="n"/>
      <c r="V550" s="33" t="n"/>
      <c r="W550" s="33" t="n"/>
      <c r="X550" s="33" t="n"/>
      <c r="Y550" s="33" t="n"/>
      <c r="Z550" s="33" t="n"/>
      <c r="AA550" s="33" t="n"/>
      <c r="AB550" s="33" t="n"/>
      <c r="AC550" s="33" t="n"/>
      <c r="AD550" s="33" t="n"/>
      <c r="AE550" s="33" t="n"/>
      <c r="AF550" s="32" t="n"/>
      <c r="AG550" s="32" t="n"/>
      <c r="AH550" s="32" t="n"/>
      <c r="AI550" s="32" t="n"/>
      <c r="AJ550" s="32" t="n"/>
      <c r="AK550" s="32" t="n"/>
      <c r="AL550" s="32" t="n"/>
      <c r="AM550" s="32" t="n"/>
      <c r="AN550" s="32" t="n"/>
      <c r="AO550" s="32" t="n"/>
      <c r="AP550" s="32" t="n"/>
      <c r="AQ550" s="32" t="n"/>
      <c r="AR550" s="29">
        <f>IF(NOT(COUNTA(A550:AE550)&gt;0),"",IF(A550="","New client","Update"))</f>
        <v/>
      </c>
      <c r="AS550" s="29">
        <f>IF(BA550&lt;&gt;"",BA550,IF(LEN(AZ550)=15,MID(AZ550,3,10),""))</f>
        <v/>
      </c>
      <c r="AT550" s="29">
        <f>IF(BB550="","",BB550&amp;IF(D550="","  (guessed from PAN)",""))</f>
        <v/>
      </c>
      <c r="AU550" s="29">
        <f>IF(AZ550="","",IFERROR(INDEX(Lists!$L$2:$L$38,MATCH(LEFT(AZ550,2),Lists!$K$2:$K$38,0)),"Unknown code"))</f>
        <v/>
      </c>
      <c r="AV550" s="29">
        <f>IF(AZ550="","",IFERROR(IF(NOT(AND(LEN(AZ550)=15,ISNUMBER(MATCH(LEFT(AZ550,2),Lists!$K$2:$K$38,0)),SUMPRODUCT(--ISERROR(FIND(MID(MID(AZ550,3,10),{1,2,3,4,5,10},1),"ABCDEFGHIJKLMNOPQRSTUVWXYZ")))=0,SUMPRODUCT(--ISERROR(FIND(MID(MID(AZ550,3,10),{6,7,8,9},1),"0123456789")))=0,ISNUMBER(FIND(MID(AZ550,13,1),"123456789ABCDEFGHIJKLMNOPQRSTUVWXYZ")),MID(AZ550,14,1)="Z")),"Wrong format",IF(MID("0123456789ABCDEFGHIJKLMNOPQRSTUVWXYZ",MOD(36-MOD(SUMPRODUCT(INT((FIND(MID(AZ550,{1,2,3,4,5,6,7,8,9,10,11,12,13,14},1),"0123456789ABCDEFGHIJKLMNOPQRSTUVWXYZ")-1)*{1,2,1,2,1,2,1,2,1,2,1,2,1,2}/36)+MOD((FIND(MID(AZ550,{1,2,3,4,5,6,7,8,9,10,11,12,13,14},1),"0123456789ABCDEFGHIJKLMNOPQRSTUVWXYZ")-1)*{1,2,1,2,1,2,1,2,1,2,1,2,1,2},36)),36),36)+1,1)=MID(AZ550,15,1),"OK","Typo? check digit wrong")),"Wrong format"))</f>
        <v/>
      </c>
      <c r="AW550" s="29">
        <f>IF(BA550="","",IF(AND(LEN(BA550)=10,SUMPRODUCT(--ISERROR(FIND(MID(BA550,{1,2,3,4,5,10},1),"ABCDEFGHIJKLMNOPQRSTUVWXYZ")))=0,SUMPRODUCT(--ISERROR(FIND(MID(BA550,{6,7,8,9},1),"0123456789")))=0),"OK","Wrong format"))</f>
        <v/>
      </c>
      <c r="AX550" s="29">
        <f>IF(TRIM(H550)="","",IF(AND(LEN(UPPER(TRIM(H550)))=10,SUMPRODUCT(--ISERROR(FIND(MID(UPPER(TRIM(H550)),{1,2,3,4,10},1),"ABCDEFGHIJKLMNOPQRSTUVWXYZ")))=0,SUMPRODUCT(--ISERROR(FIND(MID(UPPER(TRIM(H550)),{5,6,7,8,9},1),"0123456789")))=0),"OK","Wrong format"))</f>
        <v/>
      </c>
      <c r="AY550" s="30">
        <f>IF(NOT(COUNTA(A550:AE550)&gt;0),"",IF(BE550&lt;&gt;"","✖ "&amp;LEFT(BE550,LEN(BE550)-2),IF(BD550&gt;0,"✔ Ready — client + "&amp;BD550&amp;" service(s)","✔ Ready — client only")))</f>
        <v/>
      </c>
      <c r="AZ550" s="31">
        <f>UPPER(SUBSTITUTE(TRIM(F550)," ",""))</f>
        <v/>
      </c>
      <c r="BA550" s="31">
        <f>UPPER(SUBSTITUTE(TRIM(E550)," ",""))</f>
        <v/>
      </c>
      <c r="BB550" s="31">
        <f>IF(D550&lt;&gt;"",D550,IFERROR(VLOOKUP(MID(AS550,4,1),Lists!$E$2:$F$8,2,FALSE),""))</f>
        <v/>
      </c>
      <c r="BC550" s="31">
        <f>IFERROR(VLOOKUP(BB550,Lists!$A$2:$C$12,3,FALSE),"")</f>
        <v/>
      </c>
      <c r="BD550" s="31">
        <f>COUNTIF(W550:AC550,"Yes")</f>
        <v/>
      </c>
      <c r="BE550" s="31">
        <f>IF(TRIM(B550)="","Legal name missing; ","")&amp;IF(AND(AV550&lt;&gt;"",AV550&lt;&gt;"OK"),"GSTIN: "&amp;AV550&amp;"; ","")&amp;IF(AND(AW550&lt;&gt;"",AW550&lt;&gt;"OK"),"PAN wrong format; ","")&amp;IF(AND(BA550&lt;&gt;"",LEN(AZ550)=15,MID(AZ550,3,10)&lt;&gt;BA550),"PAN does not match GSTIN; ","")&amp;IF(AND(AX550&lt;&gt;"",AX550&lt;&gt;"OK"),"TAN wrong format; ","")&amp;IF(AS550="","PAN missing; ","")&amp;IF(BB550="","Entity type missing; ","")&amp;IF(AND(AZ550&lt;&gt;"",COUNTIF($AZ$6:$AZ$1005,AZ550)&gt;1),"GSTIN repeated in this sheet; ","")&amp;IF(AND(AS550&lt;&gt;"",COUNTIF($AS$6:$AS$1005,AS550)&gt;1),"PAN repeated in this sheet (same client? put extra GSTINs in Other GSTINs); ","")&amp;IF(AND(BD550&gt;0,V550=""),"Financial year missing; ","")&amp;IF(AND(BD550=0,V550&lt;&gt;""),"Financial year given but no service is Yes; ","")&amp;IF(AND(W550="Yes",AZ550=""),"GST needs a GSTIN; ","")&amp;IF(AND(W550="Yes",X550=""),"GST return frequency missing; ","")&amp;IF(AND(Y550="Yes",TRIM(H550)=""),"TDS needs a TAN; ","")&amp;IF(AND(AA550="Yes",BC550&lt;&gt;"",BC550&lt;&gt;"company",BC550&lt;&gt;"llp"),"ROC is only for a company / LLP; ","")&amp;IF(AND(AA550="Yes",OR(BC550="company",BC550="llp"),TRIM(I550)=""),"ROC needs the CIN / LLPIN; ","")&amp;IF((TRIM(AF550)="")&lt;&gt;(TRIM(AG550)=""),"GST login needs both user ID and password; ","")&amp;IF((TRIM(AH550)="")&lt;&gt;(TRIM(AI550)=""),"Income-tax login needs both user ID and password; ","")&amp;IF((TRIM(AJ550)="")&lt;&gt;(TRIM(AK550)=""),"Income-tax login needs both user ID and password; ","")&amp;IF((TRIM(AL550)="")&lt;&gt;(TRIM(AM550)=""),"TRACES login needs both user ID and password; ","")&amp;IF((TRIM(AN550)="")&lt;&gt;(TRIM(AO550)=""),"MCA login needs both user ID and password; ","")&amp;IF((TRIM(AP550)="")&lt;&gt;(TRIM(AQ550)=""),"E-way bill login needs both user ID and password; ","")</f>
        <v/>
      </c>
    </row>
    <row r="551">
      <c r="A551" s="32" t="n"/>
      <c r="B551" s="33" t="n"/>
      <c r="C551" s="33" t="n"/>
      <c r="D551" s="33" t="n"/>
      <c r="E551" s="32" t="n"/>
      <c r="F551" s="32" t="n"/>
      <c r="G551" s="32" t="n"/>
      <c r="H551" s="32" t="n"/>
      <c r="I551" s="32" t="n"/>
      <c r="J551" s="34" t="n"/>
      <c r="K551" s="33" t="n"/>
      <c r="L551" s="32" t="n"/>
      <c r="M551" s="33" t="n"/>
      <c r="N551" s="33" t="n"/>
      <c r="O551" s="33" t="n"/>
      <c r="P551" s="32" t="n"/>
      <c r="Q551" s="33" t="n"/>
      <c r="R551" s="33" t="n"/>
      <c r="S551" s="33" t="n"/>
      <c r="T551" s="33" t="n"/>
      <c r="U551" s="32" t="n"/>
      <c r="V551" s="33" t="n"/>
      <c r="W551" s="33" t="n"/>
      <c r="X551" s="33" t="n"/>
      <c r="Y551" s="33" t="n"/>
      <c r="Z551" s="33" t="n"/>
      <c r="AA551" s="33" t="n"/>
      <c r="AB551" s="33" t="n"/>
      <c r="AC551" s="33" t="n"/>
      <c r="AD551" s="33" t="n"/>
      <c r="AE551" s="33" t="n"/>
      <c r="AF551" s="32" t="n"/>
      <c r="AG551" s="32" t="n"/>
      <c r="AH551" s="32" t="n"/>
      <c r="AI551" s="32" t="n"/>
      <c r="AJ551" s="32" t="n"/>
      <c r="AK551" s="32" t="n"/>
      <c r="AL551" s="32" t="n"/>
      <c r="AM551" s="32" t="n"/>
      <c r="AN551" s="32" t="n"/>
      <c r="AO551" s="32" t="n"/>
      <c r="AP551" s="32" t="n"/>
      <c r="AQ551" s="32" t="n"/>
      <c r="AR551" s="29">
        <f>IF(NOT(COUNTA(A551:AE551)&gt;0),"",IF(A551="","New client","Update"))</f>
        <v/>
      </c>
      <c r="AS551" s="29">
        <f>IF(BA551&lt;&gt;"",BA551,IF(LEN(AZ551)=15,MID(AZ551,3,10),""))</f>
        <v/>
      </c>
      <c r="AT551" s="29">
        <f>IF(BB551="","",BB551&amp;IF(D551="","  (guessed from PAN)",""))</f>
        <v/>
      </c>
      <c r="AU551" s="29">
        <f>IF(AZ551="","",IFERROR(INDEX(Lists!$L$2:$L$38,MATCH(LEFT(AZ551,2),Lists!$K$2:$K$38,0)),"Unknown code"))</f>
        <v/>
      </c>
      <c r="AV551" s="29">
        <f>IF(AZ551="","",IFERROR(IF(NOT(AND(LEN(AZ551)=15,ISNUMBER(MATCH(LEFT(AZ551,2),Lists!$K$2:$K$38,0)),SUMPRODUCT(--ISERROR(FIND(MID(MID(AZ551,3,10),{1,2,3,4,5,10},1),"ABCDEFGHIJKLMNOPQRSTUVWXYZ")))=0,SUMPRODUCT(--ISERROR(FIND(MID(MID(AZ551,3,10),{6,7,8,9},1),"0123456789")))=0,ISNUMBER(FIND(MID(AZ551,13,1),"123456789ABCDEFGHIJKLMNOPQRSTUVWXYZ")),MID(AZ551,14,1)="Z")),"Wrong format",IF(MID("0123456789ABCDEFGHIJKLMNOPQRSTUVWXYZ",MOD(36-MOD(SUMPRODUCT(INT((FIND(MID(AZ551,{1,2,3,4,5,6,7,8,9,10,11,12,13,14},1),"0123456789ABCDEFGHIJKLMNOPQRSTUVWXYZ")-1)*{1,2,1,2,1,2,1,2,1,2,1,2,1,2}/36)+MOD((FIND(MID(AZ551,{1,2,3,4,5,6,7,8,9,10,11,12,13,14},1),"0123456789ABCDEFGHIJKLMNOPQRSTUVWXYZ")-1)*{1,2,1,2,1,2,1,2,1,2,1,2,1,2},36)),36),36)+1,1)=MID(AZ551,15,1),"OK","Typo? check digit wrong")),"Wrong format"))</f>
        <v/>
      </c>
      <c r="AW551" s="29">
        <f>IF(BA551="","",IF(AND(LEN(BA551)=10,SUMPRODUCT(--ISERROR(FIND(MID(BA551,{1,2,3,4,5,10},1),"ABCDEFGHIJKLMNOPQRSTUVWXYZ")))=0,SUMPRODUCT(--ISERROR(FIND(MID(BA551,{6,7,8,9},1),"0123456789")))=0),"OK","Wrong format"))</f>
        <v/>
      </c>
      <c r="AX551" s="29">
        <f>IF(TRIM(H551)="","",IF(AND(LEN(UPPER(TRIM(H551)))=10,SUMPRODUCT(--ISERROR(FIND(MID(UPPER(TRIM(H551)),{1,2,3,4,10},1),"ABCDEFGHIJKLMNOPQRSTUVWXYZ")))=0,SUMPRODUCT(--ISERROR(FIND(MID(UPPER(TRIM(H551)),{5,6,7,8,9},1),"0123456789")))=0),"OK","Wrong format"))</f>
        <v/>
      </c>
      <c r="AY551" s="30">
        <f>IF(NOT(COUNTA(A551:AE551)&gt;0),"",IF(BE551&lt;&gt;"","✖ "&amp;LEFT(BE551,LEN(BE551)-2),IF(BD551&gt;0,"✔ Ready — client + "&amp;BD551&amp;" service(s)","✔ Ready — client only")))</f>
        <v/>
      </c>
      <c r="AZ551" s="31">
        <f>UPPER(SUBSTITUTE(TRIM(F551)," ",""))</f>
        <v/>
      </c>
      <c r="BA551" s="31">
        <f>UPPER(SUBSTITUTE(TRIM(E551)," ",""))</f>
        <v/>
      </c>
      <c r="BB551" s="31">
        <f>IF(D551&lt;&gt;"",D551,IFERROR(VLOOKUP(MID(AS551,4,1),Lists!$E$2:$F$8,2,FALSE),""))</f>
        <v/>
      </c>
      <c r="BC551" s="31">
        <f>IFERROR(VLOOKUP(BB551,Lists!$A$2:$C$12,3,FALSE),"")</f>
        <v/>
      </c>
      <c r="BD551" s="31">
        <f>COUNTIF(W551:AC551,"Yes")</f>
        <v/>
      </c>
      <c r="BE551" s="31">
        <f>IF(TRIM(B551)="","Legal name missing; ","")&amp;IF(AND(AV551&lt;&gt;"",AV551&lt;&gt;"OK"),"GSTIN: "&amp;AV551&amp;"; ","")&amp;IF(AND(AW551&lt;&gt;"",AW551&lt;&gt;"OK"),"PAN wrong format; ","")&amp;IF(AND(BA551&lt;&gt;"",LEN(AZ551)=15,MID(AZ551,3,10)&lt;&gt;BA551),"PAN does not match GSTIN; ","")&amp;IF(AND(AX551&lt;&gt;"",AX551&lt;&gt;"OK"),"TAN wrong format; ","")&amp;IF(AS551="","PAN missing; ","")&amp;IF(BB551="","Entity type missing; ","")&amp;IF(AND(AZ551&lt;&gt;"",COUNTIF($AZ$6:$AZ$1005,AZ551)&gt;1),"GSTIN repeated in this sheet; ","")&amp;IF(AND(AS551&lt;&gt;"",COUNTIF($AS$6:$AS$1005,AS551)&gt;1),"PAN repeated in this sheet (same client? put extra GSTINs in Other GSTINs); ","")&amp;IF(AND(BD551&gt;0,V551=""),"Financial year missing; ","")&amp;IF(AND(BD551=0,V551&lt;&gt;""),"Financial year given but no service is Yes; ","")&amp;IF(AND(W551="Yes",AZ551=""),"GST needs a GSTIN; ","")&amp;IF(AND(W551="Yes",X551=""),"GST return frequency missing; ","")&amp;IF(AND(Y551="Yes",TRIM(H551)=""),"TDS needs a TAN; ","")&amp;IF(AND(AA551="Yes",BC551&lt;&gt;"",BC551&lt;&gt;"company",BC551&lt;&gt;"llp"),"ROC is only for a company / LLP; ","")&amp;IF(AND(AA551="Yes",OR(BC551="company",BC551="llp"),TRIM(I551)=""),"ROC needs the CIN / LLPIN; ","")&amp;IF((TRIM(AF551)="")&lt;&gt;(TRIM(AG551)=""),"GST login needs both user ID and password; ","")&amp;IF((TRIM(AH551)="")&lt;&gt;(TRIM(AI551)=""),"Income-tax login needs both user ID and password; ","")&amp;IF((TRIM(AJ551)="")&lt;&gt;(TRIM(AK551)=""),"Income-tax login needs both user ID and password; ","")&amp;IF((TRIM(AL551)="")&lt;&gt;(TRIM(AM551)=""),"TRACES login needs both user ID and password; ","")&amp;IF((TRIM(AN551)="")&lt;&gt;(TRIM(AO551)=""),"MCA login needs both user ID and password; ","")&amp;IF((TRIM(AP551)="")&lt;&gt;(TRIM(AQ551)=""),"E-way bill login needs both user ID and password; ","")</f>
        <v/>
      </c>
    </row>
    <row r="552">
      <c r="A552" s="32" t="n"/>
      <c r="B552" s="33" t="n"/>
      <c r="C552" s="33" t="n"/>
      <c r="D552" s="33" t="n"/>
      <c r="E552" s="32" t="n"/>
      <c r="F552" s="32" t="n"/>
      <c r="G552" s="32" t="n"/>
      <c r="H552" s="32" t="n"/>
      <c r="I552" s="32" t="n"/>
      <c r="J552" s="34" t="n"/>
      <c r="K552" s="33" t="n"/>
      <c r="L552" s="32" t="n"/>
      <c r="M552" s="33" t="n"/>
      <c r="N552" s="33" t="n"/>
      <c r="O552" s="33" t="n"/>
      <c r="P552" s="32" t="n"/>
      <c r="Q552" s="33" t="n"/>
      <c r="R552" s="33" t="n"/>
      <c r="S552" s="33" t="n"/>
      <c r="T552" s="33" t="n"/>
      <c r="U552" s="32" t="n"/>
      <c r="V552" s="33" t="n"/>
      <c r="W552" s="33" t="n"/>
      <c r="X552" s="33" t="n"/>
      <c r="Y552" s="33" t="n"/>
      <c r="Z552" s="33" t="n"/>
      <c r="AA552" s="33" t="n"/>
      <c r="AB552" s="33" t="n"/>
      <c r="AC552" s="33" t="n"/>
      <c r="AD552" s="33" t="n"/>
      <c r="AE552" s="33" t="n"/>
      <c r="AF552" s="32" t="n"/>
      <c r="AG552" s="32" t="n"/>
      <c r="AH552" s="32" t="n"/>
      <c r="AI552" s="32" t="n"/>
      <c r="AJ552" s="32" t="n"/>
      <c r="AK552" s="32" t="n"/>
      <c r="AL552" s="32" t="n"/>
      <c r="AM552" s="32" t="n"/>
      <c r="AN552" s="32" t="n"/>
      <c r="AO552" s="32" t="n"/>
      <c r="AP552" s="32" t="n"/>
      <c r="AQ552" s="32" t="n"/>
      <c r="AR552" s="29">
        <f>IF(NOT(COUNTA(A552:AE552)&gt;0),"",IF(A552="","New client","Update"))</f>
        <v/>
      </c>
      <c r="AS552" s="29">
        <f>IF(BA552&lt;&gt;"",BA552,IF(LEN(AZ552)=15,MID(AZ552,3,10),""))</f>
        <v/>
      </c>
      <c r="AT552" s="29">
        <f>IF(BB552="","",BB552&amp;IF(D552="","  (guessed from PAN)",""))</f>
        <v/>
      </c>
      <c r="AU552" s="29">
        <f>IF(AZ552="","",IFERROR(INDEX(Lists!$L$2:$L$38,MATCH(LEFT(AZ552,2),Lists!$K$2:$K$38,0)),"Unknown code"))</f>
        <v/>
      </c>
      <c r="AV552" s="29">
        <f>IF(AZ552="","",IFERROR(IF(NOT(AND(LEN(AZ552)=15,ISNUMBER(MATCH(LEFT(AZ552,2),Lists!$K$2:$K$38,0)),SUMPRODUCT(--ISERROR(FIND(MID(MID(AZ552,3,10),{1,2,3,4,5,10},1),"ABCDEFGHIJKLMNOPQRSTUVWXYZ")))=0,SUMPRODUCT(--ISERROR(FIND(MID(MID(AZ552,3,10),{6,7,8,9},1),"0123456789")))=0,ISNUMBER(FIND(MID(AZ552,13,1),"123456789ABCDEFGHIJKLMNOPQRSTUVWXYZ")),MID(AZ552,14,1)="Z")),"Wrong format",IF(MID("0123456789ABCDEFGHIJKLMNOPQRSTUVWXYZ",MOD(36-MOD(SUMPRODUCT(INT((FIND(MID(AZ552,{1,2,3,4,5,6,7,8,9,10,11,12,13,14},1),"0123456789ABCDEFGHIJKLMNOPQRSTUVWXYZ")-1)*{1,2,1,2,1,2,1,2,1,2,1,2,1,2}/36)+MOD((FIND(MID(AZ552,{1,2,3,4,5,6,7,8,9,10,11,12,13,14},1),"0123456789ABCDEFGHIJKLMNOPQRSTUVWXYZ")-1)*{1,2,1,2,1,2,1,2,1,2,1,2,1,2},36)),36),36)+1,1)=MID(AZ552,15,1),"OK","Typo? check digit wrong")),"Wrong format"))</f>
        <v/>
      </c>
      <c r="AW552" s="29">
        <f>IF(BA552="","",IF(AND(LEN(BA552)=10,SUMPRODUCT(--ISERROR(FIND(MID(BA552,{1,2,3,4,5,10},1),"ABCDEFGHIJKLMNOPQRSTUVWXYZ")))=0,SUMPRODUCT(--ISERROR(FIND(MID(BA552,{6,7,8,9},1),"0123456789")))=0),"OK","Wrong format"))</f>
        <v/>
      </c>
      <c r="AX552" s="29">
        <f>IF(TRIM(H552)="","",IF(AND(LEN(UPPER(TRIM(H552)))=10,SUMPRODUCT(--ISERROR(FIND(MID(UPPER(TRIM(H552)),{1,2,3,4,10},1),"ABCDEFGHIJKLMNOPQRSTUVWXYZ")))=0,SUMPRODUCT(--ISERROR(FIND(MID(UPPER(TRIM(H552)),{5,6,7,8,9},1),"0123456789")))=0),"OK","Wrong format"))</f>
        <v/>
      </c>
      <c r="AY552" s="30">
        <f>IF(NOT(COUNTA(A552:AE552)&gt;0),"",IF(BE552&lt;&gt;"","✖ "&amp;LEFT(BE552,LEN(BE552)-2),IF(BD552&gt;0,"✔ Ready — client + "&amp;BD552&amp;" service(s)","✔ Ready — client only")))</f>
        <v/>
      </c>
      <c r="AZ552" s="31">
        <f>UPPER(SUBSTITUTE(TRIM(F552)," ",""))</f>
        <v/>
      </c>
      <c r="BA552" s="31">
        <f>UPPER(SUBSTITUTE(TRIM(E552)," ",""))</f>
        <v/>
      </c>
      <c r="BB552" s="31">
        <f>IF(D552&lt;&gt;"",D552,IFERROR(VLOOKUP(MID(AS552,4,1),Lists!$E$2:$F$8,2,FALSE),""))</f>
        <v/>
      </c>
      <c r="BC552" s="31">
        <f>IFERROR(VLOOKUP(BB552,Lists!$A$2:$C$12,3,FALSE),"")</f>
        <v/>
      </c>
      <c r="BD552" s="31">
        <f>COUNTIF(W552:AC552,"Yes")</f>
        <v/>
      </c>
      <c r="BE552" s="31">
        <f>IF(TRIM(B552)="","Legal name missing; ","")&amp;IF(AND(AV552&lt;&gt;"",AV552&lt;&gt;"OK"),"GSTIN: "&amp;AV552&amp;"; ","")&amp;IF(AND(AW552&lt;&gt;"",AW552&lt;&gt;"OK"),"PAN wrong format; ","")&amp;IF(AND(BA552&lt;&gt;"",LEN(AZ552)=15,MID(AZ552,3,10)&lt;&gt;BA552),"PAN does not match GSTIN; ","")&amp;IF(AND(AX552&lt;&gt;"",AX552&lt;&gt;"OK"),"TAN wrong format; ","")&amp;IF(AS552="","PAN missing; ","")&amp;IF(BB552="","Entity type missing; ","")&amp;IF(AND(AZ552&lt;&gt;"",COUNTIF($AZ$6:$AZ$1005,AZ552)&gt;1),"GSTIN repeated in this sheet; ","")&amp;IF(AND(AS552&lt;&gt;"",COUNTIF($AS$6:$AS$1005,AS552)&gt;1),"PAN repeated in this sheet (same client? put extra GSTINs in Other GSTINs); ","")&amp;IF(AND(BD552&gt;0,V552=""),"Financial year missing; ","")&amp;IF(AND(BD552=0,V552&lt;&gt;""),"Financial year given but no service is Yes; ","")&amp;IF(AND(W552="Yes",AZ552=""),"GST needs a GSTIN; ","")&amp;IF(AND(W552="Yes",X552=""),"GST return frequency missing; ","")&amp;IF(AND(Y552="Yes",TRIM(H552)=""),"TDS needs a TAN; ","")&amp;IF(AND(AA552="Yes",BC552&lt;&gt;"",BC552&lt;&gt;"company",BC552&lt;&gt;"llp"),"ROC is only for a company / LLP; ","")&amp;IF(AND(AA552="Yes",OR(BC552="company",BC552="llp"),TRIM(I552)=""),"ROC needs the CIN / LLPIN; ","")&amp;IF((TRIM(AF552)="")&lt;&gt;(TRIM(AG552)=""),"GST login needs both user ID and password; ","")&amp;IF((TRIM(AH552)="")&lt;&gt;(TRIM(AI552)=""),"Income-tax login needs both user ID and password; ","")&amp;IF((TRIM(AJ552)="")&lt;&gt;(TRIM(AK552)=""),"Income-tax login needs both user ID and password; ","")&amp;IF((TRIM(AL552)="")&lt;&gt;(TRIM(AM552)=""),"TRACES login needs both user ID and password; ","")&amp;IF((TRIM(AN552)="")&lt;&gt;(TRIM(AO552)=""),"MCA login needs both user ID and password; ","")&amp;IF((TRIM(AP552)="")&lt;&gt;(TRIM(AQ552)=""),"E-way bill login needs both user ID and password; ","")</f>
        <v/>
      </c>
    </row>
    <row r="553">
      <c r="A553" s="32" t="n"/>
      <c r="B553" s="33" t="n"/>
      <c r="C553" s="33" t="n"/>
      <c r="D553" s="33" t="n"/>
      <c r="E553" s="32" t="n"/>
      <c r="F553" s="32" t="n"/>
      <c r="G553" s="32" t="n"/>
      <c r="H553" s="32" t="n"/>
      <c r="I553" s="32" t="n"/>
      <c r="J553" s="34" t="n"/>
      <c r="K553" s="33" t="n"/>
      <c r="L553" s="32" t="n"/>
      <c r="M553" s="33" t="n"/>
      <c r="N553" s="33" t="n"/>
      <c r="O553" s="33" t="n"/>
      <c r="P553" s="32" t="n"/>
      <c r="Q553" s="33" t="n"/>
      <c r="R553" s="33" t="n"/>
      <c r="S553" s="33" t="n"/>
      <c r="T553" s="33" t="n"/>
      <c r="U553" s="32" t="n"/>
      <c r="V553" s="33" t="n"/>
      <c r="W553" s="33" t="n"/>
      <c r="X553" s="33" t="n"/>
      <c r="Y553" s="33" t="n"/>
      <c r="Z553" s="33" t="n"/>
      <c r="AA553" s="33" t="n"/>
      <c r="AB553" s="33" t="n"/>
      <c r="AC553" s="33" t="n"/>
      <c r="AD553" s="33" t="n"/>
      <c r="AE553" s="33" t="n"/>
      <c r="AF553" s="32" t="n"/>
      <c r="AG553" s="32" t="n"/>
      <c r="AH553" s="32" t="n"/>
      <c r="AI553" s="32" t="n"/>
      <c r="AJ553" s="32" t="n"/>
      <c r="AK553" s="32" t="n"/>
      <c r="AL553" s="32" t="n"/>
      <c r="AM553" s="32" t="n"/>
      <c r="AN553" s="32" t="n"/>
      <c r="AO553" s="32" t="n"/>
      <c r="AP553" s="32" t="n"/>
      <c r="AQ553" s="32" t="n"/>
      <c r="AR553" s="29">
        <f>IF(NOT(COUNTA(A553:AE553)&gt;0),"",IF(A553="","New client","Update"))</f>
        <v/>
      </c>
      <c r="AS553" s="29">
        <f>IF(BA553&lt;&gt;"",BA553,IF(LEN(AZ553)=15,MID(AZ553,3,10),""))</f>
        <v/>
      </c>
      <c r="AT553" s="29">
        <f>IF(BB553="","",BB553&amp;IF(D553="","  (guessed from PAN)",""))</f>
        <v/>
      </c>
      <c r="AU553" s="29">
        <f>IF(AZ553="","",IFERROR(INDEX(Lists!$L$2:$L$38,MATCH(LEFT(AZ553,2),Lists!$K$2:$K$38,0)),"Unknown code"))</f>
        <v/>
      </c>
      <c r="AV553" s="29">
        <f>IF(AZ553="","",IFERROR(IF(NOT(AND(LEN(AZ553)=15,ISNUMBER(MATCH(LEFT(AZ553,2),Lists!$K$2:$K$38,0)),SUMPRODUCT(--ISERROR(FIND(MID(MID(AZ553,3,10),{1,2,3,4,5,10},1),"ABCDEFGHIJKLMNOPQRSTUVWXYZ")))=0,SUMPRODUCT(--ISERROR(FIND(MID(MID(AZ553,3,10),{6,7,8,9},1),"0123456789")))=0,ISNUMBER(FIND(MID(AZ553,13,1),"123456789ABCDEFGHIJKLMNOPQRSTUVWXYZ")),MID(AZ553,14,1)="Z")),"Wrong format",IF(MID("0123456789ABCDEFGHIJKLMNOPQRSTUVWXYZ",MOD(36-MOD(SUMPRODUCT(INT((FIND(MID(AZ553,{1,2,3,4,5,6,7,8,9,10,11,12,13,14},1),"0123456789ABCDEFGHIJKLMNOPQRSTUVWXYZ")-1)*{1,2,1,2,1,2,1,2,1,2,1,2,1,2}/36)+MOD((FIND(MID(AZ553,{1,2,3,4,5,6,7,8,9,10,11,12,13,14},1),"0123456789ABCDEFGHIJKLMNOPQRSTUVWXYZ")-1)*{1,2,1,2,1,2,1,2,1,2,1,2,1,2},36)),36),36)+1,1)=MID(AZ553,15,1),"OK","Typo? check digit wrong")),"Wrong format"))</f>
        <v/>
      </c>
      <c r="AW553" s="29">
        <f>IF(BA553="","",IF(AND(LEN(BA553)=10,SUMPRODUCT(--ISERROR(FIND(MID(BA553,{1,2,3,4,5,10},1),"ABCDEFGHIJKLMNOPQRSTUVWXYZ")))=0,SUMPRODUCT(--ISERROR(FIND(MID(BA553,{6,7,8,9},1),"0123456789")))=0),"OK","Wrong format"))</f>
        <v/>
      </c>
      <c r="AX553" s="29">
        <f>IF(TRIM(H553)="","",IF(AND(LEN(UPPER(TRIM(H553)))=10,SUMPRODUCT(--ISERROR(FIND(MID(UPPER(TRIM(H553)),{1,2,3,4,10},1),"ABCDEFGHIJKLMNOPQRSTUVWXYZ")))=0,SUMPRODUCT(--ISERROR(FIND(MID(UPPER(TRIM(H553)),{5,6,7,8,9},1),"0123456789")))=0),"OK","Wrong format"))</f>
        <v/>
      </c>
      <c r="AY553" s="30">
        <f>IF(NOT(COUNTA(A553:AE553)&gt;0),"",IF(BE553&lt;&gt;"","✖ "&amp;LEFT(BE553,LEN(BE553)-2),IF(BD553&gt;0,"✔ Ready — client + "&amp;BD553&amp;" service(s)","✔ Ready — client only")))</f>
        <v/>
      </c>
      <c r="AZ553" s="31">
        <f>UPPER(SUBSTITUTE(TRIM(F553)," ",""))</f>
        <v/>
      </c>
      <c r="BA553" s="31">
        <f>UPPER(SUBSTITUTE(TRIM(E553)," ",""))</f>
        <v/>
      </c>
      <c r="BB553" s="31">
        <f>IF(D553&lt;&gt;"",D553,IFERROR(VLOOKUP(MID(AS553,4,1),Lists!$E$2:$F$8,2,FALSE),""))</f>
        <v/>
      </c>
      <c r="BC553" s="31">
        <f>IFERROR(VLOOKUP(BB553,Lists!$A$2:$C$12,3,FALSE),"")</f>
        <v/>
      </c>
      <c r="BD553" s="31">
        <f>COUNTIF(W553:AC553,"Yes")</f>
        <v/>
      </c>
      <c r="BE553" s="31">
        <f>IF(TRIM(B553)="","Legal name missing; ","")&amp;IF(AND(AV553&lt;&gt;"",AV553&lt;&gt;"OK"),"GSTIN: "&amp;AV553&amp;"; ","")&amp;IF(AND(AW553&lt;&gt;"",AW553&lt;&gt;"OK"),"PAN wrong format; ","")&amp;IF(AND(BA553&lt;&gt;"",LEN(AZ553)=15,MID(AZ553,3,10)&lt;&gt;BA553),"PAN does not match GSTIN; ","")&amp;IF(AND(AX553&lt;&gt;"",AX553&lt;&gt;"OK"),"TAN wrong format; ","")&amp;IF(AS553="","PAN missing; ","")&amp;IF(BB553="","Entity type missing; ","")&amp;IF(AND(AZ553&lt;&gt;"",COUNTIF($AZ$6:$AZ$1005,AZ553)&gt;1),"GSTIN repeated in this sheet; ","")&amp;IF(AND(AS553&lt;&gt;"",COUNTIF($AS$6:$AS$1005,AS553)&gt;1),"PAN repeated in this sheet (same client? put extra GSTINs in Other GSTINs); ","")&amp;IF(AND(BD553&gt;0,V553=""),"Financial year missing; ","")&amp;IF(AND(BD553=0,V553&lt;&gt;""),"Financial year given but no service is Yes; ","")&amp;IF(AND(W553="Yes",AZ553=""),"GST needs a GSTIN; ","")&amp;IF(AND(W553="Yes",X553=""),"GST return frequency missing; ","")&amp;IF(AND(Y553="Yes",TRIM(H553)=""),"TDS needs a TAN; ","")&amp;IF(AND(AA553="Yes",BC553&lt;&gt;"",BC553&lt;&gt;"company",BC553&lt;&gt;"llp"),"ROC is only for a company / LLP; ","")&amp;IF(AND(AA553="Yes",OR(BC553="company",BC553="llp"),TRIM(I553)=""),"ROC needs the CIN / LLPIN; ","")&amp;IF((TRIM(AF553)="")&lt;&gt;(TRIM(AG553)=""),"GST login needs both user ID and password; ","")&amp;IF((TRIM(AH553)="")&lt;&gt;(TRIM(AI553)=""),"Income-tax login needs both user ID and password; ","")&amp;IF((TRIM(AJ553)="")&lt;&gt;(TRIM(AK553)=""),"Income-tax login needs both user ID and password; ","")&amp;IF((TRIM(AL553)="")&lt;&gt;(TRIM(AM553)=""),"TRACES login needs both user ID and password; ","")&amp;IF((TRIM(AN553)="")&lt;&gt;(TRIM(AO553)=""),"MCA login needs both user ID and password; ","")&amp;IF((TRIM(AP553)="")&lt;&gt;(TRIM(AQ553)=""),"E-way bill login needs both user ID and password; ","")</f>
        <v/>
      </c>
    </row>
    <row r="554">
      <c r="A554" s="32" t="n"/>
      <c r="B554" s="33" t="n"/>
      <c r="C554" s="33" t="n"/>
      <c r="D554" s="33" t="n"/>
      <c r="E554" s="32" t="n"/>
      <c r="F554" s="32" t="n"/>
      <c r="G554" s="32" t="n"/>
      <c r="H554" s="32" t="n"/>
      <c r="I554" s="32" t="n"/>
      <c r="J554" s="34" t="n"/>
      <c r="K554" s="33" t="n"/>
      <c r="L554" s="32" t="n"/>
      <c r="M554" s="33" t="n"/>
      <c r="N554" s="33" t="n"/>
      <c r="O554" s="33" t="n"/>
      <c r="P554" s="32" t="n"/>
      <c r="Q554" s="33" t="n"/>
      <c r="R554" s="33" t="n"/>
      <c r="S554" s="33" t="n"/>
      <c r="T554" s="33" t="n"/>
      <c r="U554" s="32" t="n"/>
      <c r="V554" s="33" t="n"/>
      <c r="W554" s="33" t="n"/>
      <c r="X554" s="33" t="n"/>
      <c r="Y554" s="33" t="n"/>
      <c r="Z554" s="33" t="n"/>
      <c r="AA554" s="33" t="n"/>
      <c r="AB554" s="33" t="n"/>
      <c r="AC554" s="33" t="n"/>
      <c r="AD554" s="33" t="n"/>
      <c r="AE554" s="33" t="n"/>
      <c r="AF554" s="32" t="n"/>
      <c r="AG554" s="32" t="n"/>
      <c r="AH554" s="32" t="n"/>
      <c r="AI554" s="32" t="n"/>
      <c r="AJ554" s="32" t="n"/>
      <c r="AK554" s="32" t="n"/>
      <c r="AL554" s="32" t="n"/>
      <c r="AM554" s="32" t="n"/>
      <c r="AN554" s="32" t="n"/>
      <c r="AO554" s="32" t="n"/>
      <c r="AP554" s="32" t="n"/>
      <c r="AQ554" s="32" t="n"/>
      <c r="AR554" s="29">
        <f>IF(NOT(COUNTA(A554:AE554)&gt;0),"",IF(A554="","New client","Update"))</f>
        <v/>
      </c>
      <c r="AS554" s="29">
        <f>IF(BA554&lt;&gt;"",BA554,IF(LEN(AZ554)=15,MID(AZ554,3,10),""))</f>
        <v/>
      </c>
      <c r="AT554" s="29">
        <f>IF(BB554="","",BB554&amp;IF(D554="","  (guessed from PAN)",""))</f>
        <v/>
      </c>
      <c r="AU554" s="29">
        <f>IF(AZ554="","",IFERROR(INDEX(Lists!$L$2:$L$38,MATCH(LEFT(AZ554,2),Lists!$K$2:$K$38,0)),"Unknown code"))</f>
        <v/>
      </c>
      <c r="AV554" s="29">
        <f>IF(AZ554="","",IFERROR(IF(NOT(AND(LEN(AZ554)=15,ISNUMBER(MATCH(LEFT(AZ554,2),Lists!$K$2:$K$38,0)),SUMPRODUCT(--ISERROR(FIND(MID(MID(AZ554,3,10),{1,2,3,4,5,10},1),"ABCDEFGHIJKLMNOPQRSTUVWXYZ")))=0,SUMPRODUCT(--ISERROR(FIND(MID(MID(AZ554,3,10),{6,7,8,9},1),"0123456789")))=0,ISNUMBER(FIND(MID(AZ554,13,1),"123456789ABCDEFGHIJKLMNOPQRSTUVWXYZ")),MID(AZ554,14,1)="Z")),"Wrong format",IF(MID("0123456789ABCDEFGHIJKLMNOPQRSTUVWXYZ",MOD(36-MOD(SUMPRODUCT(INT((FIND(MID(AZ554,{1,2,3,4,5,6,7,8,9,10,11,12,13,14},1),"0123456789ABCDEFGHIJKLMNOPQRSTUVWXYZ")-1)*{1,2,1,2,1,2,1,2,1,2,1,2,1,2}/36)+MOD((FIND(MID(AZ554,{1,2,3,4,5,6,7,8,9,10,11,12,13,14},1),"0123456789ABCDEFGHIJKLMNOPQRSTUVWXYZ")-1)*{1,2,1,2,1,2,1,2,1,2,1,2,1,2},36)),36),36)+1,1)=MID(AZ554,15,1),"OK","Typo? check digit wrong")),"Wrong format"))</f>
        <v/>
      </c>
      <c r="AW554" s="29">
        <f>IF(BA554="","",IF(AND(LEN(BA554)=10,SUMPRODUCT(--ISERROR(FIND(MID(BA554,{1,2,3,4,5,10},1),"ABCDEFGHIJKLMNOPQRSTUVWXYZ")))=0,SUMPRODUCT(--ISERROR(FIND(MID(BA554,{6,7,8,9},1),"0123456789")))=0),"OK","Wrong format"))</f>
        <v/>
      </c>
      <c r="AX554" s="29">
        <f>IF(TRIM(H554)="","",IF(AND(LEN(UPPER(TRIM(H554)))=10,SUMPRODUCT(--ISERROR(FIND(MID(UPPER(TRIM(H554)),{1,2,3,4,10},1),"ABCDEFGHIJKLMNOPQRSTUVWXYZ")))=0,SUMPRODUCT(--ISERROR(FIND(MID(UPPER(TRIM(H554)),{5,6,7,8,9},1),"0123456789")))=0),"OK","Wrong format"))</f>
        <v/>
      </c>
      <c r="AY554" s="30">
        <f>IF(NOT(COUNTA(A554:AE554)&gt;0),"",IF(BE554&lt;&gt;"","✖ "&amp;LEFT(BE554,LEN(BE554)-2),IF(BD554&gt;0,"✔ Ready — client + "&amp;BD554&amp;" service(s)","✔ Ready — client only")))</f>
        <v/>
      </c>
      <c r="AZ554" s="31">
        <f>UPPER(SUBSTITUTE(TRIM(F554)," ",""))</f>
        <v/>
      </c>
      <c r="BA554" s="31">
        <f>UPPER(SUBSTITUTE(TRIM(E554)," ",""))</f>
        <v/>
      </c>
      <c r="BB554" s="31">
        <f>IF(D554&lt;&gt;"",D554,IFERROR(VLOOKUP(MID(AS554,4,1),Lists!$E$2:$F$8,2,FALSE),""))</f>
        <v/>
      </c>
      <c r="BC554" s="31">
        <f>IFERROR(VLOOKUP(BB554,Lists!$A$2:$C$12,3,FALSE),"")</f>
        <v/>
      </c>
      <c r="BD554" s="31">
        <f>COUNTIF(W554:AC554,"Yes")</f>
        <v/>
      </c>
      <c r="BE554" s="31">
        <f>IF(TRIM(B554)="","Legal name missing; ","")&amp;IF(AND(AV554&lt;&gt;"",AV554&lt;&gt;"OK"),"GSTIN: "&amp;AV554&amp;"; ","")&amp;IF(AND(AW554&lt;&gt;"",AW554&lt;&gt;"OK"),"PAN wrong format; ","")&amp;IF(AND(BA554&lt;&gt;"",LEN(AZ554)=15,MID(AZ554,3,10)&lt;&gt;BA554),"PAN does not match GSTIN; ","")&amp;IF(AND(AX554&lt;&gt;"",AX554&lt;&gt;"OK"),"TAN wrong format; ","")&amp;IF(AS554="","PAN missing; ","")&amp;IF(BB554="","Entity type missing; ","")&amp;IF(AND(AZ554&lt;&gt;"",COUNTIF($AZ$6:$AZ$1005,AZ554)&gt;1),"GSTIN repeated in this sheet; ","")&amp;IF(AND(AS554&lt;&gt;"",COUNTIF($AS$6:$AS$1005,AS554)&gt;1),"PAN repeated in this sheet (same client? put extra GSTINs in Other GSTINs); ","")&amp;IF(AND(BD554&gt;0,V554=""),"Financial year missing; ","")&amp;IF(AND(BD554=0,V554&lt;&gt;""),"Financial year given but no service is Yes; ","")&amp;IF(AND(W554="Yes",AZ554=""),"GST needs a GSTIN; ","")&amp;IF(AND(W554="Yes",X554=""),"GST return frequency missing; ","")&amp;IF(AND(Y554="Yes",TRIM(H554)=""),"TDS needs a TAN; ","")&amp;IF(AND(AA554="Yes",BC554&lt;&gt;"",BC554&lt;&gt;"company",BC554&lt;&gt;"llp"),"ROC is only for a company / LLP; ","")&amp;IF(AND(AA554="Yes",OR(BC554="company",BC554="llp"),TRIM(I554)=""),"ROC needs the CIN / LLPIN; ","")&amp;IF((TRIM(AF554)="")&lt;&gt;(TRIM(AG554)=""),"GST login needs both user ID and password; ","")&amp;IF((TRIM(AH554)="")&lt;&gt;(TRIM(AI554)=""),"Income-tax login needs both user ID and password; ","")&amp;IF((TRIM(AJ554)="")&lt;&gt;(TRIM(AK554)=""),"Income-tax login needs both user ID and password; ","")&amp;IF((TRIM(AL554)="")&lt;&gt;(TRIM(AM554)=""),"TRACES login needs both user ID and password; ","")&amp;IF((TRIM(AN554)="")&lt;&gt;(TRIM(AO554)=""),"MCA login needs both user ID and password; ","")&amp;IF((TRIM(AP554)="")&lt;&gt;(TRIM(AQ554)=""),"E-way bill login needs both user ID and password; ","")</f>
        <v/>
      </c>
    </row>
    <row r="555">
      <c r="A555" s="32" t="n"/>
      <c r="B555" s="33" t="n"/>
      <c r="C555" s="33" t="n"/>
      <c r="D555" s="33" t="n"/>
      <c r="E555" s="32" t="n"/>
      <c r="F555" s="32" t="n"/>
      <c r="G555" s="32" t="n"/>
      <c r="H555" s="32" t="n"/>
      <c r="I555" s="32" t="n"/>
      <c r="J555" s="34" t="n"/>
      <c r="K555" s="33" t="n"/>
      <c r="L555" s="32" t="n"/>
      <c r="M555" s="33" t="n"/>
      <c r="N555" s="33" t="n"/>
      <c r="O555" s="33" t="n"/>
      <c r="P555" s="32" t="n"/>
      <c r="Q555" s="33" t="n"/>
      <c r="R555" s="33" t="n"/>
      <c r="S555" s="33" t="n"/>
      <c r="T555" s="33" t="n"/>
      <c r="U555" s="32" t="n"/>
      <c r="V555" s="33" t="n"/>
      <c r="W555" s="33" t="n"/>
      <c r="X555" s="33" t="n"/>
      <c r="Y555" s="33" t="n"/>
      <c r="Z555" s="33" t="n"/>
      <c r="AA555" s="33" t="n"/>
      <c r="AB555" s="33" t="n"/>
      <c r="AC555" s="33" t="n"/>
      <c r="AD555" s="33" t="n"/>
      <c r="AE555" s="33" t="n"/>
      <c r="AF555" s="32" t="n"/>
      <c r="AG555" s="32" t="n"/>
      <c r="AH555" s="32" t="n"/>
      <c r="AI555" s="32" t="n"/>
      <c r="AJ555" s="32" t="n"/>
      <c r="AK555" s="32" t="n"/>
      <c r="AL555" s="32" t="n"/>
      <c r="AM555" s="32" t="n"/>
      <c r="AN555" s="32" t="n"/>
      <c r="AO555" s="32" t="n"/>
      <c r="AP555" s="32" t="n"/>
      <c r="AQ555" s="32" t="n"/>
      <c r="AR555" s="29">
        <f>IF(NOT(COUNTA(A555:AE555)&gt;0),"",IF(A555="","New client","Update"))</f>
        <v/>
      </c>
      <c r="AS555" s="29">
        <f>IF(BA555&lt;&gt;"",BA555,IF(LEN(AZ555)=15,MID(AZ555,3,10),""))</f>
        <v/>
      </c>
      <c r="AT555" s="29">
        <f>IF(BB555="","",BB555&amp;IF(D555="","  (guessed from PAN)",""))</f>
        <v/>
      </c>
      <c r="AU555" s="29">
        <f>IF(AZ555="","",IFERROR(INDEX(Lists!$L$2:$L$38,MATCH(LEFT(AZ555,2),Lists!$K$2:$K$38,0)),"Unknown code"))</f>
        <v/>
      </c>
      <c r="AV555" s="29">
        <f>IF(AZ555="","",IFERROR(IF(NOT(AND(LEN(AZ555)=15,ISNUMBER(MATCH(LEFT(AZ555,2),Lists!$K$2:$K$38,0)),SUMPRODUCT(--ISERROR(FIND(MID(MID(AZ555,3,10),{1,2,3,4,5,10},1),"ABCDEFGHIJKLMNOPQRSTUVWXYZ")))=0,SUMPRODUCT(--ISERROR(FIND(MID(MID(AZ555,3,10),{6,7,8,9},1),"0123456789")))=0,ISNUMBER(FIND(MID(AZ555,13,1),"123456789ABCDEFGHIJKLMNOPQRSTUVWXYZ")),MID(AZ555,14,1)="Z")),"Wrong format",IF(MID("0123456789ABCDEFGHIJKLMNOPQRSTUVWXYZ",MOD(36-MOD(SUMPRODUCT(INT((FIND(MID(AZ555,{1,2,3,4,5,6,7,8,9,10,11,12,13,14},1),"0123456789ABCDEFGHIJKLMNOPQRSTUVWXYZ")-1)*{1,2,1,2,1,2,1,2,1,2,1,2,1,2}/36)+MOD((FIND(MID(AZ555,{1,2,3,4,5,6,7,8,9,10,11,12,13,14},1),"0123456789ABCDEFGHIJKLMNOPQRSTUVWXYZ")-1)*{1,2,1,2,1,2,1,2,1,2,1,2,1,2},36)),36),36)+1,1)=MID(AZ555,15,1),"OK","Typo? check digit wrong")),"Wrong format"))</f>
        <v/>
      </c>
      <c r="AW555" s="29">
        <f>IF(BA555="","",IF(AND(LEN(BA555)=10,SUMPRODUCT(--ISERROR(FIND(MID(BA555,{1,2,3,4,5,10},1),"ABCDEFGHIJKLMNOPQRSTUVWXYZ")))=0,SUMPRODUCT(--ISERROR(FIND(MID(BA555,{6,7,8,9},1),"0123456789")))=0),"OK","Wrong format"))</f>
        <v/>
      </c>
      <c r="AX555" s="29">
        <f>IF(TRIM(H555)="","",IF(AND(LEN(UPPER(TRIM(H555)))=10,SUMPRODUCT(--ISERROR(FIND(MID(UPPER(TRIM(H555)),{1,2,3,4,10},1),"ABCDEFGHIJKLMNOPQRSTUVWXYZ")))=0,SUMPRODUCT(--ISERROR(FIND(MID(UPPER(TRIM(H555)),{5,6,7,8,9},1),"0123456789")))=0),"OK","Wrong format"))</f>
        <v/>
      </c>
      <c r="AY555" s="30">
        <f>IF(NOT(COUNTA(A555:AE555)&gt;0),"",IF(BE555&lt;&gt;"","✖ "&amp;LEFT(BE555,LEN(BE555)-2),IF(BD555&gt;0,"✔ Ready — client + "&amp;BD555&amp;" service(s)","✔ Ready — client only")))</f>
        <v/>
      </c>
      <c r="AZ555" s="31">
        <f>UPPER(SUBSTITUTE(TRIM(F555)," ",""))</f>
        <v/>
      </c>
      <c r="BA555" s="31">
        <f>UPPER(SUBSTITUTE(TRIM(E555)," ",""))</f>
        <v/>
      </c>
      <c r="BB555" s="31">
        <f>IF(D555&lt;&gt;"",D555,IFERROR(VLOOKUP(MID(AS555,4,1),Lists!$E$2:$F$8,2,FALSE),""))</f>
        <v/>
      </c>
      <c r="BC555" s="31">
        <f>IFERROR(VLOOKUP(BB555,Lists!$A$2:$C$12,3,FALSE),"")</f>
        <v/>
      </c>
      <c r="BD555" s="31">
        <f>COUNTIF(W555:AC555,"Yes")</f>
        <v/>
      </c>
      <c r="BE555" s="31">
        <f>IF(TRIM(B555)="","Legal name missing; ","")&amp;IF(AND(AV555&lt;&gt;"",AV555&lt;&gt;"OK"),"GSTIN: "&amp;AV555&amp;"; ","")&amp;IF(AND(AW555&lt;&gt;"",AW555&lt;&gt;"OK"),"PAN wrong format; ","")&amp;IF(AND(BA555&lt;&gt;"",LEN(AZ555)=15,MID(AZ555,3,10)&lt;&gt;BA555),"PAN does not match GSTIN; ","")&amp;IF(AND(AX555&lt;&gt;"",AX555&lt;&gt;"OK"),"TAN wrong format; ","")&amp;IF(AS555="","PAN missing; ","")&amp;IF(BB555="","Entity type missing; ","")&amp;IF(AND(AZ555&lt;&gt;"",COUNTIF($AZ$6:$AZ$1005,AZ555)&gt;1),"GSTIN repeated in this sheet; ","")&amp;IF(AND(AS555&lt;&gt;"",COUNTIF($AS$6:$AS$1005,AS555)&gt;1),"PAN repeated in this sheet (same client? put extra GSTINs in Other GSTINs); ","")&amp;IF(AND(BD555&gt;0,V555=""),"Financial year missing; ","")&amp;IF(AND(BD555=0,V555&lt;&gt;""),"Financial year given but no service is Yes; ","")&amp;IF(AND(W555="Yes",AZ555=""),"GST needs a GSTIN; ","")&amp;IF(AND(W555="Yes",X555=""),"GST return frequency missing; ","")&amp;IF(AND(Y555="Yes",TRIM(H555)=""),"TDS needs a TAN; ","")&amp;IF(AND(AA555="Yes",BC555&lt;&gt;"",BC555&lt;&gt;"company",BC555&lt;&gt;"llp"),"ROC is only for a company / LLP; ","")&amp;IF(AND(AA555="Yes",OR(BC555="company",BC555="llp"),TRIM(I555)=""),"ROC needs the CIN / LLPIN; ","")&amp;IF((TRIM(AF555)="")&lt;&gt;(TRIM(AG555)=""),"GST login needs both user ID and password; ","")&amp;IF((TRIM(AH555)="")&lt;&gt;(TRIM(AI555)=""),"Income-tax login needs both user ID and password; ","")&amp;IF((TRIM(AJ555)="")&lt;&gt;(TRIM(AK555)=""),"Income-tax login needs both user ID and password; ","")&amp;IF((TRIM(AL555)="")&lt;&gt;(TRIM(AM555)=""),"TRACES login needs both user ID and password; ","")&amp;IF((TRIM(AN555)="")&lt;&gt;(TRIM(AO555)=""),"MCA login needs both user ID and password; ","")&amp;IF((TRIM(AP555)="")&lt;&gt;(TRIM(AQ555)=""),"E-way bill login needs both user ID and password; ","")</f>
        <v/>
      </c>
    </row>
    <row r="556">
      <c r="A556" s="32" t="n"/>
      <c r="B556" s="33" t="n"/>
      <c r="C556" s="33" t="n"/>
      <c r="D556" s="33" t="n"/>
      <c r="E556" s="32" t="n"/>
      <c r="F556" s="32" t="n"/>
      <c r="G556" s="32" t="n"/>
      <c r="H556" s="32" t="n"/>
      <c r="I556" s="32" t="n"/>
      <c r="J556" s="34" t="n"/>
      <c r="K556" s="33" t="n"/>
      <c r="L556" s="32" t="n"/>
      <c r="M556" s="33" t="n"/>
      <c r="N556" s="33" t="n"/>
      <c r="O556" s="33" t="n"/>
      <c r="P556" s="32" t="n"/>
      <c r="Q556" s="33" t="n"/>
      <c r="R556" s="33" t="n"/>
      <c r="S556" s="33" t="n"/>
      <c r="T556" s="33" t="n"/>
      <c r="U556" s="32" t="n"/>
      <c r="V556" s="33" t="n"/>
      <c r="W556" s="33" t="n"/>
      <c r="X556" s="33" t="n"/>
      <c r="Y556" s="33" t="n"/>
      <c r="Z556" s="33" t="n"/>
      <c r="AA556" s="33" t="n"/>
      <c r="AB556" s="33" t="n"/>
      <c r="AC556" s="33" t="n"/>
      <c r="AD556" s="33" t="n"/>
      <c r="AE556" s="33" t="n"/>
      <c r="AF556" s="32" t="n"/>
      <c r="AG556" s="32" t="n"/>
      <c r="AH556" s="32" t="n"/>
      <c r="AI556" s="32" t="n"/>
      <c r="AJ556" s="32" t="n"/>
      <c r="AK556" s="32" t="n"/>
      <c r="AL556" s="32" t="n"/>
      <c r="AM556" s="32" t="n"/>
      <c r="AN556" s="32" t="n"/>
      <c r="AO556" s="32" t="n"/>
      <c r="AP556" s="32" t="n"/>
      <c r="AQ556" s="32" t="n"/>
      <c r="AR556" s="29">
        <f>IF(NOT(COUNTA(A556:AE556)&gt;0),"",IF(A556="","New client","Update"))</f>
        <v/>
      </c>
      <c r="AS556" s="29">
        <f>IF(BA556&lt;&gt;"",BA556,IF(LEN(AZ556)=15,MID(AZ556,3,10),""))</f>
        <v/>
      </c>
      <c r="AT556" s="29">
        <f>IF(BB556="","",BB556&amp;IF(D556="","  (guessed from PAN)",""))</f>
        <v/>
      </c>
      <c r="AU556" s="29">
        <f>IF(AZ556="","",IFERROR(INDEX(Lists!$L$2:$L$38,MATCH(LEFT(AZ556,2),Lists!$K$2:$K$38,0)),"Unknown code"))</f>
        <v/>
      </c>
      <c r="AV556" s="29">
        <f>IF(AZ556="","",IFERROR(IF(NOT(AND(LEN(AZ556)=15,ISNUMBER(MATCH(LEFT(AZ556,2),Lists!$K$2:$K$38,0)),SUMPRODUCT(--ISERROR(FIND(MID(MID(AZ556,3,10),{1,2,3,4,5,10},1),"ABCDEFGHIJKLMNOPQRSTUVWXYZ")))=0,SUMPRODUCT(--ISERROR(FIND(MID(MID(AZ556,3,10),{6,7,8,9},1),"0123456789")))=0,ISNUMBER(FIND(MID(AZ556,13,1),"123456789ABCDEFGHIJKLMNOPQRSTUVWXYZ")),MID(AZ556,14,1)="Z")),"Wrong format",IF(MID("0123456789ABCDEFGHIJKLMNOPQRSTUVWXYZ",MOD(36-MOD(SUMPRODUCT(INT((FIND(MID(AZ556,{1,2,3,4,5,6,7,8,9,10,11,12,13,14},1),"0123456789ABCDEFGHIJKLMNOPQRSTUVWXYZ")-1)*{1,2,1,2,1,2,1,2,1,2,1,2,1,2}/36)+MOD((FIND(MID(AZ556,{1,2,3,4,5,6,7,8,9,10,11,12,13,14},1),"0123456789ABCDEFGHIJKLMNOPQRSTUVWXYZ")-1)*{1,2,1,2,1,2,1,2,1,2,1,2,1,2},36)),36),36)+1,1)=MID(AZ556,15,1),"OK","Typo? check digit wrong")),"Wrong format"))</f>
        <v/>
      </c>
      <c r="AW556" s="29">
        <f>IF(BA556="","",IF(AND(LEN(BA556)=10,SUMPRODUCT(--ISERROR(FIND(MID(BA556,{1,2,3,4,5,10},1),"ABCDEFGHIJKLMNOPQRSTUVWXYZ")))=0,SUMPRODUCT(--ISERROR(FIND(MID(BA556,{6,7,8,9},1),"0123456789")))=0),"OK","Wrong format"))</f>
        <v/>
      </c>
      <c r="AX556" s="29">
        <f>IF(TRIM(H556)="","",IF(AND(LEN(UPPER(TRIM(H556)))=10,SUMPRODUCT(--ISERROR(FIND(MID(UPPER(TRIM(H556)),{1,2,3,4,10},1),"ABCDEFGHIJKLMNOPQRSTUVWXYZ")))=0,SUMPRODUCT(--ISERROR(FIND(MID(UPPER(TRIM(H556)),{5,6,7,8,9},1),"0123456789")))=0),"OK","Wrong format"))</f>
        <v/>
      </c>
      <c r="AY556" s="30">
        <f>IF(NOT(COUNTA(A556:AE556)&gt;0),"",IF(BE556&lt;&gt;"","✖ "&amp;LEFT(BE556,LEN(BE556)-2),IF(BD556&gt;0,"✔ Ready — client + "&amp;BD556&amp;" service(s)","✔ Ready — client only")))</f>
        <v/>
      </c>
      <c r="AZ556" s="31">
        <f>UPPER(SUBSTITUTE(TRIM(F556)," ",""))</f>
        <v/>
      </c>
      <c r="BA556" s="31">
        <f>UPPER(SUBSTITUTE(TRIM(E556)," ",""))</f>
        <v/>
      </c>
      <c r="BB556" s="31">
        <f>IF(D556&lt;&gt;"",D556,IFERROR(VLOOKUP(MID(AS556,4,1),Lists!$E$2:$F$8,2,FALSE),""))</f>
        <v/>
      </c>
      <c r="BC556" s="31">
        <f>IFERROR(VLOOKUP(BB556,Lists!$A$2:$C$12,3,FALSE),"")</f>
        <v/>
      </c>
      <c r="BD556" s="31">
        <f>COUNTIF(W556:AC556,"Yes")</f>
        <v/>
      </c>
      <c r="BE556" s="31">
        <f>IF(TRIM(B556)="","Legal name missing; ","")&amp;IF(AND(AV556&lt;&gt;"",AV556&lt;&gt;"OK"),"GSTIN: "&amp;AV556&amp;"; ","")&amp;IF(AND(AW556&lt;&gt;"",AW556&lt;&gt;"OK"),"PAN wrong format; ","")&amp;IF(AND(BA556&lt;&gt;"",LEN(AZ556)=15,MID(AZ556,3,10)&lt;&gt;BA556),"PAN does not match GSTIN; ","")&amp;IF(AND(AX556&lt;&gt;"",AX556&lt;&gt;"OK"),"TAN wrong format; ","")&amp;IF(AS556="","PAN missing; ","")&amp;IF(BB556="","Entity type missing; ","")&amp;IF(AND(AZ556&lt;&gt;"",COUNTIF($AZ$6:$AZ$1005,AZ556)&gt;1),"GSTIN repeated in this sheet; ","")&amp;IF(AND(AS556&lt;&gt;"",COUNTIF($AS$6:$AS$1005,AS556)&gt;1),"PAN repeated in this sheet (same client? put extra GSTINs in Other GSTINs); ","")&amp;IF(AND(BD556&gt;0,V556=""),"Financial year missing; ","")&amp;IF(AND(BD556=0,V556&lt;&gt;""),"Financial year given but no service is Yes; ","")&amp;IF(AND(W556="Yes",AZ556=""),"GST needs a GSTIN; ","")&amp;IF(AND(W556="Yes",X556=""),"GST return frequency missing; ","")&amp;IF(AND(Y556="Yes",TRIM(H556)=""),"TDS needs a TAN; ","")&amp;IF(AND(AA556="Yes",BC556&lt;&gt;"",BC556&lt;&gt;"company",BC556&lt;&gt;"llp"),"ROC is only for a company / LLP; ","")&amp;IF(AND(AA556="Yes",OR(BC556="company",BC556="llp"),TRIM(I556)=""),"ROC needs the CIN / LLPIN; ","")&amp;IF((TRIM(AF556)="")&lt;&gt;(TRIM(AG556)=""),"GST login needs both user ID and password; ","")&amp;IF((TRIM(AH556)="")&lt;&gt;(TRIM(AI556)=""),"Income-tax login needs both user ID and password; ","")&amp;IF((TRIM(AJ556)="")&lt;&gt;(TRIM(AK556)=""),"Income-tax login needs both user ID and password; ","")&amp;IF((TRIM(AL556)="")&lt;&gt;(TRIM(AM556)=""),"TRACES login needs both user ID and password; ","")&amp;IF((TRIM(AN556)="")&lt;&gt;(TRIM(AO556)=""),"MCA login needs both user ID and password; ","")&amp;IF((TRIM(AP556)="")&lt;&gt;(TRIM(AQ556)=""),"E-way bill login needs both user ID and password; ","")</f>
        <v/>
      </c>
    </row>
    <row r="557">
      <c r="A557" s="32" t="n"/>
      <c r="B557" s="33" t="n"/>
      <c r="C557" s="33" t="n"/>
      <c r="D557" s="33" t="n"/>
      <c r="E557" s="32" t="n"/>
      <c r="F557" s="32" t="n"/>
      <c r="G557" s="32" t="n"/>
      <c r="H557" s="32" t="n"/>
      <c r="I557" s="32" t="n"/>
      <c r="J557" s="34" t="n"/>
      <c r="K557" s="33" t="n"/>
      <c r="L557" s="32" t="n"/>
      <c r="M557" s="33" t="n"/>
      <c r="N557" s="33" t="n"/>
      <c r="O557" s="33" t="n"/>
      <c r="P557" s="32" t="n"/>
      <c r="Q557" s="33" t="n"/>
      <c r="R557" s="33" t="n"/>
      <c r="S557" s="33" t="n"/>
      <c r="T557" s="33" t="n"/>
      <c r="U557" s="32" t="n"/>
      <c r="V557" s="33" t="n"/>
      <c r="W557" s="33" t="n"/>
      <c r="X557" s="33" t="n"/>
      <c r="Y557" s="33" t="n"/>
      <c r="Z557" s="33" t="n"/>
      <c r="AA557" s="33" t="n"/>
      <c r="AB557" s="33" t="n"/>
      <c r="AC557" s="33" t="n"/>
      <c r="AD557" s="33" t="n"/>
      <c r="AE557" s="33" t="n"/>
      <c r="AF557" s="32" t="n"/>
      <c r="AG557" s="32" t="n"/>
      <c r="AH557" s="32" t="n"/>
      <c r="AI557" s="32" t="n"/>
      <c r="AJ557" s="32" t="n"/>
      <c r="AK557" s="32" t="n"/>
      <c r="AL557" s="32" t="n"/>
      <c r="AM557" s="32" t="n"/>
      <c r="AN557" s="32" t="n"/>
      <c r="AO557" s="32" t="n"/>
      <c r="AP557" s="32" t="n"/>
      <c r="AQ557" s="32" t="n"/>
      <c r="AR557" s="29">
        <f>IF(NOT(COUNTA(A557:AE557)&gt;0),"",IF(A557="","New client","Update"))</f>
        <v/>
      </c>
      <c r="AS557" s="29">
        <f>IF(BA557&lt;&gt;"",BA557,IF(LEN(AZ557)=15,MID(AZ557,3,10),""))</f>
        <v/>
      </c>
      <c r="AT557" s="29">
        <f>IF(BB557="","",BB557&amp;IF(D557="","  (guessed from PAN)",""))</f>
        <v/>
      </c>
      <c r="AU557" s="29">
        <f>IF(AZ557="","",IFERROR(INDEX(Lists!$L$2:$L$38,MATCH(LEFT(AZ557,2),Lists!$K$2:$K$38,0)),"Unknown code"))</f>
        <v/>
      </c>
      <c r="AV557" s="29">
        <f>IF(AZ557="","",IFERROR(IF(NOT(AND(LEN(AZ557)=15,ISNUMBER(MATCH(LEFT(AZ557,2),Lists!$K$2:$K$38,0)),SUMPRODUCT(--ISERROR(FIND(MID(MID(AZ557,3,10),{1,2,3,4,5,10},1),"ABCDEFGHIJKLMNOPQRSTUVWXYZ")))=0,SUMPRODUCT(--ISERROR(FIND(MID(MID(AZ557,3,10),{6,7,8,9},1),"0123456789")))=0,ISNUMBER(FIND(MID(AZ557,13,1),"123456789ABCDEFGHIJKLMNOPQRSTUVWXYZ")),MID(AZ557,14,1)="Z")),"Wrong format",IF(MID("0123456789ABCDEFGHIJKLMNOPQRSTUVWXYZ",MOD(36-MOD(SUMPRODUCT(INT((FIND(MID(AZ557,{1,2,3,4,5,6,7,8,9,10,11,12,13,14},1),"0123456789ABCDEFGHIJKLMNOPQRSTUVWXYZ")-1)*{1,2,1,2,1,2,1,2,1,2,1,2,1,2}/36)+MOD((FIND(MID(AZ557,{1,2,3,4,5,6,7,8,9,10,11,12,13,14},1),"0123456789ABCDEFGHIJKLMNOPQRSTUVWXYZ")-1)*{1,2,1,2,1,2,1,2,1,2,1,2,1,2},36)),36),36)+1,1)=MID(AZ557,15,1),"OK","Typo? check digit wrong")),"Wrong format"))</f>
        <v/>
      </c>
      <c r="AW557" s="29">
        <f>IF(BA557="","",IF(AND(LEN(BA557)=10,SUMPRODUCT(--ISERROR(FIND(MID(BA557,{1,2,3,4,5,10},1),"ABCDEFGHIJKLMNOPQRSTUVWXYZ")))=0,SUMPRODUCT(--ISERROR(FIND(MID(BA557,{6,7,8,9},1),"0123456789")))=0),"OK","Wrong format"))</f>
        <v/>
      </c>
      <c r="AX557" s="29">
        <f>IF(TRIM(H557)="","",IF(AND(LEN(UPPER(TRIM(H557)))=10,SUMPRODUCT(--ISERROR(FIND(MID(UPPER(TRIM(H557)),{1,2,3,4,10},1),"ABCDEFGHIJKLMNOPQRSTUVWXYZ")))=0,SUMPRODUCT(--ISERROR(FIND(MID(UPPER(TRIM(H557)),{5,6,7,8,9},1),"0123456789")))=0),"OK","Wrong format"))</f>
        <v/>
      </c>
      <c r="AY557" s="30">
        <f>IF(NOT(COUNTA(A557:AE557)&gt;0),"",IF(BE557&lt;&gt;"","✖ "&amp;LEFT(BE557,LEN(BE557)-2),IF(BD557&gt;0,"✔ Ready — client + "&amp;BD557&amp;" service(s)","✔ Ready — client only")))</f>
        <v/>
      </c>
      <c r="AZ557" s="31">
        <f>UPPER(SUBSTITUTE(TRIM(F557)," ",""))</f>
        <v/>
      </c>
      <c r="BA557" s="31">
        <f>UPPER(SUBSTITUTE(TRIM(E557)," ",""))</f>
        <v/>
      </c>
      <c r="BB557" s="31">
        <f>IF(D557&lt;&gt;"",D557,IFERROR(VLOOKUP(MID(AS557,4,1),Lists!$E$2:$F$8,2,FALSE),""))</f>
        <v/>
      </c>
      <c r="BC557" s="31">
        <f>IFERROR(VLOOKUP(BB557,Lists!$A$2:$C$12,3,FALSE),"")</f>
        <v/>
      </c>
      <c r="BD557" s="31">
        <f>COUNTIF(W557:AC557,"Yes")</f>
        <v/>
      </c>
      <c r="BE557" s="31">
        <f>IF(TRIM(B557)="","Legal name missing; ","")&amp;IF(AND(AV557&lt;&gt;"",AV557&lt;&gt;"OK"),"GSTIN: "&amp;AV557&amp;"; ","")&amp;IF(AND(AW557&lt;&gt;"",AW557&lt;&gt;"OK"),"PAN wrong format; ","")&amp;IF(AND(BA557&lt;&gt;"",LEN(AZ557)=15,MID(AZ557,3,10)&lt;&gt;BA557),"PAN does not match GSTIN; ","")&amp;IF(AND(AX557&lt;&gt;"",AX557&lt;&gt;"OK"),"TAN wrong format; ","")&amp;IF(AS557="","PAN missing; ","")&amp;IF(BB557="","Entity type missing; ","")&amp;IF(AND(AZ557&lt;&gt;"",COUNTIF($AZ$6:$AZ$1005,AZ557)&gt;1),"GSTIN repeated in this sheet; ","")&amp;IF(AND(AS557&lt;&gt;"",COUNTIF($AS$6:$AS$1005,AS557)&gt;1),"PAN repeated in this sheet (same client? put extra GSTINs in Other GSTINs); ","")&amp;IF(AND(BD557&gt;0,V557=""),"Financial year missing; ","")&amp;IF(AND(BD557=0,V557&lt;&gt;""),"Financial year given but no service is Yes; ","")&amp;IF(AND(W557="Yes",AZ557=""),"GST needs a GSTIN; ","")&amp;IF(AND(W557="Yes",X557=""),"GST return frequency missing; ","")&amp;IF(AND(Y557="Yes",TRIM(H557)=""),"TDS needs a TAN; ","")&amp;IF(AND(AA557="Yes",BC557&lt;&gt;"",BC557&lt;&gt;"company",BC557&lt;&gt;"llp"),"ROC is only for a company / LLP; ","")&amp;IF(AND(AA557="Yes",OR(BC557="company",BC557="llp"),TRIM(I557)=""),"ROC needs the CIN / LLPIN; ","")&amp;IF((TRIM(AF557)="")&lt;&gt;(TRIM(AG557)=""),"GST login needs both user ID and password; ","")&amp;IF((TRIM(AH557)="")&lt;&gt;(TRIM(AI557)=""),"Income-tax login needs both user ID and password; ","")&amp;IF((TRIM(AJ557)="")&lt;&gt;(TRIM(AK557)=""),"Income-tax login needs both user ID and password; ","")&amp;IF((TRIM(AL557)="")&lt;&gt;(TRIM(AM557)=""),"TRACES login needs both user ID and password; ","")&amp;IF((TRIM(AN557)="")&lt;&gt;(TRIM(AO557)=""),"MCA login needs both user ID and password; ","")&amp;IF((TRIM(AP557)="")&lt;&gt;(TRIM(AQ557)=""),"E-way bill login needs both user ID and password; ","")</f>
        <v/>
      </c>
    </row>
    <row r="558">
      <c r="A558" s="32" t="n"/>
      <c r="B558" s="33" t="n"/>
      <c r="C558" s="33" t="n"/>
      <c r="D558" s="33" t="n"/>
      <c r="E558" s="32" t="n"/>
      <c r="F558" s="32" t="n"/>
      <c r="G558" s="32" t="n"/>
      <c r="H558" s="32" t="n"/>
      <c r="I558" s="32" t="n"/>
      <c r="J558" s="34" t="n"/>
      <c r="K558" s="33" t="n"/>
      <c r="L558" s="32" t="n"/>
      <c r="M558" s="33" t="n"/>
      <c r="N558" s="33" t="n"/>
      <c r="O558" s="33" t="n"/>
      <c r="P558" s="32" t="n"/>
      <c r="Q558" s="33" t="n"/>
      <c r="R558" s="33" t="n"/>
      <c r="S558" s="33" t="n"/>
      <c r="T558" s="33" t="n"/>
      <c r="U558" s="32" t="n"/>
      <c r="V558" s="33" t="n"/>
      <c r="W558" s="33" t="n"/>
      <c r="X558" s="33" t="n"/>
      <c r="Y558" s="33" t="n"/>
      <c r="Z558" s="33" t="n"/>
      <c r="AA558" s="33" t="n"/>
      <c r="AB558" s="33" t="n"/>
      <c r="AC558" s="33" t="n"/>
      <c r="AD558" s="33" t="n"/>
      <c r="AE558" s="33" t="n"/>
      <c r="AF558" s="32" t="n"/>
      <c r="AG558" s="32" t="n"/>
      <c r="AH558" s="32" t="n"/>
      <c r="AI558" s="32" t="n"/>
      <c r="AJ558" s="32" t="n"/>
      <c r="AK558" s="32" t="n"/>
      <c r="AL558" s="32" t="n"/>
      <c r="AM558" s="32" t="n"/>
      <c r="AN558" s="32" t="n"/>
      <c r="AO558" s="32" t="n"/>
      <c r="AP558" s="32" t="n"/>
      <c r="AQ558" s="32" t="n"/>
      <c r="AR558" s="29">
        <f>IF(NOT(COUNTA(A558:AE558)&gt;0),"",IF(A558="","New client","Update"))</f>
        <v/>
      </c>
      <c r="AS558" s="29">
        <f>IF(BA558&lt;&gt;"",BA558,IF(LEN(AZ558)=15,MID(AZ558,3,10),""))</f>
        <v/>
      </c>
      <c r="AT558" s="29">
        <f>IF(BB558="","",BB558&amp;IF(D558="","  (guessed from PAN)",""))</f>
        <v/>
      </c>
      <c r="AU558" s="29">
        <f>IF(AZ558="","",IFERROR(INDEX(Lists!$L$2:$L$38,MATCH(LEFT(AZ558,2),Lists!$K$2:$K$38,0)),"Unknown code"))</f>
        <v/>
      </c>
      <c r="AV558" s="29">
        <f>IF(AZ558="","",IFERROR(IF(NOT(AND(LEN(AZ558)=15,ISNUMBER(MATCH(LEFT(AZ558,2),Lists!$K$2:$K$38,0)),SUMPRODUCT(--ISERROR(FIND(MID(MID(AZ558,3,10),{1,2,3,4,5,10},1),"ABCDEFGHIJKLMNOPQRSTUVWXYZ")))=0,SUMPRODUCT(--ISERROR(FIND(MID(MID(AZ558,3,10),{6,7,8,9},1),"0123456789")))=0,ISNUMBER(FIND(MID(AZ558,13,1),"123456789ABCDEFGHIJKLMNOPQRSTUVWXYZ")),MID(AZ558,14,1)="Z")),"Wrong format",IF(MID("0123456789ABCDEFGHIJKLMNOPQRSTUVWXYZ",MOD(36-MOD(SUMPRODUCT(INT((FIND(MID(AZ558,{1,2,3,4,5,6,7,8,9,10,11,12,13,14},1),"0123456789ABCDEFGHIJKLMNOPQRSTUVWXYZ")-1)*{1,2,1,2,1,2,1,2,1,2,1,2,1,2}/36)+MOD((FIND(MID(AZ558,{1,2,3,4,5,6,7,8,9,10,11,12,13,14},1),"0123456789ABCDEFGHIJKLMNOPQRSTUVWXYZ")-1)*{1,2,1,2,1,2,1,2,1,2,1,2,1,2},36)),36),36)+1,1)=MID(AZ558,15,1),"OK","Typo? check digit wrong")),"Wrong format"))</f>
        <v/>
      </c>
      <c r="AW558" s="29">
        <f>IF(BA558="","",IF(AND(LEN(BA558)=10,SUMPRODUCT(--ISERROR(FIND(MID(BA558,{1,2,3,4,5,10},1),"ABCDEFGHIJKLMNOPQRSTUVWXYZ")))=0,SUMPRODUCT(--ISERROR(FIND(MID(BA558,{6,7,8,9},1),"0123456789")))=0),"OK","Wrong format"))</f>
        <v/>
      </c>
      <c r="AX558" s="29">
        <f>IF(TRIM(H558)="","",IF(AND(LEN(UPPER(TRIM(H558)))=10,SUMPRODUCT(--ISERROR(FIND(MID(UPPER(TRIM(H558)),{1,2,3,4,10},1),"ABCDEFGHIJKLMNOPQRSTUVWXYZ")))=0,SUMPRODUCT(--ISERROR(FIND(MID(UPPER(TRIM(H558)),{5,6,7,8,9},1),"0123456789")))=0),"OK","Wrong format"))</f>
        <v/>
      </c>
      <c r="AY558" s="30">
        <f>IF(NOT(COUNTA(A558:AE558)&gt;0),"",IF(BE558&lt;&gt;"","✖ "&amp;LEFT(BE558,LEN(BE558)-2),IF(BD558&gt;0,"✔ Ready — client + "&amp;BD558&amp;" service(s)","✔ Ready — client only")))</f>
        <v/>
      </c>
      <c r="AZ558" s="31">
        <f>UPPER(SUBSTITUTE(TRIM(F558)," ",""))</f>
        <v/>
      </c>
      <c r="BA558" s="31">
        <f>UPPER(SUBSTITUTE(TRIM(E558)," ",""))</f>
        <v/>
      </c>
      <c r="BB558" s="31">
        <f>IF(D558&lt;&gt;"",D558,IFERROR(VLOOKUP(MID(AS558,4,1),Lists!$E$2:$F$8,2,FALSE),""))</f>
        <v/>
      </c>
      <c r="BC558" s="31">
        <f>IFERROR(VLOOKUP(BB558,Lists!$A$2:$C$12,3,FALSE),"")</f>
        <v/>
      </c>
      <c r="BD558" s="31">
        <f>COUNTIF(W558:AC558,"Yes")</f>
        <v/>
      </c>
      <c r="BE558" s="31">
        <f>IF(TRIM(B558)="","Legal name missing; ","")&amp;IF(AND(AV558&lt;&gt;"",AV558&lt;&gt;"OK"),"GSTIN: "&amp;AV558&amp;"; ","")&amp;IF(AND(AW558&lt;&gt;"",AW558&lt;&gt;"OK"),"PAN wrong format; ","")&amp;IF(AND(BA558&lt;&gt;"",LEN(AZ558)=15,MID(AZ558,3,10)&lt;&gt;BA558),"PAN does not match GSTIN; ","")&amp;IF(AND(AX558&lt;&gt;"",AX558&lt;&gt;"OK"),"TAN wrong format; ","")&amp;IF(AS558="","PAN missing; ","")&amp;IF(BB558="","Entity type missing; ","")&amp;IF(AND(AZ558&lt;&gt;"",COUNTIF($AZ$6:$AZ$1005,AZ558)&gt;1),"GSTIN repeated in this sheet; ","")&amp;IF(AND(AS558&lt;&gt;"",COUNTIF($AS$6:$AS$1005,AS558)&gt;1),"PAN repeated in this sheet (same client? put extra GSTINs in Other GSTINs); ","")&amp;IF(AND(BD558&gt;0,V558=""),"Financial year missing; ","")&amp;IF(AND(BD558=0,V558&lt;&gt;""),"Financial year given but no service is Yes; ","")&amp;IF(AND(W558="Yes",AZ558=""),"GST needs a GSTIN; ","")&amp;IF(AND(W558="Yes",X558=""),"GST return frequency missing; ","")&amp;IF(AND(Y558="Yes",TRIM(H558)=""),"TDS needs a TAN; ","")&amp;IF(AND(AA558="Yes",BC558&lt;&gt;"",BC558&lt;&gt;"company",BC558&lt;&gt;"llp"),"ROC is only for a company / LLP; ","")&amp;IF(AND(AA558="Yes",OR(BC558="company",BC558="llp"),TRIM(I558)=""),"ROC needs the CIN / LLPIN; ","")&amp;IF((TRIM(AF558)="")&lt;&gt;(TRIM(AG558)=""),"GST login needs both user ID and password; ","")&amp;IF((TRIM(AH558)="")&lt;&gt;(TRIM(AI558)=""),"Income-tax login needs both user ID and password; ","")&amp;IF((TRIM(AJ558)="")&lt;&gt;(TRIM(AK558)=""),"Income-tax login needs both user ID and password; ","")&amp;IF((TRIM(AL558)="")&lt;&gt;(TRIM(AM558)=""),"TRACES login needs both user ID and password; ","")&amp;IF((TRIM(AN558)="")&lt;&gt;(TRIM(AO558)=""),"MCA login needs both user ID and password; ","")&amp;IF((TRIM(AP558)="")&lt;&gt;(TRIM(AQ558)=""),"E-way bill login needs both user ID and password; ","")</f>
        <v/>
      </c>
    </row>
    <row r="559">
      <c r="A559" s="32" t="n"/>
      <c r="B559" s="33" t="n"/>
      <c r="C559" s="33" t="n"/>
      <c r="D559" s="33" t="n"/>
      <c r="E559" s="32" t="n"/>
      <c r="F559" s="32" t="n"/>
      <c r="G559" s="32" t="n"/>
      <c r="H559" s="32" t="n"/>
      <c r="I559" s="32" t="n"/>
      <c r="J559" s="34" t="n"/>
      <c r="K559" s="33" t="n"/>
      <c r="L559" s="32" t="n"/>
      <c r="M559" s="33" t="n"/>
      <c r="N559" s="33" t="n"/>
      <c r="O559" s="33" t="n"/>
      <c r="P559" s="32" t="n"/>
      <c r="Q559" s="33" t="n"/>
      <c r="R559" s="33" t="n"/>
      <c r="S559" s="33" t="n"/>
      <c r="T559" s="33" t="n"/>
      <c r="U559" s="32" t="n"/>
      <c r="V559" s="33" t="n"/>
      <c r="W559" s="33" t="n"/>
      <c r="X559" s="33" t="n"/>
      <c r="Y559" s="33" t="n"/>
      <c r="Z559" s="33" t="n"/>
      <c r="AA559" s="33" t="n"/>
      <c r="AB559" s="33" t="n"/>
      <c r="AC559" s="33" t="n"/>
      <c r="AD559" s="33" t="n"/>
      <c r="AE559" s="33" t="n"/>
      <c r="AF559" s="32" t="n"/>
      <c r="AG559" s="32" t="n"/>
      <c r="AH559" s="32" t="n"/>
      <c r="AI559" s="32" t="n"/>
      <c r="AJ559" s="32" t="n"/>
      <c r="AK559" s="32" t="n"/>
      <c r="AL559" s="32" t="n"/>
      <c r="AM559" s="32" t="n"/>
      <c r="AN559" s="32" t="n"/>
      <c r="AO559" s="32" t="n"/>
      <c r="AP559" s="32" t="n"/>
      <c r="AQ559" s="32" t="n"/>
      <c r="AR559" s="29">
        <f>IF(NOT(COUNTA(A559:AE559)&gt;0),"",IF(A559="","New client","Update"))</f>
        <v/>
      </c>
      <c r="AS559" s="29">
        <f>IF(BA559&lt;&gt;"",BA559,IF(LEN(AZ559)=15,MID(AZ559,3,10),""))</f>
        <v/>
      </c>
      <c r="AT559" s="29">
        <f>IF(BB559="","",BB559&amp;IF(D559="","  (guessed from PAN)",""))</f>
        <v/>
      </c>
      <c r="AU559" s="29">
        <f>IF(AZ559="","",IFERROR(INDEX(Lists!$L$2:$L$38,MATCH(LEFT(AZ559,2),Lists!$K$2:$K$38,0)),"Unknown code"))</f>
        <v/>
      </c>
      <c r="AV559" s="29">
        <f>IF(AZ559="","",IFERROR(IF(NOT(AND(LEN(AZ559)=15,ISNUMBER(MATCH(LEFT(AZ559,2),Lists!$K$2:$K$38,0)),SUMPRODUCT(--ISERROR(FIND(MID(MID(AZ559,3,10),{1,2,3,4,5,10},1),"ABCDEFGHIJKLMNOPQRSTUVWXYZ")))=0,SUMPRODUCT(--ISERROR(FIND(MID(MID(AZ559,3,10),{6,7,8,9},1),"0123456789")))=0,ISNUMBER(FIND(MID(AZ559,13,1),"123456789ABCDEFGHIJKLMNOPQRSTUVWXYZ")),MID(AZ559,14,1)="Z")),"Wrong format",IF(MID("0123456789ABCDEFGHIJKLMNOPQRSTUVWXYZ",MOD(36-MOD(SUMPRODUCT(INT((FIND(MID(AZ559,{1,2,3,4,5,6,7,8,9,10,11,12,13,14},1),"0123456789ABCDEFGHIJKLMNOPQRSTUVWXYZ")-1)*{1,2,1,2,1,2,1,2,1,2,1,2,1,2}/36)+MOD((FIND(MID(AZ559,{1,2,3,4,5,6,7,8,9,10,11,12,13,14},1),"0123456789ABCDEFGHIJKLMNOPQRSTUVWXYZ")-1)*{1,2,1,2,1,2,1,2,1,2,1,2,1,2},36)),36),36)+1,1)=MID(AZ559,15,1),"OK","Typo? check digit wrong")),"Wrong format"))</f>
        <v/>
      </c>
      <c r="AW559" s="29">
        <f>IF(BA559="","",IF(AND(LEN(BA559)=10,SUMPRODUCT(--ISERROR(FIND(MID(BA559,{1,2,3,4,5,10},1),"ABCDEFGHIJKLMNOPQRSTUVWXYZ")))=0,SUMPRODUCT(--ISERROR(FIND(MID(BA559,{6,7,8,9},1),"0123456789")))=0),"OK","Wrong format"))</f>
        <v/>
      </c>
      <c r="AX559" s="29">
        <f>IF(TRIM(H559)="","",IF(AND(LEN(UPPER(TRIM(H559)))=10,SUMPRODUCT(--ISERROR(FIND(MID(UPPER(TRIM(H559)),{1,2,3,4,10},1),"ABCDEFGHIJKLMNOPQRSTUVWXYZ")))=0,SUMPRODUCT(--ISERROR(FIND(MID(UPPER(TRIM(H559)),{5,6,7,8,9},1),"0123456789")))=0),"OK","Wrong format"))</f>
        <v/>
      </c>
      <c r="AY559" s="30">
        <f>IF(NOT(COUNTA(A559:AE559)&gt;0),"",IF(BE559&lt;&gt;"","✖ "&amp;LEFT(BE559,LEN(BE559)-2),IF(BD559&gt;0,"✔ Ready — client + "&amp;BD559&amp;" service(s)","✔ Ready — client only")))</f>
        <v/>
      </c>
      <c r="AZ559" s="31">
        <f>UPPER(SUBSTITUTE(TRIM(F559)," ",""))</f>
        <v/>
      </c>
      <c r="BA559" s="31">
        <f>UPPER(SUBSTITUTE(TRIM(E559)," ",""))</f>
        <v/>
      </c>
      <c r="BB559" s="31">
        <f>IF(D559&lt;&gt;"",D559,IFERROR(VLOOKUP(MID(AS559,4,1),Lists!$E$2:$F$8,2,FALSE),""))</f>
        <v/>
      </c>
      <c r="BC559" s="31">
        <f>IFERROR(VLOOKUP(BB559,Lists!$A$2:$C$12,3,FALSE),"")</f>
        <v/>
      </c>
      <c r="BD559" s="31">
        <f>COUNTIF(W559:AC559,"Yes")</f>
        <v/>
      </c>
      <c r="BE559" s="31">
        <f>IF(TRIM(B559)="","Legal name missing; ","")&amp;IF(AND(AV559&lt;&gt;"",AV559&lt;&gt;"OK"),"GSTIN: "&amp;AV559&amp;"; ","")&amp;IF(AND(AW559&lt;&gt;"",AW559&lt;&gt;"OK"),"PAN wrong format; ","")&amp;IF(AND(BA559&lt;&gt;"",LEN(AZ559)=15,MID(AZ559,3,10)&lt;&gt;BA559),"PAN does not match GSTIN; ","")&amp;IF(AND(AX559&lt;&gt;"",AX559&lt;&gt;"OK"),"TAN wrong format; ","")&amp;IF(AS559="","PAN missing; ","")&amp;IF(BB559="","Entity type missing; ","")&amp;IF(AND(AZ559&lt;&gt;"",COUNTIF($AZ$6:$AZ$1005,AZ559)&gt;1),"GSTIN repeated in this sheet; ","")&amp;IF(AND(AS559&lt;&gt;"",COUNTIF($AS$6:$AS$1005,AS559)&gt;1),"PAN repeated in this sheet (same client? put extra GSTINs in Other GSTINs); ","")&amp;IF(AND(BD559&gt;0,V559=""),"Financial year missing; ","")&amp;IF(AND(BD559=0,V559&lt;&gt;""),"Financial year given but no service is Yes; ","")&amp;IF(AND(W559="Yes",AZ559=""),"GST needs a GSTIN; ","")&amp;IF(AND(W559="Yes",X559=""),"GST return frequency missing; ","")&amp;IF(AND(Y559="Yes",TRIM(H559)=""),"TDS needs a TAN; ","")&amp;IF(AND(AA559="Yes",BC559&lt;&gt;"",BC559&lt;&gt;"company",BC559&lt;&gt;"llp"),"ROC is only for a company / LLP; ","")&amp;IF(AND(AA559="Yes",OR(BC559="company",BC559="llp"),TRIM(I559)=""),"ROC needs the CIN / LLPIN; ","")&amp;IF((TRIM(AF559)="")&lt;&gt;(TRIM(AG559)=""),"GST login needs both user ID and password; ","")&amp;IF((TRIM(AH559)="")&lt;&gt;(TRIM(AI559)=""),"Income-tax login needs both user ID and password; ","")&amp;IF((TRIM(AJ559)="")&lt;&gt;(TRIM(AK559)=""),"Income-tax login needs both user ID and password; ","")&amp;IF((TRIM(AL559)="")&lt;&gt;(TRIM(AM559)=""),"TRACES login needs both user ID and password; ","")&amp;IF((TRIM(AN559)="")&lt;&gt;(TRIM(AO559)=""),"MCA login needs both user ID and password; ","")&amp;IF((TRIM(AP559)="")&lt;&gt;(TRIM(AQ559)=""),"E-way bill login needs both user ID and password; ","")</f>
        <v/>
      </c>
    </row>
    <row r="560">
      <c r="A560" s="32" t="n"/>
      <c r="B560" s="33" t="n"/>
      <c r="C560" s="33" t="n"/>
      <c r="D560" s="33" t="n"/>
      <c r="E560" s="32" t="n"/>
      <c r="F560" s="32" t="n"/>
      <c r="G560" s="32" t="n"/>
      <c r="H560" s="32" t="n"/>
      <c r="I560" s="32" t="n"/>
      <c r="J560" s="34" t="n"/>
      <c r="K560" s="33" t="n"/>
      <c r="L560" s="32" t="n"/>
      <c r="M560" s="33" t="n"/>
      <c r="N560" s="33" t="n"/>
      <c r="O560" s="33" t="n"/>
      <c r="P560" s="32" t="n"/>
      <c r="Q560" s="33" t="n"/>
      <c r="R560" s="33" t="n"/>
      <c r="S560" s="33" t="n"/>
      <c r="T560" s="33" t="n"/>
      <c r="U560" s="32" t="n"/>
      <c r="V560" s="33" t="n"/>
      <c r="W560" s="33" t="n"/>
      <c r="X560" s="33" t="n"/>
      <c r="Y560" s="33" t="n"/>
      <c r="Z560" s="33" t="n"/>
      <c r="AA560" s="33" t="n"/>
      <c r="AB560" s="33" t="n"/>
      <c r="AC560" s="33" t="n"/>
      <c r="AD560" s="33" t="n"/>
      <c r="AE560" s="33" t="n"/>
      <c r="AF560" s="32" t="n"/>
      <c r="AG560" s="32" t="n"/>
      <c r="AH560" s="32" t="n"/>
      <c r="AI560" s="32" t="n"/>
      <c r="AJ560" s="32" t="n"/>
      <c r="AK560" s="32" t="n"/>
      <c r="AL560" s="32" t="n"/>
      <c r="AM560" s="32" t="n"/>
      <c r="AN560" s="32" t="n"/>
      <c r="AO560" s="32" t="n"/>
      <c r="AP560" s="32" t="n"/>
      <c r="AQ560" s="32" t="n"/>
      <c r="AR560" s="29">
        <f>IF(NOT(COUNTA(A560:AE560)&gt;0),"",IF(A560="","New client","Update"))</f>
        <v/>
      </c>
      <c r="AS560" s="29">
        <f>IF(BA560&lt;&gt;"",BA560,IF(LEN(AZ560)=15,MID(AZ560,3,10),""))</f>
        <v/>
      </c>
      <c r="AT560" s="29">
        <f>IF(BB560="","",BB560&amp;IF(D560="","  (guessed from PAN)",""))</f>
        <v/>
      </c>
      <c r="AU560" s="29">
        <f>IF(AZ560="","",IFERROR(INDEX(Lists!$L$2:$L$38,MATCH(LEFT(AZ560,2),Lists!$K$2:$K$38,0)),"Unknown code"))</f>
        <v/>
      </c>
      <c r="AV560" s="29">
        <f>IF(AZ560="","",IFERROR(IF(NOT(AND(LEN(AZ560)=15,ISNUMBER(MATCH(LEFT(AZ560,2),Lists!$K$2:$K$38,0)),SUMPRODUCT(--ISERROR(FIND(MID(MID(AZ560,3,10),{1,2,3,4,5,10},1),"ABCDEFGHIJKLMNOPQRSTUVWXYZ")))=0,SUMPRODUCT(--ISERROR(FIND(MID(MID(AZ560,3,10),{6,7,8,9},1),"0123456789")))=0,ISNUMBER(FIND(MID(AZ560,13,1),"123456789ABCDEFGHIJKLMNOPQRSTUVWXYZ")),MID(AZ560,14,1)="Z")),"Wrong format",IF(MID("0123456789ABCDEFGHIJKLMNOPQRSTUVWXYZ",MOD(36-MOD(SUMPRODUCT(INT((FIND(MID(AZ560,{1,2,3,4,5,6,7,8,9,10,11,12,13,14},1),"0123456789ABCDEFGHIJKLMNOPQRSTUVWXYZ")-1)*{1,2,1,2,1,2,1,2,1,2,1,2,1,2}/36)+MOD((FIND(MID(AZ560,{1,2,3,4,5,6,7,8,9,10,11,12,13,14},1),"0123456789ABCDEFGHIJKLMNOPQRSTUVWXYZ")-1)*{1,2,1,2,1,2,1,2,1,2,1,2,1,2},36)),36),36)+1,1)=MID(AZ560,15,1),"OK","Typo? check digit wrong")),"Wrong format"))</f>
        <v/>
      </c>
      <c r="AW560" s="29">
        <f>IF(BA560="","",IF(AND(LEN(BA560)=10,SUMPRODUCT(--ISERROR(FIND(MID(BA560,{1,2,3,4,5,10},1),"ABCDEFGHIJKLMNOPQRSTUVWXYZ")))=0,SUMPRODUCT(--ISERROR(FIND(MID(BA560,{6,7,8,9},1),"0123456789")))=0),"OK","Wrong format"))</f>
        <v/>
      </c>
      <c r="AX560" s="29">
        <f>IF(TRIM(H560)="","",IF(AND(LEN(UPPER(TRIM(H560)))=10,SUMPRODUCT(--ISERROR(FIND(MID(UPPER(TRIM(H560)),{1,2,3,4,10},1),"ABCDEFGHIJKLMNOPQRSTUVWXYZ")))=0,SUMPRODUCT(--ISERROR(FIND(MID(UPPER(TRIM(H560)),{5,6,7,8,9},1),"0123456789")))=0),"OK","Wrong format"))</f>
        <v/>
      </c>
      <c r="AY560" s="30">
        <f>IF(NOT(COUNTA(A560:AE560)&gt;0),"",IF(BE560&lt;&gt;"","✖ "&amp;LEFT(BE560,LEN(BE560)-2),IF(BD560&gt;0,"✔ Ready — client + "&amp;BD560&amp;" service(s)","✔ Ready — client only")))</f>
        <v/>
      </c>
      <c r="AZ560" s="31">
        <f>UPPER(SUBSTITUTE(TRIM(F560)," ",""))</f>
        <v/>
      </c>
      <c r="BA560" s="31">
        <f>UPPER(SUBSTITUTE(TRIM(E560)," ",""))</f>
        <v/>
      </c>
      <c r="BB560" s="31">
        <f>IF(D560&lt;&gt;"",D560,IFERROR(VLOOKUP(MID(AS560,4,1),Lists!$E$2:$F$8,2,FALSE),""))</f>
        <v/>
      </c>
      <c r="BC560" s="31">
        <f>IFERROR(VLOOKUP(BB560,Lists!$A$2:$C$12,3,FALSE),"")</f>
        <v/>
      </c>
      <c r="BD560" s="31">
        <f>COUNTIF(W560:AC560,"Yes")</f>
        <v/>
      </c>
      <c r="BE560" s="31">
        <f>IF(TRIM(B560)="","Legal name missing; ","")&amp;IF(AND(AV560&lt;&gt;"",AV560&lt;&gt;"OK"),"GSTIN: "&amp;AV560&amp;"; ","")&amp;IF(AND(AW560&lt;&gt;"",AW560&lt;&gt;"OK"),"PAN wrong format; ","")&amp;IF(AND(BA560&lt;&gt;"",LEN(AZ560)=15,MID(AZ560,3,10)&lt;&gt;BA560),"PAN does not match GSTIN; ","")&amp;IF(AND(AX560&lt;&gt;"",AX560&lt;&gt;"OK"),"TAN wrong format; ","")&amp;IF(AS560="","PAN missing; ","")&amp;IF(BB560="","Entity type missing; ","")&amp;IF(AND(AZ560&lt;&gt;"",COUNTIF($AZ$6:$AZ$1005,AZ560)&gt;1),"GSTIN repeated in this sheet; ","")&amp;IF(AND(AS560&lt;&gt;"",COUNTIF($AS$6:$AS$1005,AS560)&gt;1),"PAN repeated in this sheet (same client? put extra GSTINs in Other GSTINs); ","")&amp;IF(AND(BD560&gt;0,V560=""),"Financial year missing; ","")&amp;IF(AND(BD560=0,V560&lt;&gt;""),"Financial year given but no service is Yes; ","")&amp;IF(AND(W560="Yes",AZ560=""),"GST needs a GSTIN; ","")&amp;IF(AND(W560="Yes",X560=""),"GST return frequency missing; ","")&amp;IF(AND(Y560="Yes",TRIM(H560)=""),"TDS needs a TAN; ","")&amp;IF(AND(AA560="Yes",BC560&lt;&gt;"",BC560&lt;&gt;"company",BC560&lt;&gt;"llp"),"ROC is only for a company / LLP; ","")&amp;IF(AND(AA560="Yes",OR(BC560="company",BC560="llp"),TRIM(I560)=""),"ROC needs the CIN / LLPIN; ","")&amp;IF((TRIM(AF560)="")&lt;&gt;(TRIM(AG560)=""),"GST login needs both user ID and password; ","")&amp;IF((TRIM(AH560)="")&lt;&gt;(TRIM(AI560)=""),"Income-tax login needs both user ID and password; ","")&amp;IF((TRIM(AJ560)="")&lt;&gt;(TRIM(AK560)=""),"Income-tax login needs both user ID and password; ","")&amp;IF((TRIM(AL560)="")&lt;&gt;(TRIM(AM560)=""),"TRACES login needs both user ID and password; ","")&amp;IF((TRIM(AN560)="")&lt;&gt;(TRIM(AO560)=""),"MCA login needs both user ID and password; ","")&amp;IF((TRIM(AP560)="")&lt;&gt;(TRIM(AQ560)=""),"E-way bill login needs both user ID and password; ","")</f>
        <v/>
      </c>
    </row>
    <row r="561">
      <c r="A561" s="32" t="n"/>
      <c r="B561" s="33" t="n"/>
      <c r="C561" s="33" t="n"/>
      <c r="D561" s="33" t="n"/>
      <c r="E561" s="32" t="n"/>
      <c r="F561" s="32" t="n"/>
      <c r="G561" s="32" t="n"/>
      <c r="H561" s="32" t="n"/>
      <c r="I561" s="32" t="n"/>
      <c r="J561" s="34" t="n"/>
      <c r="K561" s="33" t="n"/>
      <c r="L561" s="32" t="n"/>
      <c r="M561" s="33" t="n"/>
      <c r="N561" s="33" t="n"/>
      <c r="O561" s="33" t="n"/>
      <c r="P561" s="32" t="n"/>
      <c r="Q561" s="33" t="n"/>
      <c r="R561" s="33" t="n"/>
      <c r="S561" s="33" t="n"/>
      <c r="T561" s="33" t="n"/>
      <c r="U561" s="32" t="n"/>
      <c r="V561" s="33" t="n"/>
      <c r="W561" s="33" t="n"/>
      <c r="X561" s="33" t="n"/>
      <c r="Y561" s="33" t="n"/>
      <c r="Z561" s="33" t="n"/>
      <c r="AA561" s="33" t="n"/>
      <c r="AB561" s="33" t="n"/>
      <c r="AC561" s="33" t="n"/>
      <c r="AD561" s="33" t="n"/>
      <c r="AE561" s="33" t="n"/>
      <c r="AF561" s="32" t="n"/>
      <c r="AG561" s="32" t="n"/>
      <c r="AH561" s="32" t="n"/>
      <c r="AI561" s="32" t="n"/>
      <c r="AJ561" s="32" t="n"/>
      <c r="AK561" s="32" t="n"/>
      <c r="AL561" s="32" t="n"/>
      <c r="AM561" s="32" t="n"/>
      <c r="AN561" s="32" t="n"/>
      <c r="AO561" s="32" t="n"/>
      <c r="AP561" s="32" t="n"/>
      <c r="AQ561" s="32" t="n"/>
      <c r="AR561" s="29">
        <f>IF(NOT(COUNTA(A561:AE561)&gt;0),"",IF(A561="","New client","Update"))</f>
        <v/>
      </c>
      <c r="AS561" s="29">
        <f>IF(BA561&lt;&gt;"",BA561,IF(LEN(AZ561)=15,MID(AZ561,3,10),""))</f>
        <v/>
      </c>
      <c r="AT561" s="29">
        <f>IF(BB561="","",BB561&amp;IF(D561="","  (guessed from PAN)",""))</f>
        <v/>
      </c>
      <c r="AU561" s="29">
        <f>IF(AZ561="","",IFERROR(INDEX(Lists!$L$2:$L$38,MATCH(LEFT(AZ561,2),Lists!$K$2:$K$38,0)),"Unknown code"))</f>
        <v/>
      </c>
      <c r="AV561" s="29">
        <f>IF(AZ561="","",IFERROR(IF(NOT(AND(LEN(AZ561)=15,ISNUMBER(MATCH(LEFT(AZ561,2),Lists!$K$2:$K$38,0)),SUMPRODUCT(--ISERROR(FIND(MID(MID(AZ561,3,10),{1,2,3,4,5,10},1),"ABCDEFGHIJKLMNOPQRSTUVWXYZ")))=0,SUMPRODUCT(--ISERROR(FIND(MID(MID(AZ561,3,10),{6,7,8,9},1),"0123456789")))=0,ISNUMBER(FIND(MID(AZ561,13,1),"123456789ABCDEFGHIJKLMNOPQRSTUVWXYZ")),MID(AZ561,14,1)="Z")),"Wrong format",IF(MID("0123456789ABCDEFGHIJKLMNOPQRSTUVWXYZ",MOD(36-MOD(SUMPRODUCT(INT((FIND(MID(AZ561,{1,2,3,4,5,6,7,8,9,10,11,12,13,14},1),"0123456789ABCDEFGHIJKLMNOPQRSTUVWXYZ")-1)*{1,2,1,2,1,2,1,2,1,2,1,2,1,2}/36)+MOD((FIND(MID(AZ561,{1,2,3,4,5,6,7,8,9,10,11,12,13,14},1),"0123456789ABCDEFGHIJKLMNOPQRSTUVWXYZ")-1)*{1,2,1,2,1,2,1,2,1,2,1,2,1,2},36)),36),36)+1,1)=MID(AZ561,15,1),"OK","Typo? check digit wrong")),"Wrong format"))</f>
        <v/>
      </c>
      <c r="AW561" s="29">
        <f>IF(BA561="","",IF(AND(LEN(BA561)=10,SUMPRODUCT(--ISERROR(FIND(MID(BA561,{1,2,3,4,5,10},1),"ABCDEFGHIJKLMNOPQRSTUVWXYZ")))=0,SUMPRODUCT(--ISERROR(FIND(MID(BA561,{6,7,8,9},1),"0123456789")))=0),"OK","Wrong format"))</f>
        <v/>
      </c>
      <c r="AX561" s="29">
        <f>IF(TRIM(H561)="","",IF(AND(LEN(UPPER(TRIM(H561)))=10,SUMPRODUCT(--ISERROR(FIND(MID(UPPER(TRIM(H561)),{1,2,3,4,10},1),"ABCDEFGHIJKLMNOPQRSTUVWXYZ")))=0,SUMPRODUCT(--ISERROR(FIND(MID(UPPER(TRIM(H561)),{5,6,7,8,9},1),"0123456789")))=0),"OK","Wrong format"))</f>
        <v/>
      </c>
      <c r="AY561" s="30">
        <f>IF(NOT(COUNTA(A561:AE561)&gt;0),"",IF(BE561&lt;&gt;"","✖ "&amp;LEFT(BE561,LEN(BE561)-2),IF(BD561&gt;0,"✔ Ready — client + "&amp;BD561&amp;" service(s)","✔ Ready — client only")))</f>
        <v/>
      </c>
      <c r="AZ561" s="31">
        <f>UPPER(SUBSTITUTE(TRIM(F561)," ",""))</f>
        <v/>
      </c>
      <c r="BA561" s="31">
        <f>UPPER(SUBSTITUTE(TRIM(E561)," ",""))</f>
        <v/>
      </c>
      <c r="BB561" s="31">
        <f>IF(D561&lt;&gt;"",D561,IFERROR(VLOOKUP(MID(AS561,4,1),Lists!$E$2:$F$8,2,FALSE),""))</f>
        <v/>
      </c>
      <c r="BC561" s="31">
        <f>IFERROR(VLOOKUP(BB561,Lists!$A$2:$C$12,3,FALSE),"")</f>
        <v/>
      </c>
      <c r="BD561" s="31">
        <f>COUNTIF(W561:AC561,"Yes")</f>
        <v/>
      </c>
      <c r="BE561" s="31">
        <f>IF(TRIM(B561)="","Legal name missing; ","")&amp;IF(AND(AV561&lt;&gt;"",AV561&lt;&gt;"OK"),"GSTIN: "&amp;AV561&amp;"; ","")&amp;IF(AND(AW561&lt;&gt;"",AW561&lt;&gt;"OK"),"PAN wrong format; ","")&amp;IF(AND(BA561&lt;&gt;"",LEN(AZ561)=15,MID(AZ561,3,10)&lt;&gt;BA561),"PAN does not match GSTIN; ","")&amp;IF(AND(AX561&lt;&gt;"",AX561&lt;&gt;"OK"),"TAN wrong format; ","")&amp;IF(AS561="","PAN missing; ","")&amp;IF(BB561="","Entity type missing; ","")&amp;IF(AND(AZ561&lt;&gt;"",COUNTIF($AZ$6:$AZ$1005,AZ561)&gt;1),"GSTIN repeated in this sheet; ","")&amp;IF(AND(AS561&lt;&gt;"",COUNTIF($AS$6:$AS$1005,AS561)&gt;1),"PAN repeated in this sheet (same client? put extra GSTINs in Other GSTINs); ","")&amp;IF(AND(BD561&gt;0,V561=""),"Financial year missing; ","")&amp;IF(AND(BD561=0,V561&lt;&gt;""),"Financial year given but no service is Yes; ","")&amp;IF(AND(W561="Yes",AZ561=""),"GST needs a GSTIN; ","")&amp;IF(AND(W561="Yes",X561=""),"GST return frequency missing; ","")&amp;IF(AND(Y561="Yes",TRIM(H561)=""),"TDS needs a TAN; ","")&amp;IF(AND(AA561="Yes",BC561&lt;&gt;"",BC561&lt;&gt;"company",BC561&lt;&gt;"llp"),"ROC is only for a company / LLP; ","")&amp;IF(AND(AA561="Yes",OR(BC561="company",BC561="llp"),TRIM(I561)=""),"ROC needs the CIN / LLPIN; ","")&amp;IF((TRIM(AF561)="")&lt;&gt;(TRIM(AG561)=""),"GST login needs both user ID and password; ","")&amp;IF((TRIM(AH561)="")&lt;&gt;(TRIM(AI561)=""),"Income-tax login needs both user ID and password; ","")&amp;IF((TRIM(AJ561)="")&lt;&gt;(TRIM(AK561)=""),"Income-tax login needs both user ID and password; ","")&amp;IF((TRIM(AL561)="")&lt;&gt;(TRIM(AM561)=""),"TRACES login needs both user ID and password; ","")&amp;IF((TRIM(AN561)="")&lt;&gt;(TRIM(AO561)=""),"MCA login needs both user ID and password; ","")&amp;IF((TRIM(AP561)="")&lt;&gt;(TRIM(AQ561)=""),"E-way bill login needs both user ID and password; ","")</f>
        <v/>
      </c>
    </row>
    <row r="562">
      <c r="A562" s="32" t="n"/>
      <c r="B562" s="33" t="n"/>
      <c r="C562" s="33" t="n"/>
      <c r="D562" s="33" t="n"/>
      <c r="E562" s="32" t="n"/>
      <c r="F562" s="32" t="n"/>
      <c r="G562" s="32" t="n"/>
      <c r="H562" s="32" t="n"/>
      <c r="I562" s="32" t="n"/>
      <c r="J562" s="34" t="n"/>
      <c r="K562" s="33" t="n"/>
      <c r="L562" s="32" t="n"/>
      <c r="M562" s="33" t="n"/>
      <c r="N562" s="33" t="n"/>
      <c r="O562" s="33" t="n"/>
      <c r="P562" s="32" t="n"/>
      <c r="Q562" s="33" t="n"/>
      <c r="R562" s="33" t="n"/>
      <c r="S562" s="33" t="n"/>
      <c r="T562" s="33" t="n"/>
      <c r="U562" s="32" t="n"/>
      <c r="V562" s="33" t="n"/>
      <c r="W562" s="33" t="n"/>
      <c r="X562" s="33" t="n"/>
      <c r="Y562" s="33" t="n"/>
      <c r="Z562" s="33" t="n"/>
      <c r="AA562" s="33" t="n"/>
      <c r="AB562" s="33" t="n"/>
      <c r="AC562" s="33" t="n"/>
      <c r="AD562" s="33" t="n"/>
      <c r="AE562" s="33" t="n"/>
      <c r="AF562" s="32" t="n"/>
      <c r="AG562" s="32" t="n"/>
      <c r="AH562" s="32" t="n"/>
      <c r="AI562" s="32" t="n"/>
      <c r="AJ562" s="32" t="n"/>
      <c r="AK562" s="32" t="n"/>
      <c r="AL562" s="32" t="n"/>
      <c r="AM562" s="32" t="n"/>
      <c r="AN562" s="32" t="n"/>
      <c r="AO562" s="32" t="n"/>
      <c r="AP562" s="32" t="n"/>
      <c r="AQ562" s="32" t="n"/>
      <c r="AR562" s="29">
        <f>IF(NOT(COUNTA(A562:AE562)&gt;0),"",IF(A562="","New client","Update"))</f>
        <v/>
      </c>
      <c r="AS562" s="29">
        <f>IF(BA562&lt;&gt;"",BA562,IF(LEN(AZ562)=15,MID(AZ562,3,10),""))</f>
        <v/>
      </c>
      <c r="AT562" s="29">
        <f>IF(BB562="","",BB562&amp;IF(D562="","  (guessed from PAN)",""))</f>
        <v/>
      </c>
      <c r="AU562" s="29">
        <f>IF(AZ562="","",IFERROR(INDEX(Lists!$L$2:$L$38,MATCH(LEFT(AZ562,2),Lists!$K$2:$K$38,0)),"Unknown code"))</f>
        <v/>
      </c>
      <c r="AV562" s="29">
        <f>IF(AZ562="","",IFERROR(IF(NOT(AND(LEN(AZ562)=15,ISNUMBER(MATCH(LEFT(AZ562,2),Lists!$K$2:$K$38,0)),SUMPRODUCT(--ISERROR(FIND(MID(MID(AZ562,3,10),{1,2,3,4,5,10},1),"ABCDEFGHIJKLMNOPQRSTUVWXYZ")))=0,SUMPRODUCT(--ISERROR(FIND(MID(MID(AZ562,3,10),{6,7,8,9},1),"0123456789")))=0,ISNUMBER(FIND(MID(AZ562,13,1),"123456789ABCDEFGHIJKLMNOPQRSTUVWXYZ")),MID(AZ562,14,1)="Z")),"Wrong format",IF(MID("0123456789ABCDEFGHIJKLMNOPQRSTUVWXYZ",MOD(36-MOD(SUMPRODUCT(INT((FIND(MID(AZ562,{1,2,3,4,5,6,7,8,9,10,11,12,13,14},1),"0123456789ABCDEFGHIJKLMNOPQRSTUVWXYZ")-1)*{1,2,1,2,1,2,1,2,1,2,1,2,1,2}/36)+MOD((FIND(MID(AZ562,{1,2,3,4,5,6,7,8,9,10,11,12,13,14},1),"0123456789ABCDEFGHIJKLMNOPQRSTUVWXYZ")-1)*{1,2,1,2,1,2,1,2,1,2,1,2,1,2},36)),36),36)+1,1)=MID(AZ562,15,1),"OK","Typo? check digit wrong")),"Wrong format"))</f>
        <v/>
      </c>
      <c r="AW562" s="29">
        <f>IF(BA562="","",IF(AND(LEN(BA562)=10,SUMPRODUCT(--ISERROR(FIND(MID(BA562,{1,2,3,4,5,10},1),"ABCDEFGHIJKLMNOPQRSTUVWXYZ")))=0,SUMPRODUCT(--ISERROR(FIND(MID(BA562,{6,7,8,9},1),"0123456789")))=0),"OK","Wrong format"))</f>
        <v/>
      </c>
      <c r="AX562" s="29">
        <f>IF(TRIM(H562)="","",IF(AND(LEN(UPPER(TRIM(H562)))=10,SUMPRODUCT(--ISERROR(FIND(MID(UPPER(TRIM(H562)),{1,2,3,4,10},1),"ABCDEFGHIJKLMNOPQRSTUVWXYZ")))=0,SUMPRODUCT(--ISERROR(FIND(MID(UPPER(TRIM(H562)),{5,6,7,8,9},1),"0123456789")))=0),"OK","Wrong format"))</f>
        <v/>
      </c>
      <c r="AY562" s="30">
        <f>IF(NOT(COUNTA(A562:AE562)&gt;0),"",IF(BE562&lt;&gt;"","✖ "&amp;LEFT(BE562,LEN(BE562)-2),IF(BD562&gt;0,"✔ Ready — client + "&amp;BD562&amp;" service(s)","✔ Ready — client only")))</f>
        <v/>
      </c>
      <c r="AZ562" s="31">
        <f>UPPER(SUBSTITUTE(TRIM(F562)," ",""))</f>
        <v/>
      </c>
      <c r="BA562" s="31">
        <f>UPPER(SUBSTITUTE(TRIM(E562)," ",""))</f>
        <v/>
      </c>
      <c r="BB562" s="31">
        <f>IF(D562&lt;&gt;"",D562,IFERROR(VLOOKUP(MID(AS562,4,1),Lists!$E$2:$F$8,2,FALSE),""))</f>
        <v/>
      </c>
      <c r="BC562" s="31">
        <f>IFERROR(VLOOKUP(BB562,Lists!$A$2:$C$12,3,FALSE),"")</f>
        <v/>
      </c>
      <c r="BD562" s="31">
        <f>COUNTIF(W562:AC562,"Yes")</f>
        <v/>
      </c>
      <c r="BE562" s="31">
        <f>IF(TRIM(B562)="","Legal name missing; ","")&amp;IF(AND(AV562&lt;&gt;"",AV562&lt;&gt;"OK"),"GSTIN: "&amp;AV562&amp;"; ","")&amp;IF(AND(AW562&lt;&gt;"",AW562&lt;&gt;"OK"),"PAN wrong format; ","")&amp;IF(AND(BA562&lt;&gt;"",LEN(AZ562)=15,MID(AZ562,3,10)&lt;&gt;BA562),"PAN does not match GSTIN; ","")&amp;IF(AND(AX562&lt;&gt;"",AX562&lt;&gt;"OK"),"TAN wrong format; ","")&amp;IF(AS562="","PAN missing; ","")&amp;IF(BB562="","Entity type missing; ","")&amp;IF(AND(AZ562&lt;&gt;"",COUNTIF($AZ$6:$AZ$1005,AZ562)&gt;1),"GSTIN repeated in this sheet; ","")&amp;IF(AND(AS562&lt;&gt;"",COUNTIF($AS$6:$AS$1005,AS562)&gt;1),"PAN repeated in this sheet (same client? put extra GSTINs in Other GSTINs); ","")&amp;IF(AND(BD562&gt;0,V562=""),"Financial year missing; ","")&amp;IF(AND(BD562=0,V562&lt;&gt;""),"Financial year given but no service is Yes; ","")&amp;IF(AND(W562="Yes",AZ562=""),"GST needs a GSTIN; ","")&amp;IF(AND(W562="Yes",X562=""),"GST return frequency missing; ","")&amp;IF(AND(Y562="Yes",TRIM(H562)=""),"TDS needs a TAN; ","")&amp;IF(AND(AA562="Yes",BC562&lt;&gt;"",BC562&lt;&gt;"company",BC562&lt;&gt;"llp"),"ROC is only for a company / LLP; ","")&amp;IF(AND(AA562="Yes",OR(BC562="company",BC562="llp"),TRIM(I562)=""),"ROC needs the CIN / LLPIN; ","")&amp;IF((TRIM(AF562)="")&lt;&gt;(TRIM(AG562)=""),"GST login needs both user ID and password; ","")&amp;IF((TRIM(AH562)="")&lt;&gt;(TRIM(AI562)=""),"Income-tax login needs both user ID and password; ","")&amp;IF((TRIM(AJ562)="")&lt;&gt;(TRIM(AK562)=""),"Income-tax login needs both user ID and password; ","")&amp;IF((TRIM(AL562)="")&lt;&gt;(TRIM(AM562)=""),"TRACES login needs both user ID and password; ","")&amp;IF((TRIM(AN562)="")&lt;&gt;(TRIM(AO562)=""),"MCA login needs both user ID and password; ","")&amp;IF((TRIM(AP562)="")&lt;&gt;(TRIM(AQ562)=""),"E-way bill login needs both user ID and password; ","")</f>
        <v/>
      </c>
    </row>
    <row r="563">
      <c r="A563" s="32" t="n"/>
      <c r="B563" s="33" t="n"/>
      <c r="C563" s="33" t="n"/>
      <c r="D563" s="33" t="n"/>
      <c r="E563" s="32" t="n"/>
      <c r="F563" s="32" t="n"/>
      <c r="G563" s="32" t="n"/>
      <c r="H563" s="32" t="n"/>
      <c r="I563" s="32" t="n"/>
      <c r="J563" s="34" t="n"/>
      <c r="K563" s="33" t="n"/>
      <c r="L563" s="32" t="n"/>
      <c r="M563" s="33" t="n"/>
      <c r="N563" s="33" t="n"/>
      <c r="O563" s="33" t="n"/>
      <c r="P563" s="32" t="n"/>
      <c r="Q563" s="33" t="n"/>
      <c r="R563" s="33" t="n"/>
      <c r="S563" s="33" t="n"/>
      <c r="T563" s="33" t="n"/>
      <c r="U563" s="32" t="n"/>
      <c r="V563" s="33" t="n"/>
      <c r="W563" s="33" t="n"/>
      <c r="X563" s="33" t="n"/>
      <c r="Y563" s="33" t="n"/>
      <c r="Z563" s="33" t="n"/>
      <c r="AA563" s="33" t="n"/>
      <c r="AB563" s="33" t="n"/>
      <c r="AC563" s="33" t="n"/>
      <c r="AD563" s="33" t="n"/>
      <c r="AE563" s="33" t="n"/>
      <c r="AF563" s="32" t="n"/>
      <c r="AG563" s="32" t="n"/>
      <c r="AH563" s="32" t="n"/>
      <c r="AI563" s="32" t="n"/>
      <c r="AJ563" s="32" t="n"/>
      <c r="AK563" s="32" t="n"/>
      <c r="AL563" s="32" t="n"/>
      <c r="AM563" s="32" t="n"/>
      <c r="AN563" s="32" t="n"/>
      <c r="AO563" s="32" t="n"/>
      <c r="AP563" s="32" t="n"/>
      <c r="AQ563" s="32" t="n"/>
      <c r="AR563" s="29">
        <f>IF(NOT(COUNTA(A563:AE563)&gt;0),"",IF(A563="","New client","Update"))</f>
        <v/>
      </c>
      <c r="AS563" s="29">
        <f>IF(BA563&lt;&gt;"",BA563,IF(LEN(AZ563)=15,MID(AZ563,3,10),""))</f>
        <v/>
      </c>
      <c r="AT563" s="29">
        <f>IF(BB563="","",BB563&amp;IF(D563="","  (guessed from PAN)",""))</f>
        <v/>
      </c>
      <c r="AU563" s="29">
        <f>IF(AZ563="","",IFERROR(INDEX(Lists!$L$2:$L$38,MATCH(LEFT(AZ563,2),Lists!$K$2:$K$38,0)),"Unknown code"))</f>
        <v/>
      </c>
      <c r="AV563" s="29">
        <f>IF(AZ563="","",IFERROR(IF(NOT(AND(LEN(AZ563)=15,ISNUMBER(MATCH(LEFT(AZ563,2),Lists!$K$2:$K$38,0)),SUMPRODUCT(--ISERROR(FIND(MID(MID(AZ563,3,10),{1,2,3,4,5,10},1),"ABCDEFGHIJKLMNOPQRSTUVWXYZ")))=0,SUMPRODUCT(--ISERROR(FIND(MID(MID(AZ563,3,10),{6,7,8,9},1),"0123456789")))=0,ISNUMBER(FIND(MID(AZ563,13,1),"123456789ABCDEFGHIJKLMNOPQRSTUVWXYZ")),MID(AZ563,14,1)="Z")),"Wrong format",IF(MID("0123456789ABCDEFGHIJKLMNOPQRSTUVWXYZ",MOD(36-MOD(SUMPRODUCT(INT((FIND(MID(AZ563,{1,2,3,4,5,6,7,8,9,10,11,12,13,14},1),"0123456789ABCDEFGHIJKLMNOPQRSTUVWXYZ")-1)*{1,2,1,2,1,2,1,2,1,2,1,2,1,2}/36)+MOD((FIND(MID(AZ563,{1,2,3,4,5,6,7,8,9,10,11,12,13,14},1),"0123456789ABCDEFGHIJKLMNOPQRSTUVWXYZ")-1)*{1,2,1,2,1,2,1,2,1,2,1,2,1,2},36)),36),36)+1,1)=MID(AZ563,15,1),"OK","Typo? check digit wrong")),"Wrong format"))</f>
        <v/>
      </c>
      <c r="AW563" s="29">
        <f>IF(BA563="","",IF(AND(LEN(BA563)=10,SUMPRODUCT(--ISERROR(FIND(MID(BA563,{1,2,3,4,5,10},1),"ABCDEFGHIJKLMNOPQRSTUVWXYZ")))=0,SUMPRODUCT(--ISERROR(FIND(MID(BA563,{6,7,8,9},1),"0123456789")))=0),"OK","Wrong format"))</f>
        <v/>
      </c>
      <c r="AX563" s="29">
        <f>IF(TRIM(H563)="","",IF(AND(LEN(UPPER(TRIM(H563)))=10,SUMPRODUCT(--ISERROR(FIND(MID(UPPER(TRIM(H563)),{1,2,3,4,10},1),"ABCDEFGHIJKLMNOPQRSTUVWXYZ")))=0,SUMPRODUCT(--ISERROR(FIND(MID(UPPER(TRIM(H563)),{5,6,7,8,9},1),"0123456789")))=0),"OK","Wrong format"))</f>
        <v/>
      </c>
      <c r="AY563" s="30">
        <f>IF(NOT(COUNTA(A563:AE563)&gt;0),"",IF(BE563&lt;&gt;"","✖ "&amp;LEFT(BE563,LEN(BE563)-2),IF(BD563&gt;0,"✔ Ready — client + "&amp;BD563&amp;" service(s)","✔ Ready — client only")))</f>
        <v/>
      </c>
      <c r="AZ563" s="31">
        <f>UPPER(SUBSTITUTE(TRIM(F563)," ",""))</f>
        <v/>
      </c>
      <c r="BA563" s="31">
        <f>UPPER(SUBSTITUTE(TRIM(E563)," ",""))</f>
        <v/>
      </c>
      <c r="BB563" s="31">
        <f>IF(D563&lt;&gt;"",D563,IFERROR(VLOOKUP(MID(AS563,4,1),Lists!$E$2:$F$8,2,FALSE),""))</f>
        <v/>
      </c>
      <c r="BC563" s="31">
        <f>IFERROR(VLOOKUP(BB563,Lists!$A$2:$C$12,3,FALSE),"")</f>
        <v/>
      </c>
      <c r="BD563" s="31">
        <f>COUNTIF(W563:AC563,"Yes")</f>
        <v/>
      </c>
      <c r="BE563" s="31">
        <f>IF(TRIM(B563)="","Legal name missing; ","")&amp;IF(AND(AV563&lt;&gt;"",AV563&lt;&gt;"OK"),"GSTIN: "&amp;AV563&amp;"; ","")&amp;IF(AND(AW563&lt;&gt;"",AW563&lt;&gt;"OK"),"PAN wrong format; ","")&amp;IF(AND(BA563&lt;&gt;"",LEN(AZ563)=15,MID(AZ563,3,10)&lt;&gt;BA563),"PAN does not match GSTIN; ","")&amp;IF(AND(AX563&lt;&gt;"",AX563&lt;&gt;"OK"),"TAN wrong format; ","")&amp;IF(AS563="","PAN missing; ","")&amp;IF(BB563="","Entity type missing; ","")&amp;IF(AND(AZ563&lt;&gt;"",COUNTIF($AZ$6:$AZ$1005,AZ563)&gt;1),"GSTIN repeated in this sheet; ","")&amp;IF(AND(AS563&lt;&gt;"",COUNTIF($AS$6:$AS$1005,AS563)&gt;1),"PAN repeated in this sheet (same client? put extra GSTINs in Other GSTINs); ","")&amp;IF(AND(BD563&gt;0,V563=""),"Financial year missing; ","")&amp;IF(AND(BD563=0,V563&lt;&gt;""),"Financial year given but no service is Yes; ","")&amp;IF(AND(W563="Yes",AZ563=""),"GST needs a GSTIN; ","")&amp;IF(AND(W563="Yes",X563=""),"GST return frequency missing; ","")&amp;IF(AND(Y563="Yes",TRIM(H563)=""),"TDS needs a TAN; ","")&amp;IF(AND(AA563="Yes",BC563&lt;&gt;"",BC563&lt;&gt;"company",BC563&lt;&gt;"llp"),"ROC is only for a company / LLP; ","")&amp;IF(AND(AA563="Yes",OR(BC563="company",BC563="llp"),TRIM(I563)=""),"ROC needs the CIN / LLPIN; ","")&amp;IF((TRIM(AF563)="")&lt;&gt;(TRIM(AG563)=""),"GST login needs both user ID and password; ","")&amp;IF((TRIM(AH563)="")&lt;&gt;(TRIM(AI563)=""),"Income-tax login needs both user ID and password; ","")&amp;IF((TRIM(AJ563)="")&lt;&gt;(TRIM(AK563)=""),"Income-tax login needs both user ID and password; ","")&amp;IF((TRIM(AL563)="")&lt;&gt;(TRIM(AM563)=""),"TRACES login needs both user ID and password; ","")&amp;IF((TRIM(AN563)="")&lt;&gt;(TRIM(AO563)=""),"MCA login needs both user ID and password; ","")&amp;IF((TRIM(AP563)="")&lt;&gt;(TRIM(AQ563)=""),"E-way bill login needs both user ID and password; ","")</f>
        <v/>
      </c>
    </row>
    <row r="564">
      <c r="A564" s="32" t="n"/>
      <c r="B564" s="33" t="n"/>
      <c r="C564" s="33" t="n"/>
      <c r="D564" s="33" t="n"/>
      <c r="E564" s="32" t="n"/>
      <c r="F564" s="32" t="n"/>
      <c r="G564" s="32" t="n"/>
      <c r="H564" s="32" t="n"/>
      <c r="I564" s="32" t="n"/>
      <c r="J564" s="34" t="n"/>
      <c r="K564" s="33" t="n"/>
      <c r="L564" s="32" t="n"/>
      <c r="M564" s="33" t="n"/>
      <c r="N564" s="33" t="n"/>
      <c r="O564" s="33" t="n"/>
      <c r="P564" s="32" t="n"/>
      <c r="Q564" s="33" t="n"/>
      <c r="R564" s="33" t="n"/>
      <c r="S564" s="33" t="n"/>
      <c r="T564" s="33" t="n"/>
      <c r="U564" s="32" t="n"/>
      <c r="V564" s="33" t="n"/>
      <c r="W564" s="33" t="n"/>
      <c r="X564" s="33" t="n"/>
      <c r="Y564" s="33" t="n"/>
      <c r="Z564" s="33" t="n"/>
      <c r="AA564" s="33" t="n"/>
      <c r="AB564" s="33" t="n"/>
      <c r="AC564" s="33" t="n"/>
      <c r="AD564" s="33" t="n"/>
      <c r="AE564" s="33" t="n"/>
      <c r="AF564" s="32" t="n"/>
      <c r="AG564" s="32" t="n"/>
      <c r="AH564" s="32" t="n"/>
      <c r="AI564" s="32" t="n"/>
      <c r="AJ564" s="32" t="n"/>
      <c r="AK564" s="32" t="n"/>
      <c r="AL564" s="32" t="n"/>
      <c r="AM564" s="32" t="n"/>
      <c r="AN564" s="32" t="n"/>
      <c r="AO564" s="32" t="n"/>
      <c r="AP564" s="32" t="n"/>
      <c r="AQ564" s="32" t="n"/>
      <c r="AR564" s="29">
        <f>IF(NOT(COUNTA(A564:AE564)&gt;0),"",IF(A564="","New client","Update"))</f>
        <v/>
      </c>
      <c r="AS564" s="29">
        <f>IF(BA564&lt;&gt;"",BA564,IF(LEN(AZ564)=15,MID(AZ564,3,10),""))</f>
        <v/>
      </c>
      <c r="AT564" s="29">
        <f>IF(BB564="","",BB564&amp;IF(D564="","  (guessed from PAN)",""))</f>
        <v/>
      </c>
      <c r="AU564" s="29">
        <f>IF(AZ564="","",IFERROR(INDEX(Lists!$L$2:$L$38,MATCH(LEFT(AZ564,2),Lists!$K$2:$K$38,0)),"Unknown code"))</f>
        <v/>
      </c>
      <c r="AV564" s="29">
        <f>IF(AZ564="","",IFERROR(IF(NOT(AND(LEN(AZ564)=15,ISNUMBER(MATCH(LEFT(AZ564,2),Lists!$K$2:$K$38,0)),SUMPRODUCT(--ISERROR(FIND(MID(MID(AZ564,3,10),{1,2,3,4,5,10},1),"ABCDEFGHIJKLMNOPQRSTUVWXYZ")))=0,SUMPRODUCT(--ISERROR(FIND(MID(MID(AZ564,3,10),{6,7,8,9},1),"0123456789")))=0,ISNUMBER(FIND(MID(AZ564,13,1),"123456789ABCDEFGHIJKLMNOPQRSTUVWXYZ")),MID(AZ564,14,1)="Z")),"Wrong format",IF(MID("0123456789ABCDEFGHIJKLMNOPQRSTUVWXYZ",MOD(36-MOD(SUMPRODUCT(INT((FIND(MID(AZ564,{1,2,3,4,5,6,7,8,9,10,11,12,13,14},1),"0123456789ABCDEFGHIJKLMNOPQRSTUVWXYZ")-1)*{1,2,1,2,1,2,1,2,1,2,1,2,1,2}/36)+MOD((FIND(MID(AZ564,{1,2,3,4,5,6,7,8,9,10,11,12,13,14},1),"0123456789ABCDEFGHIJKLMNOPQRSTUVWXYZ")-1)*{1,2,1,2,1,2,1,2,1,2,1,2,1,2},36)),36),36)+1,1)=MID(AZ564,15,1),"OK","Typo? check digit wrong")),"Wrong format"))</f>
        <v/>
      </c>
      <c r="AW564" s="29">
        <f>IF(BA564="","",IF(AND(LEN(BA564)=10,SUMPRODUCT(--ISERROR(FIND(MID(BA564,{1,2,3,4,5,10},1),"ABCDEFGHIJKLMNOPQRSTUVWXYZ")))=0,SUMPRODUCT(--ISERROR(FIND(MID(BA564,{6,7,8,9},1),"0123456789")))=0),"OK","Wrong format"))</f>
        <v/>
      </c>
      <c r="AX564" s="29">
        <f>IF(TRIM(H564)="","",IF(AND(LEN(UPPER(TRIM(H564)))=10,SUMPRODUCT(--ISERROR(FIND(MID(UPPER(TRIM(H564)),{1,2,3,4,10},1),"ABCDEFGHIJKLMNOPQRSTUVWXYZ")))=0,SUMPRODUCT(--ISERROR(FIND(MID(UPPER(TRIM(H564)),{5,6,7,8,9},1),"0123456789")))=0),"OK","Wrong format"))</f>
        <v/>
      </c>
      <c r="AY564" s="30">
        <f>IF(NOT(COUNTA(A564:AE564)&gt;0),"",IF(BE564&lt;&gt;"","✖ "&amp;LEFT(BE564,LEN(BE564)-2),IF(BD564&gt;0,"✔ Ready — client + "&amp;BD564&amp;" service(s)","✔ Ready — client only")))</f>
        <v/>
      </c>
      <c r="AZ564" s="31">
        <f>UPPER(SUBSTITUTE(TRIM(F564)," ",""))</f>
        <v/>
      </c>
      <c r="BA564" s="31">
        <f>UPPER(SUBSTITUTE(TRIM(E564)," ",""))</f>
        <v/>
      </c>
      <c r="BB564" s="31">
        <f>IF(D564&lt;&gt;"",D564,IFERROR(VLOOKUP(MID(AS564,4,1),Lists!$E$2:$F$8,2,FALSE),""))</f>
        <v/>
      </c>
      <c r="BC564" s="31">
        <f>IFERROR(VLOOKUP(BB564,Lists!$A$2:$C$12,3,FALSE),"")</f>
        <v/>
      </c>
      <c r="BD564" s="31">
        <f>COUNTIF(W564:AC564,"Yes")</f>
        <v/>
      </c>
      <c r="BE564" s="31">
        <f>IF(TRIM(B564)="","Legal name missing; ","")&amp;IF(AND(AV564&lt;&gt;"",AV564&lt;&gt;"OK"),"GSTIN: "&amp;AV564&amp;"; ","")&amp;IF(AND(AW564&lt;&gt;"",AW564&lt;&gt;"OK"),"PAN wrong format; ","")&amp;IF(AND(BA564&lt;&gt;"",LEN(AZ564)=15,MID(AZ564,3,10)&lt;&gt;BA564),"PAN does not match GSTIN; ","")&amp;IF(AND(AX564&lt;&gt;"",AX564&lt;&gt;"OK"),"TAN wrong format; ","")&amp;IF(AS564="","PAN missing; ","")&amp;IF(BB564="","Entity type missing; ","")&amp;IF(AND(AZ564&lt;&gt;"",COUNTIF($AZ$6:$AZ$1005,AZ564)&gt;1),"GSTIN repeated in this sheet; ","")&amp;IF(AND(AS564&lt;&gt;"",COUNTIF($AS$6:$AS$1005,AS564)&gt;1),"PAN repeated in this sheet (same client? put extra GSTINs in Other GSTINs); ","")&amp;IF(AND(BD564&gt;0,V564=""),"Financial year missing; ","")&amp;IF(AND(BD564=0,V564&lt;&gt;""),"Financial year given but no service is Yes; ","")&amp;IF(AND(W564="Yes",AZ564=""),"GST needs a GSTIN; ","")&amp;IF(AND(W564="Yes",X564=""),"GST return frequency missing; ","")&amp;IF(AND(Y564="Yes",TRIM(H564)=""),"TDS needs a TAN; ","")&amp;IF(AND(AA564="Yes",BC564&lt;&gt;"",BC564&lt;&gt;"company",BC564&lt;&gt;"llp"),"ROC is only for a company / LLP; ","")&amp;IF(AND(AA564="Yes",OR(BC564="company",BC564="llp"),TRIM(I564)=""),"ROC needs the CIN / LLPIN; ","")&amp;IF((TRIM(AF564)="")&lt;&gt;(TRIM(AG564)=""),"GST login needs both user ID and password; ","")&amp;IF((TRIM(AH564)="")&lt;&gt;(TRIM(AI564)=""),"Income-tax login needs both user ID and password; ","")&amp;IF((TRIM(AJ564)="")&lt;&gt;(TRIM(AK564)=""),"Income-tax login needs both user ID and password; ","")&amp;IF((TRIM(AL564)="")&lt;&gt;(TRIM(AM564)=""),"TRACES login needs both user ID and password; ","")&amp;IF((TRIM(AN564)="")&lt;&gt;(TRIM(AO564)=""),"MCA login needs both user ID and password; ","")&amp;IF((TRIM(AP564)="")&lt;&gt;(TRIM(AQ564)=""),"E-way bill login needs both user ID and password; ","")</f>
        <v/>
      </c>
    </row>
    <row r="565">
      <c r="A565" s="32" t="n"/>
      <c r="B565" s="33" t="n"/>
      <c r="C565" s="33" t="n"/>
      <c r="D565" s="33" t="n"/>
      <c r="E565" s="32" t="n"/>
      <c r="F565" s="32" t="n"/>
      <c r="G565" s="32" t="n"/>
      <c r="H565" s="32" t="n"/>
      <c r="I565" s="32" t="n"/>
      <c r="J565" s="34" t="n"/>
      <c r="K565" s="33" t="n"/>
      <c r="L565" s="32" t="n"/>
      <c r="M565" s="33" t="n"/>
      <c r="N565" s="33" t="n"/>
      <c r="O565" s="33" t="n"/>
      <c r="P565" s="32" t="n"/>
      <c r="Q565" s="33" t="n"/>
      <c r="R565" s="33" t="n"/>
      <c r="S565" s="33" t="n"/>
      <c r="T565" s="33" t="n"/>
      <c r="U565" s="32" t="n"/>
      <c r="V565" s="33" t="n"/>
      <c r="W565" s="33" t="n"/>
      <c r="X565" s="33" t="n"/>
      <c r="Y565" s="33" t="n"/>
      <c r="Z565" s="33" t="n"/>
      <c r="AA565" s="33" t="n"/>
      <c r="AB565" s="33" t="n"/>
      <c r="AC565" s="33" t="n"/>
      <c r="AD565" s="33" t="n"/>
      <c r="AE565" s="33" t="n"/>
      <c r="AF565" s="32" t="n"/>
      <c r="AG565" s="32" t="n"/>
      <c r="AH565" s="32" t="n"/>
      <c r="AI565" s="32" t="n"/>
      <c r="AJ565" s="32" t="n"/>
      <c r="AK565" s="32" t="n"/>
      <c r="AL565" s="32" t="n"/>
      <c r="AM565" s="32" t="n"/>
      <c r="AN565" s="32" t="n"/>
      <c r="AO565" s="32" t="n"/>
      <c r="AP565" s="32" t="n"/>
      <c r="AQ565" s="32" t="n"/>
      <c r="AR565" s="29">
        <f>IF(NOT(COUNTA(A565:AE565)&gt;0),"",IF(A565="","New client","Update"))</f>
        <v/>
      </c>
      <c r="AS565" s="29">
        <f>IF(BA565&lt;&gt;"",BA565,IF(LEN(AZ565)=15,MID(AZ565,3,10),""))</f>
        <v/>
      </c>
      <c r="AT565" s="29">
        <f>IF(BB565="","",BB565&amp;IF(D565="","  (guessed from PAN)",""))</f>
        <v/>
      </c>
      <c r="AU565" s="29">
        <f>IF(AZ565="","",IFERROR(INDEX(Lists!$L$2:$L$38,MATCH(LEFT(AZ565,2),Lists!$K$2:$K$38,0)),"Unknown code"))</f>
        <v/>
      </c>
      <c r="AV565" s="29">
        <f>IF(AZ565="","",IFERROR(IF(NOT(AND(LEN(AZ565)=15,ISNUMBER(MATCH(LEFT(AZ565,2),Lists!$K$2:$K$38,0)),SUMPRODUCT(--ISERROR(FIND(MID(MID(AZ565,3,10),{1,2,3,4,5,10},1),"ABCDEFGHIJKLMNOPQRSTUVWXYZ")))=0,SUMPRODUCT(--ISERROR(FIND(MID(MID(AZ565,3,10),{6,7,8,9},1),"0123456789")))=0,ISNUMBER(FIND(MID(AZ565,13,1),"123456789ABCDEFGHIJKLMNOPQRSTUVWXYZ")),MID(AZ565,14,1)="Z")),"Wrong format",IF(MID("0123456789ABCDEFGHIJKLMNOPQRSTUVWXYZ",MOD(36-MOD(SUMPRODUCT(INT((FIND(MID(AZ565,{1,2,3,4,5,6,7,8,9,10,11,12,13,14},1),"0123456789ABCDEFGHIJKLMNOPQRSTUVWXYZ")-1)*{1,2,1,2,1,2,1,2,1,2,1,2,1,2}/36)+MOD((FIND(MID(AZ565,{1,2,3,4,5,6,7,8,9,10,11,12,13,14},1),"0123456789ABCDEFGHIJKLMNOPQRSTUVWXYZ")-1)*{1,2,1,2,1,2,1,2,1,2,1,2,1,2},36)),36),36)+1,1)=MID(AZ565,15,1),"OK","Typo? check digit wrong")),"Wrong format"))</f>
        <v/>
      </c>
      <c r="AW565" s="29">
        <f>IF(BA565="","",IF(AND(LEN(BA565)=10,SUMPRODUCT(--ISERROR(FIND(MID(BA565,{1,2,3,4,5,10},1),"ABCDEFGHIJKLMNOPQRSTUVWXYZ")))=0,SUMPRODUCT(--ISERROR(FIND(MID(BA565,{6,7,8,9},1),"0123456789")))=0),"OK","Wrong format"))</f>
        <v/>
      </c>
      <c r="AX565" s="29">
        <f>IF(TRIM(H565)="","",IF(AND(LEN(UPPER(TRIM(H565)))=10,SUMPRODUCT(--ISERROR(FIND(MID(UPPER(TRIM(H565)),{1,2,3,4,10},1),"ABCDEFGHIJKLMNOPQRSTUVWXYZ")))=0,SUMPRODUCT(--ISERROR(FIND(MID(UPPER(TRIM(H565)),{5,6,7,8,9},1),"0123456789")))=0),"OK","Wrong format"))</f>
        <v/>
      </c>
      <c r="AY565" s="30">
        <f>IF(NOT(COUNTA(A565:AE565)&gt;0),"",IF(BE565&lt;&gt;"","✖ "&amp;LEFT(BE565,LEN(BE565)-2),IF(BD565&gt;0,"✔ Ready — client + "&amp;BD565&amp;" service(s)","✔ Ready — client only")))</f>
        <v/>
      </c>
      <c r="AZ565" s="31">
        <f>UPPER(SUBSTITUTE(TRIM(F565)," ",""))</f>
        <v/>
      </c>
      <c r="BA565" s="31">
        <f>UPPER(SUBSTITUTE(TRIM(E565)," ",""))</f>
        <v/>
      </c>
      <c r="BB565" s="31">
        <f>IF(D565&lt;&gt;"",D565,IFERROR(VLOOKUP(MID(AS565,4,1),Lists!$E$2:$F$8,2,FALSE),""))</f>
        <v/>
      </c>
      <c r="BC565" s="31">
        <f>IFERROR(VLOOKUP(BB565,Lists!$A$2:$C$12,3,FALSE),"")</f>
        <v/>
      </c>
      <c r="BD565" s="31">
        <f>COUNTIF(W565:AC565,"Yes")</f>
        <v/>
      </c>
      <c r="BE565" s="31">
        <f>IF(TRIM(B565)="","Legal name missing; ","")&amp;IF(AND(AV565&lt;&gt;"",AV565&lt;&gt;"OK"),"GSTIN: "&amp;AV565&amp;"; ","")&amp;IF(AND(AW565&lt;&gt;"",AW565&lt;&gt;"OK"),"PAN wrong format; ","")&amp;IF(AND(BA565&lt;&gt;"",LEN(AZ565)=15,MID(AZ565,3,10)&lt;&gt;BA565),"PAN does not match GSTIN; ","")&amp;IF(AND(AX565&lt;&gt;"",AX565&lt;&gt;"OK"),"TAN wrong format; ","")&amp;IF(AS565="","PAN missing; ","")&amp;IF(BB565="","Entity type missing; ","")&amp;IF(AND(AZ565&lt;&gt;"",COUNTIF($AZ$6:$AZ$1005,AZ565)&gt;1),"GSTIN repeated in this sheet; ","")&amp;IF(AND(AS565&lt;&gt;"",COUNTIF($AS$6:$AS$1005,AS565)&gt;1),"PAN repeated in this sheet (same client? put extra GSTINs in Other GSTINs); ","")&amp;IF(AND(BD565&gt;0,V565=""),"Financial year missing; ","")&amp;IF(AND(BD565=0,V565&lt;&gt;""),"Financial year given but no service is Yes; ","")&amp;IF(AND(W565="Yes",AZ565=""),"GST needs a GSTIN; ","")&amp;IF(AND(W565="Yes",X565=""),"GST return frequency missing; ","")&amp;IF(AND(Y565="Yes",TRIM(H565)=""),"TDS needs a TAN; ","")&amp;IF(AND(AA565="Yes",BC565&lt;&gt;"",BC565&lt;&gt;"company",BC565&lt;&gt;"llp"),"ROC is only for a company / LLP; ","")&amp;IF(AND(AA565="Yes",OR(BC565="company",BC565="llp"),TRIM(I565)=""),"ROC needs the CIN / LLPIN; ","")&amp;IF((TRIM(AF565)="")&lt;&gt;(TRIM(AG565)=""),"GST login needs both user ID and password; ","")&amp;IF((TRIM(AH565)="")&lt;&gt;(TRIM(AI565)=""),"Income-tax login needs both user ID and password; ","")&amp;IF((TRIM(AJ565)="")&lt;&gt;(TRIM(AK565)=""),"Income-tax login needs both user ID and password; ","")&amp;IF((TRIM(AL565)="")&lt;&gt;(TRIM(AM565)=""),"TRACES login needs both user ID and password; ","")&amp;IF((TRIM(AN565)="")&lt;&gt;(TRIM(AO565)=""),"MCA login needs both user ID and password; ","")&amp;IF((TRIM(AP565)="")&lt;&gt;(TRIM(AQ565)=""),"E-way bill login needs both user ID and password; ","")</f>
        <v/>
      </c>
    </row>
    <row r="566">
      <c r="A566" s="32" t="n"/>
      <c r="B566" s="33" t="n"/>
      <c r="C566" s="33" t="n"/>
      <c r="D566" s="33" t="n"/>
      <c r="E566" s="32" t="n"/>
      <c r="F566" s="32" t="n"/>
      <c r="G566" s="32" t="n"/>
      <c r="H566" s="32" t="n"/>
      <c r="I566" s="32" t="n"/>
      <c r="J566" s="34" t="n"/>
      <c r="K566" s="33" t="n"/>
      <c r="L566" s="32" t="n"/>
      <c r="M566" s="33" t="n"/>
      <c r="N566" s="33" t="n"/>
      <c r="O566" s="33" t="n"/>
      <c r="P566" s="32" t="n"/>
      <c r="Q566" s="33" t="n"/>
      <c r="R566" s="33" t="n"/>
      <c r="S566" s="33" t="n"/>
      <c r="T566" s="33" t="n"/>
      <c r="U566" s="32" t="n"/>
      <c r="V566" s="33" t="n"/>
      <c r="W566" s="33" t="n"/>
      <c r="X566" s="33" t="n"/>
      <c r="Y566" s="33" t="n"/>
      <c r="Z566" s="33" t="n"/>
      <c r="AA566" s="33" t="n"/>
      <c r="AB566" s="33" t="n"/>
      <c r="AC566" s="33" t="n"/>
      <c r="AD566" s="33" t="n"/>
      <c r="AE566" s="33" t="n"/>
      <c r="AF566" s="32" t="n"/>
      <c r="AG566" s="32" t="n"/>
      <c r="AH566" s="32" t="n"/>
      <c r="AI566" s="32" t="n"/>
      <c r="AJ566" s="32" t="n"/>
      <c r="AK566" s="32" t="n"/>
      <c r="AL566" s="32" t="n"/>
      <c r="AM566" s="32" t="n"/>
      <c r="AN566" s="32" t="n"/>
      <c r="AO566" s="32" t="n"/>
      <c r="AP566" s="32" t="n"/>
      <c r="AQ566" s="32" t="n"/>
      <c r="AR566" s="29">
        <f>IF(NOT(COUNTA(A566:AE566)&gt;0),"",IF(A566="","New client","Update"))</f>
        <v/>
      </c>
      <c r="AS566" s="29">
        <f>IF(BA566&lt;&gt;"",BA566,IF(LEN(AZ566)=15,MID(AZ566,3,10),""))</f>
        <v/>
      </c>
      <c r="AT566" s="29">
        <f>IF(BB566="","",BB566&amp;IF(D566="","  (guessed from PAN)",""))</f>
        <v/>
      </c>
      <c r="AU566" s="29">
        <f>IF(AZ566="","",IFERROR(INDEX(Lists!$L$2:$L$38,MATCH(LEFT(AZ566,2),Lists!$K$2:$K$38,0)),"Unknown code"))</f>
        <v/>
      </c>
      <c r="AV566" s="29">
        <f>IF(AZ566="","",IFERROR(IF(NOT(AND(LEN(AZ566)=15,ISNUMBER(MATCH(LEFT(AZ566,2),Lists!$K$2:$K$38,0)),SUMPRODUCT(--ISERROR(FIND(MID(MID(AZ566,3,10),{1,2,3,4,5,10},1),"ABCDEFGHIJKLMNOPQRSTUVWXYZ")))=0,SUMPRODUCT(--ISERROR(FIND(MID(MID(AZ566,3,10),{6,7,8,9},1),"0123456789")))=0,ISNUMBER(FIND(MID(AZ566,13,1),"123456789ABCDEFGHIJKLMNOPQRSTUVWXYZ")),MID(AZ566,14,1)="Z")),"Wrong format",IF(MID("0123456789ABCDEFGHIJKLMNOPQRSTUVWXYZ",MOD(36-MOD(SUMPRODUCT(INT((FIND(MID(AZ566,{1,2,3,4,5,6,7,8,9,10,11,12,13,14},1),"0123456789ABCDEFGHIJKLMNOPQRSTUVWXYZ")-1)*{1,2,1,2,1,2,1,2,1,2,1,2,1,2}/36)+MOD((FIND(MID(AZ566,{1,2,3,4,5,6,7,8,9,10,11,12,13,14},1),"0123456789ABCDEFGHIJKLMNOPQRSTUVWXYZ")-1)*{1,2,1,2,1,2,1,2,1,2,1,2,1,2},36)),36),36)+1,1)=MID(AZ566,15,1),"OK","Typo? check digit wrong")),"Wrong format"))</f>
        <v/>
      </c>
      <c r="AW566" s="29">
        <f>IF(BA566="","",IF(AND(LEN(BA566)=10,SUMPRODUCT(--ISERROR(FIND(MID(BA566,{1,2,3,4,5,10},1),"ABCDEFGHIJKLMNOPQRSTUVWXYZ")))=0,SUMPRODUCT(--ISERROR(FIND(MID(BA566,{6,7,8,9},1),"0123456789")))=0),"OK","Wrong format"))</f>
        <v/>
      </c>
      <c r="AX566" s="29">
        <f>IF(TRIM(H566)="","",IF(AND(LEN(UPPER(TRIM(H566)))=10,SUMPRODUCT(--ISERROR(FIND(MID(UPPER(TRIM(H566)),{1,2,3,4,10},1),"ABCDEFGHIJKLMNOPQRSTUVWXYZ")))=0,SUMPRODUCT(--ISERROR(FIND(MID(UPPER(TRIM(H566)),{5,6,7,8,9},1),"0123456789")))=0),"OK","Wrong format"))</f>
        <v/>
      </c>
      <c r="AY566" s="30">
        <f>IF(NOT(COUNTA(A566:AE566)&gt;0),"",IF(BE566&lt;&gt;"","✖ "&amp;LEFT(BE566,LEN(BE566)-2),IF(BD566&gt;0,"✔ Ready — client + "&amp;BD566&amp;" service(s)","✔ Ready — client only")))</f>
        <v/>
      </c>
      <c r="AZ566" s="31">
        <f>UPPER(SUBSTITUTE(TRIM(F566)," ",""))</f>
        <v/>
      </c>
      <c r="BA566" s="31">
        <f>UPPER(SUBSTITUTE(TRIM(E566)," ",""))</f>
        <v/>
      </c>
      <c r="BB566" s="31">
        <f>IF(D566&lt;&gt;"",D566,IFERROR(VLOOKUP(MID(AS566,4,1),Lists!$E$2:$F$8,2,FALSE),""))</f>
        <v/>
      </c>
      <c r="BC566" s="31">
        <f>IFERROR(VLOOKUP(BB566,Lists!$A$2:$C$12,3,FALSE),"")</f>
        <v/>
      </c>
      <c r="BD566" s="31">
        <f>COUNTIF(W566:AC566,"Yes")</f>
        <v/>
      </c>
      <c r="BE566" s="31">
        <f>IF(TRIM(B566)="","Legal name missing; ","")&amp;IF(AND(AV566&lt;&gt;"",AV566&lt;&gt;"OK"),"GSTIN: "&amp;AV566&amp;"; ","")&amp;IF(AND(AW566&lt;&gt;"",AW566&lt;&gt;"OK"),"PAN wrong format; ","")&amp;IF(AND(BA566&lt;&gt;"",LEN(AZ566)=15,MID(AZ566,3,10)&lt;&gt;BA566),"PAN does not match GSTIN; ","")&amp;IF(AND(AX566&lt;&gt;"",AX566&lt;&gt;"OK"),"TAN wrong format; ","")&amp;IF(AS566="","PAN missing; ","")&amp;IF(BB566="","Entity type missing; ","")&amp;IF(AND(AZ566&lt;&gt;"",COUNTIF($AZ$6:$AZ$1005,AZ566)&gt;1),"GSTIN repeated in this sheet; ","")&amp;IF(AND(AS566&lt;&gt;"",COUNTIF($AS$6:$AS$1005,AS566)&gt;1),"PAN repeated in this sheet (same client? put extra GSTINs in Other GSTINs); ","")&amp;IF(AND(BD566&gt;0,V566=""),"Financial year missing; ","")&amp;IF(AND(BD566=0,V566&lt;&gt;""),"Financial year given but no service is Yes; ","")&amp;IF(AND(W566="Yes",AZ566=""),"GST needs a GSTIN; ","")&amp;IF(AND(W566="Yes",X566=""),"GST return frequency missing; ","")&amp;IF(AND(Y566="Yes",TRIM(H566)=""),"TDS needs a TAN; ","")&amp;IF(AND(AA566="Yes",BC566&lt;&gt;"",BC566&lt;&gt;"company",BC566&lt;&gt;"llp"),"ROC is only for a company / LLP; ","")&amp;IF(AND(AA566="Yes",OR(BC566="company",BC566="llp"),TRIM(I566)=""),"ROC needs the CIN / LLPIN; ","")&amp;IF((TRIM(AF566)="")&lt;&gt;(TRIM(AG566)=""),"GST login needs both user ID and password; ","")&amp;IF((TRIM(AH566)="")&lt;&gt;(TRIM(AI566)=""),"Income-tax login needs both user ID and password; ","")&amp;IF((TRIM(AJ566)="")&lt;&gt;(TRIM(AK566)=""),"Income-tax login needs both user ID and password; ","")&amp;IF((TRIM(AL566)="")&lt;&gt;(TRIM(AM566)=""),"TRACES login needs both user ID and password; ","")&amp;IF((TRIM(AN566)="")&lt;&gt;(TRIM(AO566)=""),"MCA login needs both user ID and password; ","")&amp;IF((TRIM(AP566)="")&lt;&gt;(TRIM(AQ566)=""),"E-way bill login needs both user ID and password; ","")</f>
        <v/>
      </c>
    </row>
    <row r="567">
      <c r="A567" s="32" t="n"/>
      <c r="B567" s="33" t="n"/>
      <c r="C567" s="33" t="n"/>
      <c r="D567" s="33" t="n"/>
      <c r="E567" s="32" t="n"/>
      <c r="F567" s="32" t="n"/>
      <c r="G567" s="32" t="n"/>
      <c r="H567" s="32" t="n"/>
      <c r="I567" s="32" t="n"/>
      <c r="J567" s="34" t="n"/>
      <c r="K567" s="33" t="n"/>
      <c r="L567" s="32" t="n"/>
      <c r="M567" s="33" t="n"/>
      <c r="N567" s="33" t="n"/>
      <c r="O567" s="33" t="n"/>
      <c r="P567" s="32" t="n"/>
      <c r="Q567" s="33" t="n"/>
      <c r="R567" s="33" t="n"/>
      <c r="S567" s="33" t="n"/>
      <c r="T567" s="33" t="n"/>
      <c r="U567" s="32" t="n"/>
      <c r="V567" s="33" t="n"/>
      <c r="W567" s="33" t="n"/>
      <c r="X567" s="33" t="n"/>
      <c r="Y567" s="33" t="n"/>
      <c r="Z567" s="33" t="n"/>
      <c r="AA567" s="33" t="n"/>
      <c r="AB567" s="33" t="n"/>
      <c r="AC567" s="33" t="n"/>
      <c r="AD567" s="33" t="n"/>
      <c r="AE567" s="33" t="n"/>
      <c r="AF567" s="32" t="n"/>
      <c r="AG567" s="32" t="n"/>
      <c r="AH567" s="32" t="n"/>
      <c r="AI567" s="32" t="n"/>
      <c r="AJ567" s="32" t="n"/>
      <c r="AK567" s="32" t="n"/>
      <c r="AL567" s="32" t="n"/>
      <c r="AM567" s="32" t="n"/>
      <c r="AN567" s="32" t="n"/>
      <c r="AO567" s="32" t="n"/>
      <c r="AP567" s="32" t="n"/>
      <c r="AQ567" s="32" t="n"/>
      <c r="AR567" s="29">
        <f>IF(NOT(COUNTA(A567:AE567)&gt;0),"",IF(A567="","New client","Update"))</f>
        <v/>
      </c>
      <c r="AS567" s="29">
        <f>IF(BA567&lt;&gt;"",BA567,IF(LEN(AZ567)=15,MID(AZ567,3,10),""))</f>
        <v/>
      </c>
      <c r="AT567" s="29">
        <f>IF(BB567="","",BB567&amp;IF(D567="","  (guessed from PAN)",""))</f>
        <v/>
      </c>
      <c r="AU567" s="29">
        <f>IF(AZ567="","",IFERROR(INDEX(Lists!$L$2:$L$38,MATCH(LEFT(AZ567,2),Lists!$K$2:$K$38,0)),"Unknown code"))</f>
        <v/>
      </c>
      <c r="AV567" s="29">
        <f>IF(AZ567="","",IFERROR(IF(NOT(AND(LEN(AZ567)=15,ISNUMBER(MATCH(LEFT(AZ567,2),Lists!$K$2:$K$38,0)),SUMPRODUCT(--ISERROR(FIND(MID(MID(AZ567,3,10),{1,2,3,4,5,10},1),"ABCDEFGHIJKLMNOPQRSTUVWXYZ")))=0,SUMPRODUCT(--ISERROR(FIND(MID(MID(AZ567,3,10),{6,7,8,9},1),"0123456789")))=0,ISNUMBER(FIND(MID(AZ567,13,1),"123456789ABCDEFGHIJKLMNOPQRSTUVWXYZ")),MID(AZ567,14,1)="Z")),"Wrong format",IF(MID("0123456789ABCDEFGHIJKLMNOPQRSTUVWXYZ",MOD(36-MOD(SUMPRODUCT(INT((FIND(MID(AZ567,{1,2,3,4,5,6,7,8,9,10,11,12,13,14},1),"0123456789ABCDEFGHIJKLMNOPQRSTUVWXYZ")-1)*{1,2,1,2,1,2,1,2,1,2,1,2,1,2}/36)+MOD((FIND(MID(AZ567,{1,2,3,4,5,6,7,8,9,10,11,12,13,14},1),"0123456789ABCDEFGHIJKLMNOPQRSTUVWXYZ")-1)*{1,2,1,2,1,2,1,2,1,2,1,2,1,2},36)),36),36)+1,1)=MID(AZ567,15,1),"OK","Typo? check digit wrong")),"Wrong format"))</f>
        <v/>
      </c>
      <c r="AW567" s="29">
        <f>IF(BA567="","",IF(AND(LEN(BA567)=10,SUMPRODUCT(--ISERROR(FIND(MID(BA567,{1,2,3,4,5,10},1),"ABCDEFGHIJKLMNOPQRSTUVWXYZ")))=0,SUMPRODUCT(--ISERROR(FIND(MID(BA567,{6,7,8,9},1),"0123456789")))=0),"OK","Wrong format"))</f>
        <v/>
      </c>
      <c r="AX567" s="29">
        <f>IF(TRIM(H567)="","",IF(AND(LEN(UPPER(TRIM(H567)))=10,SUMPRODUCT(--ISERROR(FIND(MID(UPPER(TRIM(H567)),{1,2,3,4,10},1),"ABCDEFGHIJKLMNOPQRSTUVWXYZ")))=0,SUMPRODUCT(--ISERROR(FIND(MID(UPPER(TRIM(H567)),{5,6,7,8,9},1),"0123456789")))=0),"OK","Wrong format"))</f>
        <v/>
      </c>
      <c r="AY567" s="30">
        <f>IF(NOT(COUNTA(A567:AE567)&gt;0),"",IF(BE567&lt;&gt;"","✖ "&amp;LEFT(BE567,LEN(BE567)-2),IF(BD567&gt;0,"✔ Ready — client + "&amp;BD567&amp;" service(s)","✔ Ready — client only")))</f>
        <v/>
      </c>
      <c r="AZ567" s="31">
        <f>UPPER(SUBSTITUTE(TRIM(F567)," ",""))</f>
        <v/>
      </c>
      <c r="BA567" s="31">
        <f>UPPER(SUBSTITUTE(TRIM(E567)," ",""))</f>
        <v/>
      </c>
      <c r="BB567" s="31">
        <f>IF(D567&lt;&gt;"",D567,IFERROR(VLOOKUP(MID(AS567,4,1),Lists!$E$2:$F$8,2,FALSE),""))</f>
        <v/>
      </c>
      <c r="BC567" s="31">
        <f>IFERROR(VLOOKUP(BB567,Lists!$A$2:$C$12,3,FALSE),"")</f>
        <v/>
      </c>
      <c r="BD567" s="31">
        <f>COUNTIF(W567:AC567,"Yes")</f>
        <v/>
      </c>
      <c r="BE567" s="31">
        <f>IF(TRIM(B567)="","Legal name missing; ","")&amp;IF(AND(AV567&lt;&gt;"",AV567&lt;&gt;"OK"),"GSTIN: "&amp;AV567&amp;"; ","")&amp;IF(AND(AW567&lt;&gt;"",AW567&lt;&gt;"OK"),"PAN wrong format; ","")&amp;IF(AND(BA567&lt;&gt;"",LEN(AZ567)=15,MID(AZ567,3,10)&lt;&gt;BA567),"PAN does not match GSTIN; ","")&amp;IF(AND(AX567&lt;&gt;"",AX567&lt;&gt;"OK"),"TAN wrong format; ","")&amp;IF(AS567="","PAN missing; ","")&amp;IF(BB567="","Entity type missing; ","")&amp;IF(AND(AZ567&lt;&gt;"",COUNTIF($AZ$6:$AZ$1005,AZ567)&gt;1),"GSTIN repeated in this sheet; ","")&amp;IF(AND(AS567&lt;&gt;"",COUNTIF($AS$6:$AS$1005,AS567)&gt;1),"PAN repeated in this sheet (same client? put extra GSTINs in Other GSTINs); ","")&amp;IF(AND(BD567&gt;0,V567=""),"Financial year missing; ","")&amp;IF(AND(BD567=0,V567&lt;&gt;""),"Financial year given but no service is Yes; ","")&amp;IF(AND(W567="Yes",AZ567=""),"GST needs a GSTIN; ","")&amp;IF(AND(W567="Yes",X567=""),"GST return frequency missing; ","")&amp;IF(AND(Y567="Yes",TRIM(H567)=""),"TDS needs a TAN; ","")&amp;IF(AND(AA567="Yes",BC567&lt;&gt;"",BC567&lt;&gt;"company",BC567&lt;&gt;"llp"),"ROC is only for a company / LLP; ","")&amp;IF(AND(AA567="Yes",OR(BC567="company",BC567="llp"),TRIM(I567)=""),"ROC needs the CIN / LLPIN; ","")&amp;IF((TRIM(AF567)="")&lt;&gt;(TRIM(AG567)=""),"GST login needs both user ID and password; ","")&amp;IF((TRIM(AH567)="")&lt;&gt;(TRIM(AI567)=""),"Income-tax login needs both user ID and password; ","")&amp;IF((TRIM(AJ567)="")&lt;&gt;(TRIM(AK567)=""),"Income-tax login needs both user ID and password; ","")&amp;IF((TRIM(AL567)="")&lt;&gt;(TRIM(AM567)=""),"TRACES login needs both user ID and password; ","")&amp;IF((TRIM(AN567)="")&lt;&gt;(TRIM(AO567)=""),"MCA login needs both user ID and password; ","")&amp;IF((TRIM(AP567)="")&lt;&gt;(TRIM(AQ567)=""),"E-way bill login needs both user ID and password; ","")</f>
        <v/>
      </c>
    </row>
    <row r="568">
      <c r="A568" s="32" t="n"/>
      <c r="B568" s="33" t="n"/>
      <c r="C568" s="33" t="n"/>
      <c r="D568" s="33" t="n"/>
      <c r="E568" s="32" t="n"/>
      <c r="F568" s="32" t="n"/>
      <c r="G568" s="32" t="n"/>
      <c r="H568" s="32" t="n"/>
      <c r="I568" s="32" t="n"/>
      <c r="J568" s="34" t="n"/>
      <c r="K568" s="33" t="n"/>
      <c r="L568" s="32" t="n"/>
      <c r="M568" s="33" t="n"/>
      <c r="N568" s="33" t="n"/>
      <c r="O568" s="33" t="n"/>
      <c r="P568" s="32" t="n"/>
      <c r="Q568" s="33" t="n"/>
      <c r="R568" s="33" t="n"/>
      <c r="S568" s="33" t="n"/>
      <c r="T568" s="33" t="n"/>
      <c r="U568" s="32" t="n"/>
      <c r="V568" s="33" t="n"/>
      <c r="W568" s="33" t="n"/>
      <c r="X568" s="33" t="n"/>
      <c r="Y568" s="33" t="n"/>
      <c r="Z568" s="33" t="n"/>
      <c r="AA568" s="33" t="n"/>
      <c r="AB568" s="33" t="n"/>
      <c r="AC568" s="33" t="n"/>
      <c r="AD568" s="33" t="n"/>
      <c r="AE568" s="33" t="n"/>
      <c r="AF568" s="32" t="n"/>
      <c r="AG568" s="32" t="n"/>
      <c r="AH568" s="32" t="n"/>
      <c r="AI568" s="32" t="n"/>
      <c r="AJ568" s="32" t="n"/>
      <c r="AK568" s="32" t="n"/>
      <c r="AL568" s="32" t="n"/>
      <c r="AM568" s="32" t="n"/>
      <c r="AN568" s="32" t="n"/>
      <c r="AO568" s="32" t="n"/>
      <c r="AP568" s="32" t="n"/>
      <c r="AQ568" s="32" t="n"/>
      <c r="AR568" s="29">
        <f>IF(NOT(COUNTA(A568:AE568)&gt;0),"",IF(A568="","New client","Update"))</f>
        <v/>
      </c>
      <c r="AS568" s="29">
        <f>IF(BA568&lt;&gt;"",BA568,IF(LEN(AZ568)=15,MID(AZ568,3,10),""))</f>
        <v/>
      </c>
      <c r="AT568" s="29">
        <f>IF(BB568="","",BB568&amp;IF(D568="","  (guessed from PAN)",""))</f>
        <v/>
      </c>
      <c r="AU568" s="29">
        <f>IF(AZ568="","",IFERROR(INDEX(Lists!$L$2:$L$38,MATCH(LEFT(AZ568,2),Lists!$K$2:$K$38,0)),"Unknown code"))</f>
        <v/>
      </c>
      <c r="AV568" s="29">
        <f>IF(AZ568="","",IFERROR(IF(NOT(AND(LEN(AZ568)=15,ISNUMBER(MATCH(LEFT(AZ568,2),Lists!$K$2:$K$38,0)),SUMPRODUCT(--ISERROR(FIND(MID(MID(AZ568,3,10),{1,2,3,4,5,10},1),"ABCDEFGHIJKLMNOPQRSTUVWXYZ")))=0,SUMPRODUCT(--ISERROR(FIND(MID(MID(AZ568,3,10),{6,7,8,9},1),"0123456789")))=0,ISNUMBER(FIND(MID(AZ568,13,1),"123456789ABCDEFGHIJKLMNOPQRSTUVWXYZ")),MID(AZ568,14,1)="Z")),"Wrong format",IF(MID("0123456789ABCDEFGHIJKLMNOPQRSTUVWXYZ",MOD(36-MOD(SUMPRODUCT(INT((FIND(MID(AZ568,{1,2,3,4,5,6,7,8,9,10,11,12,13,14},1),"0123456789ABCDEFGHIJKLMNOPQRSTUVWXYZ")-1)*{1,2,1,2,1,2,1,2,1,2,1,2,1,2}/36)+MOD((FIND(MID(AZ568,{1,2,3,4,5,6,7,8,9,10,11,12,13,14},1),"0123456789ABCDEFGHIJKLMNOPQRSTUVWXYZ")-1)*{1,2,1,2,1,2,1,2,1,2,1,2,1,2},36)),36),36)+1,1)=MID(AZ568,15,1),"OK","Typo? check digit wrong")),"Wrong format"))</f>
        <v/>
      </c>
      <c r="AW568" s="29">
        <f>IF(BA568="","",IF(AND(LEN(BA568)=10,SUMPRODUCT(--ISERROR(FIND(MID(BA568,{1,2,3,4,5,10},1),"ABCDEFGHIJKLMNOPQRSTUVWXYZ")))=0,SUMPRODUCT(--ISERROR(FIND(MID(BA568,{6,7,8,9},1),"0123456789")))=0),"OK","Wrong format"))</f>
        <v/>
      </c>
      <c r="AX568" s="29">
        <f>IF(TRIM(H568)="","",IF(AND(LEN(UPPER(TRIM(H568)))=10,SUMPRODUCT(--ISERROR(FIND(MID(UPPER(TRIM(H568)),{1,2,3,4,10},1),"ABCDEFGHIJKLMNOPQRSTUVWXYZ")))=0,SUMPRODUCT(--ISERROR(FIND(MID(UPPER(TRIM(H568)),{5,6,7,8,9},1),"0123456789")))=0),"OK","Wrong format"))</f>
        <v/>
      </c>
      <c r="AY568" s="30">
        <f>IF(NOT(COUNTA(A568:AE568)&gt;0),"",IF(BE568&lt;&gt;"","✖ "&amp;LEFT(BE568,LEN(BE568)-2),IF(BD568&gt;0,"✔ Ready — client + "&amp;BD568&amp;" service(s)","✔ Ready — client only")))</f>
        <v/>
      </c>
      <c r="AZ568" s="31">
        <f>UPPER(SUBSTITUTE(TRIM(F568)," ",""))</f>
        <v/>
      </c>
      <c r="BA568" s="31">
        <f>UPPER(SUBSTITUTE(TRIM(E568)," ",""))</f>
        <v/>
      </c>
      <c r="BB568" s="31">
        <f>IF(D568&lt;&gt;"",D568,IFERROR(VLOOKUP(MID(AS568,4,1),Lists!$E$2:$F$8,2,FALSE),""))</f>
        <v/>
      </c>
      <c r="BC568" s="31">
        <f>IFERROR(VLOOKUP(BB568,Lists!$A$2:$C$12,3,FALSE),"")</f>
        <v/>
      </c>
      <c r="BD568" s="31">
        <f>COUNTIF(W568:AC568,"Yes")</f>
        <v/>
      </c>
      <c r="BE568" s="31">
        <f>IF(TRIM(B568)="","Legal name missing; ","")&amp;IF(AND(AV568&lt;&gt;"",AV568&lt;&gt;"OK"),"GSTIN: "&amp;AV568&amp;"; ","")&amp;IF(AND(AW568&lt;&gt;"",AW568&lt;&gt;"OK"),"PAN wrong format; ","")&amp;IF(AND(BA568&lt;&gt;"",LEN(AZ568)=15,MID(AZ568,3,10)&lt;&gt;BA568),"PAN does not match GSTIN; ","")&amp;IF(AND(AX568&lt;&gt;"",AX568&lt;&gt;"OK"),"TAN wrong format; ","")&amp;IF(AS568="","PAN missing; ","")&amp;IF(BB568="","Entity type missing; ","")&amp;IF(AND(AZ568&lt;&gt;"",COUNTIF($AZ$6:$AZ$1005,AZ568)&gt;1),"GSTIN repeated in this sheet; ","")&amp;IF(AND(AS568&lt;&gt;"",COUNTIF($AS$6:$AS$1005,AS568)&gt;1),"PAN repeated in this sheet (same client? put extra GSTINs in Other GSTINs); ","")&amp;IF(AND(BD568&gt;0,V568=""),"Financial year missing; ","")&amp;IF(AND(BD568=0,V568&lt;&gt;""),"Financial year given but no service is Yes; ","")&amp;IF(AND(W568="Yes",AZ568=""),"GST needs a GSTIN; ","")&amp;IF(AND(W568="Yes",X568=""),"GST return frequency missing; ","")&amp;IF(AND(Y568="Yes",TRIM(H568)=""),"TDS needs a TAN; ","")&amp;IF(AND(AA568="Yes",BC568&lt;&gt;"",BC568&lt;&gt;"company",BC568&lt;&gt;"llp"),"ROC is only for a company / LLP; ","")&amp;IF(AND(AA568="Yes",OR(BC568="company",BC568="llp"),TRIM(I568)=""),"ROC needs the CIN / LLPIN; ","")&amp;IF((TRIM(AF568)="")&lt;&gt;(TRIM(AG568)=""),"GST login needs both user ID and password; ","")&amp;IF((TRIM(AH568)="")&lt;&gt;(TRIM(AI568)=""),"Income-tax login needs both user ID and password; ","")&amp;IF((TRIM(AJ568)="")&lt;&gt;(TRIM(AK568)=""),"Income-tax login needs both user ID and password; ","")&amp;IF((TRIM(AL568)="")&lt;&gt;(TRIM(AM568)=""),"TRACES login needs both user ID and password; ","")&amp;IF((TRIM(AN568)="")&lt;&gt;(TRIM(AO568)=""),"MCA login needs both user ID and password; ","")&amp;IF((TRIM(AP568)="")&lt;&gt;(TRIM(AQ568)=""),"E-way bill login needs both user ID and password; ","")</f>
        <v/>
      </c>
    </row>
    <row r="569">
      <c r="A569" s="32" t="n"/>
      <c r="B569" s="33" t="n"/>
      <c r="C569" s="33" t="n"/>
      <c r="D569" s="33" t="n"/>
      <c r="E569" s="32" t="n"/>
      <c r="F569" s="32" t="n"/>
      <c r="G569" s="32" t="n"/>
      <c r="H569" s="32" t="n"/>
      <c r="I569" s="32" t="n"/>
      <c r="J569" s="34" t="n"/>
      <c r="K569" s="33" t="n"/>
      <c r="L569" s="32" t="n"/>
      <c r="M569" s="33" t="n"/>
      <c r="N569" s="33" t="n"/>
      <c r="O569" s="33" t="n"/>
      <c r="P569" s="32" t="n"/>
      <c r="Q569" s="33" t="n"/>
      <c r="R569" s="33" t="n"/>
      <c r="S569" s="33" t="n"/>
      <c r="T569" s="33" t="n"/>
      <c r="U569" s="32" t="n"/>
      <c r="V569" s="33" t="n"/>
      <c r="W569" s="33" t="n"/>
      <c r="X569" s="33" t="n"/>
      <c r="Y569" s="33" t="n"/>
      <c r="Z569" s="33" t="n"/>
      <c r="AA569" s="33" t="n"/>
      <c r="AB569" s="33" t="n"/>
      <c r="AC569" s="33" t="n"/>
      <c r="AD569" s="33" t="n"/>
      <c r="AE569" s="33" t="n"/>
      <c r="AF569" s="32" t="n"/>
      <c r="AG569" s="32" t="n"/>
      <c r="AH569" s="32" t="n"/>
      <c r="AI569" s="32" t="n"/>
      <c r="AJ569" s="32" t="n"/>
      <c r="AK569" s="32" t="n"/>
      <c r="AL569" s="32" t="n"/>
      <c r="AM569" s="32" t="n"/>
      <c r="AN569" s="32" t="n"/>
      <c r="AO569" s="32" t="n"/>
      <c r="AP569" s="32" t="n"/>
      <c r="AQ569" s="32" t="n"/>
      <c r="AR569" s="29">
        <f>IF(NOT(COUNTA(A569:AE569)&gt;0),"",IF(A569="","New client","Update"))</f>
        <v/>
      </c>
      <c r="AS569" s="29">
        <f>IF(BA569&lt;&gt;"",BA569,IF(LEN(AZ569)=15,MID(AZ569,3,10),""))</f>
        <v/>
      </c>
      <c r="AT569" s="29">
        <f>IF(BB569="","",BB569&amp;IF(D569="","  (guessed from PAN)",""))</f>
        <v/>
      </c>
      <c r="AU569" s="29">
        <f>IF(AZ569="","",IFERROR(INDEX(Lists!$L$2:$L$38,MATCH(LEFT(AZ569,2),Lists!$K$2:$K$38,0)),"Unknown code"))</f>
        <v/>
      </c>
      <c r="AV569" s="29">
        <f>IF(AZ569="","",IFERROR(IF(NOT(AND(LEN(AZ569)=15,ISNUMBER(MATCH(LEFT(AZ569,2),Lists!$K$2:$K$38,0)),SUMPRODUCT(--ISERROR(FIND(MID(MID(AZ569,3,10),{1,2,3,4,5,10},1),"ABCDEFGHIJKLMNOPQRSTUVWXYZ")))=0,SUMPRODUCT(--ISERROR(FIND(MID(MID(AZ569,3,10),{6,7,8,9},1),"0123456789")))=0,ISNUMBER(FIND(MID(AZ569,13,1),"123456789ABCDEFGHIJKLMNOPQRSTUVWXYZ")),MID(AZ569,14,1)="Z")),"Wrong format",IF(MID("0123456789ABCDEFGHIJKLMNOPQRSTUVWXYZ",MOD(36-MOD(SUMPRODUCT(INT((FIND(MID(AZ569,{1,2,3,4,5,6,7,8,9,10,11,12,13,14},1),"0123456789ABCDEFGHIJKLMNOPQRSTUVWXYZ")-1)*{1,2,1,2,1,2,1,2,1,2,1,2,1,2}/36)+MOD((FIND(MID(AZ569,{1,2,3,4,5,6,7,8,9,10,11,12,13,14},1),"0123456789ABCDEFGHIJKLMNOPQRSTUVWXYZ")-1)*{1,2,1,2,1,2,1,2,1,2,1,2,1,2},36)),36),36)+1,1)=MID(AZ569,15,1),"OK","Typo? check digit wrong")),"Wrong format"))</f>
        <v/>
      </c>
      <c r="AW569" s="29">
        <f>IF(BA569="","",IF(AND(LEN(BA569)=10,SUMPRODUCT(--ISERROR(FIND(MID(BA569,{1,2,3,4,5,10},1),"ABCDEFGHIJKLMNOPQRSTUVWXYZ")))=0,SUMPRODUCT(--ISERROR(FIND(MID(BA569,{6,7,8,9},1),"0123456789")))=0),"OK","Wrong format"))</f>
        <v/>
      </c>
      <c r="AX569" s="29">
        <f>IF(TRIM(H569)="","",IF(AND(LEN(UPPER(TRIM(H569)))=10,SUMPRODUCT(--ISERROR(FIND(MID(UPPER(TRIM(H569)),{1,2,3,4,10},1),"ABCDEFGHIJKLMNOPQRSTUVWXYZ")))=0,SUMPRODUCT(--ISERROR(FIND(MID(UPPER(TRIM(H569)),{5,6,7,8,9},1),"0123456789")))=0),"OK","Wrong format"))</f>
        <v/>
      </c>
      <c r="AY569" s="30">
        <f>IF(NOT(COUNTA(A569:AE569)&gt;0),"",IF(BE569&lt;&gt;"","✖ "&amp;LEFT(BE569,LEN(BE569)-2),IF(BD569&gt;0,"✔ Ready — client + "&amp;BD569&amp;" service(s)","✔ Ready — client only")))</f>
        <v/>
      </c>
      <c r="AZ569" s="31">
        <f>UPPER(SUBSTITUTE(TRIM(F569)," ",""))</f>
        <v/>
      </c>
      <c r="BA569" s="31">
        <f>UPPER(SUBSTITUTE(TRIM(E569)," ",""))</f>
        <v/>
      </c>
      <c r="BB569" s="31">
        <f>IF(D569&lt;&gt;"",D569,IFERROR(VLOOKUP(MID(AS569,4,1),Lists!$E$2:$F$8,2,FALSE),""))</f>
        <v/>
      </c>
      <c r="BC569" s="31">
        <f>IFERROR(VLOOKUP(BB569,Lists!$A$2:$C$12,3,FALSE),"")</f>
        <v/>
      </c>
      <c r="BD569" s="31">
        <f>COUNTIF(W569:AC569,"Yes")</f>
        <v/>
      </c>
      <c r="BE569" s="31">
        <f>IF(TRIM(B569)="","Legal name missing; ","")&amp;IF(AND(AV569&lt;&gt;"",AV569&lt;&gt;"OK"),"GSTIN: "&amp;AV569&amp;"; ","")&amp;IF(AND(AW569&lt;&gt;"",AW569&lt;&gt;"OK"),"PAN wrong format; ","")&amp;IF(AND(BA569&lt;&gt;"",LEN(AZ569)=15,MID(AZ569,3,10)&lt;&gt;BA569),"PAN does not match GSTIN; ","")&amp;IF(AND(AX569&lt;&gt;"",AX569&lt;&gt;"OK"),"TAN wrong format; ","")&amp;IF(AS569="","PAN missing; ","")&amp;IF(BB569="","Entity type missing; ","")&amp;IF(AND(AZ569&lt;&gt;"",COUNTIF($AZ$6:$AZ$1005,AZ569)&gt;1),"GSTIN repeated in this sheet; ","")&amp;IF(AND(AS569&lt;&gt;"",COUNTIF($AS$6:$AS$1005,AS569)&gt;1),"PAN repeated in this sheet (same client? put extra GSTINs in Other GSTINs); ","")&amp;IF(AND(BD569&gt;0,V569=""),"Financial year missing; ","")&amp;IF(AND(BD569=0,V569&lt;&gt;""),"Financial year given but no service is Yes; ","")&amp;IF(AND(W569="Yes",AZ569=""),"GST needs a GSTIN; ","")&amp;IF(AND(W569="Yes",X569=""),"GST return frequency missing; ","")&amp;IF(AND(Y569="Yes",TRIM(H569)=""),"TDS needs a TAN; ","")&amp;IF(AND(AA569="Yes",BC569&lt;&gt;"",BC569&lt;&gt;"company",BC569&lt;&gt;"llp"),"ROC is only for a company / LLP; ","")&amp;IF(AND(AA569="Yes",OR(BC569="company",BC569="llp"),TRIM(I569)=""),"ROC needs the CIN / LLPIN; ","")&amp;IF((TRIM(AF569)="")&lt;&gt;(TRIM(AG569)=""),"GST login needs both user ID and password; ","")&amp;IF((TRIM(AH569)="")&lt;&gt;(TRIM(AI569)=""),"Income-tax login needs both user ID and password; ","")&amp;IF((TRIM(AJ569)="")&lt;&gt;(TRIM(AK569)=""),"Income-tax login needs both user ID and password; ","")&amp;IF((TRIM(AL569)="")&lt;&gt;(TRIM(AM569)=""),"TRACES login needs both user ID and password; ","")&amp;IF((TRIM(AN569)="")&lt;&gt;(TRIM(AO569)=""),"MCA login needs both user ID and password; ","")&amp;IF((TRIM(AP569)="")&lt;&gt;(TRIM(AQ569)=""),"E-way bill login needs both user ID and password; ","")</f>
        <v/>
      </c>
    </row>
    <row r="570">
      <c r="A570" s="32" t="n"/>
      <c r="B570" s="33" t="n"/>
      <c r="C570" s="33" t="n"/>
      <c r="D570" s="33" t="n"/>
      <c r="E570" s="32" t="n"/>
      <c r="F570" s="32" t="n"/>
      <c r="G570" s="32" t="n"/>
      <c r="H570" s="32" t="n"/>
      <c r="I570" s="32" t="n"/>
      <c r="J570" s="34" t="n"/>
      <c r="K570" s="33" t="n"/>
      <c r="L570" s="32" t="n"/>
      <c r="M570" s="33" t="n"/>
      <c r="N570" s="33" t="n"/>
      <c r="O570" s="33" t="n"/>
      <c r="P570" s="32" t="n"/>
      <c r="Q570" s="33" t="n"/>
      <c r="R570" s="33" t="n"/>
      <c r="S570" s="33" t="n"/>
      <c r="T570" s="33" t="n"/>
      <c r="U570" s="32" t="n"/>
      <c r="V570" s="33" t="n"/>
      <c r="W570" s="33" t="n"/>
      <c r="X570" s="33" t="n"/>
      <c r="Y570" s="33" t="n"/>
      <c r="Z570" s="33" t="n"/>
      <c r="AA570" s="33" t="n"/>
      <c r="AB570" s="33" t="n"/>
      <c r="AC570" s="33" t="n"/>
      <c r="AD570" s="33" t="n"/>
      <c r="AE570" s="33" t="n"/>
      <c r="AF570" s="32" t="n"/>
      <c r="AG570" s="32" t="n"/>
      <c r="AH570" s="32" t="n"/>
      <c r="AI570" s="32" t="n"/>
      <c r="AJ570" s="32" t="n"/>
      <c r="AK570" s="32" t="n"/>
      <c r="AL570" s="32" t="n"/>
      <c r="AM570" s="32" t="n"/>
      <c r="AN570" s="32" t="n"/>
      <c r="AO570" s="32" t="n"/>
      <c r="AP570" s="32" t="n"/>
      <c r="AQ570" s="32" t="n"/>
      <c r="AR570" s="29">
        <f>IF(NOT(COUNTA(A570:AE570)&gt;0),"",IF(A570="","New client","Update"))</f>
        <v/>
      </c>
      <c r="AS570" s="29">
        <f>IF(BA570&lt;&gt;"",BA570,IF(LEN(AZ570)=15,MID(AZ570,3,10),""))</f>
        <v/>
      </c>
      <c r="AT570" s="29">
        <f>IF(BB570="","",BB570&amp;IF(D570="","  (guessed from PAN)",""))</f>
        <v/>
      </c>
      <c r="AU570" s="29">
        <f>IF(AZ570="","",IFERROR(INDEX(Lists!$L$2:$L$38,MATCH(LEFT(AZ570,2),Lists!$K$2:$K$38,0)),"Unknown code"))</f>
        <v/>
      </c>
      <c r="AV570" s="29">
        <f>IF(AZ570="","",IFERROR(IF(NOT(AND(LEN(AZ570)=15,ISNUMBER(MATCH(LEFT(AZ570,2),Lists!$K$2:$K$38,0)),SUMPRODUCT(--ISERROR(FIND(MID(MID(AZ570,3,10),{1,2,3,4,5,10},1),"ABCDEFGHIJKLMNOPQRSTUVWXYZ")))=0,SUMPRODUCT(--ISERROR(FIND(MID(MID(AZ570,3,10),{6,7,8,9},1),"0123456789")))=0,ISNUMBER(FIND(MID(AZ570,13,1),"123456789ABCDEFGHIJKLMNOPQRSTUVWXYZ")),MID(AZ570,14,1)="Z")),"Wrong format",IF(MID("0123456789ABCDEFGHIJKLMNOPQRSTUVWXYZ",MOD(36-MOD(SUMPRODUCT(INT((FIND(MID(AZ570,{1,2,3,4,5,6,7,8,9,10,11,12,13,14},1),"0123456789ABCDEFGHIJKLMNOPQRSTUVWXYZ")-1)*{1,2,1,2,1,2,1,2,1,2,1,2,1,2}/36)+MOD((FIND(MID(AZ570,{1,2,3,4,5,6,7,8,9,10,11,12,13,14},1),"0123456789ABCDEFGHIJKLMNOPQRSTUVWXYZ")-1)*{1,2,1,2,1,2,1,2,1,2,1,2,1,2},36)),36),36)+1,1)=MID(AZ570,15,1),"OK","Typo? check digit wrong")),"Wrong format"))</f>
        <v/>
      </c>
      <c r="AW570" s="29">
        <f>IF(BA570="","",IF(AND(LEN(BA570)=10,SUMPRODUCT(--ISERROR(FIND(MID(BA570,{1,2,3,4,5,10},1),"ABCDEFGHIJKLMNOPQRSTUVWXYZ")))=0,SUMPRODUCT(--ISERROR(FIND(MID(BA570,{6,7,8,9},1),"0123456789")))=0),"OK","Wrong format"))</f>
        <v/>
      </c>
      <c r="AX570" s="29">
        <f>IF(TRIM(H570)="","",IF(AND(LEN(UPPER(TRIM(H570)))=10,SUMPRODUCT(--ISERROR(FIND(MID(UPPER(TRIM(H570)),{1,2,3,4,10},1),"ABCDEFGHIJKLMNOPQRSTUVWXYZ")))=0,SUMPRODUCT(--ISERROR(FIND(MID(UPPER(TRIM(H570)),{5,6,7,8,9},1),"0123456789")))=0),"OK","Wrong format"))</f>
        <v/>
      </c>
      <c r="AY570" s="30">
        <f>IF(NOT(COUNTA(A570:AE570)&gt;0),"",IF(BE570&lt;&gt;"","✖ "&amp;LEFT(BE570,LEN(BE570)-2),IF(BD570&gt;0,"✔ Ready — client + "&amp;BD570&amp;" service(s)","✔ Ready — client only")))</f>
        <v/>
      </c>
      <c r="AZ570" s="31">
        <f>UPPER(SUBSTITUTE(TRIM(F570)," ",""))</f>
        <v/>
      </c>
      <c r="BA570" s="31">
        <f>UPPER(SUBSTITUTE(TRIM(E570)," ",""))</f>
        <v/>
      </c>
      <c r="BB570" s="31">
        <f>IF(D570&lt;&gt;"",D570,IFERROR(VLOOKUP(MID(AS570,4,1),Lists!$E$2:$F$8,2,FALSE),""))</f>
        <v/>
      </c>
      <c r="BC570" s="31">
        <f>IFERROR(VLOOKUP(BB570,Lists!$A$2:$C$12,3,FALSE),"")</f>
        <v/>
      </c>
      <c r="BD570" s="31">
        <f>COUNTIF(W570:AC570,"Yes")</f>
        <v/>
      </c>
      <c r="BE570" s="31">
        <f>IF(TRIM(B570)="","Legal name missing; ","")&amp;IF(AND(AV570&lt;&gt;"",AV570&lt;&gt;"OK"),"GSTIN: "&amp;AV570&amp;"; ","")&amp;IF(AND(AW570&lt;&gt;"",AW570&lt;&gt;"OK"),"PAN wrong format; ","")&amp;IF(AND(BA570&lt;&gt;"",LEN(AZ570)=15,MID(AZ570,3,10)&lt;&gt;BA570),"PAN does not match GSTIN; ","")&amp;IF(AND(AX570&lt;&gt;"",AX570&lt;&gt;"OK"),"TAN wrong format; ","")&amp;IF(AS570="","PAN missing; ","")&amp;IF(BB570="","Entity type missing; ","")&amp;IF(AND(AZ570&lt;&gt;"",COUNTIF($AZ$6:$AZ$1005,AZ570)&gt;1),"GSTIN repeated in this sheet; ","")&amp;IF(AND(AS570&lt;&gt;"",COUNTIF($AS$6:$AS$1005,AS570)&gt;1),"PAN repeated in this sheet (same client? put extra GSTINs in Other GSTINs); ","")&amp;IF(AND(BD570&gt;0,V570=""),"Financial year missing; ","")&amp;IF(AND(BD570=0,V570&lt;&gt;""),"Financial year given but no service is Yes; ","")&amp;IF(AND(W570="Yes",AZ570=""),"GST needs a GSTIN; ","")&amp;IF(AND(W570="Yes",X570=""),"GST return frequency missing; ","")&amp;IF(AND(Y570="Yes",TRIM(H570)=""),"TDS needs a TAN; ","")&amp;IF(AND(AA570="Yes",BC570&lt;&gt;"",BC570&lt;&gt;"company",BC570&lt;&gt;"llp"),"ROC is only for a company / LLP; ","")&amp;IF(AND(AA570="Yes",OR(BC570="company",BC570="llp"),TRIM(I570)=""),"ROC needs the CIN / LLPIN; ","")&amp;IF((TRIM(AF570)="")&lt;&gt;(TRIM(AG570)=""),"GST login needs both user ID and password; ","")&amp;IF((TRIM(AH570)="")&lt;&gt;(TRIM(AI570)=""),"Income-tax login needs both user ID and password; ","")&amp;IF((TRIM(AJ570)="")&lt;&gt;(TRIM(AK570)=""),"Income-tax login needs both user ID and password; ","")&amp;IF((TRIM(AL570)="")&lt;&gt;(TRIM(AM570)=""),"TRACES login needs both user ID and password; ","")&amp;IF((TRIM(AN570)="")&lt;&gt;(TRIM(AO570)=""),"MCA login needs both user ID and password; ","")&amp;IF((TRIM(AP570)="")&lt;&gt;(TRIM(AQ570)=""),"E-way bill login needs both user ID and password; ","")</f>
        <v/>
      </c>
    </row>
    <row r="571">
      <c r="A571" s="32" t="n"/>
      <c r="B571" s="33" t="n"/>
      <c r="C571" s="33" t="n"/>
      <c r="D571" s="33" t="n"/>
      <c r="E571" s="32" t="n"/>
      <c r="F571" s="32" t="n"/>
      <c r="G571" s="32" t="n"/>
      <c r="H571" s="32" t="n"/>
      <c r="I571" s="32" t="n"/>
      <c r="J571" s="34" t="n"/>
      <c r="K571" s="33" t="n"/>
      <c r="L571" s="32" t="n"/>
      <c r="M571" s="33" t="n"/>
      <c r="N571" s="33" t="n"/>
      <c r="O571" s="33" t="n"/>
      <c r="P571" s="32" t="n"/>
      <c r="Q571" s="33" t="n"/>
      <c r="R571" s="33" t="n"/>
      <c r="S571" s="33" t="n"/>
      <c r="T571" s="33" t="n"/>
      <c r="U571" s="32" t="n"/>
      <c r="V571" s="33" t="n"/>
      <c r="W571" s="33" t="n"/>
      <c r="X571" s="33" t="n"/>
      <c r="Y571" s="33" t="n"/>
      <c r="Z571" s="33" t="n"/>
      <c r="AA571" s="33" t="n"/>
      <c r="AB571" s="33" t="n"/>
      <c r="AC571" s="33" t="n"/>
      <c r="AD571" s="33" t="n"/>
      <c r="AE571" s="33" t="n"/>
      <c r="AF571" s="32" t="n"/>
      <c r="AG571" s="32" t="n"/>
      <c r="AH571" s="32" t="n"/>
      <c r="AI571" s="32" t="n"/>
      <c r="AJ571" s="32" t="n"/>
      <c r="AK571" s="32" t="n"/>
      <c r="AL571" s="32" t="n"/>
      <c r="AM571" s="32" t="n"/>
      <c r="AN571" s="32" t="n"/>
      <c r="AO571" s="32" t="n"/>
      <c r="AP571" s="32" t="n"/>
      <c r="AQ571" s="32" t="n"/>
      <c r="AR571" s="29">
        <f>IF(NOT(COUNTA(A571:AE571)&gt;0),"",IF(A571="","New client","Update"))</f>
        <v/>
      </c>
      <c r="AS571" s="29">
        <f>IF(BA571&lt;&gt;"",BA571,IF(LEN(AZ571)=15,MID(AZ571,3,10),""))</f>
        <v/>
      </c>
      <c r="AT571" s="29">
        <f>IF(BB571="","",BB571&amp;IF(D571="","  (guessed from PAN)",""))</f>
        <v/>
      </c>
      <c r="AU571" s="29">
        <f>IF(AZ571="","",IFERROR(INDEX(Lists!$L$2:$L$38,MATCH(LEFT(AZ571,2),Lists!$K$2:$K$38,0)),"Unknown code"))</f>
        <v/>
      </c>
      <c r="AV571" s="29">
        <f>IF(AZ571="","",IFERROR(IF(NOT(AND(LEN(AZ571)=15,ISNUMBER(MATCH(LEFT(AZ571,2),Lists!$K$2:$K$38,0)),SUMPRODUCT(--ISERROR(FIND(MID(MID(AZ571,3,10),{1,2,3,4,5,10},1),"ABCDEFGHIJKLMNOPQRSTUVWXYZ")))=0,SUMPRODUCT(--ISERROR(FIND(MID(MID(AZ571,3,10),{6,7,8,9},1),"0123456789")))=0,ISNUMBER(FIND(MID(AZ571,13,1),"123456789ABCDEFGHIJKLMNOPQRSTUVWXYZ")),MID(AZ571,14,1)="Z")),"Wrong format",IF(MID("0123456789ABCDEFGHIJKLMNOPQRSTUVWXYZ",MOD(36-MOD(SUMPRODUCT(INT((FIND(MID(AZ571,{1,2,3,4,5,6,7,8,9,10,11,12,13,14},1),"0123456789ABCDEFGHIJKLMNOPQRSTUVWXYZ")-1)*{1,2,1,2,1,2,1,2,1,2,1,2,1,2}/36)+MOD((FIND(MID(AZ571,{1,2,3,4,5,6,7,8,9,10,11,12,13,14},1),"0123456789ABCDEFGHIJKLMNOPQRSTUVWXYZ")-1)*{1,2,1,2,1,2,1,2,1,2,1,2,1,2},36)),36),36)+1,1)=MID(AZ571,15,1),"OK","Typo? check digit wrong")),"Wrong format"))</f>
        <v/>
      </c>
      <c r="AW571" s="29">
        <f>IF(BA571="","",IF(AND(LEN(BA571)=10,SUMPRODUCT(--ISERROR(FIND(MID(BA571,{1,2,3,4,5,10},1),"ABCDEFGHIJKLMNOPQRSTUVWXYZ")))=0,SUMPRODUCT(--ISERROR(FIND(MID(BA571,{6,7,8,9},1),"0123456789")))=0),"OK","Wrong format"))</f>
        <v/>
      </c>
      <c r="AX571" s="29">
        <f>IF(TRIM(H571)="","",IF(AND(LEN(UPPER(TRIM(H571)))=10,SUMPRODUCT(--ISERROR(FIND(MID(UPPER(TRIM(H571)),{1,2,3,4,10},1),"ABCDEFGHIJKLMNOPQRSTUVWXYZ")))=0,SUMPRODUCT(--ISERROR(FIND(MID(UPPER(TRIM(H571)),{5,6,7,8,9},1),"0123456789")))=0),"OK","Wrong format"))</f>
        <v/>
      </c>
      <c r="AY571" s="30">
        <f>IF(NOT(COUNTA(A571:AE571)&gt;0),"",IF(BE571&lt;&gt;"","✖ "&amp;LEFT(BE571,LEN(BE571)-2),IF(BD571&gt;0,"✔ Ready — client + "&amp;BD571&amp;" service(s)","✔ Ready — client only")))</f>
        <v/>
      </c>
      <c r="AZ571" s="31">
        <f>UPPER(SUBSTITUTE(TRIM(F571)," ",""))</f>
        <v/>
      </c>
      <c r="BA571" s="31">
        <f>UPPER(SUBSTITUTE(TRIM(E571)," ",""))</f>
        <v/>
      </c>
      <c r="BB571" s="31">
        <f>IF(D571&lt;&gt;"",D571,IFERROR(VLOOKUP(MID(AS571,4,1),Lists!$E$2:$F$8,2,FALSE),""))</f>
        <v/>
      </c>
      <c r="BC571" s="31">
        <f>IFERROR(VLOOKUP(BB571,Lists!$A$2:$C$12,3,FALSE),"")</f>
        <v/>
      </c>
      <c r="BD571" s="31">
        <f>COUNTIF(W571:AC571,"Yes")</f>
        <v/>
      </c>
      <c r="BE571" s="31">
        <f>IF(TRIM(B571)="","Legal name missing; ","")&amp;IF(AND(AV571&lt;&gt;"",AV571&lt;&gt;"OK"),"GSTIN: "&amp;AV571&amp;"; ","")&amp;IF(AND(AW571&lt;&gt;"",AW571&lt;&gt;"OK"),"PAN wrong format; ","")&amp;IF(AND(BA571&lt;&gt;"",LEN(AZ571)=15,MID(AZ571,3,10)&lt;&gt;BA571),"PAN does not match GSTIN; ","")&amp;IF(AND(AX571&lt;&gt;"",AX571&lt;&gt;"OK"),"TAN wrong format; ","")&amp;IF(AS571="","PAN missing; ","")&amp;IF(BB571="","Entity type missing; ","")&amp;IF(AND(AZ571&lt;&gt;"",COUNTIF($AZ$6:$AZ$1005,AZ571)&gt;1),"GSTIN repeated in this sheet; ","")&amp;IF(AND(AS571&lt;&gt;"",COUNTIF($AS$6:$AS$1005,AS571)&gt;1),"PAN repeated in this sheet (same client? put extra GSTINs in Other GSTINs); ","")&amp;IF(AND(BD571&gt;0,V571=""),"Financial year missing; ","")&amp;IF(AND(BD571=0,V571&lt;&gt;""),"Financial year given but no service is Yes; ","")&amp;IF(AND(W571="Yes",AZ571=""),"GST needs a GSTIN; ","")&amp;IF(AND(W571="Yes",X571=""),"GST return frequency missing; ","")&amp;IF(AND(Y571="Yes",TRIM(H571)=""),"TDS needs a TAN; ","")&amp;IF(AND(AA571="Yes",BC571&lt;&gt;"",BC571&lt;&gt;"company",BC571&lt;&gt;"llp"),"ROC is only for a company / LLP; ","")&amp;IF(AND(AA571="Yes",OR(BC571="company",BC571="llp"),TRIM(I571)=""),"ROC needs the CIN / LLPIN; ","")&amp;IF((TRIM(AF571)="")&lt;&gt;(TRIM(AG571)=""),"GST login needs both user ID and password; ","")&amp;IF((TRIM(AH571)="")&lt;&gt;(TRIM(AI571)=""),"Income-tax login needs both user ID and password; ","")&amp;IF((TRIM(AJ571)="")&lt;&gt;(TRIM(AK571)=""),"Income-tax login needs both user ID and password; ","")&amp;IF((TRIM(AL571)="")&lt;&gt;(TRIM(AM571)=""),"TRACES login needs both user ID and password; ","")&amp;IF((TRIM(AN571)="")&lt;&gt;(TRIM(AO571)=""),"MCA login needs both user ID and password; ","")&amp;IF((TRIM(AP571)="")&lt;&gt;(TRIM(AQ571)=""),"E-way bill login needs both user ID and password; ","")</f>
        <v/>
      </c>
    </row>
    <row r="572">
      <c r="A572" s="32" t="n"/>
      <c r="B572" s="33" t="n"/>
      <c r="C572" s="33" t="n"/>
      <c r="D572" s="33" t="n"/>
      <c r="E572" s="32" t="n"/>
      <c r="F572" s="32" t="n"/>
      <c r="G572" s="32" t="n"/>
      <c r="H572" s="32" t="n"/>
      <c r="I572" s="32" t="n"/>
      <c r="J572" s="34" t="n"/>
      <c r="K572" s="33" t="n"/>
      <c r="L572" s="32" t="n"/>
      <c r="M572" s="33" t="n"/>
      <c r="N572" s="33" t="n"/>
      <c r="O572" s="33" t="n"/>
      <c r="P572" s="32" t="n"/>
      <c r="Q572" s="33" t="n"/>
      <c r="R572" s="33" t="n"/>
      <c r="S572" s="33" t="n"/>
      <c r="T572" s="33" t="n"/>
      <c r="U572" s="32" t="n"/>
      <c r="V572" s="33" t="n"/>
      <c r="W572" s="33" t="n"/>
      <c r="X572" s="33" t="n"/>
      <c r="Y572" s="33" t="n"/>
      <c r="Z572" s="33" t="n"/>
      <c r="AA572" s="33" t="n"/>
      <c r="AB572" s="33" t="n"/>
      <c r="AC572" s="33" t="n"/>
      <c r="AD572" s="33" t="n"/>
      <c r="AE572" s="33" t="n"/>
      <c r="AF572" s="32" t="n"/>
      <c r="AG572" s="32" t="n"/>
      <c r="AH572" s="32" t="n"/>
      <c r="AI572" s="32" t="n"/>
      <c r="AJ572" s="32" t="n"/>
      <c r="AK572" s="32" t="n"/>
      <c r="AL572" s="32" t="n"/>
      <c r="AM572" s="32" t="n"/>
      <c r="AN572" s="32" t="n"/>
      <c r="AO572" s="32" t="n"/>
      <c r="AP572" s="32" t="n"/>
      <c r="AQ572" s="32" t="n"/>
      <c r="AR572" s="29">
        <f>IF(NOT(COUNTA(A572:AE572)&gt;0),"",IF(A572="","New client","Update"))</f>
        <v/>
      </c>
      <c r="AS572" s="29">
        <f>IF(BA572&lt;&gt;"",BA572,IF(LEN(AZ572)=15,MID(AZ572,3,10),""))</f>
        <v/>
      </c>
      <c r="AT572" s="29">
        <f>IF(BB572="","",BB572&amp;IF(D572="","  (guessed from PAN)",""))</f>
        <v/>
      </c>
      <c r="AU572" s="29">
        <f>IF(AZ572="","",IFERROR(INDEX(Lists!$L$2:$L$38,MATCH(LEFT(AZ572,2),Lists!$K$2:$K$38,0)),"Unknown code"))</f>
        <v/>
      </c>
      <c r="AV572" s="29">
        <f>IF(AZ572="","",IFERROR(IF(NOT(AND(LEN(AZ572)=15,ISNUMBER(MATCH(LEFT(AZ572,2),Lists!$K$2:$K$38,0)),SUMPRODUCT(--ISERROR(FIND(MID(MID(AZ572,3,10),{1,2,3,4,5,10},1),"ABCDEFGHIJKLMNOPQRSTUVWXYZ")))=0,SUMPRODUCT(--ISERROR(FIND(MID(MID(AZ572,3,10),{6,7,8,9},1),"0123456789")))=0,ISNUMBER(FIND(MID(AZ572,13,1),"123456789ABCDEFGHIJKLMNOPQRSTUVWXYZ")),MID(AZ572,14,1)="Z")),"Wrong format",IF(MID("0123456789ABCDEFGHIJKLMNOPQRSTUVWXYZ",MOD(36-MOD(SUMPRODUCT(INT((FIND(MID(AZ572,{1,2,3,4,5,6,7,8,9,10,11,12,13,14},1),"0123456789ABCDEFGHIJKLMNOPQRSTUVWXYZ")-1)*{1,2,1,2,1,2,1,2,1,2,1,2,1,2}/36)+MOD((FIND(MID(AZ572,{1,2,3,4,5,6,7,8,9,10,11,12,13,14},1),"0123456789ABCDEFGHIJKLMNOPQRSTUVWXYZ")-1)*{1,2,1,2,1,2,1,2,1,2,1,2,1,2},36)),36),36)+1,1)=MID(AZ572,15,1),"OK","Typo? check digit wrong")),"Wrong format"))</f>
        <v/>
      </c>
      <c r="AW572" s="29">
        <f>IF(BA572="","",IF(AND(LEN(BA572)=10,SUMPRODUCT(--ISERROR(FIND(MID(BA572,{1,2,3,4,5,10},1),"ABCDEFGHIJKLMNOPQRSTUVWXYZ")))=0,SUMPRODUCT(--ISERROR(FIND(MID(BA572,{6,7,8,9},1),"0123456789")))=0),"OK","Wrong format"))</f>
        <v/>
      </c>
      <c r="AX572" s="29">
        <f>IF(TRIM(H572)="","",IF(AND(LEN(UPPER(TRIM(H572)))=10,SUMPRODUCT(--ISERROR(FIND(MID(UPPER(TRIM(H572)),{1,2,3,4,10},1),"ABCDEFGHIJKLMNOPQRSTUVWXYZ")))=0,SUMPRODUCT(--ISERROR(FIND(MID(UPPER(TRIM(H572)),{5,6,7,8,9},1),"0123456789")))=0),"OK","Wrong format"))</f>
        <v/>
      </c>
      <c r="AY572" s="30">
        <f>IF(NOT(COUNTA(A572:AE572)&gt;0),"",IF(BE572&lt;&gt;"","✖ "&amp;LEFT(BE572,LEN(BE572)-2),IF(BD572&gt;0,"✔ Ready — client + "&amp;BD572&amp;" service(s)","✔ Ready — client only")))</f>
        <v/>
      </c>
      <c r="AZ572" s="31">
        <f>UPPER(SUBSTITUTE(TRIM(F572)," ",""))</f>
        <v/>
      </c>
      <c r="BA572" s="31">
        <f>UPPER(SUBSTITUTE(TRIM(E572)," ",""))</f>
        <v/>
      </c>
      <c r="BB572" s="31">
        <f>IF(D572&lt;&gt;"",D572,IFERROR(VLOOKUP(MID(AS572,4,1),Lists!$E$2:$F$8,2,FALSE),""))</f>
        <v/>
      </c>
      <c r="BC572" s="31">
        <f>IFERROR(VLOOKUP(BB572,Lists!$A$2:$C$12,3,FALSE),"")</f>
        <v/>
      </c>
      <c r="BD572" s="31">
        <f>COUNTIF(W572:AC572,"Yes")</f>
        <v/>
      </c>
      <c r="BE572" s="31">
        <f>IF(TRIM(B572)="","Legal name missing; ","")&amp;IF(AND(AV572&lt;&gt;"",AV572&lt;&gt;"OK"),"GSTIN: "&amp;AV572&amp;"; ","")&amp;IF(AND(AW572&lt;&gt;"",AW572&lt;&gt;"OK"),"PAN wrong format; ","")&amp;IF(AND(BA572&lt;&gt;"",LEN(AZ572)=15,MID(AZ572,3,10)&lt;&gt;BA572),"PAN does not match GSTIN; ","")&amp;IF(AND(AX572&lt;&gt;"",AX572&lt;&gt;"OK"),"TAN wrong format; ","")&amp;IF(AS572="","PAN missing; ","")&amp;IF(BB572="","Entity type missing; ","")&amp;IF(AND(AZ572&lt;&gt;"",COUNTIF($AZ$6:$AZ$1005,AZ572)&gt;1),"GSTIN repeated in this sheet; ","")&amp;IF(AND(AS572&lt;&gt;"",COUNTIF($AS$6:$AS$1005,AS572)&gt;1),"PAN repeated in this sheet (same client? put extra GSTINs in Other GSTINs); ","")&amp;IF(AND(BD572&gt;0,V572=""),"Financial year missing; ","")&amp;IF(AND(BD572=0,V572&lt;&gt;""),"Financial year given but no service is Yes; ","")&amp;IF(AND(W572="Yes",AZ572=""),"GST needs a GSTIN; ","")&amp;IF(AND(W572="Yes",X572=""),"GST return frequency missing; ","")&amp;IF(AND(Y572="Yes",TRIM(H572)=""),"TDS needs a TAN; ","")&amp;IF(AND(AA572="Yes",BC572&lt;&gt;"",BC572&lt;&gt;"company",BC572&lt;&gt;"llp"),"ROC is only for a company / LLP; ","")&amp;IF(AND(AA572="Yes",OR(BC572="company",BC572="llp"),TRIM(I572)=""),"ROC needs the CIN / LLPIN; ","")&amp;IF((TRIM(AF572)="")&lt;&gt;(TRIM(AG572)=""),"GST login needs both user ID and password; ","")&amp;IF((TRIM(AH572)="")&lt;&gt;(TRIM(AI572)=""),"Income-tax login needs both user ID and password; ","")&amp;IF((TRIM(AJ572)="")&lt;&gt;(TRIM(AK572)=""),"Income-tax login needs both user ID and password; ","")&amp;IF((TRIM(AL572)="")&lt;&gt;(TRIM(AM572)=""),"TRACES login needs both user ID and password; ","")&amp;IF((TRIM(AN572)="")&lt;&gt;(TRIM(AO572)=""),"MCA login needs both user ID and password; ","")&amp;IF((TRIM(AP572)="")&lt;&gt;(TRIM(AQ572)=""),"E-way bill login needs both user ID and password; ","")</f>
        <v/>
      </c>
    </row>
    <row r="573">
      <c r="A573" s="32" t="n"/>
      <c r="B573" s="33" t="n"/>
      <c r="C573" s="33" t="n"/>
      <c r="D573" s="33" t="n"/>
      <c r="E573" s="32" t="n"/>
      <c r="F573" s="32" t="n"/>
      <c r="G573" s="32" t="n"/>
      <c r="H573" s="32" t="n"/>
      <c r="I573" s="32" t="n"/>
      <c r="J573" s="34" t="n"/>
      <c r="K573" s="33" t="n"/>
      <c r="L573" s="32" t="n"/>
      <c r="M573" s="33" t="n"/>
      <c r="N573" s="33" t="n"/>
      <c r="O573" s="33" t="n"/>
      <c r="P573" s="32" t="n"/>
      <c r="Q573" s="33" t="n"/>
      <c r="R573" s="33" t="n"/>
      <c r="S573" s="33" t="n"/>
      <c r="T573" s="33" t="n"/>
      <c r="U573" s="32" t="n"/>
      <c r="V573" s="33" t="n"/>
      <c r="W573" s="33" t="n"/>
      <c r="X573" s="33" t="n"/>
      <c r="Y573" s="33" t="n"/>
      <c r="Z573" s="33" t="n"/>
      <c r="AA573" s="33" t="n"/>
      <c r="AB573" s="33" t="n"/>
      <c r="AC573" s="33" t="n"/>
      <c r="AD573" s="33" t="n"/>
      <c r="AE573" s="33" t="n"/>
      <c r="AF573" s="32" t="n"/>
      <c r="AG573" s="32" t="n"/>
      <c r="AH573" s="32" t="n"/>
      <c r="AI573" s="32" t="n"/>
      <c r="AJ573" s="32" t="n"/>
      <c r="AK573" s="32" t="n"/>
      <c r="AL573" s="32" t="n"/>
      <c r="AM573" s="32" t="n"/>
      <c r="AN573" s="32" t="n"/>
      <c r="AO573" s="32" t="n"/>
      <c r="AP573" s="32" t="n"/>
      <c r="AQ573" s="32" t="n"/>
      <c r="AR573" s="29">
        <f>IF(NOT(COUNTA(A573:AE573)&gt;0),"",IF(A573="","New client","Update"))</f>
        <v/>
      </c>
      <c r="AS573" s="29">
        <f>IF(BA573&lt;&gt;"",BA573,IF(LEN(AZ573)=15,MID(AZ573,3,10),""))</f>
        <v/>
      </c>
      <c r="AT573" s="29">
        <f>IF(BB573="","",BB573&amp;IF(D573="","  (guessed from PAN)",""))</f>
        <v/>
      </c>
      <c r="AU573" s="29">
        <f>IF(AZ573="","",IFERROR(INDEX(Lists!$L$2:$L$38,MATCH(LEFT(AZ573,2),Lists!$K$2:$K$38,0)),"Unknown code"))</f>
        <v/>
      </c>
      <c r="AV573" s="29">
        <f>IF(AZ573="","",IFERROR(IF(NOT(AND(LEN(AZ573)=15,ISNUMBER(MATCH(LEFT(AZ573,2),Lists!$K$2:$K$38,0)),SUMPRODUCT(--ISERROR(FIND(MID(MID(AZ573,3,10),{1,2,3,4,5,10},1),"ABCDEFGHIJKLMNOPQRSTUVWXYZ")))=0,SUMPRODUCT(--ISERROR(FIND(MID(MID(AZ573,3,10),{6,7,8,9},1),"0123456789")))=0,ISNUMBER(FIND(MID(AZ573,13,1),"123456789ABCDEFGHIJKLMNOPQRSTUVWXYZ")),MID(AZ573,14,1)="Z")),"Wrong format",IF(MID("0123456789ABCDEFGHIJKLMNOPQRSTUVWXYZ",MOD(36-MOD(SUMPRODUCT(INT((FIND(MID(AZ573,{1,2,3,4,5,6,7,8,9,10,11,12,13,14},1),"0123456789ABCDEFGHIJKLMNOPQRSTUVWXYZ")-1)*{1,2,1,2,1,2,1,2,1,2,1,2,1,2}/36)+MOD((FIND(MID(AZ573,{1,2,3,4,5,6,7,8,9,10,11,12,13,14},1),"0123456789ABCDEFGHIJKLMNOPQRSTUVWXYZ")-1)*{1,2,1,2,1,2,1,2,1,2,1,2,1,2},36)),36),36)+1,1)=MID(AZ573,15,1),"OK","Typo? check digit wrong")),"Wrong format"))</f>
        <v/>
      </c>
      <c r="AW573" s="29">
        <f>IF(BA573="","",IF(AND(LEN(BA573)=10,SUMPRODUCT(--ISERROR(FIND(MID(BA573,{1,2,3,4,5,10},1),"ABCDEFGHIJKLMNOPQRSTUVWXYZ")))=0,SUMPRODUCT(--ISERROR(FIND(MID(BA573,{6,7,8,9},1),"0123456789")))=0),"OK","Wrong format"))</f>
        <v/>
      </c>
      <c r="AX573" s="29">
        <f>IF(TRIM(H573)="","",IF(AND(LEN(UPPER(TRIM(H573)))=10,SUMPRODUCT(--ISERROR(FIND(MID(UPPER(TRIM(H573)),{1,2,3,4,10},1),"ABCDEFGHIJKLMNOPQRSTUVWXYZ")))=0,SUMPRODUCT(--ISERROR(FIND(MID(UPPER(TRIM(H573)),{5,6,7,8,9},1),"0123456789")))=0),"OK","Wrong format"))</f>
        <v/>
      </c>
      <c r="AY573" s="30">
        <f>IF(NOT(COUNTA(A573:AE573)&gt;0),"",IF(BE573&lt;&gt;"","✖ "&amp;LEFT(BE573,LEN(BE573)-2),IF(BD573&gt;0,"✔ Ready — client + "&amp;BD573&amp;" service(s)","✔ Ready — client only")))</f>
        <v/>
      </c>
      <c r="AZ573" s="31">
        <f>UPPER(SUBSTITUTE(TRIM(F573)," ",""))</f>
        <v/>
      </c>
      <c r="BA573" s="31">
        <f>UPPER(SUBSTITUTE(TRIM(E573)," ",""))</f>
        <v/>
      </c>
      <c r="BB573" s="31">
        <f>IF(D573&lt;&gt;"",D573,IFERROR(VLOOKUP(MID(AS573,4,1),Lists!$E$2:$F$8,2,FALSE),""))</f>
        <v/>
      </c>
      <c r="BC573" s="31">
        <f>IFERROR(VLOOKUP(BB573,Lists!$A$2:$C$12,3,FALSE),"")</f>
        <v/>
      </c>
      <c r="BD573" s="31">
        <f>COUNTIF(W573:AC573,"Yes")</f>
        <v/>
      </c>
      <c r="BE573" s="31">
        <f>IF(TRIM(B573)="","Legal name missing; ","")&amp;IF(AND(AV573&lt;&gt;"",AV573&lt;&gt;"OK"),"GSTIN: "&amp;AV573&amp;"; ","")&amp;IF(AND(AW573&lt;&gt;"",AW573&lt;&gt;"OK"),"PAN wrong format; ","")&amp;IF(AND(BA573&lt;&gt;"",LEN(AZ573)=15,MID(AZ573,3,10)&lt;&gt;BA573),"PAN does not match GSTIN; ","")&amp;IF(AND(AX573&lt;&gt;"",AX573&lt;&gt;"OK"),"TAN wrong format; ","")&amp;IF(AS573="","PAN missing; ","")&amp;IF(BB573="","Entity type missing; ","")&amp;IF(AND(AZ573&lt;&gt;"",COUNTIF($AZ$6:$AZ$1005,AZ573)&gt;1),"GSTIN repeated in this sheet; ","")&amp;IF(AND(AS573&lt;&gt;"",COUNTIF($AS$6:$AS$1005,AS573)&gt;1),"PAN repeated in this sheet (same client? put extra GSTINs in Other GSTINs); ","")&amp;IF(AND(BD573&gt;0,V573=""),"Financial year missing; ","")&amp;IF(AND(BD573=0,V573&lt;&gt;""),"Financial year given but no service is Yes; ","")&amp;IF(AND(W573="Yes",AZ573=""),"GST needs a GSTIN; ","")&amp;IF(AND(W573="Yes",X573=""),"GST return frequency missing; ","")&amp;IF(AND(Y573="Yes",TRIM(H573)=""),"TDS needs a TAN; ","")&amp;IF(AND(AA573="Yes",BC573&lt;&gt;"",BC573&lt;&gt;"company",BC573&lt;&gt;"llp"),"ROC is only for a company / LLP; ","")&amp;IF(AND(AA573="Yes",OR(BC573="company",BC573="llp"),TRIM(I573)=""),"ROC needs the CIN / LLPIN; ","")&amp;IF((TRIM(AF573)="")&lt;&gt;(TRIM(AG573)=""),"GST login needs both user ID and password; ","")&amp;IF((TRIM(AH573)="")&lt;&gt;(TRIM(AI573)=""),"Income-tax login needs both user ID and password; ","")&amp;IF((TRIM(AJ573)="")&lt;&gt;(TRIM(AK573)=""),"Income-tax login needs both user ID and password; ","")&amp;IF((TRIM(AL573)="")&lt;&gt;(TRIM(AM573)=""),"TRACES login needs both user ID and password; ","")&amp;IF((TRIM(AN573)="")&lt;&gt;(TRIM(AO573)=""),"MCA login needs both user ID and password; ","")&amp;IF((TRIM(AP573)="")&lt;&gt;(TRIM(AQ573)=""),"E-way bill login needs both user ID and password; ","")</f>
        <v/>
      </c>
    </row>
    <row r="574">
      <c r="A574" s="32" t="n"/>
      <c r="B574" s="33" t="n"/>
      <c r="C574" s="33" t="n"/>
      <c r="D574" s="33" t="n"/>
      <c r="E574" s="32" t="n"/>
      <c r="F574" s="32" t="n"/>
      <c r="G574" s="32" t="n"/>
      <c r="H574" s="32" t="n"/>
      <c r="I574" s="32" t="n"/>
      <c r="J574" s="34" t="n"/>
      <c r="K574" s="33" t="n"/>
      <c r="L574" s="32" t="n"/>
      <c r="M574" s="33" t="n"/>
      <c r="N574" s="33" t="n"/>
      <c r="O574" s="33" t="n"/>
      <c r="P574" s="32" t="n"/>
      <c r="Q574" s="33" t="n"/>
      <c r="R574" s="33" t="n"/>
      <c r="S574" s="33" t="n"/>
      <c r="T574" s="33" t="n"/>
      <c r="U574" s="32" t="n"/>
      <c r="V574" s="33" t="n"/>
      <c r="W574" s="33" t="n"/>
      <c r="X574" s="33" t="n"/>
      <c r="Y574" s="33" t="n"/>
      <c r="Z574" s="33" t="n"/>
      <c r="AA574" s="33" t="n"/>
      <c r="AB574" s="33" t="n"/>
      <c r="AC574" s="33" t="n"/>
      <c r="AD574" s="33" t="n"/>
      <c r="AE574" s="33" t="n"/>
      <c r="AF574" s="32" t="n"/>
      <c r="AG574" s="32" t="n"/>
      <c r="AH574" s="32" t="n"/>
      <c r="AI574" s="32" t="n"/>
      <c r="AJ574" s="32" t="n"/>
      <c r="AK574" s="32" t="n"/>
      <c r="AL574" s="32" t="n"/>
      <c r="AM574" s="32" t="n"/>
      <c r="AN574" s="32" t="n"/>
      <c r="AO574" s="32" t="n"/>
      <c r="AP574" s="32" t="n"/>
      <c r="AQ574" s="32" t="n"/>
      <c r="AR574" s="29">
        <f>IF(NOT(COUNTA(A574:AE574)&gt;0),"",IF(A574="","New client","Update"))</f>
        <v/>
      </c>
      <c r="AS574" s="29">
        <f>IF(BA574&lt;&gt;"",BA574,IF(LEN(AZ574)=15,MID(AZ574,3,10),""))</f>
        <v/>
      </c>
      <c r="AT574" s="29">
        <f>IF(BB574="","",BB574&amp;IF(D574="","  (guessed from PAN)",""))</f>
        <v/>
      </c>
      <c r="AU574" s="29">
        <f>IF(AZ574="","",IFERROR(INDEX(Lists!$L$2:$L$38,MATCH(LEFT(AZ574,2),Lists!$K$2:$K$38,0)),"Unknown code"))</f>
        <v/>
      </c>
      <c r="AV574" s="29">
        <f>IF(AZ574="","",IFERROR(IF(NOT(AND(LEN(AZ574)=15,ISNUMBER(MATCH(LEFT(AZ574,2),Lists!$K$2:$K$38,0)),SUMPRODUCT(--ISERROR(FIND(MID(MID(AZ574,3,10),{1,2,3,4,5,10},1),"ABCDEFGHIJKLMNOPQRSTUVWXYZ")))=0,SUMPRODUCT(--ISERROR(FIND(MID(MID(AZ574,3,10),{6,7,8,9},1),"0123456789")))=0,ISNUMBER(FIND(MID(AZ574,13,1),"123456789ABCDEFGHIJKLMNOPQRSTUVWXYZ")),MID(AZ574,14,1)="Z")),"Wrong format",IF(MID("0123456789ABCDEFGHIJKLMNOPQRSTUVWXYZ",MOD(36-MOD(SUMPRODUCT(INT((FIND(MID(AZ574,{1,2,3,4,5,6,7,8,9,10,11,12,13,14},1),"0123456789ABCDEFGHIJKLMNOPQRSTUVWXYZ")-1)*{1,2,1,2,1,2,1,2,1,2,1,2,1,2}/36)+MOD((FIND(MID(AZ574,{1,2,3,4,5,6,7,8,9,10,11,12,13,14},1),"0123456789ABCDEFGHIJKLMNOPQRSTUVWXYZ")-1)*{1,2,1,2,1,2,1,2,1,2,1,2,1,2},36)),36),36)+1,1)=MID(AZ574,15,1),"OK","Typo? check digit wrong")),"Wrong format"))</f>
        <v/>
      </c>
      <c r="AW574" s="29">
        <f>IF(BA574="","",IF(AND(LEN(BA574)=10,SUMPRODUCT(--ISERROR(FIND(MID(BA574,{1,2,3,4,5,10},1),"ABCDEFGHIJKLMNOPQRSTUVWXYZ")))=0,SUMPRODUCT(--ISERROR(FIND(MID(BA574,{6,7,8,9},1),"0123456789")))=0),"OK","Wrong format"))</f>
        <v/>
      </c>
      <c r="AX574" s="29">
        <f>IF(TRIM(H574)="","",IF(AND(LEN(UPPER(TRIM(H574)))=10,SUMPRODUCT(--ISERROR(FIND(MID(UPPER(TRIM(H574)),{1,2,3,4,10},1),"ABCDEFGHIJKLMNOPQRSTUVWXYZ")))=0,SUMPRODUCT(--ISERROR(FIND(MID(UPPER(TRIM(H574)),{5,6,7,8,9},1),"0123456789")))=0),"OK","Wrong format"))</f>
        <v/>
      </c>
      <c r="AY574" s="30">
        <f>IF(NOT(COUNTA(A574:AE574)&gt;0),"",IF(BE574&lt;&gt;"","✖ "&amp;LEFT(BE574,LEN(BE574)-2),IF(BD574&gt;0,"✔ Ready — client + "&amp;BD574&amp;" service(s)","✔ Ready — client only")))</f>
        <v/>
      </c>
      <c r="AZ574" s="31">
        <f>UPPER(SUBSTITUTE(TRIM(F574)," ",""))</f>
        <v/>
      </c>
      <c r="BA574" s="31">
        <f>UPPER(SUBSTITUTE(TRIM(E574)," ",""))</f>
        <v/>
      </c>
      <c r="BB574" s="31">
        <f>IF(D574&lt;&gt;"",D574,IFERROR(VLOOKUP(MID(AS574,4,1),Lists!$E$2:$F$8,2,FALSE),""))</f>
        <v/>
      </c>
      <c r="BC574" s="31">
        <f>IFERROR(VLOOKUP(BB574,Lists!$A$2:$C$12,3,FALSE),"")</f>
        <v/>
      </c>
      <c r="BD574" s="31">
        <f>COUNTIF(W574:AC574,"Yes")</f>
        <v/>
      </c>
      <c r="BE574" s="31">
        <f>IF(TRIM(B574)="","Legal name missing; ","")&amp;IF(AND(AV574&lt;&gt;"",AV574&lt;&gt;"OK"),"GSTIN: "&amp;AV574&amp;"; ","")&amp;IF(AND(AW574&lt;&gt;"",AW574&lt;&gt;"OK"),"PAN wrong format; ","")&amp;IF(AND(BA574&lt;&gt;"",LEN(AZ574)=15,MID(AZ574,3,10)&lt;&gt;BA574),"PAN does not match GSTIN; ","")&amp;IF(AND(AX574&lt;&gt;"",AX574&lt;&gt;"OK"),"TAN wrong format; ","")&amp;IF(AS574="","PAN missing; ","")&amp;IF(BB574="","Entity type missing; ","")&amp;IF(AND(AZ574&lt;&gt;"",COUNTIF($AZ$6:$AZ$1005,AZ574)&gt;1),"GSTIN repeated in this sheet; ","")&amp;IF(AND(AS574&lt;&gt;"",COUNTIF($AS$6:$AS$1005,AS574)&gt;1),"PAN repeated in this sheet (same client? put extra GSTINs in Other GSTINs); ","")&amp;IF(AND(BD574&gt;0,V574=""),"Financial year missing; ","")&amp;IF(AND(BD574=0,V574&lt;&gt;""),"Financial year given but no service is Yes; ","")&amp;IF(AND(W574="Yes",AZ574=""),"GST needs a GSTIN; ","")&amp;IF(AND(W574="Yes",X574=""),"GST return frequency missing; ","")&amp;IF(AND(Y574="Yes",TRIM(H574)=""),"TDS needs a TAN; ","")&amp;IF(AND(AA574="Yes",BC574&lt;&gt;"",BC574&lt;&gt;"company",BC574&lt;&gt;"llp"),"ROC is only for a company / LLP; ","")&amp;IF(AND(AA574="Yes",OR(BC574="company",BC574="llp"),TRIM(I574)=""),"ROC needs the CIN / LLPIN; ","")&amp;IF((TRIM(AF574)="")&lt;&gt;(TRIM(AG574)=""),"GST login needs both user ID and password; ","")&amp;IF((TRIM(AH574)="")&lt;&gt;(TRIM(AI574)=""),"Income-tax login needs both user ID and password; ","")&amp;IF((TRIM(AJ574)="")&lt;&gt;(TRIM(AK574)=""),"Income-tax login needs both user ID and password; ","")&amp;IF((TRIM(AL574)="")&lt;&gt;(TRIM(AM574)=""),"TRACES login needs both user ID and password; ","")&amp;IF((TRIM(AN574)="")&lt;&gt;(TRIM(AO574)=""),"MCA login needs both user ID and password; ","")&amp;IF((TRIM(AP574)="")&lt;&gt;(TRIM(AQ574)=""),"E-way bill login needs both user ID and password; ","")</f>
        <v/>
      </c>
    </row>
    <row r="575">
      <c r="A575" s="32" t="n"/>
      <c r="B575" s="33" t="n"/>
      <c r="C575" s="33" t="n"/>
      <c r="D575" s="33" t="n"/>
      <c r="E575" s="32" t="n"/>
      <c r="F575" s="32" t="n"/>
      <c r="G575" s="32" t="n"/>
      <c r="H575" s="32" t="n"/>
      <c r="I575" s="32" t="n"/>
      <c r="J575" s="34" t="n"/>
      <c r="K575" s="33" t="n"/>
      <c r="L575" s="32" t="n"/>
      <c r="M575" s="33" t="n"/>
      <c r="N575" s="33" t="n"/>
      <c r="O575" s="33" t="n"/>
      <c r="P575" s="32" t="n"/>
      <c r="Q575" s="33" t="n"/>
      <c r="R575" s="33" t="n"/>
      <c r="S575" s="33" t="n"/>
      <c r="T575" s="33" t="n"/>
      <c r="U575" s="32" t="n"/>
      <c r="V575" s="33" t="n"/>
      <c r="W575" s="33" t="n"/>
      <c r="X575" s="33" t="n"/>
      <c r="Y575" s="33" t="n"/>
      <c r="Z575" s="33" t="n"/>
      <c r="AA575" s="33" t="n"/>
      <c r="AB575" s="33" t="n"/>
      <c r="AC575" s="33" t="n"/>
      <c r="AD575" s="33" t="n"/>
      <c r="AE575" s="33" t="n"/>
      <c r="AF575" s="32" t="n"/>
      <c r="AG575" s="32" t="n"/>
      <c r="AH575" s="32" t="n"/>
      <c r="AI575" s="32" t="n"/>
      <c r="AJ575" s="32" t="n"/>
      <c r="AK575" s="32" t="n"/>
      <c r="AL575" s="32" t="n"/>
      <c r="AM575" s="32" t="n"/>
      <c r="AN575" s="32" t="n"/>
      <c r="AO575" s="32" t="n"/>
      <c r="AP575" s="32" t="n"/>
      <c r="AQ575" s="32" t="n"/>
      <c r="AR575" s="29">
        <f>IF(NOT(COUNTA(A575:AE575)&gt;0),"",IF(A575="","New client","Update"))</f>
        <v/>
      </c>
      <c r="AS575" s="29">
        <f>IF(BA575&lt;&gt;"",BA575,IF(LEN(AZ575)=15,MID(AZ575,3,10),""))</f>
        <v/>
      </c>
      <c r="AT575" s="29">
        <f>IF(BB575="","",BB575&amp;IF(D575="","  (guessed from PAN)",""))</f>
        <v/>
      </c>
      <c r="AU575" s="29">
        <f>IF(AZ575="","",IFERROR(INDEX(Lists!$L$2:$L$38,MATCH(LEFT(AZ575,2),Lists!$K$2:$K$38,0)),"Unknown code"))</f>
        <v/>
      </c>
      <c r="AV575" s="29">
        <f>IF(AZ575="","",IFERROR(IF(NOT(AND(LEN(AZ575)=15,ISNUMBER(MATCH(LEFT(AZ575,2),Lists!$K$2:$K$38,0)),SUMPRODUCT(--ISERROR(FIND(MID(MID(AZ575,3,10),{1,2,3,4,5,10},1),"ABCDEFGHIJKLMNOPQRSTUVWXYZ")))=0,SUMPRODUCT(--ISERROR(FIND(MID(MID(AZ575,3,10),{6,7,8,9},1),"0123456789")))=0,ISNUMBER(FIND(MID(AZ575,13,1),"123456789ABCDEFGHIJKLMNOPQRSTUVWXYZ")),MID(AZ575,14,1)="Z")),"Wrong format",IF(MID("0123456789ABCDEFGHIJKLMNOPQRSTUVWXYZ",MOD(36-MOD(SUMPRODUCT(INT((FIND(MID(AZ575,{1,2,3,4,5,6,7,8,9,10,11,12,13,14},1),"0123456789ABCDEFGHIJKLMNOPQRSTUVWXYZ")-1)*{1,2,1,2,1,2,1,2,1,2,1,2,1,2}/36)+MOD((FIND(MID(AZ575,{1,2,3,4,5,6,7,8,9,10,11,12,13,14},1),"0123456789ABCDEFGHIJKLMNOPQRSTUVWXYZ")-1)*{1,2,1,2,1,2,1,2,1,2,1,2,1,2},36)),36),36)+1,1)=MID(AZ575,15,1),"OK","Typo? check digit wrong")),"Wrong format"))</f>
        <v/>
      </c>
      <c r="AW575" s="29">
        <f>IF(BA575="","",IF(AND(LEN(BA575)=10,SUMPRODUCT(--ISERROR(FIND(MID(BA575,{1,2,3,4,5,10},1),"ABCDEFGHIJKLMNOPQRSTUVWXYZ")))=0,SUMPRODUCT(--ISERROR(FIND(MID(BA575,{6,7,8,9},1),"0123456789")))=0),"OK","Wrong format"))</f>
        <v/>
      </c>
      <c r="AX575" s="29">
        <f>IF(TRIM(H575)="","",IF(AND(LEN(UPPER(TRIM(H575)))=10,SUMPRODUCT(--ISERROR(FIND(MID(UPPER(TRIM(H575)),{1,2,3,4,10},1),"ABCDEFGHIJKLMNOPQRSTUVWXYZ")))=0,SUMPRODUCT(--ISERROR(FIND(MID(UPPER(TRIM(H575)),{5,6,7,8,9},1),"0123456789")))=0),"OK","Wrong format"))</f>
        <v/>
      </c>
      <c r="AY575" s="30">
        <f>IF(NOT(COUNTA(A575:AE575)&gt;0),"",IF(BE575&lt;&gt;"","✖ "&amp;LEFT(BE575,LEN(BE575)-2),IF(BD575&gt;0,"✔ Ready — client + "&amp;BD575&amp;" service(s)","✔ Ready — client only")))</f>
        <v/>
      </c>
      <c r="AZ575" s="31">
        <f>UPPER(SUBSTITUTE(TRIM(F575)," ",""))</f>
        <v/>
      </c>
      <c r="BA575" s="31">
        <f>UPPER(SUBSTITUTE(TRIM(E575)," ",""))</f>
        <v/>
      </c>
      <c r="BB575" s="31">
        <f>IF(D575&lt;&gt;"",D575,IFERROR(VLOOKUP(MID(AS575,4,1),Lists!$E$2:$F$8,2,FALSE),""))</f>
        <v/>
      </c>
      <c r="BC575" s="31">
        <f>IFERROR(VLOOKUP(BB575,Lists!$A$2:$C$12,3,FALSE),"")</f>
        <v/>
      </c>
      <c r="BD575" s="31">
        <f>COUNTIF(W575:AC575,"Yes")</f>
        <v/>
      </c>
      <c r="BE575" s="31">
        <f>IF(TRIM(B575)="","Legal name missing; ","")&amp;IF(AND(AV575&lt;&gt;"",AV575&lt;&gt;"OK"),"GSTIN: "&amp;AV575&amp;"; ","")&amp;IF(AND(AW575&lt;&gt;"",AW575&lt;&gt;"OK"),"PAN wrong format; ","")&amp;IF(AND(BA575&lt;&gt;"",LEN(AZ575)=15,MID(AZ575,3,10)&lt;&gt;BA575),"PAN does not match GSTIN; ","")&amp;IF(AND(AX575&lt;&gt;"",AX575&lt;&gt;"OK"),"TAN wrong format; ","")&amp;IF(AS575="","PAN missing; ","")&amp;IF(BB575="","Entity type missing; ","")&amp;IF(AND(AZ575&lt;&gt;"",COUNTIF($AZ$6:$AZ$1005,AZ575)&gt;1),"GSTIN repeated in this sheet; ","")&amp;IF(AND(AS575&lt;&gt;"",COUNTIF($AS$6:$AS$1005,AS575)&gt;1),"PAN repeated in this sheet (same client? put extra GSTINs in Other GSTINs); ","")&amp;IF(AND(BD575&gt;0,V575=""),"Financial year missing; ","")&amp;IF(AND(BD575=0,V575&lt;&gt;""),"Financial year given but no service is Yes; ","")&amp;IF(AND(W575="Yes",AZ575=""),"GST needs a GSTIN; ","")&amp;IF(AND(W575="Yes",X575=""),"GST return frequency missing; ","")&amp;IF(AND(Y575="Yes",TRIM(H575)=""),"TDS needs a TAN; ","")&amp;IF(AND(AA575="Yes",BC575&lt;&gt;"",BC575&lt;&gt;"company",BC575&lt;&gt;"llp"),"ROC is only for a company / LLP; ","")&amp;IF(AND(AA575="Yes",OR(BC575="company",BC575="llp"),TRIM(I575)=""),"ROC needs the CIN / LLPIN; ","")&amp;IF((TRIM(AF575)="")&lt;&gt;(TRIM(AG575)=""),"GST login needs both user ID and password; ","")&amp;IF((TRIM(AH575)="")&lt;&gt;(TRIM(AI575)=""),"Income-tax login needs both user ID and password; ","")&amp;IF((TRIM(AJ575)="")&lt;&gt;(TRIM(AK575)=""),"Income-tax login needs both user ID and password; ","")&amp;IF((TRIM(AL575)="")&lt;&gt;(TRIM(AM575)=""),"TRACES login needs both user ID and password; ","")&amp;IF((TRIM(AN575)="")&lt;&gt;(TRIM(AO575)=""),"MCA login needs both user ID and password; ","")&amp;IF((TRIM(AP575)="")&lt;&gt;(TRIM(AQ575)=""),"E-way bill login needs both user ID and password; ","")</f>
        <v/>
      </c>
    </row>
    <row r="576">
      <c r="A576" s="32" t="n"/>
      <c r="B576" s="33" t="n"/>
      <c r="C576" s="33" t="n"/>
      <c r="D576" s="33" t="n"/>
      <c r="E576" s="32" t="n"/>
      <c r="F576" s="32" t="n"/>
      <c r="G576" s="32" t="n"/>
      <c r="H576" s="32" t="n"/>
      <c r="I576" s="32" t="n"/>
      <c r="J576" s="34" t="n"/>
      <c r="K576" s="33" t="n"/>
      <c r="L576" s="32" t="n"/>
      <c r="M576" s="33" t="n"/>
      <c r="N576" s="33" t="n"/>
      <c r="O576" s="33" t="n"/>
      <c r="P576" s="32" t="n"/>
      <c r="Q576" s="33" t="n"/>
      <c r="R576" s="33" t="n"/>
      <c r="S576" s="33" t="n"/>
      <c r="T576" s="33" t="n"/>
      <c r="U576" s="32" t="n"/>
      <c r="V576" s="33" t="n"/>
      <c r="W576" s="33" t="n"/>
      <c r="X576" s="33" t="n"/>
      <c r="Y576" s="33" t="n"/>
      <c r="Z576" s="33" t="n"/>
      <c r="AA576" s="33" t="n"/>
      <c r="AB576" s="33" t="n"/>
      <c r="AC576" s="33" t="n"/>
      <c r="AD576" s="33" t="n"/>
      <c r="AE576" s="33" t="n"/>
      <c r="AF576" s="32" t="n"/>
      <c r="AG576" s="32" t="n"/>
      <c r="AH576" s="32" t="n"/>
      <c r="AI576" s="32" t="n"/>
      <c r="AJ576" s="32" t="n"/>
      <c r="AK576" s="32" t="n"/>
      <c r="AL576" s="32" t="n"/>
      <c r="AM576" s="32" t="n"/>
      <c r="AN576" s="32" t="n"/>
      <c r="AO576" s="32" t="n"/>
      <c r="AP576" s="32" t="n"/>
      <c r="AQ576" s="32" t="n"/>
      <c r="AR576" s="29">
        <f>IF(NOT(COUNTA(A576:AE576)&gt;0),"",IF(A576="","New client","Update"))</f>
        <v/>
      </c>
      <c r="AS576" s="29">
        <f>IF(BA576&lt;&gt;"",BA576,IF(LEN(AZ576)=15,MID(AZ576,3,10),""))</f>
        <v/>
      </c>
      <c r="AT576" s="29">
        <f>IF(BB576="","",BB576&amp;IF(D576="","  (guessed from PAN)",""))</f>
        <v/>
      </c>
      <c r="AU576" s="29">
        <f>IF(AZ576="","",IFERROR(INDEX(Lists!$L$2:$L$38,MATCH(LEFT(AZ576,2),Lists!$K$2:$K$38,0)),"Unknown code"))</f>
        <v/>
      </c>
      <c r="AV576" s="29">
        <f>IF(AZ576="","",IFERROR(IF(NOT(AND(LEN(AZ576)=15,ISNUMBER(MATCH(LEFT(AZ576,2),Lists!$K$2:$K$38,0)),SUMPRODUCT(--ISERROR(FIND(MID(MID(AZ576,3,10),{1,2,3,4,5,10},1),"ABCDEFGHIJKLMNOPQRSTUVWXYZ")))=0,SUMPRODUCT(--ISERROR(FIND(MID(MID(AZ576,3,10),{6,7,8,9},1),"0123456789")))=0,ISNUMBER(FIND(MID(AZ576,13,1),"123456789ABCDEFGHIJKLMNOPQRSTUVWXYZ")),MID(AZ576,14,1)="Z")),"Wrong format",IF(MID("0123456789ABCDEFGHIJKLMNOPQRSTUVWXYZ",MOD(36-MOD(SUMPRODUCT(INT((FIND(MID(AZ576,{1,2,3,4,5,6,7,8,9,10,11,12,13,14},1),"0123456789ABCDEFGHIJKLMNOPQRSTUVWXYZ")-1)*{1,2,1,2,1,2,1,2,1,2,1,2,1,2}/36)+MOD((FIND(MID(AZ576,{1,2,3,4,5,6,7,8,9,10,11,12,13,14},1),"0123456789ABCDEFGHIJKLMNOPQRSTUVWXYZ")-1)*{1,2,1,2,1,2,1,2,1,2,1,2,1,2},36)),36),36)+1,1)=MID(AZ576,15,1),"OK","Typo? check digit wrong")),"Wrong format"))</f>
        <v/>
      </c>
      <c r="AW576" s="29">
        <f>IF(BA576="","",IF(AND(LEN(BA576)=10,SUMPRODUCT(--ISERROR(FIND(MID(BA576,{1,2,3,4,5,10},1),"ABCDEFGHIJKLMNOPQRSTUVWXYZ")))=0,SUMPRODUCT(--ISERROR(FIND(MID(BA576,{6,7,8,9},1),"0123456789")))=0),"OK","Wrong format"))</f>
        <v/>
      </c>
      <c r="AX576" s="29">
        <f>IF(TRIM(H576)="","",IF(AND(LEN(UPPER(TRIM(H576)))=10,SUMPRODUCT(--ISERROR(FIND(MID(UPPER(TRIM(H576)),{1,2,3,4,10},1),"ABCDEFGHIJKLMNOPQRSTUVWXYZ")))=0,SUMPRODUCT(--ISERROR(FIND(MID(UPPER(TRIM(H576)),{5,6,7,8,9},1),"0123456789")))=0),"OK","Wrong format"))</f>
        <v/>
      </c>
      <c r="AY576" s="30">
        <f>IF(NOT(COUNTA(A576:AE576)&gt;0),"",IF(BE576&lt;&gt;"","✖ "&amp;LEFT(BE576,LEN(BE576)-2),IF(BD576&gt;0,"✔ Ready — client + "&amp;BD576&amp;" service(s)","✔ Ready — client only")))</f>
        <v/>
      </c>
      <c r="AZ576" s="31">
        <f>UPPER(SUBSTITUTE(TRIM(F576)," ",""))</f>
        <v/>
      </c>
      <c r="BA576" s="31">
        <f>UPPER(SUBSTITUTE(TRIM(E576)," ",""))</f>
        <v/>
      </c>
      <c r="BB576" s="31">
        <f>IF(D576&lt;&gt;"",D576,IFERROR(VLOOKUP(MID(AS576,4,1),Lists!$E$2:$F$8,2,FALSE),""))</f>
        <v/>
      </c>
      <c r="BC576" s="31">
        <f>IFERROR(VLOOKUP(BB576,Lists!$A$2:$C$12,3,FALSE),"")</f>
        <v/>
      </c>
      <c r="BD576" s="31">
        <f>COUNTIF(W576:AC576,"Yes")</f>
        <v/>
      </c>
      <c r="BE576" s="31">
        <f>IF(TRIM(B576)="","Legal name missing; ","")&amp;IF(AND(AV576&lt;&gt;"",AV576&lt;&gt;"OK"),"GSTIN: "&amp;AV576&amp;"; ","")&amp;IF(AND(AW576&lt;&gt;"",AW576&lt;&gt;"OK"),"PAN wrong format; ","")&amp;IF(AND(BA576&lt;&gt;"",LEN(AZ576)=15,MID(AZ576,3,10)&lt;&gt;BA576),"PAN does not match GSTIN; ","")&amp;IF(AND(AX576&lt;&gt;"",AX576&lt;&gt;"OK"),"TAN wrong format; ","")&amp;IF(AS576="","PAN missing; ","")&amp;IF(BB576="","Entity type missing; ","")&amp;IF(AND(AZ576&lt;&gt;"",COUNTIF($AZ$6:$AZ$1005,AZ576)&gt;1),"GSTIN repeated in this sheet; ","")&amp;IF(AND(AS576&lt;&gt;"",COUNTIF($AS$6:$AS$1005,AS576)&gt;1),"PAN repeated in this sheet (same client? put extra GSTINs in Other GSTINs); ","")&amp;IF(AND(BD576&gt;0,V576=""),"Financial year missing; ","")&amp;IF(AND(BD576=0,V576&lt;&gt;""),"Financial year given but no service is Yes; ","")&amp;IF(AND(W576="Yes",AZ576=""),"GST needs a GSTIN; ","")&amp;IF(AND(W576="Yes",X576=""),"GST return frequency missing; ","")&amp;IF(AND(Y576="Yes",TRIM(H576)=""),"TDS needs a TAN; ","")&amp;IF(AND(AA576="Yes",BC576&lt;&gt;"",BC576&lt;&gt;"company",BC576&lt;&gt;"llp"),"ROC is only for a company / LLP; ","")&amp;IF(AND(AA576="Yes",OR(BC576="company",BC576="llp"),TRIM(I576)=""),"ROC needs the CIN / LLPIN; ","")&amp;IF((TRIM(AF576)="")&lt;&gt;(TRIM(AG576)=""),"GST login needs both user ID and password; ","")&amp;IF((TRIM(AH576)="")&lt;&gt;(TRIM(AI576)=""),"Income-tax login needs both user ID and password; ","")&amp;IF((TRIM(AJ576)="")&lt;&gt;(TRIM(AK576)=""),"Income-tax login needs both user ID and password; ","")&amp;IF((TRIM(AL576)="")&lt;&gt;(TRIM(AM576)=""),"TRACES login needs both user ID and password; ","")&amp;IF((TRIM(AN576)="")&lt;&gt;(TRIM(AO576)=""),"MCA login needs both user ID and password; ","")&amp;IF((TRIM(AP576)="")&lt;&gt;(TRIM(AQ576)=""),"E-way bill login needs both user ID and password; ","")</f>
        <v/>
      </c>
    </row>
    <row r="577">
      <c r="A577" s="32" t="n"/>
      <c r="B577" s="33" t="n"/>
      <c r="C577" s="33" t="n"/>
      <c r="D577" s="33" t="n"/>
      <c r="E577" s="32" t="n"/>
      <c r="F577" s="32" t="n"/>
      <c r="G577" s="32" t="n"/>
      <c r="H577" s="32" t="n"/>
      <c r="I577" s="32" t="n"/>
      <c r="J577" s="34" t="n"/>
      <c r="K577" s="33" t="n"/>
      <c r="L577" s="32" t="n"/>
      <c r="M577" s="33" t="n"/>
      <c r="N577" s="33" t="n"/>
      <c r="O577" s="33" t="n"/>
      <c r="P577" s="32" t="n"/>
      <c r="Q577" s="33" t="n"/>
      <c r="R577" s="33" t="n"/>
      <c r="S577" s="33" t="n"/>
      <c r="T577" s="33" t="n"/>
      <c r="U577" s="32" t="n"/>
      <c r="V577" s="33" t="n"/>
      <c r="W577" s="33" t="n"/>
      <c r="X577" s="33" t="n"/>
      <c r="Y577" s="33" t="n"/>
      <c r="Z577" s="33" t="n"/>
      <c r="AA577" s="33" t="n"/>
      <c r="AB577" s="33" t="n"/>
      <c r="AC577" s="33" t="n"/>
      <c r="AD577" s="33" t="n"/>
      <c r="AE577" s="33" t="n"/>
      <c r="AF577" s="32" t="n"/>
      <c r="AG577" s="32" t="n"/>
      <c r="AH577" s="32" t="n"/>
      <c r="AI577" s="32" t="n"/>
      <c r="AJ577" s="32" t="n"/>
      <c r="AK577" s="32" t="n"/>
      <c r="AL577" s="32" t="n"/>
      <c r="AM577" s="32" t="n"/>
      <c r="AN577" s="32" t="n"/>
      <c r="AO577" s="32" t="n"/>
      <c r="AP577" s="32" t="n"/>
      <c r="AQ577" s="32" t="n"/>
      <c r="AR577" s="29">
        <f>IF(NOT(COUNTA(A577:AE577)&gt;0),"",IF(A577="","New client","Update"))</f>
        <v/>
      </c>
      <c r="AS577" s="29">
        <f>IF(BA577&lt;&gt;"",BA577,IF(LEN(AZ577)=15,MID(AZ577,3,10),""))</f>
        <v/>
      </c>
      <c r="AT577" s="29">
        <f>IF(BB577="","",BB577&amp;IF(D577="","  (guessed from PAN)",""))</f>
        <v/>
      </c>
      <c r="AU577" s="29">
        <f>IF(AZ577="","",IFERROR(INDEX(Lists!$L$2:$L$38,MATCH(LEFT(AZ577,2),Lists!$K$2:$K$38,0)),"Unknown code"))</f>
        <v/>
      </c>
      <c r="AV577" s="29">
        <f>IF(AZ577="","",IFERROR(IF(NOT(AND(LEN(AZ577)=15,ISNUMBER(MATCH(LEFT(AZ577,2),Lists!$K$2:$K$38,0)),SUMPRODUCT(--ISERROR(FIND(MID(MID(AZ577,3,10),{1,2,3,4,5,10},1),"ABCDEFGHIJKLMNOPQRSTUVWXYZ")))=0,SUMPRODUCT(--ISERROR(FIND(MID(MID(AZ577,3,10),{6,7,8,9},1),"0123456789")))=0,ISNUMBER(FIND(MID(AZ577,13,1),"123456789ABCDEFGHIJKLMNOPQRSTUVWXYZ")),MID(AZ577,14,1)="Z")),"Wrong format",IF(MID("0123456789ABCDEFGHIJKLMNOPQRSTUVWXYZ",MOD(36-MOD(SUMPRODUCT(INT((FIND(MID(AZ577,{1,2,3,4,5,6,7,8,9,10,11,12,13,14},1),"0123456789ABCDEFGHIJKLMNOPQRSTUVWXYZ")-1)*{1,2,1,2,1,2,1,2,1,2,1,2,1,2}/36)+MOD((FIND(MID(AZ577,{1,2,3,4,5,6,7,8,9,10,11,12,13,14},1),"0123456789ABCDEFGHIJKLMNOPQRSTUVWXYZ")-1)*{1,2,1,2,1,2,1,2,1,2,1,2,1,2},36)),36),36)+1,1)=MID(AZ577,15,1),"OK","Typo? check digit wrong")),"Wrong format"))</f>
        <v/>
      </c>
      <c r="AW577" s="29">
        <f>IF(BA577="","",IF(AND(LEN(BA577)=10,SUMPRODUCT(--ISERROR(FIND(MID(BA577,{1,2,3,4,5,10},1),"ABCDEFGHIJKLMNOPQRSTUVWXYZ")))=0,SUMPRODUCT(--ISERROR(FIND(MID(BA577,{6,7,8,9},1),"0123456789")))=0),"OK","Wrong format"))</f>
        <v/>
      </c>
      <c r="AX577" s="29">
        <f>IF(TRIM(H577)="","",IF(AND(LEN(UPPER(TRIM(H577)))=10,SUMPRODUCT(--ISERROR(FIND(MID(UPPER(TRIM(H577)),{1,2,3,4,10},1),"ABCDEFGHIJKLMNOPQRSTUVWXYZ")))=0,SUMPRODUCT(--ISERROR(FIND(MID(UPPER(TRIM(H577)),{5,6,7,8,9},1),"0123456789")))=0),"OK","Wrong format"))</f>
        <v/>
      </c>
      <c r="AY577" s="30">
        <f>IF(NOT(COUNTA(A577:AE577)&gt;0),"",IF(BE577&lt;&gt;"","✖ "&amp;LEFT(BE577,LEN(BE577)-2),IF(BD577&gt;0,"✔ Ready — client + "&amp;BD577&amp;" service(s)","✔ Ready — client only")))</f>
        <v/>
      </c>
      <c r="AZ577" s="31">
        <f>UPPER(SUBSTITUTE(TRIM(F577)," ",""))</f>
        <v/>
      </c>
      <c r="BA577" s="31">
        <f>UPPER(SUBSTITUTE(TRIM(E577)," ",""))</f>
        <v/>
      </c>
      <c r="BB577" s="31">
        <f>IF(D577&lt;&gt;"",D577,IFERROR(VLOOKUP(MID(AS577,4,1),Lists!$E$2:$F$8,2,FALSE),""))</f>
        <v/>
      </c>
      <c r="BC577" s="31">
        <f>IFERROR(VLOOKUP(BB577,Lists!$A$2:$C$12,3,FALSE),"")</f>
        <v/>
      </c>
      <c r="BD577" s="31">
        <f>COUNTIF(W577:AC577,"Yes")</f>
        <v/>
      </c>
      <c r="BE577" s="31">
        <f>IF(TRIM(B577)="","Legal name missing; ","")&amp;IF(AND(AV577&lt;&gt;"",AV577&lt;&gt;"OK"),"GSTIN: "&amp;AV577&amp;"; ","")&amp;IF(AND(AW577&lt;&gt;"",AW577&lt;&gt;"OK"),"PAN wrong format; ","")&amp;IF(AND(BA577&lt;&gt;"",LEN(AZ577)=15,MID(AZ577,3,10)&lt;&gt;BA577),"PAN does not match GSTIN; ","")&amp;IF(AND(AX577&lt;&gt;"",AX577&lt;&gt;"OK"),"TAN wrong format; ","")&amp;IF(AS577="","PAN missing; ","")&amp;IF(BB577="","Entity type missing; ","")&amp;IF(AND(AZ577&lt;&gt;"",COUNTIF($AZ$6:$AZ$1005,AZ577)&gt;1),"GSTIN repeated in this sheet; ","")&amp;IF(AND(AS577&lt;&gt;"",COUNTIF($AS$6:$AS$1005,AS577)&gt;1),"PAN repeated in this sheet (same client? put extra GSTINs in Other GSTINs); ","")&amp;IF(AND(BD577&gt;0,V577=""),"Financial year missing; ","")&amp;IF(AND(BD577=0,V577&lt;&gt;""),"Financial year given but no service is Yes; ","")&amp;IF(AND(W577="Yes",AZ577=""),"GST needs a GSTIN; ","")&amp;IF(AND(W577="Yes",X577=""),"GST return frequency missing; ","")&amp;IF(AND(Y577="Yes",TRIM(H577)=""),"TDS needs a TAN; ","")&amp;IF(AND(AA577="Yes",BC577&lt;&gt;"",BC577&lt;&gt;"company",BC577&lt;&gt;"llp"),"ROC is only for a company / LLP; ","")&amp;IF(AND(AA577="Yes",OR(BC577="company",BC577="llp"),TRIM(I577)=""),"ROC needs the CIN / LLPIN; ","")&amp;IF((TRIM(AF577)="")&lt;&gt;(TRIM(AG577)=""),"GST login needs both user ID and password; ","")&amp;IF((TRIM(AH577)="")&lt;&gt;(TRIM(AI577)=""),"Income-tax login needs both user ID and password; ","")&amp;IF((TRIM(AJ577)="")&lt;&gt;(TRIM(AK577)=""),"Income-tax login needs both user ID and password; ","")&amp;IF((TRIM(AL577)="")&lt;&gt;(TRIM(AM577)=""),"TRACES login needs both user ID and password; ","")&amp;IF((TRIM(AN577)="")&lt;&gt;(TRIM(AO577)=""),"MCA login needs both user ID and password; ","")&amp;IF((TRIM(AP577)="")&lt;&gt;(TRIM(AQ577)=""),"E-way bill login needs both user ID and password; ","")</f>
        <v/>
      </c>
    </row>
    <row r="578">
      <c r="A578" s="32" t="n"/>
      <c r="B578" s="33" t="n"/>
      <c r="C578" s="33" t="n"/>
      <c r="D578" s="33" t="n"/>
      <c r="E578" s="32" t="n"/>
      <c r="F578" s="32" t="n"/>
      <c r="G578" s="32" t="n"/>
      <c r="H578" s="32" t="n"/>
      <c r="I578" s="32" t="n"/>
      <c r="J578" s="34" t="n"/>
      <c r="K578" s="33" t="n"/>
      <c r="L578" s="32" t="n"/>
      <c r="M578" s="33" t="n"/>
      <c r="N578" s="33" t="n"/>
      <c r="O578" s="33" t="n"/>
      <c r="P578" s="32" t="n"/>
      <c r="Q578" s="33" t="n"/>
      <c r="R578" s="33" t="n"/>
      <c r="S578" s="33" t="n"/>
      <c r="T578" s="33" t="n"/>
      <c r="U578" s="32" t="n"/>
      <c r="V578" s="33" t="n"/>
      <c r="W578" s="33" t="n"/>
      <c r="X578" s="33" t="n"/>
      <c r="Y578" s="33" t="n"/>
      <c r="Z578" s="33" t="n"/>
      <c r="AA578" s="33" t="n"/>
      <c r="AB578" s="33" t="n"/>
      <c r="AC578" s="33" t="n"/>
      <c r="AD578" s="33" t="n"/>
      <c r="AE578" s="33" t="n"/>
      <c r="AF578" s="32" t="n"/>
      <c r="AG578" s="32" t="n"/>
      <c r="AH578" s="32" t="n"/>
      <c r="AI578" s="32" t="n"/>
      <c r="AJ578" s="32" t="n"/>
      <c r="AK578" s="32" t="n"/>
      <c r="AL578" s="32" t="n"/>
      <c r="AM578" s="32" t="n"/>
      <c r="AN578" s="32" t="n"/>
      <c r="AO578" s="32" t="n"/>
      <c r="AP578" s="32" t="n"/>
      <c r="AQ578" s="32" t="n"/>
      <c r="AR578" s="29">
        <f>IF(NOT(COUNTA(A578:AE578)&gt;0),"",IF(A578="","New client","Update"))</f>
        <v/>
      </c>
      <c r="AS578" s="29">
        <f>IF(BA578&lt;&gt;"",BA578,IF(LEN(AZ578)=15,MID(AZ578,3,10),""))</f>
        <v/>
      </c>
      <c r="AT578" s="29">
        <f>IF(BB578="","",BB578&amp;IF(D578="","  (guessed from PAN)",""))</f>
        <v/>
      </c>
      <c r="AU578" s="29">
        <f>IF(AZ578="","",IFERROR(INDEX(Lists!$L$2:$L$38,MATCH(LEFT(AZ578,2),Lists!$K$2:$K$38,0)),"Unknown code"))</f>
        <v/>
      </c>
      <c r="AV578" s="29">
        <f>IF(AZ578="","",IFERROR(IF(NOT(AND(LEN(AZ578)=15,ISNUMBER(MATCH(LEFT(AZ578,2),Lists!$K$2:$K$38,0)),SUMPRODUCT(--ISERROR(FIND(MID(MID(AZ578,3,10),{1,2,3,4,5,10},1),"ABCDEFGHIJKLMNOPQRSTUVWXYZ")))=0,SUMPRODUCT(--ISERROR(FIND(MID(MID(AZ578,3,10),{6,7,8,9},1),"0123456789")))=0,ISNUMBER(FIND(MID(AZ578,13,1),"123456789ABCDEFGHIJKLMNOPQRSTUVWXYZ")),MID(AZ578,14,1)="Z")),"Wrong format",IF(MID("0123456789ABCDEFGHIJKLMNOPQRSTUVWXYZ",MOD(36-MOD(SUMPRODUCT(INT((FIND(MID(AZ578,{1,2,3,4,5,6,7,8,9,10,11,12,13,14},1),"0123456789ABCDEFGHIJKLMNOPQRSTUVWXYZ")-1)*{1,2,1,2,1,2,1,2,1,2,1,2,1,2}/36)+MOD((FIND(MID(AZ578,{1,2,3,4,5,6,7,8,9,10,11,12,13,14},1),"0123456789ABCDEFGHIJKLMNOPQRSTUVWXYZ")-1)*{1,2,1,2,1,2,1,2,1,2,1,2,1,2},36)),36),36)+1,1)=MID(AZ578,15,1),"OK","Typo? check digit wrong")),"Wrong format"))</f>
        <v/>
      </c>
      <c r="AW578" s="29">
        <f>IF(BA578="","",IF(AND(LEN(BA578)=10,SUMPRODUCT(--ISERROR(FIND(MID(BA578,{1,2,3,4,5,10},1),"ABCDEFGHIJKLMNOPQRSTUVWXYZ")))=0,SUMPRODUCT(--ISERROR(FIND(MID(BA578,{6,7,8,9},1),"0123456789")))=0),"OK","Wrong format"))</f>
        <v/>
      </c>
      <c r="AX578" s="29">
        <f>IF(TRIM(H578)="","",IF(AND(LEN(UPPER(TRIM(H578)))=10,SUMPRODUCT(--ISERROR(FIND(MID(UPPER(TRIM(H578)),{1,2,3,4,10},1),"ABCDEFGHIJKLMNOPQRSTUVWXYZ")))=0,SUMPRODUCT(--ISERROR(FIND(MID(UPPER(TRIM(H578)),{5,6,7,8,9},1),"0123456789")))=0),"OK","Wrong format"))</f>
        <v/>
      </c>
      <c r="AY578" s="30">
        <f>IF(NOT(COUNTA(A578:AE578)&gt;0),"",IF(BE578&lt;&gt;"","✖ "&amp;LEFT(BE578,LEN(BE578)-2),IF(BD578&gt;0,"✔ Ready — client + "&amp;BD578&amp;" service(s)","✔ Ready — client only")))</f>
        <v/>
      </c>
      <c r="AZ578" s="31">
        <f>UPPER(SUBSTITUTE(TRIM(F578)," ",""))</f>
        <v/>
      </c>
      <c r="BA578" s="31">
        <f>UPPER(SUBSTITUTE(TRIM(E578)," ",""))</f>
        <v/>
      </c>
      <c r="BB578" s="31">
        <f>IF(D578&lt;&gt;"",D578,IFERROR(VLOOKUP(MID(AS578,4,1),Lists!$E$2:$F$8,2,FALSE),""))</f>
        <v/>
      </c>
      <c r="BC578" s="31">
        <f>IFERROR(VLOOKUP(BB578,Lists!$A$2:$C$12,3,FALSE),"")</f>
        <v/>
      </c>
      <c r="BD578" s="31">
        <f>COUNTIF(W578:AC578,"Yes")</f>
        <v/>
      </c>
      <c r="BE578" s="31">
        <f>IF(TRIM(B578)="","Legal name missing; ","")&amp;IF(AND(AV578&lt;&gt;"",AV578&lt;&gt;"OK"),"GSTIN: "&amp;AV578&amp;"; ","")&amp;IF(AND(AW578&lt;&gt;"",AW578&lt;&gt;"OK"),"PAN wrong format; ","")&amp;IF(AND(BA578&lt;&gt;"",LEN(AZ578)=15,MID(AZ578,3,10)&lt;&gt;BA578),"PAN does not match GSTIN; ","")&amp;IF(AND(AX578&lt;&gt;"",AX578&lt;&gt;"OK"),"TAN wrong format; ","")&amp;IF(AS578="","PAN missing; ","")&amp;IF(BB578="","Entity type missing; ","")&amp;IF(AND(AZ578&lt;&gt;"",COUNTIF($AZ$6:$AZ$1005,AZ578)&gt;1),"GSTIN repeated in this sheet; ","")&amp;IF(AND(AS578&lt;&gt;"",COUNTIF($AS$6:$AS$1005,AS578)&gt;1),"PAN repeated in this sheet (same client? put extra GSTINs in Other GSTINs); ","")&amp;IF(AND(BD578&gt;0,V578=""),"Financial year missing; ","")&amp;IF(AND(BD578=0,V578&lt;&gt;""),"Financial year given but no service is Yes; ","")&amp;IF(AND(W578="Yes",AZ578=""),"GST needs a GSTIN; ","")&amp;IF(AND(W578="Yes",X578=""),"GST return frequency missing; ","")&amp;IF(AND(Y578="Yes",TRIM(H578)=""),"TDS needs a TAN; ","")&amp;IF(AND(AA578="Yes",BC578&lt;&gt;"",BC578&lt;&gt;"company",BC578&lt;&gt;"llp"),"ROC is only for a company / LLP; ","")&amp;IF(AND(AA578="Yes",OR(BC578="company",BC578="llp"),TRIM(I578)=""),"ROC needs the CIN / LLPIN; ","")&amp;IF((TRIM(AF578)="")&lt;&gt;(TRIM(AG578)=""),"GST login needs both user ID and password; ","")&amp;IF((TRIM(AH578)="")&lt;&gt;(TRIM(AI578)=""),"Income-tax login needs both user ID and password; ","")&amp;IF((TRIM(AJ578)="")&lt;&gt;(TRIM(AK578)=""),"Income-tax login needs both user ID and password; ","")&amp;IF((TRIM(AL578)="")&lt;&gt;(TRIM(AM578)=""),"TRACES login needs both user ID and password; ","")&amp;IF((TRIM(AN578)="")&lt;&gt;(TRIM(AO578)=""),"MCA login needs both user ID and password; ","")&amp;IF((TRIM(AP578)="")&lt;&gt;(TRIM(AQ578)=""),"E-way bill login needs both user ID and password; ","")</f>
        <v/>
      </c>
    </row>
    <row r="579">
      <c r="A579" s="32" t="n"/>
      <c r="B579" s="33" t="n"/>
      <c r="C579" s="33" t="n"/>
      <c r="D579" s="33" t="n"/>
      <c r="E579" s="32" t="n"/>
      <c r="F579" s="32" t="n"/>
      <c r="G579" s="32" t="n"/>
      <c r="H579" s="32" t="n"/>
      <c r="I579" s="32" t="n"/>
      <c r="J579" s="34" t="n"/>
      <c r="K579" s="33" t="n"/>
      <c r="L579" s="32" t="n"/>
      <c r="M579" s="33" t="n"/>
      <c r="N579" s="33" t="n"/>
      <c r="O579" s="33" t="n"/>
      <c r="P579" s="32" t="n"/>
      <c r="Q579" s="33" t="n"/>
      <c r="R579" s="33" t="n"/>
      <c r="S579" s="33" t="n"/>
      <c r="T579" s="33" t="n"/>
      <c r="U579" s="32" t="n"/>
      <c r="V579" s="33" t="n"/>
      <c r="W579" s="33" t="n"/>
      <c r="X579" s="33" t="n"/>
      <c r="Y579" s="33" t="n"/>
      <c r="Z579" s="33" t="n"/>
      <c r="AA579" s="33" t="n"/>
      <c r="AB579" s="33" t="n"/>
      <c r="AC579" s="33" t="n"/>
      <c r="AD579" s="33" t="n"/>
      <c r="AE579" s="33" t="n"/>
      <c r="AF579" s="32" t="n"/>
      <c r="AG579" s="32" t="n"/>
      <c r="AH579" s="32" t="n"/>
      <c r="AI579" s="32" t="n"/>
      <c r="AJ579" s="32" t="n"/>
      <c r="AK579" s="32" t="n"/>
      <c r="AL579" s="32" t="n"/>
      <c r="AM579" s="32" t="n"/>
      <c r="AN579" s="32" t="n"/>
      <c r="AO579" s="32" t="n"/>
      <c r="AP579" s="32" t="n"/>
      <c r="AQ579" s="32" t="n"/>
      <c r="AR579" s="29">
        <f>IF(NOT(COUNTA(A579:AE579)&gt;0),"",IF(A579="","New client","Update"))</f>
        <v/>
      </c>
      <c r="AS579" s="29">
        <f>IF(BA579&lt;&gt;"",BA579,IF(LEN(AZ579)=15,MID(AZ579,3,10),""))</f>
        <v/>
      </c>
      <c r="AT579" s="29">
        <f>IF(BB579="","",BB579&amp;IF(D579="","  (guessed from PAN)",""))</f>
        <v/>
      </c>
      <c r="AU579" s="29">
        <f>IF(AZ579="","",IFERROR(INDEX(Lists!$L$2:$L$38,MATCH(LEFT(AZ579,2),Lists!$K$2:$K$38,0)),"Unknown code"))</f>
        <v/>
      </c>
      <c r="AV579" s="29">
        <f>IF(AZ579="","",IFERROR(IF(NOT(AND(LEN(AZ579)=15,ISNUMBER(MATCH(LEFT(AZ579,2),Lists!$K$2:$K$38,0)),SUMPRODUCT(--ISERROR(FIND(MID(MID(AZ579,3,10),{1,2,3,4,5,10},1),"ABCDEFGHIJKLMNOPQRSTUVWXYZ")))=0,SUMPRODUCT(--ISERROR(FIND(MID(MID(AZ579,3,10),{6,7,8,9},1),"0123456789")))=0,ISNUMBER(FIND(MID(AZ579,13,1),"123456789ABCDEFGHIJKLMNOPQRSTUVWXYZ")),MID(AZ579,14,1)="Z")),"Wrong format",IF(MID("0123456789ABCDEFGHIJKLMNOPQRSTUVWXYZ",MOD(36-MOD(SUMPRODUCT(INT((FIND(MID(AZ579,{1,2,3,4,5,6,7,8,9,10,11,12,13,14},1),"0123456789ABCDEFGHIJKLMNOPQRSTUVWXYZ")-1)*{1,2,1,2,1,2,1,2,1,2,1,2,1,2}/36)+MOD((FIND(MID(AZ579,{1,2,3,4,5,6,7,8,9,10,11,12,13,14},1),"0123456789ABCDEFGHIJKLMNOPQRSTUVWXYZ")-1)*{1,2,1,2,1,2,1,2,1,2,1,2,1,2},36)),36),36)+1,1)=MID(AZ579,15,1),"OK","Typo? check digit wrong")),"Wrong format"))</f>
        <v/>
      </c>
      <c r="AW579" s="29">
        <f>IF(BA579="","",IF(AND(LEN(BA579)=10,SUMPRODUCT(--ISERROR(FIND(MID(BA579,{1,2,3,4,5,10},1),"ABCDEFGHIJKLMNOPQRSTUVWXYZ")))=0,SUMPRODUCT(--ISERROR(FIND(MID(BA579,{6,7,8,9},1),"0123456789")))=0),"OK","Wrong format"))</f>
        <v/>
      </c>
      <c r="AX579" s="29">
        <f>IF(TRIM(H579)="","",IF(AND(LEN(UPPER(TRIM(H579)))=10,SUMPRODUCT(--ISERROR(FIND(MID(UPPER(TRIM(H579)),{1,2,3,4,10},1),"ABCDEFGHIJKLMNOPQRSTUVWXYZ")))=0,SUMPRODUCT(--ISERROR(FIND(MID(UPPER(TRIM(H579)),{5,6,7,8,9},1),"0123456789")))=0),"OK","Wrong format"))</f>
        <v/>
      </c>
      <c r="AY579" s="30">
        <f>IF(NOT(COUNTA(A579:AE579)&gt;0),"",IF(BE579&lt;&gt;"","✖ "&amp;LEFT(BE579,LEN(BE579)-2),IF(BD579&gt;0,"✔ Ready — client + "&amp;BD579&amp;" service(s)","✔ Ready — client only")))</f>
        <v/>
      </c>
      <c r="AZ579" s="31">
        <f>UPPER(SUBSTITUTE(TRIM(F579)," ",""))</f>
        <v/>
      </c>
      <c r="BA579" s="31">
        <f>UPPER(SUBSTITUTE(TRIM(E579)," ",""))</f>
        <v/>
      </c>
      <c r="BB579" s="31">
        <f>IF(D579&lt;&gt;"",D579,IFERROR(VLOOKUP(MID(AS579,4,1),Lists!$E$2:$F$8,2,FALSE),""))</f>
        <v/>
      </c>
      <c r="BC579" s="31">
        <f>IFERROR(VLOOKUP(BB579,Lists!$A$2:$C$12,3,FALSE),"")</f>
        <v/>
      </c>
      <c r="BD579" s="31">
        <f>COUNTIF(W579:AC579,"Yes")</f>
        <v/>
      </c>
      <c r="BE579" s="31">
        <f>IF(TRIM(B579)="","Legal name missing; ","")&amp;IF(AND(AV579&lt;&gt;"",AV579&lt;&gt;"OK"),"GSTIN: "&amp;AV579&amp;"; ","")&amp;IF(AND(AW579&lt;&gt;"",AW579&lt;&gt;"OK"),"PAN wrong format; ","")&amp;IF(AND(BA579&lt;&gt;"",LEN(AZ579)=15,MID(AZ579,3,10)&lt;&gt;BA579),"PAN does not match GSTIN; ","")&amp;IF(AND(AX579&lt;&gt;"",AX579&lt;&gt;"OK"),"TAN wrong format; ","")&amp;IF(AS579="","PAN missing; ","")&amp;IF(BB579="","Entity type missing; ","")&amp;IF(AND(AZ579&lt;&gt;"",COUNTIF($AZ$6:$AZ$1005,AZ579)&gt;1),"GSTIN repeated in this sheet; ","")&amp;IF(AND(AS579&lt;&gt;"",COUNTIF($AS$6:$AS$1005,AS579)&gt;1),"PAN repeated in this sheet (same client? put extra GSTINs in Other GSTINs); ","")&amp;IF(AND(BD579&gt;0,V579=""),"Financial year missing; ","")&amp;IF(AND(BD579=0,V579&lt;&gt;""),"Financial year given but no service is Yes; ","")&amp;IF(AND(W579="Yes",AZ579=""),"GST needs a GSTIN; ","")&amp;IF(AND(W579="Yes",X579=""),"GST return frequency missing; ","")&amp;IF(AND(Y579="Yes",TRIM(H579)=""),"TDS needs a TAN; ","")&amp;IF(AND(AA579="Yes",BC579&lt;&gt;"",BC579&lt;&gt;"company",BC579&lt;&gt;"llp"),"ROC is only for a company / LLP; ","")&amp;IF(AND(AA579="Yes",OR(BC579="company",BC579="llp"),TRIM(I579)=""),"ROC needs the CIN / LLPIN; ","")&amp;IF((TRIM(AF579)="")&lt;&gt;(TRIM(AG579)=""),"GST login needs both user ID and password; ","")&amp;IF((TRIM(AH579)="")&lt;&gt;(TRIM(AI579)=""),"Income-tax login needs both user ID and password; ","")&amp;IF((TRIM(AJ579)="")&lt;&gt;(TRIM(AK579)=""),"Income-tax login needs both user ID and password; ","")&amp;IF((TRIM(AL579)="")&lt;&gt;(TRIM(AM579)=""),"TRACES login needs both user ID and password; ","")&amp;IF((TRIM(AN579)="")&lt;&gt;(TRIM(AO579)=""),"MCA login needs both user ID and password; ","")&amp;IF((TRIM(AP579)="")&lt;&gt;(TRIM(AQ579)=""),"E-way bill login needs both user ID and password; ","")</f>
        <v/>
      </c>
    </row>
    <row r="580">
      <c r="A580" s="32" t="n"/>
      <c r="B580" s="33" t="n"/>
      <c r="C580" s="33" t="n"/>
      <c r="D580" s="33" t="n"/>
      <c r="E580" s="32" t="n"/>
      <c r="F580" s="32" t="n"/>
      <c r="G580" s="32" t="n"/>
      <c r="H580" s="32" t="n"/>
      <c r="I580" s="32" t="n"/>
      <c r="J580" s="34" t="n"/>
      <c r="K580" s="33" t="n"/>
      <c r="L580" s="32" t="n"/>
      <c r="M580" s="33" t="n"/>
      <c r="N580" s="33" t="n"/>
      <c r="O580" s="33" t="n"/>
      <c r="P580" s="32" t="n"/>
      <c r="Q580" s="33" t="n"/>
      <c r="R580" s="33" t="n"/>
      <c r="S580" s="33" t="n"/>
      <c r="T580" s="33" t="n"/>
      <c r="U580" s="32" t="n"/>
      <c r="V580" s="33" t="n"/>
      <c r="W580" s="33" t="n"/>
      <c r="X580" s="33" t="n"/>
      <c r="Y580" s="33" t="n"/>
      <c r="Z580" s="33" t="n"/>
      <c r="AA580" s="33" t="n"/>
      <c r="AB580" s="33" t="n"/>
      <c r="AC580" s="33" t="n"/>
      <c r="AD580" s="33" t="n"/>
      <c r="AE580" s="33" t="n"/>
      <c r="AF580" s="32" t="n"/>
      <c r="AG580" s="32" t="n"/>
      <c r="AH580" s="32" t="n"/>
      <c r="AI580" s="32" t="n"/>
      <c r="AJ580" s="32" t="n"/>
      <c r="AK580" s="32" t="n"/>
      <c r="AL580" s="32" t="n"/>
      <c r="AM580" s="32" t="n"/>
      <c r="AN580" s="32" t="n"/>
      <c r="AO580" s="32" t="n"/>
      <c r="AP580" s="32" t="n"/>
      <c r="AQ580" s="32" t="n"/>
      <c r="AR580" s="29">
        <f>IF(NOT(COUNTA(A580:AE580)&gt;0),"",IF(A580="","New client","Update"))</f>
        <v/>
      </c>
      <c r="AS580" s="29">
        <f>IF(BA580&lt;&gt;"",BA580,IF(LEN(AZ580)=15,MID(AZ580,3,10),""))</f>
        <v/>
      </c>
      <c r="AT580" s="29">
        <f>IF(BB580="","",BB580&amp;IF(D580="","  (guessed from PAN)",""))</f>
        <v/>
      </c>
      <c r="AU580" s="29">
        <f>IF(AZ580="","",IFERROR(INDEX(Lists!$L$2:$L$38,MATCH(LEFT(AZ580,2),Lists!$K$2:$K$38,0)),"Unknown code"))</f>
        <v/>
      </c>
      <c r="AV580" s="29">
        <f>IF(AZ580="","",IFERROR(IF(NOT(AND(LEN(AZ580)=15,ISNUMBER(MATCH(LEFT(AZ580,2),Lists!$K$2:$K$38,0)),SUMPRODUCT(--ISERROR(FIND(MID(MID(AZ580,3,10),{1,2,3,4,5,10},1),"ABCDEFGHIJKLMNOPQRSTUVWXYZ")))=0,SUMPRODUCT(--ISERROR(FIND(MID(MID(AZ580,3,10),{6,7,8,9},1),"0123456789")))=0,ISNUMBER(FIND(MID(AZ580,13,1),"123456789ABCDEFGHIJKLMNOPQRSTUVWXYZ")),MID(AZ580,14,1)="Z")),"Wrong format",IF(MID("0123456789ABCDEFGHIJKLMNOPQRSTUVWXYZ",MOD(36-MOD(SUMPRODUCT(INT((FIND(MID(AZ580,{1,2,3,4,5,6,7,8,9,10,11,12,13,14},1),"0123456789ABCDEFGHIJKLMNOPQRSTUVWXYZ")-1)*{1,2,1,2,1,2,1,2,1,2,1,2,1,2}/36)+MOD((FIND(MID(AZ580,{1,2,3,4,5,6,7,8,9,10,11,12,13,14},1),"0123456789ABCDEFGHIJKLMNOPQRSTUVWXYZ")-1)*{1,2,1,2,1,2,1,2,1,2,1,2,1,2},36)),36),36)+1,1)=MID(AZ580,15,1),"OK","Typo? check digit wrong")),"Wrong format"))</f>
        <v/>
      </c>
      <c r="AW580" s="29">
        <f>IF(BA580="","",IF(AND(LEN(BA580)=10,SUMPRODUCT(--ISERROR(FIND(MID(BA580,{1,2,3,4,5,10},1),"ABCDEFGHIJKLMNOPQRSTUVWXYZ")))=0,SUMPRODUCT(--ISERROR(FIND(MID(BA580,{6,7,8,9},1),"0123456789")))=0),"OK","Wrong format"))</f>
        <v/>
      </c>
      <c r="AX580" s="29">
        <f>IF(TRIM(H580)="","",IF(AND(LEN(UPPER(TRIM(H580)))=10,SUMPRODUCT(--ISERROR(FIND(MID(UPPER(TRIM(H580)),{1,2,3,4,10},1),"ABCDEFGHIJKLMNOPQRSTUVWXYZ")))=0,SUMPRODUCT(--ISERROR(FIND(MID(UPPER(TRIM(H580)),{5,6,7,8,9},1),"0123456789")))=0),"OK","Wrong format"))</f>
        <v/>
      </c>
      <c r="AY580" s="30">
        <f>IF(NOT(COUNTA(A580:AE580)&gt;0),"",IF(BE580&lt;&gt;"","✖ "&amp;LEFT(BE580,LEN(BE580)-2),IF(BD580&gt;0,"✔ Ready — client + "&amp;BD580&amp;" service(s)","✔ Ready — client only")))</f>
        <v/>
      </c>
      <c r="AZ580" s="31">
        <f>UPPER(SUBSTITUTE(TRIM(F580)," ",""))</f>
        <v/>
      </c>
      <c r="BA580" s="31">
        <f>UPPER(SUBSTITUTE(TRIM(E580)," ",""))</f>
        <v/>
      </c>
      <c r="BB580" s="31">
        <f>IF(D580&lt;&gt;"",D580,IFERROR(VLOOKUP(MID(AS580,4,1),Lists!$E$2:$F$8,2,FALSE),""))</f>
        <v/>
      </c>
      <c r="BC580" s="31">
        <f>IFERROR(VLOOKUP(BB580,Lists!$A$2:$C$12,3,FALSE),"")</f>
        <v/>
      </c>
      <c r="BD580" s="31">
        <f>COUNTIF(W580:AC580,"Yes")</f>
        <v/>
      </c>
      <c r="BE580" s="31">
        <f>IF(TRIM(B580)="","Legal name missing; ","")&amp;IF(AND(AV580&lt;&gt;"",AV580&lt;&gt;"OK"),"GSTIN: "&amp;AV580&amp;"; ","")&amp;IF(AND(AW580&lt;&gt;"",AW580&lt;&gt;"OK"),"PAN wrong format; ","")&amp;IF(AND(BA580&lt;&gt;"",LEN(AZ580)=15,MID(AZ580,3,10)&lt;&gt;BA580),"PAN does not match GSTIN; ","")&amp;IF(AND(AX580&lt;&gt;"",AX580&lt;&gt;"OK"),"TAN wrong format; ","")&amp;IF(AS580="","PAN missing; ","")&amp;IF(BB580="","Entity type missing; ","")&amp;IF(AND(AZ580&lt;&gt;"",COUNTIF($AZ$6:$AZ$1005,AZ580)&gt;1),"GSTIN repeated in this sheet; ","")&amp;IF(AND(AS580&lt;&gt;"",COUNTIF($AS$6:$AS$1005,AS580)&gt;1),"PAN repeated in this sheet (same client? put extra GSTINs in Other GSTINs); ","")&amp;IF(AND(BD580&gt;0,V580=""),"Financial year missing; ","")&amp;IF(AND(BD580=0,V580&lt;&gt;""),"Financial year given but no service is Yes; ","")&amp;IF(AND(W580="Yes",AZ580=""),"GST needs a GSTIN; ","")&amp;IF(AND(W580="Yes",X580=""),"GST return frequency missing; ","")&amp;IF(AND(Y580="Yes",TRIM(H580)=""),"TDS needs a TAN; ","")&amp;IF(AND(AA580="Yes",BC580&lt;&gt;"",BC580&lt;&gt;"company",BC580&lt;&gt;"llp"),"ROC is only for a company / LLP; ","")&amp;IF(AND(AA580="Yes",OR(BC580="company",BC580="llp"),TRIM(I580)=""),"ROC needs the CIN / LLPIN; ","")&amp;IF((TRIM(AF580)="")&lt;&gt;(TRIM(AG580)=""),"GST login needs both user ID and password; ","")&amp;IF((TRIM(AH580)="")&lt;&gt;(TRIM(AI580)=""),"Income-tax login needs both user ID and password; ","")&amp;IF((TRIM(AJ580)="")&lt;&gt;(TRIM(AK580)=""),"Income-tax login needs both user ID and password; ","")&amp;IF((TRIM(AL580)="")&lt;&gt;(TRIM(AM580)=""),"TRACES login needs both user ID and password; ","")&amp;IF((TRIM(AN580)="")&lt;&gt;(TRIM(AO580)=""),"MCA login needs both user ID and password; ","")&amp;IF((TRIM(AP580)="")&lt;&gt;(TRIM(AQ580)=""),"E-way bill login needs both user ID and password; ","")</f>
        <v/>
      </c>
    </row>
    <row r="581">
      <c r="A581" s="32" t="n"/>
      <c r="B581" s="33" t="n"/>
      <c r="C581" s="33" t="n"/>
      <c r="D581" s="33" t="n"/>
      <c r="E581" s="32" t="n"/>
      <c r="F581" s="32" t="n"/>
      <c r="G581" s="32" t="n"/>
      <c r="H581" s="32" t="n"/>
      <c r="I581" s="32" t="n"/>
      <c r="J581" s="34" t="n"/>
      <c r="K581" s="33" t="n"/>
      <c r="L581" s="32" t="n"/>
      <c r="M581" s="33" t="n"/>
      <c r="N581" s="33" t="n"/>
      <c r="O581" s="33" t="n"/>
      <c r="P581" s="32" t="n"/>
      <c r="Q581" s="33" t="n"/>
      <c r="R581" s="33" t="n"/>
      <c r="S581" s="33" t="n"/>
      <c r="T581" s="33" t="n"/>
      <c r="U581" s="32" t="n"/>
      <c r="V581" s="33" t="n"/>
      <c r="W581" s="33" t="n"/>
      <c r="X581" s="33" t="n"/>
      <c r="Y581" s="33" t="n"/>
      <c r="Z581" s="33" t="n"/>
      <c r="AA581" s="33" t="n"/>
      <c r="AB581" s="33" t="n"/>
      <c r="AC581" s="33" t="n"/>
      <c r="AD581" s="33" t="n"/>
      <c r="AE581" s="33" t="n"/>
      <c r="AF581" s="32" t="n"/>
      <c r="AG581" s="32" t="n"/>
      <c r="AH581" s="32" t="n"/>
      <c r="AI581" s="32" t="n"/>
      <c r="AJ581" s="32" t="n"/>
      <c r="AK581" s="32" t="n"/>
      <c r="AL581" s="32" t="n"/>
      <c r="AM581" s="32" t="n"/>
      <c r="AN581" s="32" t="n"/>
      <c r="AO581" s="32" t="n"/>
      <c r="AP581" s="32" t="n"/>
      <c r="AQ581" s="32" t="n"/>
      <c r="AR581" s="29">
        <f>IF(NOT(COUNTA(A581:AE581)&gt;0),"",IF(A581="","New client","Update"))</f>
        <v/>
      </c>
      <c r="AS581" s="29">
        <f>IF(BA581&lt;&gt;"",BA581,IF(LEN(AZ581)=15,MID(AZ581,3,10),""))</f>
        <v/>
      </c>
      <c r="AT581" s="29">
        <f>IF(BB581="","",BB581&amp;IF(D581="","  (guessed from PAN)",""))</f>
        <v/>
      </c>
      <c r="AU581" s="29">
        <f>IF(AZ581="","",IFERROR(INDEX(Lists!$L$2:$L$38,MATCH(LEFT(AZ581,2),Lists!$K$2:$K$38,0)),"Unknown code"))</f>
        <v/>
      </c>
      <c r="AV581" s="29">
        <f>IF(AZ581="","",IFERROR(IF(NOT(AND(LEN(AZ581)=15,ISNUMBER(MATCH(LEFT(AZ581,2),Lists!$K$2:$K$38,0)),SUMPRODUCT(--ISERROR(FIND(MID(MID(AZ581,3,10),{1,2,3,4,5,10},1),"ABCDEFGHIJKLMNOPQRSTUVWXYZ")))=0,SUMPRODUCT(--ISERROR(FIND(MID(MID(AZ581,3,10),{6,7,8,9},1),"0123456789")))=0,ISNUMBER(FIND(MID(AZ581,13,1),"123456789ABCDEFGHIJKLMNOPQRSTUVWXYZ")),MID(AZ581,14,1)="Z")),"Wrong format",IF(MID("0123456789ABCDEFGHIJKLMNOPQRSTUVWXYZ",MOD(36-MOD(SUMPRODUCT(INT((FIND(MID(AZ581,{1,2,3,4,5,6,7,8,9,10,11,12,13,14},1),"0123456789ABCDEFGHIJKLMNOPQRSTUVWXYZ")-1)*{1,2,1,2,1,2,1,2,1,2,1,2,1,2}/36)+MOD((FIND(MID(AZ581,{1,2,3,4,5,6,7,8,9,10,11,12,13,14},1),"0123456789ABCDEFGHIJKLMNOPQRSTUVWXYZ")-1)*{1,2,1,2,1,2,1,2,1,2,1,2,1,2},36)),36),36)+1,1)=MID(AZ581,15,1),"OK","Typo? check digit wrong")),"Wrong format"))</f>
        <v/>
      </c>
      <c r="AW581" s="29">
        <f>IF(BA581="","",IF(AND(LEN(BA581)=10,SUMPRODUCT(--ISERROR(FIND(MID(BA581,{1,2,3,4,5,10},1),"ABCDEFGHIJKLMNOPQRSTUVWXYZ")))=0,SUMPRODUCT(--ISERROR(FIND(MID(BA581,{6,7,8,9},1),"0123456789")))=0),"OK","Wrong format"))</f>
        <v/>
      </c>
      <c r="AX581" s="29">
        <f>IF(TRIM(H581)="","",IF(AND(LEN(UPPER(TRIM(H581)))=10,SUMPRODUCT(--ISERROR(FIND(MID(UPPER(TRIM(H581)),{1,2,3,4,10},1),"ABCDEFGHIJKLMNOPQRSTUVWXYZ")))=0,SUMPRODUCT(--ISERROR(FIND(MID(UPPER(TRIM(H581)),{5,6,7,8,9},1),"0123456789")))=0),"OK","Wrong format"))</f>
        <v/>
      </c>
      <c r="AY581" s="30">
        <f>IF(NOT(COUNTA(A581:AE581)&gt;0),"",IF(BE581&lt;&gt;"","✖ "&amp;LEFT(BE581,LEN(BE581)-2),IF(BD581&gt;0,"✔ Ready — client + "&amp;BD581&amp;" service(s)","✔ Ready — client only")))</f>
        <v/>
      </c>
      <c r="AZ581" s="31">
        <f>UPPER(SUBSTITUTE(TRIM(F581)," ",""))</f>
        <v/>
      </c>
      <c r="BA581" s="31">
        <f>UPPER(SUBSTITUTE(TRIM(E581)," ",""))</f>
        <v/>
      </c>
      <c r="BB581" s="31">
        <f>IF(D581&lt;&gt;"",D581,IFERROR(VLOOKUP(MID(AS581,4,1),Lists!$E$2:$F$8,2,FALSE),""))</f>
        <v/>
      </c>
      <c r="BC581" s="31">
        <f>IFERROR(VLOOKUP(BB581,Lists!$A$2:$C$12,3,FALSE),"")</f>
        <v/>
      </c>
      <c r="BD581" s="31">
        <f>COUNTIF(W581:AC581,"Yes")</f>
        <v/>
      </c>
      <c r="BE581" s="31">
        <f>IF(TRIM(B581)="","Legal name missing; ","")&amp;IF(AND(AV581&lt;&gt;"",AV581&lt;&gt;"OK"),"GSTIN: "&amp;AV581&amp;"; ","")&amp;IF(AND(AW581&lt;&gt;"",AW581&lt;&gt;"OK"),"PAN wrong format; ","")&amp;IF(AND(BA581&lt;&gt;"",LEN(AZ581)=15,MID(AZ581,3,10)&lt;&gt;BA581),"PAN does not match GSTIN; ","")&amp;IF(AND(AX581&lt;&gt;"",AX581&lt;&gt;"OK"),"TAN wrong format; ","")&amp;IF(AS581="","PAN missing; ","")&amp;IF(BB581="","Entity type missing; ","")&amp;IF(AND(AZ581&lt;&gt;"",COUNTIF($AZ$6:$AZ$1005,AZ581)&gt;1),"GSTIN repeated in this sheet; ","")&amp;IF(AND(AS581&lt;&gt;"",COUNTIF($AS$6:$AS$1005,AS581)&gt;1),"PAN repeated in this sheet (same client? put extra GSTINs in Other GSTINs); ","")&amp;IF(AND(BD581&gt;0,V581=""),"Financial year missing; ","")&amp;IF(AND(BD581=0,V581&lt;&gt;""),"Financial year given but no service is Yes; ","")&amp;IF(AND(W581="Yes",AZ581=""),"GST needs a GSTIN; ","")&amp;IF(AND(W581="Yes",X581=""),"GST return frequency missing; ","")&amp;IF(AND(Y581="Yes",TRIM(H581)=""),"TDS needs a TAN; ","")&amp;IF(AND(AA581="Yes",BC581&lt;&gt;"",BC581&lt;&gt;"company",BC581&lt;&gt;"llp"),"ROC is only for a company / LLP; ","")&amp;IF(AND(AA581="Yes",OR(BC581="company",BC581="llp"),TRIM(I581)=""),"ROC needs the CIN / LLPIN; ","")&amp;IF((TRIM(AF581)="")&lt;&gt;(TRIM(AG581)=""),"GST login needs both user ID and password; ","")&amp;IF((TRIM(AH581)="")&lt;&gt;(TRIM(AI581)=""),"Income-tax login needs both user ID and password; ","")&amp;IF((TRIM(AJ581)="")&lt;&gt;(TRIM(AK581)=""),"Income-tax login needs both user ID and password; ","")&amp;IF((TRIM(AL581)="")&lt;&gt;(TRIM(AM581)=""),"TRACES login needs both user ID and password; ","")&amp;IF((TRIM(AN581)="")&lt;&gt;(TRIM(AO581)=""),"MCA login needs both user ID and password; ","")&amp;IF((TRIM(AP581)="")&lt;&gt;(TRIM(AQ581)=""),"E-way bill login needs both user ID and password; ","")</f>
        <v/>
      </c>
    </row>
    <row r="582">
      <c r="A582" s="32" t="n"/>
      <c r="B582" s="33" t="n"/>
      <c r="C582" s="33" t="n"/>
      <c r="D582" s="33" t="n"/>
      <c r="E582" s="32" t="n"/>
      <c r="F582" s="32" t="n"/>
      <c r="G582" s="32" t="n"/>
      <c r="H582" s="32" t="n"/>
      <c r="I582" s="32" t="n"/>
      <c r="J582" s="34" t="n"/>
      <c r="K582" s="33" t="n"/>
      <c r="L582" s="32" t="n"/>
      <c r="M582" s="33" t="n"/>
      <c r="N582" s="33" t="n"/>
      <c r="O582" s="33" t="n"/>
      <c r="P582" s="32" t="n"/>
      <c r="Q582" s="33" t="n"/>
      <c r="R582" s="33" t="n"/>
      <c r="S582" s="33" t="n"/>
      <c r="T582" s="33" t="n"/>
      <c r="U582" s="32" t="n"/>
      <c r="V582" s="33" t="n"/>
      <c r="W582" s="33" t="n"/>
      <c r="X582" s="33" t="n"/>
      <c r="Y582" s="33" t="n"/>
      <c r="Z582" s="33" t="n"/>
      <c r="AA582" s="33" t="n"/>
      <c r="AB582" s="33" t="n"/>
      <c r="AC582" s="33" t="n"/>
      <c r="AD582" s="33" t="n"/>
      <c r="AE582" s="33" t="n"/>
      <c r="AF582" s="32" t="n"/>
      <c r="AG582" s="32" t="n"/>
      <c r="AH582" s="32" t="n"/>
      <c r="AI582" s="32" t="n"/>
      <c r="AJ582" s="32" t="n"/>
      <c r="AK582" s="32" t="n"/>
      <c r="AL582" s="32" t="n"/>
      <c r="AM582" s="32" t="n"/>
      <c r="AN582" s="32" t="n"/>
      <c r="AO582" s="32" t="n"/>
      <c r="AP582" s="32" t="n"/>
      <c r="AQ582" s="32" t="n"/>
      <c r="AR582" s="29">
        <f>IF(NOT(COUNTA(A582:AE582)&gt;0),"",IF(A582="","New client","Update"))</f>
        <v/>
      </c>
      <c r="AS582" s="29">
        <f>IF(BA582&lt;&gt;"",BA582,IF(LEN(AZ582)=15,MID(AZ582,3,10),""))</f>
        <v/>
      </c>
      <c r="AT582" s="29">
        <f>IF(BB582="","",BB582&amp;IF(D582="","  (guessed from PAN)",""))</f>
        <v/>
      </c>
      <c r="AU582" s="29">
        <f>IF(AZ582="","",IFERROR(INDEX(Lists!$L$2:$L$38,MATCH(LEFT(AZ582,2),Lists!$K$2:$K$38,0)),"Unknown code"))</f>
        <v/>
      </c>
      <c r="AV582" s="29">
        <f>IF(AZ582="","",IFERROR(IF(NOT(AND(LEN(AZ582)=15,ISNUMBER(MATCH(LEFT(AZ582,2),Lists!$K$2:$K$38,0)),SUMPRODUCT(--ISERROR(FIND(MID(MID(AZ582,3,10),{1,2,3,4,5,10},1),"ABCDEFGHIJKLMNOPQRSTUVWXYZ")))=0,SUMPRODUCT(--ISERROR(FIND(MID(MID(AZ582,3,10),{6,7,8,9},1),"0123456789")))=0,ISNUMBER(FIND(MID(AZ582,13,1),"123456789ABCDEFGHIJKLMNOPQRSTUVWXYZ")),MID(AZ582,14,1)="Z")),"Wrong format",IF(MID("0123456789ABCDEFGHIJKLMNOPQRSTUVWXYZ",MOD(36-MOD(SUMPRODUCT(INT((FIND(MID(AZ582,{1,2,3,4,5,6,7,8,9,10,11,12,13,14},1),"0123456789ABCDEFGHIJKLMNOPQRSTUVWXYZ")-1)*{1,2,1,2,1,2,1,2,1,2,1,2,1,2}/36)+MOD((FIND(MID(AZ582,{1,2,3,4,5,6,7,8,9,10,11,12,13,14},1),"0123456789ABCDEFGHIJKLMNOPQRSTUVWXYZ")-1)*{1,2,1,2,1,2,1,2,1,2,1,2,1,2},36)),36),36)+1,1)=MID(AZ582,15,1),"OK","Typo? check digit wrong")),"Wrong format"))</f>
        <v/>
      </c>
      <c r="AW582" s="29">
        <f>IF(BA582="","",IF(AND(LEN(BA582)=10,SUMPRODUCT(--ISERROR(FIND(MID(BA582,{1,2,3,4,5,10},1),"ABCDEFGHIJKLMNOPQRSTUVWXYZ")))=0,SUMPRODUCT(--ISERROR(FIND(MID(BA582,{6,7,8,9},1),"0123456789")))=0),"OK","Wrong format"))</f>
        <v/>
      </c>
      <c r="AX582" s="29">
        <f>IF(TRIM(H582)="","",IF(AND(LEN(UPPER(TRIM(H582)))=10,SUMPRODUCT(--ISERROR(FIND(MID(UPPER(TRIM(H582)),{1,2,3,4,10},1),"ABCDEFGHIJKLMNOPQRSTUVWXYZ")))=0,SUMPRODUCT(--ISERROR(FIND(MID(UPPER(TRIM(H582)),{5,6,7,8,9},1),"0123456789")))=0),"OK","Wrong format"))</f>
        <v/>
      </c>
      <c r="AY582" s="30">
        <f>IF(NOT(COUNTA(A582:AE582)&gt;0),"",IF(BE582&lt;&gt;"","✖ "&amp;LEFT(BE582,LEN(BE582)-2),IF(BD582&gt;0,"✔ Ready — client + "&amp;BD582&amp;" service(s)","✔ Ready — client only")))</f>
        <v/>
      </c>
      <c r="AZ582" s="31">
        <f>UPPER(SUBSTITUTE(TRIM(F582)," ",""))</f>
        <v/>
      </c>
      <c r="BA582" s="31">
        <f>UPPER(SUBSTITUTE(TRIM(E582)," ",""))</f>
        <v/>
      </c>
      <c r="BB582" s="31">
        <f>IF(D582&lt;&gt;"",D582,IFERROR(VLOOKUP(MID(AS582,4,1),Lists!$E$2:$F$8,2,FALSE),""))</f>
        <v/>
      </c>
      <c r="BC582" s="31">
        <f>IFERROR(VLOOKUP(BB582,Lists!$A$2:$C$12,3,FALSE),"")</f>
        <v/>
      </c>
      <c r="BD582" s="31">
        <f>COUNTIF(W582:AC582,"Yes")</f>
        <v/>
      </c>
      <c r="BE582" s="31">
        <f>IF(TRIM(B582)="","Legal name missing; ","")&amp;IF(AND(AV582&lt;&gt;"",AV582&lt;&gt;"OK"),"GSTIN: "&amp;AV582&amp;"; ","")&amp;IF(AND(AW582&lt;&gt;"",AW582&lt;&gt;"OK"),"PAN wrong format; ","")&amp;IF(AND(BA582&lt;&gt;"",LEN(AZ582)=15,MID(AZ582,3,10)&lt;&gt;BA582),"PAN does not match GSTIN; ","")&amp;IF(AND(AX582&lt;&gt;"",AX582&lt;&gt;"OK"),"TAN wrong format; ","")&amp;IF(AS582="","PAN missing; ","")&amp;IF(BB582="","Entity type missing; ","")&amp;IF(AND(AZ582&lt;&gt;"",COUNTIF($AZ$6:$AZ$1005,AZ582)&gt;1),"GSTIN repeated in this sheet; ","")&amp;IF(AND(AS582&lt;&gt;"",COUNTIF($AS$6:$AS$1005,AS582)&gt;1),"PAN repeated in this sheet (same client? put extra GSTINs in Other GSTINs); ","")&amp;IF(AND(BD582&gt;0,V582=""),"Financial year missing; ","")&amp;IF(AND(BD582=0,V582&lt;&gt;""),"Financial year given but no service is Yes; ","")&amp;IF(AND(W582="Yes",AZ582=""),"GST needs a GSTIN; ","")&amp;IF(AND(W582="Yes",X582=""),"GST return frequency missing; ","")&amp;IF(AND(Y582="Yes",TRIM(H582)=""),"TDS needs a TAN; ","")&amp;IF(AND(AA582="Yes",BC582&lt;&gt;"",BC582&lt;&gt;"company",BC582&lt;&gt;"llp"),"ROC is only for a company / LLP; ","")&amp;IF(AND(AA582="Yes",OR(BC582="company",BC582="llp"),TRIM(I582)=""),"ROC needs the CIN / LLPIN; ","")&amp;IF((TRIM(AF582)="")&lt;&gt;(TRIM(AG582)=""),"GST login needs both user ID and password; ","")&amp;IF((TRIM(AH582)="")&lt;&gt;(TRIM(AI582)=""),"Income-tax login needs both user ID and password; ","")&amp;IF((TRIM(AJ582)="")&lt;&gt;(TRIM(AK582)=""),"Income-tax login needs both user ID and password; ","")&amp;IF((TRIM(AL582)="")&lt;&gt;(TRIM(AM582)=""),"TRACES login needs both user ID and password; ","")&amp;IF((TRIM(AN582)="")&lt;&gt;(TRIM(AO582)=""),"MCA login needs both user ID and password; ","")&amp;IF((TRIM(AP582)="")&lt;&gt;(TRIM(AQ582)=""),"E-way bill login needs both user ID and password; ","")</f>
        <v/>
      </c>
    </row>
    <row r="583">
      <c r="A583" s="32" t="n"/>
      <c r="B583" s="33" t="n"/>
      <c r="C583" s="33" t="n"/>
      <c r="D583" s="33" t="n"/>
      <c r="E583" s="32" t="n"/>
      <c r="F583" s="32" t="n"/>
      <c r="G583" s="32" t="n"/>
      <c r="H583" s="32" t="n"/>
      <c r="I583" s="32" t="n"/>
      <c r="J583" s="34" t="n"/>
      <c r="K583" s="33" t="n"/>
      <c r="L583" s="32" t="n"/>
      <c r="M583" s="33" t="n"/>
      <c r="N583" s="33" t="n"/>
      <c r="O583" s="33" t="n"/>
      <c r="P583" s="32" t="n"/>
      <c r="Q583" s="33" t="n"/>
      <c r="R583" s="33" t="n"/>
      <c r="S583" s="33" t="n"/>
      <c r="T583" s="33" t="n"/>
      <c r="U583" s="32" t="n"/>
      <c r="V583" s="33" t="n"/>
      <c r="W583" s="33" t="n"/>
      <c r="X583" s="33" t="n"/>
      <c r="Y583" s="33" t="n"/>
      <c r="Z583" s="33" t="n"/>
      <c r="AA583" s="33" t="n"/>
      <c r="AB583" s="33" t="n"/>
      <c r="AC583" s="33" t="n"/>
      <c r="AD583" s="33" t="n"/>
      <c r="AE583" s="33" t="n"/>
      <c r="AF583" s="32" t="n"/>
      <c r="AG583" s="32" t="n"/>
      <c r="AH583" s="32" t="n"/>
      <c r="AI583" s="32" t="n"/>
      <c r="AJ583" s="32" t="n"/>
      <c r="AK583" s="32" t="n"/>
      <c r="AL583" s="32" t="n"/>
      <c r="AM583" s="32" t="n"/>
      <c r="AN583" s="32" t="n"/>
      <c r="AO583" s="32" t="n"/>
      <c r="AP583" s="32" t="n"/>
      <c r="AQ583" s="32" t="n"/>
      <c r="AR583" s="29">
        <f>IF(NOT(COUNTA(A583:AE583)&gt;0),"",IF(A583="","New client","Update"))</f>
        <v/>
      </c>
      <c r="AS583" s="29">
        <f>IF(BA583&lt;&gt;"",BA583,IF(LEN(AZ583)=15,MID(AZ583,3,10),""))</f>
        <v/>
      </c>
      <c r="AT583" s="29">
        <f>IF(BB583="","",BB583&amp;IF(D583="","  (guessed from PAN)",""))</f>
        <v/>
      </c>
      <c r="AU583" s="29">
        <f>IF(AZ583="","",IFERROR(INDEX(Lists!$L$2:$L$38,MATCH(LEFT(AZ583,2),Lists!$K$2:$K$38,0)),"Unknown code"))</f>
        <v/>
      </c>
      <c r="AV583" s="29">
        <f>IF(AZ583="","",IFERROR(IF(NOT(AND(LEN(AZ583)=15,ISNUMBER(MATCH(LEFT(AZ583,2),Lists!$K$2:$K$38,0)),SUMPRODUCT(--ISERROR(FIND(MID(MID(AZ583,3,10),{1,2,3,4,5,10},1),"ABCDEFGHIJKLMNOPQRSTUVWXYZ")))=0,SUMPRODUCT(--ISERROR(FIND(MID(MID(AZ583,3,10),{6,7,8,9},1),"0123456789")))=0,ISNUMBER(FIND(MID(AZ583,13,1),"123456789ABCDEFGHIJKLMNOPQRSTUVWXYZ")),MID(AZ583,14,1)="Z")),"Wrong format",IF(MID("0123456789ABCDEFGHIJKLMNOPQRSTUVWXYZ",MOD(36-MOD(SUMPRODUCT(INT((FIND(MID(AZ583,{1,2,3,4,5,6,7,8,9,10,11,12,13,14},1),"0123456789ABCDEFGHIJKLMNOPQRSTUVWXYZ")-1)*{1,2,1,2,1,2,1,2,1,2,1,2,1,2}/36)+MOD((FIND(MID(AZ583,{1,2,3,4,5,6,7,8,9,10,11,12,13,14},1),"0123456789ABCDEFGHIJKLMNOPQRSTUVWXYZ")-1)*{1,2,1,2,1,2,1,2,1,2,1,2,1,2},36)),36),36)+1,1)=MID(AZ583,15,1),"OK","Typo? check digit wrong")),"Wrong format"))</f>
        <v/>
      </c>
      <c r="AW583" s="29">
        <f>IF(BA583="","",IF(AND(LEN(BA583)=10,SUMPRODUCT(--ISERROR(FIND(MID(BA583,{1,2,3,4,5,10},1),"ABCDEFGHIJKLMNOPQRSTUVWXYZ")))=0,SUMPRODUCT(--ISERROR(FIND(MID(BA583,{6,7,8,9},1),"0123456789")))=0),"OK","Wrong format"))</f>
        <v/>
      </c>
      <c r="AX583" s="29">
        <f>IF(TRIM(H583)="","",IF(AND(LEN(UPPER(TRIM(H583)))=10,SUMPRODUCT(--ISERROR(FIND(MID(UPPER(TRIM(H583)),{1,2,3,4,10},1),"ABCDEFGHIJKLMNOPQRSTUVWXYZ")))=0,SUMPRODUCT(--ISERROR(FIND(MID(UPPER(TRIM(H583)),{5,6,7,8,9},1),"0123456789")))=0),"OK","Wrong format"))</f>
        <v/>
      </c>
      <c r="AY583" s="30">
        <f>IF(NOT(COUNTA(A583:AE583)&gt;0),"",IF(BE583&lt;&gt;"","✖ "&amp;LEFT(BE583,LEN(BE583)-2),IF(BD583&gt;0,"✔ Ready — client + "&amp;BD583&amp;" service(s)","✔ Ready — client only")))</f>
        <v/>
      </c>
      <c r="AZ583" s="31">
        <f>UPPER(SUBSTITUTE(TRIM(F583)," ",""))</f>
        <v/>
      </c>
      <c r="BA583" s="31">
        <f>UPPER(SUBSTITUTE(TRIM(E583)," ",""))</f>
        <v/>
      </c>
      <c r="BB583" s="31">
        <f>IF(D583&lt;&gt;"",D583,IFERROR(VLOOKUP(MID(AS583,4,1),Lists!$E$2:$F$8,2,FALSE),""))</f>
        <v/>
      </c>
      <c r="BC583" s="31">
        <f>IFERROR(VLOOKUP(BB583,Lists!$A$2:$C$12,3,FALSE),"")</f>
        <v/>
      </c>
      <c r="BD583" s="31">
        <f>COUNTIF(W583:AC583,"Yes")</f>
        <v/>
      </c>
      <c r="BE583" s="31">
        <f>IF(TRIM(B583)="","Legal name missing; ","")&amp;IF(AND(AV583&lt;&gt;"",AV583&lt;&gt;"OK"),"GSTIN: "&amp;AV583&amp;"; ","")&amp;IF(AND(AW583&lt;&gt;"",AW583&lt;&gt;"OK"),"PAN wrong format; ","")&amp;IF(AND(BA583&lt;&gt;"",LEN(AZ583)=15,MID(AZ583,3,10)&lt;&gt;BA583),"PAN does not match GSTIN; ","")&amp;IF(AND(AX583&lt;&gt;"",AX583&lt;&gt;"OK"),"TAN wrong format; ","")&amp;IF(AS583="","PAN missing; ","")&amp;IF(BB583="","Entity type missing; ","")&amp;IF(AND(AZ583&lt;&gt;"",COUNTIF($AZ$6:$AZ$1005,AZ583)&gt;1),"GSTIN repeated in this sheet; ","")&amp;IF(AND(AS583&lt;&gt;"",COUNTIF($AS$6:$AS$1005,AS583)&gt;1),"PAN repeated in this sheet (same client? put extra GSTINs in Other GSTINs); ","")&amp;IF(AND(BD583&gt;0,V583=""),"Financial year missing; ","")&amp;IF(AND(BD583=0,V583&lt;&gt;""),"Financial year given but no service is Yes; ","")&amp;IF(AND(W583="Yes",AZ583=""),"GST needs a GSTIN; ","")&amp;IF(AND(W583="Yes",X583=""),"GST return frequency missing; ","")&amp;IF(AND(Y583="Yes",TRIM(H583)=""),"TDS needs a TAN; ","")&amp;IF(AND(AA583="Yes",BC583&lt;&gt;"",BC583&lt;&gt;"company",BC583&lt;&gt;"llp"),"ROC is only for a company / LLP; ","")&amp;IF(AND(AA583="Yes",OR(BC583="company",BC583="llp"),TRIM(I583)=""),"ROC needs the CIN / LLPIN; ","")&amp;IF((TRIM(AF583)="")&lt;&gt;(TRIM(AG583)=""),"GST login needs both user ID and password; ","")&amp;IF((TRIM(AH583)="")&lt;&gt;(TRIM(AI583)=""),"Income-tax login needs both user ID and password; ","")&amp;IF((TRIM(AJ583)="")&lt;&gt;(TRIM(AK583)=""),"Income-tax login needs both user ID and password; ","")&amp;IF((TRIM(AL583)="")&lt;&gt;(TRIM(AM583)=""),"TRACES login needs both user ID and password; ","")&amp;IF((TRIM(AN583)="")&lt;&gt;(TRIM(AO583)=""),"MCA login needs both user ID and password; ","")&amp;IF((TRIM(AP583)="")&lt;&gt;(TRIM(AQ583)=""),"E-way bill login needs both user ID and password; ","")</f>
        <v/>
      </c>
    </row>
    <row r="584">
      <c r="A584" s="32" t="n"/>
      <c r="B584" s="33" t="n"/>
      <c r="C584" s="33" t="n"/>
      <c r="D584" s="33" t="n"/>
      <c r="E584" s="32" t="n"/>
      <c r="F584" s="32" t="n"/>
      <c r="G584" s="32" t="n"/>
      <c r="H584" s="32" t="n"/>
      <c r="I584" s="32" t="n"/>
      <c r="J584" s="34" t="n"/>
      <c r="K584" s="33" t="n"/>
      <c r="L584" s="32" t="n"/>
      <c r="M584" s="33" t="n"/>
      <c r="N584" s="33" t="n"/>
      <c r="O584" s="33" t="n"/>
      <c r="P584" s="32" t="n"/>
      <c r="Q584" s="33" t="n"/>
      <c r="R584" s="33" t="n"/>
      <c r="S584" s="33" t="n"/>
      <c r="T584" s="33" t="n"/>
      <c r="U584" s="32" t="n"/>
      <c r="V584" s="33" t="n"/>
      <c r="W584" s="33" t="n"/>
      <c r="X584" s="33" t="n"/>
      <c r="Y584" s="33" t="n"/>
      <c r="Z584" s="33" t="n"/>
      <c r="AA584" s="33" t="n"/>
      <c r="AB584" s="33" t="n"/>
      <c r="AC584" s="33" t="n"/>
      <c r="AD584" s="33" t="n"/>
      <c r="AE584" s="33" t="n"/>
      <c r="AF584" s="32" t="n"/>
      <c r="AG584" s="32" t="n"/>
      <c r="AH584" s="32" t="n"/>
      <c r="AI584" s="32" t="n"/>
      <c r="AJ584" s="32" t="n"/>
      <c r="AK584" s="32" t="n"/>
      <c r="AL584" s="32" t="n"/>
      <c r="AM584" s="32" t="n"/>
      <c r="AN584" s="32" t="n"/>
      <c r="AO584" s="32" t="n"/>
      <c r="AP584" s="32" t="n"/>
      <c r="AQ584" s="32" t="n"/>
      <c r="AR584" s="29">
        <f>IF(NOT(COUNTA(A584:AE584)&gt;0),"",IF(A584="","New client","Update"))</f>
        <v/>
      </c>
      <c r="AS584" s="29">
        <f>IF(BA584&lt;&gt;"",BA584,IF(LEN(AZ584)=15,MID(AZ584,3,10),""))</f>
        <v/>
      </c>
      <c r="AT584" s="29">
        <f>IF(BB584="","",BB584&amp;IF(D584="","  (guessed from PAN)",""))</f>
        <v/>
      </c>
      <c r="AU584" s="29">
        <f>IF(AZ584="","",IFERROR(INDEX(Lists!$L$2:$L$38,MATCH(LEFT(AZ584,2),Lists!$K$2:$K$38,0)),"Unknown code"))</f>
        <v/>
      </c>
      <c r="AV584" s="29">
        <f>IF(AZ584="","",IFERROR(IF(NOT(AND(LEN(AZ584)=15,ISNUMBER(MATCH(LEFT(AZ584,2),Lists!$K$2:$K$38,0)),SUMPRODUCT(--ISERROR(FIND(MID(MID(AZ584,3,10),{1,2,3,4,5,10},1),"ABCDEFGHIJKLMNOPQRSTUVWXYZ")))=0,SUMPRODUCT(--ISERROR(FIND(MID(MID(AZ584,3,10),{6,7,8,9},1),"0123456789")))=0,ISNUMBER(FIND(MID(AZ584,13,1),"123456789ABCDEFGHIJKLMNOPQRSTUVWXYZ")),MID(AZ584,14,1)="Z")),"Wrong format",IF(MID("0123456789ABCDEFGHIJKLMNOPQRSTUVWXYZ",MOD(36-MOD(SUMPRODUCT(INT((FIND(MID(AZ584,{1,2,3,4,5,6,7,8,9,10,11,12,13,14},1),"0123456789ABCDEFGHIJKLMNOPQRSTUVWXYZ")-1)*{1,2,1,2,1,2,1,2,1,2,1,2,1,2}/36)+MOD((FIND(MID(AZ584,{1,2,3,4,5,6,7,8,9,10,11,12,13,14},1),"0123456789ABCDEFGHIJKLMNOPQRSTUVWXYZ")-1)*{1,2,1,2,1,2,1,2,1,2,1,2,1,2},36)),36),36)+1,1)=MID(AZ584,15,1),"OK","Typo? check digit wrong")),"Wrong format"))</f>
        <v/>
      </c>
      <c r="AW584" s="29">
        <f>IF(BA584="","",IF(AND(LEN(BA584)=10,SUMPRODUCT(--ISERROR(FIND(MID(BA584,{1,2,3,4,5,10},1),"ABCDEFGHIJKLMNOPQRSTUVWXYZ")))=0,SUMPRODUCT(--ISERROR(FIND(MID(BA584,{6,7,8,9},1),"0123456789")))=0),"OK","Wrong format"))</f>
        <v/>
      </c>
      <c r="AX584" s="29">
        <f>IF(TRIM(H584)="","",IF(AND(LEN(UPPER(TRIM(H584)))=10,SUMPRODUCT(--ISERROR(FIND(MID(UPPER(TRIM(H584)),{1,2,3,4,10},1),"ABCDEFGHIJKLMNOPQRSTUVWXYZ")))=0,SUMPRODUCT(--ISERROR(FIND(MID(UPPER(TRIM(H584)),{5,6,7,8,9},1),"0123456789")))=0),"OK","Wrong format"))</f>
        <v/>
      </c>
      <c r="AY584" s="30">
        <f>IF(NOT(COUNTA(A584:AE584)&gt;0),"",IF(BE584&lt;&gt;"","✖ "&amp;LEFT(BE584,LEN(BE584)-2),IF(BD584&gt;0,"✔ Ready — client + "&amp;BD584&amp;" service(s)","✔ Ready — client only")))</f>
        <v/>
      </c>
      <c r="AZ584" s="31">
        <f>UPPER(SUBSTITUTE(TRIM(F584)," ",""))</f>
        <v/>
      </c>
      <c r="BA584" s="31">
        <f>UPPER(SUBSTITUTE(TRIM(E584)," ",""))</f>
        <v/>
      </c>
      <c r="BB584" s="31">
        <f>IF(D584&lt;&gt;"",D584,IFERROR(VLOOKUP(MID(AS584,4,1),Lists!$E$2:$F$8,2,FALSE),""))</f>
        <v/>
      </c>
      <c r="BC584" s="31">
        <f>IFERROR(VLOOKUP(BB584,Lists!$A$2:$C$12,3,FALSE),"")</f>
        <v/>
      </c>
      <c r="BD584" s="31">
        <f>COUNTIF(W584:AC584,"Yes")</f>
        <v/>
      </c>
      <c r="BE584" s="31">
        <f>IF(TRIM(B584)="","Legal name missing; ","")&amp;IF(AND(AV584&lt;&gt;"",AV584&lt;&gt;"OK"),"GSTIN: "&amp;AV584&amp;"; ","")&amp;IF(AND(AW584&lt;&gt;"",AW584&lt;&gt;"OK"),"PAN wrong format; ","")&amp;IF(AND(BA584&lt;&gt;"",LEN(AZ584)=15,MID(AZ584,3,10)&lt;&gt;BA584),"PAN does not match GSTIN; ","")&amp;IF(AND(AX584&lt;&gt;"",AX584&lt;&gt;"OK"),"TAN wrong format; ","")&amp;IF(AS584="","PAN missing; ","")&amp;IF(BB584="","Entity type missing; ","")&amp;IF(AND(AZ584&lt;&gt;"",COUNTIF($AZ$6:$AZ$1005,AZ584)&gt;1),"GSTIN repeated in this sheet; ","")&amp;IF(AND(AS584&lt;&gt;"",COUNTIF($AS$6:$AS$1005,AS584)&gt;1),"PAN repeated in this sheet (same client? put extra GSTINs in Other GSTINs); ","")&amp;IF(AND(BD584&gt;0,V584=""),"Financial year missing; ","")&amp;IF(AND(BD584=0,V584&lt;&gt;""),"Financial year given but no service is Yes; ","")&amp;IF(AND(W584="Yes",AZ584=""),"GST needs a GSTIN; ","")&amp;IF(AND(W584="Yes",X584=""),"GST return frequency missing; ","")&amp;IF(AND(Y584="Yes",TRIM(H584)=""),"TDS needs a TAN; ","")&amp;IF(AND(AA584="Yes",BC584&lt;&gt;"",BC584&lt;&gt;"company",BC584&lt;&gt;"llp"),"ROC is only for a company / LLP; ","")&amp;IF(AND(AA584="Yes",OR(BC584="company",BC584="llp"),TRIM(I584)=""),"ROC needs the CIN / LLPIN; ","")&amp;IF((TRIM(AF584)="")&lt;&gt;(TRIM(AG584)=""),"GST login needs both user ID and password; ","")&amp;IF((TRIM(AH584)="")&lt;&gt;(TRIM(AI584)=""),"Income-tax login needs both user ID and password; ","")&amp;IF((TRIM(AJ584)="")&lt;&gt;(TRIM(AK584)=""),"Income-tax login needs both user ID and password; ","")&amp;IF((TRIM(AL584)="")&lt;&gt;(TRIM(AM584)=""),"TRACES login needs both user ID and password; ","")&amp;IF((TRIM(AN584)="")&lt;&gt;(TRIM(AO584)=""),"MCA login needs both user ID and password; ","")&amp;IF((TRIM(AP584)="")&lt;&gt;(TRIM(AQ584)=""),"E-way bill login needs both user ID and password; ","")</f>
        <v/>
      </c>
    </row>
    <row r="585">
      <c r="A585" s="32" t="n"/>
      <c r="B585" s="33" t="n"/>
      <c r="C585" s="33" t="n"/>
      <c r="D585" s="33" t="n"/>
      <c r="E585" s="32" t="n"/>
      <c r="F585" s="32" t="n"/>
      <c r="G585" s="32" t="n"/>
      <c r="H585" s="32" t="n"/>
      <c r="I585" s="32" t="n"/>
      <c r="J585" s="34" t="n"/>
      <c r="K585" s="33" t="n"/>
      <c r="L585" s="32" t="n"/>
      <c r="M585" s="33" t="n"/>
      <c r="N585" s="33" t="n"/>
      <c r="O585" s="33" t="n"/>
      <c r="P585" s="32" t="n"/>
      <c r="Q585" s="33" t="n"/>
      <c r="R585" s="33" t="n"/>
      <c r="S585" s="33" t="n"/>
      <c r="T585" s="33" t="n"/>
      <c r="U585" s="32" t="n"/>
      <c r="V585" s="33" t="n"/>
      <c r="W585" s="33" t="n"/>
      <c r="X585" s="33" t="n"/>
      <c r="Y585" s="33" t="n"/>
      <c r="Z585" s="33" t="n"/>
      <c r="AA585" s="33" t="n"/>
      <c r="AB585" s="33" t="n"/>
      <c r="AC585" s="33" t="n"/>
      <c r="AD585" s="33" t="n"/>
      <c r="AE585" s="33" t="n"/>
      <c r="AF585" s="32" t="n"/>
      <c r="AG585" s="32" t="n"/>
      <c r="AH585" s="32" t="n"/>
      <c r="AI585" s="32" t="n"/>
      <c r="AJ585" s="32" t="n"/>
      <c r="AK585" s="32" t="n"/>
      <c r="AL585" s="32" t="n"/>
      <c r="AM585" s="32" t="n"/>
      <c r="AN585" s="32" t="n"/>
      <c r="AO585" s="32" t="n"/>
      <c r="AP585" s="32" t="n"/>
      <c r="AQ585" s="32" t="n"/>
      <c r="AR585" s="29">
        <f>IF(NOT(COUNTA(A585:AE585)&gt;0),"",IF(A585="","New client","Update"))</f>
        <v/>
      </c>
      <c r="AS585" s="29">
        <f>IF(BA585&lt;&gt;"",BA585,IF(LEN(AZ585)=15,MID(AZ585,3,10),""))</f>
        <v/>
      </c>
      <c r="AT585" s="29">
        <f>IF(BB585="","",BB585&amp;IF(D585="","  (guessed from PAN)",""))</f>
        <v/>
      </c>
      <c r="AU585" s="29">
        <f>IF(AZ585="","",IFERROR(INDEX(Lists!$L$2:$L$38,MATCH(LEFT(AZ585,2),Lists!$K$2:$K$38,0)),"Unknown code"))</f>
        <v/>
      </c>
      <c r="AV585" s="29">
        <f>IF(AZ585="","",IFERROR(IF(NOT(AND(LEN(AZ585)=15,ISNUMBER(MATCH(LEFT(AZ585,2),Lists!$K$2:$K$38,0)),SUMPRODUCT(--ISERROR(FIND(MID(MID(AZ585,3,10),{1,2,3,4,5,10},1),"ABCDEFGHIJKLMNOPQRSTUVWXYZ")))=0,SUMPRODUCT(--ISERROR(FIND(MID(MID(AZ585,3,10),{6,7,8,9},1),"0123456789")))=0,ISNUMBER(FIND(MID(AZ585,13,1),"123456789ABCDEFGHIJKLMNOPQRSTUVWXYZ")),MID(AZ585,14,1)="Z")),"Wrong format",IF(MID("0123456789ABCDEFGHIJKLMNOPQRSTUVWXYZ",MOD(36-MOD(SUMPRODUCT(INT((FIND(MID(AZ585,{1,2,3,4,5,6,7,8,9,10,11,12,13,14},1),"0123456789ABCDEFGHIJKLMNOPQRSTUVWXYZ")-1)*{1,2,1,2,1,2,1,2,1,2,1,2,1,2}/36)+MOD((FIND(MID(AZ585,{1,2,3,4,5,6,7,8,9,10,11,12,13,14},1),"0123456789ABCDEFGHIJKLMNOPQRSTUVWXYZ")-1)*{1,2,1,2,1,2,1,2,1,2,1,2,1,2},36)),36),36)+1,1)=MID(AZ585,15,1),"OK","Typo? check digit wrong")),"Wrong format"))</f>
        <v/>
      </c>
      <c r="AW585" s="29">
        <f>IF(BA585="","",IF(AND(LEN(BA585)=10,SUMPRODUCT(--ISERROR(FIND(MID(BA585,{1,2,3,4,5,10},1),"ABCDEFGHIJKLMNOPQRSTUVWXYZ")))=0,SUMPRODUCT(--ISERROR(FIND(MID(BA585,{6,7,8,9},1),"0123456789")))=0),"OK","Wrong format"))</f>
        <v/>
      </c>
      <c r="AX585" s="29">
        <f>IF(TRIM(H585)="","",IF(AND(LEN(UPPER(TRIM(H585)))=10,SUMPRODUCT(--ISERROR(FIND(MID(UPPER(TRIM(H585)),{1,2,3,4,10},1),"ABCDEFGHIJKLMNOPQRSTUVWXYZ")))=0,SUMPRODUCT(--ISERROR(FIND(MID(UPPER(TRIM(H585)),{5,6,7,8,9},1),"0123456789")))=0),"OK","Wrong format"))</f>
        <v/>
      </c>
      <c r="AY585" s="30">
        <f>IF(NOT(COUNTA(A585:AE585)&gt;0),"",IF(BE585&lt;&gt;"","✖ "&amp;LEFT(BE585,LEN(BE585)-2),IF(BD585&gt;0,"✔ Ready — client + "&amp;BD585&amp;" service(s)","✔ Ready — client only")))</f>
        <v/>
      </c>
      <c r="AZ585" s="31">
        <f>UPPER(SUBSTITUTE(TRIM(F585)," ",""))</f>
        <v/>
      </c>
      <c r="BA585" s="31">
        <f>UPPER(SUBSTITUTE(TRIM(E585)," ",""))</f>
        <v/>
      </c>
      <c r="BB585" s="31">
        <f>IF(D585&lt;&gt;"",D585,IFERROR(VLOOKUP(MID(AS585,4,1),Lists!$E$2:$F$8,2,FALSE),""))</f>
        <v/>
      </c>
      <c r="BC585" s="31">
        <f>IFERROR(VLOOKUP(BB585,Lists!$A$2:$C$12,3,FALSE),"")</f>
        <v/>
      </c>
      <c r="BD585" s="31">
        <f>COUNTIF(W585:AC585,"Yes")</f>
        <v/>
      </c>
      <c r="BE585" s="31">
        <f>IF(TRIM(B585)="","Legal name missing; ","")&amp;IF(AND(AV585&lt;&gt;"",AV585&lt;&gt;"OK"),"GSTIN: "&amp;AV585&amp;"; ","")&amp;IF(AND(AW585&lt;&gt;"",AW585&lt;&gt;"OK"),"PAN wrong format; ","")&amp;IF(AND(BA585&lt;&gt;"",LEN(AZ585)=15,MID(AZ585,3,10)&lt;&gt;BA585),"PAN does not match GSTIN; ","")&amp;IF(AND(AX585&lt;&gt;"",AX585&lt;&gt;"OK"),"TAN wrong format; ","")&amp;IF(AS585="","PAN missing; ","")&amp;IF(BB585="","Entity type missing; ","")&amp;IF(AND(AZ585&lt;&gt;"",COUNTIF($AZ$6:$AZ$1005,AZ585)&gt;1),"GSTIN repeated in this sheet; ","")&amp;IF(AND(AS585&lt;&gt;"",COUNTIF($AS$6:$AS$1005,AS585)&gt;1),"PAN repeated in this sheet (same client? put extra GSTINs in Other GSTINs); ","")&amp;IF(AND(BD585&gt;0,V585=""),"Financial year missing; ","")&amp;IF(AND(BD585=0,V585&lt;&gt;""),"Financial year given but no service is Yes; ","")&amp;IF(AND(W585="Yes",AZ585=""),"GST needs a GSTIN; ","")&amp;IF(AND(W585="Yes",X585=""),"GST return frequency missing; ","")&amp;IF(AND(Y585="Yes",TRIM(H585)=""),"TDS needs a TAN; ","")&amp;IF(AND(AA585="Yes",BC585&lt;&gt;"",BC585&lt;&gt;"company",BC585&lt;&gt;"llp"),"ROC is only for a company / LLP; ","")&amp;IF(AND(AA585="Yes",OR(BC585="company",BC585="llp"),TRIM(I585)=""),"ROC needs the CIN / LLPIN; ","")&amp;IF((TRIM(AF585)="")&lt;&gt;(TRIM(AG585)=""),"GST login needs both user ID and password; ","")&amp;IF((TRIM(AH585)="")&lt;&gt;(TRIM(AI585)=""),"Income-tax login needs both user ID and password; ","")&amp;IF((TRIM(AJ585)="")&lt;&gt;(TRIM(AK585)=""),"Income-tax login needs both user ID and password; ","")&amp;IF((TRIM(AL585)="")&lt;&gt;(TRIM(AM585)=""),"TRACES login needs both user ID and password; ","")&amp;IF((TRIM(AN585)="")&lt;&gt;(TRIM(AO585)=""),"MCA login needs both user ID and password; ","")&amp;IF((TRIM(AP585)="")&lt;&gt;(TRIM(AQ585)=""),"E-way bill login needs both user ID and password; ","")</f>
        <v/>
      </c>
    </row>
    <row r="586">
      <c r="A586" s="32" t="n"/>
      <c r="B586" s="33" t="n"/>
      <c r="C586" s="33" t="n"/>
      <c r="D586" s="33" t="n"/>
      <c r="E586" s="32" t="n"/>
      <c r="F586" s="32" t="n"/>
      <c r="G586" s="32" t="n"/>
      <c r="H586" s="32" t="n"/>
      <c r="I586" s="32" t="n"/>
      <c r="J586" s="34" t="n"/>
      <c r="K586" s="33" t="n"/>
      <c r="L586" s="32" t="n"/>
      <c r="M586" s="33" t="n"/>
      <c r="N586" s="33" t="n"/>
      <c r="O586" s="33" t="n"/>
      <c r="P586" s="32" t="n"/>
      <c r="Q586" s="33" t="n"/>
      <c r="R586" s="33" t="n"/>
      <c r="S586" s="33" t="n"/>
      <c r="T586" s="33" t="n"/>
      <c r="U586" s="32" t="n"/>
      <c r="V586" s="33" t="n"/>
      <c r="W586" s="33" t="n"/>
      <c r="X586" s="33" t="n"/>
      <c r="Y586" s="33" t="n"/>
      <c r="Z586" s="33" t="n"/>
      <c r="AA586" s="33" t="n"/>
      <c r="AB586" s="33" t="n"/>
      <c r="AC586" s="33" t="n"/>
      <c r="AD586" s="33" t="n"/>
      <c r="AE586" s="33" t="n"/>
      <c r="AF586" s="32" t="n"/>
      <c r="AG586" s="32" t="n"/>
      <c r="AH586" s="32" t="n"/>
      <c r="AI586" s="32" t="n"/>
      <c r="AJ586" s="32" t="n"/>
      <c r="AK586" s="32" t="n"/>
      <c r="AL586" s="32" t="n"/>
      <c r="AM586" s="32" t="n"/>
      <c r="AN586" s="32" t="n"/>
      <c r="AO586" s="32" t="n"/>
      <c r="AP586" s="32" t="n"/>
      <c r="AQ586" s="32" t="n"/>
      <c r="AR586" s="29">
        <f>IF(NOT(COUNTA(A586:AE586)&gt;0),"",IF(A586="","New client","Update"))</f>
        <v/>
      </c>
      <c r="AS586" s="29">
        <f>IF(BA586&lt;&gt;"",BA586,IF(LEN(AZ586)=15,MID(AZ586,3,10),""))</f>
        <v/>
      </c>
      <c r="AT586" s="29">
        <f>IF(BB586="","",BB586&amp;IF(D586="","  (guessed from PAN)",""))</f>
        <v/>
      </c>
      <c r="AU586" s="29">
        <f>IF(AZ586="","",IFERROR(INDEX(Lists!$L$2:$L$38,MATCH(LEFT(AZ586,2),Lists!$K$2:$K$38,0)),"Unknown code"))</f>
        <v/>
      </c>
      <c r="AV586" s="29">
        <f>IF(AZ586="","",IFERROR(IF(NOT(AND(LEN(AZ586)=15,ISNUMBER(MATCH(LEFT(AZ586,2),Lists!$K$2:$K$38,0)),SUMPRODUCT(--ISERROR(FIND(MID(MID(AZ586,3,10),{1,2,3,4,5,10},1),"ABCDEFGHIJKLMNOPQRSTUVWXYZ")))=0,SUMPRODUCT(--ISERROR(FIND(MID(MID(AZ586,3,10),{6,7,8,9},1),"0123456789")))=0,ISNUMBER(FIND(MID(AZ586,13,1),"123456789ABCDEFGHIJKLMNOPQRSTUVWXYZ")),MID(AZ586,14,1)="Z")),"Wrong format",IF(MID("0123456789ABCDEFGHIJKLMNOPQRSTUVWXYZ",MOD(36-MOD(SUMPRODUCT(INT((FIND(MID(AZ586,{1,2,3,4,5,6,7,8,9,10,11,12,13,14},1),"0123456789ABCDEFGHIJKLMNOPQRSTUVWXYZ")-1)*{1,2,1,2,1,2,1,2,1,2,1,2,1,2}/36)+MOD((FIND(MID(AZ586,{1,2,3,4,5,6,7,8,9,10,11,12,13,14},1),"0123456789ABCDEFGHIJKLMNOPQRSTUVWXYZ")-1)*{1,2,1,2,1,2,1,2,1,2,1,2,1,2},36)),36),36)+1,1)=MID(AZ586,15,1),"OK","Typo? check digit wrong")),"Wrong format"))</f>
        <v/>
      </c>
      <c r="AW586" s="29">
        <f>IF(BA586="","",IF(AND(LEN(BA586)=10,SUMPRODUCT(--ISERROR(FIND(MID(BA586,{1,2,3,4,5,10},1),"ABCDEFGHIJKLMNOPQRSTUVWXYZ")))=0,SUMPRODUCT(--ISERROR(FIND(MID(BA586,{6,7,8,9},1),"0123456789")))=0),"OK","Wrong format"))</f>
        <v/>
      </c>
      <c r="AX586" s="29">
        <f>IF(TRIM(H586)="","",IF(AND(LEN(UPPER(TRIM(H586)))=10,SUMPRODUCT(--ISERROR(FIND(MID(UPPER(TRIM(H586)),{1,2,3,4,10},1),"ABCDEFGHIJKLMNOPQRSTUVWXYZ")))=0,SUMPRODUCT(--ISERROR(FIND(MID(UPPER(TRIM(H586)),{5,6,7,8,9},1),"0123456789")))=0),"OK","Wrong format"))</f>
        <v/>
      </c>
      <c r="AY586" s="30">
        <f>IF(NOT(COUNTA(A586:AE586)&gt;0),"",IF(BE586&lt;&gt;"","✖ "&amp;LEFT(BE586,LEN(BE586)-2),IF(BD586&gt;0,"✔ Ready — client + "&amp;BD586&amp;" service(s)","✔ Ready — client only")))</f>
        <v/>
      </c>
      <c r="AZ586" s="31">
        <f>UPPER(SUBSTITUTE(TRIM(F586)," ",""))</f>
        <v/>
      </c>
      <c r="BA586" s="31">
        <f>UPPER(SUBSTITUTE(TRIM(E586)," ",""))</f>
        <v/>
      </c>
      <c r="BB586" s="31">
        <f>IF(D586&lt;&gt;"",D586,IFERROR(VLOOKUP(MID(AS586,4,1),Lists!$E$2:$F$8,2,FALSE),""))</f>
        <v/>
      </c>
      <c r="BC586" s="31">
        <f>IFERROR(VLOOKUP(BB586,Lists!$A$2:$C$12,3,FALSE),"")</f>
        <v/>
      </c>
      <c r="BD586" s="31">
        <f>COUNTIF(W586:AC586,"Yes")</f>
        <v/>
      </c>
      <c r="BE586" s="31">
        <f>IF(TRIM(B586)="","Legal name missing; ","")&amp;IF(AND(AV586&lt;&gt;"",AV586&lt;&gt;"OK"),"GSTIN: "&amp;AV586&amp;"; ","")&amp;IF(AND(AW586&lt;&gt;"",AW586&lt;&gt;"OK"),"PAN wrong format; ","")&amp;IF(AND(BA586&lt;&gt;"",LEN(AZ586)=15,MID(AZ586,3,10)&lt;&gt;BA586),"PAN does not match GSTIN; ","")&amp;IF(AND(AX586&lt;&gt;"",AX586&lt;&gt;"OK"),"TAN wrong format; ","")&amp;IF(AS586="","PAN missing; ","")&amp;IF(BB586="","Entity type missing; ","")&amp;IF(AND(AZ586&lt;&gt;"",COUNTIF($AZ$6:$AZ$1005,AZ586)&gt;1),"GSTIN repeated in this sheet; ","")&amp;IF(AND(AS586&lt;&gt;"",COUNTIF($AS$6:$AS$1005,AS586)&gt;1),"PAN repeated in this sheet (same client? put extra GSTINs in Other GSTINs); ","")&amp;IF(AND(BD586&gt;0,V586=""),"Financial year missing; ","")&amp;IF(AND(BD586=0,V586&lt;&gt;""),"Financial year given but no service is Yes; ","")&amp;IF(AND(W586="Yes",AZ586=""),"GST needs a GSTIN; ","")&amp;IF(AND(W586="Yes",X586=""),"GST return frequency missing; ","")&amp;IF(AND(Y586="Yes",TRIM(H586)=""),"TDS needs a TAN; ","")&amp;IF(AND(AA586="Yes",BC586&lt;&gt;"",BC586&lt;&gt;"company",BC586&lt;&gt;"llp"),"ROC is only for a company / LLP; ","")&amp;IF(AND(AA586="Yes",OR(BC586="company",BC586="llp"),TRIM(I586)=""),"ROC needs the CIN / LLPIN; ","")&amp;IF((TRIM(AF586)="")&lt;&gt;(TRIM(AG586)=""),"GST login needs both user ID and password; ","")&amp;IF((TRIM(AH586)="")&lt;&gt;(TRIM(AI586)=""),"Income-tax login needs both user ID and password; ","")&amp;IF((TRIM(AJ586)="")&lt;&gt;(TRIM(AK586)=""),"Income-tax login needs both user ID and password; ","")&amp;IF((TRIM(AL586)="")&lt;&gt;(TRIM(AM586)=""),"TRACES login needs both user ID and password; ","")&amp;IF((TRIM(AN586)="")&lt;&gt;(TRIM(AO586)=""),"MCA login needs both user ID and password; ","")&amp;IF((TRIM(AP586)="")&lt;&gt;(TRIM(AQ586)=""),"E-way bill login needs both user ID and password; ","")</f>
        <v/>
      </c>
    </row>
    <row r="587">
      <c r="A587" s="32" t="n"/>
      <c r="B587" s="33" t="n"/>
      <c r="C587" s="33" t="n"/>
      <c r="D587" s="33" t="n"/>
      <c r="E587" s="32" t="n"/>
      <c r="F587" s="32" t="n"/>
      <c r="G587" s="32" t="n"/>
      <c r="H587" s="32" t="n"/>
      <c r="I587" s="32" t="n"/>
      <c r="J587" s="34" t="n"/>
      <c r="K587" s="33" t="n"/>
      <c r="L587" s="32" t="n"/>
      <c r="M587" s="33" t="n"/>
      <c r="N587" s="33" t="n"/>
      <c r="O587" s="33" t="n"/>
      <c r="P587" s="32" t="n"/>
      <c r="Q587" s="33" t="n"/>
      <c r="R587" s="33" t="n"/>
      <c r="S587" s="33" t="n"/>
      <c r="T587" s="33" t="n"/>
      <c r="U587" s="32" t="n"/>
      <c r="V587" s="33" t="n"/>
      <c r="W587" s="33" t="n"/>
      <c r="X587" s="33" t="n"/>
      <c r="Y587" s="33" t="n"/>
      <c r="Z587" s="33" t="n"/>
      <c r="AA587" s="33" t="n"/>
      <c r="AB587" s="33" t="n"/>
      <c r="AC587" s="33" t="n"/>
      <c r="AD587" s="33" t="n"/>
      <c r="AE587" s="33" t="n"/>
      <c r="AF587" s="32" t="n"/>
      <c r="AG587" s="32" t="n"/>
      <c r="AH587" s="32" t="n"/>
      <c r="AI587" s="32" t="n"/>
      <c r="AJ587" s="32" t="n"/>
      <c r="AK587" s="32" t="n"/>
      <c r="AL587" s="32" t="n"/>
      <c r="AM587" s="32" t="n"/>
      <c r="AN587" s="32" t="n"/>
      <c r="AO587" s="32" t="n"/>
      <c r="AP587" s="32" t="n"/>
      <c r="AQ587" s="32" t="n"/>
      <c r="AR587" s="29">
        <f>IF(NOT(COUNTA(A587:AE587)&gt;0),"",IF(A587="","New client","Update"))</f>
        <v/>
      </c>
      <c r="AS587" s="29">
        <f>IF(BA587&lt;&gt;"",BA587,IF(LEN(AZ587)=15,MID(AZ587,3,10),""))</f>
        <v/>
      </c>
      <c r="AT587" s="29">
        <f>IF(BB587="","",BB587&amp;IF(D587="","  (guessed from PAN)",""))</f>
        <v/>
      </c>
      <c r="AU587" s="29">
        <f>IF(AZ587="","",IFERROR(INDEX(Lists!$L$2:$L$38,MATCH(LEFT(AZ587,2),Lists!$K$2:$K$38,0)),"Unknown code"))</f>
        <v/>
      </c>
      <c r="AV587" s="29">
        <f>IF(AZ587="","",IFERROR(IF(NOT(AND(LEN(AZ587)=15,ISNUMBER(MATCH(LEFT(AZ587,2),Lists!$K$2:$K$38,0)),SUMPRODUCT(--ISERROR(FIND(MID(MID(AZ587,3,10),{1,2,3,4,5,10},1),"ABCDEFGHIJKLMNOPQRSTUVWXYZ")))=0,SUMPRODUCT(--ISERROR(FIND(MID(MID(AZ587,3,10),{6,7,8,9},1),"0123456789")))=0,ISNUMBER(FIND(MID(AZ587,13,1),"123456789ABCDEFGHIJKLMNOPQRSTUVWXYZ")),MID(AZ587,14,1)="Z")),"Wrong format",IF(MID("0123456789ABCDEFGHIJKLMNOPQRSTUVWXYZ",MOD(36-MOD(SUMPRODUCT(INT((FIND(MID(AZ587,{1,2,3,4,5,6,7,8,9,10,11,12,13,14},1),"0123456789ABCDEFGHIJKLMNOPQRSTUVWXYZ")-1)*{1,2,1,2,1,2,1,2,1,2,1,2,1,2}/36)+MOD((FIND(MID(AZ587,{1,2,3,4,5,6,7,8,9,10,11,12,13,14},1),"0123456789ABCDEFGHIJKLMNOPQRSTUVWXYZ")-1)*{1,2,1,2,1,2,1,2,1,2,1,2,1,2},36)),36),36)+1,1)=MID(AZ587,15,1),"OK","Typo? check digit wrong")),"Wrong format"))</f>
        <v/>
      </c>
      <c r="AW587" s="29">
        <f>IF(BA587="","",IF(AND(LEN(BA587)=10,SUMPRODUCT(--ISERROR(FIND(MID(BA587,{1,2,3,4,5,10},1),"ABCDEFGHIJKLMNOPQRSTUVWXYZ")))=0,SUMPRODUCT(--ISERROR(FIND(MID(BA587,{6,7,8,9},1),"0123456789")))=0),"OK","Wrong format"))</f>
        <v/>
      </c>
      <c r="AX587" s="29">
        <f>IF(TRIM(H587)="","",IF(AND(LEN(UPPER(TRIM(H587)))=10,SUMPRODUCT(--ISERROR(FIND(MID(UPPER(TRIM(H587)),{1,2,3,4,10},1),"ABCDEFGHIJKLMNOPQRSTUVWXYZ")))=0,SUMPRODUCT(--ISERROR(FIND(MID(UPPER(TRIM(H587)),{5,6,7,8,9},1),"0123456789")))=0),"OK","Wrong format"))</f>
        <v/>
      </c>
      <c r="AY587" s="30">
        <f>IF(NOT(COUNTA(A587:AE587)&gt;0),"",IF(BE587&lt;&gt;"","✖ "&amp;LEFT(BE587,LEN(BE587)-2),IF(BD587&gt;0,"✔ Ready — client + "&amp;BD587&amp;" service(s)","✔ Ready — client only")))</f>
        <v/>
      </c>
      <c r="AZ587" s="31">
        <f>UPPER(SUBSTITUTE(TRIM(F587)," ",""))</f>
        <v/>
      </c>
      <c r="BA587" s="31">
        <f>UPPER(SUBSTITUTE(TRIM(E587)," ",""))</f>
        <v/>
      </c>
      <c r="BB587" s="31">
        <f>IF(D587&lt;&gt;"",D587,IFERROR(VLOOKUP(MID(AS587,4,1),Lists!$E$2:$F$8,2,FALSE),""))</f>
        <v/>
      </c>
      <c r="BC587" s="31">
        <f>IFERROR(VLOOKUP(BB587,Lists!$A$2:$C$12,3,FALSE),"")</f>
        <v/>
      </c>
      <c r="BD587" s="31">
        <f>COUNTIF(W587:AC587,"Yes")</f>
        <v/>
      </c>
      <c r="BE587" s="31">
        <f>IF(TRIM(B587)="","Legal name missing; ","")&amp;IF(AND(AV587&lt;&gt;"",AV587&lt;&gt;"OK"),"GSTIN: "&amp;AV587&amp;"; ","")&amp;IF(AND(AW587&lt;&gt;"",AW587&lt;&gt;"OK"),"PAN wrong format; ","")&amp;IF(AND(BA587&lt;&gt;"",LEN(AZ587)=15,MID(AZ587,3,10)&lt;&gt;BA587),"PAN does not match GSTIN; ","")&amp;IF(AND(AX587&lt;&gt;"",AX587&lt;&gt;"OK"),"TAN wrong format; ","")&amp;IF(AS587="","PAN missing; ","")&amp;IF(BB587="","Entity type missing; ","")&amp;IF(AND(AZ587&lt;&gt;"",COUNTIF($AZ$6:$AZ$1005,AZ587)&gt;1),"GSTIN repeated in this sheet; ","")&amp;IF(AND(AS587&lt;&gt;"",COUNTIF($AS$6:$AS$1005,AS587)&gt;1),"PAN repeated in this sheet (same client? put extra GSTINs in Other GSTINs); ","")&amp;IF(AND(BD587&gt;0,V587=""),"Financial year missing; ","")&amp;IF(AND(BD587=0,V587&lt;&gt;""),"Financial year given but no service is Yes; ","")&amp;IF(AND(W587="Yes",AZ587=""),"GST needs a GSTIN; ","")&amp;IF(AND(W587="Yes",X587=""),"GST return frequency missing; ","")&amp;IF(AND(Y587="Yes",TRIM(H587)=""),"TDS needs a TAN; ","")&amp;IF(AND(AA587="Yes",BC587&lt;&gt;"",BC587&lt;&gt;"company",BC587&lt;&gt;"llp"),"ROC is only for a company / LLP; ","")&amp;IF(AND(AA587="Yes",OR(BC587="company",BC587="llp"),TRIM(I587)=""),"ROC needs the CIN / LLPIN; ","")&amp;IF((TRIM(AF587)="")&lt;&gt;(TRIM(AG587)=""),"GST login needs both user ID and password; ","")&amp;IF((TRIM(AH587)="")&lt;&gt;(TRIM(AI587)=""),"Income-tax login needs both user ID and password; ","")&amp;IF((TRIM(AJ587)="")&lt;&gt;(TRIM(AK587)=""),"Income-tax login needs both user ID and password; ","")&amp;IF((TRIM(AL587)="")&lt;&gt;(TRIM(AM587)=""),"TRACES login needs both user ID and password; ","")&amp;IF((TRIM(AN587)="")&lt;&gt;(TRIM(AO587)=""),"MCA login needs both user ID and password; ","")&amp;IF((TRIM(AP587)="")&lt;&gt;(TRIM(AQ587)=""),"E-way bill login needs both user ID and password; ","")</f>
        <v/>
      </c>
    </row>
    <row r="588">
      <c r="A588" s="32" t="n"/>
      <c r="B588" s="33" t="n"/>
      <c r="C588" s="33" t="n"/>
      <c r="D588" s="33" t="n"/>
      <c r="E588" s="32" t="n"/>
      <c r="F588" s="32" t="n"/>
      <c r="G588" s="32" t="n"/>
      <c r="H588" s="32" t="n"/>
      <c r="I588" s="32" t="n"/>
      <c r="J588" s="34" t="n"/>
      <c r="K588" s="33" t="n"/>
      <c r="L588" s="32" t="n"/>
      <c r="M588" s="33" t="n"/>
      <c r="N588" s="33" t="n"/>
      <c r="O588" s="33" t="n"/>
      <c r="P588" s="32" t="n"/>
      <c r="Q588" s="33" t="n"/>
      <c r="R588" s="33" t="n"/>
      <c r="S588" s="33" t="n"/>
      <c r="T588" s="33" t="n"/>
      <c r="U588" s="32" t="n"/>
      <c r="V588" s="33" t="n"/>
      <c r="W588" s="33" t="n"/>
      <c r="X588" s="33" t="n"/>
      <c r="Y588" s="33" t="n"/>
      <c r="Z588" s="33" t="n"/>
      <c r="AA588" s="33" t="n"/>
      <c r="AB588" s="33" t="n"/>
      <c r="AC588" s="33" t="n"/>
      <c r="AD588" s="33" t="n"/>
      <c r="AE588" s="33" t="n"/>
      <c r="AF588" s="32" t="n"/>
      <c r="AG588" s="32" t="n"/>
      <c r="AH588" s="32" t="n"/>
      <c r="AI588" s="32" t="n"/>
      <c r="AJ588" s="32" t="n"/>
      <c r="AK588" s="32" t="n"/>
      <c r="AL588" s="32" t="n"/>
      <c r="AM588" s="32" t="n"/>
      <c r="AN588" s="32" t="n"/>
      <c r="AO588" s="32" t="n"/>
      <c r="AP588" s="32" t="n"/>
      <c r="AQ588" s="32" t="n"/>
      <c r="AR588" s="29">
        <f>IF(NOT(COUNTA(A588:AE588)&gt;0),"",IF(A588="","New client","Update"))</f>
        <v/>
      </c>
      <c r="AS588" s="29">
        <f>IF(BA588&lt;&gt;"",BA588,IF(LEN(AZ588)=15,MID(AZ588,3,10),""))</f>
        <v/>
      </c>
      <c r="AT588" s="29">
        <f>IF(BB588="","",BB588&amp;IF(D588="","  (guessed from PAN)",""))</f>
        <v/>
      </c>
      <c r="AU588" s="29">
        <f>IF(AZ588="","",IFERROR(INDEX(Lists!$L$2:$L$38,MATCH(LEFT(AZ588,2),Lists!$K$2:$K$38,0)),"Unknown code"))</f>
        <v/>
      </c>
      <c r="AV588" s="29">
        <f>IF(AZ588="","",IFERROR(IF(NOT(AND(LEN(AZ588)=15,ISNUMBER(MATCH(LEFT(AZ588,2),Lists!$K$2:$K$38,0)),SUMPRODUCT(--ISERROR(FIND(MID(MID(AZ588,3,10),{1,2,3,4,5,10},1),"ABCDEFGHIJKLMNOPQRSTUVWXYZ")))=0,SUMPRODUCT(--ISERROR(FIND(MID(MID(AZ588,3,10),{6,7,8,9},1),"0123456789")))=0,ISNUMBER(FIND(MID(AZ588,13,1),"123456789ABCDEFGHIJKLMNOPQRSTUVWXYZ")),MID(AZ588,14,1)="Z")),"Wrong format",IF(MID("0123456789ABCDEFGHIJKLMNOPQRSTUVWXYZ",MOD(36-MOD(SUMPRODUCT(INT((FIND(MID(AZ588,{1,2,3,4,5,6,7,8,9,10,11,12,13,14},1),"0123456789ABCDEFGHIJKLMNOPQRSTUVWXYZ")-1)*{1,2,1,2,1,2,1,2,1,2,1,2,1,2}/36)+MOD((FIND(MID(AZ588,{1,2,3,4,5,6,7,8,9,10,11,12,13,14},1),"0123456789ABCDEFGHIJKLMNOPQRSTUVWXYZ")-1)*{1,2,1,2,1,2,1,2,1,2,1,2,1,2},36)),36),36)+1,1)=MID(AZ588,15,1),"OK","Typo? check digit wrong")),"Wrong format"))</f>
        <v/>
      </c>
      <c r="AW588" s="29">
        <f>IF(BA588="","",IF(AND(LEN(BA588)=10,SUMPRODUCT(--ISERROR(FIND(MID(BA588,{1,2,3,4,5,10},1),"ABCDEFGHIJKLMNOPQRSTUVWXYZ")))=0,SUMPRODUCT(--ISERROR(FIND(MID(BA588,{6,7,8,9},1),"0123456789")))=0),"OK","Wrong format"))</f>
        <v/>
      </c>
      <c r="AX588" s="29">
        <f>IF(TRIM(H588)="","",IF(AND(LEN(UPPER(TRIM(H588)))=10,SUMPRODUCT(--ISERROR(FIND(MID(UPPER(TRIM(H588)),{1,2,3,4,10},1),"ABCDEFGHIJKLMNOPQRSTUVWXYZ")))=0,SUMPRODUCT(--ISERROR(FIND(MID(UPPER(TRIM(H588)),{5,6,7,8,9},1),"0123456789")))=0),"OK","Wrong format"))</f>
        <v/>
      </c>
      <c r="AY588" s="30">
        <f>IF(NOT(COUNTA(A588:AE588)&gt;0),"",IF(BE588&lt;&gt;"","✖ "&amp;LEFT(BE588,LEN(BE588)-2),IF(BD588&gt;0,"✔ Ready — client + "&amp;BD588&amp;" service(s)","✔ Ready — client only")))</f>
        <v/>
      </c>
      <c r="AZ588" s="31">
        <f>UPPER(SUBSTITUTE(TRIM(F588)," ",""))</f>
        <v/>
      </c>
      <c r="BA588" s="31">
        <f>UPPER(SUBSTITUTE(TRIM(E588)," ",""))</f>
        <v/>
      </c>
      <c r="BB588" s="31">
        <f>IF(D588&lt;&gt;"",D588,IFERROR(VLOOKUP(MID(AS588,4,1),Lists!$E$2:$F$8,2,FALSE),""))</f>
        <v/>
      </c>
      <c r="BC588" s="31">
        <f>IFERROR(VLOOKUP(BB588,Lists!$A$2:$C$12,3,FALSE),"")</f>
        <v/>
      </c>
      <c r="BD588" s="31">
        <f>COUNTIF(W588:AC588,"Yes")</f>
        <v/>
      </c>
      <c r="BE588" s="31">
        <f>IF(TRIM(B588)="","Legal name missing; ","")&amp;IF(AND(AV588&lt;&gt;"",AV588&lt;&gt;"OK"),"GSTIN: "&amp;AV588&amp;"; ","")&amp;IF(AND(AW588&lt;&gt;"",AW588&lt;&gt;"OK"),"PAN wrong format; ","")&amp;IF(AND(BA588&lt;&gt;"",LEN(AZ588)=15,MID(AZ588,3,10)&lt;&gt;BA588),"PAN does not match GSTIN; ","")&amp;IF(AND(AX588&lt;&gt;"",AX588&lt;&gt;"OK"),"TAN wrong format; ","")&amp;IF(AS588="","PAN missing; ","")&amp;IF(BB588="","Entity type missing; ","")&amp;IF(AND(AZ588&lt;&gt;"",COUNTIF($AZ$6:$AZ$1005,AZ588)&gt;1),"GSTIN repeated in this sheet; ","")&amp;IF(AND(AS588&lt;&gt;"",COUNTIF($AS$6:$AS$1005,AS588)&gt;1),"PAN repeated in this sheet (same client? put extra GSTINs in Other GSTINs); ","")&amp;IF(AND(BD588&gt;0,V588=""),"Financial year missing; ","")&amp;IF(AND(BD588=0,V588&lt;&gt;""),"Financial year given but no service is Yes; ","")&amp;IF(AND(W588="Yes",AZ588=""),"GST needs a GSTIN; ","")&amp;IF(AND(W588="Yes",X588=""),"GST return frequency missing; ","")&amp;IF(AND(Y588="Yes",TRIM(H588)=""),"TDS needs a TAN; ","")&amp;IF(AND(AA588="Yes",BC588&lt;&gt;"",BC588&lt;&gt;"company",BC588&lt;&gt;"llp"),"ROC is only for a company / LLP; ","")&amp;IF(AND(AA588="Yes",OR(BC588="company",BC588="llp"),TRIM(I588)=""),"ROC needs the CIN / LLPIN; ","")&amp;IF((TRIM(AF588)="")&lt;&gt;(TRIM(AG588)=""),"GST login needs both user ID and password; ","")&amp;IF((TRIM(AH588)="")&lt;&gt;(TRIM(AI588)=""),"Income-tax login needs both user ID and password; ","")&amp;IF((TRIM(AJ588)="")&lt;&gt;(TRIM(AK588)=""),"Income-tax login needs both user ID and password; ","")&amp;IF((TRIM(AL588)="")&lt;&gt;(TRIM(AM588)=""),"TRACES login needs both user ID and password; ","")&amp;IF((TRIM(AN588)="")&lt;&gt;(TRIM(AO588)=""),"MCA login needs both user ID and password; ","")&amp;IF((TRIM(AP588)="")&lt;&gt;(TRIM(AQ588)=""),"E-way bill login needs both user ID and password; ","")</f>
        <v/>
      </c>
    </row>
    <row r="589">
      <c r="A589" s="32" t="n"/>
      <c r="B589" s="33" t="n"/>
      <c r="C589" s="33" t="n"/>
      <c r="D589" s="33" t="n"/>
      <c r="E589" s="32" t="n"/>
      <c r="F589" s="32" t="n"/>
      <c r="G589" s="32" t="n"/>
      <c r="H589" s="32" t="n"/>
      <c r="I589" s="32" t="n"/>
      <c r="J589" s="34" t="n"/>
      <c r="K589" s="33" t="n"/>
      <c r="L589" s="32" t="n"/>
      <c r="M589" s="33" t="n"/>
      <c r="N589" s="33" t="n"/>
      <c r="O589" s="33" t="n"/>
      <c r="P589" s="32" t="n"/>
      <c r="Q589" s="33" t="n"/>
      <c r="R589" s="33" t="n"/>
      <c r="S589" s="33" t="n"/>
      <c r="T589" s="33" t="n"/>
      <c r="U589" s="32" t="n"/>
      <c r="V589" s="33" t="n"/>
      <c r="W589" s="33" t="n"/>
      <c r="X589" s="33" t="n"/>
      <c r="Y589" s="33" t="n"/>
      <c r="Z589" s="33" t="n"/>
      <c r="AA589" s="33" t="n"/>
      <c r="AB589" s="33" t="n"/>
      <c r="AC589" s="33" t="n"/>
      <c r="AD589" s="33" t="n"/>
      <c r="AE589" s="33" t="n"/>
      <c r="AF589" s="32" t="n"/>
      <c r="AG589" s="32" t="n"/>
      <c r="AH589" s="32" t="n"/>
      <c r="AI589" s="32" t="n"/>
      <c r="AJ589" s="32" t="n"/>
      <c r="AK589" s="32" t="n"/>
      <c r="AL589" s="32" t="n"/>
      <c r="AM589" s="32" t="n"/>
      <c r="AN589" s="32" t="n"/>
      <c r="AO589" s="32" t="n"/>
      <c r="AP589" s="32" t="n"/>
      <c r="AQ589" s="32" t="n"/>
      <c r="AR589" s="29">
        <f>IF(NOT(COUNTA(A589:AE589)&gt;0),"",IF(A589="","New client","Update"))</f>
        <v/>
      </c>
      <c r="AS589" s="29">
        <f>IF(BA589&lt;&gt;"",BA589,IF(LEN(AZ589)=15,MID(AZ589,3,10),""))</f>
        <v/>
      </c>
      <c r="AT589" s="29">
        <f>IF(BB589="","",BB589&amp;IF(D589="","  (guessed from PAN)",""))</f>
        <v/>
      </c>
      <c r="AU589" s="29">
        <f>IF(AZ589="","",IFERROR(INDEX(Lists!$L$2:$L$38,MATCH(LEFT(AZ589,2),Lists!$K$2:$K$38,0)),"Unknown code"))</f>
        <v/>
      </c>
      <c r="AV589" s="29">
        <f>IF(AZ589="","",IFERROR(IF(NOT(AND(LEN(AZ589)=15,ISNUMBER(MATCH(LEFT(AZ589,2),Lists!$K$2:$K$38,0)),SUMPRODUCT(--ISERROR(FIND(MID(MID(AZ589,3,10),{1,2,3,4,5,10},1),"ABCDEFGHIJKLMNOPQRSTUVWXYZ")))=0,SUMPRODUCT(--ISERROR(FIND(MID(MID(AZ589,3,10),{6,7,8,9},1),"0123456789")))=0,ISNUMBER(FIND(MID(AZ589,13,1),"123456789ABCDEFGHIJKLMNOPQRSTUVWXYZ")),MID(AZ589,14,1)="Z")),"Wrong format",IF(MID("0123456789ABCDEFGHIJKLMNOPQRSTUVWXYZ",MOD(36-MOD(SUMPRODUCT(INT((FIND(MID(AZ589,{1,2,3,4,5,6,7,8,9,10,11,12,13,14},1),"0123456789ABCDEFGHIJKLMNOPQRSTUVWXYZ")-1)*{1,2,1,2,1,2,1,2,1,2,1,2,1,2}/36)+MOD((FIND(MID(AZ589,{1,2,3,4,5,6,7,8,9,10,11,12,13,14},1),"0123456789ABCDEFGHIJKLMNOPQRSTUVWXYZ")-1)*{1,2,1,2,1,2,1,2,1,2,1,2,1,2},36)),36),36)+1,1)=MID(AZ589,15,1),"OK","Typo? check digit wrong")),"Wrong format"))</f>
        <v/>
      </c>
      <c r="AW589" s="29">
        <f>IF(BA589="","",IF(AND(LEN(BA589)=10,SUMPRODUCT(--ISERROR(FIND(MID(BA589,{1,2,3,4,5,10},1),"ABCDEFGHIJKLMNOPQRSTUVWXYZ")))=0,SUMPRODUCT(--ISERROR(FIND(MID(BA589,{6,7,8,9},1),"0123456789")))=0),"OK","Wrong format"))</f>
        <v/>
      </c>
      <c r="AX589" s="29">
        <f>IF(TRIM(H589)="","",IF(AND(LEN(UPPER(TRIM(H589)))=10,SUMPRODUCT(--ISERROR(FIND(MID(UPPER(TRIM(H589)),{1,2,3,4,10},1),"ABCDEFGHIJKLMNOPQRSTUVWXYZ")))=0,SUMPRODUCT(--ISERROR(FIND(MID(UPPER(TRIM(H589)),{5,6,7,8,9},1),"0123456789")))=0),"OK","Wrong format"))</f>
        <v/>
      </c>
      <c r="AY589" s="30">
        <f>IF(NOT(COUNTA(A589:AE589)&gt;0),"",IF(BE589&lt;&gt;"","✖ "&amp;LEFT(BE589,LEN(BE589)-2),IF(BD589&gt;0,"✔ Ready — client + "&amp;BD589&amp;" service(s)","✔ Ready — client only")))</f>
        <v/>
      </c>
      <c r="AZ589" s="31">
        <f>UPPER(SUBSTITUTE(TRIM(F589)," ",""))</f>
        <v/>
      </c>
      <c r="BA589" s="31">
        <f>UPPER(SUBSTITUTE(TRIM(E589)," ",""))</f>
        <v/>
      </c>
      <c r="BB589" s="31">
        <f>IF(D589&lt;&gt;"",D589,IFERROR(VLOOKUP(MID(AS589,4,1),Lists!$E$2:$F$8,2,FALSE),""))</f>
        <v/>
      </c>
      <c r="BC589" s="31">
        <f>IFERROR(VLOOKUP(BB589,Lists!$A$2:$C$12,3,FALSE),"")</f>
        <v/>
      </c>
      <c r="BD589" s="31">
        <f>COUNTIF(W589:AC589,"Yes")</f>
        <v/>
      </c>
      <c r="BE589" s="31">
        <f>IF(TRIM(B589)="","Legal name missing; ","")&amp;IF(AND(AV589&lt;&gt;"",AV589&lt;&gt;"OK"),"GSTIN: "&amp;AV589&amp;"; ","")&amp;IF(AND(AW589&lt;&gt;"",AW589&lt;&gt;"OK"),"PAN wrong format; ","")&amp;IF(AND(BA589&lt;&gt;"",LEN(AZ589)=15,MID(AZ589,3,10)&lt;&gt;BA589),"PAN does not match GSTIN; ","")&amp;IF(AND(AX589&lt;&gt;"",AX589&lt;&gt;"OK"),"TAN wrong format; ","")&amp;IF(AS589="","PAN missing; ","")&amp;IF(BB589="","Entity type missing; ","")&amp;IF(AND(AZ589&lt;&gt;"",COUNTIF($AZ$6:$AZ$1005,AZ589)&gt;1),"GSTIN repeated in this sheet; ","")&amp;IF(AND(AS589&lt;&gt;"",COUNTIF($AS$6:$AS$1005,AS589)&gt;1),"PAN repeated in this sheet (same client? put extra GSTINs in Other GSTINs); ","")&amp;IF(AND(BD589&gt;0,V589=""),"Financial year missing; ","")&amp;IF(AND(BD589=0,V589&lt;&gt;""),"Financial year given but no service is Yes; ","")&amp;IF(AND(W589="Yes",AZ589=""),"GST needs a GSTIN; ","")&amp;IF(AND(W589="Yes",X589=""),"GST return frequency missing; ","")&amp;IF(AND(Y589="Yes",TRIM(H589)=""),"TDS needs a TAN; ","")&amp;IF(AND(AA589="Yes",BC589&lt;&gt;"",BC589&lt;&gt;"company",BC589&lt;&gt;"llp"),"ROC is only for a company / LLP; ","")&amp;IF(AND(AA589="Yes",OR(BC589="company",BC589="llp"),TRIM(I589)=""),"ROC needs the CIN / LLPIN; ","")&amp;IF((TRIM(AF589)="")&lt;&gt;(TRIM(AG589)=""),"GST login needs both user ID and password; ","")&amp;IF((TRIM(AH589)="")&lt;&gt;(TRIM(AI589)=""),"Income-tax login needs both user ID and password; ","")&amp;IF((TRIM(AJ589)="")&lt;&gt;(TRIM(AK589)=""),"Income-tax login needs both user ID and password; ","")&amp;IF((TRIM(AL589)="")&lt;&gt;(TRIM(AM589)=""),"TRACES login needs both user ID and password; ","")&amp;IF((TRIM(AN589)="")&lt;&gt;(TRIM(AO589)=""),"MCA login needs both user ID and password; ","")&amp;IF((TRIM(AP589)="")&lt;&gt;(TRIM(AQ589)=""),"E-way bill login needs both user ID and password; ","")</f>
        <v/>
      </c>
    </row>
    <row r="590">
      <c r="A590" s="32" t="n"/>
      <c r="B590" s="33" t="n"/>
      <c r="C590" s="33" t="n"/>
      <c r="D590" s="33" t="n"/>
      <c r="E590" s="32" t="n"/>
      <c r="F590" s="32" t="n"/>
      <c r="G590" s="32" t="n"/>
      <c r="H590" s="32" t="n"/>
      <c r="I590" s="32" t="n"/>
      <c r="J590" s="34" t="n"/>
      <c r="K590" s="33" t="n"/>
      <c r="L590" s="32" t="n"/>
      <c r="M590" s="33" t="n"/>
      <c r="N590" s="33" t="n"/>
      <c r="O590" s="33" t="n"/>
      <c r="P590" s="32" t="n"/>
      <c r="Q590" s="33" t="n"/>
      <c r="R590" s="33" t="n"/>
      <c r="S590" s="33" t="n"/>
      <c r="T590" s="33" t="n"/>
      <c r="U590" s="32" t="n"/>
      <c r="V590" s="33" t="n"/>
      <c r="W590" s="33" t="n"/>
      <c r="X590" s="33" t="n"/>
      <c r="Y590" s="33" t="n"/>
      <c r="Z590" s="33" t="n"/>
      <c r="AA590" s="33" t="n"/>
      <c r="AB590" s="33" t="n"/>
      <c r="AC590" s="33" t="n"/>
      <c r="AD590" s="33" t="n"/>
      <c r="AE590" s="33" t="n"/>
      <c r="AF590" s="32" t="n"/>
      <c r="AG590" s="32" t="n"/>
      <c r="AH590" s="32" t="n"/>
      <c r="AI590" s="32" t="n"/>
      <c r="AJ590" s="32" t="n"/>
      <c r="AK590" s="32" t="n"/>
      <c r="AL590" s="32" t="n"/>
      <c r="AM590" s="32" t="n"/>
      <c r="AN590" s="32" t="n"/>
      <c r="AO590" s="32" t="n"/>
      <c r="AP590" s="32" t="n"/>
      <c r="AQ590" s="32" t="n"/>
      <c r="AR590" s="29">
        <f>IF(NOT(COUNTA(A590:AE590)&gt;0),"",IF(A590="","New client","Update"))</f>
        <v/>
      </c>
      <c r="AS590" s="29">
        <f>IF(BA590&lt;&gt;"",BA590,IF(LEN(AZ590)=15,MID(AZ590,3,10),""))</f>
        <v/>
      </c>
      <c r="AT590" s="29">
        <f>IF(BB590="","",BB590&amp;IF(D590="","  (guessed from PAN)",""))</f>
        <v/>
      </c>
      <c r="AU590" s="29">
        <f>IF(AZ590="","",IFERROR(INDEX(Lists!$L$2:$L$38,MATCH(LEFT(AZ590,2),Lists!$K$2:$K$38,0)),"Unknown code"))</f>
        <v/>
      </c>
      <c r="AV590" s="29">
        <f>IF(AZ590="","",IFERROR(IF(NOT(AND(LEN(AZ590)=15,ISNUMBER(MATCH(LEFT(AZ590,2),Lists!$K$2:$K$38,0)),SUMPRODUCT(--ISERROR(FIND(MID(MID(AZ590,3,10),{1,2,3,4,5,10},1),"ABCDEFGHIJKLMNOPQRSTUVWXYZ")))=0,SUMPRODUCT(--ISERROR(FIND(MID(MID(AZ590,3,10),{6,7,8,9},1),"0123456789")))=0,ISNUMBER(FIND(MID(AZ590,13,1),"123456789ABCDEFGHIJKLMNOPQRSTUVWXYZ")),MID(AZ590,14,1)="Z")),"Wrong format",IF(MID("0123456789ABCDEFGHIJKLMNOPQRSTUVWXYZ",MOD(36-MOD(SUMPRODUCT(INT((FIND(MID(AZ590,{1,2,3,4,5,6,7,8,9,10,11,12,13,14},1),"0123456789ABCDEFGHIJKLMNOPQRSTUVWXYZ")-1)*{1,2,1,2,1,2,1,2,1,2,1,2,1,2}/36)+MOD((FIND(MID(AZ590,{1,2,3,4,5,6,7,8,9,10,11,12,13,14},1),"0123456789ABCDEFGHIJKLMNOPQRSTUVWXYZ")-1)*{1,2,1,2,1,2,1,2,1,2,1,2,1,2},36)),36),36)+1,1)=MID(AZ590,15,1),"OK","Typo? check digit wrong")),"Wrong format"))</f>
        <v/>
      </c>
      <c r="AW590" s="29">
        <f>IF(BA590="","",IF(AND(LEN(BA590)=10,SUMPRODUCT(--ISERROR(FIND(MID(BA590,{1,2,3,4,5,10},1),"ABCDEFGHIJKLMNOPQRSTUVWXYZ")))=0,SUMPRODUCT(--ISERROR(FIND(MID(BA590,{6,7,8,9},1),"0123456789")))=0),"OK","Wrong format"))</f>
        <v/>
      </c>
      <c r="AX590" s="29">
        <f>IF(TRIM(H590)="","",IF(AND(LEN(UPPER(TRIM(H590)))=10,SUMPRODUCT(--ISERROR(FIND(MID(UPPER(TRIM(H590)),{1,2,3,4,10},1),"ABCDEFGHIJKLMNOPQRSTUVWXYZ")))=0,SUMPRODUCT(--ISERROR(FIND(MID(UPPER(TRIM(H590)),{5,6,7,8,9},1),"0123456789")))=0),"OK","Wrong format"))</f>
        <v/>
      </c>
      <c r="AY590" s="30">
        <f>IF(NOT(COUNTA(A590:AE590)&gt;0),"",IF(BE590&lt;&gt;"","✖ "&amp;LEFT(BE590,LEN(BE590)-2),IF(BD590&gt;0,"✔ Ready — client + "&amp;BD590&amp;" service(s)","✔ Ready — client only")))</f>
        <v/>
      </c>
      <c r="AZ590" s="31">
        <f>UPPER(SUBSTITUTE(TRIM(F590)," ",""))</f>
        <v/>
      </c>
      <c r="BA590" s="31">
        <f>UPPER(SUBSTITUTE(TRIM(E590)," ",""))</f>
        <v/>
      </c>
      <c r="BB590" s="31">
        <f>IF(D590&lt;&gt;"",D590,IFERROR(VLOOKUP(MID(AS590,4,1),Lists!$E$2:$F$8,2,FALSE),""))</f>
        <v/>
      </c>
      <c r="BC590" s="31">
        <f>IFERROR(VLOOKUP(BB590,Lists!$A$2:$C$12,3,FALSE),"")</f>
        <v/>
      </c>
      <c r="BD590" s="31">
        <f>COUNTIF(W590:AC590,"Yes")</f>
        <v/>
      </c>
      <c r="BE590" s="31">
        <f>IF(TRIM(B590)="","Legal name missing; ","")&amp;IF(AND(AV590&lt;&gt;"",AV590&lt;&gt;"OK"),"GSTIN: "&amp;AV590&amp;"; ","")&amp;IF(AND(AW590&lt;&gt;"",AW590&lt;&gt;"OK"),"PAN wrong format; ","")&amp;IF(AND(BA590&lt;&gt;"",LEN(AZ590)=15,MID(AZ590,3,10)&lt;&gt;BA590),"PAN does not match GSTIN; ","")&amp;IF(AND(AX590&lt;&gt;"",AX590&lt;&gt;"OK"),"TAN wrong format; ","")&amp;IF(AS590="","PAN missing; ","")&amp;IF(BB590="","Entity type missing; ","")&amp;IF(AND(AZ590&lt;&gt;"",COUNTIF($AZ$6:$AZ$1005,AZ590)&gt;1),"GSTIN repeated in this sheet; ","")&amp;IF(AND(AS590&lt;&gt;"",COUNTIF($AS$6:$AS$1005,AS590)&gt;1),"PAN repeated in this sheet (same client? put extra GSTINs in Other GSTINs); ","")&amp;IF(AND(BD590&gt;0,V590=""),"Financial year missing; ","")&amp;IF(AND(BD590=0,V590&lt;&gt;""),"Financial year given but no service is Yes; ","")&amp;IF(AND(W590="Yes",AZ590=""),"GST needs a GSTIN; ","")&amp;IF(AND(W590="Yes",X590=""),"GST return frequency missing; ","")&amp;IF(AND(Y590="Yes",TRIM(H590)=""),"TDS needs a TAN; ","")&amp;IF(AND(AA590="Yes",BC590&lt;&gt;"",BC590&lt;&gt;"company",BC590&lt;&gt;"llp"),"ROC is only for a company / LLP; ","")&amp;IF(AND(AA590="Yes",OR(BC590="company",BC590="llp"),TRIM(I590)=""),"ROC needs the CIN / LLPIN; ","")&amp;IF((TRIM(AF590)="")&lt;&gt;(TRIM(AG590)=""),"GST login needs both user ID and password; ","")&amp;IF((TRIM(AH590)="")&lt;&gt;(TRIM(AI590)=""),"Income-tax login needs both user ID and password; ","")&amp;IF((TRIM(AJ590)="")&lt;&gt;(TRIM(AK590)=""),"Income-tax login needs both user ID and password; ","")&amp;IF((TRIM(AL590)="")&lt;&gt;(TRIM(AM590)=""),"TRACES login needs both user ID and password; ","")&amp;IF((TRIM(AN590)="")&lt;&gt;(TRIM(AO590)=""),"MCA login needs both user ID and password; ","")&amp;IF((TRIM(AP590)="")&lt;&gt;(TRIM(AQ590)=""),"E-way bill login needs both user ID and password; ","")</f>
        <v/>
      </c>
    </row>
    <row r="591">
      <c r="A591" s="32" t="n"/>
      <c r="B591" s="33" t="n"/>
      <c r="C591" s="33" t="n"/>
      <c r="D591" s="33" t="n"/>
      <c r="E591" s="32" t="n"/>
      <c r="F591" s="32" t="n"/>
      <c r="G591" s="32" t="n"/>
      <c r="H591" s="32" t="n"/>
      <c r="I591" s="32" t="n"/>
      <c r="J591" s="34" t="n"/>
      <c r="K591" s="33" t="n"/>
      <c r="L591" s="32" t="n"/>
      <c r="M591" s="33" t="n"/>
      <c r="N591" s="33" t="n"/>
      <c r="O591" s="33" t="n"/>
      <c r="P591" s="32" t="n"/>
      <c r="Q591" s="33" t="n"/>
      <c r="R591" s="33" t="n"/>
      <c r="S591" s="33" t="n"/>
      <c r="T591" s="33" t="n"/>
      <c r="U591" s="32" t="n"/>
      <c r="V591" s="33" t="n"/>
      <c r="W591" s="33" t="n"/>
      <c r="X591" s="33" t="n"/>
      <c r="Y591" s="33" t="n"/>
      <c r="Z591" s="33" t="n"/>
      <c r="AA591" s="33" t="n"/>
      <c r="AB591" s="33" t="n"/>
      <c r="AC591" s="33" t="n"/>
      <c r="AD591" s="33" t="n"/>
      <c r="AE591" s="33" t="n"/>
      <c r="AF591" s="32" t="n"/>
      <c r="AG591" s="32" t="n"/>
      <c r="AH591" s="32" t="n"/>
      <c r="AI591" s="32" t="n"/>
      <c r="AJ591" s="32" t="n"/>
      <c r="AK591" s="32" t="n"/>
      <c r="AL591" s="32" t="n"/>
      <c r="AM591" s="32" t="n"/>
      <c r="AN591" s="32" t="n"/>
      <c r="AO591" s="32" t="n"/>
      <c r="AP591" s="32" t="n"/>
      <c r="AQ591" s="32" t="n"/>
      <c r="AR591" s="29">
        <f>IF(NOT(COUNTA(A591:AE591)&gt;0),"",IF(A591="","New client","Update"))</f>
        <v/>
      </c>
      <c r="AS591" s="29">
        <f>IF(BA591&lt;&gt;"",BA591,IF(LEN(AZ591)=15,MID(AZ591,3,10),""))</f>
        <v/>
      </c>
      <c r="AT591" s="29">
        <f>IF(BB591="","",BB591&amp;IF(D591="","  (guessed from PAN)",""))</f>
        <v/>
      </c>
      <c r="AU591" s="29">
        <f>IF(AZ591="","",IFERROR(INDEX(Lists!$L$2:$L$38,MATCH(LEFT(AZ591,2),Lists!$K$2:$K$38,0)),"Unknown code"))</f>
        <v/>
      </c>
      <c r="AV591" s="29">
        <f>IF(AZ591="","",IFERROR(IF(NOT(AND(LEN(AZ591)=15,ISNUMBER(MATCH(LEFT(AZ591,2),Lists!$K$2:$K$38,0)),SUMPRODUCT(--ISERROR(FIND(MID(MID(AZ591,3,10),{1,2,3,4,5,10},1),"ABCDEFGHIJKLMNOPQRSTUVWXYZ")))=0,SUMPRODUCT(--ISERROR(FIND(MID(MID(AZ591,3,10),{6,7,8,9},1),"0123456789")))=0,ISNUMBER(FIND(MID(AZ591,13,1),"123456789ABCDEFGHIJKLMNOPQRSTUVWXYZ")),MID(AZ591,14,1)="Z")),"Wrong format",IF(MID("0123456789ABCDEFGHIJKLMNOPQRSTUVWXYZ",MOD(36-MOD(SUMPRODUCT(INT((FIND(MID(AZ591,{1,2,3,4,5,6,7,8,9,10,11,12,13,14},1),"0123456789ABCDEFGHIJKLMNOPQRSTUVWXYZ")-1)*{1,2,1,2,1,2,1,2,1,2,1,2,1,2}/36)+MOD((FIND(MID(AZ591,{1,2,3,4,5,6,7,8,9,10,11,12,13,14},1),"0123456789ABCDEFGHIJKLMNOPQRSTUVWXYZ")-1)*{1,2,1,2,1,2,1,2,1,2,1,2,1,2},36)),36),36)+1,1)=MID(AZ591,15,1),"OK","Typo? check digit wrong")),"Wrong format"))</f>
        <v/>
      </c>
      <c r="AW591" s="29">
        <f>IF(BA591="","",IF(AND(LEN(BA591)=10,SUMPRODUCT(--ISERROR(FIND(MID(BA591,{1,2,3,4,5,10},1),"ABCDEFGHIJKLMNOPQRSTUVWXYZ")))=0,SUMPRODUCT(--ISERROR(FIND(MID(BA591,{6,7,8,9},1),"0123456789")))=0),"OK","Wrong format"))</f>
        <v/>
      </c>
      <c r="AX591" s="29">
        <f>IF(TRIM(H591)="","",IF(AND(LEN(UPPER(TRIM(H591)))=10,SUMPRODUCT(--ISERROR(FIND(MID(UPPER(TRIM(H591)),{1,2,3,4,10},1),"ABCDEFGHIJKLMNOPQRSTUVWXYZ")))=0,SUMPRODUCT(--ISERROR(FIND(MID(UPPER(TRIM(H591)),{5,6,7,8,9},1),"0123456789")))=0),"OK","Wrong format"))</f>
        <v/>
      </c>
      <c r="AY591" s="30">
        <f>IF(NOT(COUNTA(A591:AE591)&gt;0),"",IF(BE591&lt;&gt;"","✖ "&amp;LEFT(BE591,LEN(BE591)-2),IF(BD591&gt;0,"✔ Ready — client + "&amp;BD591&amp;" service(s)","✔ Ready — client only")))</f>
        <v/>
      </c>
      <c r="AZ591" s="31">
        <f>UPPER(SUBSTITUTE(TRIM(F591)," ",""))</f>
        <v/>
      </c>
      <c r="BA591" s="31">
        <f>UPPER(SUBSTITUTE(TRIM(E591)," ",""))</f>
        <v/>
      </c>
      <c r="BB591" s="31">
        <f>IF(D591&lt;&gt;"",D591,IFERROR(VLOOKUP(MID(AS591,4,1),Lists!$E$2:$F$8,2,FALSE),""))</f>
        <v/>
      </c>
      <c r="BC591" s="31">
        <f>IFERROR(VLOOKUP(BB591,Lists!$A$2:$C$12,3,FALSE),"")</f>
        <v/>
      </c>
      <c r="BD591" s="31">
        <f>COUNTIF(W591:AC591,"Yes")</f>
        <v/>
      </c>
      <c r="BE591" s="31">
        <f>IF(TRIM(B591)="","Legal name missing; ","")&amp;IF(AND(AV591&lt;&gt;"",AV591&lt;&gt;"OK"),"GSTIN: "&amp;AV591&amp;"; ","")&amp;IF(AND(AW591&lt;&gt;"",AW591&lt;&gt;"OK"),"PAN wrong format; ","")&amp;IF(AND(BA591&lt;&gt;"",LEN(AZ591)=15,MID(AZ591,3,10)&lt;&gt;BA591),"PAN does not match GSTIN; ","")&amp;IF(AND(AX591&lt;&gt;"",AX591&lt;&gt;"OK"),"TAN wrong format; ","")&amp;IF(AS591="","PAN missing; ","")&amp;IF(BB591="","Entity type missing; ","")&amp;IF(AND(AZ591&lt;&gt;"",COUNTIF($AZ$6:$AZ$1005,AZ591)&gt;1),"GSTIN repeated in this sheet; ","")&amp;IF(AND(AS591&lt;&gt;"",COUNTIF($AS$6:$AS$1005,AS591)&gt;1),"PAN repeated in this sheet (same client? put extra GSTINs in Other GSTINs); ","")&amp;IF(AND(BD591&gt;0,V591=""),"Financial year missing; ","")&amp;IF(AND(BD591=0,V591&lt;&gt;""),"Financial year given but no service is Yes; ","")&amp;IF(AND(W591="Yes",AZ591=""),"GST needs a GSTIN; ","")&amp;IF(AND(W591="Yes",X591=""),"GST return frequency missing; ","")&amp;IF(AND(Y591="Yes",TRIM(H591)=""),"TDS needs a TAN; ","")&amp;IF(AND(AA591="Yes",BC591&lt;&gt;"",BC591&lt;&gt;"company",BC591&lt;&gt;"llp"),"ROC is only for a company / LLP; ","")&amp;IF(AND(AA591="Yes",OR(BC591="company",BC591="llp"),TRIM(I591)=""),"ROC needs the CIN / LLPIN; ","")&amp;IF((TRIM(AF591)="")&lt;&gt;(TRIM(AG591)=""),"GST login needs both user ID and password; ","")&amp;IF((TRIM(AH591)="")&lt;&gt;(TRIM(AI591)=""),"Income-tax login needs both user ID and password; ","")&amp;IF((TRIM(AJ591)="")&lt;&gt;(TRIM(AK591)=""),"Income-tax login needs both user ID and password; ","")&amp;IF((TRIM(AL591)="")&lt;&gt;(TRIM(AM591)=""),"TRACES login needs both user ID and password; ","")&amp;IF((TRIM(AN591)="")&lt;&gt;(TRIM(AO591)=""),"MCA login needs both user ID and password; ","")&amp;IF((TRIM(AP591)="")&lt;&gt;(TRIM(AQ591)=""),"E-way bill login needs both user ID and password; ","")</f>
        <v/>
      </c>
    </row>
    <row r="592">
      <c r="A592" s="32" t="n"/>
      <c r="B592" s="33" t="n"/>
      <c r="C592" s="33" t="n"/>
      <c r="D592" s="33" t="n"/>
      <c r="E592" s="32" t="n"/>
      <c r="F592" s="32" t="n"/>
      <c r="G592" s="32" t="n"/>
      <c r="H592" s="32" t="n"/>
      <c r="I592" s="32" t="n"/>
      <c r="J592" s="34" t="n"/>
      <c r="K592" s="33" t="n"/>
      <c r="L592" s="32" t="n"/>
      <c r="M592" s="33" t="n"/>
      <c r="N592" s="33" t="n"/>
      <c r="O592" s="33" t="n"/>
      <c r="P592" s="32" t="n"/>
      <c r="Q592" s="33" t="n"/>
      <c r="R592" s="33" t="n"/>
      <c r="S592" s="33" t="n"/>
      <c r="T592" s="33" t="n"/>
      <c r="U592" s="32" t="n"/>
      <c r="V592" s="33" t="n"/>
      <c r="W592" s="33" t="n"/>
      <c r="X592" s="33" t="n"/>
      <c r="Y592" s="33" t="n"/>
      <c r="Z592" s="33" t="n"/>
      <c r="AA592" s="33" t="n"/>
      <c r="AB592" s="33" t="n"/>
      <c r="AC592" s="33" t="n"/>
      <c r="AD592" s="33" t="n"/>
      <c r="AE592" s="33" t="n"/>
      <c r="AF592" s="32" t="n"/>
      <c r="AG592" s="32" t="n"/>
      <c r="AH592" s="32" t="n"/>
      <c r="AI592" s="32" t="n"/>
      <c r="AJ592" s="32" t="n"/>
      <c r="AK592" s="32" t="n"/>
      <c r="AL592" s="32" t="n"/>
      <c r="AM592" s="32" t="n"/>
      <c r="AN592" s="32" t="n"/>
      <c r="AO592" s="32" t="n"/>
      <c r="AP592" s="32" t="n"/>
      <c r="AQ592" s="32" t="n"/>
      <c r="AR592" s="29">
        <f>IF(NOT(COUNTA(A592:AE592)&gt;0),"",IF(A592="","New client","Update"))</f>
        <v/>
      </c>
      <c r="AS592" s="29">
        <f>IF(BA592&lt;&gt;"",BA592,IF(LEN(AZ592)=15,MID(AZ592,3,10),""))</f>
        <v/>
      </c>
      <c r="AT592" s="29">
        <f>IF(BB592="","",BB592&amp;IF(D592="","  (guessed from PAN)",""))</f>
        <v/>
      </c>
      <c r="AU592" s="29">
        <f>IF(AZ592="","",IFERROR(INDEX(Lists!$L$2:$L$38,MATCH(LEFT(AZ592,2),Lists!$K$2:$K$38,0)),"Unknown code"))</f>
        <v/>
      </c>
      <c r="AV592" s="29">
        <f>IF(AZ592="","",IFERROR(IF(NOT(AND(LEN(AZ592)=15,ISNUMBER(MATCH(LEFT(AZ592,2),Lists!$K$2:$K$38,0)),SUMPRODUCT(--ISERROR(FIND(MID(MID(AZ592,3,10),{1,2,3,4,5,10},1),"ABCDEFGHIJKLMNOPQRSTUVWXYZ")))=0,SUMPRODUCT(--ISERROR(FIND(MID(MID(AZ592,3,10),{6,7,8,9},1),"0123456789")))=0,ISNUMBER(FIND(MID(AZ592,13,1),"123456789ABCDEFGHIJKLMNOPQRSTUVWXYZ")),MID(AZ592,14,1)="Z")),"Wrong format",IF(MID("0123456789ABCDEFGHIJKLMNOPQRSTUVWXYZ",MOD(36-MOD(SUMPRODUCT(INT((FIND(MID(AZ592,{1,2,3,4,5,6,7,8,9,10,11,12,13,14},1),"0123456789ABCDEFGHIJKLMNOPQRSTUVWXYZ")-1)*{1,2,1,2,1,2,1,2,1,2,1,2,1,2}/36)+MOD((FIND(MID(AZ592,{1,2,3,4,5,6,7,8,9,10,11,12,13,14},1),"0123456789ABCDEFGHIJKLMNOPQRSTUVWXYZ")-1)*{1,2,1,2,1,2,1,2,1,2,1,2,1,2},36)),36),36)+1,1)=MID(AZ592,15,1),"OK","Typo? check digit wrong")),"Wrong format"))</f>
        <v/>
      </c>
      <c r="AW592" s="29">
        <f>IF(BA592="","",IF(AND(LEN(BA592)=10,SUMPRODUCT(--ISERROR(FIND(MID(BA592,{1,2,3,4,5,10},1),"ABCDEFGHIJKLMNOPQRSTUVWXYZ")))=0,SUMPRODUCT(--ISERROR(FIND(MID(BA592,{6,7,8,9},1),"0123456789")))=0),"OK","Wrong format"))</f>
        <v/>
      </c>
      <c r="AX592" s="29">
        <f>IF(TRIM(H592)="","",IF(AND(LEN(UPPER(TRIM(H592)))=10,SUMPRODUCT(--ISERROR(FIND(MID(UPPER(TRIM(H592)),{1,2,3,4,10},1),"ABCDEFGHIJKLMNOPQRSTUVWXYZ")))=0,SUMPRODUCT(--ISERROR(FIND(MID(UPPER(TRIM(H592)),{5,6,7,8,9},1),"0123456789")))=0),"OK","Wrong format"))</f>
        <v/>
      </c>
      <c r="AY592" s="30">
        <f>IF(NOT(COUNTA(A592:AE592)&gt;0),"",IF(BE592&lt;&gt;"","✖ "&amp;LEFT(BE592,LEN(BE592)-2),IF(BD592&gt;0,"✔ Ready — client + "&amp;BD592&amp;" service(s)","✔ Ready — client only")))</f>
        <v/>
      </c>
      <c r="AZ592" s="31">
        <f>UPPER(SUBSTITUTE(TRIM(F592)," ",""))</f>
        <v/>
      </c>
      <c r="BA592" s="31">
        <f>UPPER(SUBSTITUTE(TRIM(E592)," ",""))</f>
        <v/>
      </c>
      <c r="BB592" s="31">
        <f>IF(D592&lt;&gt;"",D592,IFERROR(VLOOKUP(MID(AS592,4,1),Lists!$E$2:$F$8,2,FALSE),""))</f>
        <v/>
      </c>
      <c r="BC592" s="31">
        <f>IFERROR(VLOOKUP(BB592,Lists!$A$2:$C$12,3,FALSE),"")</f>
        <v/>
      </c>
      <c r="BD592" s="31">
        <f>COUNTIF(W592:AC592,"Yes")</f>
        <v/>
      </c>
      <c r="BE592" s="31">
        <f>IF(TRIM(B592)="","Legal name missing; ","")&amp;IF(AND(AV592&lt;&gt;"",AV592&lt;&gt;"OK"),"GSTIN: "&amp;AV592&amp;"; ","")&amp;IF(AND(AW592&lt;&gt;"",AW592&lt;&gt;"OK"),"PAN wrong format; ","")&amp;IF(AND(BA592&lt;&gt;"",LEN(AZ592)=15,MID(AZ592,3,10)&lt;&gt;BA592),"PAN does not match GSTIN; ","")&amp;IF(AND(AX592&lt;&gt;"",AX592&lt;&gt;"OK"),"TAN wrong format; ","")&amp;IF(AS592="","PAN missing; ","")&amp;IF(BB592="","Entity type missing; ","")&amp;IF(AND(AZ592&lt;&gt;"",COUNTIF($AZ$6:$AZ$1005,AZ592)&gt;1),"GSTIN repeated in this sheet; ","")&amp;IF(AND(AS592&lt;&gt;"",COUNTIF($AS$6:$AS$1005,AS592)&gt;1),"PAN repeated in this sheet (same client? put extra GSTINs in Other GSTINs); ","")&amp;IF(AND(BD592&gt;0,V592=""),"Financial year missing; ","")&amp;IF(AND(BD592=0,V592&lt;&gt;""),"Financial year given but no service is Yes; ","")&amp;IF(AND(W592="Yes",AZ592=""),"GST needs a GSTIN; ","")&amp;IF(AND(W592="Yes",X592=""),"GST return frequency missing; ","")&amp;IF(AND(Y592="Yes",TRIM(H592)=""),"TDS needs a TAN; ","")&amp;IF(AND(AA592="Yes",BC592&lt;&gt;"",BC592&lt;&gt;"company",BC592&lt;&gt;"llp"),"ROC is only for a company / LLP; ","")&amp;IF(AND(AA592="Yes",OR(BC592="company",BC592="llp"),TRIM(I592)=""),"ROC needs the CIN / LLPIN; ","")&amp;IF((TRIM(AF592)="")&lt;&gt;(TRIM(AG592)=""),"GST login needs both user ID and password; ","")&amp;IF((TRIM(AH592)="")&lt;&gt;(TRIM(AI592)=""),"Income-tax login needs both user ID and password; ","")&amp;IF((TRIM(AJ592)="")&lt;&gt;(TRIM(AK592)=""),"Income-tax login needs both user ID and password; ","")&amp;IF((TRIM(AL592)="")&lt;&gt;(TRIM(AM592)=""),"TRACES login needs both user ID and password; ","")&amp;IF((TRIM(AN592)="")&lt;&gt;(TRIM(AO592)=""),"MCA login needs both user ID and password; ","")&amp;IF((TRIM(AP592)="")&lt;&gt;(TRIM(AQ592)=""),"E-way bill login needs both user ID and password; ","")</f>
        <v/>
      </c>
    </row>
    <row r="593">
      <c r="A593" s="32" t="n"/>
      <c r="B593" s="33" t="n"/>
      <c r="C593" s="33" t="n"/>
      <c r="D593" s="33" t="n"/>
      <c r="E593" s="32" t="n"/>
      <c r="F593" s="32" t="n"/>
      <c r="G593" s="32" t="n"/>
      <c r="H593" s="32" t="n"/>
      <c r="I593" s="32" t="n"/>
      <c r="J593" s="34" t="n"/>
      <c r="K593" s="33" t="n"/>
      <c r="L593" s="32" t="n"/>
      <c r="M593" s="33" t="n"/>
      <c r="N593" s="33" t="n"/>
      <c r="O593" s="33" t="n"/>
      <c r="P593" s="32" t="n"/>
      <c r="Q593" s="33" t="n"/>
      <c r="R593" s="33" t="n"/>
      <c r="S593" s="33" t="n"/>
      <c r="T593" s="33" t="n"/>
      <c r="U593" s="32" t="n"/>
      <c r="V593" s="33" t="n"/>
      <c r="W593" s="33" t="n"/>
      <c r="X593" s="33" t="n"/>
      <c r="Y593" s="33" t="n"/>
      <c r="Z593" s="33" t="n"/>
      <c r="AA593" s="33" t="n"/>
      <c r="AB593" s="33" t="n"/>
      <c r="AC593" s="33" t="n"/>
      <c r="AD593" s="33" t="n"/>
      <c r="AE593" s="33" t="n"/>
      <c r="AF593" s="32" t="n"/>
      <c r="AG593" s="32" t="n"/>
      <c r="AH593" s="32" t="n"/>
      <c r="AI593" s="32" t="n"/>
      <c r="AJ593" s="32" t="n"/>
      <c r="AK593" s="32" t="n"/>
      <c r="AL593" s="32" t="n"/>
      <c r="AM593" s="32" t="n"/>
      <c r="AN593" s="32" t="n"/>
      <c r="AO593" s="32" t="n"/>
      <c r="AP593" s="32" t="n"/>
      <c r="AQ593" s="32" t="n"/>
      <c r="AR593" s="29">
        <f>IF(NOT(COUNTA(A593:AE593)&gt;0),"",IF(A593="","New client","Update"))</f>
        <v/>
      </c>
      <c r="AS593" s="29">
        <f>IF(BA593&lt;&gt;"",BA593,IF(LEN(AZ593)=15,MID(AZ593,3,10),""))</f>
        <v/>
      </c>
      <c r="AT593" s="29">
        <f>IF(BB593="","",BB593&amp;IF(D593="","  (guessed from PAN)",""))</f>
        <v/>
      </c>
      <c r="AU593" s="29">
        <f>IF(AZ593="","",IFERROR(INDEX(Lists!$L$2:$L$38,MATCH(LEFT(AZ593,2),Lists!$K$2:$K$38,0)),"Unknown code"))</f>
        <v/>
      </c>
      <c r="AV593" s="29">
        <f>IF(AZ593="","",IFERROR(IF(NOT(AND(LEN(AZ593)=15,ISNUMBER(MATCH(LEFT(AZ593,2),Lists!$K$2:$K$38,0)),SUMPRODUCT(--ISERROR(FIND(MID(MID(AZ593,3,10),{1,2,3,4,5,10},1),"ABCDEFGHIJKLMNOPQRSTUVWXYZ")))=0,SUMPRODUCT(--ISERROR(FIND(MID(MID(AZ593,3,10),{6,7,8,9},1),"0123456789")))=0,ISNUMBER(FIND(MID(AZ593,13,1),"123456789ABCDEFGHIJKLMNOPQRSTUVWXYZ")),MID(AZ593,14,1)="Z")),"Wrong format",IF(MID("0123456789ABCDEFGHIJKLMNOPQRSTUVWXYZ",MOD(36-MOD(SUMPRODUCT(INT((FIND(MID(AZ593,{1,2,3,4,5,6,7,8,9,10,11,12,13,14},1),"0123456789ABCDEFGHIJKLMNOPQRSTUVWXYZ")-1)*{1,2,1,2,1,2,1,2,1,2,1,2,1,2}/36)+MOD((FIND(MID(AZ593,{1,2,3,4,5,6,7,8,9,10,11,12,13,14},1),"0123456789ABCDEFGHIJKLMNOPQRSTUVWXYZ")-1)*{1,2,1,2,1,2,1,2,1,2,1,2,1,2},36)),36),36)+1,1)=MID(AZ593,15,1),"OK","Typo? check digit wrong")),"Wrong format"))</f>
        <v/>
      </c>
      <c r="AW593" s="29">
        <f>IF(BA593="","",IF(AND(LEN(BA593)=10,SUMPRODUCT(--ISERROR(FIND(MID(BA593,{1,2,3,4,5,10},1),"ABCDEFGHIJKLMNOPQRSTUVWXYZ")))=0,SUMPRODUCT(--ISERROR(FIND(MID(BA593,{6,7,8,9},1),"0123456789")))=0),"OK","Wrong format"))</f>
        <v/>
      </c>
      <c r="AX593" s="29">
        <f>IF(TRIM(H593)="","",IF(AND(LEN(UPPER(TRIM(H593)))=10,SUMPRODUCT(--ISERROR(FIND(MID(UPPER(TRIM(H593)),{1,2,3,4,10},1),"ABCDEFGHIJKLMNOPQRSTUVWXYZ")))=0,SUMPRODUCT(--ISERROR(FIND(MID(UPPER(TRIM(H593)),{5,6,7,8,9},1),"0123456789")))=0),"OK","Wrong format"))</f>
        <v/>
      </c>
      <c r="AY593" s="30">
        <f>IF(NOT(COUNTA(A593:AE593)&gt;0),"",IF(BE593&lt;&gt;"","✖ "&amp;LEFT(BE593,LEN(BE593)-2),IF(BD593&gt;0,"✔ Ready — client + "&amp;BD593&amp;" service(s)","✔ Ready — client only")))</f>
        <v/>
      </c>
      <c r="AZ593" s="31">
        <f>UPPER(SUBSTITUTE(TRIM(F593)," ",""))</f>
        <v/>
      </c>
      <c r="BA593" s="31">
        <f>UPPER(SUBSTITUTE(TRIM(E593)," ",""))</f>
        <v/>
      </c>
      <c r="BB593" s="31">
        <f>IF(D593&lt;&gt;"",D593,IFERROR(VLOOKUP(MID(AS593,4,1),Lists!$E$2:$F$8,2,FALSE),""))</f>
        <v/>
      </c>
      <c r="BC593" s="31">
        <f>IFERROR(VLOOKUP(BB593,Lists!$A$2:$C$12,3,FALSE),"")</f>
        <v/>
      </c>
      <c r="BD593" s="31">
        <f>COUNTIF(W593:AC593,"Yes")</f>
        <v/>
      </c>
      <c r="BE593" s="31">
        <f>IF(TRIM(B593)="","Legal name missing; ","")&amp;IF(AND(AV593&lt;&gt;"",AV593&lt;&gt;"OK"),"GSTIN: "&amp;AV593&amp;"; ","")&amp;IF(AND(AW593&lt;&gt;"",AW593&lt;&gt;"OK"),"PAN wrong format; ","")&amp;IF(AND(BA593&lt;&gt;"",LEN(AZ593)=15,MID(AZ593,3,10)&lt;&gt;BA593),"PAN does not match GSTIN; ","")&amp;IF(AND(AX593&lt;&gt;"",AX593&lt;&gt;"OK"),"TAN wrong format; ","")&amp;IF(AS593="","PAN missing; ","")&amp;IF(BB593="","Entity type missing; ","")&amp;IF(AND(AZ593&lt;&gt;"",COUNTIF($AZ$6:$AZ$1005,AZ593)&gt;1),"GSTIN repeated in this sheet; ","")&amp;IF(AND(AS593&lt;&gt;"",COUNTIF($AS$6:$AS$1005,AS593)&gt;1),"PAN repeated in this sheet (same client? put extra GSTINs in Other GSTINs); ","")&amp;IF(AND(BD593&gt;0,V593=""),"Financial year missing; ","")&amp;IF(AND(BD593=0,V593&lt;&gt;""),"Financial year given but no service is Yes; ","")&amp;IF(AND(W593="Yes",AZ593=""),"GST needs a GSTIN; ","")&amp;IF(AND(W593="Yes",X593=""),"GST return frequency missing; ","")&amp;IF(AND(Y593="Yes",TRIM(H593)=""),"TDS needs a TAN; ","")&amp;IF(AND(AA593="Yes",BC593&lt;&gt;"",BC593&lt;&gt;"company",BC593&lt;&gt;"llp"),"ROC is only for a company / LLP; ","")&amp;IF(AND(AA593="Yes",OR(BC593="company",BC593="llp"),TRIM(I593)=""),"ROC needs the CIN / LLPIN; ","")&amp;IF((TRIM(AF593)="")&lt;&gt;(TRIM(AG593)=""),"GST login needs both user ID and password; ","")&amp;IF((TRIM(AH593)="")&lt;&gt;(TRIM(AI593)=""),"Income-tax login needs both user ID and password; ","")&amp;IF((TRIM(AJ593)="")&lt;&gt;(TRIM(AK593)=""),"Income-tax login needs both user ID and password; ","")&amp;IF((TRIM(AL593)="")&lt;&gt;(TRIM(AM593)=""),"TRACES login needs both user ID and password; ","")&amp;IF((TRIM(AN593)="")&lt;&gt;(TRIM(AO593)=""),"MCA login needs both user ID and password; ","")&amp;IF((TRIM(AP593)="")&lt;&gt;(TRIM(AQ593)=""),"E-way bill login needs both user ID and password; ","")</f>
        <v/>
      </c>
    </row>
    <row r="594">
      <c r="A594" s="32" t="n"/>
      <c r="B594" s="33" t="n"/>
      <c r="C594" s="33" t="n"/>
      <c r="D594" s="33" t="n"/>
      <c r="E594" s="32" t="n"/>
      <c r="F594" s="32" t="n"/>
      <c r="G594" s="32" t="n"/>
      <c r="H594" s="32" t="n"/>
      <c r="I594" s="32" t="n"/>
      <c r="J594" s="34" t="n"/>
      <c r="K594" s="33" t="n"/>
      <c r="L594" s="32" t="n"/>
      <c r="M594" s="33" t="n"/>
      <c r="N594" s="33" t="n"/>
      <c r="O594" s="33" t="n"/>
      <c r="P594" s="32" t="n"/>
      <c r="Q594" s="33" t="n"/>
      <c r="R594" s="33" t="n"/>
      <c r="S594" s="33" t="n"/>
      <c r="T594" s="33" t="n"/>
      <c r="U594" s="32" t="n"/>
      <c r="V594" s="33" t="n"/>
      <c r="W594" s="33" t="n"/>
      <c r="X594" s="33" t="n"/>
      <c r="Y594" s="33" t="n"/>
      <c r="Z594" s="33" t="n"/>
      <c r="AA594" s="33" t="n"/>
      <c r="AB594" s="33" t="n"/>
      <c r="AC594" s="33" t="n"/>
      <c r="AD594" s="33" t="n"/>
      <c r="AE594" s="33" t="n"/>
      <c r="AF594" s="32" t="n"/>
      <c r="AG594" s="32" t="n"/>
      <c r="AH594" s="32" t="n"/>
      <c r="AI594" s="32" t="n"/>
      <c r="AJ594" s="32" t="n"/>
      <c r="AK594" s="32" t="n"/>
      <c r="AL594" s="32" t="n"/>
      <c r="AM594" s="32" t="n"/>
      <c r="AN594" s="32" t="n"/>
      <c r="AO594" s="32" t="n"/>
      <c r="AP594" s="32" t="n"/>
      <c r="AQ594" s="32" t="n"/>
      <c r="AR594" s="29">
        <f>IF(NOT(COUNTA(A594:AE594)&gt;0),"",IF(A594="","New client","Update"))</f>
        <v/>
      </c>
      <c r="AS594" s="29">
        <f>IF(BA594&lt;&gt;"",BA594,IF(LEN(AZ594)=15,MID(AZ594,3,10),""))</f>
        <v/>
      </c>
      <c r="AT594" s="29">
        <f>IF(BB594="","",BB594&amp;IF(D594="","  (guessed from PAN)",""))</f>
        <v/>
      </c>
      <c r="AU594" s="29">
        <f>IF(AZ594="","",IFERROR(INDEX(Lists!$L$2:$L$38,MATCH(LEFT(AZ594,2),Lists!$K$2:$K$38,0)),"Unknown code"))</f>
        <v/>
      </c>
      <c r="AV594" s="29">
        <f>IF(AZ594="","",IFERROR(IF(NOT(AND(LEN(AZ594)=15,ISNUMBER(MATCH(LEFT(AZ594,2),Lists!$K$2:$K$38,0)),SUMPRODUCT(--ISERROR(FIND(MID(MID(AZ594,3,10),{1,2,3,4,5,10},1),"ABCDEFGHIJKLMNOPQRSTUVWXYZ")))=0,SUMPRODUCT(--ISERROR(FIND(MID(MID(AZ594,3,10),{6,7,8,9},1),"0123456789")))=0,ISNUMBER(FIND(MID(AZ594,13,1),"123456789ABCDEFGHIJKLMNOPQRSTUVWXYZ")),MID(AZ594,14,1)="Z")),"Wrong format",IF(MID("0123456789ABCDEFGHIJKLMNOPQRSTUVWXYZ",MOD(36-MOD(SUMPRODUCT(INT((FIND(MID(AZ594,{1,2,3,4,5,6,7,8,9,10,11,12,13,14},1),"0123456789ABCDEFGHIJKLMNOPQRSTUVWXYZ")-1)*{1,2,1,2,1,2,1,2,1,2,1,2,1,2}/36)+MOD((FIND(MID(AZ594,{1,2,3,4,5,6,7,8,9,10,11,12,13,14},1),"0123456789ABCDEFGHIJKLMNOPQRSTUVWXYZ")-1)*{1,2,1,2,1,2,1,2,1,2,1,2,1,2},36)),36),36)+1,1)=MID(AZ594,15,1),"OK","Typo? check digit wrong")),"Wrong format"))</f>
        <v/>
      </c>
      <c r="AW594" s="29">
        <f>IF(BA594="","",IF(AND(LEN(BA594)=10,SUMPRODUCT(--ISERROR(FIND(MID(BA594,{1,2,3,4,5,10},1),"ABCDEFGHIJKLMNOPQRSTUVWXYZ")))=0,SUMPRODUCT(--ISERROR(FIND(MID(BA594,{6,7,8,9},1),"0123456789")))=0),"OK","Wrong format"))</f>
        <v/>
      </c>
      <c r="AX594" s="29">
        <f>IF(TRIM(H594)="","",IF(AND(LEN(UPPER(TRIM(H594)))=10,SUMPRODUCT(--ISERROR(FIND(MID(UPPER(TRIM(H594)),{1,2,3,4,10},1),"ABCDEFGHIJKLMNOPQRSTUVWXYZ")))=0,SUMPRODUCT(--ISERROR(FIND(MID(UPPER(TRIM(H594)),{5,6,7,8,9},1),"0123456789")))=0),"OK","Wrong format"))</f>
        <v/>
      </c>
      <c r="AY594" s="30">
        <f>IF(NOT(COUNTA(A594:AE594)&gt;0),"",IF(BE594&lt;&gt;"","✖ "&amp;LEFT(BE594,LEN(BE594)-2),IF(BD594&gt;0,"✔ Ready — client + "&amp;BD594&amp;" service(s)","✔ Ready — client only")))</f>
        <v/>
      </c>
      <c r="AZ594" s="31">
        <f>UPPER(SUBSTITUTE(TRIM(F594)," ",""))</f>
        <v/>
      </c>
      <c r="BA594" s="31">
        <f>UPPER(SUBSTITUTE(TRIM(E594)," ",""))</f>
        <v/>
      </c>
      <c r="BB594" s="31">
        <f>IF(D594&lt;&gt;"",D594,IFERROR(VLOOKUP(MID(AS594,4,1),Lists!$E$2:$F$8,2,FALSE),""))</f>
        <v/>
      </c>
      <c r="BC594" s="31">
        <f>IFERROR(VLOOKUP(BB594,Lists!$A$2:$C$12,3,FALSE),"")</f>
        <v/>
      </c>
      <c r="BD594" s="31">
        <f>COUNTIF(W594:AC594,"Yes")</f>
        <v/>
      </c>
      <c r="BE594" s="31">
        <f>IF(TRIM(B594)="","Legal name missing; ","")&amp;IF(AND(AV594&lt;&gt;"",AV594&lt;&gt;"OK"),"GSTIN: "&amp;AV594&amp;"; ","")&amp;IF(AND(AW594&lt;&gt;"",AW594&lt;&gt;"OK"),"PAN wrong format; ","")&amp;IF(AND(BA594&lt;&gt;"",LEN(AZ594)=15,MID(AZ594,3,10)&lt;&gt;BA594),"PAN does not match GSTIN; ","")&amp;IF(AND(AX594&lt;&gt;"",AX594&lt;&gt;"OK"),"TAN wrong format; ","")&amp;IF(AS594="","PAN missing; ","")&amp;IF(BB594="","Entity type missing; ","")&amp;IF(AND(AZ594&lt;&gt;"",COUNTIF($AZ$6:$AZ$1005,AZ594)&gt;1),"GSTIN repeated in this sheet; ","")&amp;IF(AND(AS594&lt;&gt;"",COUNTIF($AS$6:$AS$1005,AS594)&gt;1),"PAN repeated in this sheet (same client? put extra GSTINs in Other GSTINs); ","")&amp;IF(AND(BD594&gt;0,V594=""),"Financial year missing; ","")&amp;IF(AND(BD594=0,V594&lt;&gt;""),"Financial year given but no service is Yes; ","")&amp;IF(AND(W594="Yes",AZ594=""),"GST needs a GSTIN; ","")&amp;IF(AND(W594="Yes",X594=""),"GST return frequency missing; ","")&amp;IF(AND(Y594="Yes",TRIM(H594)=""),"TDS needs a TAN; ","")&amp;IF(AND(AA594="Yes",BC594&lt;&gt;"",BC594&lt;&gt;"company",BC594&lt;&gt;"llp"),"ROC is only for a company / LLP; ","")&amp;IF(AND(AA594="Yes",OR(BC594="company",BC594="llp"),TRIM(I594)=""),"ROC needs the CIN / LLPIN; ","")&amp;IF((TRIM(AF594)="")&lt;&gt;(TRIM(AG594)=""),"GST login needs both user ID and password; ","")&amp;IF((TRIM(AH594)="")&lt;&gt;(TRIM(AI594)=""),"Income-tax login needs both user ID and password; ","")&amp;IF((TRIM(AJ594)="")&lt;&gt;(TRIM(AK594)=""),"Income-tax login needs both user ID and password; ","")&amp;IF((TRIM(AL594)="")&lt;&gt;(TRIM(AM594)=""),"TRACES login needs both user ID and password; ","")&amp;IF((TRIM(AN594)="")&lt;&gt;(TRIM(AO594)=""),"MCA login needs both user ID and password; ","")&amp;IF((TRIM(AP594)="")&lt;&gt;(TRIM(AQ594)=""),"E-way bill login needs both user ID and password; ","")</f>
        <v/>
      </c>
    </row>
    <row r="595">
      <c r="A595" s="32" t="n"/>
      <c r="B595" s="33" t="n"/>
      <c r="C595" s="33" t="n"/>
      <c r="D595" s="33" t="n"/>
      <c r="E595" s="32" t="n"/>
      <c r="F595" s="32" t="n"/>
      <c r="G595" s="32" t="n"/>
      <c r="H595" s="32" t="n"/>
      <c r="I595" s="32" t="n"/>
      <c r="J595" s="34" t="n"/>
      <c r="K595" s="33" t="n"/>
      <c r="L595" s="32" t="n"/>
      <c r="M595" s="33" t="n"/>
      <c r="N595" s="33" t="n"/>
      <c r="O595" s="33" t="n"/>
      <c r="P595" s="32" t="n"/>
      <c r="Q595" s="33" t="n"/>
      <c r="R595" s="33" t="n"/>
      <c r="S595" s="33" t="n"/>
      <c r="T595" s="33" t="n"/>
      <c r="U595" s="32" t="n"/>
      <c r="V595" s="33" t="n"/>
      <c r="W595" s="33" t="n"/>
      <c r="X595" s="33" t="n"/>
      <c r="Y595" s="33" t="n"/>
      <c r="Z595" s="33" t="n"/>
      <c r="AA595" s="33" t="n"/>
      <c r="AB595" s="33" t="n"/>
      <c r="AC595" s="33" t="n"/>
      <c r="AD595" s="33" t="n"/>
      <c r="AE595" s="33" t="n"/>
      <c r="AF595" s="32" t="n"/>
      <c r="AG595" s="32" t="n"/>
      <c r="AH595" s="32" t="n"/>
      <c r="AI595" s="32" t="n"/>
      <c r="AJ595" s="32" t="n"/>
      <c r="AK595" s="32" t="n"/>
      <c r="AL595" s="32" t="n"/>
      <c r="AM595" s="32" t="n"/>
      <c r="AN595" s="32" t="n"/>
      <c r="AO595" s="32" t="n"/>
      <c r="AP595" s="32" t="n"/>
      <c r="AQ595" s="32" t="n"/>
      <c r="AR595" s="29">
        <f>IF(NOT(COUNTA(A595:AE595)&gt;0),"",IF(A595="","New client","Update"))</f>
        <v/>
      </c>
      <c r="AS595" s="29">
        <f>IF(BA595&lt;&gt;"",BA595,IF(LEN(AZ595)=15,MID(AZ595,3,10),""))</f>
        <v/>
      </c>
      <c r="AT595" s="29">
        <f>IF(BB595="","",BB595&amp;IF(D595="","  (guessed from PAN)",""))</f>
        <v/>
      </c>
      <c r="AU595" s="29">
        <f>IF(AZ595="","",IFERROR(INDEX(Lists!$L$2:$L$38,MATCH(LEFT(AZ595,2),Lists!$K$2:$K$38,0)),"Unknown code"))</f>
        <v/>
      </c>
      <c r="AV595" s="29">
        <f>IF(AZ595="","",IFERROR(IF(NOT(AND(LEN(AZ595)=15,ISNUMBER(MATCH(LEFT(AZ595,2),Lists!$K$2:$K$38,0)),SUMPRODUCT(--ISERROR(FIND(MID(MID(AZ595,3,10),{1,2,3,4,5,10},1),"ABCDEFGHIJKLMNOPQRSTUVWXYZ")))=0,SUMPRODUCT(--ISERROR(FIND(MID(MID(AZ595,3,10),{6,7,8,9},1),"0123456789")))=0,ISNUMBER(FIND(MID(AZ595,13,1),"123456789ABCDEFGHIJKLMNOPQRSTUVWXYZ")),MID(AZ595,14,1)="Z")),"Wrong format",IF(MID("0123456789ABCDEFGHIJKLMNOPQRSTUVWXYZ",MOD(36-MOD(SUMPRODUCT(INT((FIND(MID(AZ595,{1,2,3,4,5,6,7,8,9,10,11,12,13,14},1),"0123456789ABCDEFGHIJKLMNOPQRSTUVWXYZ")-1)*{1,2,1,2,1,2,1,2,1,2,1,2,1,2}/36)+MOD((FIND(MID(AZ595,{1,2,3,4,5,6,7,8,9,10,11,12,13,14},1),"0123456789ABCDEFGHIJKLMNOPQRSTUVWXYZ")-1)*{1,2,1,2,1,2,1,2,1,2,1,2,1,2},36)),36),36)+1,1)=MID(AZ595,15,1),"OK","Typo? check digit wrong")),"Wrong format"))</f>
        <v/>
      </c>
      <c r="AW595" s="29">
        <f>IF(BA595="","",IF(AND(LEN(BA595)=10,SUMPRODUCT(--ISERROR(FIND(MID(BA595,{1,2,3,4,5,10},1),"ABCDEFGHIJKLMNOPQRSTUVWXYZ")))=0,SUMPRODUCT(--ISERROR(FIND(MID(BA595,{6,7,8,9},1),"0123456789")))=0),"OK","Wrong format"))</f>
        <v/>
      </c>
      <c r="AX595" s="29">
        <f>IF(TRIM(H595)="","",IF(AND(LEN(UPPER(TRIM(H595)))=10,SUMPRODUCT(--ISERROR(FIND(MID(UPPER(TRIM(H595)),{1,2,3,4,10},1),"ABCDEFGHIJKLMNOPQRSTUVWXYZ")))=0,SUMPRODUCT(--ISERROR(FIND(MID(UPPER(TRIM(H595)),{5,6,7,8,9},1),"0123456789")))=0),"OK","Wrong format"))</f>
        <v/>
      </c>
      <c r="AY595" s="30">
        <f>IF(NOT(COUNTA(A595:AE595)&gt;0),"",IF(BE595&lt;&gt;"","✖ "&amp;LEFT(BE595,LEN(BE595)-2),IF(BD595&gt;0,"✔ Ready — client + "&amp;BD595&amp;" service(s)","✔ Ready — client only")))</f>
        <v/>
      </c>
      <c r="AZ595" s="31">
        <f>UPPER(SUBSTITUTE(TRIM(F595)," ",""))</f>
        <v/>
      </c>
      <c r="BA595" s="31">
        <f>UPPER(SUBSTITUTE(TRIM(E595)," ",""))</f>
        <v/>
      </c>
      <c r="BB595" s="31">
        <f>IF(D595&lt;&gt;"",D595,IFERROR(VLOOKUP(MID(AS595,4,1),Lists!$E$2:$F$8,2,FALSE),""))</f>
        <v/>
      </c>
      <c r="BC595" s="31">
        <f>IFERROR(VLOOKUP(BB595,Lists!$A$2:$C$12,3,FALSE),"")</f>
        <v/>
      </c>
      <c r="BD595" s="31">
        <f>COUNTIF(W595:AC595,"Yes")</f>
        <v/>
      </c>
      <c r="BE595" s="31">
        <f>IF(TRIM(B595)="","Legal name missing; ","")&amp;IF(AND(AV595&lt;&gt;"",AV595&lt;&gt;"OK"),"GSTIN: "&amp;AV595&amp;"; ","")&amp;IF(AND(AW595&lt;&gt;"",AW595&lt;&gt;"OK"),"PAN wrong format; ","")&amp;IF(AND(BA595&lt;&gt;"",LEN(AZ595)=15,MID(AZ595,3,10)&lt;&gt;BA595),"PAN does not match GSTIN; ","")&amp;IF(AND(AX595&lt;&gt;"",AX595&lt;&gt;"OK"),"TAN wrong format; ","")&amp;IF(AS595="","PAN missing; ","")&amp;IF(BB595="","Entity type missing; ","")&amp;IF(AND(AZ595&lt;&gt;"",COUNTIF($AZ$6:$AZ$1005,AZ595)&gt;1),"GSTIN repeated in this sheet; ","")&amp;IF(AND(AS595&lt;&gt;"",COUNTIF($AS$6:$AS$1005,AS595)&gt;1),"PAN repeated in this sheet (same client? put extra GSTINs in Other GSTINs); ","")&amp;IF(AND(BD595&gt;0,V595=""),"Financial year missing; ","")&amp;IF(AND(BD595=0,V595&lt;&gt;""),"Financial year given but no service is Yes; ","")&amp;IF(AND(W595="Yes",AZ595=""),"GST needs a GSTIN; ","")&amp;IF(AND(W595="Yes",X595=""),"GST return frequency missing; ","")&amp;IF(AND(Y595="Yes",TRIM(H595)=""),"TDS needs a TAN; ","")&amp;IF(AND(AA595="Yes",BC595&lt;&gt;"",BC595&lt;&gt;"company",BC595&lt;&gt;"llp"),"ROC is only for a company / LLP; ","")&amp;IF(AND(AA595="Yes",OR(BC595="company",BC595="llp"),TRIM(I595)=""),"ROC needs the CIN / LLPIN; ","")&amp;IF((TRIM(AF595)="")&lt;&gt;(TRIM(AG595)=""),"GST login needs both user ID and password; ","")&amp;IF((TRIM(AH595)="")&lt;&gt;(TRIM(AI595)=""),"Income-tax login needs both user ID and password; ","")&amp;IF((TRIM(AJ595)="")&lt;&gt;(TRIM(AK595)=""),"Income-tax login needs both user ID and password; ","")&amp;IF((TRIM(AL595)="")&lt;&gt;(TRIM(AM595)=""),"TRACES login needs both user ID and password; ","")&amp;IF((TRIM(AN595)="")&lt;&gt;(TRIM(AO595)=""),"MCA login needs both user ID and password; ","")&amp;IF((TRIM(AP595)="")&lt;&gt;(TRIM(AQ595)=""),"E-way bill login needs both user ID and password; ","")</f>
        <v/>
      </c>
    </row>
    <row r="596">
      <c r="A596" s="32" t="n"/>
      <c r="B596" s="33" t="n"/>
      <c r="C596" s="33" t="n"/>
      <c r="D596" s="33" t="n"/>
      <c r="E596" s="32" t="n"/>
      <c r="F596" s="32" t="n"/>
      <c r="G596" s="32" t="n"/>
      <c r="H596" s="32" t="n"/>
      <c r="I596" s="32" t="n"/>
      <c r="J596" s="34" t="n"/>
      <c r="K596" s="33" t="n"/>
      <c r="L596" s="32" t="n"/>
      <c r="M596" s="33" t="n"/>
      <c r="N596" s="33" t="n"/>
      <c r="O596" s="33" t="n"/>
      <c r="P596" s="32" t="n"/>
      <c r="Q596" s="33" t="n"/>
      <c r="R596" s="33" t="n"/>
      <c r="S596" s="33" t="n"/>
      <c r="T596" s="33" t="n"/>
      <c r="U596" s="32" t="n"/>
      <c r="V596" s="33" t="n"/>
      <c r="W596" s="33" t="n"/>
      <c r="X596" s="33" t="n"/>
      <c r="Y596" s="33" t="n"/>
      <c r="Z596" s="33" t="n"/>
      <c r="AA596" s="33" t="n"/>
      <c r="AB596" s="33" t="n"/>
      <c r="AC596" s="33" t="n"/>
      <c r="AD596" s="33" t="n"/>
      <c r="AE596" s="33" t="n"/>
      <c r="AF596" s="32" t="n"/>
      <c r="AG596" s="32" t="n"/>
      <c r="AH596" s="32" t="n"/>
      <c r="AI596" s="32" t="n"/>
      <c r="AJ596" s="32" t="n"/>
      <c r="AK596" s="32" t="n"/>
      <c r="AL596" s="32" t="n"/>
      <c r="AM596" s="32" t="n"/>
      <c r="AN596" s="32" t="n"/>
      <c r="AO596" s="32" t="n"/>
      <c r="AP596" s="32" t="n"/>
      <c r="AQ596" s="32" t="n"/>
      <c r="AR596" s="29">
        <f>IF(NOT(COUNTA(A596:AE596)&gt;0),"",IF(A596="","New client","Update"))</f>
        <v/>
      </c>
      <c r="AS596" s="29">
        <f>IF(BA596&lt;&gt;"",BA596,IF(LEN(AZ596)=15,MID(AZ596,3,10),""))</f>
        <v/>
      </c>
      <c r="AT596" s="29">
        <f>IF(BB596="","",BB596&amp;IF(D596="","  (guessed from PAN)",""))</f>
        <v/>
      </c>
      <c r="AU596" s="29">
        <f>IF(AZ596="","",IFERROR(INDEX(Lists!$L$2:$L$38,MATCH(LEFT(AZ596,2),Lists!$K$2:$K$38,0)),"Unknown code"))</f>
        <v/>
      </c>
      <c r="AV596" s="29">
        <f>IF(AZ596="","",IFERROR(IF(NOT(AND(LEN(AZ596)=15,ISNUMBER(MATCH(LEFT(AZ596,2),Lists!$K$2:$K$38,0)),SUMPRODUCT(--ISERROR(FIND(MID(MID(AZ596,3,10),{1,2,3,4,5,10},1),"ABCDEFGHIJKLMNOPQRSTUVWXYZ")))=0,SUMPRODUCT(--ISERROR(FIND(MID(MID(AZ596,3,10),{6,7,8,9},1),"0123456789")))=0,ISNUMBER(FIND(MID(AZ596,13,1),"123456789ABCDEFGHIJKLMNOPQRSTUVWXYZ")),MID(AZ596,14,1)="Z")),"Wrong format",IF(MID("0123456789ABCDEFGHIJKLMNOPQRSTUVWXYZ",MOD(36-MOD(SUMPRODUCT(INT((FIND(MID(AZ596,{1,2,3,4,5,6,7,8,9,10,11,12,13,14},1),"0123456789ABCDEFGHIJKLMNOPQRSTUVWXYZ")-1)*{1,2,1,2,1,2,1,2,1,2,1,2,1,2}/36)+MOD((FIND(MID(AZ596,{1,2,3,4,5,6,7,8,9,10,11,12,13,14},1),"0123456789ABCDEFGHIJKLMNOPQRSTUVWXYZ")-1)*{1,2,1,2,1,2,1,2,1,2,1,2,1,2},36)),36),36)+1,1)=MID(AZ596,15,1),"OK","Typo? check digit wrong")),"Wrong format"))</f>
        <v/>
      </c>
      <c r="AW596" s="29">
        <f>IF(BA596="","",IF(AND(LEN(BA596)=10,SUMPRODUCT(--ISERROR(FIND(MID(BA596,{1,2,3,4,5,10},1),"ABCDEFGHIJKLMNOPQRSTUVWXYZ")))=0,SUMPRODUCT(--ISERROR(FIND(MID(BA596,{6,7,8,9},1),"0123456789")))=0),"OK","Wrong format"))</f>
        <v/>
      </c>
      <c r="AX596" s="29">
        <f>IF(TRIM(H596)="","",IF(AND(LEN(UPPER(TRIM(H596)))=10,SUMPRODUCT(--ISERROR(FIND(MID(UPPER(TRIM(H596)),{1,2,3,4,10},1),"ABCDEFGHIJKLMNOPQRSTUVWXYZ")))=0,SUMPRODUCT(--ISERROR(FIND(MID(UPPER(TRIM(H596)),{5,6,7,8,9},1),"0123456789")))=0),"OK","Wrong format"))</f>
        <v/>
      </c>
      <c r="AY596" s="30">
        <f>IF(NOT(COUNTA(A596:AE596)&gt;0),"",IF(BE596&lt;&gt;"","✖ "&amp;LEFT(BE596,LEN(BE596)-2),IF(BD596&gt;0,"✔ Ready — client + "&amp;BD596&amp;" service(s)","✔ Ready — client only")))</f>
        <v/>
      </c>
      <c r="AZ596" s="31">
        <f>UPPER(SUBSTITUTE(TRIM(F596)," ",""))</f>
        <v/>
      </c>
      <c r="BA596" s="31">
        <f>UPPER(SUBSTITUTE(TRIM(E596)," ",""))</f>
        <v/>
      </c>
      <c r="BB596" s="31">
        <f>IF(D596&lt;&gt;"",D596,IFERROR(VLOOKUP(MID(AS596,4,1),Lists!$E$2:$F$8,2,FALSE),""))</f>
        <v/>
      </c>
      <c r="BC596" s="31">
        <f>IFERROR(VLOOKUP(BB596,Lists!$A$2:$C$12,3,FALSE),"")</f>
        <v/>
      </c>
      <c r="BD596" s="31">
        <f>COUNTIF(W596:AC596,"Yes")</f>
        <v/>
      </c>
      <c r="BE596" s="31">
        <f>IF(TRIM(B596)="","Legal name missing; ","")&amp;IF(AND(AV596&lt;&gt;"",AV596&lt;&gt;"OK"),"GSTIN: "&amp;AV596&amp;"; ","")&amp;IF(AND(AW596&lt;&gt;"",AW596&lt;&gt;"OK"),"PAN wrong format; ","")&amp;IF(AND(BA596&lt;&gt;"",LEN(AZ596)=15,MID(AZ596,3,10)&lt;&gt;BA596),"PAN does not match GSTIN; ","")&amp;IF(AND(AX596&lt;&gt;"",AX596&lt;&gt;"OK"),"TAN wrong format; ","")&amp;IF(AS596="","PAN missing; ","")&amp;IF(BB596="","Entity type missing; ","")&amp;IF(AND(AZ596&lt;&gt;"",COUNTIF($AZ$6:$AZ$1005,AZ596)&gt;1),"GSTIN repeated in this sheet; ","")&amp;IF(AND(AS596&lt;&gt;"",COUNTIF($AS$6:$AS$1005,AS596)&gt;1),"PAN repeated in this sheet (same client? put extra GSTINs in Other GSTINs); ","")&amp;IF(AND(BD596&gt;0,V596=""),"Financial year missing; ","")&amp;IF(AND(BD596=0,V596&lt;&gt;""),"Financial year given but no service is Yes; ","")&amp;IF(AND(W596="Yes",AZ596=""),"GST needs a GSTIN; ","")&amp;IF(AND(W596="Yes",X596=""),"GST return frequency missing; ","")&amp;IF(AND(Y596="Yes",TRIM(H596)=""),"TDS needs a TAN; ","")&amp;IF(AND(AA596="Yes",BC596&lt;&gt;"",BC596&lt;&gt;"company",BC596&lt;&gt;"llp"),"ROC is only for a company / LLP; ","")&amp;IF(AND(AA596="Yes",OR(BC596="company",BC596="llp"),TRIM(I596)=""),"ROC needs the CIN / LLPIN; ","")&amp;IF((TRIM(AF596)="")&lt;&gt;(TRIM(AG596)=""),"GST login needs both user ID and password; ","")&amp;IF((TRIM(AH596)="")&lt;&gt;(TRIM(AI596)=""),"Income-tax login needs both user ID and password; ","")&amp;IF((TRIM(AJ596)="")&lt;&gt;(TRIM(AK596)=""),"Income-tax login needs both user ID and password; ","")&amp;IF((TRIM(AL596)="")&lt;&gt;(TRIM(AM596)=""),"TRACES login needs both user ID and password; ","")&amp;IF((TRIM(AN596)="")&lt;&gt;(TRIM(AO596)=""),"MCA login needs both user ID and password; ","")&amp;IF((TRIM(AP596)="")&lt;&gt;(TRIM(AQ596)=""),"E-way bill login needs both user ID and password; ","")</f>
        <v/>
      </c>
    </row>
    <row r="597">
      <c r="A597" s="32" t="n"/>
      <c r="B597" s="33" t="n"/>
      <c r="C597" s="33" t="n"/>
      <c r="D597" s="33" t="n"/>
      <c r="E597" s="32" t="n"/>
      <c r="F597" s="32" t="n"/>
      <c r="G597" s="32" t="n"/>
      <c r="H597" s="32" t="n"/>
      <c r="I597" s="32" t="n"/>
      <c r="J597" s="34" t="n"/>
      <c r="K597" s="33" t="n"/>
      <c r="L597" s="32" t="n"/>
      <c r="M597" s="33" t="n"/>
      <c r="N597" s="33" t="n"/>
      <c r="O597" s="33" t="n"/>
      <c r="P597" s="32" t="n"/>
      <c r="Q597" s="33" t="n"/>
      <c r="R597" s="33" t="n"/>
      <c r="S597" s="33" t="n"/>
      <c r="T597" s="33" t="n"/>
      <c r="U597" s="32" t="n"/>
      <c r="V597" s="33" t="n"/>
      <c r="W597" s="33" t="n"/>
      <c r="X597" s="33" t="n"/>
      <c r="Y597" s="33" t="n"/>
      <c r="Z597" s="33" t="n"/>
      <c r="AA597" s="33" t="n"/>
      <c r="AB597" s="33" t="n"/>
      <c r="AC597" s="33" t="n"/>
      <c r="AD597" s="33" t="n"/>
      <c r="AE597" s="33" t="n"/>
      <c r="AF597" s="32" t="n"/>
      <c r="AG597" s="32" t="n"/>
      <c r="AH597" s="32" t="n"/>
      <c r="AI597" s="32" t="n"/>
      <c r="AJ597" s="32" t="n"/>
      <c r="AK597" s="32" t="n"/>
      <c r="AL597" s="32" t="n"/>
      <c r="AM597" s="32" t="n"/>
      <c r="AN597" s="32" t="n"/>
      <c r="AO597" s="32" t="n"/>
      <c r="AP597" s="32" t="n"/>
      <c r="AQ597" s="32" t="n"/>
      <c r="AR597" s="29">
        <f>IF(NOT(COUNTA(A597:AE597)&gt;0),"",IF(A597="","New client","Update"))</f>
        <v/>
      </c>
      <c r="AS597" s="29">
        <f>IF(BA597&lt;&gt;"",BA597,IF(LEN(AZ597)=15,MID(AZ597,3,10),""))</f>
        <v/>
      </c>
      <c r="AT597" s="29">
        <f>IF(BB597="","",BB597&amp;IF(D597="","  (guessed from PAN)",""))</f>
        <v/>
      </c>
      <c r="AU597" s="29">
        <f>IF(AZ597="","",IFERROR(INDEX(Lists!$L$2:$L$38,MATCH(LEFT(AZ597,2),Lists!$K$2:$K$38,0)),"Unknown code"))</f>
        <v/>
      </c>
      <c r="AV597" s="29">
        <f>IF(AZ597="","",IFERROR(IF(NOT(AND(LEN(AZ597)=15,ISNUMBER(MATCH(LEFT(AZ597,2),Lists!$K$2:$K$38,0)),SUMPRODUCT(--ISERROR(FIND(MID(MID(AZ597,3,10),{1,2,3,4,5,10},1),"ABCDEFGHIJKLMNOPQRSTUVWXYZ")))=0,SUMPRODUCT(--ISERROR(FIND(MID(MID(AZ597,3,10),{6,7,8,9},1),"0123456789")))=0,ISNUMBER(FIND(MID(AZ597,13,1),"123456789ABCDEFGHIJKLMNOPQRSTUVWXYZ")),MID(AZ597,14,1)="Z")),"Wrong format",IF(MID("0123456789ABCDEFGHIJKLMNOPQRSTUVWXYZ",MOD(36-MOD(SUMPRODUCT(INT((FIND(MID(AZ597,{1,2,3,4,5,6,7,8,9,10,11,12,13,14},1),"0123456789ABCDEFGHIJKLMNOPQRSTUVWXYZ")-1)*{1,2,1,2,1,2,1,2,1,2,1,2,1,2}/36)+MOD((FIND(MID(AZ597,{1,2,3,4,5,6,7,8,9,10,11,12,13,14},1),"0123456789ABCDEFGHIJKLMNOPQRSTUVWXYZ")-1)*{1,2,1,2,1,2,1,2,1,2,1,2,1,2},36)),36),36)+1,1)=MID(AZ597,15,1),"OK","Typo? check digit wrong")),"Wrong format"))</f>
        <v/>
      </c>
      <c r="AW597" s="29">
        <f>IF(BA597="","",IF(AND(LEN(BA597)=10,SUMPRODUCT(--ISERROR(FIND(MID(BA597,{1,2,3,4,5,10},1),"ABCDEFGHIJKLMNOPQRSTUVWXYZ")))=0,SUMPRODUCT(--ISERROR(FIND(MID(BA597,{6,7,8,9},1),"0123456789")))=0),"OK","Wrong format"))</f>
        <v/>
      </c>
      <c r="AX597" s="29">
        <f>IF(TRIM(H597)="","",IF(AND(LEN(UPPER(TRIM(H597)))=10,SUMPRODUCT(--ISERROR(FIND(MID(UPPER(TRIM(H597)),{1,2,3,4,10},1),"ABCDEFGHIJKLMNOPQRSTUVWXYZ")))=0,SUMPRODUCT(--ISERROR(FIND(MID(UPPER(TRIM(H597)),{5,6,7,8,9},1),"0123456789")))=0),"OK","Wrong format"))</f>
        <v/>
      </c>
      <c r="AY597" s="30">
        <f>IF(NOT(COUNTA(A597:AE597)&gt;0),"",IF(BE597&lt;&gt;"","✖ "&amp;LEFT(BE597,LEN(BE597)-2),IF(BD597&gt;0,"✔ Ready — client + "&amp;BD597&amp;" service(s)","✔ Ready — client only")))</f>
        <v/>
      </c>
      <c r="AZ597" s="31">
        <f>UPPER(SUBSTITUTE(TRIM(F597)," ",""))</f>
        <v/>
      </c>
      <c r="BA597" s="31">
        <f>UPPER(SUBSTITUTE(TRIM(E597)," ",""))</f>
        <v/>
      </c>
      <c r="BB597" s="31">
        <f>IF(D597&lt;&gt;"",D597,IFERROR(VLOOKUP(MID(AS597,4,1),Lists!$E$2:$F$8,2,FALSE),""))</f>
        <v/>
      </c>
      <c r="BC597" s="31">
        <f>IFERROR(VLOOKUP(BB597,Lists!$A$2:$C$12,3,FALSE),"")</f>
        <v/>
      </c>
      <c r="BD597" s="31">
        <f>COUNTIF(W597:AC597,"Yes")</f>
        <v/>
      </c>
      <c r="BE597" s="31">
        <f>IF(TRIM(B597)="","Legal name missing; ","")&amp;IF(AND(AV597&lt;&gt;"",AV597&lt;&gt;"OK"),"GSTIN: "&amp;AV597&amp;"; ","")&amp;IF(AND(AW597&lt;&gt;"",AW597&lt;&gt;"OK"),"PAN wrong format; ","")&amp;IF(AND(BA597&lt;&gt;"",LEN(AZ597)=15,MID(AZ597,3,10)&lt;&gt;BA597),"PAN does not match GSTIN; ","")&amp;IF(AND(AX597&lt;&gt;"",AX597&lt;&gt;"OK"),"TAN wrong format; ","")&amp;IF(AS597="","PAN missing; ","")&amp;IF(BB597="","Entity type missing; ","")&amp;IF(AND(AZ597&lt;&gt;"",COUNTIF($AZ$6:$AZ$1005,AZ597)&gt;1),"GSTIN repeated in this sheet; ","")&amp;IF(AND(AS597&lt;&gt;"",COUNTIF($AS$6:$AS$1005,AS597)&gt;1),"PAN repeated in this sheet (same client? put extra GSTINs in Other GSTINs); ","")&amp;IF(AND(BD597&gt;0,V597=""),"Financial year missing; ","")&amp;IF(AND(BD597=0,V597&lt;&gt;""),"Financial year given but no service is Yes; ","")&amp;IF(AND(W597="Yes",AZ597=""),"GST needs a GSTIN; ","")&amp;IF(AND(W597="Yes",X597=""),"GST return frequency missing; ","")&amp;IF(AND(Y597="Yes",TRIM(H597)=""),"TDS needs a TAN; ","")&amp;IF(AND(AA597="Yes",BC597&lt;&gt;"",BC597&lt;&gt;"company",BC597&lt;&gt;"llp"),"ROC is only for a company / LLP; ","")&amp;IF(AND(AA597="Yes",OR(BC597="company",BC597="llp"),TRIM(I597)=""),"ROC needs the CIN / LLPIN; ","")&amp;IF((TRIM(AF597)="")&lt;&gt;(TRIM(AG597)=""),"GST login needs both user ID and password; ","")&amp;IF((TRIM(AH597)="")&lt;&gt;(TRIM(AI597)=""),"Income-tax login needs both user ID and password; ","")&amp;IF((TRIM(AJ597)="")&lt;&gt;(TRIM(AK597)=""),"Income-tax login needs both user ID and password; ","")&amp;IF((TRIM(AL597)="")&lt;&gt;(TRIM(AM597)=""),"TRACES login needs both user ID and password; ","")&amp;IF((TRIM(AN597)="")&lt;&gt;(TRIM(AO597)=""),"MCA login needs both user ID and password; ","")&amp;IF((TRIM(AP597)="")&lt;&gt;(TRIM(AQ597)=""),"E-way bill login needs both user ID and password; ","")</f>
        <v/>
      </c>
    </row>
    <row r="598">
      <c r="A598" s="32" t="n"/>
      <c r="B598" s="33" t="n"/>
      <c r="C598" s="33" t="n"/>
      <c r="D598" s="33" t="n"/>
      <c r="E598" s="32" t="n"/>
      <c r="F598" s="32" t="n"/>
      <c r="G598" s="32" t="n"/>
      <c r="H598" s="32" t="n"/>
      <c r="I598" s="32" t="n"/>
      <c r="J598" s="34" t="n"/>
      <c r="K598" s="33" t="n"/>
      <c r="L598" s="32" t="n"/>
      <c r="M598" s="33" t="n"/>
      <c r="N598" s="33" t="n"/>
      <c r="O598" s="33" t="n"/>
      <c r="P598" s="32" t="n"/>
      <c r="Q598" s="33" t="n"/>
      <c r="R598" s="33" t="n"/>
      <c r="S598" s="33" t="n"/>
      <c r="T598" s="33" t="n"/>
      <c r="U598" s="32" t="n"/>
      <c r="V598" s="33" t="n"/>
      <c r="W598" s="33" t="n"/>
      <c r="X598" s="33" t="n"/>
      <c r="Y598" s="33" t="n"/>
      <c r="Z598" s="33" t="n"/>
      <c r="AA598" s="33" t="n"/>
      <c r="AB598" s="33" t="n"/>
      <c r="AC598" s="33" t="n"/>
      <c r="AD598" s="33" t="n"/>
      <c r="AE598" s="33" t="n"/>
      <c r="AF598" s="32" t="n"/>
      <c r="AG598" s="32" t="n"/>
      <c r="AH598" s="32" t="n"/>
      <c r="AI598" s="32" t="n"/>
      <c r="AJ598" s="32" t="n"/>
      <c r="AK598" s="32" t="n"/>
      <c r="AL598" s="32" t="n"/>
      <c r="AM598" s="32" t="n"/>
      <c r="AN598" s="32" t="n"/>
      <c r="AO598" s="32" t="n"/>
      <c r="AP598" s="32" t="n"/>
      <c r="AQ598" s="32" t="n"/>
      <c r="AR598" s="29">
        <f>IF(NOT(COUNTA(A598:AE598)&gt;0),"",IF(A598="","New client","Update"))</f>
        <v/>
      </c>
      <c r="AS598" s="29">
        <f>IF(BA598&lt;&gt;"",BA598,IF(LEN(AZ598)=15,MID(AZ598,3,10),""))</f>
        <v/>
      </c>
      <c r="AT598" s="29">
        <f>IF(BB598="","",BB598&amp;IF(D598="","  (guessed from PAN)",""))</f>
        <v/>
      </c>
      <c r="AU598" s="29">
        <f>IF(AZ598="","",IFERROR(INDEX(Lists!$L$2:$L$38,MATCH(LEFT(AZ598,2),Lists!$K$2:$K$38,0)),"Unknown code"))</f>
        <v/>
      </c>
      <c r="AV598" s="29">
        <f>IF(AZ598="","",IFERROR(IF(NOT(AND(LEN(AZ598)=15,ISNUMBER(MATCH(LEFT(AZ598,2),Lists!$K$2:$K$38,0)),SUMPRODUCT(--ISERROR(FIND(MID(MID(AZ598,3,10),{1,2,3,4,5,10},1),"ABCDEFGHIJKLMNOPQRSTUVWXYZ")))=0,SUMPRODUCT(--ISERROR(FIND(MID(MID(AZ598,3,10),{6,7,8,9},1),"0123456789")))=0,ISNUMBER(FIND(MID(AZ598,13,1),"123456789ABCDEFGHIJKLMNOPQRSTUVWXYZ")),MID(AZ598,14,1)="Z")),"Wrong format",IF(MID("0123456789ABCDEFGHIJKLMNOPQRSTUVWXYZ",MOD(36-MOD(SUMPRODUCT(INT((FIND(MID(AZ598,{1,2,3,4,5,6,7,8,9,10,11,12,13,14},1),"0123456789ABCDEFGHIJKLMNOPQRSTUVWXYZ")-1)*{1,2,1,2,1,2,1,2,1,2,1,2,1,2}/36)+MOD((FIND(MID(AZ598,{1,2,3,4,5,6,7,8,9,10,11,12,13,14},1),"0123456789ABCDEFGHIJKLMNOPQRSTUVWXYZ")-1)*{1,2,1,2,1,2,1,2,1,2,1,2,1,2},36)),36),36)+1,1)=MID(AZ598,15,1),"OK","Typo? check digit wrong")),"Wrong format"))</f>
        <v/>
      </c>
      <c r="AW598" s="29">
        <f>IF(BA598="","",IF(AND(LEN(BA598)=10,SUMPRODUCT(--ISERROR(FIND(MID(BA598,{1,2,3,4,5,10},1),"ABCDEFGHIJKLMNOPQRSTUVWXYZ")))=0,SUMPRODUCT(--ISERROR(FIND(MID(BA598,{6,7,8,9},1),"0123456789")))=0),"OK","Wrong format"))</f>
        <v/>
      </c>
      <c r="AX598" s="29">
        <f>IF(TRIM(H598)="","",IF(AND(LEN(UPPER(TRIM(H598)))=10,SUMPRODUCT(--ISERROR(FIND(MID(UPPER(TRIM(H598)),{1,2,3,4,10},1),"ABCDEFGHIJKLMNOPQRSTUVWXYZ")))=0,SUMPRODUCT(--ISERROR(FIND(MID(UPPER(TRIM(H598)),{5,6,7,8,9},1),"0123456789")))=0),"OK","Wrong format"))</f>
        <v/>
      </c>
      <c r="AY598" s="30">
        <f>IF(NOT(COUNTA(A598:AE598)&gt;0),"",IF(BE598&lt;&gt;"","✖ "&amp;LEFT(BE598,LEN(BE598)-2),IF(BD598&gt;0,"✔ Ready — client + "&amp;BD598&amp;" service(s)","✔ Ready — client only")))</f>
        <v/>
      </c>
      <c r="AZ598" s="31">
        <f>UPPER(SUBSTITUTE(TRIM(F598)," ",""))</f>
        <v/>
      </c>
      <c r="BA598" s="31">
        <f>UPPER(SUBSTITUTE(TRIM(E598)," ",""))</f>
        <v/>
      </c>
      <c r="BB598" s="31">
        <f>IF(D598&lt;&gt;"",D598,IFERROR(VLOOKUP(MID(AS598,4,1),Lists!$E$2:$F$8,2,FALSE),""))</f>
        <v/>
      </c>
      <c r="BC598" s="31">
        <f>IFERROR(VLOOKUP(BB598,Lists!$A$2:$C$12,3,FALSE),"")</f>
        <v/>
      </c>
      <c r="BD598" s="31">
        <f>COUNTIF(W598:AC598,"Yes")</f>
        <v/>
      </c>
      <c r="BE598" s="31">
        <f>IF(TRIM(B598)="","Legal name missing; ","")&amp;IF(AND(AV598&lt;&gt;"",AV598&lt;&gt;"OK"),"GSTIN: "&amp;AV598&amp;"; ","")&amp;IF(AND(AW598&lt;&gt;"",AW598&lt;&gt;"OK"),"PAN wrong format; ","")&amp;IF(AND(BA598&lt;&gt;"",LEN(AZ598)=15,MID(AZ598,3,10)&lt;&gt;BA598),"PAN does not match GSTIN; ","")&amp;IF(AND(AX598&lt;&gt;"",AX598&lt;&gt;"OK"),"TAN wrong format; ","")&amp;IF(AS598="","PAN missing; ","")&amp;IF(BB598="","Entity type missing; ","")&amp;IF(AND(AZ598&lt;&gt;"",COUNTIF($AZ$6:$AZ$1005,AZ598)&gt;1),"GSTIN repeated in this sheet; ","")&amp;IF(AND(AS598&lt;&gt;"",COUNTIF($AS$6:$AS$1005,AS598)&gt;1),"PAN repeated in this sheet (same client? put extra GSTINs in Other GSTINs); ","")&amp;IF(AND(BD598&gt;0,V598=""),"Financial year missing; ","")&amp;IF(AND(BD598=0,V598&lt;&gt;""),"Financial year given but no service is Yes; ","")&amp;IF(AND(W598="Yes",AZ598=""),"GST needs a GSTIN; ","")&amp;IF(AND(W598="Yes",X598=""),"GST return frequency missing; ","")&amp;IF(AND(Y598="Yes",TRIM(H598)=""),"TDS needs a TAN; ","")&amp;IF(AND(AA598="Yes",BC598&lt;&gt;"",BC598&lt;&gt;"company",BC598&lt;&gt;"llp"),"ROC is only for a company / LLP; ","")&amp;IF(AND(AA598="Yes",OR(BC598="company",BC598="llp"),TRIM(I598)=""),"ROC needs the CIN / LLPIN; ","")&amp;IF((TRIM(AF598)="")&lt;&gt;(TRIM(AG598)=""),"GST login needs both user ID and password; ","")&amp;IF((TRIM(AH598)="")&lt;&gt;(TRIM(AI598)=""),"Income-tax login needs both user ID and password; ","")&amp;IF((TRIM(AJ598)="")&lt;&gt;(TRIM(AK598)=""),"Income-tax login needs both user ID and password; ","")&amp;IF((TRIM(AL598)="")&lt;&gt;(TRIM(AM598)=""),"TRACES login needs both user ID and password; ","")&amp;IF((TRIM(AN598)="")&lt;&gt;(TRIM(AO598)=""),"MCA login needs both user ID and password; ","")&amp;IF((TRIM(AP598)="")&lt;&gt;(TRIM(AQ598)=""),"E-way bill login needs both user ID and password; ","")</f>
        <v/>
      </c>
    </row>
    <row r="599">
      <c r="A599" s="32" t="n"/>
      <c r="B599" s="33" t="n"/>
      <c r="C599" s="33" t="n"/>
      <c r="D599" s="33" t="n"/>
      <c r="E599" s="32" t="n"/>
      <c r="F599" s="32" t="n"/>
      <c r="G599" s="32" t="n"/>
      <c r="H599" s="32" t="n"/>
      <c r="I599" s="32" t="n"/>
      <c r="J599" s="34" t="n"/>
      <c r="K599" s="33" t="n"/>
      <c r="L599" s="32" t="n"/>
      <c r="M599" s="33" t="n"/>
      <c r="N599" s="33" t="n"/>
      <c r="O599" s="33" t="n"/>
      <c r="P599" s="32" t="n"/>
      <c r="Q599" s="33" t="n"/>
      <c r="R599" s="33" t="n"/>
      <c r="S599" s="33" t="n"/>
      <c r="T599" s="33" t="n"/>
      <c r="U599" s="32" t="n"/>
      <c r="V599" s="33" t="n"/>
      <c r="W599" s="33" t="n"/>
      <c r="X599" s="33" t="n"/>
      <c r="Y599" s="33" t="n"/>
      <c r="Z599" s="33" t="n"/>
      <c r="AA599" s="33" t="n"/>
      <c r="AB599" s="33" t="n"/>
      <c r="AC599" s="33" t="n"/>
      <c r="AD599" s="33" t="n"/>
      <c r="AE599" s="33" t="n"/>
      <c r="AF599" s="32" t="n"/>
      <c r="AG599" s="32" t="n"/>
      <c r="AH599" s="32" t="n"/>
      <c r="AI599" s="32" t="n"/>
      <c r="AJ599" s="32" t="n"/>
      <c r="AK599" s="32" t="n"/>
      <c r="AL599" s="32" t="n"/>
      <c r="AM599" s="32" t="n"/>
      <c r="AN599" s="32" t="n"/>
      <c r="AO599" s="32" t="n"/>
      <c r="AP599" s="32" t="n"/>
      <c r="AQ599" s="32" t="n"/>
      <c r="AR599" s="29">
        <f>IF(NOT(COUNTA(A599:AE599)&gt;0),"",IF(A599="","New client","Update"))</f>
        <v/>
      </c>
      <c r="AS599" s="29">
        <f>IF(BA599&lt;&gt;"",BA599,IF(LEN(AZ599)=15,MID(AZ599,3,10),""))</f>
        <v/>
      </c>
      <c r="AT599" s="29">
        <f>IF(BB599="","",BB599&amp;IF(D599="","  (guessed from PAN)",""))</f>
        <v/>
      </c>
      <c r="AU599" s="29">
        <f>IF(AZ599="","",IFERROR(INDEX(Lists!$L$2:$L$38,MATCH(LEFT(AZ599,2),Lists!$K$2:$K$38,0)),"Unknown code"))</f>
        <v/>
      </c>
      <c r="AV599" s="29">
        <f>IF(AZ599="","",IFERROR(IF(NOT(AND(LEN(AZ599)=15,ISNUMBER(MATCH(LEFT(AZ599,2),Lists!$K$2:$K$38,0)),SUMPRODUCT(--ISERROR(FIND(MID(MID(AZ599,3,10),{1,2,3,4,5,10},1),"ABCDEFGHIJKLMNOPQRSTUVWXYZ")))=0,SUMPRODUCT(--ISERROR(FIND(MID(MID(AZ599,3,10),{6,7,8,9},1),"0123456789")))=0,ISNUMBER(FIND(MID(AZ599,13,1),"123456789ABCDEFGHIJKLMNOPQRSTUVWXYZ")),MID(AZ599,14,1)="Z")),"Wrong format",IF(MID("0123456789ABCDEFGHIJKLMNOPQRSTUVWXYZ",MOD(36-MOD(SUMPRODUCT(INT((FIND(MID(AZ599,{1,2,3,4,5,6,7,8,9,10,11,12,13,14},1),"0123456789ABCDEFGHIJKLMNOPQRSTUVWXYZ")-1)*{1,2,1,2,1,2,1,2,1,2,1,2,1,2}/36)+MOD((FIND(MID(AZ599,{1,2,3,4,5,6,7,8,9,10,11,12,13,14},1),"0123456789ABCDEFGHIJKLMNOPQRSTUVWXYZ")-1)*{1,2,1,2,1,2,1,2,1,2,1,2,1,2},36)),36),36)+1,1)=MID(AZ599,15,1),"OK","Typo? check digit wrong")),"Wrong format"))</f>
        <v/>
      </c>
      <c r="AW599" s="29">
        <f>IF(BA599="","",IF(AND(LEN(BA599)=10,SUMPRODUCT(--ISERROR(FIND(MID(BA599,{1,2,3,4,5,10},1),"ABCDEFGHIJKLMNOPQRSTUVWXYZ")))=0,SUMPRODUCT(--ISERROR(FIND(MID(BA599,{6,7,8,9},1),"0123456789")))=0),"OK","Wrong format"))</f>
        <v/>
      </c>
      <c r="AX599" s="29">
        <f>IF(TRIM(H599)="","",IF(AND(LEN(UPPER(TRIM(H599)))=10,SUMPRODUCT(--ISERROR(FIND(MID(UPPER(TRIM(H599)),{1,2,3,4,10},1),"ABCDEFGHIJKLMNOPQRSTUVWXYZ")))=0,SUMPRODUCT(--ISERROR(FIND(MID(UPPER(TRIM(H599)),{5,6,7,8,9},1),"0123456789")))=0),"OK","Wrong format"))</f>
        <v/>
      </c>
      <c r="AY599" s="30">
        <f>IF(NOT(COUNTA(A599:AE599)&gt;0),"",IF(BE599&lt;&gt;"","✖ "&amp;LEFT(BE599,LEN(BE599)-2),IF(BD599&gt;0,"✔ Ready — client + "&amp;BD599&amp;" service(s)","✔ Ready — client only")))</f>
        <v/>
      </c>
      <c r="AZ599" s="31">
        <f>UPPER(SUBSTITUTE(TRIM(F599)," ",""))</f>
        <v/>
      </c>
      <c r="BA599" s="31">
        <f>UPPER(SUBSTITUTE(TRIM(E599)," ",""))</f>
        <v/>
      </c>
      <c r="BB599" s="31">
        <f>IF(D599&lt;&gt;"",D599,IFERROR(VLOOKUP(MID(AS599,4,1),Lists!$E$2:$F$8,2,FALSE),""))</f>
        <v/>
      </c>
      <c r="BC599" s="31">
        <f>IFERROR(VLOOKUP(BB599,Lists!$A$2:$C$12,3,FALSE),"")</f>
        <v/>
      </c>
      <c r="BD599" s="31">
        <f>COUNTIF(W599:AC599,"Yes")</f>
        <v/>
      </c>
      <c r="BE599" s="31">
        <f>IF(TRIM(B599)="","Legal name missing; ","")&amp;IF(AND(AV599&lt;&gt;"",AV599&lt;&gt;"OK"),"GSTIN: "&amp;AV599&amp;"; ","")&amp;IF(AND(AW599&lt;&gt;"",AW599&lt;&gt;"OK"),"PAN wrong format; ","")&amp;IF(AND(BA599&lt;&gt;"",LEN(AZ599)=15,MID(AZ599,3,10)&lt;&gt;BA599),"PAN does not match GSTIN; ","")&amp;IF(AND(AX599&lt;&gt;"",AX599&lt;&gt;"OK"),"TAN wrong format; ","")&amp;IF(AS599="","PAN missing; ","")&amp;IF(BB599="","Entity type missing; ","")&amp;IF(AND(AZ599&lt;&gt;"",COUNTIF($AZ$6:$AZ$1005,AZ599)&gt;1),"GSTIN repeated in this sheet; ","")&amp;IF(AND(AS599&lt;&gt;"",COUNTIF($AS$6:$AS$1005,AS599)&gt;1),"PAN repeated in this sheet (same client? put extra GSTINs in Other GSTINs); ","")&amp;IF(AND(BD599&gt;0,V599=""),"Financial year missing; ","")&amp;IF(AND(BD599=0,V599&lt;&gt;""),"Financial year given but no service is Yes; ","")&amp;IF(AND(W599="Yes",AZ599=""),"GST needs a GSTIN; ","")&amp;IF(AND(W599="Yes",X599=""),"GST return frequency missing; ","")&amp;IF(AND(Y599="Yes",TRIM(H599)=""),"TDS needs a TAN; ","")&amp;IF(AND(AA599="Yes",BC599&lt;&gt;"",BC599&lt;&gt;"company",BC599&lt;&gt;"llp"),"ROC is only for a company / LLP; ","")&amp;IF(AND(AA599="Yes",OR(BC599="company",BC599="llp"),TRIM(I599)=""),"ROC needs the CIN / LLPIN; ","")&amp;IF((TRIM(AF599)="")&lt;&gt;(TRIM(AG599)=""),"GST login needs both user ID and password; ","")&amp;IF((TRIM(AH599)="")&lt;&gt;(TRIM(AI599)=""),"Income-tax login needs both user ID and password; ","")&amp;IF((TRIM(AJ599)="")&lt;&gt;(TRIM(AK599)=""),"Income-tax login needs both user ID and password; ","")&amp;IF((TRIM(AL599)="")&lt;&gt;(TRIM(AM599)=""),"TRACES login needs both user ID and password; ","")&amp;IF((TRIM(AN599)="")&lt;&gt;(TRIM(AO599)=""),"MCA login needs both user ID and password; ","")&amp;IF((TRIM(AP599)="")&lt;&gt;(TRIM(AQ599)=""),"E-way bill login needs both user ID and password; ","")</f>
        <v/>
      </c>
    </row>
    <row r="600">
      <c r="A600" s="32" t="n"/>
      <c r="B600" s="33" t="n"/>
      <c r="C600" s="33" t="n"/>
      <c r="D600" s="33" t="n"/>
      <c r="E600" s="32" t="n"/>
      <c r="F600" s="32" t="n"/>
      <c r="G600" s="32" t="n"/>
      <c r="H600" s="32" t="n"/>
      <c r="I600" s="32" t="n"/>
      <c r="J600" s="34" t="n"/>
      <c r="K600" s="33" t="n"/>
      <c r="L600" s="32" t="n"/>
      <c r="M600" s="33" t="n"/>
      <c r="N600" s="33" t="n"/>
      <c r="O600" s="33" t="n"/>
      <c r="P600" s="32" t="n"/>
      <c r="Q600" s="33" t="n"/>
      <c r="R600" s="33" t="n"/>
      <c r="S600" s="33" t="n"/>
      <c r="T600" s="33" t="n"/>
      <c r="U600" s="32" t="n"/>
      <c r="V600" s="33" t="n"/>
      <c r="W600" s="33" t="n"/>
      <c r="X600" s="33" t="n"/>
      <c r="Y600" s="33" t="n"/>
      <c r="Z600" s="33" t="n"/>
      <c r="AA600" s="33" t="n"/>
      <c r="AB600" s="33" t="n"/>
      <c r="AC600" s="33" t="n"/>
      <c r="AD600" s="33" t="n"/>
      <c r="AE600" s="33" t="n"/>
      <c r="AF600" s="32" t="n"/>
      <c r="AG600" s="32" t="n"/>
      <c r="AH600" s="32" t="n"/>
      <c r="AI600" s="32" t="n"/>
      <c r="AJ600" s="32" t="n"/>
      <c r="AK600" s="32" t="n"/>
      <c r="AL600" s="32" t="n"/>
      <c r="AM600" s="32" t="n"/>
      <c r="AN600" s="32" t="n"/>
      <c r="AO600" s="32" t="n"/>
      <c r="AP600" s="32" t="n"/>
      <c r="AQ600" s="32" t="n"/>
      <c r="AR600" s="29">
        <f>IF(NOT(COUNTA(A600:AE600)&gt;0),"",IF(A600="","New client","Update"))</f>
        <v/>
      </c>
      <c r="AS600" s="29">
        <f>IF(BA600&lt;&gt;"",BA600,IF(LEN(AZ600)=15,MID(AZ600,3,10),""))</f>
        <v/>
      </c>
      <c r="AT600" s="29">
        <f>IF(BB600="","",BB600&amp;IF(D600="","  (guessed from PAN)",""))</f>
        <v/>
      </c>
      <c r="AU600" s="29">
        <f>IF(AZ600="","",IFERROR(INDEX(Lists!$L$2:$L$38,MATCH(LEFT(AZ600,2),Lists!$K$2:$K$38,0)),"Unknown code"))</f>
        <v/>
      </c>
      <c r="AV600" s="29">
        <f>IF(AZ600="","",IFERROR(IF(NOT(AND(LEN(AZ600)=15,ISNUMBER(MATCH(LEFT(AZ600,2),Lists!$K$2:$K$38,0)),SUMPRODUCT(--ISERROR(FIND(MID(MID(AZ600,3,10),{1,2,3,4,5,10},1),"ABCDEFGHIJKLMNOPQRSTUVWXYZ")))=0,SUMPRODUCT(--ISERROR(FIND(MID(MID(AZ600,3,10),{6,7,8,9},1),"0123456789")))=0,ISNUMBER(FIND(MID(AZ600,13,1),"123456789ABCDEFGHIJKLMNOPQRSTUVWXYZ")),MID(AZ600,14,1)="Z")),"Wrong format",IF(MID("0123456789ABCDEFGHIJKLMNOPQRSTUVWXYZ",MOD(36-MOD(SUMPRODUCT(INT((FIND(MID(AZ600,{1,2,3,4,5,6,7,8,9,10,11,12,13,14},1),"0123456789ABCDEFGHIJKLMNOPQRSTUVWXYZ")-1)*{1,2,1,2,1,2,1,2,1,2,1,2,1,2}/36)+MOD((FIND(MID(AZ600,{1,2,3,4,5,6,7,8,9,10,11,12,13,14},1),"0123456789ABCDEFGHIJKLMNOPQRSTUVWXYZ")-1)*{1,2,1,2,1,2,1,2,1,2,1,2,1,2},36)),36),36)+1,1)=MID(AZ600,15,1),"OK","Typo? check digit wrong")),"Wrong format"))</f>
        <v/>
      </c>
      <c r="AW600" s="29">
        <f>IF(BA600="","",IF(AND(LEN(BA600)=10,SUMPRODUCT(--ISERROR(FIND(MID(BA600,{1,2,3,4,5,10},1),"ABCDEFGHIJKLMNOPQRSTUVWXYZ")))=0,SUMPRODUCT(--ISERROR(FIND(MID(BA600,{6,7,8,9},1),"0123456789")))=0),"OK","Wrong format"))</f>
        <v/>
      </c>
      <c r="AX600" s="29">
        <f>IF(TRIM(H600)="","",IF(AND(LEN(UPPER(TRIM(H600)))=10,SUMPRODUCT(--ISERROR(FIND(MID(UPPER(TRIM(H600)),{1,2,3,4,10},1),"ABCDEFGHIJKLMNOPQRSTUVWXYZ")))=0,SUMPRODUCT(--ISERROR(FIND(MID(UPPER(TRIM(H600)),{5,6,7,8,9},1),"0123456789")))=0),"OK","Wrong format"))</f>
        <v/>
      </c>
      <c r="AY600" s="30">
        <f>IF(NOT(COUNTA(A600:AE600)&gt;0),"",IF(BE600&lt;&gt;"","✖ "&amp;LEFT(BE600,LEN(BE600)-2),IF(BD600&gt;0,"✔ Ready — client + "&amp;BD600&amp;" service(s)","✔ Ready — client only")))</f>
        <v/>
      </c>
      <c r="AZ600" s="31">
        <f>UPPER(SUBSTITUTE(TRIM(F600)," ",""))</f>
        <v/>
      </c>
      <c r="BA600" s="31">
        <f>UPPER(SUBSTITUTE(TRIM(E600)," ",""))</f>
        <v/>
      </c>
      <c r="BB600" s="31">
        <f>IF(D600&lt;&gt;"",D600,IFERROR(VLOOKUP(MID(AS600,4,1),Lists!$E$2:$F$8,2,FALSE),""))</f>
        <v/>
      </c>
      <c r="BC600" s="31">
        <f>IFERROR(VLOOKUP(BB600,Lists!$A$2:$C$12,3,FALSE),"")</f>
        <v/>
      </c>
      <c r="BD600" s="31">
        <f>COUNTIF(W600:AC600,"Yes")</f>
        <v/>
      </c>
      <c r="BE600" s="31">
        <f>IF(TRIM(B600)="","Legal name missing; ","")&amp;IF(AND(AV600&lt;&gt;"",AV600&lt;&gt;"OK"),"GSTIN: "&amp;AV600&amp;"; ","")&amp;IF(AND(AW600&lt;&gt;"",AW600&lt;&gt;"OK"),"PAN wrong format; ","")&amp;IF(AND(BA600&lt;&gt;"",LEN(AZ600)=15,MID(AZ600,3,10)&lt;&gt;BA600),"PAN does not match GSTIN; ","")&amp;IF(AND(AX600&lt;&gt;"",AX600&lt;&gt;"OK"),"TAN wrong format; ","")&amp;IF(AS600="","PAN missing; ","")&amp;IF(BB600="","Entity type missing; ","")&amp;IF(AND(AZ600&lt;&gt;"",COUNTIF($AZ$6:$AZ$1005,AZ600)&gt;1),"GSTIN repeated in this sheet; ","")&amp;IF(AND(AS600&lt;&gt;"",COUNTIF($AS$6:$AS$1005,AS600)&gt;1),"PAN repeated in this sheet (same client? put extra GSTINs in Other GSTINs); ","")&amp;IF(AND(BD600&gt;0,V600=""),"Financial year missing; ","")&amp;IF(AND(BD600=0,V600&lt;&gt;""),"Financial year given but no service is Yes; ","")&amp;IF(AND(W600="Yes",AZ600=""),"GST needs a GSTIN; ","")&amp;IF(AND(W600="Yes",X600=""),"GST return frequency missing; ","")&amp;IF(AND(Y600="Yes",TRIM(H600)=""),"TDS needs a TAN; ","")&amp;IF(AND(AA600="Yes",BC600&lt;&gt;"",BC600&lt;&gt;"company",BC600&lt;&gt;"llp"),"ROC is only for a company / LLP; ","")&amp;IF(AND(AA600="Yes",OR(BC600="company",BC600="llp"),TRIM(I600)=""),"ROC needs the CIN / LLPIN; ","")&amp;IF((TRIM(AF600)="")&lt;&gt;(TRIM(AG600)=""),"GST login needs both user ID and password; ","")&amp;IF((TRIM(AH600)="")&lt;&gt;(TRIM(AI600)=""),"Income-tax login needs both user ID and password; ","")&amp;IF((TRIM(AJ600)="")&lt;&gt;(TRIM(AK600)=""),"Income-tax login needs both user ID and password; ","")&amp;IF((TRIM(AL600)="")&lt;&gt;(TRIM(AM600)=""),"TRACES login needs both user ID and password; ","")&amp;IF((TRIM(AN600)="")&lt;&gt;(TRIM(AO600)=""),"MCA login needs both user ID and password; ","")&amp;IF((TRIM(AP600)="")&lt;&gt;(TRIM(AQ600)=""),"E-way bill login needs both user ID and password; ","")</f>
        <v/>
      </c>
    </row>
    <row r="601">
      <c r="A601" s="32" t="n"/>
      <c r="B601" s="33" t="n"/>
      <c r="C601" s="33" t="n"/>
      <c r="D601" s="33" t="n"/>
      <c r="E601" s="32" t="n"/>
      <c r="F601" s="32" t="n"/>
      <c r="G601" s="32" t="n"/>
      <c r="H601" s="32" t="n"/>
      <c r="I601" s="32" t="n"/>
      <c r="J601" s="34" t="n"/>
      <c r="K601" s="33" t="n"/>
      <c r="L601" s="32" t="n"/>
      <c r="M601" s="33" t="n"/>
      <c r="N601" s="33" t="n"/>
      <c r="O601" s="33" t="n"/>
      <c r="P601" s="32" t="n"/>
      <c r="Q601" s="33" t="n"/>
      <c r="R601" s="33" t="n"/>
      <c r="S601" s="33" t="n"/>
      <c r="T601" s="33" t="n"/>
      <c r="U601" s="32" t="n"/>
      <c r="V601" s="33" t="n"/>
      <c r="W601" s="33" t="n"/>
      <c r="X601" s="33" t="n"/>
      <c r="Y601" s="33" t="n"/>
      <c r="Z601" s="33" t="n"/>
      <c r="AA601" s="33" t="n"/>
      <c r="AB601" s="33" t="n"/>
      <c r="AC601" s="33" t="n"/>
      <c r="AD601" s="33" t="n"/>
      <c r="AE601" s="33" t="n"/>
      <c r="AF601" s="32" t="n"/>
      <c r="AG601" s="32" t="n"/>
      <c r="AH601" s="32" t="n"/>
      <c r="AI601" s="32" t="n"/>
      <c r="AJ601" s="32" t="n"/>
      <c r="AK601" s="32" t="n"/>
      <c r="AL601" s="32" t="n"/>
      <c r="AM601" s="32" t="n"/>
      <c r="AN601" s="32" t="n"/>
      <c r="AO601" s="32" t="n"/>
      <c r="AP601" s="32" t="n"/>
      <c r="AQ601" s="32" t="n"/>
      <c r="AR601" s="29">
        <f>IF(NOT(COUNTA(A601:AE601)&gt;0),"",IF(A601="","New client","Update"))</f>
        <v/>
      </c>
      <c r="AS601" s="29">
        <f>IF(BA601&lt;&gt;"",BA601,IF(LEN(AZ601)=15,MID(AZ601,3,10),""))</f>
        <v/>
      </c>
      <c r="AT601" s="29">
        <f>IF(BB601="","",BB601&amp;IF(D601="","  (guessed from PAN)",""))</f>
        <v/>
      </c>
      <c r="AU601" s="29">
        <f>IF(AZ601="","",IFERROR(INDEX(Lists!$L$2:$L$38,MATCH(LEFT(AZ601,2),Lists!$K$2:$K$38,0)),"Unknown code"))</f>
        <v/>
      </c>
      <c r="AV601" s="29">
        <f>IF(AZ601="","",IFERROR(IF(NOT(AND(LEN(AZ601)=15,ISNUMBER(MATCH(LEFT(AZ601,2),Lists!$K$2:$K$38,0)),SUMPRODUCT(--ISERROR(FIND(MID(MID(AZ601,3,10),{1,2,3,4,5,10},1),"ABCDEFGHIJKLMNOPQRSTUVWXYZ")))=0,SUMPRODUCT(--ISERROR(FIND(MID(MID(AZ601,3,10),{6,7,8,9},1),"0123456789")))=0,ISNUMBER(FIND(MID(AZ601,13,1),"123456789ABCDEFGHIJKLMNOPQRSTUVWXYZ")),MID(AZ601,14,1)="Z")),"Wrong format",IF(MID("0123456789ABCDEFGHIJKLMNOPQRSTUVWXYZ",MOD(36-MOD(SUMPRODUCT(INT((FIND(MID(AZ601,{1,2,3,4,5,6,7,8,9,10,11,12,13,14},1),"0123456789ABCDEFGHIJKLMNOPQRSTUVWXYZ")-1)*{1,2,1,2,1,2,1,2,1,2,1,2,1,2}/36)+MOD((FIND(MID(AZ601,{1,2,3,4,5,6,7,8,9,10,11,12,13,14},1),"0123456789ABCDEFGHIJKLMNOPQRSTUVWXYZ")-1)*{1,2,1,2,1,2,1,2,1,2,1,2,1,2},36)),36),36)+1,1)=MID(AZ601,15,1),"OK","Typo? check digit wrong")),"Wrong format"))</f>
        <v/>
      </c>
      <c r="AW601" s="29">
        <f>IF(BA601="","",IF(AND(LEN(BA601)=10,SUMPRODUCT(--ISERROR(FIND(MID(BA601,{1,2,3,4,5,10},1),"ABCDEFGHIJKLMNOPQRSTUVWXYZ")))=0,SUMPRODUCT(--ISERROR(FIND(MID(BA601,{6,7,8,9},1),"0123456789")))=0),"OK","Wrong format"))</f>
        <v/>
      </c>
      <c r="AX601" s="29">
        <f>IF(TRIM(H601)="","",IF(AND(LEN(UPPER(TRIM(H601)))=10,SUMPRODUCT(--ISERROR(FIND(MID(UPPER(TRIM(H601)),{1,2,3,4,10},1),"ABCDEFGHIJKLMNOPQRSTUVWXYZ")))=0,SUMPRODUCT(--ISERROR(FIND(MID(UPPER(TRIM(H601)),{5,6,7,8,9},1),"0123456789")))=0),"OK","Wrong format"))</f>
        <v/>
      </c>
      <c r="AY601" s="30">
        <f>IF(NOT(COUNTA(A601:AE601)&gt;0),"",IF(BE601&lt;&gt;"","✖ "&amp;LEFT(BE601,LEN(BE601)-2),IF(BD601&gt;0,"✔ Ready — client + "&amp;BD601&amp;" service(s)","✔ Ready — client only")))</f>
        <v/>
      </c>
      <c r="AZ601" s="31">
        <f>UPPER(SUBSTITUTE(TRIM(F601)," ",""))</f>
        <v/>
      </c>
      <c r="BA601" s="31">
        <f>UPPER(SUBSTITUTE(TRIM(E601)," ",""))</f>
        <v/>
      </c>
      <c r="BB601" s="31">
        <f>IF(D601&lt;&gt;"",D601,IFERROR(VLOOKUP(MID(AS601,4,1),Lists!$E$2:$F$8,2,FALSE),""))</f>
        <v/>
      </c>
      <c r="BC601" s="31">
        <f>IFERROR(VLOOKUP(BB601,Lists!$A$2:$C$12,3,FALSE),"")</f>
        <v/>
      </c>
      <c r="BD601" s="31">
        <f>COUNTIF(W601:AC601,"Yes")</f>
        <v/>
      </c>
      <c r="BE601" s="31">
        <f>IF(TRIM(B601)="","Legal name missing; ","")&amp;IF(AND(AV601&lt;&gt;"",AV601&lt;&gt;"OK"),"GSTIN: "&amp;AV601&amp;"; ","")&amp;IF(AND(AW601&lt;&gt;"",AW601&lt;&gt;"OK"),"PAN wrong format; ","")&amp;IF(AND(BA601&lt;&gt;"",LEN(AZ601)=15,MID(AZ601,3,10)&lt;&gt;BA601),"PAN does not match GSTIN; ","")&amp;IF(AND(AX601&lt;&gt;"",AX601&lt;&gt;"OK"),"TAN wrong format; ","")&amp;IF(AS601="","PAN missing; ","")&amp;IF(BB601="","Entity type missing; ","")&amp;IF(AND(AZ601&lt;&gt;"",COUNTIF($AZ$6:$AZ$1005,AZ601)&gt;1),"GSTIN repeated in this sheet; ","")&amp;IF(AND(AS601&lt;&gt;"",COUNTIF($AS$6:$AS$1005,AS601)&gt;1),"PAN repeated in this sheet (same client? put extra GSTINs in Other GSTINs); ","")&amp;IF(AND(BD601&gt;0,V601=""),"Financial year missing; ","")&amp;IF(AND(BD601=0,V601&lt;&gt;""),"Financial year given but no service is Yes; ","")&amp;IF(AND(W601="Yes",AZ601=""),"GST needs a GSTIN; ","")&amp;IF(AND(W601="Yes",X601=""),"GST return frequency missing; ","")&amp;IF(AND(Y601="Yes",TRIM(H601)=""),"TDS needs a TAN; ","")&amp;IF(AND(AA601="Yes",BC601&lt;&gt;"",BC601&lt;&gt;"company",BC601&lt;&gt;"llp"),"ROC is only for a company / LLP; ","")&amp;IF(AND(AA601="Yes",OR(BC601="company",BC601="llp"),TRIM(I601)=""),"ROC needs the CIN / LLPIN; ","")&amp;IF((TRIM(AF601)="")&lt;&gt;(TRIM(AG601)=""),"GST login needs both user ID and password; ","")&amp;IF((TRIM(AH601)="")&lt;&gt;(TRIM(AI601)=""),"Income-tax login needs both user ID and password; ","")&amp;IF((TRIM(AJ601)="")&lt;&gt;(TRIM(AK601)=""),"Income-tax login needs both user ID and password; ","")&amp;IF((TRIM(AL601)="")&lt;&gt;(TRIM(AM601)=""),"TRACES login needs both user ID and password; ","")&amp;IF((TRIM(AN601)="")&lt;&gt;(TRIM(AO601)=""),"MCA login needs both user ID and password; ","")&amp;IF((TRIM(AP601)="")&lt;&gt;(TRIM(AQ601)=""),"E-way bill login needs both user ID and password; ","")</f>
        <v/>
      </c>
    </row>
    <row r="602">
      <c r="A602" s="32" t="n"/>
      <c r="B602" s="33" t="n"/>
      <c r="C602" s="33" t="n"/>
      <c r="D602" s="33" t="n"/>
      <c r="E602" s="32" t="n"/>
      <c r="F602" s="32" t="n"/>
      <c r="G602" s="32" t="n"/>
      <c r="H602" s="32" t="n"/>
      <c r="I602" s="32" t="n"/>
      <c r="J602" s="34" t="n"/>
      <c r="K602" s="33" t="n"/>
      <c r="L602" s="32" t="n"/>
      <c r="M602" s="33" t="n"/>
      <c r="N602" s="33" t="n"/>
      <c r="O602" s="33" t="n"/>
      <c r="P602" s="32" t="n"/>
      <c r="Q602" s="33" t="n"/>
      <c r="R602" s="33" t="n"/>
      <c r="S602" s="33" t="n"/>
      <c r="T602" s="33" t="n"/>
      <c r="U602" s="32" t="n"/>
      <c r="V602" s="33" t="n"/>
      <c r="W602" s="33" t="n"/>
      <c r="X602" s="33" t="n"/>
      <c r="Y602" s="33" t="n"/>
      <c r="Z602" s="33" t="n"/>
      <c r="AA602" s="33" t="n"/>
      <c r="AB602" s="33" t="n"/>
      <c r="AC602" s="33" t="n"/>
      <c r="AD602" s="33" t="n"/>
      <c r="AE602" s="33" t="n"/>
      <c r="AF602" s="32" t="n"/>
      <c r="AG602" s="32" t="n"/>
      <c r="AH602" s="32" t="n"/>
      <c r="AI602" s="32" t="n"/>
      <c r="AJ602" s="32" t="n"/>
      <c r="AK602" s="32" t="n"/>
      <c r="AL602" s="32" t="n"/>
      <c r="AM602" s="32" t="n"/>
      <c r="AN602" s="32" t="n"/>
      <c r="AO602" s="32" t="n"/>
      <c r="AP602" s="32" t="n"/>
      <c r="AQ602" s="32" t="n"/>
      <c r="AR602" s="29">
        <f>IF(NOT(COUNTA(A602:AE602)&gt;0),"",IF(A602="","New client","Update"))</f>
        <v/>
      </c>
      <c r="AS602" s="29">
        <f>IF(BA602&lt;&gt;"",BA602,IF(LEN(AZ602)=15,MID(AZ602,3,10),""))</f>
        <v/>
      </c>
      <c r="AT602" s="29">
        <f>IF(BB602="","",BB602&amp;IF(D602="","  (guessed from PAN)",""))</f>
        <v/>
      </c>
      <c r="AU602" s="29">
        <f>IF(AZ602="","",IFERROR(INDEX(Lists!$L$2:$L$38,MATCH(LEFT(AZ602,2),Lists!$K$2:$K$38,0)),"Unknown code"))</f>
        <v/>
      </c>
      <c r="AV602" s="29">
        <f>IF(AZ602="","",IFERROR(IF(NOT(AND(LEN(AZ602)=15,ISNUMBER(MATCH(LEFT(AZ602,2),Lists!$K$2:$K$38,0)),SUMPRODUCT(--ISERROR(FIND(MID(MID(AZ602,3,10),{1,2,3,4,5,10},1),"ABCDEFGHIJKLMNOPQRSTUVWXYZ")))=0,SUMPRODUCT(--ISERROR(FIND(MID(MID(AZ602,3,10),{6,7,8,9},1),"0123456789")))=0,ISNUMBER(FIND(MID(AZ602,13,1),"123456789ABCDEFGHIJKLMNOPQRSTUVWXYZ")),MID(AZ602,14,1)="Z")),"Wrong format",IF(MID("0123456789ABCDEFGHIJKLMNOPQRSTUVWXYZ",MOD(36-MOD(SUMPRODUCT(INT((FIND(MID(AZ602,{1,2,3,4,5,6,7,8,9,10,11,12,13,14},1),"0123456789ABCDEFGHIJKLMNOPQRSTUVWXYZ")-1)*{1,2,1,2,1,2,1,2,1,2,1,2,1,2}/36)+MOD((FIND(MID(AZ602,{1,2,3,4,5,6,7,8,9,10,11,12,13,14},1),"0123456789ABCDEFGHIJKLMNOPQRSTUVWXYZ")-1)*{1,2,1,2,1,2,1,2,1,2,1,2,1,2},36)),36),36)+1,1)=MID(AZ602,15,1),"OK","Typo? check digit wrong")),"Wrong format"))</f>
        <v/>
      </c>
      <c r="AW602" s="29">
        <f>IF(BA602="","",IF(AND(LEN(BA602)=10,SUMPRODUCT(--ISERROR(FIND(MID(BA602,{1,2,3,4,5,10},1),"ABCDEFGHIJKLMNOPQRSTUVWXYZ")))=0,SUMPRODUCT(--ISERROR(FIND(MID(BA602,{6,7,8,9},1),"0123456789")))=0),"OK","Wrong format"))</f>
        <v/>
      </c>
      <c r="AX602" s="29">
        <f>IF(TRIM(H602)="","",IF(AND(LEN(UPPER(TRIM(H602)))=10,SUMPRODUCT(--ISERROR(FIND(MID(UPPER(TRIM(H602)),{1,2,3,4,10},1),"ABCDEFGHIJKLMNOPQRSTUVWXYZ")))=0,SUMPRODUCT(--ISERROR(FIND(MID(UPPER(TRIM(H602)),{5,6,7,8,9},1),"0123456789")))=0),"OK","Wrong format"))</f>
        <v/>
      </c>
      <c r="AY602" s="30">
        <f>IF(NOT(COUNTA(A602:AE602)&gt;0),"",IF(BE602&lt;&gt;"","✖ "&amp;LEFT(BE602,LEN(BE602)-2),IF(BD602&gt;0,"✔ Ready — client + "&amp;BD602&amp;" service(s)","✔ Ready — client only")))</f>
        <v/>
      </c>
      <c r="AZ602" s="31">
        <f>UPPER(SUBSTITUTE(TRIM(F602)," ",""))</f>
        <v/>
      </c>
      <c r="BA602" s="31">
        <f>UPPER(SUBSTITUTE(TRIM(E602)," ",""))</f>
        <v/>
      </c>
      <c r="BB602" s="31">
        <f>IF(D602&lt;&gt;"",D602,IFERROR(VLOOKUP(MID(AS602,4,1),Lists!$E$2:$F$8,2,FALSE),""))</f>
        <v/>
      </c>
      <c r="BC602" s="31">
        <f>IFERROR(VLOOKUP(BB602,Lists!$A$2:$C$12,3,FALSE),"")</f>
        <v/>
      </c>
      <c r="BD602" s="31">
        <f>COUNTIF(W602:AC602,"Yes")</f>
        <v/>
      </c>
      <c r="BE602" s="31">
        <f>IF(TRIM(B602)="","Legal name missing; ","")&amp;IF(AND(AV602&lt;&gt;"",AV602&lt;&gt;"OK"),"GSTIN: "&amp;AV602&amp;"; ","")&amp;IF(AND(AW602&lt;&gt;"",AW602&lt;&gt;"OK"),"PAN wrong format; ","")&amp;IF(AND(BA602&lt;&gt;"",LEN(AZ602)=15,MID(AZ602,3,10)&lt;&gt;BA602),"PAN does not match GSTIN; ","")&amp;IF(AND(AX602&lt;&gt;"",AX602&lt;&gt;"OK"),"TAN wrong format; ","")&amp;IF(AS602="","PAN missing; ","")&amp;IF(BB602="","Entity type missing; ","")&amp;IF(AND(AZ602&lt;&gt;"",COUNTIF($AZ$6:$AZ$1005,AZ602)&gt;1),"GSTIN repeated in this sheet; ","")&amp;IF(AND(AS602&lt;&gt;"",COUNTIF($AS$6:$AS$1005,AS602)&gt;1),"PAN repeated in this sheet (same client? put extra GSTINs in Other GSTINs); ","")&amp;IF(AND(BD602&gt;0,V602=""),"Financial year missing; ","")&amp;IF(AND(BD602=0,V602&lt;&gt;""),"Financial year given but no service is Yes; ","")&amp;IF(AND(W602="Yes",AZ602=""),"GST needs a GSTIN; ","")&amp;IF(AND(W602="Yes",X602=""),"GST return frequency missing; ","")&amp;IF(AND(Y602="Yes",TRIM(H602)=""),"TDS needs a TAN; ","")&amp;IF(AND(AA602="Yes",BC602&lt;&gt;"",BC602&lt;&gt;"company",BC602&lt;&gt;"llp"),"ROC is only for a company / LLP; ","")&amp;IF(AND(AA602="Yes",OR(BC602="company",BC602="llp"),TRIM(I602)=""),"ROC needs the CIN / LLPIN; ","")&amp;IF((TRIM(AF602)="")&lt;&gt;(TRIM(AG602)=""),"GST login needs both user ID and password; ","")&amp;IF((TRIM(AH602)="")&lt;&gt;(TRIM(AI602)=""),"Income-tax login needs both user ID and password; ","")&amp;IF((TRIM(AJ602)="")&lt;&gt;(TRIM(AK602)=""),"Income-tax login needs both user ID and password; ","")&amp;IF((TRIM(AL602)="")&lt;&gt;(TRIM(AM602)=""),"TRACES login needs both user ID and password; ","")&amp;IF((TRIM(AN602)="")&lt;&gt;(TRIM(AO602)=""),"MCA login needs both user ID and password; ","")&amp;IF((TRIM(AP602)="")&lt;&gt;(TRIM(AQ602)=""),"E-way bill login needs both user ID and password; ","")</f>
        <v/>
      </c>
    </row>
    <row r="603">
      <c r="A603" s="32" t="n"/>
      <c r="B603" s="33" t="n"/>
      <c r="C603" s="33" t="n"/>
      <c r="D603" s="33" t="n"/>
      <c r="E603" s="32" t="n"/>
      <c r="F603" s="32" t="n"/>
      <c r="G603" s="32" t="n"/>
      <c r="H603" s="32" t="n"/>
      <c r="I603" s="32" t="n"/>
      <c r="J603" s="34" t="n"/>
      <c r="K603" s="33" t="n"/>
      <c r="L603" s="32" t="n"/>
      <c r="M603" s="33" t="n"/>
      <c r="N603" s="33" t="n"/>
      <c r="O603" s="33" t="n"/>
      <c r="P603" s="32" t="n"/>
      <c r="Q603" s="33" t="n"/>
      <c r="R603" s="33" t="n"/>
      <c r="S603" s="33" t="n"/>
      <c r="T603" s="33" t="n"/>
      <c r="U603" s="32" t="n"/>
      <c r="V603" s="33" t="n"/>
      <c r="W603" s="33" t="n"/>
      <c r="X603" s="33" t="n"/>
      <c r="Y603" s="33" t="n"/>
      <c r="Z603" s="33" t="n"/>
      <c r="AA603" s="33" t="n"/>
      <c r="AB603" s="33" t="n"/>
      <c r="AC603" s="33" t="n"/>
      <c r="AD603" s="33" t="n"/>
      <c r="AE603" s="33" t="n"/>
      <c r="AF603" s="32" t="n"/>
      <c r="AG603" s="32" t="n"/>
      <c r="AH603" s="32" t="n"/>
      <c r="AI603" s="32" t="n"/>
      <c r="AJ603" s="32" t="n"/>
      <c r="AK603" s="32" t="n"/>
      <c r="AL603" s="32" t="n"/>
      <c r="AM603" s="32" t="n"/>
      <c r="AN603" s="32" t="n"/>
      <c r="AO603" s="32" t="n"/>
      <c r="AP603" s="32" t="n"/>
      <c r="AQ603" s="32" t="n"/>
      <c r="AR603" s="29">
        <f>IF(NOT(COUNTA(A603:AE603)&gt;0),"",IF(A603="","New client","Update"))</f>
        <v/>
      </c>
      <c r="AS603" s="29">
        <f>IF(BA603&lt;&gt;"",BA603,IF(LEN(AZ603)=15,MID(AZ603,3,10),""))</f>
        <v/>
      </c>
      <c r="AT603" s="29">
        <f>IF(BB603="","",BB603&amp;IF(D603="","  (guessed from PAN)",""))</f>
        <v/>
      </c>
      <c r="AU603" s="29">
        <f>IF(AZ603="","",IFERROR(INDEX(Lists!$L$2:$L$38,MATCH(LEFT(AZ603,2),Lists!$K$2:$K$38,0)),"Unknown code"))</f>
        <v/>
      </c>
      <c r="AV603" s="29">
        <f>IF(AZ603="","",IFERROR(IF(NOT(AND(LEN(AZ603)=15,ISNUMBER(MATCH(LEFT(AZ603,2),Lists!$K$2:$K$38,0)),SUMPRODUCT(--ISERROR(FIND(MID(MID(AZ603,3,10),{1,2,3,4,5,10},1),"ABCDEFGHIJKLMNOPQRSTUVWXYZ")))=0,SUMPRODUCT(--ISERROR(FIND(MID(MID(AZ603,3,10),{6,7,8,9},1),"0123456789")))=0,ISNUMBER(FIND(MID(AZ603,13,1),"123456789ABCDEFGHIJKLMNOPQRSTUVWXYZ")),MID(AZ603,14,1)="Z")),"Wrong format",IF(MID("0123456789ABCDEFGHIJKLMNOPQRSTUVWXYZ",MOD(36-MOD(SUMPRODUCT(INT((FIND(MID(AZ603,{1,2,3,4,5,6,7,8,9,10,11,12,13,14},1),"0123456789ABCDEFGHIJKLMNOPQRSTUVWXYZ")-1)*{1,2,1,2,1,2,1,2,1,2,1,2,1,2}/36)+MOD((FIND(MID(AZ603,{1,2,3,4,5,6,7,8,9,10,11,12,13,14},1),"0123456789ABCDEFGHIJKLMNOPQRSTUVWXYZ")-1)*{1,2,1,2,1,2,1,2,1,2,1,2,1,2},36)),36),36)+1,1)=MID(AZ603,15,1),"OK","Typo? check digit wrong")),"Wrong format"))</f>
        <v/>
      </c>
      <c r="AW603" s="29">
        <f>IF(BA603="","",IF(AND(LEN(BA603)=10,SUMPRODUCT(--ISERROR(FIND(MID(BA603,{1,2,3,4,5,10},1),"ABCDEFGHIJKLMNOPQRSTUVWXYZ")))=0,SUMPRODUCT(--ISERROR(FIND(MID(BA603,{6,7,8,9},1),"0123456789")))=0),"OK","Wrong format"))</f>
        <v/>
      </c>
      <c r="AX603" s="29">
        <f>IF(TRIM(H603)="","",IF(AND(LEN(UPPER(TRIM(H603)))=10,SUMPRODUCT(--ISERROR(FIND(MID(UPPER(TRIM(H603)),{1,2,3,4,10},1),"ABCDEFGHIJKLMNOPQRSTUVWXYZ")))=0,SUMPRODUCT(--ISERROR(FIND(MID(UPPER(TRIM(H603)),{5,6,7,8,9},1),"0123456789")))=0),"OK","Wrong format"))</f>
        <v/>
      </c>
      <c r="AY603" s="30">
        <f>IF(NOT(COUNTA(A603:AE603)&gt;0),"",IF(BE603&lt;&gt;"","✖ "&amp;LEFT(BE603,LEN(BE603)-2),IF(BD603&gt;0,"✔ Ready — client + "&amp;BD603&amp;" service(s)","✔ Ready — client only")))</f>
        <v/>
      </c>
      <c r="AZ603" s="31">
        <f>UPPER(SUBSTITUTE(TRIM(F603)," ",""))</f>
        <v/>
      </c>
      <c r="BA603" s="31">
        <f>UPPER(SUBSTITUTE(TRIM(E603)," ",""))</f>
        <v/>
      </c>
      <c r="BB603" s="31">
        <f>IF(D603&lt;&gt;"",D603,IFERROR(VLOOKUP(MID(AS603,4,1),Lists!$E$2:$F$8,2,FALSE),""))</f>
        <v/>
      </c>
      <c r="BC603" s="31">
        <f>IFERROR(VLOOKUP(BB603,Lists!$A$2:$C$12,3,FALSE),"")</f>
        <v/>
      </c>
      <c r="BD603" s="31">
        <f>COUNTIF(W603:AC603,"Yes")</f>
        <v/>
      </c>
      <c r="BE603" s="31">
        <f>IF(TRIM(B603)="","Legal name missing; ","")&amp;IF(AND(AV603&lt;&gt;"",AV603&lt;&gt;"OK"),"GSTIN: "&amp;AV603&amp;"; ","")&amp;IF(AND(AW603&lt;&gt;"",AW603&lt;&gt;"OK"),"PAN wrong format; ","")&amp;IF(AND(BA603&lt;&gt;"",LEN(AZ603)=15,MID(AZ603,3,10)&lt;&gt;BA603),"PAN does not match GSTIN; ","")&amp;IF(AND(AX603&lt;&gt;"",AX603&lt;&gt;"OK"),"TAN wrong format; ","")&amp;IF(AS603="","PAN missing; ","")&amp;IF(BB603="","Entity type missing; ","")&amp;IF(AND(AZ603&lt;&gt;"",COUNTIF($AZ$6:$AZ$1005,AZ603)&gt;1),"GSTIN repeated in this sheet; ","")&amp;IF(AND(AS603&lt;&gt;"",COUNTIF($AS$6:$AS$1005,AS603)&gt;1),"PAN repeated in this sheet (same client? put extra GSTINs in Other GSTINs); ","")&amp;IF(AND(BD603&gt;0,V603=""),"Financial year missing; ","")&amp;IF(AND(BD603=0,V603&lt;&gt;""),"Financial year given but no service is Yes; ","")&amp;IF(AND(W603="Yes",AZ603=""),"GST needs a GSTIN; ","")&amp;IF(AND(W603="Yes",X603=""),"GST return frequency missing; ","")&amp;IF(AND(Y603="Yes",TRIM(H603)=""),"TDS needs a TAN; ","")&amp;IF(AND(AA603="Yes",BC603&lt;&gt;"",BC603&lt;&gt;"company",BC603&lt;&gt;"llp"),"ROC is only for a company / LLP; ","")&amp;IF(AND(AA603="Yes",OR(BC603="company",BC603="llp"),TRIM(I603)=""),"ROC needs the CIN / LLPIN; ","")&amp;IF((TRIM(AF603)="")&lt;&gt;(TRIM(AG603)=""),"GST login needs both user ID and password; ","")&amp;IF((TRIM(AH603)="")&lt;&gt;(TRIM(AI603)=""),"Income-tax login needs both user ID and password; ","")&amp;IF((TRIM(AJ603)="")&lt;&gt;(TRIM(AK603)=""),"Income-tax login needs both user ID and password; ","")&amp;IF((TRIM(AL603)="")&lt;&gt;(TRIM(AM603)=""),"TRACES login needs both user ID and password; ","")&amp;IF((TRIM(AN603)="")&lt;&gt;(TRIM(AO603)=""),"MCA login needs both user ID and password; ","")&amp;IF((TRIM(AP603)="")&lt;&gt;(TRIM(AQ603)=""),"E-way bill login needs both user ID and password; ","")</f>
        <v/>
      </c>
    </row>
    <row r="604">
      <c r="A604" s="32" t="n"/>
      <c r="B604" s="33" t="n"/>
      <c r="C604" s="33" t="n"/>
      <c r="D604" s="33" t="n"/>
      <c r="E604" s="32" t="n"/>
      <c r="F604" s="32" t="n"/>
      <c r="G604" s="32" t="n"/>
      <c r="H604" s="32" t="n"/>
      <c r="I604" s="32" t="n"/>
      <c r="J604" s="34" t="n"/>
      <c r="K604" s="33" t="n"/>
      <c r="L604" s="32" t="n"/>
      <c r="M604" s="33" t="n"/>
      <c r="N604" s="33" t="n"/>
      <c r="O604" s="33" t="n"/>
      <c r="P604" s="32" t="n"/>
      <c r="Q604" s="33" t="n"/>
      <c r="R604" s="33" t="n"/>
      <c r="S604" s="33" t="n"/>
      <c r="T604" s="33" t="n"/>
      <c r="U604" s="32" t="n"/>
      <c r="V604" s="33" t="n"/>
      <c r="W604" s="33" t="n"/>
      <c r="X604" s="33" t="n"/>
      <c r="Y604" s="33" t="n"/>
      <c r="Z604" s="33" t="n"/>
      <c r="AA604" s="33" t="n"/>
      <c r="AB604" s="33" t="n"/>
      <c r="AC604" s="33" t="n"/>
      <c r="AD604" s="33" t="n"/>
      <c r="AE604" s="33" t="n"/>
      <c r="AF604" s="32" t="n"/>
      <c r="AG604" s="32" t="n"/>
      <c r="AH604" s="32" t="n"/>
      <c r="AI604" s="32" t="n"/>
      <c r="AJ604" s="32" t="n"/>
      <c r="AK604" s="32" t="n"/>
      <c r="AL604" s="32" t="n"/>
      <c r="AM604" s="32" t="n"/>
      <c r="AN604" s="32" t="n"/>
      <c r="AO604" s="32" t="n"/>
      <c r="AP604" s="32" t="n"/>
      <c r="AQ604" s="32" t="n"/>
      <c r="AR604" s="29">
        <f>IF(NOT(COUNTA(A604:AE604)&gt;0),"",IF(A604="","New client","Update"))</f>
        <v/>
      </c>
      <c r="AS604" s="29">
        <f>IF(BA604&lt;&gt;"",BA604,IF(LEN(AZ604)=15,MID(AZ604,3,10),""))</f>
        <v/>
      </c>
      <c r="AT604" s="29">
        <f>IF(BB604="","",BB604&amp;IF(D604="","  (guessed from PAN)",""))</f>
        <v/>
      </c>
      <c r="AU604" s="29">
        <f>IF(AZ604="","",IFERROR(INDEX(Lists!$L$2:$L$38,MATCH(LEFT(AZ604,2),Lists!$K$2:$K$38,0)),"Unknown code"))</f>
        <v/>
      </c>
      <c r="AV604" s="29">
        <f>IF(AZ604="","",IFERROR(IF(NOT(AND(LEN(AZ604)=15,ISNUMBER(MATCH(LEFT(AZ604,2),Lists!$K$2:$K$38,0)),SUMPRODUCT(--ISERROR(FIND(MID(MID(AZ604,3,10),{1,2,3,4,5,10},1),"ABCDEFGHIJKLMNOPQRSTUVWXYZ")))=0,SUMPRODUCT(--ISERROR(FIND(MID(MID(AZ604,3,10),{6,7,8,9},1),"0123456789")))=0,ISNUMBER(FIND(MID(AZ604,13,1),"123456789ABCDEFGHIJKLMNOPQRSTUVWXYZ")),MID(AZ604,14,1)="Z")),"Wrong format",IF(MID("0123456789ABCDEFGHIJKLMNOPQRSTUVWXYZ",MOD(36-MOD(SUMPRODUCT(INT((FIND(MID(AZ604,{1,2,3,4,5,6,7,8,9,10,11,12,13,14},1),"0123456789ABCDEFGHIJKLMNOPQRSTUVWXYZ")-1)*{1,2,1,2,1,2,1,2,1,2,1,2,1,2}/36)+MOD((FIND(MID(AZ604,{1,2,3,4,5,6,7,8,9,10,11,12,13,14},1),"0123456789ABCDEFGHIJKLMNOPQRSTUVWXYZ")-1)*{1,2,1,2,1,2,1,2,1,2,1,2,1,2},36)),36),36)+1,1)=MID(AZ604,15,1),"OK","Typo? check digit wrong")),"Wrong format"))</f>
        <v/>
      </c>
      <c r="AW604" s="29">
        <f>IF(BA604="","",IF(AND(LEN(BA604)=10,SUMPRODUCT(--ISERROR(FIND(MID(BA604,{1,2,3,4,5,10},1),"ABCDEFGHIJKLMNOPQRSTUVWXYZ")))=0,SUMPRODUCT(--ISERROR(FIND(MID(BA604,{6,7,8,9},1),"0123456789")))=0),"OK","Wrong format"))</f>
        <v/>
      </c>
      <c r="AX604" s="29">
        <f>IF(TRIM(H604)="","",IF(AND(LEN(UPPER(TRIM(H604)))=10,SUMPRODUCT(--ISERROR(FIND(MID(UPPER(TRIM(H604)),{1,2,3,4,10},1),"ABCDEFGHIJKLMNOPQRSTUVWXYZ")))=0,SUMPRODUCT(--ISERROR(FIND(MID(UPPER(TRIM(H604)),{5,6,7,8,9},1),"0123456789")))=0),"OK","Wrong format"))</f>
        <v/>
      </c>
      <c r="AY604" s="30">
        <f>IF(NOT(COUNTA(A604:AE604)&gt;0),"",IF(BE604&lt;&gt;"","✖ "&amp;LEFT(BE604,LEN(BE604)-2),IF(BD604&gt;0,"✔ Ready — client + "&amp;BD604&amp;" service(s)","✔ Ready — client only")))</f>
        <v/>
      </c>
      <c r="AZ604" s="31">
        <f>UPPER(SUBSTITUTE(TRIM(F604)," ",""))</f>
        <v/>
      </c>
      <c r="BA604" s="31">
        <f>UPPER(SUBSTITUTE(TRIM(E604)," ",""))</f>
        <v/>
      </c>
      <c r="BB604" s="31">
        <f>IF(D604&lt;&gt;"",D604,IFERROR(VLOOKUP(MID(AS604,4,1),Lists!$E$2:$F$8,2,FALSE),""))</f>
        <v/>
      </c>
      <c r="BC604" s="31">
        <f>IFERROR(VLOOKUP(BB604,Lists!$A$2:$C$12,3,FALSE),"")</f>
        <v/>
      </c>
      <c r="BD604" s="31">
        <f>COUNTIF(W604:AC604,"Yes")</f>
        <v/>
      </c>
      <c r="BE604" s="31">
        <f>IF(TRIM(B604)="","Legal name missing; ","")&amp;IF(AND(AV604&lt;&gt;"",AV604&lt;&gt;"OK"),"GSTIN: "&amp;AV604&amp;"; ","")&amp;IF(AND(AW604&lt;&gt;"",AW604&lt;&gt;"OK"),"PAN wrong format; ","")&amp;IF(AND(BA604&lt;&gt;"",LEN(AZ604)=15,MID(AZ604,3,10)&lt;&gt;BA604),"PAN does not match GSTIN; ","")&amp;IF(AND(AX604&lt;&gt;"",AX604&lt;&gt;"OK"),"TAN wrong format; ","")&amp;IF(AS604="","PAN missing; ","")&amp;IF(BB604="","Entity type missing; ","")&amp;IF(AND(AZ604&lt;&gt;"",COUNTIF($AZ$6:$AZ$1005,AZ604)&gt;1),"GSTIN repeated in this sheet; ","")&amp;IF(AND(AS604&lt;&gt;"",COUNTIF($AS$6:$AS$1005,AS604)&gt;1),"PAN repeated in this sheet (same client? put extra GSTINs in Other GSTINs); ","")&amp;IF(AND(BD604&gt;0,V604=""),"Financial year missing; ","")&amp;IF(AND(BD604=0,V604&lt;&gt;""),"Financial year given but no service is Yes; ","")&amp;IF(AND(W604="Yes",AZ604=""),"GST needs a GSTIN; ","")&amp;IF(AND(W604="Yes",X604=""),"GST return frequency missing; ","")&amp;IF(AND(Y604="Yes",TRIM(H604)=""),"TDS needs a TAN; ","")&amp;IF(AND(AA604="Yes",BC604&lt;&gt;"",BC604&lt;&gt;"company",BC604&lt;&gt;"llp"),"ROC is only for a company / LLP; ","")&amp;IF(AND(AA604="Yes",OR(BC604="company",BC604="llp"),TRIM(I604)=""),"ROC needs the CIN / LLPIN; ","")&amp;IF((TRIM(AF604)="")&lt;&gt;(TRIM(AG604)=""),"GST login needs both user ID and password; ","")&amp;IF((TRIM(AH604)="")&lt;&gt;(TRIM(AI604)=""),"Income-tax login needs both user ID and password; ","")&amp;IF((TRIM(AJ604)="")&lt;&gt;(TRIM(AK604)=""),"Income-tax login needs both user ID and password; ","")&amp;IF((TRIM(AL604)="")&lt;&gt;(TRIM(AM604)=""),"TRACES login needs both user ID and password; ","")&amp;IF((TRIM(AN604)="")&lt;&gt;(TRIM(AO604)=""),"MCA login needs both user ID and password; ","")&amp;IF((TRIM(AP604)="")&lt;&gt;(TRIM(AQ604)=""),"E-way bill login needs both user ID and password; ","")</f>
        <v/>
      </c>
    </row>
    <row r="605">
      <c r="A605" s="32" t="n"/>
      <c r="B605" s="33" t="n"/>
      <c r="C605" s="33" t="n"/>
      <c r="D605" s="33" t="n"/>
      <c r="E605" s="32" t="n"/>
      <c r="F605" s="32" t="n"/>
      <c r="G605" s="32" t="n"/>
      <c r="H605" s="32" t="n"/>
      <c r="I605" s="32" t="n"/>
      <c r="J605" s="34" t="n"/>
      <c r="K605" s="33" t="n"/>
      <c r="L605" s="32" t="n"/>
      <c r="M605" s="33" t="n"/>
      <c r="N605" s="33" t="n"/>
      <c r="O605" s="33" t="n"/>
      <c r="P605" s="32" t="n"/>
      <c r="Q605" s="33" t="n"/>
      <c r="R605" s="33" t="n"/>
      <c r="S605" s="33" t="n"/>
      <c r="T605" s="33" t="n"/>
      <c r="U605" s="32" t="n"/>
      <c r="V605" s="33" t="n"/>
      <c r="W605" s="33" t="n"/>
      <c r="X605" s="33" t="n"/>
      <c r="Y605" s="33" t="n"/>
      <c r="Z605" s="33" t="n"/>
      <c r="AA605" s="33" t="n"/>
      <c r="AB605" s="33" t="n"/>
      <c r="AC605" s="33" t="n"/>
      <c r="AD605" s="33" t="n"/>
      <c r="AE605" s="33" t="n"/>
      <c r="AF605" s="32" t="n"/>
      <c r="AG605" s="32" t="n"/>
      <c r="AH605" s="32" t="n"/>
      <c r="AI605" s="32" t="n"/>
      <c r="AJ605" s="32" t="n"/>
      <c r="AK605" s="32" t="n"/>
      <c r="AL605" s="32" t="n"/>
      <c r="AM605" s="32" t="n"/>
      <c r="AN605" s="32" t="n"/>
      <c r="AO605" s="32" t="n"/>
      <c r="AP605" s="32" t="n"/>
      <c r="AQ605" s="32" t="n"/>
      <c r="AR605" s="29">
        <f>IF(NOT(COUNTA(A605:AE605)&gt;0),"",IF(A605="","New client","Update"))</f>
        <v/>
      </c>
      <c r="AS605" s="29">
        <f>IF(BA605&lt;&gt;"",BA605,IF(LEN(AZ605)=15,MID(AZ605,3,10),""))</f>
        <v/>
      </c>
      <c r="AT605" s="29">
        <f>IF(BB605="","",BB605&amp;IF(D605="","  (guessed from PAN)",""))</f>
        <v/>
      </c>
      <c r="AU605" s="29">
        <f>IF(AZ605="","",IFERROR(INDEX(Lists!$L$2:$L$38,MATCH(LEFT(AZ605,2),Lists!$K$2:$K$38,0)),"Unknown code"))</f>
        <v/>
      </c>
      <c r="AV605" s="29">
        <f>IF(AZ605="","",IFERROR(IF(NOT(AND(LEN(AZ605)=15,ISNUMBER(MATCH(LEFT(AZ605,2),Lists!$K$2:$K$38,0)),SUMPRODUCT(--ISERROR(FIND(MID(MID(AZ605,3,10),{1,2,3,4,5,10},1),"ABCDEFGHIJKLMNOPQRSTUVWXYZ")))=0,SUMPRODUCT(--ISERROR(FIND(MID(MID(AZ605,3,10),{6,7,8,9},1),"0123456789")))=0,ISNUMBER(FIND(MID(AZ605,13,1),"123456789ABCDEFGHIJKLMNOPQRSTUVWXYZ")),MID(AZ605,14,1)="Z")),"Wrong format",IF(MID("0123456789ABCDEFGHIJKLMNOPQRSTUVWXYZ",MOD(36-MOD(SUMPRODUCT(INT((FIND(MID(AZ605,{1,2,3,4,5,6,7,8,9,10,11,12,13,14},1),"0123456789ABCDEFGHIJKLMNOPQRSTUVWXYZ")-1)*{1,2,1,2,1,2,1,2,1,2,1,2,1,2}/36)+MOD((FIND(MID(AZ605,{1,2,3,4,5,6,7,8,9,10,11,12,13,14},1),"0123456789ABCDEFGHIJKLMNOPQRSTUVWXYZ")-1)*{1,2,1,2,1,2,1,2,1,2,1,2,1,2},36)),36),36)+1,1)=MID(AZ605,15,1),"OK","Typo? check digit wrong")),"Wrong format"))</f>
        <v/>
      </c>
      <c r="AW605" s="29">
        <f>IF(BA605="","",IF(AND(LEN(BA605)=10,SUMPRODUCT(--ISERROR(FIND(MID(BA605,{1,2,3,4,5,10},1),"ABCDEFGHIJKLMNOPQRSTUVWXYZ")))=0,SUMPRODUCT(--ISERROR(FIND(MID(BA605,{6,7,8,9},1),"0123456789")))=0),"OK","Wrong format"))</f>
        <v/>
      </c>
      <c r="AX605" s="29">
        <f>IF(TRIM(H605)="","",IF(AND(LEN(UPPER(TRIM(H605)))=10,SUMPRODUCT(--ISERROR(FIND(MID(UPPER(TRIM(H605)),{1,2,3,4,10},1),"ABCDEFGHIJKLMNOPQRSTUVWXYZ")))=0,SUMPRODUCT(--ISERROR(FIND(MID(UPPER(TRIM(H605)),{5,6,7,8,9},1),"0123456789")))=0),"OK","Wrong format"))</f>
        <v/>
      </c>
      <c r="AY605" s="30">
        <f>IF(NOT(COUNTA(A605:AE605)&gt;0),"",IF(BE605&lt;&gt;"","✖ "&amp;LEFT(BE605,LEN(BE605)-2),IF(BD605&gt;0,"✔ Ready — client + "&amp;BD605&amp;" service(s)","✔ Ready — client only")))</f>
        <v/>
      </c>
      <c r="AZ605" s="31">
        <f>UPPER(SUBSTITUTE(TRIM(F605)," ",""))</f>
        <v/>
      </c>
      <c r="BA605" s="31">
        <f>UPPER(SUBSTITUTE(TRIM(E605)," ",""))</f>
        <v/>
      </c>
      <c r="BB605" s="31">
        <f>IF(D605&lt;&gt;"",D605,IFERROR(VLOOKUP(MID(AS605,4,1),Lists!$E$2:$F$8,2,FALSE),""))</f>
        <v/>
      </c>
      <c r="BC605" s="31">
        <f>IFERROR(VLOOKUP(BB605,Lists!$A$2:$C$12,3,FALSE),"")</f>
        <v/>
      </c>
      <c r="BD605" s="31">
        <f>COUNTIF(W605:AC605,"Yes")</f>
        <v/>
      </c>
      <c r="BE605" s="31">
        <f>IF(TRIM(B605)="","Legal name missing; ","")&amp;IF(AND(AV605&lt;&gt;"",AV605&lt;&gt;"OK"),"GSTIN: "&amp;AV605&amp;"; ","")&amp;IF(AND(AW605&lt;&gt;"",AW605&lt;&gt;"OK"),"PAN wrong format; ","")&amp;IF(AND(BA605&lt;&gt;"",LEN(AZ605)=15,MID(AZ605,3,10)&lt;&gt;BA605),"PAN does not match GSTIN; ","")&amp;IF(AND(AX605&lt;&gt;"",AX605&lt;&gt;"OK"),"TAN wrong format; ","")&amp;IF(AS605="","PAN missing; ","")&amp;IF(BB605="","Entity type missing; ","")&amp;IF(AND(AZ605&lt;&gt;"",COUNTIF($AZ$6:$AZ$1005,AZ605)&gt;1),"GSTIN repeated in this sheet; ","")&amp;IF(AND(AS605&lt;&gt;"",COUNTIF($AS$6:$AS$1005,AS605)&gt;1),"PAN repeated in this sheet (same client? put extra GSTINs in Other GSTINs); ","")&amp;IF(AND(BD605&gt;0,V605=""),"Financial year missing; ","")&amp;IF(AND(BD605=0,V605&lt;&gt;""),"Financial year given but no service is Yes; ","")&amp;IF(AND(W605="Yes",AZ605=""),"GST needs a GSTIN; ","")&amp;IF(AND(W605="Yes",X605=""),"GST return frequency missing; ","")&amp;IF(AND(Y605="Yes",TRIM(H605)=""),"TDS needs a TAN; ","")&amp;IF(AND(AA605="Yes",BC605&lt;&gt;"",BC605&lt;&gt;"company",BC605&lt;&gt;"llp"),"ROC is only for a company / LLP; ","")&amp;IF(AND(AA605="Yes",OR(BC605="company",BC605="llp"),TRIM(I605)=""),"ROC needs the CIN / LLPIN; ","")&amp;IF((TRIM(AF605)="")&lt;&gt;(TRIM(AG605)=""),"GST login needs both user ID and password; ","")&amp;IF((TRIM(AH605)="")&lt;&gt;(TRIM(AI605)=""),"Income-tax login needs both user ID and password; ","")&amp;IF((TRIM(AJ605)="")&lt;&gt;(TRIM(AK605)=""),"Income-tax login needs both user ID and password; ","")&amp;IF((TRIM(AL605)="")&lt;&gt;(TRIM(AM605)=""),"TRACES login needs both user ID and password; ","")&amp;IF((TRIM(AN605)="")&lt;&gt;(TRIM(AO605)=""),"MCA login needs both user ID and password; ","")&amp;IF((TRIM(AP605)="")&lt;&gt;(TRIM(AQ605)=""),"E-way bill login needs both user ID and password; ","")</f>
        <v/>
      </c>
    </row>
    <row r="606">
      <c r="A606" s="32" t="n"/>
      <c r="B606" s="33" t="n"/>
      <c r="C606" s="33" t="n"/>
      <c r="D606" s="33" t="n"/>
      <c r="E606" s="32" t="n"/>
      <c r="F606" s="32" t="n"/>
      <c r="G606" s="32" t="n"/>
      <c r="H606" s="32" t="n"/>
      <c r="I606" s="32" t="n"/>
      <c r="J606" s="34" t="n"/>
      <c r="K606" s="33" t="n"/>
      <c r="L606" s="32" t="n"/>
      <c r="M606" s="33" t="n"/>
      <c r="N606" s="33" t="n"/>
      <c r="O606" s="33" t="n"/>
      <c r="P606" s="32" t="n"/>
      <c r="Q606" s="33" t="n"/>
      <c r="R606" s="33" t="n"/>
      <c r="S606" s="33" t="n"/>
      <c r="T606" s="33" t="n"/>
      <c r="U606" s="32" t="n"/>
      <c r="V606" s="33" t="n"/>
      <c r="W606" s="33" t="n"/>
      <c r="X606" s="33" t="n"/>
      <c r="Y606" s="33" t="n"/>
      <c r="Z606" s="33" t="n"/>
      <c r="AA606" s="33" t="n"/>
      <c r="AB606" s="33" t="n"/>
      <c r="AC606" s="33" t="n"/>
      <c r="AD606" s="33" t="n"/>
      <c r="AE606" s="33" t="n"/>
      <c r="AF606" s="32" t="n"/>
      <c r="AG606" s="32" t="n"/>
      <c r="AH606" s="32" t="n"/>
      <c r="AI606" s="32" t="n"/>
      <c r="AJ606" s="32" t="n"/>
      <c r="AK606" s="32" t="n"/>
      <c r="AL606" s="32" t="n"/>
      <c r="AM606" s="32" t="n"/>
      <c r="AN606" s="32" t="n"/>
      <c r="AO606" s="32" t="n"/>
      <c r="AP606" s="32" t="n"/>
      <c r="AQ606" s="32" t="n"/>
      <c r="AR606" s="29">
        <f>IF(NOT(COUNTA(A606:AE606)&gt;0),"",IF(A606="","New client","Update"))</f>
        <v/>
      </c>
      <c r="AS606" s="29">
        <f>IF(BA606&lt;&gt;"",BA606,IF(LEN(AZ606)=15,MID(AZ606,3,10),""))</f>
        <v/>
      </c>
      <c r="AT606" s="29">
        <f>IF(BB606="","",BB606&amp;IF(D606="","  (guessed from PAN)",""))</f>
        <v/>
      </c>
      <c r="AU606" s="29">
        <f>IF(AZ606="","",IFERROR(INDEX(Lists!$L$2:$L$38,MATCH(LEFT(AZ606,2),Lists!$K$2:$K$38,0)),"Unknown code"))</f>
        <v/>
      </c>
      <c r="AV606" s="29">
        <f>IF(AZ606="","",IFERROR(IF(NOT(AND(LEN(AZ606)=15,ISNUMBER(MATCH(LEFT(AZ606,2),Lists!$K$2:$K$38,0)),SUMPRODUCT(--ISERROR(FIND(MID(MID(AZ606,3,10),{1,2,3,4,5,10},1),"ABCDEFGHIJKLMNOPQRSTUVWXYZ")))=0,SUMPRODUCT(--ISERROR(FIND(MID(MID(AZ606,3,10),{6,7,8,9},1),"0123456789")))=0,ISNUMBER(FIND(MID(AZ606,13,1),"123456789ABCDEFGHIJKLMNOPQRSTUVWXYZ")),MID(AZ606,14,1)="Z")),"Wrong format",IF(MID("0123456789ABCDEFGHIJKLMNOPQRSTUVWXYZ",MOD(36-MOD(SUMPRODUCT(INT((FIND(MID(AZ606,{1,2,3,4,5,6,7,8,9,10,11,12,13,14},1),"0123456789ABCDEFGHIJKLMNOPQRSTUVWXYZ")-1)*{1,2,1,2,1,2,1,2,1,2,1,2,1,2}/36)+MOD((FIND(MID(AZ606,{1,2,3,4,5,6,7,8,9,10,11,12,13,14},1),"0123456789ABCDEFGHIJKLMNOPQRSTUVWXYZ")-1)*{1,2,1,2,1,2,1,2,1,2,1,2,1,2},36)),36),36)+1,1)=MID(AZ606,15,1),"OK","Typo? check digit wrong")),"Wrong format"))</f>
        <v/>
      </c>
      <c r="AW606" s="29">
        <f>IF(BA606="","",IF(AND(LEN(BA606)=10,SUMPRODUCT(--ISERROR(FIND(MID(BA606,{1,2,3,4,5,10},1),"ABCDEFGHIJKLMNOPQRSTUVWXYZ")))=0,SUMPRODUCT(--ISERROR(FIND(MID(BA606,{6,7,8,9},1),"0123456789")))=0),"OK","Wrong format"))</f>
        <v/>
      </c>
      <c r="AX606" s="29">
        <f>IF(TRIM(H606)="","",IF(AND(LEN(UPPER(TRIM(H606)))=10,SUMPRODUCT(--ISERROR(FIND(MID(UPPER(TRIM(H606)),{1,2,3,4,10},1),"ABCDEFGHIJKLMNOPQRSTUVWXYZ")))=0,SUMPRODUCT(--ISERROR(FIND(MID(UPPER(TRIM(H606)),{5,6,7,8,9},1),"0123456789")))=0),"OK","Wrong format"))</f>
        <v/>
      </c>
      <c r="AY606" s="30">
        <f>IF(NOT(COUNTA(A606:AE606)&gt;0),"",IF(BE606&lt;&gt;"","✖ "&amp;LEFT(BE606,LEN(BE606)-2),IF(BD606&gt;0,"✔ Ready — client + "&amp;BD606&amp;" service(s)","✔ Ready — client only")))</f>
        <v/>
      </c>
      <c r="AZ606" s="31">
        <f>UPPER(SUBSTITUTE(TRIM(F606)," ",""))</f>
        <v/>
      </c>
      <c r="BA606" s="31">
        <f>UPPER(SUBSTITUTE(TRIM(E606)," ",""))</f>
        <v/>
      </c>
      <c r="BB606" s="31">
        <f>IF(D606&lt;&gt;"",D606,IFERROR(VLOOKUP(MID(AS606,4,1),Lists!$E$2:$F$8,2,FALSE),""))</f>
        <v/>
      </c>
      <c r="BC606" s="31">
        <f>IFERROR(VLOOKUP(BB606,Lists!$A$2:$C$12,3,FALSE),"")</f>
        <v/>
      </c>
      <c r="BD606" s="31">
        <f>COUNTIF(W606:AC606,"Yes")</f>
        <v/>
      </c>
      <c r="BE606" s="31">
        <f>IF(TRIM(B606)="","Legal name missing; ","")&amp;IF(AND(AV606&lt;&gt;"",AV606&lt;&gt;"OK"),"GSTIN: "&amp;AV606&amp;"; ","")&amp;IF(AND(AW606&lt;&gt;"",AW606&lt;&gt;"OK"),"PAN wrong format; ","")&amp;IF(AND(BA606&lt;&gt;"",LEN(AZ606)=15,MID(AZ606,3,10)&lt;&gt;BA606),"PAN does not match GSTIN; ","")&amp;IF(AND(AX606&lt;&gt;"",AX606&lt;&gt;"OK"),"TAN wrong format; ","")&amp;IF(AS606="","PAN missing; ","")&amp;IF(BB606="","Entity type missing; ","")&amp;IF(AND(AZ606&lt;&gt;"",COUNTIF($AZ$6:$AZ$1005,AZ606)&gt;1),"GSTIN repeated in this sheet; ","")&amp;IF(AND(AS606&lt;&gt;"",COUNTIF($AS$6:$AS$1005,AS606)&gt;1),"PAN repeated in this sheet (same client? put extra GSTINs in Other GSTINs); ","")&amp;IF(AND(BD606&gt;0,V606=""),"Financial year missing; ","")&amp;IF(AND(BD606=0,V606&lt;&gt;""),"Financial year given but no service is Yes; ","")&amp;IF(AND(W606="Yes",AZ606=""),"GST needs a GSTIN; ","")&amp;IF(AND(W606="Yes",X606=""),"GST return frequency missing; ","")&amp;IF(AND(Y606="Yes",TRIM(H606)=""),"TDS needs a TAN; ","")&amp;IF(AND(AA606="Yes",BC606&lt;&gt;"",BC606&lt;&gt;"company",BC606&lt;&gt;"llp"),"ROC is only for a company / LLP; ","")&amp;IF(AND(AA606="Yes",OR(BC606="company",BC606="llp"),TRIM(I606)=""),"ROC needs the CIN / LLPIN; ","")&amp;IF((TRIM(AF606)="")&lt;&gt;(TRIM(AG606)=""),"GST login needs both user ID and password; ","")&amp;IF((TRIM(AH606)="")&lt;&gt;(TRIM(AI606)=""),"Income-tax login needs both user ID and password; ","")&amp;IF((TRIM(AJ606)="")&lt;&gt;(TRIM(AK606)=""),"Income-tax login needs both user ID and password; ","")&amp;IF((TRIM(AL606)="")&lt;&gt;(TRIM(AM606)=""),"TRACES login needs both user ID and password; ","")&amp;IF((TRIM(AN606)="")&lt;&gt;(TRIM(AO606)=""),"MCA login needs both user ID and password; ","")&amp;IF((TRIM(AP606)="")&lt;&gt;(TRIM(AQ606)=""),"E-way bill login needs both user ID and password; ","")</f>
        <v/>
      </c>
    </row>
    <row r="607">
      <c r="A607" s="32" t="n"/>
      <c r="B607" s="33" t="n"/>
      <c r="C607" s="33" t="n"/>
      <c r="D607" s="33" t="n"/>
      <c r="E607" s="32" t="n"/>
      <c r="F607" s="32" t="n"/>
      <c r="G607" s="32" t="n"/>
      <c r="H607" s="32" t="n"/>
      <c r="I607" s="32" t="n"/>
      <c r="J607" s="34" t="n"/>
      <c r="K607" s="33" t="n"/>
      <c r="L607" s="32" t="n"/>
      <c r="M607" s="33" t="n"/>
      <c r="N607" s="33" t="n"/>
      <c r="O607" s="33" t="n"/>
      <c r="P607" s="32" t="n"/>
      <c r="Q607" s="33" t="n"/>
      <c r="R607" s="33" t="n"/>
      <c r="S607" s="33" t="n"/>
      <c r="T607" s="33" t="n"/>
      <c r="U607" s="32" t="n"/>
      <c r="V607" s="33" t="n"/>
      <c r="W607" s="33" t="n"/>
      <c r="X607" s="33" t="n"/>
      <c r="Y607" s="33" t="n"/>
      <c r="Z607" s="33" t="n"/>
      <c r="AA607" s="33" t="n"/>
      <c r="AB607" s="33" t="n"/>
      <c r="AC607" s="33" t="n"/>
      <c r="AD607" s="33" t="n"/>
      <c r="AE607" s="33" t="n"/>
      <c r="AF607" s="32" t="n"/>
      <c r="AG607" s="32" t="n"/>
      <c r="AH607" s="32" t="n"/>
      <c r="AI607" s="32" t="n"/>
      <c r="AJ607" s="32" t="n"/>
      <c r="AK607" s="32" t="n"/>
      <c r="AL607" s="32" t="n"/>
      <c r="AM607" s="32" t="n"/>
      <c r="AN607" s="32" t="n"/>
      <c r="AO607" s="32" t="n"/>
      <c r="AP607" s="32" t="n"/>
      <c r="AQ607" s="32" t="n"/>
      <c r="AR607" s="29">
        <f>IF(NOT(COUNTA(A607:AE607)&gt;0),"",IF(A607="","New client","Update"))</f>
        <v/>
      </c>
      <c r="AS607" s="29">
        <f>IF(BA607&lt;&gt;"",BA607,IF(LEN(AZ607)=15,MID(AZ607,3,10),""))</f>
        <v/>
      </c>
      <c r="AT607" s="29">
        <f>IF(BB607="","",BB607&amp;IF(D607="","  (guessed from PAN)",""))</f>
        <v/>
      </c>
      <c r="AU607" s="29">
        <f>IF(AZ607="","",IFERROR(INDEX(Lists!$L$2:$L$38,MATCH(LEFT(AZ607,2),Lists!$K$2:$K$38,0)),"Unknown code"))</f>
        <v/>
      </c>
      <c r="AV607" s="29">
        <f>IF(AZ607="","",IFERROR(IF(NOT(AND(LEN(AZ607)=15,ISNUMBER(MATCH(LEFT(AZ607,2),Lists!$K$2:$K$38,0)),SUMPRODUCT(--ISERROR(FIND(MID(MID(AZ607,3,10),{1,2,3,4,5,10},1),"ABCDEFGHIJKLMNOPQRSTUVWXYZ")))=0,SUMPRODUCT(--ISERROR(FIND(MID(MID(AZ607,3,10),{6,7,8,9},1),"0123456789")))=0,ISNUMBER(FIND(MID(AZ607,13,1),"123456789ABCDEFGHIJKLMNOPQRSTUVWXYZ")),MID(AZ607,14,1)="Z")),"Wrong format",IF(MID("0123456789ABCDEFGHIJKLMNOPQRSTUVWXYZ",MOD(36-MOD(SUMPRODUCT(INT((FIND(MID(AZ607,{1,2,3,4,5,6,7,8,9,10,11,12,13,14},1),"0123456789ABCDEFGHIJKLMNOPQRSTUVWXYZ")-1)*{1,2,1,2,1,2,1,2,1,2,1,2,1,2}/36)+MOD((FIND(MID(AZ607,{1,2,3,4,5,6,7,8,9,10,11,12,13,14},1),"0123456789ABCDEFGHIJKLMNOPQRSTUVWXYZ")-1)*{1,2,1,2,1,2,1,2,1,2,1,2,1,2},36)),36),36)+1,1)=MID(AZ607,15,1),"OK","Typo? check digit wrong")),"Wrong format"))</f>
        <v/>
      </c>
      <c r="AW607" s="29">
        <f>IF(BA607="","",IF(AND(LEN(BA607)=10,SUMPRODUCT(--ISERROR(FIND(MID(BA607,{1,2,3,4,5,10},1),"ABCDEFGHIJKLMNOPQRSTUVWXYZ")))=0,SUMPRODUCT(--ISERROR(FIND(MID(BA607,{6,7,8,9},1),"0123456789")))=0),"OK","Wrong format"))</f>
        <v/>
      </c>
      <c r="AX607" s="29">
        <f>IF(TRIM(H607)="","",IF(AND(LEN(UPPER(TRIM(H607)))=10,SUMPRODUCT(--ISERROR(FIND(MID(UPPER(TRIM(H607)),{1,2,3,4,10},1),"ABCDEFGHIJKLMNOPQRSTUVWXYZ")))=0,SUMPRODUCT(--ISERROR(FIND(MID(UPPER(TRIM(H607)),{5,6,7,8,9},1),"0123456789")))=0),"OK","Wrong format"))</f>
        <v/>
      </c>
      <c r="AY607" s="30">
        <f>IF(NOT(COUNTA(A607:AE607)&gt;0),"",IF(BE607&lt;&gt;"","✖ "&amp;LEFT(BE607,LEN(BE607)-2),IF(BD607&gt;0,"✔ Ready — client + "&amp;BD607&amp;" service(s)","✔ Ready — client only")))</f>
        <v/>
      </c>
      <c r="AZ607" s="31">
        <f>UPPER(SUBSTITUTE(TRIM(F607)," ",""))</f>
        <v/>
      </c>
      <c r="BA607" s="31">
        <f>UPPER(SUBSTITUTE(TRIM(E607)," ",""))</f>
        <v/>
      </c>
      <c r="BB607" s="31">
        <f>IF(D607&lt;&gt;"",D607,IFERROR(VLOOKUP(MID(AS607,4,1),Lists!$E$2:$F$8,2,FALSE),""))</f>
        <v/>
      </c>
      <c r="BC607" s="31">
        <f>IFERROR(VLOOKUP(BB607,Lists!$A$2:$C$12,3,FALSE),"")</f>
        <v/>
      </c>
      <c r="BD607" s="31">
        <f>COUNTIF(W607:AC607,"Yes")</f>
        <v/>
      </c>
      <c r="BE607" s="31">
        <f>IF(TRIM(B607)="","Legal name missing; ","")&amp;IF(AND(AV607&lt;&gt;"",AV607&lt;&gt;"OK"),"GSTIN: "&amp;AV607&amp;"; ","")&amp;IF(AND(AW607&lt;&gt;"",AW607&lt;&gt;"OK"),"PAN wrong format; ","")&amp;IF(AND(BA607&lt;&gt;"",LEN(AZ607)=15,MID(AZ607,3,10)&lt;&gt;BA607),"PAN does not match GSTIN; ","")&amp;IF(AND(AX607&lt;&gt;"",AX607&lt;&gt;"OK"),"TAN wrong format; ","")&amp;IF(AS607="","PAN missing; ","")&amp;IF(BB607="","Entity type missing; ","")&amp;IF(AND(AZ607&lt;&gt;"",COUNTIF($AZ$6:$AZ$1005,AZ607)&gt;1),"GSTIN repeated in this sheet; ","")&amp;IF(AND(AS607&lt;&gt;"",COUNTIF($AS$6:$AS$1005,AS607)&gt;1),"PAN repeated in this sheet (same client? put extra GSTINs in Other GSTINs); ","")&amp;IF(AND(BD607&gt;0,V607=""),"Financial year missing; ","")&amp;IF(AND(BD607=0,V607&lt;&gt;""),"Financial year given but no service is Yes; ","")&amp;IF(AND(W607="Yes",AZ607=""),"GST needs a GSTIN; ","")&amp;IF(AND(W607="Yes",X607=""),"GST return frequency missing; ","")&amp;IF(AND(Y607="Yes",TRIM(H607)=""),"TDS needs a TAN; ","")&amp;IF(AND(AA607="Yes",BC607&lt;&gt;"",BC607&lt;&gt;"company",BC607&lt;&gt;"llp"),"ROC is only for a company / LLP; ","")&amp;IF(AND(AA607="Yes",OR(BC607="company",BC607="llp"),TRIM(I607)=""),"ROC needs the CIN / LLPIN; ","")&amp;IF((TRIM(AF607)="")&lt;&gt;(TRIM(AG607)=""),"GST login needs both user ID and password; ","")&amp;IF((TRIM(AH607)="")&lt;&gt;(TRIM(AI607)=""),"Income-tax login needs both user ID and password; ","")&amp;IF((TRIM(AJ607)="")&lt;&gt;(TRIM(AK607)=""),"Income-tax login needs both user ID and password; ","")&amp;IF((TRIM(AL607)="")&lt;&gt;(TRIM(AM607)=""),"TRACES login needs both user ID and password; ","")&amp;IF((TRIM(AN607)="")&lt;&gt;(TRIM(AO607)=""),"MCA login needs both user ID and password; ","")&amp;IF((TRIM(AP607)="")&lt;&gt;(TRIM(AQ607)=""),"E-way bill login needs both user ID and password; ","")</f>
        <v/>
      </c>
    </row>
    <row r="608">
      <c r="A608" s="32" t="n"/>
      <c r="B608" s="33" t="n"/>
      <c r="C608" s="33" t="n"/>
      <c r="D608" s="33" t="n"/>
      <c r="E608" s="32" t="n"/>
      <c r="F608" s="32" t="n"/>
      <c r="G608" s="32" t="n"/>
      <c r="H608" s="32" t="n"/>
      <c r="I608" s="32" t="n"/>
      <c r="J608" s="34" t="n"/>
      <c r="K608" s="33" t="n"/>
      <c r="L608" s="32" t="n"/>
      <c r="M608" s="33" t="n"/>
      <c r="N608" s="33" t="n"/>
      <c r="O608" s="33" t="n"/>
      <c r="P608" s="32" t="n"/>
      <c r="Q608" s="33" t="n"/>
      <c r="R608" s="33" t="n"/>
      <c r="S608" s="33" t="n"/>
      <c r="T608" s="33" t="n"/>
      <c r="U608" s="32" t="n"/>
      <c r="V608" s="33" t="n"/>
      <c r="W608" s="33" t="n"/>
      <c r="X608" s="33" t="n"/>
      <c r="Y608" s="33" t="n"/>
      <c r="Z608" s="33" t="n"/>
      <c r="AA608" s="33" t="n"/>
      <c r="AB608" s="33" t="n"/>
      <c r="AC608" s="33" t="n"/>
      <c r="AD608" s="33" t="n"/>
      <c r="AE608" s="33" t="n"/>
      <c r="AF608" s="32" t="n"/>
      <c r="AG608" s="32" t="n"/>
      <c r="AH608" s="32" t="n"/>
      <c r="AI608" s="32" t="n"/>
      <c r="AJ608" s="32" t="n"/>
      <c r="AK608" s="32" t="n"/>
      <c r="AL608" s="32" t="n"/>
      <c r="AM608" s="32" t="n"/>
      <c r="AN608" s="32" t="n"/>
      <c r="AO608" s="32" t="n"/>
      <c r="AP608" s="32" t="n"/>
      <c r="AQ608" s="32" t="n"/>
      <c r="AR608" s="29">
        <f>IF(NOT(COUNTA(A608:AE608)&gt;0),"",IF(A608="","New client","Update"))</f>
        <v/>
      </c>
      <c r="AS608" s="29">
        <f>IF(BA608&lt;&gt;"",BA608,IF(LEN(AZ608)=15,MID(AZ608,3,10),""))</f>
        <v/>
      </c>
      <c r="AT608" s="29">
        <f>IF(BB608="","",BB608&amp;IF(D608="","  (guessed from PAN)",""))</f>
        <v/>
      </c>
      <c r="AU608" s="29">
        <f>IF(AZ608="","",IFERROR(INDEX(Lists!$L$2:$L$38,MATCH(LEFT(AZ608,2),Lists!$K$2:$K$38,0)),"Unknown code"))</f>
        <v/>
      </c>
      <c r="AV608" s="29">
        <f>IF(AZ608="","",IFERROR(IF(NOT(AND(LEN(AZ608)=15,ISNUMBER(MATCH(LEFT(AZ608,2),Lists!$K$2:$K$38,0)),SUMPRODUCT(--ISERROR(FIND(MID(MID(AZ608,3,10),{1,2,3,4,5,10},1),"ABCDEFGHIJKLMNOPQRSTUVWXYZ")))=0,SUMPRODUCT(--ISERROR(FIND(MID(MID(AZ608,3,10),{6,7,8,9},1),"0123456789")))=0,ISNUMBER(FIND(MID(AZ608,13,1),"123456789ABCDEFGHIJKLMNOPQRSTUVWXYZ")),MID(AZ608,14,1)="Z")),"Wrong format",IF(MID("0123456789ABCDEFGHIJKLMNOPQRSTUVWXYZ",MOD(36-MOD(SUMPRODUCT(INT((FIND(MID(AZ608,{1,2,3,4,5,6,7,8,9,10,11,12,13,14},1),"0123456789ABCDEFGHIJKLMNOPQRSTUVWXYZ")-1)*{1,2,1,2,1,2,1,2,1,2,1,2,1,2}/36)+MOD((FIND(MID(AZ608,{1,2,3,4,5,6,7,8,9,10,11,12,13,14},1),"0123456789ABCDEFGHIJKLMNOPQRSTUVWXYZ")-1)*{1,2,1,2,1,2,1,2,1,2,1,2,1,2},36)),36),36)+1,1)=MID(AZ608,15,1),"OK","Typo? check digit wrong")),"Wrong format"))</f>
        <v/>
      </c>
      <c r="AW608" s="29">
        <f>IF(BA608="","",IF(AND(LEN(BA608)=10,SUMPRODUCT(--ISERROR(FIND(MID(BA608,{1,2,3,4,5,10},1),"ABCDEFGHIJKLMNOPQRSTUVWXYZ")))=0,SUMPRODUCT(--ISERROR(FIND(MID(BA608,{6,7,8,9},1),"0123456789")))=0),"OK","Wrong format"))</f>
        <v/>
      </c>
      <c r="AX608" s="29">
        <f>IF(TRIM(H608)="","",IF(AND(LEN(UPPER(TRIM(H608)))=10,SUMPRODUCT(--ISERROR(FIND(MID(UPPER(TRIM(H608)),{1,2,3,4,10},1),"ABCDEFGHIJKLMNOPQRSTUVWXYZ")))=0,SUMPRODUCT(--ISERROR(FIND(MID(UPPER(TRIM(H608)),{5,6,7,8,9},1),"0123456789")))=0),"OK","Wrong format"))</f>
        <v/>
      </c>
      <c r="AY608" s="30">
        <f>IF(NOT(COUNTA(A608:AE608)&gt;0),"",IF(BE608&lt;&gt;"","✖ "&amp;LEFT(BE608,LEN(BE608)-2),IF(BD608&gt;0,"✔ Ready — client + "&amp;BD608&amp;" service(s)","✔ Ready — client only")))</f>
        <v/>
      </c>
      <c r="AZ608" s="31">
        <f>UPPER(SUBSTITUTE(TRIM(F608)," ",""))</f>
        <v/>
      </c>
      <c r="BA608" s="31">
        <f>UPPER(SUBSTITUTE(TRIM(E608)," ",""))</f>
        <v/>
      </c>
      <c r="BB608" s="31">
        <f>IF(D608&lt;&gt;"",D608,IFERROR(VLOOKUP(MID(AS608,4,1),Lists!$E$2:$F$8,2,FALSE),""))</f>
        <v/>
      </c>
      <c r="BC608" s="31">
        <f>IFERROR(VLOOKUP(BB608,Lists!$A$2:$C$12,3,FALSE),"")</f>
        <v/>
      </c>
      <c r="BD608" s="31">
        <f>COUNTIF(W608:AC608,"Yes")</f>
        <v/>
      </c>
      <c r="BE608" s="31">
        <f>IF(TRIM(B608)="","Legal name missing; ","")&amp;IF(AND(AV608&lt;&gt;"",AV608&lt;&gt;"OK"),"GSTIN: "&amp;AV608&amp;"; ","")&amp;IF(AND(AW608&lt;&gt;"",AW608&lt;&gt;"OK"),"PAN wrong format; ","")&amp;IF(AND(BA608&lt;&gt;"",LEN(AZ608)=15,MID(AZ608,3,10)&lt;&gt;BA608),"PAN does not match GSTIN; ","")&amp;IF(AND(AX608&lt;&gt;"",AX608&lt;&gt;"OK"),"TAN wrong format; ","")&amp;IF(AS608="","PAN missing; ","")&amp;IF(BB608="","Entity type missing; ","")&amp;IF(AND(AZ608&lt;&gt;"",COUNTIF($AZ$6:$AZ$1005,AZ608)&gt;1),"GSTIN repeated in this sheet; ","")&amp;IF(AND(AS608&lt;&gt;"",COUNTIF($AS$6:$AS$1005,AS608)&gt;1),"PAN repeated in this sheet (same client? put extra GSTINs in Other GSTINs); ","")&amp;IF(AND(BD608&gt;0,V608=""),"Financial year missing; ","")&amp;IF(AND(BD608=0,V608&lt;&gt;""),"Financial year given but no service is Yes; ","")&amp;IF(AND(W608="Yes",AZ608=""),"GST needs a GSTIN; ","")&amp;IF(AND(W608="Yes",X608=""),"GST return frequency missing; ","")&amp;IF(AND(Y608="Yes",TRIM(H608)=""),"TDS needs a TAN; ","")&amp;IF(AND(AA608="Yes",BC608&lt;&gt;"",BC608&lt;&gt;"company",BC608&lt;&gt;"llp"),"ROC is only for a company / LLP; ","")&amp;IF(AND(AA608="Yes",OR(BC608="company",BC608="llp"),TRIM(I608)=""),"ROC needs the CIN / LLPIN; ","")&amp;IF((TRIM(AF608)="")&lt;&gt;(TRIM(AG608)=""),"GST login needs both user ID and password; ","")&amp;IF((TRIM(AH608)="")&lt;&gt;(TRIM(AI608)=""),"Income-tax login needs both user ID and password; ","")&amp;IF((TRIM(AJ608)="")&lt;&gt;(TRIM(AK608)=""),"Income-tax login needs both user ID and password; ","")&amp;IF((TRIM(AL608)="")&lt;&gt;(TRIM(AM608)=""),"TRACES login needs both user ID and password; ","")&amp;IF((TRIM(AN608)="")&lt;&gt;(TRIM(AO608)=""),"MCA login needs both user ID and password; ","")&amp;IF((TRIM(AP608)="")&lt;&gt;(TRIM(AQ608)=""),"E-way bill login needs both user ID and password; ","")</f>
        <v/>
      </c>
    </row>
    <row r="609">
      <c r="A609" s="32" t="n"/>
      <c r="B609" s="33" t="n"/>
      <c r="C609" s="33" t="n"/>
      <c r="D609" s="33" t="n"/>
      <c r="E609" s="32" t="n"/>
      <c r="F609" s="32" t="n"/>
      <c r="G609" s="32" t="n"/>
      <c r="H609" s="32" t="n"/>
      <c r="I609" s="32" t="n"/>
      <c r="J609" s="34" t="n"/>
      <c r="K609" s="33" t="n"/>
      <c r="L609" s="32" t="n"/>
      <c r="M609" s="33" t="n"/>
      <c r="N609" s="33" t="n"/>
      <c r="O609" s="33" t="n"/>
      <c r="P609" s="32" t="n"/>
      <c r="Q609" s="33" t="n"/>
      <c r="R609" s="33" t="n"/>
      <c r="S609" s="33" t="n"/>
      <c r="T609" s="33" t="n"/>
      <c r="U609" s="32" t="n"/>
      <c r="V609" s="33" t="n"/>
      <c r="W609" s="33" t="n"/>
      <c r="X609" s="33" t="n"/>
      <c r="Y609" s="33" t="n"/>
      <c r="Z609" s="33" t="n"/>
      <c r="AA609" s="33" t="n"/>
      <c r="AB609" s="33" t="n"/>
      <c r="AC609" s="33" t="n"/>
      <c r="AD609" s="33" t="n"/>
      <c r="AE609" s="33" t="n"/>
      <c r="AF609" s="32" t="n"/>
      <c r="AG609" s="32" t="n"/>
      <c r="AH609" s="32" t="n"/>
      <c r="AI609" s="32" t="n"/>
      <c r="AJ609" s="32" t="n"/>
      <c r="AK609" s="32" t="n"/>
      <c r="AL609" s="32" t="n"/>
      <c r="AM609" s="32" t="n"/>
      <c r="AN609" s="32" t="n"/>
      <c r="AO609" s="32" t="n"/>
      <c r="AP609" s="32" t="n"/>
      <c r="AQ609" s="32" t="n"/>
      <c r="AR609" s="29">
        <f>IF(NOT(COUNTA(A609:AE609)&gt;0),"",IF(A609="","New client","Update"))</f>
        <v/>
      </c>
      <c r="AS609" s="29">
        <f>IF(BA609&lt;&gt;"",BA609,IF(LEN(AZ609)=15,MID(AZ609,3,10),""))</f>
        <v/>
      </c>
      <c r="AT609" s="29">
        <f>IF(BB609="","",BB609&amp;IF(D609="","  (guessed from PAN)",""))</f>
        <v/>
      </c>
      <c r="AU609" s="29">
        <f>IF(AZ609="","",IFERROR(INDEX(Lists!$L$2:$L$38,MATCH(LEFT(AZ609,2),Lists!$K$2:$K$38,0)),"Unknown code"))</f>
        <v/>
      </c>
      <c r="AV609" s="29">
        <f>IF(AZ609="","",IFERROR(IF(NOT(AND(LEN(AZ609)=15,ISNUMBER(MATCH(LEFT(AZ609,2),Lists!$K$2:$K$38,0)),SUMPRODUCT(--ISERROR(FIND(MID(MID(AZ609,3,10),{1,2,3,4,5,10},1),"ABCDEFGHIJKLMNOPQRSTUVWXYZ")))=0,SUMPRODUCT(--ISERROR(FIND(MID(MID(AZ609,3,10),{6,7,8,9},1),"0123456789")))=0,ISNUMBER(FIND(MID(AZ609,13,1),"123456789ABCDEFGHIJKLMNOPQRSTUVWXYZ")),MID(AZ609,14,1)="Z")),"Wrong format",IF(MID("0123456789ABCDEFGHIJKLMNOPQRSTUVWXYZ",MOD(36-MOD(SUMPRODUCT(INT((FIND(MID(AZ609,{1,2,3,4,5,6,7,8,9,10,11,12,13,14},1),"0123456789ABCDEFGHIJKLMNOPQRSTUVWXYZ")-1)*{1,2,1,2,1,2,1,2,1,2,1,2,1,2}/36)+MOD((FIND(MID(AZ609,{1,2,3,4,5,6,7,8,9,10,11,12,13,14},1),"0123456789ABCDEFGHIJKLMNOPQRSTUVWXYZ")-1)*{1,2,1,2,1,2,1,2,1,2,1,2,1,2},36)),36),36)+1,1)=MID(AZ609,15,1),"OK","Typo? check digit wrong")),"Wrong format"))</f>
        <v/>
      </c>
      <c r="AW609" s="29">
        <f>IF(BA609="","",IF(AND(LEN(BA609)=10,SUMPRODUCT(--ISERROR(FIND(MID(BA609,{1,2,3,4,5,10},1),"ABCDEFGHIJKLMNOPQRSTUVWXYZ")))=0,SUMPRODUCT(--ISERROR(FIND(MID(BA609,{6,7,8,9},1),"0123456789")))=0),"OK","Wrong format"))</f>
        <v/>
      </c>
      <c r="AX609" s="29">
        <f>IF(TRIM(H609)="","",IF(AND(LEN(UPPER(TRIM(H609)))=10,SUMPRODUCT(--ISERROR(FIND(MID(UPPER(TRIM(H609)),{1,2,3,4,10},1),"ABCDEFGHIJKLMNOPQRSTUVWXYZ")))=0,SUMPRODUCT(--ISERROR(FIND(MID(UPPER(TRIM(H609)),{5,6,7,8,9},1),"0123456789")))=0),"OK","Wrong format"))</f>
        <v/>
      </c>
      <c r="AY609" s="30">
        <f>IF(NOT(COUNTA(A609:AE609)&gt;0),"",IF(BE609&lt;&gt;"","✖ "&amp;LEFT(BE609,LEN(BE609)-2),IF(BD609&gt;0,"✔ Ready — client + "&amp;BD609&amp;" service(s)","✔ Ready — client only")))</f>
        <v/>
      </c>
      <c r="AZ609" s="31">
        <f>UPPER(SUBSTITUTE(TRIM(F609)," ",""))</f>
        <v/>
      </c>
      <c r="BA609" s="31">
        <f>UPPER(SUBSTITUTE(TRIM(E609)," ",""))</f>
        <v/>
      </c>
      <c r="BB609" s="31">
        <f>IF(D609&lt;&gt;"",D609,IFERROR(VLOOKUP(MID(AS609,4,1),Lists!$E$2:$F$8,2,FALSE),""))</f>
        <v/>
      </c>
      <c r="BC609" s="31">
        <f>IFERROR(VLOOKUP(BB609,Lists!$A$2:$C$12,3,FALSE),"")</f>
        <v/>
      </c>
      <c r="BD609" s="31">
        <f>COUNTIF(W609:AC609,"Yes")</f>
        <v/>
      </c>
      <c r="BE609" s="31">
        <f>IF(TRIM(B609)="","Legal name missing; ","")&amp;IF(AND(AV609&lt;&gt;"",AV609&lt;&gt;"OK"),"GSTIN: "&amp;AV609&amp;"; ","")&amp;IF(AND(AW609&lt;&gt;"",AW609&lt;&gt;"OK"),"PAN wrong format; ","")&amp;IF(AND(BA609&lt;&gt;"",LEN(AZ609)=15,MID(AZ609,3,10)&lt;&gt;BA609),"PAN does not match GSTIN; ","")&amp;IF(AND(AX609&lt;&gt;"",AX609&lt;&gt;"OK"),"TAN wrong format; ","")&amp;IF(AS609="","PAN missing; ","")&amp;IF(BB609="","Entity type missing; ","")&amp;IF(AND(AZ609&lt;&gt;"",COUNTIF($AZ$6:$AZ$1005,AZ609)&gt;1),"GSTIN repeated in this sheet; ","")&amp;IF(AND(AS609&lt;&gt;"",COUNTIF($AS$6:$AS$1005,AS609)&gt;1),"PAN repeated in this sheet (same client? put extra GSTINs in Other GSTINs); ","")&amp;IF(AND(BD609&gt;0,V609=""),"Financial year missing; ","")&amp;IF(AND(BD609=0,V609&lt;&gt;""),"Financial year given but no service is Yes; ","")&amp;IF(AND(W609="Yes",AZ609=""),"GST needs a GSTIN; ","")&amp;IF(AND(W609="Yes",X609=""),"GST return frequency missing; ","")&amp;IF(AND(Y609="Yes",TRIM(H609)=""),"TDS needs a TAN; ","")&amp;IF(AND(AA609="Yes",BC609&lt;&gt;"",BC609&lt;&gt;"company",BC609&lt;&gt;"llp"),"ROC is only for a company / LLP; ","")&amp;IF(AND(AA609="Yes",OR(BC609="company",BC609="llp"),TRIM(I609)=""),"ROC needs the CIN / LLPIN; ","")&amp;IF((TRIM(AF609)="")&lt;&gt;(TRIM(AG609)=""),"GST login needs both user ID and password; ","")&amp;IF((TRIM(AH609)="")&lt;&gt;(TRIM(AI609)=""),"Income-tax login needs both user ID and password; ","")&amp;IF((TRIM(AJ609)="")&lt;&gt;(TRIM(AK609)=""),"Income-tax login needs both user ID and password; ","")&amp;IF((TRIM(AL609)="")&lt;&gt;(TRIM(AM609)=""),"TRACES login needs both user ID and password; ","")&amp;IF((TRIM(AN609)="")&lt;&gt;(TRIM(AO609)=""),"MCA login needs both user ID and password; ","")&amp;IF((TRIM(AP609)="")&lt;&gt;(TRIM(AQ609)=""),"E-way bill login needs both user ID and password; ","")</f>
        <v/>
      </c>
    </row>
    <row r="610">
      <c r="A610" s="32" t="n"/>
      <c r="B610" s="33" t="n"/>
      <c r="C610" s="33" t="n"/>
      <c r="D610" s="33" t="n"/>
      <c r="E610" s="32" t="n"/>
      <c r="F610" s="32" t="n"/>
      <c r="G610" s="32" t="n"/>
      <c r="H610" s="32" t="n"/>
      <c r="I610" s="32" t="n"/>
      <c r="J610" s="34" t="n"/>
      <c r="K610" s="33" t="n"/>
      <c r="L610" s="32" t="n"/>
      <c r="M610" s="33" t="n"/>
      <c r="N610" s="33" t="n"/>
      <c r="O610" s="33" t="n"/>
      <c r="P610" s="32" t="n"/>
      <c r="Q610" s="33" t="n"/>
      <c r="R610" s="33" t="n"/>
      <c r="S610" s="33" t="n"/>
      <c r="T610" s="33" t="n"/>
      <c r="U610" s="32" t="n"/>
      <c r="V610" s="33" t="n"/>
      <c r="W610" s="33" t="n"/>
      <c r="X610" s="33" t="n"/>
      <c r="Y610" s="33" t="n"/>
      <c r="Z610" s="33" t="n"/>
      <c r="AA610" s="33" t="n"/>
      <c r="AB610" s="33" t="n"/>
      <c r="AC610" s="33" t="n"/>
      <c r="AD610" s="33" t="n"/>
      <c r="AE610" s="33" t="n"/>
      <c r="AF610" s="32" t="n"/>
      <c r="AG610" s="32" t="n"/>
      <c r="AH610" s="32" t="n"/>
      <c r="AI610" s="32" t="n"/>
      <c r="AJ610" s="32" t="n"/>
      <c r="AK610" s="32" t="n"/>
      <c r="AL610" s="32" t="n"/>
      <c r="AM610" s="32" t="n"/>
      <c r="AN610" s="32" t="n"/>
      <c r="AO610" s="32" t="n"/>
      <c r="AP610" s="32" t="n"/>
      <c r="AQ610" s="32" t="n"/>
      <c r="AR610" s="29">
        <f>IF(NOT(COUNTA(A610:AE610)&gt;0),"",IF(A610="","New client","Update"))</f>
        <v/>
      </c>
      <c r="AS610" s="29">
        <f>IF(BA610&lt;&gt;"",BA610,IF(LEN(AZ610)=15,MID(AZ610,3,10),""))</f>
        <v/>
      </c>
      <c r="AT610" s="29">
        <f>IF(BB610="","",BB610&amp;IF(D610="","  (guessed from PAN)",""))</f>
        <v/>
      </c>
      <c r="AU610" s="29">
        <f>IF(AZ610="","",IFERROR(INDEX(Lists!$L$2:$L$38,MATCH(LEFT(AZ610,2),Lists!$K$2:$K$38,0)),"Unknown code"))</f>
        <v/>
      </c>
      <c r="AV610" s="29">
        <f>IF(AZ610="","",IFERROR(IF(NOT(AND(LEN(AZ610)=15,ISNUMBER(MATCH(LEFT(AZ610,2),Lists!$K$2:$K$38,0)),SUMPRODUCT(--ISERROR(FIND(MID(MID(AZ610,3,10),{1,2,3,4,5,10},1),"ABCDEFGHIJKLMNOPQRSTUVWXYZ")))=0,SUMPRODUCT(--ISERROR(FIND(MID(MID(AZ610,3,10),{6,7,8,9},1),"0123456789")))=0,ISNUMBER(FIND(MID(AZ610,13,1),"123456789ABCDEFGHIJKLMNOPQRSTUVWXYZ")),MID(AZ610,14,1)="Z")),"Wrong format",IF(MID("0123456789ABCDEFGHIJKLMNOPQRSTUVWXYZ",MOD(36-MOD(SUMPRODUCT(INT((FIND(MID(AZ610,{1,2,3,4,5,6,7,8,9,10,11,12,13,14},1),"0123456789ABCDEFGHIJKLMNOPQRSTUVWXYZ")-1)*{1,2,1,2,1,2,1,2,1,2,1,2,1,2}/36)+MOD((FIND(MID(AZ610,{1,2,3,4,5,6,7,8,9,10,11,12,13,14},1),"0123456789ABCDEFGHIJKLMNOPQRSTUVWXYZ")-1)*{1,2,1,2,1,2,1,2,1,2,1,2,1,2},36)),36),36)+1,1)=MID(AZ610,15,1),"OK","Typo? check digit wrong")),"Wrong format"))</f>
        <v/>
      </c>
      <c r="AW610" s="29">
        <f>IF(BA610="","",IF(AND(LEN(BA610)=10,SUMPRODUCT(--ISERROR(FIND(MID(BA610,{1,2,3,4,5,10},1),"ABCDEFGHIJKLMNOPQRSTUVWXYZ")))=0,SUMPRODUCT(--ISERROR(FIND(MID(BA610,{6,7,8,9},1),"0123456789")))=0),"OK","Wrong format"))</f>
        <v/>
      </c>
      <c r="AX610" s="29">
        <f>IF(TRIM(H610)="","",IF(AND(LEN(UPPER(TRIM(H610)))=10,SUMPRODUCT(--ISERROR(FIND(MID(UPPER(TRIM(H610)),{1,2,3,4,10},1),"ABCDEFGHIJKLMNOPQRSTUVWXYZ")))=0,SUMPRODUCT(--ISERROR(FIND(MID(UPPER(TRIM(H610)),{5,6,7,8,9},1),"0123456789")))=0),"OK","Wrong format"))</f>
        <v/>
      </c>
      <c r="AY610" s="30">
        <f>IF(NOT(COUNTA(A610:AE610)&gt;0),"",IF(BE610&lt;&gt;"","✖ "&amp;LEFT(BE610,LEN(BE610)-2),IF(BD610&gt;0,"✔ Ready — client + "&amp;BD610&amp;" service(s)","✔ Ready — client only")))</f>
        <v/>
      </c>
      <c r="AZ610" s="31">
        <f>UPPER(SUBSTITUTE(TRIM(F610)," ",""))</f>
        <v/>
      </c>
      <c r="BA610" s="31">
        <f>UPPER(SUBSTITUTE(TRIM(E610)," ",""))</f>
        <v/>
      </c>
      <c r="BB610" s="31">
        <f>IF(D610&lt;&gt;"",D610,IFERROR(VLOOKUP(MID(AS610,4,1),Lists!$E$2:$F$8,2,FALSE),""))</f>
        <v/>
      </c>
      <c r="BC610" s="31">
        <f>IFERROR(VLOOKUP(BB610,Lists!$A$2:$C$12,3,FALSE),"")</f>
        <v/>
      </c>
      <c r="BD610" s="31">
        <f>COUNTIF(W610:AC610,"Yes")</f>
        <v/>
      </c>
      <c r="BE610" s="31">
        <f>IF(TRIM(B610)="","Legal name missing; ","")&amp;IF(AND(AV610&lt;&gt;"",AV610&lt;&gt;"OK"),"GSTIN: "&amp;AV610&amp;"; ","")&amp;IF(AND(AW610&lt;&gt;"",AW610&lt;&gt;"OK"),"PAN wrong format; ","")&amp;IF(AND(BA610&lt;&gt;"",LEN(AZ610)=15,MID(AZ610,3,10)&lt;&gt;BA610),"PAN does not match GSTIN; ","")&amp;IF(AND(AX610&lt;&gt;"",AX610&lt;&gt;"OK"),"TAN wrong format; ","")&amp;IF(AS610="","PAN missing; ","")&amp;IF(BB610="","Entity type missing; ","")&amp;IF(AND(AZ610&lt;&gt;"",COUNTIF($AZ$6:$AZ$1005,AZ610)&gt;1),"GSTIN repeated in this sheet; ","")&amp;IF(AND(AS610&lt;&gt;"",COUNTIF($AS$6:$AS$1005,AS610)&gt;1),"PAN repeated in this sheet (same client? put extra GSTINs in Other GSTINs); ","")&amp;IF(AND(BD610&gt;0,V610=""),"Financial year missing; ","")&amp;IF(AND(BD610=0,V610&lt;&gt;""),"Financial year given but no service is Yes; ","")&amp;IF(AND(W610="Yes",AZ610=""),"GST needs a GSTIN; ","")&amp;IF(AND(W610="Yes",X610=""),"GST return frequency missing; ","")&amp;IF(AND(Y610="Yes",TRIM(H610)=""),"TDS needs a TAN; ","")&amp;IF(AND(AA610="Yes",BC610&lt;&gt;"",BC610&lt;&gt;"company",BC610&lt;&gt;"llp"),"ROC is only for a company / LLP; ","")&amp;IF(AND(AA610="Yes",OR(BC610="company",BC610="llp"),TRIM(I610)=""),"ROC needs the CIN / LLPIN; ","")&amp;IF((TRIM(AF610)="")&lt;&gt;(TRIM(AG610)=""),"GST login needs both user ID and password; ","")&amp;IF((TRIM(AH610)="")&lt;&gt;(TRIM(AI610)=""),"Income-tax login needs both user ID and password; ","")&amp;IF((TRIM(AJ610)="")&lt;&gt;(TRIM(AK610)=""),"Income-tax login needs both user ID and password; ","")&amp;IF((TRIM(AL610)="")&lt;&gt;(TRIM(AM610)=""),"TRACES login needs both user ID and password; ","")&amp;IF((TRIM(AN610)="")&lt;&gt;(TRIM(AO610)=""),"MCA login needs both user ID and password; ","")&amp;IF((TRIM(AP610)="")&lt;&gt;(TRIM(AQ610)=""),"E-way bill login needs both user ID and password; ","")</f>
        <v/>
      </c>
    </row>
    <row r="611">
      <c r="A611" s="32" t="n"/>
      <c r="B611" s="33" t="n"/>
      <c r="C611" s="33" t="n"/>
      <c r="D611" s="33" t="n"/>
      <c r="E611" s="32" t="n"/>
      <c r="F611" s="32" t="n"/>
      <c r="G611" s="32" t="n"/>
      <c r="H611" s="32" t="n"/>
      <c r="I611" s="32" t="n"/>
      <c r="J611" s="34" t="n"/>
      <c r="K611" s="33" t="n"/>
      <c r="L611" s="32" t="n"/>
      <c r="M611" s="33" t="n"/>
      <c r="N611" s="33" t="n"/>
      <c r="O611" s="33" t="n"/>
      <c r="P611" s="32" t="n"/>
      <c r="Q611" s="33" t="n"/>
      <c r="R611" s="33" t="n"/>
      <c r="S611" s="33" t="n"/>
      <c r="T611" s="33" t="n"/>
      <c r="U611" s="32" t="n"/>
      <c r="V611" s="33" t="n"/>
      <c r="W611" s="33" t="n"/>
      <c r="X611" s="33" t="n"/>
      <c r="Y611" s="33" t="n"/>
      <c r="Z611" s="33" t="n"/>
      <c r="AA611" s="33" t="n"/>
      <c r="AB611" s="33" t="n"/>
      <c r="AC611" s="33" t="n"/>
      <c r="AD611" s="33" t="n"/>
      <c r="AE611" s="33" t="n"/>
      <c r="AF611" s="32" t="n"/>
      <c r="AG611" s="32" t="n"/>
      <c r="AH611" s="32" t="n"/>
      <c r="AI611" s="32" t="n"/>
      <c r="AJ611" s="32" t="n"/>
      <c r="AK611" s="32" t="n"/>
      <c r="AL611" s="32" t="n"/>
      <c r="AM611" s="32" t="n"/>
      <c r="AN611" s="32" t="n"/>
      <c r="AO611" s="32" t="n"/>
      <c r="AP611" s="32" t="n"/>
      <c r="AQ611" s="32" t="n"/>
      <c r="AR611" s="29">
        <f>IF(NOT(COUNTA(A611:AE611)&gt;0),"",IF(A611="","New client","Update"))</f>
        <v/>
      </c>
      <c r="AS611" s="29">
        <f>IF(BA611&lt;&gt;"",BA611,IF(LEN(AZ611)=15,MID(AZ611,3,10),""))</f>
        <v/>
      </c>
      <c r="AT611" s="29">
        <f>IF(BB611="","",BB611&amp;IF(D611="","  (guessed from PAN)",""))</f>
        <v/>
      </c>
      <c r="AU611" s="29">
        <f>IF(AZ611="","",IFERROR(INDEX(Lists!$L$2:$L$38,MATCH(LEFT(AZ611,2),Lists!$K$2:$K$38,0)),"Unknown code"))</f>
        <v/>
      </c>
      <c r="AV611" s="29">
        <f>IF(AZ611="","",IFERROR(IF(NOT(AND(LEN(AZ611)=15,ISNUMBER(MATCH(LEFT(AZ611,2),Lists!$K$2:$K$38,0)),SUMPRODUCT(--ISERROR(FIND(MID(MID(AZ611,3,10),{1,2,3,4,5,10},1),"ABCDEFGHIJKLMNOPQRSTUVWXYZ")))=0,SUMPRODUCT(--ISERROR(FIND(MID(MID(AZ611,3,10),{6,7,8,9},1),"0123456789")))=0,ISNUMBER(FIND(MID(AZ611,13,1),"123456789ABCDEFGHIJKLMNOPQRSTUVWXYZ")),MID(AZ611,14,1)="Z")),"Wrong format",IF(MID("0123456789ABCDEFGHIJKLMNOPQRSTUVWXYZ",MOD(36-MOD(SUMPRODUCT(INT((FIND(MID(AZ611,{1,2,3,4,5,6,7,8,9,10,11,12,13,14},1),"0123456789ABCDEFGHIJKLMNOPQRSTUVWXYZ")-1)*{1,2,1,2,1,2,1,2,1,2,1,2,1,2}/36)+MOD((FIND(MID(AZ611,{1,2,3,4,5,6,7,8,9,10,11,12,13,14},1),"0123456789ABCDEFGHIJKLMNOPQRSTUVWXYZ")-1)*{1,2,1,2,1,2,1,2,1,2,1,2,1,2},36)),36),36)+1,1)=MID(AZ611,15,1),"OK","Typo? check digit wrong")),"Wrong format"))</f>
        <v/>
      </c>
      <c r="AW611" s="29">
        <f>IF(BA611="","",IF(AND(LEN(BA611)=10,SUMPRODUCT(--ISERROR(FIND(MID(BA611,{1,2,3,4,5,10},1),"ABCDEFGHIJKLMNOPQRSTUVWXYZ")))=0,SUMPRODUCT(--ISERROR(FIND(MID(BA611,{6,7,8,9},1),"0123456789")))=0),"OK","Wrong format"))</f>
        <v/>
      </c>
      <c r="AX611" s="29">
        <f>IF(TRIM(H611)="","",IF(AND(LEN(UPPER(TRIM(H611)))=10,SUMPRODUCT(--ISERROR(FIND(MID(UPPER(TRIM(H611)),{1,2,3,4,10},1),"ABCDEFGHIJKLMNOPQRSTUVWXYZ")))=0,SUMPRODUCT(--ISERROR(FIND(MID(UPPER(TRIM(H611)),{5,6,7,8,9},1),"0123456789")))=0),"OK","Wrong format"))</f>
        <v/>
      </c>
      <c r="AY611" s="30">
        <f>IF(NOT(COUNTA(A611:AE611)&gt;0),"",IF(BE611&lt;&gt;"","✖ "&amp;LEFT(BE611,LEN(BE611)-2),IF(BD611&gt;0,"✔ Ready — client + "&amp;BD611&amp;" service(s)","✔ Ready — client only")))</f>
        <v/>
      </c>
      <c r="AZ611" s="31">
        <f>UPPER(SUBSTITUTE(TRIM(F611)," ",""))</f>
        <v/>
      </c>
      <c r="BA611" s="31">
        <f>UPPER(SUBSTITUTE(TRIM(E611)," ",""))</f>
        <v/>
      </c>
      <c r="BB611" s="31">
        <f>IF(D611&lt;&gt;"",D611,IFERROR(VLOOKUP(MID(AS611,4,1),Lists!$E$2:$F$8,2,FALSE),""))</f>
        <v/>
      </c>
      <c r="BC611" s="31">
        <f>IFERROR(VLOOKUP(BB611,Lists!$A$2:$C$12,3,FALSE),"")</f>
        <v/>
      </c>
      <c r="BD611" s="31">
        <f>COUNTIF(W611:AC611,"Yes")</f>
        <v/>
      </c>
      <c r="BE611" s="31">
        <f>IF(TRIM(B611)="","Legal name missing; ","")&amp;IF(AND(AV611&lt;&gt;"",AV611&lt;&gt;"OK"),"GSTIN: "&amp;AV611&amp;"; ","")&amp;IF(AND(AW611&lt;&gt;"",AW611&lt;&gt;"OK"),"PAN wrong format; ","")&amp;IF(AND(BA611&lt;&gt;"",LEN(AZ611)=15,MID(AZ611,3,10)&lt;&gt;BA611),"PAN does not match GSTIN; ","")&amp;IF(AND(AX611&lt;&gt;"",AX611&lt;&gt;"OK"),"TAN wrong format; ","")&amp;IF(AS611="","PAN missing; ","")&amp;IF(BB611="","Entity type missing; ","")&amp;IF(AND(AZ611&lt;&gt;"",COUNTIF($AZ$6:$AZ$1005,AZ611)&gt;1),"GSTIN repeated in this sheet; ","")&amp;IF(AND(AS611&lt;&gt;"",COUNTIF($AS$6:$AS$1005,AS611)&gt;1),"PAN repeated in this sheet (same client? put extra GSTINs in Other GSTINs); ","")&amp;IF(AND(BD611&gt;0,V611=""),"Financial year missing; ","")&amp;IF(AND(BD611=0,V611&lt;&gt;""),"Financial year given but no service is Yes; ","")&amp;IF(AND(W611="Yes",AZ611=""),"GST needs a GSTIN; ","")&amp;IF(AND(W611="Yes",X611=""),"GST return frequency missing; ","")&amp;IF(AND(Y611="Yes",TRIM(H611)=""),"TDS needs a TAN; ","")&amp;IF(AND(AA611="Yes",BC611&lt;&gt;"",BC611&lt;&gt;"company",BC611&lt;&gt;"llp"),"ROC is only for a company / LLP; ","")&amp;IF(AND(AA611="Yes",OR(BC611="company",BC611="llp"),TRIM(I611)=""),"ROC needs the CIN / LLPIN; ","")&amp;IF((TRIM(AF611)="")&lt;&gt;(TRIM(AG611)=""),"GST login needs both user ID and password; ","")&amp;IF((TRIM(AH611)="")&lt;&gt;(TRIM(AI611)=""),"Income-tax login needs both user ID and password; ","")&amp;IF((TRIM(AJ611)="")&lt;&gt;(TRIM(AK611)=""),"Income-tax login needs both user ID and password; ","")&amp;IF((TRIM(AL611)="")&lt;&gt;(TRIM(AM611)=""),"TRACES login needs both user ID and password; ","")&amp;IF((TRIM(AN611)="")&lt;&gt;(TRIM(AO611)=""),"MCA login needs both user ID and password; ","")&amp;IF((TRIM(AP611)="")&lt;&gt;(TRIM(AQ611)=""),"E-way bill login needs both user ID and password; ","")</f>
        <v/>
      </c>
    </row>
    <row r="612">
      <c r="A612" s="32" t="n"/>
      <c r="B612" s="33" t="n"/>
      <c r="C612" s="33" t="n"/>
      <c r="D612" s="33" t="n"/>
      <c r="E612" s="32" t="n"/>
      <c r="F612" s="32" t="n"/>
      <c r="G612" s="32" t="n"/>
      <c r="H612" s="32" t="n"/>
      <c r="I612" s="32" t="n"/>
      <c r="J612" s="34" t="n"/>
      <c r="K612" s="33" t="n"/>
      <c r="L612" s="32" t="n"/>
      <c r="M612" s="33" t="n"/>
      <c r="N612" s="33" t="n"/>
      <c r="O612" s="33" t="n"/>
      <c r="P612" s="32" t="n"/>
      <c r="Q612" s="33" t="n"/>
      <c r="R612" s="33" t="n"/>
      <c r="S612" s="33" t="n"/>
      <c r="T612" s="33" t="n"/>
      <c r="U612" s="32" t="n"/>
      <c r="V612" s="33" t="n"/>
      <c r="W612" s="33" t="n"/>
      <c r="X612" s="33" t="n"/>
      <c r="Y612" s="33" t="n"/>
      <c r="Z612" s="33" t="n"/>
      <c r="AA612" s="33" t="n"/>
      <c r="AB612" s="33" t="n"/>
      <c r="AC612" s="33" t="n"/>
      <c r="AD612" s="33" t="n"/>
      <c r="AE612" s="33" t="n"/>
      <c r="AF612" s="32" t="n"/>
      <c r="AG612" s="32" t="n"/>
      <c r="AH612" s="32" t="n"/>
      <c r="AI612" s="32" t="n"/>
      <c r="AJ612" s="32" t="n"/>
      <c r="AK612" s="32" t="n"/>
      <c r="AL612" s="32" t="n"/>
      <c r="AM612" s="32" t="n"/>
      <c r="AN612" s="32" t="n"/>
      <c r="AO612" s="32" t="n"/>
      <c r="AP612" s="32" t="n"/>
      <c r="AQ612" s="32" t="n"/>
      <c r="AR612" s="29">
        <f>IF(NOT(COUNTA(A612:AE612)&gt;0),"",IF(A612="","New client","Update"))</f>
        <v/>
      </c>
      <c r="AS612" s="29">
        <f>IF(BA612&lt;&gt;"",BA612,IF(LEN(AZ612)=15,MID(AZ612,3,10),""))</f>
        <v/>
      </c>
      <c r="AT612" s="29">
        <f>IF(BB612="","",BB612&amp;IF(D612="","  (guessed from PAN)",""))</f>
        <v/>
      </c>
      <c r="AU612" s="29">
        <f>IF(AZ612="","",IFERROR(INDEX(Lists!$L$2:$L$38,MATCH(LEFT(AZ612,2),Lists!$K$2:$K$38,0)),"Unknown code"))</f>
        <v/>
      </c>
      <c r="AV612" s="29">
        <f>IF(AZ612="","",IFERROR(IF(NOT(AND(LEN(AZ612)=15,ISNUMBER(MATCH(LEFT(AZ612,2),Lists!$K$2:$K$38,0)),SUMPRODUCT(--ISERROR(FIND(MID(MID(AZ612,3,10),{1,2,3,4,5,10},1),"ABCDEFGHIJKLMNOPQRSTUVWXYZ")))=0,SUMPRODUCT(--ISERROR(FIND(MID(MID(AZ612,3,10),{6,7,8,9},1),"0123456789")))=0,ISNUMBER(FIND(MID(AZ612,13,1),"123456789ABCDEFGHIJKLMNOPQRSTUVWXYZ")),MID(AZ612,14,1)="Z")),"Wrong format",IF(MID("0123456789ABCDEFGHIJKLMNOPQRSTUVWXYZ",MOD(36-MOD(SUMPRODUCT(INT((FIND(MID(AZ612,{1,2,3,4,5,6,7,8,9,10,11,12,13,14},1),"0123456789ABCDEFGHIJKLMNOPQRSTUVWXYZ")-1)*{1,2,1,2,1,2,1,2,1,2,1,2,1,2}/36)+MOD((FIND(MID(AZ612,{1,2,3,4,5,6,7,8,9,10,11,12,13,14},1),"0123456789ABCDEFGHIJKLMNOPQRSTUVWXYZ")-1)*{1,2,1,2,1,2,1,2,1,2,1,2,1,2},36)),36),36)+1,1)=MID(AZ612,15,1),"OK","Typo? check digit wrong")),"Wrong format"))</f>
        <v/>
      </c>
      <c r="AW612" s="29">
        <f>IF(BA612="","",IF(AND(LEN(BA612)=10,SUMPRODUCT(--ISERROR(FIND(MID(BA612,{1,2,3,4,5,10},1),"ABCDEFGHIJKLMNOPQRSTUVWXYZ")))=0,SUMPRODUCT(--ISERROR(FIND(MID(BA612,{6,7,8,9},1),"0123456789")))=0),"OK","Wrong format"))</f>
        <v/>
      </c>
      <c r="AX612" s="29">
        <f>IF(TRIM(H612)="","",IF(AND(LEN(UPPER(TRIM(H612)))=10,SUMPRODUCT(--ISERROR(FIND(MID(UPPER(TRIM(H612)),{1,2,3,4,10},1),"ABCDEFGHIJKLMNOPQRSTUVWXYZ")))=0,SUMPRODUCT(--ISERROR(FIND(MID(UPPER(TRIM(H612)),{5,6,7,8,9},1),"0123456789")))=0),"OK","Wrong format"))</f>
        <v/>
      </c>
      <c r="AY612" s="30">
        <f>IF(NOT(COUNTA(A612:AE612)&gt;0),"",IF(BE612&lt;&gt;"","✖ "&amp;LEFT(BE612,LEN(BE612)-2),IF(BD612&gt;0,"✔ Ready — client + "&amp;BD612&amp;" service(s)","✔ Ready — client only")))</f>
        <v/>
      </c>
      <c r="AZ612" s="31">
        <f>UPPER(SUBSTITUTE(TRIM(F612)," ",""))</f>
        <v/>
      </c>
      <c r="BA612" s="31">
        <f>UPPER(SUBSTITUTE(TRIM(E612)," ",""))</f>
        <v/>
      </c>
      <c r="BB612" s="31">
        <f>IF(D612&lt;&gt;"",D612,IFERROR(VLOOKUP(MID(AS612,4,1),Lists!$E$2:$F$8,2,FALSE),""))</f>
        <v/>
      </c>
      <c r="BC612" s="31">
        <f>IFERROR(VLOOKUP(BB612,Lists!$A$2:$C$12,3,FALSE),"")</f>
        <v/>
      </c>
      <c r="BD612" s="31">
        <f>COUNTIF(W612:AC612,"Yes")</f>
        <v/>
      </c>
      <c r="BE612" s="31">
        <f>IF(TRIM(B612)="","Legal name missing; ","")&amp;IF(AND(AV612&lt;&gt;"",AV612&lt;&gt;"OK"),"GSTIN: "&amp;AV612&amp;"; ","")&amp;IF(AND(AW612&lt;&gt;"",AW612&lt;&gt;"OK"),"PAN wrong format; ","")&amp;IF(AND(BA612&lt;&gt;"",LEN(AZ612)=15,MID(AZ612,3,10)&lt;&gt;BA612),"PAN does not match GSTIN; ","")&amp;IF(AND(AX612&lt;&gt;"",AX612&lt;&gt;"OK"),"TAN wrong format; ","")&amp;IF(AS612="","PAN missing; ","")&amp;IF(BB612="","Entity type missing; ","")&amp;IF(AND(AZ612&lt;&gt;"",COUNTIF($AZ$6:$AZ$1005,AZ612)&gt;1),"GSTIN repeated in this sheet; ","")&amp;IF(AND(AS612&lt;&gt;"",COUNTIF($AS$6:$AS$1005,AS612)&gt;1),"PAN repeated in this sheet (same client? put extra GSTINs in Other GSTINs); ","")&amp;IF(AND(BD612&gt;0,V612=""),"Financial year missing; ","")&amp;IF(AND(BD612=0,V612&lt;&gt;""),"Financial year given but no service is Yes; ","")&amp;IF(AND(W612="Yes",AZ612=""),"GST needs a GSTIN; ","")&amp;IF(AND(W612="Yes",X612=""),"GST return frequency missing; ","")&amp;IF(AND(Y612="Yes",TRIM(H612)=""),"TDS needs a TAN; ","")&amp;IF(AND(AA612="Yes",BC612&lt;&gt;"",BC612&lt;&gt;"company",BC612&lt;&gt;"llp"),"ROC is only for a company / LLP; ","")&amp;IF(AND(AA612="Yes",OR(BC612="company",BC612="llp"),TRIM(I612)=""),"ROC needs the CIN / LLPIN; ","")&amp;IF((TRIM(AF612)="")&lt;&gt;(TRIM(AG612)=""),"GST login needs both user ID and password; ","")&amp;IF((TRIM(AH612)="")&lt;&gt;(TRIM(AI612)=""),"Income-tax login needs both user ID and password; ","")&amp;IF((TRIM(AJ612)="")&lt;&gt;(TRIM(AK612)=""),"Income-tax login needs both user ID and password; ","")&amp;IF((TRIM(AL612)="")&lt;&gt;(TRIM(AM612)=""),"TRACES login needs both user ID and password; ","")&amp;IF((TRIM(AN612)="")&lt;&gt;(TRIM(AO612)=""),"MCA login needs both user ID and password; ","")&amp;IF((TRIM(AP612)="")&lt;&gt;(TRIM(AQ612)=""),"E-way bill login needs both user ID and password; ","")</f>
        <v/>
      </c>
    </row>
    <row r="613">
      <c r="A613" s="32" t="n"/>
      <c r="B613" s="33" t="n"/>
      <c r="C613" s="33" t="n"/>
      <c r="D613" s="33" t="n"/>
      <c r="E613" s="32" t="n"/>
      <c r="F613" s="32" t="n"/>
      <c r="G613" s="32" t="n"/>
      <c r="H613" s="32" t="n"/>
      <c r="I613" s="32" t="n"/>
      <c r="J613" s="34" t="n"/>
      <c r="K613" s="33" t="n"/>
      <c r="L613" s="32" t="n"/>
      <c r="M613" s="33" t="n"/>
      <c r="N613" s="33" t="n"/>
      <c r="O613" s="33" t="n"/>
      <c r="P613" s="32" t="n"/>
      <c r="Q613" s="33" t="n"/>
      <c r="R613" s="33" t="n"/>
      <c r="S613" s="33" t="n"/>
      <c r="T613" s="33" t="n"/>
      <c r="U613" s="32" t="n"/>
      <c r="V613" s="33" t="n"/>
      <c r="W613" s="33" t="n"/>
      <c r="X613" s="33" t="n"/>
      <c r="Y613" s="33" t="n"/>
      <c r="Z613" s="33" t="n"/>
      <c r="AA613" s="33" t="n"/>
      <c r="AB613" s="33" t="n"/>
      <c r="AC613" s="33" t="n"/>
      <c r="AD613" s="33" t="n"/>
      <c r="AE613" s="33" t="n"/>
      <c r="AF613" s="32" t="n"/>
      <c r="AG613" s="32" t="n"/>
      <c r="AH613" s="32" t="n"/>
      <c r="AI613" s="32" t="n"/>
      <c r="AJ613" s="32" t="n"/>
      <c r="AK613" s="32" t="n"/>
      <c r="AL613" s="32" t="n"/>
      <c r="AM613" s="32" t="n"/>
      <c r="AN613" s="32" t="n"/>
      <c r="AO613" s="32" t="n"/>
      <c r="AP613" s="32" t="n"/>
      <c r="AQ613" s="32" t="n"/>
      <c r="AR613" s="29">
        <f>IF(NOT(COUNTA(A613:AE613)&gt;0),"",IF(A613="","New client","Update"))</f>
        <v/>
      </c>
      <c r="AS613" s="29">
        <f>IF(BA613&lt;&gt;"",BA613,IF(LEN(AZ613)=15,MID(AZ613,3,10),""))</f>
        <v/>
      </c>
      <c r="AT613" s="29">
        <f>IF(BB613="","",BB613&amp;IF(D613="","  (guessed from PAN)",""))</f>
        <v/>
      </c>
      <c r="AU613" s="29">
        <f>IF(AZ613="","",IFERROR(INDEX(Lists!$L$2:$L$38,MATCH(LEFT(AZ613,2),Lists!$K$2:$K$38,0)),"Unknown code"))</f>
        <v/>
      </c>
      <c r="AV613" s="29">
        <f>IF(AZ613="","",IFERROR(IF(NOT(AND(LEN(AZ613)=15,ISNUMBER(MATCH(LEFT(AZ613,2),Lists!$K$2:$K$38,0)),SUMPRODUCT(--ISERROR(FIND(MID(MID(AZ613,3,10),{1,2,3,4,5,10},1),"ABCDEFGHIJKLMNOPQRSTUVWXYZ")))=0,SUMPRODUCT(--ISERROR(FIND(MID(MID(AZ613,3,10),{6,7,8,9},1),"0123456789")))=0,ISNUMBER(FIND(MID(AZ613,13,1),"123456789ABCDEFGHIJKLMNOPQRSTUVWXYZ")),MID(AZ613,14,1)="Z")),"Wrong format",IF(MID("0123456789ABCDEFGHIJKLMNOPQRSTUVWXYZ",MOD(36-MOD(SUMPRODUCT(INT((FIND(MID(AZ613,{1,2,3,4,5,6,7,8,9,10,11,12,13,14},1),"0123456789ABCDEFGHIJKLMNOPQRSTUVWXYZ")-1)*{1,2,1,2,1,2,1,2,1,2,1,2,1,2}/36)+MOD((FIND(MID(AZ613,{1,2,3,4,5,6,7,8,9,10,11,12,13,14},1),"0123456789ABCDEFGHIJKLMNOPQRSTUVWXYZ")-1)*{1,2,1,2,1,2,1,2,1,2,1,2,1,2},36)),36),36)+1,1)=MID(AZ613,15,1),"OK","Typo? check digit wrong")),"Wrong format"))</f>
        <v/>
      </c>
      <c r="AW613" s="29">
        <f>IF(BA613="","",IF(AND(LEN(BA613)=10,SUMPRODUCT(--ISERROR(FIND(MID(BA613,{1,2,3,4,5,10},1),"ABCDEFGHIJKLMNOPQRSTUVWXYZ")))=0,SUMPRODUCT(--ISERROR(FIND(MID(BA613,{6,7,8,9},1),"0123456789")))=0),"OK","Wrong format"))</f>
        <v/>
      </c>
      <c r="AX613" s="29">
        <f>IF(TRIM(H613)="","",IF(AND(LEN(UPPER(TRIM(H613)))=10,SUMPRODUCT(--ISERROR(FIND(MID(UPPER(TRIM(H613)),{1,2,3,4,10},1),"ABCDEFGHIJKLMNOPQRSTUVWXYZ")))=0,SUMPRODUCT(--ISERROR(FIND(MID(UPPER(TRIM(H613)),{5,6,7,8,9},1),"0123456789")))=0),"OK","Wrong format"))</f>
        <v/>
      </c>
      <c r="AY613" s="30">
        <f>IF(NOT(COUNTA(A613:AE613)&gt;0),"",IF(BE613&lt;&gt;"","✖ "&amp;LEFT(BE613,LEN(BE613)-2),IF(BD613&gt;0,"✔ Ready — client + "&amp;BD613&amp;" service(s)","✔ Ready — client only")))</f>
        <v/>
      </c>
      <c r="AZ613" s="31">
        <f>UPPER(SUBSTITUTE(TRIM(F613)," ",""))</f>
        <v/>
      </c>
      <c r="BA613" s="31">
        <f>UPPER(SUBSTITUTE(TRIM(E613)," ",""))</f>
        <v/>
      </c>
      <c r="BB613" s="31">
        <f>IF(D613&lt;&gt;"",D613,IFERROR(VLOOKUP(MID(AS613,4,1),Lists!$E$2:$F$8,2,FALSE),""))</f>
        <v/>
      </c>
      <c r="BC613" s="31">
        <f>IFERROR(VLOOKUP(BB613,Lists!$A$2:$C$12,3,FALSE),"")</f>
        <v/>
      </c>
      <c r="BD613" s="31">
        <f>COUNTIF(W613:AC613,"Yes")</f>
        <v/>
      </c>
      <c r="BE613" s="31">
        <f>IF(TRIM(B613)="","Legal name missing; ","")&amp;IF(AND(AV613&lt;&gt;"",AV613&lt;&gt;"OK"),"GSTIN: "&amp;AV613&amp;"; ","")&amp;IF(AND(AW613&lt;&gt;"",AW613&lt;&gt;"OK"),"PAN wrong format; ","")&amp;IF(AND(BA613&lt;&gt;"",LEN(AZ613)=15,MID(AZ613,3,10)&lt;&gt;BA613),"PAN does not match GSTIN; ","")&amp;IF(AND(AX613&lt;&gt;"",AX613&lt;&gt;"OK"),"TAN wrong format; ","")&amp;IF(AS613="","PAN missing; ","")&amp;IF(BB613="","Entity type missing; ","")&amp;IF(AND(AZ613&lt;&gt;"",COUNTIF($AZ$6:$AZ$1005,AZ613)&gt;1),"GSTIN repeated in this sheet; ","")&amp;IF(AND(AS613&lt;&gt;"",COUNTIF($AS$6:$AS$1005,AS613)&gt;1),"PAN repeated in this sheet (same client? put extra GSTINs in Other GSTINs); ","")&amp;IF(AND(BD613&gt;0,V613=""),"Financial year missing; ","")&amp;IF(AND(BD613=0,V613&lt;&gt;""),"Financial year given but no service is Yes; ","")&amp;IF(AND(W613="Yes",AZ613=""),"GST needs a GSTIN; ","")&amp;IF(AND(W613="Yes",X613=""),"GST return frequency missing; ","")&amp;IF(AND(Y613="Yes",TRIM(H613)=""),"TDS needs a TAN; ","")&amp;IF(AND(AA613="Yes",BC613&lt;&gt;"",BC613&lt;&gt;"company",BC613&lt;&gt;"llp"),"ROC is only for a company / LLP; ","")&amp;IF(AND(AA613="Yes",OR(BC613="company",BC613="llp"),TRIM(I613)=""),"ROC needs the CIN / LLPIN; ","")&amp;IF((TRIM(AF613)="")&lt;&gt;(TRIM(AG613)=""),"GST login needs both user ID and password; ","")&amp;IF((TRIM(AH613)="")&lt;&gt;(TRIM(AI613)=""),"Income-tax login needs both user ID and password; ","")&amp;IF((TRIM(AJ613)="")&lt;&gt;(TRIM(AK613)=""),"Income-tax login needs both user ID and password; ","")&amp;IF((TRIM(AL613)="")&lt;&gt;(TRIM(AM613)=""),"TRACES login needs both user ID and password; ","")&amp;IF((TRIM(AN613)="")&lt;&gt;(TRIM(AO613)=""),"MCA login needs both user ID and password; ","")&amp;IF((TRIM(AP613)="")&lt;&gt;(TRIM(AQ613)=""),"E-way bill login needs both user ID and password; ","")</f>
        <v/>
      </c>
    </row>
    <row r="614">
      <c r="A614" s="32" t="n"/>
      <c r="B614" s="33" t="n"/>
      <c r="C614" s="33" t="n"/>
      <c r="D614" s="33" t="n"/>
      <c r="E614" s="32" t="n"/>
      <c r="F614" s="32" t="n"/>
      <c r="G614" s="32" t="n"/>
      <c r="H614" s="32" t="n"/>
      <c r="I614" s="32" t="n"/>
      <c r="J614" s="34" t="n"/>
      <c r="K614" s="33" t="n"/>
      <c r="L614" s="32" t="n"/>
      <c r="M614" s="33" t="n"/>
      <c r="N614" s="33" t="n"/>
      <c r="O614" s="33" t="n"/>
      <c r="P614" s="32" t="n"/>
      <c r="Q614" s="33" t="n"/>
      <c r="R614" s="33" t="n"/>
      <c r="S614" s="33" t="n"/>
      <c r="T614" s="33" t="n"/>
      <c r="U614" s="32" t="n"/>
      <c r="V614" s="33" t="n"/>
      <c r="W614" s="33" t="n"/>
      <c r="X614" s="33" t="n"/>
      <c r="Y614" s="33" t="n"/>
      <c r="Z614" s="33" t="n"/>
      <c r="AA614" s="33" t="n"/>
      <c r="AB614" s="33" t="n"/>
      <c r="AC614" s="33" t="n"/>
      <c r="AD614" s="33" t="n"/>
      <c r="AE614" s="33" t="n"/>
      <c r="AF614" s="32" t="n"/>
      <c r="AG614" s="32" t="n"/>
      <c r="AH614" s="32" t="n"/>
      <c r="AI614" s="32" t="n"/>
      <c r="AJ614" s="32" t="n"/>
      <c r="AK614" s="32" t="n"/>
      <c r="AL614" s="32" t="n"/>
      <c r="AM614" s="32" t="n"/>
      <c r="AN614" s="32" t="n"/>
      <c r="AO614" s="32" t="n"/>
      <c r="AP614" s="32" t="n"/>
      <c r="AQ614" s="32" t="n"/>
      <c r="AR614" s="29">
        <f>IF(NOT(COUNTA(A614:AE614)&gt;0),"",IF(A614="","New client","Update"))</f>
        <v/>
      </c>
      <c r="AS614" s="29">
        <f>IF(BA614&lt;&gt;"",BA614,IF(LEN(AZ614)=15,MID(AZ614,3,10),""))</f>
        <v/>
      </c>
      <c r="AT614" s="29">
        <f>IF(BB614="","",BB614&amp;IF(D614="","  (guessed from PAN)",""))</f>
        <v/>
      </c>
      <c r="AU614" s="29">
        <f>IF(AZ614="","",IFERROR(INDEX(Lists!$L$2:$L$38,MATCH(LEFT(AZ614,2),Lists!$K$2:$K$38,0)),"Unknown code"))</f>
        <v/>
      </c>
      <c r="AV614" s="29">
        <f>IF(AZ614="","",IFERROR(IF(NOT(AND(LEN(AZ614)=15,ISNUMBER(MATCH(LEFT(AZ614,2),Lists!$K$2:$K$38,0)),SUMPRODUCT(--ISERROR(FIND(MID(MID(AZ614,3,10),{1,2,3,4,5,10},1),"ABCDEFGHIJKLMNOPQRSTUVWXYZ")))=0,SUMPRODUCT(--ISERROR(FIND(MID(MID(AZ614,3,10),{6,7,8,9},1),"0123456789")))=0,ISNUMBER(FIND(MID(AZ614,13,1),"123456789ABCDEFGHIJKLMNOPQRSTUVWXYZ")),MID(AZ614,14,1)="Z")),"Wrong format",IF(MID("0123456789ABCDEFGHIJKLMNOPQRSTUVWXYZ",MOD(36-MOD(SUMPRODUCT(INT((FIND(MID(AZ614,{1,2,3,4,5,6,7,8,9,10,11,12,13,14},1),"0123456789ABCDEFGHIJKLMNOPQRSTUVWXYZ")-1)*{1,2,1,2,1,2,1,2,1,2,1,2,1,2}/36)+MOD((FIND(MID(AZ614,{1,2,3,4,5,6,7,8,9,10,11,12,13,14},1),"0123456789ABCDEFGHIJKLMNOPQRSTUVWXYZ")-1)*{1,2,1,2,1,2,1,2,1,2,1,2,1,2},36)),36),36)+1,1)=MID(AZ614,15,1),"OK","Typo? check digit wrong")),"Wrong format"))</f>
        <v/>
      </c>
      <c r="AW614" s="29">
        <f>IF(BA614="","",IF(AND(LEN(BA614)=10,SUMPRODUCT(--ISERROR(FIND(MID(BA614,{1,2,3,4,5,10},1),"ABCDEFGHIJKLMNOPQRSTUVWXYZ")))=0,SUMPRODUCT(--ISERROR(FIND(MID(BA614,{6,7,8,9},1),"0123456789")))=0),"OK","Wrong format"))</f>
        <v/>
      </c>
      <c r="AX614" s="29">
        <f>IF(TRIM(H614)="","",IF(AND(LEN(UPPER(TRIM(H614)))=10,SUMPRODUCT(--ISERROR(FIND(MID(UPPER(TRIM(H614)),{1,2,3,4,10},1),"ABCDEFGHIJKLMNOPQRSTUVWXYZ")))=0,SUMPRODUCT(--ISERROR(FIND(MID(UPPER(TRIM(H614)),{5,6,7,8,9},1),"0123456789")))=0),"OK","Wrong format"))</f>
        <v/>
      </c>
      <c r="AY614" s="30">
        <f>IF(NOT(COUNTA(A614:AE614)&gt;0),"",IF(BE614&lt;&gt;"","✖ "&amp;LEFT(BE614,LEN(BE614)-2),IF(BD614&gt;0,"✔ Ready — client + "&amp;BD614&amp;" service(s)","✔ Ready — client only")))</f>
        <v/>
      </c>
      <c r="AZ614" s="31">
        <f>UPPER(SUBSTITUTE(TRIM(F614)," ",""))</f>
        <v/>
      </c>
      <c r="BA614" s="31">
        <f>UPPER(SUBSTITUTE(TRIM(E614)," ",""))</f>
        <v/>
      </c>
      <c r="BB614" s="31">
        <f>IF(D614&lt;&gt;"",D614,IFERROR(VLOOKUP(MID(AS614,4,1),Lists!$E$2:$F$8,2,FALSE),""))</f>
        <v/>
      </c>
      <c r="BC614" s="31">
        <f>IFERROR(VLOOKUP(BB614,Lists!$A$2:$C$12,3,FALSE),"")</f>
        <v/>
      </c>
      <c r="BD614" s="31">
        <f>COUNTIF(W614:AC614,"Yes")</f>
        <v/>
      </c>
      <c r="BE614" s="31">
        <f>IF(TRIM(B614)="","Legal name missing; ","")&amp;IF(AND(AV614&lt;&gt;"",AV614&lt;&gt;"OK"),"GSTIN: "&amp;AV614&amp;"; ","")&amp;IF(AND(AW614&lt;&gt;"",AW614&lt;&gt;"OK"),"PAN wrong format; ","")&amp;IF(AND(BA614&lt;&gt;"",LEN(AZ614)=15,MID(AZ614,3,10)&lt;&gt;BA614),"PAN does not match GSTIN; ","")&amp;IF(AND(AX614&lt;&gt;"",AX614&lt;&gt;"OK"),"TAN wrong format; ","")&amp;IF(AS614="","PAN missing; ","")&amp;IF(BB614="","Entity type missing; ","")&amp;IF(AND(AZ614&lt;&gt;"",COUNTIF($AZ$6:$AZ$1005,AZ614)&gt;1),"GSTIN repeated in this sheet; ","")&amp;IF(AND(AS614&lt;&gt;"",COUNTIF($AS$6:$AS$1005,AS614)&gt;1),"PAN repeated in this sheet (same client? put extra GSTINs in Other GSTINs); ","")&amp;IF(AND(BD614&gt;0,V614=""),"Financial year missing; ","")&amp;IF(AND(BD614=0,V614&lt;&gt;""),"Financial year given but no service is Yes; ","")&amp;IF(AND(W614="Yes",AZ614=""),"GST needs a GSTIN; ","")&amp;IF(AND(W614="Yes",X614=""),"GST return frequency missing; ","")&amp;IF(AND(Y614="Yes",TRIM(H614)=""),"TDS needs a TAN; ","")&amp;IF(AND(AA614="Yes",BC614&lt;&gt;"",BC614&lt;&gt;"company",BC614&lt;&gt;"llp"),"ROC is only for a company / LLP; ","")&amp;IF(AND(AA614="Yes",OR(BC614="company",BC614="llp"),TRIM(I614)=""),"ROC needs the CIN / LLPIN; ","")&amp;IF((TRIM(AF614)="")&lt;&gt;(TRIM(AG614)=""),"GST login needs both user ID and password; ","")&amp;IF((TRIM(AH614)="")&lt;&gt;(TRIM(AI614)=""),"Income-tax login needs both user ID and password; ","")&amp;IF((TRIM(AJ614)="")&lt;&gt;(TRIM(AK614)=""),"Income-tax login needs both user ID and password; ","")&amp;IF((TRIM(AL614)="")&lt;&gt;(TRIM(AM614)=""),"TRACES login needs both user ID and password; ","")&amp;IF((TRIM(AN614)="")&lt;&gt;(TRIM(AO614)=""),"MCA login needs both user ID and password; ","")&amp;IF((TRIM(AP614)="")&lt;&gt;(TRIM(AQ614)=""),"E-way bill login needs both user ID and password; ","")</f>
        <v/>
      </c>
    </row>
    <row r="615">
      <c r="A615" s="32" t="n"/>
      <c r="B615" s="33" t="n"/>
      <c r="C615" s="33" t="n"/>
      <c r="D615" s="33" t="n"/>
      <c r="E615" s="32" t="n"/>
      <c r="F615" s="32" t="n"/>
      <c r="G615" s="32" t="n"/>
      <c r="H615" s="32" t="n"/>
      <c r="I615" s="32" t="n"/>
      <c r="J615" s="34" t="n"/>
      <c r="K615" s="33" t="n"/>
      <c r="L615" s="32" t="n"/>
      <c r="M615" s="33" t="n"/>
      <c r="N615" s="33" t="n"/>
      <c r="O615" s="33" t="n"/>
      <c r="P615" s="32" t="n"/>
      <c r="Q615" s="33" t="n"/>
      <c r="R615" s="33" t="n"/>
      <c r="S615" s="33" t="n"/>
      <c r="T615" s="33" t="n"/>
      <c r="U615" s="32" t="n"/>
      <c r="V615" s="33" t="n"/>
      <c r="W615" s="33" t="n"/>
      <c r="X615" s="33" t="n"/>
      <c r="Y615" s="33" t="n"/>
      <c r="Z615" s="33" t="n"/>
      <c r="AA615" s="33" t="n"/>
      <c r="AB615" s="33" t="n"/>
      <c r="AC615" s="33" t="n"/>
      <c r="AD615" s="33" t="n"/>
      <c r="AE615" s="33" t="n"/>
      <c r="AF615" s="32" t="n"/>
      <c r="AG615" s="32" t="n"/>
      <c r="AH615" s="32" t="n"/>
      <c r="AI615" s="32" t="n"/>
      <c r="AJ615" s="32" t="n"/>
      <c r="AK615" s="32" t="n"/>
      <c r="AL615" s="32" t="n"/>
      <c r="AM615" s="32" t="n"/>
      <c r="AN615" s="32" t="n"/>
      <c r="AO615" s="32" t="n"/>
      <c r="AP615" s="32" t="n"/>
      <c r="AQ615" s="32" t="n"/>
      <c r="AR615" s="29">
        <f>IF(NOT(COUNTA(A615:AE615)&gt;0),"",IF(A615="","New client","Update"))</f>
        <v/>
      </c>
      <c r="AS615" s="29">
        <f>IF(BA615&lt;&gt;"",BA615,IF(LEN(AZ615)=15,MID(AZ615,3,10),""))</f>
        <v/>
      </c>
      <c r="AT615" s="29">
        <f>IF(BB615="","",BB615&amp;IF(D615="","  (guessed from PAN)",""))</f>
        <v/>
      </c>
      <c r="AU615" s="29">
        <f>IF(AZ615="","",IFERROR(INDEX(Lists!$L$2:$L$38,MATCH(LEFT(AZ615,2),Lists!$K$2:$K$38,0)),"Unknown code"))</f>
        <v/>
      </c>
      <c r="AV615" s="29">
        <f>IF(AZ615="","",IFERROR(IF(NOT(AND(LEN(AZ615)=15,ISNUMBER(MATCH(LEFT(AZ615,2),Lists!$K$2:$K$38,0)),SUMPRODUCT(--ISERROR(FIND(MID(MID(AZ615,3,10),{1,2,3,4,5,10},1),"ABCDEFGHIJKLMNOPQRSTUVWXYZ")))=0,SUMPRODUCT(--ISERROR(FIND(MID(MID(AZ615,3,10),{6,7,8,9},1),"0123456789")))=0,ISNUMBER(FIND(MID(AZ615,13,1),"123456789ABCDEFGHIJKLMNOPQRSTUVWXYZ")),MID(AZ615,14,1)="Z")),"Wrong format",IF(MID("0123456789ABCDEFGHIJKLMNOPQRSTUVWXYZ",MOD(36-MOD(SUMPRODUCT(INT((FIND(MID(AZ615,{1,2,3,4,5,6,7,8,9,10,11,12,13,14},1),"0123456789ABCDEFGHIJKLMNOPQRSTUVWXYZ")-1)*{1,2,1,2,1,2,1,2,1,2,1,2,1,2}/36)+MOD((FIND(MID(AZ615,{1,2,3,4,5,6,7,8,9,10,11,12,13,14},1),"0123456789ABCDEFGHIJKLMNOPQRSTUVWXYZ")-1)*{1,2,1,2,1,2,1,2,1,2,1,2,1,2},36)),36),36)+1,1)=MID(AZ615,15,1),"OK","Typo? check digit wrong")),"Wrong format"))</f>
        <v/>
      </c>
      <c r="AW615" s="29">
        <f>IF(BA615="","",IF(AND(LEN(BA615)=10,SUMPRODUCT(--ISERROR(FIND(MID(BA615,{1,2,3,4,5,10},1),"ABCDEFGHIJKLMNOPQRSTUVWXYZ")))=0,SUMPRODUCT(--ISERROR(FIND(MID(BA615,{6,7,8,9},1),"0123456789")))=0),"OK","Wrong format"))</f>
        <v/>
      </c>
      <c r="AX615" s="29">
        <f>IF(TRIM(H615)="","",IF(AND(LEN(UPPER(TRIM(H615)))=10,SUMPRODUCT(--ISERROR(FIND(MID(UPPER(TRIM(H615)),{1,2,3,4,10},1),"ABCDEFGHIJKLMNOPQRSTUVWXYZ")))=0,SUMPRODUCT(--ISERROR(FIND(MID(UPPER(TRIM(H615)),{5,6,7,8,9},1),"0123456789")))=0),"OK","Wrong format"))</f>
        <v/>
      </c>
      <c r="AY615" s="30">
        <f>IF(NOT(COUNTA(A615:AE615)&gt;0),"",IF(BE615&lt;&gt;"","✖ "&amp;LEFT(BE615,LEN(BE615)-2),IF(BD615&gt;0,"✔ Ready — client + "&amp;BD615&amp;" service(s)","✔ Ready — client only")))</f>
        <v/>
      </c>
      <c r="AZ615" s="31">
        <f>UPPER(SUBSTITUTE(TRIM(F615)," ",""))</f>
        <v/>
      </c>
      <c r="BA615" s="31">
        <f>UPPER(SUBSTITUTE(TRIM(E615)," ",""))</f>
        <v/>
      </c>
      <c r="BB615" s="31">
        <f>IF(D615&lt;&gt;"",D615,IFERROR(VLOOKUP(MID(AS615,4,1),Lists!$E$2:$F$8,2,FALSE),""))</f>
        <v/>
      </c>
      <c r="BC615" s="31">
        <f>IFERROR(VLOOKUP(BB615,Lists!$A$2:$C$12,3,FALSE),"")</f>
        <v/>
      </c>
      <c r="BD615" s="31">
        <f>COUNTIF(W615:AC615,"Yes")</f>
        <v/>
      </c>
      <c r="BE615" s="31">
        <f>IF(TRIM(B615)="","Legal name missing; ","")&amp;IF(AND(AV615&lt;&gt;"",AV615&lt;&gt;"OK"),"GSTIN: "&amp;AV615&amp;"; ","")&amp;IF(AND(AW615&lt;&gt;"",AW615&lt;&gt;"OK"),"PAN wrong format; ","")&amp;IF(AND(BA615&lt;&gt;"",LEN(AZ615)=15,MID(AZ615,3,10)&lt;&gt;BA615),"PAN does not match GSTIN; ","")&amp;IF(AND(AX615&lt;&gt;"",AX615&lt;&gt;"OK"),"TAN wrong format; ","")&amp;IF(AS615="","PAN missing; ","")&amp;IF(BB615="","Entity type missing; ","")&amp;IF(AND(AZ615&lt;&gt;"",COUNTIF($AZ$6:$AZ$1005,AZ615)&gt;1),"GSTIN repeated in this sheet; ","")&amp;IF(AND(AS615&lt;&gt;"",COUNTIF($AS$6:$AS$1005,AS615)&gt;1),"PAN repeated in this sheet (same client? put extra GSTINs in Other GSTINs); ","")&amp;IF(AND(BD615&gt;0,V615=""),"Financial year missing; ","")&amp;IF(AND(BD615=0,V615&lt;&gt;""),"Financial year given but no service is Yes; ","")&amp;IF(AND(W615="Yes",AZ615=""),"GST needs a GSTIN; ","")&amp;IF(AND(W615="Yes",X615=""),"GST return frequency missing; ","")&amp;IF(AND(Y615="Yes",TRIM(H615)=""),"TDS needs a TAN; ","")&amp;IF(AND(AA615="Yes",BC615&lt;&gt;"",BC615&lt;&gt;"company",BC615&lt;&gt;"llp"),"ROC is only for a company / LLP; ","")&amp;IF(AND(AA615="Yes",OR(BC615="company",BC615="llp"),TRIM(I615)=""),"ROC needs the CIN / LLPIN; ","")&amp;IF((TRIM(AF615)="")&lt;&gt;(TRIM(AG615)=""),"GST login needs both user ID and password; ","")&amp;IF((TRIM(AH615)="")&lt;&gt;(TRIM(AI615)=""),"Income-tax login needs both user ID and password; ","")&amp;IF((TRIM(AJ615)="")&lt;&gt;(TRIM(AK615)=""),"Income-tax login needs both user ID and password; ","")&amp;IF((TRIM(AL615)="")&lt;&gt;(TRIM(AM615)=""),"TRACES login needs both user ID and password; ","")&amp;IF((TRIM(AN615)="")&lt;&gt;(TRIM(AO615)=""),"MCA login needs both user ID and password; ","")&amp;IF((TRIM(AP615)="")&lt;&gt;(TRIM(AQ615)=""),"E-way bill login needs both user ID and password; ","")</f>
        <v/>
      </c>
    </row>
    <row r="616">
      <c r="A616" s="32" t="n"/>
      <c r="B616" s="33" t="n"/>
      <c r="C616" s="33" t="n"/>
      <c r="D616" s="33" t="n"/>
      <c r="E616" s="32" t="n"/>
      <c r="F616" s="32" t="n"/>
      <c r="G616" s="32" t="n"/>
      <c r="H616" s="32" t="n"/>
      <c r="I616" s="32" t="n"/>
      <c r="J616" s="34" t="n"/>
      <c r="K616" s="33" t="n"/>
      <c r="L616" s="32" t="n"/>
      <c r="M616" s="33" t="n"/>
      <c r="N616" s="33" t="n"/>
      <c r="O616" s="33" t="n"/>
      <c r="P616" s="32" t="n"/>
      <c r="Q616" s="33" t="n"/>
      <c r="R616" s="33" t="n"/>
      <c r="S616" s="33" t="n"/>
      <c r="T616" s="33" t="n"/>
      <c r="U616" s="32" t="n"/>
      <c r="V616" s="33" t="n"/>
      <c r="W616" s="33" t="n"/>
      <c r="X616" s="33" t="n"/>
      <c r="Y616" s="33" t="n"/>
      <c r="Z616" s="33" t="n"/>
      <c r="AA616" s="33" t="n"/>
      <c r="AB616" s="33" t="n"/>
      <c r="AC616" s="33" t="n"/>
      <c r="AD616" s="33" t="n"/>
      <c r="AE616" s="33" t="n"/>
      <c r="AF616" s="32" t="n"/>
      <c r="AG616" s="32" t="n"/>
      <c r="AH616" s="32" t="n"/>
      <c r="AI616" s="32" t="n"/>
      <c r="AJ616" s="32" t="n"/>
      <c r="AK616" s="32" t="n"/>
      <c r="AL616" s="32" t="n"/>
      <c r="AM616" s="32" t="n"/>
      <c r="AN616" s="32" t="n"/>
      <c r="AO616" s="32" t="n"/>
      <c r="AP616" s="32" t="n"/>
      <c r="AQ616" s="32" t="n"/>
      <c r="AR616" s="29">
        <f>IF(NOT(COUNTA(A616:AE616)&gt;0),"",IF(A616="","New client","Update"))</f>
        <v/>
      </c>
      <c r="AS616" s="29">
        <f>IF(BA616&lt;&gt;"",BA616,IF(LEN(AZ616)=15,MID(AZ616,3,10),""))</f>
        <v/>
      </c>
      <c r="AT616" s="29">
        <f>IF(BB616="","",BB616&amp;IF(D616="","  (guessed from PAN)",""))</f>
        <v/>
      </c>
      <c r="AU616" s="29">
        <f>IF(AZ616="","",IFERROR(INDEX(Lists!$L$2:$L$38,MATCH(LEFT(AZ616,2),Lists!$K$2:$K$38,0)),"Unknown code"))</f>
        <v/>
      </c>
      <c r="AV616" s="29">
        <f>IF(AZ616="","",IFERROR(IF(NOT(AND(LEN(AZ616)=15,ISNUMBER(MATCH(LEFT(AZ616,2),Lists!$K$2:$K$38,0)),SUMPRODUCT(--ISERROR(FIND(MID(MID(AZ616,3,10),{1,2,3,4,5,10},1),"ABCDEFGHIJKLMNOPQRSTUVWXYZ")))=0,SUMPRODUCT(--ISERROR(FIND(MID(MID(AZ616,3,10),{6,7,8,9},1),"0123456789")))=0,ISNUMBER(FIND(MID(AZ616,13,1),"123456789ABCDEFGHIJKLMNOPQRSTUVWXYZ")),MID(AZ616,14,1)="Z")),"Wrong format",IF(MID("0123456789ABCDEFGHIJKLMNOPQRSTUVWXYZ",MOD(36-MOD(SUMPRODUCT(INT((FIND(MID(AZ616,{1,2,3,4,5,6,7,8,9,10,11,12,13,14},1),"0123456789ABCDEFGHIJKLMNOPQRSTUVWXYZ")-1)*{1,2,1,2,1,2,1,2,1,2,1,2,1,2}/36)+MOD((FIND(MID(AZ616,{1,2,3,4,5,6,7,8,9,10,11,12,13,14},1),"0123456789ABCDEFGHIJKLMNOPQRSTUVWXYZ")-1)*{1,2,1,2,1,2,1,2,1,2,1,2,1,2},36)),36),36)+1,1)=MID(AZ616,15,1),"OK","Typo? check digit wrong")),"Wrong format"))</f>
        <v/>
      </c>
      <c r="AW616" s="29">
        <f>IF(BA616="","",IF(AND(LEN(BA616)=10,SUMPRODUCT(--ISERROR(FIND(MID(BA616,{1,2,3,4,5,10},1),"ABCDEFGHIJKLMNOPQRSTUVWXYZ")))=0,SUMPRODUCT(--ISERROR(FIND(MID(BA616,{6,7,8,9},1),"0123456789")))=0),"OK","Wrong format"))</f>
        <v/>
      </c>
      <c r="AX616" s="29">
        <f>IF(TRIM(H616)="","",IF(AND(LEN(UPPER(TRIM(H616)))=10,SUMPRODUCT(--ISERROR(FIND(MID(UPPER(TRIM(H616)),{1,2,3,4,10},1),"ABCDEFGHIJKLMNOPQRSTUVWXYZ")))=0,SUMPRODUCT(--ISERROR(FIND(MID(UPPER(TRIM(H616)),{5,6,7,8,9},1),"0123456789")))=0),"OK","Wrong format"))</f>
        <v/>
      </c>
      <c r="AY616" s="30">
        <f>IF(NOT(COUNTA(A616:AE616)&gt;0),"",IF(BE616&lt;&gt;"","✖ "&amp;LEFT(BE616,LEN(BE616)-2),IF(BD616&gt;0,"✔ Ready — client + "&amp;BD616&amp;" service(s)","✔ Ready — client only")))</f>
        <v/>
      </c>
      <c r="AZ616" s="31">
        <f>UPPER(SUBSTITUTE(TRIM(F616)," ",""))</f>
        <v/>
      </c>
      <c r="BA616" s="31">
        <f>UPPER(SUBSTITUTE(TRIM(E616)," ",""))</f>
        <v/>
      </c>
      <c r="BB616" s="31">
        <f>IF(D616&lt;&gt;"",D616,IFERROR(VLOOKUP(MID(AS616,4,1),Lists!$E$2:$F$8,2,FALSE),""))</f>
        <v/>
      </c>
      <c r="BC616" s="31">
        <f>IFERROR(VLOOKUP(BB616,Lists!$A$2:$C$12,3,FALSE),"")</f>
        <v/>
      </c>
      <c r="BD616" s="31">
        <f>COUNTIF(W616:AC616,"Yes")</f>
        <v/>
      </c>
      <c r="BE616" s="31">
        <f>IF(TRIM(B616)="","Legal name missing; ","")&amp;IF(AND(AV616&lt;&gt;"",AV616&lt;&gt;"OK"),"GSTIN: "&amp;AV616&amp;"; ","")&amp;IF(AND(AW616&lt;&gt;"",AW616&lt;&gt;"OK"),"PAN wrong format; ","")&amp;IF(AND(BA616&lt;&gt;"",LEN(AZ616)=15,MID(AZ616,3,10)&lt;&gt;BA616),"PAN does not match GSTIN; ","")&amp;IF(AND(AX616&lt;&gt;"",AX616&lt;&gt;"OK"),"TAN wrong format; ","")&amp;IF(AS616="","PAN missing; ","")&amp;IF(BB616="","Entity type missing; ","")&amp;IF(AND(AZ616&lt;&gt;"",COUNTIF($AZ$6:$AZ$1005,AZ616)&gt;1),"GSTIN repeated in this sheet; ","")&amp;IF(AND(AS616&lt;&gt;"",COUNTIF($AS$6:$AS$1005,AS616)&gt;1),"PAN repeated in this sheet (same client? put extra GSTINs in Other GSTINs); ","")&amp;IF(AND(BD616&gt;0,V616=""),"Financial year missing; ","")&amp;IF(AND(BD616=0,V616&lt;&gt;""),"Financial year given but no service is Yes; ","")&amp;IF(AND(W616="Yes",AZ616=""),"GST needs a GSTIN; ","")&amp;IF(AND(W616="Yes",X616=""),"GST return frequency missing; ","")&amp;IF(AND(Y616="Yes",TRIM(H616)=""),"TDS needs a TAN; ","")&amp;IF(AND(AA616="Yes",BC616&lt;&gt;"",BC616&lt;&gt;"company",BC616&lt;&gt;"llp"),"ROC is only for a company / LLP; ","")&amp;IF(AND(AA616="Yes",OR(BC616="company",BC616="llp"),TRIM(I616)=""),"ROC needs the CIN / LLPIN; ","")&amp;IF((TRIM(AF616)="")&lt;&gt;(TRIM(AG616)=""),"GST login needs both user ID and password; ","")&amp;IF((TRIM(AH616)="")&lt;&gt;(TRIM(AI616)=""),"Income-tax login needs both user ID and password; ","")&amp;IF((TRIM(AJ616)="")&lt;&gt;(TRIM(AK616)=""),"Income-tax login needs both user ID and password; ","")&amp;IF((TRIM(AL616)="")&lt;&gt;(TRIM(AM616)=""),"TRACES login needs both user ID and password; ","")&amp;IF((TRIM(AN616)="")&lt;&gt;(TRIM(AO616)=""),"MCA login needs both user ID and password; ","")&amp;IF((TRIM(AP616)="")&lt;&gt;(TRIM(AQ616)=""),"E-way bill login needs both user ID and password; ","")</f>
        <v/>
      </c>
    </row>
    <row r="617">
      <c r="A617" s="32" t="n"/>
      <c r="B617" s="33" t="n"/>
      <c r="C617" s="33" t="n"/>
      <c r="D617" s="33" t="n"/>
      <c r="E617" s="32" t="n"/>
      <c r="F617" s="32" t="n"/>
      <c r="G617" s="32" t="n"/>
      <c r="H617" s="32" t="n"/>
      <c r="I617" s="32" t="n"/>
      <c r="J617" s="34" t="n"/>
      <c r="K617" s="33" t="n"/>
      <c r="L617" s="32" t="n"/>
      <c r="M617" s="33" t="n"/>
      <c r="N617" s="33" t="n"/>
      <c r="O617" s="33" t="n"/>
      <c r="P617" s="32" t="n"/>
      <c r="Q617" s="33" t="n"/>
      <c r="R617" s="33" t="n"/>
      <c r="S617" s="33" t="n"/>
      <c r="T617" s="33" t="n"/>
      <c r="U617" s="32" t="n"/>
      <c r="V617" s="33" t="n"/>
      <c r="W617" s="33" t="n"/>
      <c r="X617" s="33" t="n"/>
      <c r="Y617" s="33" t="n"/>
      <c r="Z617" s="33" t="n"/>
      <c r="AA617" s="33" t="n"/>
      <c r="AB617" s="33" t="n"/>
      <c r="AC617" s="33" t="n"/>
      <c r="AD617" s="33" t="n"/>
      <c r="AE617" s="33" t="n"/>
      <c r="AF617" s="32" t="n"/>
      <c r="AG617" s="32" t="n"/>
      <c r="AH617" s="32" t="n"/>
      <c r="AI617" s="32" t="n"/>
      <c r="AJ617" s="32" t="n"/>
      <c r="AK617" s="32" t="n"/>
      <c r="AL617" s="32" t="n"/>
      <c r="AM617" s="32" t="n"/>
      <c r="AN617" s="32" t="n"/>
      <c r="AO617" s="32" t="n"/>
      <c r="AP617" s="32" t="n"/>
      <c r="AQ617" s="32" t="n"/>
      <c r="AR617" s="29">
        <f>IF(NOT(COUNTA(A617:AE617)&gt;0),"",IF(A617="","New client","Update"))</f>
        <v/>
      </c>
      <c r="AS617" s="29">
        <f>IF(BA617&lt;&gt;"",BA617,IF(LEN(AZ617)=15,MID(AZ617,3,10),""))</f>
        <v/>
      </c>
      <c r="AT617" s="29">
        <f>IF(BB617="","",BB617&amp;IF(D617="","  (guessed from PAN)",""))</f>
        <v/>
      </c>
      <c r="AU617" s="29">
        <f>IF(AZ617="","",IFERROR(INDEX(Lists!$L$2:$L$38,MATCH(LEFT(AZ617,2),Lists!$K$2:$K$38,0)),"Unknown code"))</f>
        <v/>
      </c>
      <c r="AV617" s="29">
        <f>IF(AZ617="","",IFERROR(IF(NOT(AND(LEN(AZ617)=15,ISNUMBER(MATCH(LEFT(AZ617,2),Lists!$K$2:$K$38,0)),SUMPRODUCT(--ISERROR(FIND(MID(MID(AZ617,3,10),{1,2,3,4,5,10},1),"ABCDEFGHIJKLMNOPQRSTUVWXYZ")))=0,SUMPRODUCT(--ISERROR(FIND(MID(MID(AZ617,3,10),{6,7,8,9},1),"0123456789")))=0,ISNUMBER(FIND(MID(AZ617,13,1),"123456789ABCDEFGHIJKLMNOPQRSTUVWXYZ")),MID(AZ617,14,1)="Z")),"Wrong format",IF(MID("0123456789ABCDEFGHIJKLMNOPQRSTUVWXYZ",MOD(36-MOD(SUMPRODUCT(INT((FIND(MID(AZ617,{1,2,3,4,5,6,7,8,9,10,11,12,13,14},1),"0123456789ABCDEFGHIJKLMNOPQRSTUVWXYZ")-1)*{1,2,1,2,1,2,1,2,1,2,1,2,1,2}/36)+MOD((FIND(MID(AZ617,{1,2,3,4,5,6,7,8,9,10,11,12,13,14},1),"0123456789ABCDEFGHIJKLMNOPQRSTUVWXYZ")-1)*{1,2,1,2,1,2,1,2,1,2,1,2,1,2},36)),36),36)+1,1)=MID(AZ617,15,1),"OK","Typo? check digit wrong")),"Wrong format"))</f>
        <v/>
      </c>
      <c r="AW617" s="29">
        <f>IF(BA617="","",IF(AND(LEN(BA617)=10,SUMPRODUCT(--ISERROR(FIND(MID(BA617,{1,2,3,4,5,10},1),"ABCDEFGHIJKLMNOPQRSTUVWXYZ")))=0,SUMPRODUCT(--ISERROR(FIND(MID(BA617,{6,7,8,9},1),"0123456789")))=0),"OK","Wrong format"))</f>
        <v/>
      </c>
      <c r="AX617" s="29">
        <f>IF(TRIM(H617)="","",IF(AND(LEN(UPPER(TRIM(H617)))=10,SUMPRODUCT(--ISERROR(FIND(MID(UPPER(TRIM(H617)),{1,2,3,4,10},1),"ABCDEFGHIJKLMNOPQRSTUVWXYZ")))=0,SUMPRODUCT(--ISERROR(FIND(MID(UPPER(TRIM(H617)),{5,6,7,8,9},1),"0123456789")))=0),"OK","Wrong format"))</f>
        <v/>
      </c>
      <c r="AY617" s="30">
        <f>IF(NOT(COUNTA(A617:AE617)&gt;0),"",IF(BE617&lt;&gt;"","✖ "&amp;LEFT(BE617,LEN(BE617)-2),IF(BD617&gt;0,"✔ Ready — client + "&amp;BD617&amp;" service(s)","✔ Ready — client only")))</f>
        <v/>
      </c>
      <c r="AZ617" s="31">
        <f>UPPER(SUBSTITUTE(TRIM(F617)," ",""))</f>
        <v/>
      </c>
      <c r="BA617" s="31">
        <f>UPPER(SUBSTITUTE(TRIM(E617)," ",""))</f>
        <v/>
      </c>
      <c r="BB617" s="31">
        <f>IF(D617&lt;&gt;"",D617,IFERROR(VLOOKUP(MID(AS617,4,1),Lists!$E$2:$F$8,2,FALSE),""))</f>
        <v/>
      </c>
      <c r="BC617" s="31">
        <f>IFERROR(VLOOKUP(BB617,Lists!$A$2:$C$12,3,FALSE),"")</f>
        <v/>
      </c>
      <c r="BD617" s="31">
        <f>COUNTIF(W617:AC617,"Yes")</f>
        <v/>
      </c>
      <c r="BE617" s="31">
        <f>IF(TRIM(B617)="","Legal name missing; ","")&amp;IF(AND(AV617&lt;&gt;"",AV617&lt;&gt;"OK"),"GSTIN: "&amp;AV617&amp;"; ","")&amp;IF(AND(AW617&lt;&gt;"",AW617&lt;&gt;"OK"),"PAN wrong format; ","")&amp;IF(AND(BA617&lt;&gt;"",LEN(AZ617)=15,MID(AZ617,3,10)&lt;&gt;BA617),"PAN does not match GSTIN; ","")&amp;IF(AND(AX617&lt;&gt;"",AX617&lt;&gt;"OK"),"TAN wrong format; ","")&amp;IF(AS617="","PAN missing; ","")&amp;IF(BB617="","Entity type missing; ","")&amp;IF(AND(AZ617&lt;&gt;"",COUNTIF($AZ$6:$AZ$1005,AZ617)&gt;1),"GSTIN repeated in this sheet; ","")&amp;IF(AND(AS617&lt;&gt;"",COUNTIF($AS$6:$AS$1005,AS617)&gt;1),"PAN repeated in this sheet (same client? put extra GSTINs in Other GSTINs); ","")&amp;IF(AND(BD617&gt;0,V617=""),"Financial year missing; ","")&amp;IF(AND(BD617=0,V617&lt;&gt;""),"Financial year given but no service is Yes; ","")&amp;IF(AND(W617="Yes",AZ617=""),"GST needs a GSTIN; ","")&amp;IF(AND(W617="Yes",X617=""),"GST return frequency missing; ","")&amp;IF(AND(Y617="Yes",TRIM(H617)=""),"TDS needs a TAN; ","")&amp;IF(AND(AA617="Yes",BC617&lt;&gt;"",BC617&lt;&gt;"company",BC617&lt;&gt;"llp"),"ROC is only for a company / LLP; ","")&amp;IF(AND(AA617="Yes",OR(BC617="company",BC617="llp"),TRIM(I617)=""),"ROC needs the CIN / LLPIN; ","")&amp;IF((TRIM(AF617)="")&lt;&gt;(TRIM(AG617)=""),"GST login needs both user ID and password; ","")&amp;IF((TRIM(AH617)="")&lt;&gt;(TRIM(AI617)=""),"Income-tax login needs both user ID and password; ","")&amp;IF((TRIM(AJ617)="")&lt;&gt;(TRIM(AK617)=""),"Income-tax login needs both user ID and password; ","")&amp;IF((TRIM(AL617)="")&lt;&gt;(TRIM(AM617)=""),"TRACES login needs both user ID and password; ","")&amp;IF((TRIM(AN617)="")&lt;&gt;(TRIM(AO617)=""),"MCA login needs both user ID and password; ","")&amp;IF((TRIM(AP617)="")&lt;&gt;(TRIM(AQ617)=""),"E-way bill login needs both user ID and password; ","")</f>
        <v/>
      </c>
    </row>
    <row r="618">
      <c r="A618" s="32" t="n"/>
      <c r="B618" s="33" t="n"/>
      <c r="C618" s="33" t="n"/>
      <c r="D618" s="33" t="n"/>
      <c r="E618" s="32" t="n"/>
      <c r="F618" s="32" t="n"/>
      <c r="G618" s="32" t="n"/>
      <c r="H618" s="32" t="n"/>
      <c r="I618" s="32" t="n"/>
      <c r="J618" s="34" t="n"/>
      <c r="K618" s="33" t="n"/>
      <c r="L618" s="32" t="n"/>
      <c r="M618" s="33" t="n"/>
      <c r="N618" s="33" t="n"/>
      <c r="O618" s="33" t="n"/>
      <c r="P618" s="32" t="n"/>
      <c r="Q618" s="33" t="n"/>
      <c r="R618" s="33" t="n"/>
      <c r="S618" s="33" t="n"/>
      <c r="T618" s="33" t="n"/>
      <c r="U618" s="32" t="n"/>
      <c r="V618" s="33" t="n"/>
      <c r="W618" s="33" t="n"/>
      <c r="X618" s="33" t="n"/>
      <c r="Y618" s="33" t="n"/>
      <c r="Z618" s="33" t="n"/>
      <c r="AA618" s="33" t="n"/>
      <c r="AB618" s="33" t="n"/>
      <c r="AC618" s="33" t="n"/>
      <c r="AD618" s="33" t="n"/>
      <c r="AE618" s="33" t="n"/>
      <c r="AF618" s="32" t="n"/>
      <c r="AG618" s="32" t="n"/>
      <c r="AH618" s="32" t="n"/>
      <c r="AI618" s="32" t="n"/>
      <c r="AJ618" s="32" t="n"/>
      <c r="AK618" s="32" t="n"/>
      <c r="AL618" s="32" t="n"/>
      <c r="AM618" s="32" t="n"/>
      <c r="AN618" s="32" t="n"/>
      <c r="AO618" s="32" t="n"/>
      <c r="AP618" s="32" t="n"/>
      <c r="AQ618" s="32" t="n"/>
      <c r="AR618" s="29">
        <f>IF(NOT(COUNTA(A618:AE618)&gt;0),"",IF(A618="","New client","Update"))</f>
        <v/>
      </c>
      <c r="AS618" s="29">
        <f>IF(BA618&lt;&gt;"",BA618,IF(LEN(AZ618)=15,MID(AZ618,3,10),""))</f>
        <v/>
      </c>
      <c r="AT618" s="29">
        <f>IF(BB618="","",BB618&amp;IF(D618="","  (guessed from PAN)",""))</f>
        <v/>
      </c>
      <c r="AU618" s="29">
        <f>IF(AZ618="","",IFERROR(INDEX(Lists!$L$2:$L$38,MATCH(LEFT(AZ618,2),Lists!$K$2:$K$38,0)),"Unknown code"))</f>
        <v/>
      </c>
      <c r="AV618" s="29">
        <f>IF(AZ618="","",IFERROR(IF(NOT(AND(LEN(AZ618)=15,ISNUMBER(MATCH(LEFT(AZ618,2),Lists!$K$2:$K$38,0)),SUMPRODUCT(--ISERROR(FIND(MID(MID(AZ618,3,10),{1,2,3,4,5,10},1),"ABCDEFGHIJKLMNOPQRSTUVWXYZ")))=0,SUMPRODUCT(--ISERROR(FIND(MID(MID(AZ618,3,10),{6,7,8,9},1),"0123456789")))=0,ISNUMBER(FIND(MID(AZ618,13,1),"123456789ABCDEFGHIJKLMNOPQRSTUVWXYZ")),MID(AZ618,14,1)="Z")),"Wrong format",IF(MID("0123456789ABCDEFGHIJKLMNOPQRSTUVWXYZ",MOD(36-MOD(SUMPRODUCT(INT((FIND(MID(AZ618,{1,2,3,4,5,6,7,8,9,10,11,12,13,14},1),"0123456789ABCDEFGHIJKLMNOPQRSTUVWXYZ")-1)*{1,2,1,2,1,2,1,2,1,2,1,2,1,2}/36)+MOD((FIND(MID(AZ618,{1,2,3,4,5,6,7,8,9,10,11,12,13,14},1),"0123456789ABCDEFGHIJKLMNOPQRSTUVWXYZ")-1)*{1,2,1,2,1,2,1,2,1,2,1,2,1,2},36)),36),36)+1,1)=MID(AZ618,15,1),"OK","Typo? check digit wrong")),"Wrong format"))</f>
        <v/>
      </c>
      <c r="AW618" s="29">
        <f>IF(BA618="","",IF(AND(LEN(BA618)=10,SUMPRODUCT(--ISERROR(FIND(MID(BA618,{1,2,3,4,5,10},1),"ABCDEFGHIJKLMNOPQRSTUVWXYZ")))=0,SUMPRODUCT(--ISERROR(FIND(MID(BA618,{6,7,8,9},1),"0123456789")))=0),"OK","Wrong format"))</f>
        <v/>
      </c>
      <c r="AX618" s="29">
        <f>IF(TRIM(H618)="","",IF(AND(LEN(UPPER(TRIM(H618)))=10,SUMPRODUCT(--ISERROR(FIND(MID(UPPER(TRIM(H618)),{1,2,3,4,10},1),"ABCDEFGHIJKLMNOPQRSTUVWXYZ")))=0,SUMPRODUCT(--ISERROR(FIND(MID(UPPER(TRIM(H618)),{5,6,7,8,9},1),"0123456789")))=0),"OK","Wrong format"))</f>
        <v/>
      </c>
      <c r="AY618" s="30">
        <f>IF(NOT(COUNTA(A618:AE618)&gt;0),"",IF(BE618&lt;&gt;"","✖ "&amp;LEFT(BE618,LEN(BE618)-2),IF(BD618&gt;0,"✔ Ready — client + "&amp;BD618&amp;" service(s)","✔ Ready — client only")))</f>
        <v/>
      </c>
      <c r="AZ618" s="31">
        <f>UPPER(SUBSTITUTE(TRIM(F618)," ",""))</f>
        <v/>
      </c>
      <c r="BA618" s="31">
        <f>UPPER(SUBSTITUTE(TRIM(E618)," ",""))</f>
        <v/>
      </c>
      <c r="BB618" s="31">
        <f>IF(D618&lt;&gt;"",D618,IFERROR(VLOOKUP(MID(AS618,4,1),Lists!$E$2:$F$8,2,FALSE),""))</f>
        <v/>
      </c>
      <c r="BC618" s="31">
        <f>IFERROR(VLOOKUP(BB618,Lists!$A$2:$C$12,3,FALSE),"")</f>
        <v/>
      </c>
      <c r="BD618" s="31">
        <f>COUNTIF(W618:AC618,"Yes")</f>
        <v/>
      </c>
      <c r="BE618" s="31">
        <f>IF(TRIM(B618)="","Legal name missing; ","")&amp;IF(AND(AV618&lt;&gt;"",AV618&lt;&gt;"OK"),"GSTIN: "&amp;AV618&amp;"; ","")&amp;IF(AND(AW618&lt;&gt;"",AW618&lt;&gt;"OK"),"PAN wrong format; ","")&amp;IF(AND(BA618&lt;&gt;"",LEN(AZ618)=15,MID(AZ618,3,10)&lt;&gt;BA618),"PAN does not match GSTIN; ","")&amp;IF(AND(AX618&lt;&gt;"",AX618&lt;&gt;"OK"),"TAN wrong format; ","")&amp;IF(AS618="","PAN missing; ","")&amp;IF(BB618="","Entity type missing; ","")&amp;IF(AND(AZ618&lt;&gt;"",COUNTIF($AZ$6:$AZ$1005,AZ618)&gt;1),"GSTIN repeated in this sheet; ","")&amp;IF(AND(AS618&lt;&gt;"",COUNTIF($AS$6:$AS$1005,AS618)&gt;1),"PAN repeated in this sheet (same client? put extra GSTINs in Other GSTINs); ","")&amp;IF(AND(BD618&gt;0,V618=""),"Financial year missing; ","")&amp;IF(AND(BD618=0,V618&lt;&gt;""),"Financial year given but no service is Yes; ","")&amp;IF(AND(W618="Yes",AZ618=""),"GST needs a GSTIN; ","")&amp;IF(AND(W618="Yes",X618=""),"GST return frequency missing; ","")&amp;IF(AND(Y618="Yes",TRIM(H618)=""),"TDS needs a TAN; ","")&amp;IF(AND(AA618="Yes",BC618&lt;&gt;"",BC618&lt;&gt;"company",BC618&lt;&gt;"llp"),"ROC is only for a company / LLP; ","")&amp;IF(AND(AA618="Yes",OR(BC618="company",BC618="llp"),TRIM(I618)=""),"ROC needs the CIN / LLPIN; ","")&amp;IF((TRIM(AF618)="")&lt;&gt;(TRIM(AG618)=""),"GST login needs both user ID and password; ","")&amp;IF((TRIM(AH618)="")&lt;&gt;(TRIM(AI618)=""),"Income-tax login needs both user ID and password; ","")&amp;IF((TRIM(AJ618)="")&lt;&gt;(TRIM(AK618)=""),"Income-tax login needs both user ID and password; ","")&amp;IF((TRIM(AL618)="")&lt;&gt;(TRIM(AM618)=""),"TRACES login needs both user ID and password; ","")&amp;IF((TRIM(AN618)="")&lt;&gt;(TRIM(AO618)=""),"MCA login needs both user ID and password; ","")&amp;IF((TRIM(AP618)="")&lt;&gt;(TRIM(AQ618)=""),"E-way bill login needs both user ID and password; ","")</f>
        <v/>
      </c>
    </row>
    <row r="619">
      <c r="A619" s="32" t="n"/>
      <c r="B619" s="33" t="n"/>
      <c r="C619" s="33" t="n"/>
      <c r="D619" s="33" t="n"/>
      <c r="E619" s="32" t="n"/>
      <c r="F619" s="32" t="n"/>
      <c r="G619" s="32" t="n"/>
      <c r="H619" s="32" t="n"/>
      <c r="I619" s="32" t="n"/>
      <c r="J619" s="34" t="n"/>
      <c r="K619" s="33" t="n"/>
      <c r="L619" s="32" t="n"/>
      <c r="M619" s="33" t="n"/>
      <c r="N619" s="33" t="n"/>
      <c r="O619" s="33" t="n"/>
      <c r="P619" s="32" t="n"/>
      <c r="Q619" s="33" t="n"/>
      <c r="R619" s="33" t="n"/>
      <c r="S619" s="33" t="n"/>
      <c r="T619" s="33" t="n"/>
      <c r="U619" s="32" t="n"/>
      <c r="V619" s="33" t="n"/>
      <c r="W619" s="33" t="n"/>
      <c r="X619" s="33" t="n"/>
      <c r="Y619" s="33" t="n"/>
      <c r="Z619" s="33" t="n"/>
      <c r="AA619" s="33" t="n"/>
      <c r="AB619" s="33" t="n"/>
      <c r="AC619" s="33" t="n"/>
      <c r="AD619" s="33" t="n"/>
      <c r="AE619" s="33" t="n"/>
      <c r="AF619" s="32" t="n"/>
      <c r="AG619" s="32" t="n"/>
      <c r="AH619" s="32" t="n"/>
      <c r="AI619" s="32" t="n"/>
      <c r="AJ619" s="32" t="n"/>
      <c r="AK619" s="32" t="n"/>
      <c r="AL619" s="32" t="n"/>
      <c r="AM619" s="32" t="n"/>
      <c r="AN619" s="32" t="n"/>
      <c r="AO619" s="32" t="n"/>
      <c r="AP619" s="32" t="n"/>
      <c r="AQ619" s="32" t="n"/>
      <c r="AR619" s="29">
        <f>IF(NOT(COUNTA(A619:AE619)&gt;0),"",IF(A619="","New client","Update"))</f>
        <v/>
      </c>
      <c r="AS619" s="29">
        <f>IF(BA619&lt;&gt;"",BA619,IF(LEN(AZ619)=15,MID(AZ619,3,10),""))</f>
        <v/>
      </c>
      <c r="AT619" s="29">
        <f>IF(BB619="","",BB619&amp;IF(D619="","  (guessed from PAN)",""))</f>
        <v/>
      </c>
      <c r="AU619" s="29">
        <f>IF(AZ619="","",IFERROR(INDEX(Lists!$L$2:$L$38,MATCH(LEFT(AZ619,2),Lists!$K$2:$K$38,0)),"Unknown code"))</f>
        <v/>
      </c>
      <c r="AV619" s="29">
        <f>IF(AZ619="","",IFERROR(IF(NOT(AND(LEN(AZ619)=15,ISNUMBER(MATCH(LEFT(AZ619,2),Lists!$K$2:$K$38,0)),SUMPRODUCT(--ISERROR(FIND(MID(MID(AZ619,3,10),{1,2,3,4,5,10},1),"ABCDEFGHIJKLMNOPQRSTUVWXYZ")))=0,SUMPRODUCT(--ISERROR(FIND(MID(MID(AZ619,3,10),{6,7,8,9},1),"0123456789")))=0,ISNUMBER(FIND(MID(AZ619,13,1),"123456789ABCDEFGHIJKLMNOPQRSTUVWXYZ")),MID(AZ619,14,1)="Z")),"Wrong format",IF(MID("0123456789ABCDEFGHIJKLMNOPQRSTUVWXYZ",MOD(36-MOD(SUMPRODUCT(INT((FIND(MID(AZ619,{1,2,3,4,5,6,7,8,9,10,11,12,13,14},1),"0123456789ABCDEFGHIJKLMNOPQRSTUVWXYZ")-1)*{1,2,1,2,1,2,1,2,1,2,1,2,1,2}/36)+MOD((FIND(MID(AZ619,{1,2,3,4,5,6,7,8,9,10,11,12,13,14},1),"0123456789ABCDEFGHIJKLMNOPQRSTUVWXYZ")-1)*{1,2,1,2,1,2,1,2,1,2,1,2,1,2},36)),36),36)+1,1)=MID(AZ619,15,1),"OK","Typo? check digit wrong")),"Wrong format"))</f>
        <v/>
      </c>
      <c r="AW619" s="29">
        <f>IF(BA619="","",IF(AND(LEN(BA619)=10,SUMPRODUCT(--ISERROR(FIND(MID(BA619,{1,2,3,4,5,10},1),"ABCDEFGHIJKLMNOPQRSTUVWXYZ")))=0,SUMPRODUCT(--ISERROR(FIND(MID(BA619,{6,7,8,9},1),"0123456789")))=0),"OK","Wrong format"))</f>
        <v/>
      </c>
      <c r="AX619" s="29">
        <f>IF(TRIM(H619)="","",IF(AND(LEN(UPPER(TRIM(H619)))=10,SUMPRODUCT(--ISERROR(FIND(MID(UPPER(TRIM(H619)),{1,2,3,4,10},1),"ABCDEFGHIJKLMNOPQRSTUVWXYZ")))=0,SUMPRODUCT(--ISERROR(FIND(MID(UPPER(TRIM(H619)),{5,6,7,8,9},1),"0123456789")))=0),"OK","Wrong format"))</f>
        <v/>
      </c>
      <c r="AY619" s="30">
        <f>IF(NOT(COUNTA(A619:AE619)&gt;0),"",IF(BE619&lt;&gt;"","✖ "&amp;LEFT(BE619,LEN(BE619)-2),IF(BD619&gt;0,"✔ Ready — client + "&amp;BD619&amp;" service(s)","✔ Ready — client only")))</f>
        <v/>
      </c>
      <c r="AZ619" s="31">
        <f>UPPER(SUBSTITUTE(TRIM(F619)," ",""))</f>
        <v/>
      </c>
      <c r="BA619" s="31">
        <f>UPPER(SUBSTITUTE(TRIM(E619)," ",""))</f>
        <v/>
      </c>
      <c r="BB619" s="31">
        <f>IF(D619&lt;&gt;"",D619,IFERROR(VLOOKUP(MID(AS619,4,1),Lists!$E$2:$F$8,2,FALSE),""))</f>
        <v/>
      </c>
      <c r="BC619" s="31">
        <f>IFERROR(VLOOKUP(BB619,Lists!$A$2:$C$12,3,FALSE),"")</f>
        <v/>
      </c>
      <c r="BD619" s="31">
        <f>COUNTIF(W619:AC619,"Yes")</f>
        <v/>
      </c>
      <c r="BE619" s="31">
        <f>IF(TRIM(B619)="","Legal name missing; ","")&amp;IF(AND(AV619&lt;&gt;"",AV619&lt;&gt;"OK"),"GSTIN: "&amp;AV619&amp;"; ","")&amp;IF(AND(AW619&lt;&gt;"",AW619&lt;&gt;"OK"),"PAN wrong format; ","")&amp;IF(AND(BA619&lt;&gt;"",LEN(AZ619)=15,MID(AZ619,3,10)&lt;&gt;BA619),"PAN does not match GSTIN; ","")&amp;IF(AND(AX619&lt;&gt;"",AX619&lt;&gt;"OK"),"TAN wrong format; ","")&amp;IF(AS619="","PAN missing; ","")&amp;IF(BB619="","Entity type missing; ","")&amp;IF(AND(AZ619&lt;&gt;"",COUNTIF($AZ$6:$AZ$1005,AZ619)&gt;1),"GSTIN repeated in this sheet; ","")&amp;IF(AND(AS619&lt;&gt;"",COUNTIF($AS$6:$AS$1005,AS619)&gt;1),"PAN repeated in this sheet (same client? put extra GSTINs in Other GSTINs); ","")&amp;IF(AND(BD619&gt;0,V619=""),"Financial year missing; ","")&amp;IF(AND(BD619=0,V619&lt;&gt;""),"Financial year given but no service is Yes; ","")&amp;IF(AND(W619="Yes",AZ619=""),"GST needs a GSTIN; ","")&amp;IF(AND(W619="Yes",X619=""),"GST return frequency missing; ","")&amp;IF(AND(Y619="Yes",TRIM(H619)=""),"TDS needs a TAN; ","")&amp;IF(AND(AA619="Yes",BC619&lt;&gt;"",BC619&lt;&gt;"company",BC619&lt;&gt;"llp"),"ROC is only for a company / LLP; ","")&amp;IF(AND(AA619="Yes",OR(BC619="company",BC619="llp"),TRIM(I619)=""),"ROC needs the CIN / LLPIN; ","")&amp;IF((TRIM(AF619)="")&lt;&gt;(TRIM(AG619)=""),"GST login needs both user ID and password; ","")&amp;IF((TRIM(AH619)="")&lt;&gt;(TRIM(AI619)=""),"Income-tax login needs both user ID and password; ","")&amp;IF((TRIM(AJ619)="")&lt;&gt;(TRIM(AK619)=""),"Income-tax login needs both user ID and password; ","")&amp;IF((TRIM(AL619)="")&lt;&gt;(TRIM(AM619)=""),"TRACES login needs both user ID and password; ","")&amp;IF((TRIM(AN619)="")&lt;&gt;(TRIM(AO619)=""),"MCA login needs both user ID and password; ","")&amp;IF((TRIM(AP619)="")&lt;&gt;(TRIM(AQ619)=""),"E-way bill login needs both user ID and password; ","")</f>
        <v/>
      </c>
    </row>
    <row r="620">
      <c r="A620" s="32" t="n"/>
      <c r="B620" s="33" t="n"/>
      <c r="C620" s="33" t="n"/>
      <c r="D620" s="33" t="n"/>
      <c r="E620" s="32" t="n"/>
      <c r="F620" s="32" t="n"/>
      <c r="G620" s="32" t="n"/>
      <c r="H620" s="32" t="n"/>
      <c r="I620" s="32" t="n"/>
      <c r="J620" s="34" t="n"/>
      <c r="K620" s="33" t="n"/>
      <c r="L620" s="32" t="n"/>
      <c r="M620" s="33" t="n"/>
      <c r="N620" s="33" t="n"/>
      <c r="O620" s="33" t="n"/>
      <c r="P620" s="32" t="n"/>
      <c r="Q620" s="33" t="n"/>
      <c r="R620" s="33" t="n"/>
      <c r="S620" s="33" t="n"/>
      <c r="T620" s="33" t="n"/>
      <c r="U620" s="32" t="n"/>
      <c r="V620" s="33" t="n"/>
      <c r="W620" s="33" t="n"/>
      <c r="X620" s="33" t="n"/>
      <c r="Y620" s="33" t="n"/>
      <c r="Z620" s="33" t="n"/>
      <c r="AA620" s="33" t="n"/>
      <c r="AB620" s="33" t="n"/>
      <c r="AC620" s="33" t="n"/>
      <c r="AD620" s="33" t="n"/>
      <c r="AE620" s="33" t="n"/>
      <c r="AF620" s="32" t="n"/>
      <c r="AG620" s="32" t="n"/>
      <c r="AH620" s="32" t="n"/>
      <c r="AI620" s="32" t="n"/>
      <c r="AJ620" s="32" t="n"/>
      <c r="AK620" s="32" t="n"/>
      <c r="AL620" s="32" t="n"/>
      <c r="AM620" s="32" t="n"/>
      <c r="AN620" s="32" t="n"/>
      <c r="AO620" s="32" t="n"/>
      <c r="AP620" s="32" t="n"/>
      <c r="AQ620" s="32" t="n"/>
      <c r="AR620" s="29">
        <f>IF(NOT(COUNTA(A620:AE620)&gt;0),"",IF(A620="","New client","Update"))</f>
        <v/>
      </c>
      <c r="AS620" s="29">
        <f>IF(BA620&lt;&gt;"",BA620,IF(LEN(AZ620)=15,MID(AZ620,3,10),""))</f>
        <v/>
      </c>
      <c r="AT620" s="29">
        <f>IF(BB620="","",BB620&amp;IF(D620="","  (guessed from PAN)",""))</f>
        <v/>
      </c>
      <c r="AU620" s="29">
        <f>IF(AZ620="","",IFERROR(INDEX(Lists!$L$2:$L$38,MATCH(LEFT(AZ620,2),Lists!$K$2:$K$38,0)),"Unknown code"))</f>
        <v/>
      </c>
      <c r="AV620" s="29">
        <f>IF(AZ620="","",IFERROR(IF(NOT(AND(LEN(AZ620)=15,ISNUMBER(MATCH(LEFT(AZ620,2),Lists!$K$2:$K$38,0)),SUMPRODUCT(--ISERROR(FIND(MID(MID(AZ620,3,10),{1,2,3,4,5,10},1),"ABCDEFGHIJKLMNOPQRSTUVWXYZ")))=0,SUMPRODUCT(--ISERROR(FIND(MID(MID(AZ620,3,10),{6,7,8,9},1),"0123456789")))=0,ISNUMBER(FIND(MID(AZ620,13,1),"123456789ABCDEFGHIJKLMNOPQRSTUVWXYZ")),MID(AZ620,14,1)="Z")),"Wrong format",IF(MID("0123456789ABCDEFGHIJKLMNOPQRSTUVWXYZ",MOD(36-MOD(SUMPRODUCT(INT((FIND(MID(AZ620,{1,2,3,4,5,6,7,8,9,10,11,12,13,14},1),"0123456789ABCDEFGHIJKLMNOPQRSTUVWXYZ")-1)*{1,2,1,2,1,2,1,2,1,2,1,2,1,2}/36)+MOD((FIND(MID(AZ620,{1,2,3,4,5,6,7,8,9,10,11,12,13,14},1),"0123456789ABCDEFGHIJKLMNOPQRSTUVWXYZ")-1)*{1,2,1,2,1,2,1,2,1,2,1,2,1,2},36)),36),36)+1,1)=MID(AZ620,15,1),"OK","Typo? check digit wrong")),"Wrong format"))</f>
        <v/>
      </c>
      <c r="AW620" s="29">
        <f>IF(BA620="","",IF(AND(LEN(BA620)=10,SUMPRODUCT(--ISERROR(FIND(MID(BA620,{1,2,3,4,5,10},1),"ABCDEFGHIJKLMNOPQRSTUVWXYZ")))=0,SUMPRODUCT(--ISERROR(FIND(MID(BA620,{6,7,8,9},1),"0123456789")))=0),"OK","Wrong format"))</f>
        <v/>
      </c>
      <c r="AX620" s="29">
        <f>IF(TRIM(H620)="","",IF(AND(LEN(UPPER(TRIM(H620)))=10,SUMPRODUCT(--ISERROR(FIND(MID(UPPER(TRIM(H620)),{1,2,3,4,10},1),"ABCDEFGHIJKLMNOPQRSTUVWXYZ")))=0,SUMPRODUCT(--ISERROR(FIND(MID(UPPER(TRIM(H620)),{5,6,7,8,9},1),"0123456789")))=0),"OK","Wrong format"))</f>
        <v/>
      </c>
      <c r="AY620" s="30">
        <f>IF(NOT(COUNTA(A620:AE620)&gt;0),"",IF(BE620&lt;&gt;"","✖ "&amp;LEFT(BE620,LEN(BE620)-2),IF(BD620&gt;0,"✔ Ready — client + "&amp;BD620&amp;" service(s)","✔ Ready — client only")))</f>
        <v/>
      </c>
      <c r="AZ620" s="31">
        <f>UPPER(SUBSTITUTE(TRIM(F620)," ",""))</f>
        <v/>
      </c>
      <c r="BA620" s="31">
        <f>UPPER(SUBSTITUTE(TRIM(E620)," ",""))</f>
        <v/>
      </c>
      <c r="BB620" s="31">
        <f>IF(D620&lt;&gt;"",D620,IFERROR(VLOOKUP(MID(AS620,4,1),Lists!$E$2:$F$8,2,FALSE),""))</f>
        <v/>
      </c>
      <c r="BC620" s="31">
        <f>IFERROR(VLOOKUP(BB620,Lists!$A$2:$C$12,3,FALSE),"")</f>
        <v/>
      </c>
      <c r="BD620" s="31">
        <f>COUNTIF(W620:AC620,"Yes")</f>
        <v/>
      </c>
      <c r="BE620" s="31">
        <f>IF(TRIM(B620)="","Legal name missing; ","")&amp;IF(AND(AV620&lt;&gt;"",AV620&lt;&gt;"OK"),"GSTIN: "&amp;AV620&amp;"; ","")&amp;IF(AND(AW620&lt;&gt;"",AW620&lt;&gt;"OK"),"PAN wrong format; ","")&amp;IF(AND(BA620&lt;&gt;"",LEN(AZ620)=15,MID(AZ620,3,10)&lt;&gt;BA620),"PAN does not match GSTIN; ","")&amp;IF(AND(AX620&lt;&gt;"",AX620&lt;&gt;"OK"),"TAN wrong format; ","")&amp;IF(AS620="","PAN missing; ","")&amp;IF(BB620="","Entity type missing; ","")&amp;IF(AND(AZ620&lt;&gt;"",COUNTIF($AZ$6:$AZ$1005,AZ620)&gt;1),"GSTIN repeated in this sheet; ","")&amp;IF(AND(AS620&lt;&gt;"",COUNTIF($AS$6:$AS$1005,AS620)&gt;1),"PAN repeated in this sheet (same client? put extra GSTINs in Other GSTINs); ","")&amp;IF(AND(BD620&gt;0,V620=""),"Financial year missing; ","")&amp;IF(AND(BD620=0,V620&lt;&gt;""),"Financial year given but no service is Yes; ","")&amp;IF(AND(W620="Yes",AZ620=""),"GST needs a GSTIN; ","")&amp;IF(AND(W620="Yes",X620=""),"GST return frequency missing; ","")&amp;IF(AND(Y620="Yes",TRIM(H620)=""),"TDS needs a TAN; ","")&amp;IF(AND(AA620="Yes",BC620&lt;&gt;"",BC620&lt;&gt;"company",BC620&lt;&gt;"llp"),"ROC is only for a company / LLP; ","")&amp;IF(AND(AA620="Yes",OR(BC620="company",BC620="llp"),TRIM(I620)=""),"ROC needs the CIN / LLPIN; ","")&amp;IF((TRIM(AF620)="")&lt;&gt;(TRIM(AG620)=""),"GST login needs both user ID and password; ","")&amp;IF((TRIM(AH620)="")&lt;&gt;(TRIM(AI620)=""),"Income-tax login needs both user ID and password; ","")&amp;IF((TRIM(AJ620)="")&lt;&gt;(TRIM(AK620)=""),"Income-tax login needs both user ID and password; ","")&amp;IF((TRIM(AL620)="")&lt;&gt;(TRIM(AM620)=""),"TRACES login needs both user ID and password; ","")&amp;IF((TRIM(AN620)="")&lt;&gt;(TRIM(AO620)=""),"MCA login needs both user ID and password; ","")&amp;IF((TRIM(AP620)="")&lt;&gt;(TRIM(AQ620)=""),"E-way bill login needs both user ID and password; ","")</f>
        <v/>
      </c>
    </row>
    <row r="621">
      <c r="A621" s="32" t="n"/>
      <c r="B621" s="33" t="n"/>
      <c r="C621" s="33" t="n"/>
      <c r="D621" s="33" t="n"/>
      <c r="E621" s="32" t="n"/>
      <c r="F621" s="32" t="n"/>
      <c r="G621" s="32" t="n"/>
      <c r="H621" s="32" t="n"/>
      <c r="I621" s="32" t="n"/>
      <c r="J621" s="34" t="n"/>
      <c r="K621" s="33" t="n"/>
      <c r="L621" s="32" t="n"/>
      <c r="M621" s="33" t="n"/>
      <c r="N621" s="33" t="n"/>
      <c r="O621" s="33" t="n"/>
      <c r="P621" s="32" t="n"/>
      <c r="Q621" s="33" t="n"/>
      <c r="R621" s="33" t="n"/>
      <c r="S621" s="33" t="n"/>
      <c r="T621" s="33" t="n"/>
      <c r="U621" s="32" t="n"/>
      <c r="V621" s="33" t="n"/>
      <c r="W621" s="33" t="n"/>
      <c r="X621" s="33" t="n"/>
      <c r="Y621" s="33" t="n"/>
      <c r="Z621" s="33" t="n"/>
      <c r="AA621" s="33" t="n"/>
      <c r="AB621" s="33" t="n"/>
      <c r="AC621" s="33" t="n"/>
      <c r="AD621" s="33" t="n"/>
      <c r="AE621" s="33" t="n"/>
      <c r="AF621" s="32" t="n"/>
      <c r="AG621" s="32" t="n"/>
      <c r="AH621" s="32" t="n"/>
      <c r="AI621" s="32" t="n"/>
      <c r="AJ621" s="32" t="n"/>
      <c r="AK621" s="32" t="n"/>
      <c r="AL621" s="32" t="n"/>
      <c r="AM621" s="32" t="n"/>
      <c r="AN621" s="32" t="n"/>
      <c r="AO621" s="32" t="n"/>
      <c r="AP621" s="32" t="n"/>
      <c r="AQ621" s="32" t="n"/>
      <c r="AR621" s="29">
        <f>IF(NOT(COUNTA(A621:AE621)&gt;0),"",IF(A621="","New client","Update"))</f>
        <v/>
      </c>
      <c r="AS621" s="29">
        <f>IF(BA621&lt;&gt;"",BA621,IF(LEN(AZ621)=15,MID(AZ621,3,10),""))</f>
        <v/>
      </c>
      <c r="AT621" s="29">
        <f>IF(BB621="","",BB621&amp;IF(D621="","  (guessed from PAN)",""))</f>
        <v/>
      </c>
      <c r="AU621" s="29">
        <f>IF(AZ621="","",IFERROR(INDEX(Lists!$L$2:$L$38,MATCH(LEFT(AZ621,2),Lists!$K$2:$K$38,0)),"Unknown code"))</f>
        <v/>
      </c>
      <c r="AV621" s="29">
        <f>IF(AZ621="","",IFERROR(IF(NOT(AND(LEN(AZ621)=15,ISNUMBER(MATCH(LEFT(AZ621,2),Lists!$K$2:$K$38,0)),SUMPRODUCT(--ISERROR(FIND(MID(MID(AZ621,3,10),{1,2,3,4,5,10},1),"ABCDEFGHIJKLMNOPQRSTUVWXYZ")))=0,SUMPRODUCT(--ISERROR(FIND(MID(MID(AZ621,3,10),{6,7,8,9},1),"0123456789")))=0,ISNUMBER(FIND(MID(AZ621,13,1),"123456789ABCDEFGHIJKLMNOPQRSTUVWXYZ")),MID(AZ621,14,1)="Z")),"Wrong format",IF(MID("0123456789ABCDEFGHIJKLMNOPQRSTUVWXYZ",MOD(36-MOD(SUMPRODUCT(INT((FIND(MID(AZ621,{1,2,3,4,5,6,7,8,9,10,11,12,13,14},1),"0123456789ABCDEFGHIJKLMNOPQRSTUVWXYZ")-1)*{1,2,1,2,1,2,1,2,1,2,1,2,1,2}/36)+MOD((FIND(MID(AZ621,{1,2,3,4,5,6,7,8,9,10,11,12,13,14},1),"0123456789ABCDEFGHIJKLMNOPQRSTUVWXYZ")-1)*{1,2,1,2,1,2,1,2,1,2,1,2,1,2},36)),36),36)+1,1)=MID(AZ621,15,1),"OK","Typo? check digit wrong")),"Wrong format"))</f>
        <v/>
      </c>
      <c r="AW621" s="29">
        <f>IF(BA621="","",IF(AND(LEN(BA621)=10,SUMPRODUCT(--ISERROR(FIND(MID(BA621,{1,2,3,4,5,10},1),"ABCDEFGHIJKLMNOPQRSTUVWXYZ")))=0,SUMPRODUCT(--ISERROR(FIND(MID(BA621,{6,7,8,9},1),"0123456789")))=0),"OK","Wrong format"))</f>
        <v/>
      </c>
      <c r="AX621" s="29">
        <f>IF(TRIM(H621)="","",IF(AND(LEN(UPPER(TRIM(H621)))=10,SUMPRODUCT(--ISERROR(FIND(MID(UPPER(TRIM(H621)),{1,2,3,4,10},1),"ABCDEFGHIJKLMNOPQRSTUVWXYZ")))=0,SUMPRODUCT(--ISERROR(FIND(MID(UPPER(TRIM(H621)),{5,6,7,8,9},1),"0123456789")))=0),"OK","Wrong format"))</f>
        <v/>
      </c>
      <c r="AY621" s="30">
        <f>IF(NOT(COUNTA(A621:AE621)&gt;0),"",IF(BE621&lt;&gt;"","✖ "&amp;LEFT(BE621,LEN(BE621)-2),IF(BD621&gt;0,"✔ Ready — client + "&amp;BD621&amp;" service(s)","✔ Ready — client only")))</f>
        <v/>
      </c>
      <c r="AZ621" s="31">
        <f>UPPER(SUBSTITUTE(TRIM(F621)," ",""))</f>
        <v/>
      </c>
      <c r="BA621" s="31">
        <f>UPPER(SUBSTITUTE(TRIM(E621)," ",""))</f>
        <v/>
      </c>
      <c r="BB621" s="31">
        <f>IF(D621&lt;&gt;"",D621,IFERROR(VLOOKUP(MID(AS621,4,1),Lists!$E$2:$F$8,2,FALSE),""))</f>
        <v/>
      </c>
      <c r="BC621" s="31">
        <f>IFERROR(VLOOKUP(BB621,Lists!$A$2:$C$12,3,FALSE),"")</f>
        <v/>
      </c>
      <c r="BD621" s="31">
        <f>COUNTIF(W621:AC621,"Yes")</f>
        <v/>
      </c>
      <c r="BE621" s="31">
        <f>IF(TRIM(B621)="","Legal name missing; ","")&amp;IF(AND(AV621&lt;&gt;"",AV621&lt;&gt;"OK"),"GSTIN: "&amp;AV621&amp;"; ","")&amp;IF(AND(AW621&lt;&gt;"",AW621&lt;&gt;"OK"),"PAN wrong format; ","")&amp;IF(AND(BA621&lt;&gt;"",LEN(AZ621)=15,MID(AZ621,3,10)&lt;&gt;BA621),"PAN does not match GSTIN; ","")&amp;IF(AND(AX621&lt;&gt;"",AX621&lt;&gt;"OK"),"TAN wrong format; ","")&amp;IF(AS621="","PAN missing; ","")&amp;IF(BB621="","Entity type missing; ","")&amp;IF(AND(AZ621&lt;&gt;"",COUNTIF($AZ$6:$AZ$1005,AZ621)&gt;1),"GSTIN repeated in this sheet; ","")&amp;IF(AND(AS621&lt;&gt;"",COUNTIF($AS$6:$AS$1005,AS621)&gt;1),"PAN repeated in this sheet (same client? put extra GSTINs in Other GSTINs); ","")&amp;IF(AND(BD621&gt;0,V621=""),"Financial year missing; ","")&amp;IF(AND(BD621=0,V621&lt;&gt;""),"Financial year given but no service is Yes; ","")&amp;IF(AND(W621="Yes",AZ621=""),"GST needs a GSTIN; ","")&amp;IF(AND(W621="Yes",X621=""),"GST return frequency missing; ","")&amp;IF(AND(Y621="Yes",TRIM(H621)=""),"TDS needs a TAN; ","")&amp;IF(AND(AA621="Yes",BC621&lt;&gt;"",BC621&lt;&gt;"company",BC621&lt;&gt;"llp"),"ROC is only for a company / LLP; ","")&amp;IF(AND(AA621="Yes",OR(BC621="company",BC621="llp"),TRIM(I621)=""),"ROC needs the CIN / LLPIN; ","")&amp;IF((TRIM(AF621)="")&lt;&gt;(TRIM(AG621)=""),"GST login needs both user ID and password; ","")&amp;IF((TRIM(AH621)="")&lt;&gt;(TRIM(AI621)=""),"Income-tax login needs both user ID and password; ","")&amp;IF((TRIM(AJ621)="")&lt;&gt;(TRIM(AK621)=""),"Income-tax login needs both user ID and password; ","")&amp;IF((TRIM(AL621)="")&lt;&gt;(TRIM(AM621)=""),"TRACES login needs both user ID and password; ","")&amp;IF((TRIM(AN621)="")&lt;&gt;(TRIM(AO621)=""),"MCA login needs both user ID and password; ","")&amp;IF((TRIM(AP621)="")&lt;&gt;(TRIM(AQ621)=""),"E-way bill login needs both user ID and password; ","")</f>
        <v/>
      </c>
    </row>
    <row r="622">
      <c r="A622" s="32" t="n"/>
      <c r="B622" s="33" t="n"/>
      <c r="C622" s="33" t="n"/>
      <c r="D622" s="33" t="n"/>
      <c r="E622" s="32" t="n"/>
      <c r="F622" s="32" t="n"/>
      <c r="G622" s="32" t="n"/>
      <c r="H622" s="32" t="n"/>
      <c r="I622" s="32" t="n"/>
      <c r="J622" s="34" t="n"/>
      <c r="K622" s="33" t="n"/>
      <c r="L622" s="32" t="n"/>
      <c r="M622" s="33" t="n"/>
      <c r="N622" s="33" t="n"/>
      <c r="O622" s="33" t="n"/>
      <c r="P622" s="32" t="n"/>
      <c r="Q622" s="33" t="n"/>
      <c r="R622" s="33" t="n"/>
      <c r="S622" s="33" t="n"/>
      <c r="T622" s="33" t="n"/>
      <c r="U622" s="32" t="n"/>
      <c r="V622" s="33" t="n"/>
      <c r="W622" s="33" t="n"/>
      <c r="X622" s="33" t="n"/>
      <c r="Y622" s="33" t="n"/>
      <c r="Z622" s="33" t="n"/>
      <c r="AA622" s="33" t="n"/>
      <c r="AB622" s="33" t="n"/>
      <c r="AC622" s="33" t="n"/>
      <c r="AD622" s="33" t="n"/>
      <c r="AE622" s="33" t="n"/>
      <c r="AF622" s="32" t="n"/>
      <c r="AG622" s="32" t="n"/>
      <c r="AH622" s="32" t="n"/>
      <c r="AI622" s="32" t="n"/>
      <c r="AJ622" s="32" t="n"/>
      <c r="AK622" s="32" t="n"/>
      <c r="AL622" s="32" t="n"/>
      <c r="AM622" s="32" t="n"/>
      <c r="AN622" s="32" t="n"/>
      <c r="AO622" s="32" t="n"/>
      <c r="AP622" s="32" t="n"/>
      <c r="AQ622" s="32" t="n"/>
      <c r="AR622" s="29">
        <f>IF(NOT(COUNTA(A622:AE622)&gt;0),"",IF(A622="","New client","Update"))</f>
        <v/>
      </c>
      <c r="AS622" s="29">
        <f>IF(BA622&lt;&gt;"",BA622,IF(LEN(AZ622)=15,MID(AZ622,3,10),""))</f>
        <v/>
      </c>
      <c r="AT622" s="29">
        <f>IF(BB622="","",BB622&amp;IF(D622="","  (guessed from PAN)",""))</f>
        <v/>
      </c>
      <c r="AU622" s="29">
        <f>IF(AZ622="","",IFERROR(INDEX(Lists!$L$2:$L$38,MATCH(LEFT(AZ622,2),Lists!$K$2:$K$38,0)),"Unknown code"))</f>
        <v/>
      </c>
      <c r="AV622" s="29">
        <f>IF(AZ622="","",IFERROR(IF(NOT(AND(LEN(AZ622)=15,ISNUMBER(MATCH(LEFT(AZ622,2),Lists!$K$2:$K$38,0)),SUMPRODUCT(--ISERROR(FIND(MID(MID(AZ622,3,10),{1,2,3,4,5,10},1),"ABCDEFGHIJKLMNOPQRSTUVWXYZ")))=0,SUMPRODUCT(--ISERROR(FIND(MID(MID(AZ622,3,10),{6,7,8,9},1),"0123456789")))=0,ISNUMBER(FIND(MID(AZ622,13,1),"123456789ABCDEFGHIJKLMNOPQRSTUVWXYZ")),MID(AZ622,14,1)="Z")),"Wrong format",IF(MID("0123456789ABCDEFGHIJKLMNOPQRSTUVWXYZ",MOD(36-MOD(SUMPRODUCT(INT((FIND(MID(AZ622,{1,2,3,4,5,6,7,8,9,10,11,12,13,14},1),"0123456789ABCDEFGHIJKLMNOPQRSTUVWXYZ")-1)*{1,2,1,2,1,2,1,2,1,2,1,2,1,2}/36)+MOD((FIND(MID(AZ622,{1,2,3,4,5,6,7,8,9,10,11,12,13,14},1),"0123456789ABCDEFGHIJKLMNOPQRSTUVWXYZ")-1)*{1,2,1,2,1,2,1,2,1,2,1,2,1,2},36)),36),36)+1,1)=MID(AZ622,15,1),"OK","Typo? check digit wrong")),"Wrong format"))</f>
        <v/>
      </c>
      <c r="AW622" s="29">
        <f>IF(BA622="","",IF(AND(LEN(BA622)=10,SUMPRODUCT(--ISERROR(FIND(MID(BA622,{1,2,3,4,5,10},1),"ABCDEFGHIJKLMNOPQRSTUVWXYZ")))=0,SUMPRODUCT(--ISERROR(FIND(MID(BA622,{6,7,8,9},1),"0123456789")))=0),"OK","Wrong format"))</f>
        <v/>
      </c>
      <c r="AX622" s="29">
        <f>IF(TRIM(H622)="","",IF(AND(LEN(UPPER(TRIM(H622)))=10,SUMPRODUCT(--ISERROR(FIND(MID(UPPER(TRIM(H622)),{1,2,3,4,10},1),"ABCDEFGHIJKLMNOPQRSTUVWXYZ")))=0,SUMPRODUCT(--ISERROR(FIND(MID(UPPER(TRIM(H622)),{5,6,7,8,9},1),"0123456789")))=0),"OK","Wrong format"))</f>
        <v/>
      </c>
      <c r="AY622" s="30">
        <f>IF(NOT(COUNTA(A622:AE622)&gt;0),"",IF(BE622&lt;&gt;"","✖ "&amp;LEFT(BE622,LEN(BE622)-2),IF(BD622&gt;0,"✔ Ready — client + "&amp;BD622&amp;" service(s)","✔ Ready — client only")))</f>
        <v/>
      </c>
      <c r="AZ622" s="31">
        <f>UPPER(SUBSTITUTE(TRIM(F622)," ",""))</f>
        <v/>
      </c>
      <c r="BA622" s="31">
        <f>UPPER(SUBSTITUTE(TRIM(E622)," ",""))</f>
        <v/>
      </c>
      <c r="BB622" s="31">
        <f>IF(D622&lt;&gt;"",D622,IFERROR(VLOOKUP(MID(AS622,4,1),Lists!$E$2:$F$8,2,FALSE),""))</f>
        <v/>
      </c>
      <c r="BC622" s="31">
        <f>IFERROR(VLOOKUP(BB622,Lists!$A$2:$C$12,3,FALSE),"")</f>
        <v/>
      </c>
      <c r="BD622" s="31">
        <f>COUNTIF(W622:AC622,"Yes")</f>
        <v/>
      </c>
      <c r="BE622" s="31">
        <f>IF(TRIM(B622)="","Legal name missing; ","")&amp;IF(AND(AV622&lt;&gt;"",AV622&lt;&gt;"OK"),"GSTIN: "&amp;AV622&amp;"; ","")&amp;IF(AND(AW622&lt;&gt;"",AW622&lt;&gt;"OK"),"PAN wrong format; ","")&amp;IF(AND(BA622&lt;&gt;"",LEN(AZ622)=15,MID(AZ622,3,10)&lt;&gt;BA622),"PAN does not match GSTIN; ","")&amp;IF(AND(AX622&lt;&gt;"",AX622&lt;&gt;"OK"),"TAN wrong format; ","")&amp;IF(AS622="","PAN missing; ","")&amp;IF(BB622="","Entity type missing; ","")&amp;IF(AND(AZ622&lt;&gt;"",COUNTIF($AZ$6:$AZ$1005,AZ622)&gt;1),"GSTIN repeated in this sheet; ","")&amp;IF(AND(AS622&lt;&gt;"",COUNTIF($AS$6:$AS$1005,AS622)&gt;1),"PAN repeated in this sheet (same client? put extra GSTINs in Other GSTINs); ","")&amp;IF(AND(BD622&gt;0,V622=""),"Financial year missing; ","")&amp;IF(AND(BD622=0,V622&lt;&gt;""),"Financial year given but no service is Yes; ","")&amp;IF(AND(W622="Yes",AZ622=""),"GST needs a GSTIN; ","")&amp;IF(AND(W622="Yes",X622=""),"GST return frequency missing; ","")&amp;IF(AND(Y622="Yes",TRIM(H622)=""),"TDS needs a TAN; ","")&amp;IF(AND(AA622="Yes",BC622&lt;&gt;"",BC622&lt;&gt;"company",BC622&lt;&gt;"llp"),"ROC is only for a company / LLP; ","")&amp;IF(AND(AA622="Yes",OR(BC622="company",BC622="llp"),TRIM(I622)=""),"ROC needs the CIN / LLPIN; ","")&amp;IF((TRIM(AF622)="")&lt;&gt;(TRIM(AG622)=""),"GST login needs both user ID and password; ","")&amp;IF((TRIM(AH622)="")&lt;&gt;(TRIM(AI622)=""),"Income-tax login needs both user ID and password; ","")&amp;IF((TRIM(AJ622)="")&lt;&gt;(TRIM(AK622)=""),"Income-tax login needs both user ID and password; ","")&amp;IF((TRIM(AL622)="")&lt;&gt;(TRIM(AM622)=""),"TRACES login needs both user ID and password; ","")&amp;IF((TRIM(AN622)="")&lt;&gt;(TRIM(AO622)=""),"MCA login needs both user ID and password; ","")&amp;IF((TRIM(AP622)="")&lt;&gt;(TRIM(AQ622)=""),"E-way bill login needs both user ID and password; ","")</f>
        <v/>
      </c>
    </row>
    <row r="623">
      <c r="A623" s="32" t="n"/>
      <c r="B623" s="33" t="n"/>
      <c r="C623" s="33" t="n"/>
      <c r="D623" s="33" t="n"/>
      <c r="E623" s="32" t="n"/>
      <c r="F623" s="32" t="n"/>
      <c r="G623" s="32" t="n"/>
      <c r="H623" s="32" t="n"/>
      <c r="I623" s="32" t="n"/>
      <c r="J623" s="34" t="n"/>
      <c r="K623" s="33" t="n"/>
      <c r="L623" s="32" t="n"/>
      <c r="M623" s="33" t="n"/>
      <c r="N623" s="33" t="n"/>
      <c r="O623" s="33" t="n"/>
      <c r="P623" s="32" t="n"/>
      <c r="Q623" s="33" t="n"/>
      <c r="R623" s="33" t="n"/>
      <c r="S623" s="33" t="n"/>
      <c r="T623" s="33" t="n"/>
      <c r="U623" s="32" t="n"/>
      <c r="V623" s="33" t="n"/>
      <c r="W623" s="33" t="n"/>
      <c r="X623" s="33" t="n"/>
      <c r="Y623" s="33" t="n"/>
      <c r="Z623" s="33" t="n"/>
      <c r="AA623" s="33" t="n"/>
      <c r="AB623" s="33" t="n"/>
      <c r="AC623" s="33" t="n"/>
      <c r="AD623" s="33" t="n"/>
      <c r="AE623" s="33" t="n"/>
      <c r="AF623" s="32" t="n"/>
      <c r="AG623" s="32" t="n"/>
      <c r="AH623" s="32" t="n"/>
      <c r="AI623" s="32" t="n"/>
      <c r="AJ623" s="32" t="n"/>
      <c r="AK623" s="32" t="n"/>
      <c r="AL623" s="32" t="n"/>
      <c r="AM623" s="32" t="n"/>
      <c r="AN623" s="32" t="n"/>
      <c r="AO623" s="32" t="n"/>
      <c r="AP623" s="32" t="n"/>
      <c r="AQ623" s="32" t="n"/>
      <c r="AR623" s="29">
        <f>IF(NOT(COUNTA(A623:AE623)&gt;0),"",IF(A623="","New client","Update"))</f>
        <v/>
      </c>
      <c r="AS623" s="29">
        <f>IF(BA623&lt;&gt;"",BA623,IF(LEN(AZ623)=15,MID(AZ623,3,10),""))</f>
        <v/>
      </c>
      <c r="AT623" s="29">
        <f>IF(BB623="","",BB623&amp;IF(D623="","  (guessed from PAN)",""))</f>
        <v/>
      </c>
      <c r="AU623" s="29">
        <f>IF(AZ623="","",IFERROR(INDEX(Lists!$L$2:$L$38,MATCH(LEFT(AZ623,2),Lists!$K$2:$K$38,0)),"Unknown code"))</f>
        <v/>
      </c>
      <c r="AV623" s="29">
        <f>IF(AZ623="","",IFERROR(IF(NOT(AND(LEN(AZ623)=15,ISNUMBER(MATCH(LEFT(AZ623,2),Lists!$K$2:$K$38,0)),SUMPRODUCT(--ISERROR(FIND(MID(MID(AZ623,3,10),{1,2,3,4,5,10},1),"ABCDEFGHIJKLMNOPQRSTUVWXYZ")))=0,SUMPRODUCT(--ISERROR(FIND(MID(MID(AZ623,3,10),{6,7,8,9},1),"0123456789")))=0,ISNUMBER(FIND(MID(AZ623,13,1),"123456789ABCDEFGHIJKLMNOPQRSTUVWXYZ")),MID(AZ623,14,1)="Z")),"Wrong format",IF(MID("0123456789ABCDEFGHIJKLMNOPQRSTUVWXYZ",MOD(36-MOD(SUMPRODUCT(INT((FIND(MID(AZ623,{1,2,3,4,5,6,7,8,9,10,11,12,13,14},1),"0123456789ABCDEFGHIJKLMNOPQRSTUVWXYZ")-1)*{1,2,1,2,1,2,1,2,1,2,1,2,1,2}/36)+MOD((FIND(MID(AZ623,{1,2,3,4,5,6,7,8,9,10,11,12,13,14},1),"0123456789ABCDEFGHIJKLMNOPQRSTUVWXYZ")-1)*{1,2,1,2,1,2,1,2,1,2,1,2,1,2},36)),36),36)+1,1)=MID(AZ623,15,1),"OK","Typo? check digit wrong")),"Wrong format"))</f>
        <v/>
      </c>
      <c r="AW623" s="29">
        <f>IF(BA623="","",IF(AND(LEN(BA623)=10,SUMPRODUCT(--ISERROR(FIND(MID(BA623,{1,2,3,4,5,10},1),"ABCDEFGHIJKLMNOPQRSTUVWXYZ")))=0,SUMPRODUCT(--ISERROR(FIND(MID(BA623,{6,7,8,9},1),"0123456789")))=0),"OK","Wrong format"))</f>
        <v/>
      </c>
      <c r="AX623" s="29">
        <f>IF(TRIM(H623)="","",IF(AND(LEN(UPPER(TRIM(H623)))=10,SUMPRODUCT(--ISERROR(FIND(MID(UPPER(TRIM(H623)),{1,2,3,4,10},1),"ABCDEFGHIJKLMNOPQRSTUVWXYZ")))=0,SUMPRODUCT(--ISERROR(FIND(MID(UPPER(TRIM(H623)),{5,6,7,8,9},1),"0123456789")))=0),"OK","Wrong format"))</f>
        <v/>
      </c>
      <c r="AY623" s="30">
        <f>IF(NOT(COUNTA(A623:AE623)&gt;0),"",IF(BE623&lt;&gt;"","✖ "&amp;LEFT(BE623,LEN(BE623)-2),IF(BD623&gt;0,"✔ Ready — client + "&amp;BD623&amp;" service(s)","✔ Ready — client only")))</f>
        <v/>
      </c>
      <c r="AZ623" s="31">
        <f>UPPER(SUBSTITUTE(TRIM(F623)," ",""))</f>
        <v/>
      </c>
      <c r="BA623" s="31">
        <f>UPPER(SUBSTITUTE(TRIM(E623)," ",""))</f>
        <v/>
      </c>
      <c r="BB623" s="31">
        <f>IF(D623&lt;&gt;"",D623,IFERROR(VLOOKUP(MID(AS623,4,1),Lists!$E$2:$F$8,2,FALSE),""))</f>
        <v/>
      </c>
      <c r="BC623" s="31">
        <f>IFERROR(VLOOKUP(BB623,Lists!$A$2:$C$12,3,FALSE),"")</f>
        <v/>
      </c>
      <c r="BD623" s="31">
        <f>COUNTIF(W623:AC623,"Yes")</f>
        <v/>
      </c>
      <c r="BE623" s="31">
        <f>IF(TRIM(B623)="","Legal name missing; ","")&amp;IF(AND(AV623&lt;&gt;"",AV623&lt;&gt;"OK"),"GSTIN: "&amp;AV623&amp;"; ","")&amp;IF(AND(AW623&lt;&gt;"",AW623&lt;&gt;"OK"),"PAN wrong format; ","")&amp;IF(AND(BA623&lt;&gt;"",LEN(AZ623)=15,MID(AZ623,3,10)&lt;&gt;BA623),"PAN does not match GSTIN; ","")&amp;IF(AND(AX623&lt;&gt;"",AX623&lt;&gt;"OK"),"TAN wrong format; ","")&amp;IF(AS623="","PAN missing; ","")&amp;IF(BB623="","Entity type missing; ","")&amp;IF(AND(AZ623&lt;&gt;"",COUNTIF($AZ$6:$AZ$1005,AZ623)&gt;1),"GSTIN repeated in this sheet; ","")&amp;IF(AND(AS623&lt;&gt;"",COUNTIF($AS$6:$AS$1005,AS623)&gt;1),"PAN repeated in this sheet (same client? put extra GSTINs in Other GSTINs); ","")&amp;IF(AND(BD623&gt;0,V623=""),"Financial year missing; ","")&amp;IF(AND(BD623=0,V623&lt;&gt;""),"Financial year given but no service is Yes; ","")&amp;IF(AND(W623="Yes",AZ623=""),"GST needs a GSTIN; ","")&amp;IF(AND(W623="Yes",X623=""),"GST return frequency missing; ","")&amp;IF(AND(Y623="Yes",TRIM(H623)=""),"TDS needs a TAN; ","")&amp;IF(AND(AA623="Yes",BC623&lt;&gt;"",BC623&lt;&gt;"company",BC623&lt;&gt;"llp"),"ROC is only for a company / LLP; ","")&amp;IF(AND(AA623="Yes",OR(BC623="company",BC623="llp"),TRIM(I623)=""),"ROC needs the CIN / LLPIN; ","")&amp;IF((TRIM(AF623)="")&lt;&gt;(TRIM(AG623)=""),"GST login needs both user ID and password; ","")&amp;IF((TRIM(AH623)="")&lt;&gt;(TRIM(AI623)=""),"Income-tax login needs both user ID and password; ","")&amp;IF((TRIM(AJ623)="")&lt;&gt;(TRIM(AK623)=""),"Income-tax login needs both user ID and password; ","")&amp;IF((TRIM(AL623)="")&lt;&gt;(TRIM(AM623)=""),"TRACES login needs both user ID and password; ","")&amp;IF((TRIM(AN623)="")&lt;&gt;(TRIM(AO623)=""),"MCA login needs both user ID and password; ","")&amp;IF((TRIM(AP623)="")&lt;&gt;(TRIM(AQ623)=""),"E-way bill login needs both user ID and password; ","")</f>
        <v/>
      </c>
    </row>
    <row r="624">
      <c r="A624" s="32" t="n"/>
      <c r="B624" s="33" t="n"/>
      <c r="C624" s="33" t="n"/>
      <c r="D624" s="33" t="n"/>
      <c r="E624" s="32" t="n"/>
      <c r="F624" s="32" t="n"/>
      <c r="G624" s="32" t="n"/>
      <c r="H624" s="32" t="n"/>
      <c r="I624" s="32" t="n"/>
      <c r="J624" s="34" t="n"/>
      <c r="K624" s="33" t="n"/>
      <c r="L624" s="32" t="n"/>
      <c r="M624" s="33" t="n"/>
      <c r="N624" s="33" t="n"/>
      <c r="O624" s="33" t="n"/>
      <c r="P624" s="32" t="n"/>
      <c r="Q624" s="33" t="n"/>
      <c r="R624" s="33" t="n"/>
      <c r="S624" s="33" t="n"/>
      <c r="T624" s="33" t="n"/>
      <c r="U624" s="32" t="n"/>
      <c r="V624" s="33" t="n"/>
      <c r="W624" s="33" t="n"/>
      <c r="X624" s="33" t="n"/>
      <c r="Y624" s="33" t="n"/>
      <c r="Z624" s="33" t="n"/>
      <c r="AA624" s="33" t="n"/>
      <c r="AB624" s="33" t="n"/>
      <c r="AC624" s="33" t="n"/>
      <c r="AD624" s="33" t="n"/>
      <c r="AE624" s="33" t="n"/>
      <c r="AF624" s="32" t="n"/>
      <c r="AG624" s="32" t="n"/>
      <c r="AH624" s="32" t="n"/>
      <c r="AI624" s="32" t="n"/>
      <c r="AJ624" s="32" t="n"/>
      <c r="AK624" s="32" t="n"/>
      <c r="AL624" s="32" t="n"/>
      <c r="AM624" s="32" t="n"/>
      <c r="AN624" s="32" t="n"/>
      <c r="AO624" s="32" t="n"/>
      <c r="AP624" s="32" t="n"/>
      <c r="AQ624" s="32" t="n"/>
      <c r="AR624" s="29">
        <f>IF(NOT(COUNTA(A624:AE624)&gt;0),"",IF(A624="","New client","Update"))</f>
        <v/>
      </c>
      <c r="AS624" s="29">
        <f>IF(BA624&lt;&gt;"",BA624,IF(LEN(AZ624)=15,MID(AZ624,3,10),""))</f>
        <v/>
      </c>
      <c r="AT624" s="29">
        <f>IF(BB624="","",BB624&amp;IF(D624="","  (guessed from PAN)",""))</f>
        <v/>
      </c>
      <c r="AU624" s="29">
        <f>IF(AZ624="","",IFERROR(INDEX(Lists!$L$2:$L$38,MATCH(LEFT(AZ624,2),Lists!$K$2:$K$38,0)),"Unknown code"))</f>
        <v/>
      </c>
      <c r="AV624" s="29">
        <f>IF(AZ624="","",IFERROR(IF(NOT(AND(LEN(AZ624)=15,ISNUMBER(MATCH(LEFT(AZ624,2),Lists!$K$2:$K$38,0)),SUMPRODUCT(--ISERROR(FIND(MID(MID(AZ624,3,10),{1,2,3,4,5,10},1),"ABCDEFGHIJKLMNOPQRSTUVWXYZ")))=0,SUMPRODUCT(--ISERROR(FIND(MID(MID(AZ624,3,10),{6,7,8,9},1),"0123456789")))=0,ISNUMBER(FIND(MID(AZ624,13,1),"123456789ABCDEFGHIJKLMNOPQRSTUVWXYZ")),MID(AZ624,14,1)="Z")),"Wrong format",IF(MID("0123456789ABCDEFGHIJKLMNOPQRSTUVWXYZ",MOD(36-MOD(SUMPRODUCT(INT((FIND(MID(AZ624,{1,2,3,4,5,6,7,8,9,10,11,12,13,14},1),"0123456789ABCDEFGHIJKLMNOPQRSTUVWXYZ")-1)*{1,2,1,2,1,2,1,2,1,2,1,2,1,2}/36)+MOD((FIND(MID(AZ624,{1,2,3,4,5,6,7,8,9,10,11,12,13,14},1),"0123456789ABCDEFGHIJKLMNOPQRSTUVWXYZ")-1)*{1,2,1,2,1,2,1,2,1,2,1,2,1,2},36)),36),36)+1,1)=MID(AZ624,15,1),"OK","Typo? check digit wrong")),"Wrong format"))</f>
        <v/>
      </c>
      <c r="AW624" s="29">
        <f>IF(BA624="","",IF(AND(LEN(BA624)=10,SUMPRODUCT(--ISERROR(FIND(MID(BA624,{1,2,3,4,5,10},1),"ABCDEFGHIJKLMNOPQRSTUVWXYZ")))=0,SUMPRODUCT(--ISERROR(FIND(MID(BA624,{6,7,8,9},1),"0123456789")))=0),"OK","Wrong format"))</f>
        <v/>
      </c>
      <c r="AX624" s="29">
        <f>IF(TRIM(H624)="","",IF(AND(LEN(UPPER(TRIM(H624)))=10,SUMPRODUCT(--ISERROR(FIND(MID(UPPER(TRIM(H624)),{1,2,3,4,10},1),"ABCDEFGHIJKLMNOPQRSTUVWXYZ")))=0,SUMPRODUCT(--ISERROR(FIND(MID(UPPER(TRIM(H624)),{5,6,7,8,9},1),"0123456789")))=0),"OK","Wrong format"))</f>
        <v/>
      </c>
      <c r="AY624" s="30">
        <f>IF(NOT(COUNTA(A624:AE624)&gt;0),"",IF(BE624&lt;&gt;"","✖ "&amp;LEFT(BE624,LEN(BE624)-2),IF(BD624&gt;0,"✔ Ready — client + "&amp;BD624&amp;" service(s)","✔ Ready — client only")))</f>
        <v/>
      </c>
      <c r="AZ624" s="31">
        <f>UPPER(SUBSTITUTE(TRIM(F624)," ",""))</f>
        <v/>
      </c>
      <c r="BA624" s="31">
        <f>UPPER(SUBSTITUTE(TRIM(E624)," ",""))</f>
        <v/>
      </c>
      <c r="BB624" s="31">
        <f>IF(D624&lt;&gt;"",D624,IFERROR(VLOOKUP(MID(AS624,4,1),Lists!$E$2:$F$8,2,FALSE),""))</f>
        <v/>
      </c>
      <c r="BC624" s="31">
        <f>IFERROR(VLOOKUP(BB624,Lists!$A$2:$C$12,3,FALSE),"")</f>
        <v/>
      </c>
      <c r="BD624" s="31">
        <f>COUNTIF(W624:AC624,"Yes")</f>
        <v/>
      </c>
      <c r="BE624" s="31">
        <f>IF(TRIM(B624)="","Legal name missing; ","")&amp;IF(AND(AV624&lt;&gt;"",AV624&lt;&gt;"OK"),"GSTIN: "&amp;AV624&amp;"; ","")&amp;IF(AND(AW624&lt;&gt;"",AW624&lt;&gt;"OK"),"PAN wrong format; ","")&amp;IF(AND(BA624&lt;&gt;"",LEN(AZ624)=15,MID(AZ624,3,10)&lt;&gt;BA624),"PAN does not match GSTIN; ","")&amp;IF(AND(AX624&lt;&gt;"",AX624&lt;&gt;"OK"),"TAN wrong format; ","")&amp;IF(AS624="","PAN missing; ","")&amp;IF(BB624="","Entity type missing; ","")&amp;IF(AND(AZ624&lt;&gt;"",COUNTIF($AZ$6:$AZ$1005,AZ624)&gt;1),"GSTIN repeated in this sheet; ","")&amp;IF(AND(AS624&lt;&gt;"",COUNTIF($AS$6:$AS$1005,AS624)&gt;1),"PAN repeated in this sheet (same client? put extra GSTINs in Other GSTINs); ","")&amp;IF(AND(BD624&gt;0,V624=""),"Financial year missing; ","")&amp;IF(AND(BD624=0,V624&lt;&gt;""),"Financial year given but no service is Yes; ","")&amp;IF(AND(W624="Yes",AZ624=""),"GST needs a GSTIN; ","")&amp;IF(AND(W624="Yes",X624=""),"GST return frequency missing; ","")&amp;IF(AND(Y624="Yes",TRIM(H624)=""),"TDS needs a TAN; ","")&amp;IF(AND(AA624="Yes",BC624&lt;&gt;"",BC624&lt;&gt;"company",BC624&lt;&gt;"llp"),"ROC is only for a company / LLP; ","")&amp;IF(AND(AA624="Yes",OR(BC624="company",BC624="llp"),TRIM(I624)=""),"ROC needs the CIN / LLPIN; ","")&amp;IF((TRIM(AF624)="")&lt;&gt;(TRIM(AG624)=""),"GST login needs both user ID and password; ","")&amp;IF((TRIM(AH624)="")&lt;&gt;(TRIM(AI624)=""),"Income-tax login needs both user ID and password; ","")&amp;IF((TRIM(AJ624)="")&lt;&gt;(TRIM(AK624)=""),"Income-tax login needs both user ID and password; ","")&amp;IF((TRIM(AL624)="")&lt;&gt;(TRIM(AM624)=""),"TRACES login needs both user ID and password; ","")&amp;IF((TRIM(AN624)="")&lt;&gt;(TRIM(AO624)=""),"MCA login needs both user ID and password; ","")&amp;IF((TRIM(AP624)="")&lt;&gt;(TRIM(AQ624)=""),"E-way bill login needs both user ID and password; ","")</f>
        <v/>
      </c>
    </row>
    <row r="625">
      <c r="A625" s="32" t="n"/>
      <c r="B625" s="33" t="n"/>
      <c r="C625" s="33" t="n"/>
      <c r="D625" s="33" t="n"/>
      <c r="E625" s="32" t="n"/>
      <c r="F625" s="32" t="n"/>
      <c r="G625" s="32" t="n"/>
      <c r="H625" s="32" t="n"/>
      <c r="I625" s="32" t="n"/>
      <c r="J625" s="34" t="n"/>
      <c r="K625" s="33" t="n"/>
      <c r="L625" s="32" t="n"/>
      <c r="M625" s="33" t="n"/>
      <c r="N625" s="33" t="n"/>
      <c r="O625" s="33" t="n"/>
      <c r="P625" s="32" t="n"/>
      <c r="Q625" s="33" t="n"/>
      <c r="R625" s="33" t="n"/>
      <c r="S625" s="33" t="n"/>
      <c r="T625" s="33" t="n"/>
      <c r="U625" s="32" t="n"/>
      <c r="V625" s="33" t="n"/>
      <c r="W625" s="33" t="n"/>
      <c r="X625" s="33" t="n"/>
      <c r="Y625" s="33" t="n"/>
      <c r="Z625" s="33" t="n"/>
      <c r="AA625" s="33" t="n"/>
      <c r="AB625" s="33" t="n"/>
      <c r="AC625" s="33" t="n"/>
      <c r="AD625" s="33" t="n"/>
      <c r="AE625" s="33" t="n"/>
      <c r="AF625" s="32" t="n"/>
      <c r="AG625" s="32" t="n"/>
      <c r="AH625" s="32" t="n"/>
      <c r="AI625" s="32" t="n"/>
      <c r="AJ625" s="32" t="n"/>
      <c r="AK625" s="32" t="n"/>
      <c r="AL625" s="32" t="n"/>
      <c r="AM625" s="32" t="n"/>
      <c r="AN625" s="32" t="n"/>
      <c r="AO625" s="32" t="n"/>
      <c r="AP625" s="32" t="n"/>
      <c r="AQ625" s="32" t="n"/>
      <c r="AR625" s="29">
        <f>IF(NOT(COUNTA(A625:AE625)&gt;0),"",IF(A625="","New client","Update"))</f>
        <v/>
      </c>
      <c r="AS625" s="29">
        <f>IF(BA625&lt;&gt;"",BA625,IF(LEN(AZ625)=15,MID(AZ625,3,10),""))</f>
        <v/>
      </c>
      <c r="AT625" s="29">
        <f>IF(BB625="","",BB625&amp;IF(D625="","  (guessed from PAN)",""))</f>
        <v/>
      </c>
      <c r="AU625" s="29">
        <f>IF(AZ625="","",IFERROR(INDEX(Lists!$L$2:$L$38,MATCH(LEFT(AZ625,2),Lists!$K$2:$K$38,0)),"Unknown code"))</f>
        <v/>
      </c>
      <c r="AV625" s="29">
        <f>IF(AZ625="","",IFERROR(IF(NOT(AND(LEN(AZ625)=15,ISNUMBER(MATCH(LEFT(AZ625,2),Lists!$K$2:$K$38,0)),SUMPRODUCT(--ISERROR(FIND(MID(MID(AZ625,3,10),{1,2,3,4,5,10},1),"ABCDEFGHIJKLMNOPQRSTUVWXYZ")))=0,SUMPRODUCT(--ISERROR(FIND(MID(MID(AZ625,3,10),{6,7,8,9},1),"0123456789")))=0,ISNUMBER(FIND(MID(AZ625,13,1),"123456789ABCDEFGHIJKLMNOPQRSTUVWXYZ")),MID(AZ625,14,1)="Z")),"Wrong format",IF(MID("0123456789ABCDEFGHIJKLMNOPQRSTUVWXYZ",MOD(36-MOD(SUMPRODUCT(INT((FIND(MID(AZ625,{1,2,3,4,5,6,7,8,9,10,11,12,13,14},1),"0123456789ABCDEFGHIJKLMNOPQRSTUVWXYZ")-1)*{1,2,1,2,1,2,1,2,1,2,1,2,1,2}/36)+MOD((FIND(MID(AZ625,{1,2,3,4,5,6,7,8,9,10,11,12,13,14},1),"0123456789ABCDEFGHIJKLMNOPQRSTUVWXYZ")-1)*{1,2,1,2,1,2,1,2,1,2,1,2,1,2},36)),36),36)+1,1)=MID(AZ625,15,1),"OK","Typo? check digit wrong")),"Wrong format"))</f>
        <v/>
      </c>
      <c r="AW625" s="29">
        <f>IF(BA625="","",IF(AND(LEN(BA625)=10,SUMPRODUCT(--ISERROR(FIND(MID(BA625,{1,2,3,4,5,10},1),"ABCDEFGHIJKLMNOPQRSTUVWXYZ")))=0,SUMPRODUCT(--ISERROR(FIND(MID(BA625,{6,7,8,9},1),"0123456789")))=0),"OK","Wrong format"))</f>
        <v/>
      </c>
      <c r="AX625" s="29">
        <f>IF(TRIM(H625)="","",IF(AND(LEN(UPPER(TRIM(H625)))=10,SUMPRODUCT(--ISERROR(FIND(MID(UPPER(TRIM(H625)),{1,2,3,4,10},1),"ABCDEFGHIJKLMNOPQRSTUVWXYZ")))=0,SUMPRODUCT(--ISERROR(FIND(MID(UPPER(TRIM(H625)),{5,6,7,8,9},1),"0123456789")))=0),"OK","Wrong format"))</f>
        <v/>
      </c>
      <c r="AY625" s="30">
        <f>IF(NOT(COUNTA(A625:AE625)&gt;0),"",IF(BE625&lt;&gt;"","✖ "&amp;LEFT(BE625,LEN(BE625)-2),IF(BD625&gt;0,"✔ Ready — client + "&amp;BD625&amp;" service(s)","✔ Ready — client only")))</f>
        <v/>
      </c>
      <c r="AZ625" s="31">
        <f>UPPER(SUBSTITUTE(TRIM(F625)," ",""))</f>
        <v/>
      </c>
      <c r="BA625" s="31">
        <f>UPPER(SUBSTITUTE(TRIM(E625)," ",""))</f>
        <v/>
      </c>
      <c r="BB625" s="31">
        <f>IF(D625&lt;&gt;"",D625,IFERROR(VLOOKUP(MID(AS625,4,1),Lists!$E$2:$F$8,2,FALSE),""))</f>
        <v/>
      </c>
      <c r="BC625" s="31">
        <f>IFERROR(VLOOKUP(BB625,Lists!$A$2:$C$12,3,FALSE),"")</f>
        <v/>
      </c>
      <c r="BD625" s="31">
        <f>COUNTIF(W625:AC625,"Yes")</f>
        <v/>
      </c>
      <c r="BE625" s="31">
        <f>IF(TRIM(B625)="","Legal name missing; ","")&amp;IF(AND(AV625&lt;&gt;"",AV625&lt;&gt;"OK"),"GSTIN: "&amp;AV625&amp;"; ","")&amp;IF(AND(AW625&lt;&gt;"",AW625&lt;&gt;"OK"),"PAN wrong format; ","")&amp;IF(AND(BA625&lt;&gt;"",LEN(AZ625)=15,MID(AZ625,3,10)&lt;&gt;BA625),"PAN does not match GSTIN; ","")&amp;IF(AND(AX625&lt;&gt;"",AX625&lt;&gt;"OK"),"TAN wrong format; ","")&amp;IF(AS625="","PAN missing; ","")&amp;IF(BB625="","Entity type missing; ","")&amp;IF(AND(AZ625&lt;&gt;"",COUNTIF($AZ$6:$AZ$1005,AZ625)&gt;1),"GSTIN repeated in this sheet; ","")&amp;IF(AND(AS625&lt;&gt;"",COUNTIF($AS$6:$AS$1005,AS625)&gt;1),"PAN repeated in this sheet (same client? put extra GSTINs in Other GSTINs); ","")&amp;IF(AND(BD625&gt;0,V625=""),"Financial year missing; ","")&amp;IF(AND(BD625=0,V625&lt;&gt;""),"Financial year given but no service is Yes; ","")&amp;IF(AND(W625="Yes",AZ625=""),"GST needs a GSTIN; ","")&amp;IF(AND(W625="Yes",X625=""),"GST return frequency missing; ","")&amp;IF(AND(Y625="Yes",TRIM(H625)=""),"TDS needs a TAN; ","")&amp;IF(AND(AA625="Yes",BC625&lt;&gt;"",BC625&lt;&gt;"company",BC625&lt;&gt;"llp"),"ROC is only for a company / LLP; ","")&amp;IF(AND(AA625="Yes",OR(BC625="company",BC625="llp"),TRIM(I625)=""),"ROC needs the CIN / LLPIN; ","")&amp;IF((TRIM(AF625)="")&lt;&gt;(TRIM(AG625)=""),"GST login needs both user ID and password; ","")&amp;IF((TRIM(AH625)="")&lt;&gt;(TRIM(AI625)=""),"Income-tax login needs both user ID and password; ","")&amp;IF((TRIM(AJ625)="")&lt;&gt;(TRIM(AK625)=""),"Income-tax login needs both user ID and password; ","")&amp;IF((TRIM(AL625)="")&lt;&gt;(TRIM(AM625)=""),"TRACES login needs both user ID and password; ","")&amp;IF((TRIM(AN625)="")&lt;&gt;(TRIM(AO625)=""),"MCA login needs both user ID and password; ","")&amp;IF((TRIM(AP625)="")&lt;&gt;(TRIM(AQ625)=""),"E-way bill login needs both user ID and password; ","")</f>
        <v/>
      </c>
    </row>
    <row r="626">
      <c r="A626" s="32" t="n"/>
      <c r="B626" s="33" t="n"/>
      <c r="C626" s="33" t="n"/>
      <c r="D626" s="33" t="n"/>
      <c r="E626" s="32" t="n"/>
      <c r="F626" s="32" t="n"/>
      <c r="G626" s="32" t="n"/>
      <c r="H626" s="32" t="n"/>
      <c r="I626" s="32" t="n"/>
      <c r="J626" s="34" t="n"/>
      <c r="K626" s="33" t="n"/>
      <c r="L626" s="32" t="n"/>
      <c r="M626" s="33" t="n"/>
      <c r="N626" s="33" t="n"/>
      <c r="O626" s="33" t="n"/>
      <c r="P626" s="32" t="n"/>
      <c r="Q626" s="33" t="n"/>
      <c r="R626" s="33" t="n"/>
      <c r="S626" s="33" t="n"/>
      <c r="T626" s="33" t="n"/>
      <c r="U626" s="32" t="n"/>
      <c r="V626" s="33" t="n"/>
      <c r="W626" s="33" t="n"/>
      <c r="X626" s="33" t="n"/>
      <c r="Y626" s="33" t="n"/>
      <c r="Z626" s="33" t="n"/>
      <c r="AA626" s="33" t="n"/>
      <c r="AB626" s="33" t="n"/>
      <c r="AC626" s="33" t="n"/>
      <c r="AD626" s="33" t="n"/>
      <c r="AE626" s="33" t="n"/>
      <c r="AF626" s="32" t="n"/>
      <c r="AG626" s="32" t="n"/>
      <c r="AH626" s="32" t="n"/>
      <c r="AI626" s="32" t="n"/>
      <c r="AJ626" s="32" t="n"/>
      <c r="AK626" s="32" t="n"/>
      <c r="AL626" s="32" t="n"/>
      <c r="AM626" s="32" t="n"/>
      <c r="AN626" s="32" t="n"/>
      <c r="AO626" s="32" t="n"/>
      <c r="AP626" s="32" t="n"/>
      <c r="AQ626" s="32" t="n"/>
      <c r="AR626" s="29">
        <f>IF(NOT(COUNTA(A626:AE626)&gt;0),"",IF(A626="","New client","Update"))</f>
        <v/>
      </c>
      <c r="AS626" s="29">
        <f>IF(BA626&lt;&gt;"",BA626,IF(LEN(AZ626)=15,MID(AZ626,3,10),""))</f>
        <v/>
      </c>
      <c r="AT626" s="29">
        <f>IF(BB626="","",BB626&amp;IF(D626="","  (guessed from PAN)",""))</f>
        <v/>
      </c>
      <c r="AU626" s="29">
        <f>IF(AZ626="","",IFERROR(INDEX(Lists!$L$2:$L$38,MATCH(LEFT(AZ626,2),Lists!$K$2:$K$38,0)),"Unknown code"))</f>
        <v/>
      </c>
      <c r="AV626" s="29">
        <f>IF(AZ626="","",IFERROR(IF(NOT(AND(LEN(AZ626)=15,ISNUMBER(MATCH(LEFT(AZ626,2),Lists!$K$2:$K$38,0)),SUMPRODUCT(--ISERROR(FIND(MID(MID(AZ626,3,10),{1,2,3,4,5,10},1),"ABCDEFGHIJKLMNOPQRSTUVWXYZ")))=0,SUMPRODUCT(--ISERROR(FIND(MID(MID(AZ626,3,10),{6,7,8,9},1),"0123456789")))=0,ISNUMBER(FIND(MID(AZ626,13,1),"123456789ABCDEFGHIJKLMNOPQRSTUVWXYZ")),MID(AZ626,14,1)="Z")),"Wrong format",IF(MID("0123456789ABCDEFGHIJKLMNOPQRSTUVWXYZ",MOD(36-MOD(SUMPRODUCT(INT((FIND(MID(AZ626,{1,2,3,4,5,6,7,8,9,10,11,12,13,14},1),"0123456789ABCDEFGHIJKLMNOPQRSTUVWXYZ")-1)*{1,2,1,2,1,2,1,2,1,2,1,2,1,2}/36)+MOD((FIND(MID(AZ626,{1,2,3,4,5,6,7,8,9,10,11,12,13,14},1),"0123456789ABCDEFGHIJKLMNOPQRSTUVWXYZ")-1)*{1,2,1,2,1,2,1,2,1,2,1,2,1,2},36)),36),36)+1,1)=MID(AZ626,15,1),"OK","Typo? check digit wrong")),"Wrong format"))</f>
        <v/>
      </c>
      <c r="AW626" s="29">
        <f>IF(BA626="","",IF(AND(LEN(BA626)=10,SUMPRODUCT(--ISERROR(FIND(MID(BA626,{1,2,3,4,5,10},1),"ABCDEFGHIJKLMNOPQRSTUVWXYZ")))=0,SUMPRODUCT(--ISERROR(FIND(MID(BA626,{6,7,8,9},1),"0123456789")))=0),"OK","Wrong format"))</f>
        <v/>
      </c>
      <c r="AX626" s="29">
        <f>IF(TRIM(H626)="","",IF(AND(LEN(UPPER(TRIM(H626)))=10,SUMPRODUCT(--ISERROR(FIND(MID(UPPER(TRIM(H626)),{1,2,3,4,10},1),"ABCDEFGHIJKLMNOPQRSTUVWXYZ")))=0,SUMPRODUCT(--ISERROR(FIND(MID(UPPER(TRIM(H626)),{5,6,7,8,9},1),"0123456789")))=0),"OK","Wrong format"))</f>
        <v/>
      </c>
      <c r="AY626" s="30">
        <f>IF(NOT(COUNTA(A626:AE626)&gt;0),"",IF(BE626&lt;&gt;"","✖ "&amp;LEFT(BE626,LEN(BE626)-2),IF(BD626&gt;0,"✔ Ready — client + "&amp;BD626&amp;" service(s)","✔ Ready — client only")))</f>
        <v/>
      </c>
      <c r="AZ626" s="31">
        <f>UPPER(SUBSTITUTE(TRIM(F626)," ",""))</f>
        <v/>
      </c>
      <c r="BA626" s="31">
        <f>UPPER(SUBSTITUTE(TRIM(E626)," ",""))</f>
        <v/>
      </c>
      <c r="BB626" s="31">
        <f>IF(D626&lt;&gt;"",D626,IFERROR(VLOOKUP(MID(AS626,4,1),Lists!$E$2:$F$8,2,FALSE),""))</f>
        <v/>
      </c>
      <c r="BC626" s="31">
        <f>IFERROR(VLOOKUP(BB626,Lists!$A$2:$C$12,3,FALSE),"")</f>
        <v/>
      </c>
      <c r="BD626" s="31">
        <f>COUNTIF(W626:AC626,"Yes")</f>
        <v/>
      </c>
      <c r="BE626" s="31">
        <f>IF(TRIM(B626)="","Legal name missing; ","")&amp;IF(AND(AV626&lt;&gt;"",AV626&lt;&gt;"OK"),"GSTIN: "&amp;AV626&amp;"; ","")&amp;IF(AND(AW626&lt;&gt;"",AW626&lt;&gt;"OK"),"PAN wrong format; ","")&amp;IF(AND(BA626&lt;&gt;"",LEN(AZ626)=15,MID(AZ626,3,10)&lt;&gt;BA626),"PAN does not match GSTIN; ","")&amp;IF(AND(AX626&lt;&gt;"",AX626&lt;&gt;"OK"),"TAN wrong format; ","")&amp;IF(AS626="","PAN missing; ","")&amp;IF(BB626="","Entity type missing; ","")&amp;IF(AND(AZ626&lt;&gt;"",COUNTIF($AZ$6:$AZ$1005,AZ626)&gt;1),"GSTIN repeated in this sheet; ","")&amp;IF(AND(AS626&lt;&gt;"",COUNTIF($AS$6:$AS$1005,AS626)&gt;1),"PAN repeated in this sheet (same client? put extra GSTINs in Other GSTINs); ","")&amp;IF(AND(BD626&gt;0,V626=""),"Financial year missing; ","")&amp;IF(AND(BD626=0,V626&lt;&gt;""),"Financial year given but no service is Yes; ","")&amp;IF(AND(W626="Yes",AZ626=""),"GST needs a GSTIN; ","")&amp;IF(AND(W626="Yes",X626=""),"GST return frequency missing; ","")&amp;IF(AND(Y626="Yes",TRIM(H626)=""),"TDS needs a TAN; ","")&amp;IF(AND(AA626="Yes",BC626&lt;&gt;"",BC626&lt;&gt;"company",BC626&lt;&gt;"llp"),"ROC is only for a company / LLP; ","")&amp;IF(AND(AA626="Yes",OR(BC626="company",BC626="llp"),TRIM(I626)=""),"ROC needs the CIN / LLPIN; ","")&amp;IF((TRIM(AF626)="")&lt;&gt;(TRIM(AG626)=""),"GST login needs both user ID and password; ","")&amp;IF((TRIM(AH626)="")&lt;&gt;(TRIM(AI626)=""),"Income-tax login needs both user ID and password; ","")&amp;IF((TRIM(AJ626)="")&lt;&gt;(TRIM(AK626)=""),"Income-tax login needs both user ID and password; ","")&amp;IF((TRIM(AL626)="")&lt;&gt;(TRIM(AM626)=""),"TRACES login needs both user ID and password; ","")&amp;IF((TRIM(AN626)="")&lt;&gt;(TRIM(AO626)=""),"MCA login needs both user ID and password; ","")&amp;IF((TRIM(AP626)="")&lt;&gt;(TRIM(AQ626)=""),"E-way bill login needs both user ID and password; ","")</f>
        <v/>
      </c>
    </row>
    <row r="627">
      <c r="A627" s="32" t="n"/>
      <c r="B627" s="33" t="n"/>
      <c r="C627" s="33" t="n"/>
      <c r="D627" s="33" t="n"/>
      <c r="E627" s="32" t="n"/>
      <c r="F627" s="32" t="n"/>
      <c r="G627" s="32" t="n"/>
      <c r="H627" s="32" t="n"/>
      <c r="I627" s="32" t="n"/>
      <c r="J627" s="34" t="n"/>
      <c r="K627" s="33" t="n"/>
      <c r="L627" s="32" t="n"/>
      <c r="M627" s="33" t="n"/>
      <c r="N627" s="33" t="n"/>
      <c r="O627" s="33" t="n"/>
      <c r="P627" s="32" t="n"/>
      <c r="Q627" s="33" t="n"/>
      <c r="R627" s="33" t="n"/>
      <c r="S627" s="33" t="n"/>
      <c r="T627" s="33" t="n"/>
      <c r="U627" s="32" t="n"/>
      <c r="V627" s="33" t="n"/>
      <c r="W627" s="33" t="n"/>
      <c r="X627" s="33" t="n"/>
      <c r="Y627" s="33" t="n"/>
      <c r="Z627" s="33" t="n"/>
      <c r="AA627" s="33" t="n"/>
      <c r="AB627" s="33" t="n"/>
      <c r="AC627" s="33" t="n"/>
      <c r="AD627" s="33" t="n"/>
      <c r="AE627" s="33" t="n"/>
      <c r="AF627" s="32" t="n"/>
      <c r="AG627" s="32" t="n"/>
      <c r="AH627" s="32" t="n"/>
      <c r="AI627" s="32" t="n"/>
      <c r="AJ627" s="32" t="n"/>
      <c r="AK627" s="32" t="n"/>
      <c r="AL627" s="32" t="n"/>
      <c r="AM627" s="32" t="n"/>
      <c r="AN627" s="32" t="n"/>
      <c r="AO627" s="32" t="n"/>
      <c r="AP627" s="32" t="n"/>
      <c r="AQ627" s="32" t="n"/>
      <c r="AR627" s="29">
        <f>IF(NOT(COUNTA(A627:AE627)&gt;0),"",IF(A627="","New client","Update"))</f>
        <v/>
      </c>
      <c r="AS627" s="29">
        <f>IF(BA627&lt;&gt;"",BA627,IF(LEN(AZ627)=15,MID(AZ627,3,10),""))</f>
        <v/>
      </c>
      <c r="AT627" s="29">
        <f>IF(BB627="","",BB627&amp;IF(D627="","  (guessed from PAN)",""))</f>
        <v/>
      </c>
      <c r="AU627" s="29">
        <f>IF(AZ627="","",IFERROR(INDEX(Lists!$L$2:$L$38,MATCH(LEFT(AZ627,2),Lists!$K$2:$K$38,0)),"Unknown code"))</f>
        <v/>
      </c>
      <c r="AV627" s="29">
        <f>IF(AZ627="","",IFERROR(IF(NOT(AND(LEN(AZ627)=15,ISNUMBER(MATCH(LEFT(AZ627,2),Lists!$K$2:$K$38,0)),SUMPRODUCT(--ISERROR(FIND(MID(MID(AZ627,3,10),{1,2,3,4,5,10},1),"ABCDEFGHIJKLMNOPQRSTUVWXYZ")))=0,SUMPRODUCT(--ISERROR(FIND(MID(MID(AZ627,3,10),{6,7,8,9},1),"0123456789")))=0,ISNUMBER(FIND(MID(AZ627,13,1),"123456789ABCDEFGHIJKLMNOPQRSTUVWXYZ")),MID(AZ627,14,1)="Z")),"Wrong format",IF(MID("0123456789ABCDEFGHIJKLMNOPQRSTUVWXYZ",MOD(36-MOD(SUMPRODUCT(INT((FIND(MID(AZ627,{1,2,3,4,5,6,7,8,9,10,11,12,13,14},1),"0123456789ABCDEFGHIJKLMNOPQRSTUVWXYZ")-1)*{1,2,1,2,1,2,1,2,1,2,1,2,1,2}/36)+MOD((FIND(MID(AZ627,{1,2,3,4,5,6,7,8,9,10,11,12,13,14},1),"0123456789ABCDEFGHIJKLMNOPQRSTUVWXYZ")-1)*{1,2,1,2,1,2,1,2,1,2,1,2,1,2},36)),36),36)+1,1)=MID(AZ627,15,1),"OK","Typo? check digit wrong")),"Wrong format"))</f>
        <v/>
      </c>
      <c r="AW627" s="29">
        <f>IF(BA627="","",IF(AND(LEN(BA627)=10,SUMPRODUCT(--ISERROR(FIND(MID(BA627,{1,2,3,4,5,10},1),"ABCDEFGHIJKLMNOPQRSTUVWXYZ")))=0,SUMPRODUCT(--ISERROR(FIND(MID(BA627,{6,7,8,9},1),"0123456789")))=0),"OK","Wrong format"))</f>
        <v/>
      </c>
      <c r="AX627" s="29">
        <f>IF(TRIM(H627)="","",IF(AND(LEN(UPPER(TRIM(H627)))=10,SUMPRODUCT(--ISERROR(FIND(MID(UPPER(TRIM(H627)),{1,2,3,4,10},1),"ABCDEFGHIJKLMNOPQRSTUVWXYZ")))=0,SUMPRODUCT(--ISERROR(FIND(MID(UPPER(TRIM(H627)),{5,6,7,8,9},1),"0123456789")))=0),"OK","Wrong format"))</f>
        <v/>
      </c>
      <c r="AY627" s="30">
        <f>IF(NOT(COUNTA(A627:AE627)&gt;0),"",IF(BE627&lt;&gt;"","✖ "&amp;LEFT(BE627,LEN(BE627)-2),IF(BD627&gt;0,"✔ Ready — client + "&amp;BD627&amp;" service(s)","✔ Ready — client only")))</f>
        <v/>
      </c>
      <c r="AZ627" s="31">
        <f>UPPER(SUBSTITUTE(TRIM(F627)," ",""))</f>
        <v/>
      </c>
      <c r="BA627" s="31">
        <f>UPPER(SUBSTITUTE(TRIM(E627)," ",""))</f>
        <v/>
      </c>
      <c r="BB627" s="31">
        <f>IF(D627&lt;&gt;"",D627,IFERROR(VLOOKUP(MID(AS627,4,1),Lists!$E$2:$F$8,2,FALSE),""))</f>
        <v/>
      </c>
      <c r="BC627" s="31">
        <f>IFERROR(VLOOKUP(BB627,Lists!$A$2:$C$12,3,FALSE),"")</f>
        <v/>
      </c>
      <c r="BD627" s="31">
        <f>COUNTIF(W627:AC627,"Yes")</f>
        <v/>
      </c>
      <c r="BE627" s="31">
        <f>IF(TRIM(B627)="","Legal name missing; ","")&amp;IF(AND(AV627&lt;&gt;"",AV627&lt;&gt;"OK"),"GSTIN: "&amp;AV627&amp;"; ","")&amp;IF(AND(AW627&lt;&gt;"",AW627&lt;&gt;"OK"),"PAN wrong format; ","")&amp;IF(AND(BA627&lt;&gt;"",LEN(AZ627)=15,MID(AZ627,3,10)&lt;&gt;BA627),"PAN does not match GSTIN; ","")&amp;IF(AND(AX627&lt;&gt;"",AX627&lt;&gt;"OK"),"TAN wrong format; ","")&amp;IF(AS627="","PAN missing; ","")&amp;IF(BB627="","Entity type missing; ","")&amp;IF(AND(AZ627&lt;&gt;"",COUNTIF($AZ$6:$AZ$1005,AZ627)&gt;1),"GSTIN repeated in this sheet; ","")&amp;IF(AND(AS627&lt;&gt;"",COUNTIF($AS$6:$AS$1005,AS627)&gt;1),"PAN repeated in this sheet (same client? put extra GSTINs in Other GSTINs); ","")&amp;IF(AND(BD627&gt;0,V627=""),"Financial year missing; ","")&amp;IF(AND(BD627=0,V627&lt;&gt;""),"Financial year given but no service is Yes; ","")&amp;IF(AND(W627="Yes",AZ627=""),"GST needs a GSTIN; ","")&amp;IF(AND(W627="Yes",X627=""),"GST return frequency missing; ","")&amp;IF(AND(Y627="Yes",TRIM(H627)=""),"TDS needs a TAN; ","")&amp;IF(AND(AA627="Yes",BC627&lt;&gt;"",BC627&lt;&gt;"company",BC627&lt;&gt;"llp"),"ROC is only for a company / LLP; ","")&amp;IF(AND(AA627="Yes",OR(BC627="company",BC627="llp"),TRIM(I627)=""),"ROC needs the CIN / LLPIN; ","")&amp;IF((TRIM(AF627)="")&lt;&gt;(TRIM(AG627)=""),"GST login needs both user ID and password; ","")&amp;IF((TRIM(AH627)="")&lt;&gt;(TRIM(AI627)=""),"Income-tax login needs both user ID and password; ","")&amp;IF((TRIM(AJ627)="")&lt;&gt;(TRIM(AK627)=""),"Income-tax login needs both user ID and password; ","")&amp;IF((TRIM(AL627)="")&lt;&gt;(TRIM(AM627)=""),"TRACES login needs both user ID and password; ","")&amp;IF((TRIM(AN627)="")&lt;&gt;(TRIM(AO627)=""),"MCA login needs both user ID and password; ","")&amp;IF((TRIM(AP627)="")&lt;&gt;(TRIM(AQ627)=""),"E-way bill login needs both user ID and password; ","")</f>
        <v/>
      </c>
    </row>
    <row r="628">
      <c r="A628" s="32" t="n"/>
      <c r="B628" s="33" t="n"/>
      <c r="C628" s="33" t="n"/>
      <c r="D628" s="33" t="n"/>
      <c r="E628" s="32" t="n"/>
      <c r="F628" s="32" t="n"/>
      <c r="G628" s="32" t="n"/>
      <c r="H628" s="32" t="n"/>
      <c r="I628" s="32" t="n"/>
      <c r="J628" s="34" t="n"/>
      <c r="K628" s="33" t="n"/>
      <c r="L628" s="32" t="n"/>
      <c r="M628" s="33" t="n"/>
      <c r="N628" s="33" t="n"/>
      <c r="O628" s="33" t="n"/>
      <c r="P628" s="32" t="n"/>
      <c r="Q628" s="33" t="n"/>
      <c r="R628" s="33" t="n"/>
      <c r="S628" s="33" t="n"/>
      <c r="T628" s="33" t="n"/>
      <c r="U628" s="32" t="n"/>
      <c r="V628" s="33" t="n"/>
      <c r="W628" s="33" t="n"/>
      <c r="X628" s="33" t="n"/>
      <c r="Y628" s="33" t="n"/>
      <c r="Z628" s="33" t="n"/>
      <c r="AA628" s="33" t="n"/>
      <c r="AB628" s="33" t="n"/>
      <c r="AC628" s="33" t="n"/>
      <c r="AD628" s="33" t="n"/>
      <c r="AE628" s="33" t="n"/>
      <c r="AF628" s="32" t="n"/>
      <c r="AG628" s="32" t="n"/>
      <c r="AH628" s="32" t="n"/>
      <c r="AI628" s="32" t="n"/>
      <c r="AJ628" s="32" t="n"/>
      <c r="AK628" s="32" t="n"/>
      <c r="AL628" s="32" t="n"/>
      <c r="AM628" s="32" t="n"/>
      <c r="AN628" s="32" t="n"/>
      <c r="AO628" s="32" t="n"/>
      <c r="AP628" s="32" t="n"/>
      <c r="AQ628" s="32" t="n"/>
      <c r="AR628" s="29">
        <f>IF(NOT(COUNTA(A628:AE628)&gt;0),"",IF(A628="","New client","Update"))</f>
        <v/>
      </c>
      <c r="AS628" s="29">
        <f>IF(BA628&lt;&gt;"",BA628,IF(LEN(AZ628)=15,MID(AZ628,3,10),""))</f>
        <v/>
      </c>
      <c r="AT628" s="29">
        <f>IF(BB628="","",BB628&amp;IF(D628="","  (guessed from PAN)",""))</f>
        <v/>
      </c>
      <c r="AU628" s="29">
        <f>IF(AZ628="","",IFERROR(INDEX(Lists!$L$2:$L$38,MATCH(LEFT(AZ628,2),Lists!$K$2:$K$38,0)),"Unknown code"))</f>
        <v/>
      </c>
      <c r="AV628" s="29">
        <f>IF(AZ628="","",IFERROR(IF(NOT(AND(LEN(AZ628)=15,ISNUMBER(MATCH(LEFT(AZ628,2),Lists!$K$2:$K$38,0)),SUMPRODUCT(--ISERROR(FIND(MID(MID(AZ628,3,10),{1,2,3,4,5,10},1),"ABCDEFGHIJKLMNOPQRSTUVWXYZ")))=0,SUMPRODUCT(--ISERROR(FIND(MID(MID(AZ628,3,10),{6,7,8,9},1),"0123456789")))=0,ISNUMBER(FIND(MID(AZ628,13,1),"123456789ABCDEFGHIJKLMNOPQRSTUVWXYZ")),MID(AZ628,14,1)="Z")),"Wrong format",IF(MID("0123456789ABCDEFGHIJKLMNOPQRSTUVWXYZ",MOD(36-MOD(SUMPRODUCT(INT((FIND(MID(AZ628,{1,2,3,4,5,6,7,8,9,10,11,12,13,14},1),"0123456789ABCDEFGHIJKLMNOPQRSTUVWXYZ")-1)*{1,2,1,2,1,2,1,2,1,2,1,2,1,2}/36)+MOD((FIND(MID(AZ628,{1,2,3,4,5,6,7,8,9,10,11,12,13,14},1),"0123456789ABCDEFGHIJKLMNOPQRSTUVWXYZ")-1)*{1,2,1,2,1,2,1,2,1,2,1,2,1,2},36)),36),36)+1,1)=MID(AZ628,15,1),"OK","Typo? check digit wrong")),"Wrong format"))</f>
        <v/>
      </c>
      <c r="AW628" s="29">
        <f>IF(BA628="","",IF(AND(LEN(BA628)=10,SUMPRODUCT(--ISERROR(FIND(MID(BA628,{1,2,3,4,5,10},1),"ABCDEFGHIJKLMNOPQRSTUVWXYZ")))=0,SUMPRODUCT(--ISERROR(FIND(MID(BA628,{6,7,8,9},1),"0123456789")))=0),"OK","Wrong format"))</f>
        <v/>
      </c>
      <c r="AX628" s="29">
        <f>IF(TRIM(H628)="","",IF(AND(LEN(UPPER(TRIM(H628)))=10,SUMPRODUCT(--ISERROR(FIND(MID(UPPER(TRIM(H628)),{1,2,3,4,10},1),"ABCDEFGHIJKLMNOPQRSTUVWXYZ")))=0,SUMPRODUCT(--ISERROR(FIND(MID(UPPER(TRIM(H628)),{5,6,7,8,9},1),"0123456789")))=0),"OK","Wrong format"))</f>
        <v/>
      </c>
      <c r="AY628" s="30">
        <f>IF(NOT(COUNTA(A628:AE628)&gt;0),"",IF(BE628&lt;&gt;"","✖ "&amp;LEFT(BE628,LEN(BE628)-2),IF(BD628&gt;0,"✔ Ready — client + "&amp;BD628&amp;" service(s)","✔ Ready — client only")))</f>
        <v/>
      </c>
      <c r="AZ628" s="31">
        <f>UPPER(SUBSTITUTE(TRIM(F628)," ",""))</f>
        <v/>
      </c>
      <c r="BA628" s="31">
        <f>UPPER(SUBSTITUTE(TRIM(E628)," ",""))</f>
        <v/>
      </c>
      <c r="BB628" s="31">
        <f>IF(D628&lt;&gt;"",D628,IFERROR(VLOOKUP(MID(AS628,4,1),Lists!$E$2:$F$8,2,FALSE),""))</f>
        <v/>
      </c>
      <c r="BC628" s="31">
        <f>IFERROR(VLOOKUP(BB628,Lists!$A$2:$C$12,3,FALSE),"")</f>
        <v/>
      </c>
      <c r="BD628" s="31">
        <f>COUNTIF(W628:AC628,"Yes")</f>
        <v/>
      </c>
      <c r="BE628" s="31">
        <f>IF(TRIM(B628)="","Legal name missing; ","")&amp;IF(AND(AV628&lt;&gt;"",AV628&lt;&gt;"OK"),"GSTIN: "&amp;AV628&amp;"; ","")&amp;IF(AND(AW628&lt;&gt;"",AW628&lt;&gt;"OK"),"PAN wrong format; ","")&amp;IF(AND(BA628&lt;&gt;"",LEN(AZ628)=15,MID(AZ628,3,10)&lt;&gt;BA628),"PAN does not match GSTIN; ","")&amp;IF(AND(AX628&lt;&gt;"",AX628&lt;&gt;"OK"),"TAN wrong format; ","")&amp;IF(AS628="","PAN missing; ","")&amp;IF(BB628="","Entity type missing; ","")&amp;IF(AND(AZ628&lt;&gt;"",COUNTIF($AZ$6:$AZ$1005,AZ628)&gt;1),"GSTIN repeated in this sheet; ","")&amp;IF(AND(AS628&lt;&gt;"",COUNTIF($AS$6:$AS$1005,AS628)&gt;1),"PAN repeated in this sheet (same client? put extra GSTINs in Other GSTINs); ","")&amp;IF(AND(BD628&gt;0,V628=""),"Financial year missing; ","")&amp;IF(AND(BD628=0,V628&lt;&gt;""),"Financial year given but no service is Yes; ","")&amp;IF(AND(W628="Yes",AZ628=""),"GST needs a GSTIN; ","")&amp;IF(AND(W628="Yes",X628=""),"GST return frequency missing; ","")&amp;IF(AND(Y628="Yes",TRIM(H628)=""),"TDS needs a TAN; ","")&amp;IF(AND(AA628="Yes",BC628&lt;&gt;"",BC628&lt;&gt;"company",BC628&lt;&gt;"llp"),"ROC is only for a company / LLP; ","")&amp;IF(AND(AA628="Yes",OR(BC628="company",BC628="llp"),TRIM(I628)=""),"ROC needs the CIN / LLPIN; ","")&amp;IF((TRIM(AF628)="")&lt;&gt;(TRIM(AG628)=""),"GST login needs both user ID and password; ","")&amp;IF((TRIM(AH628)="")&lt;&gt;(TRIM(AI628)=""),"Income-tax login needs both user ID and password; ","")&amp;IF((TRIM(AJ628)="")&lt;&gt;(TRIM(AK628)=""),"Income-tax login needs both user ID and password; ","")&amp;IF((TRIM(AL628)="")&lt;&gt;(TRIM(AM628)=""),"TRACES login needs both user ID and password; ","")&amp;IF((TRIM(AN628)="")&lt;&gt;(TRIM(AO628)=""),"MCA login needs both user ID and password; ","")&amp;IF((TRIM(AP628)="")&lt;&gt;(TRIM(AQ628)=""),"E-way bill login needs both user ID and password; ","")</f>
        <v/>
      </c>
    </row>
    <row r="629">
      <c r="A629" s="32" t="n"/>
      <c r="B629" s="33" t="n"/>
      <c r="C629" s="33" t="n"/>
      <c r="D629" s="33" t="n"/>
      <c r="E629" s="32" t="n"/>
      <c r="F629" s="32" t="n"/>
      <c r="G629" s="32" t="n"/>
      <c r="H629" s="32" t="n"/>
      <c r="I629" s="32" t="n"/>
      <c r="J629" s="34" t="n"/>
      <c r="K629" s="33" t="n"/>
      <c r="L629" s="32" t="n"/>
      <c r="M629" s="33" t="n"/>
      <c r="N629" s="33" t="n"/>
      <c r="O629" s="33" t="n"/>
      <c r="P629" s="32" t="n"/>
      <c r="Q629" s="33" t="n"/>
      <c r="R629" s="33" t="n"/>
      <c r="S629" s="33" t="n"/>
      <c r="T629" s="33" t="n"/>
      <c r="U629" s="32" t="n"/>
      <c r="V629" s="33" t="n"/>
      <c r="W629" s="33" t="n"/>
      <c r="X629" s="33" t="n"/>
      <c r="Y629" s="33" t="n"/>
      <c r="Z629" s="33" t="n"/>
      <c r="AA629" s="33" t="n"/>
      <c r="AB629" s="33" t="n"/>
      <c r="AC629" s="33" t="n"/>
      <c r="AD629" s="33" t="n"/>
      <c r="AE629" s="33" t="n"/>
      <c r="AF629" s="32" t="n"/>
      <c r="AG629" s="32" t="n"/>
      <c r="AH629" s="32" t="n"/>
      <c r="AI629" s="32" t="n"/>
      <c r="AJ629" s="32" t="n"/>
      <c r="AK629" s="32" t="n"/>
      <c r="AL629" s="32" t="n"/>
      <c r="AM629" s="32" t="n"/>
      <c r="AN629" s="32" t="n"/>
      <c r="AO629" s="32" t="n"/>
      <c r="AP629" s="32" t="n"/>
      <c r="AQ629" s="32" t="n"/>
      <c r="AR629" s="29">
        <f>IF(NOT(COUNTA(A629:AE629)&gt;0),"",IF(A629="","New client","Update"))</f>
        <v/>
      </c>
      <c r="AS629" s="29">
        <f>IF(BA629&lt;&gt;"",BA629,IF(LEN(AZ629)=15,MID(AZ629,3,10),""))</f>
        <v/>
      </c>
      <c r="AT629" s="29">
        <f>IF(BB629="","",BB629&amp;IF(D629="","  (guessed from PAN)",""))</f>
        <v/>
      </c>
      <c r="AU629" s="29">
        <f>IF(AZ629="","",IFERROR(INDEX(Lists!$L$2:$L$38,MATCH(LEFT(AZ629,2),Lists!$K$2:$K$38,0)),"Unknown code"))</f>
        <v/>
      </c>
      <c r="AV629" s="29">
        <f>IF(AZ629="","",IFERROR(IF(NOT(AND(LEN(AZ629)=15,ISNUMBER(MATCH(LEFT(AZ629,2),Lists!$K$2:$K$38,0)),SUMPRODUCT(--ISERROR(FIND(MID(MID(AZ629,3,10),{1,2,3,4,5,10},1),"ABCDEFGHIJKLMNOPQRSTUVWXYZ")))=0,SUMPRODUCT(--ISERROR(FIND(MID(MID(AZ629,3,10),{6,7,8,9},1),"0123456789")))=0,ISNUMBER(FIND(MID(AZ629,13,1),"123456789ABCDEFGHIJKLMNOPQRSTUVWXYZ")),MID(AZ629,14,1)="Z")),"Wrong format",IF(MID("0123456789ABCDEFGHIJKLMNOPQRSTUVWXYZ",MOD(36-MOD(SUMPRODUCT(INT((FIND(MID(AZ629,{1,2,3,4,5,6,7,8,9,10,11,12,13,14},1),"0123456789ABCDEFGHIJKLMNOPQRSTUVWXYZ")-1)*{1,2,1,2,1,2,1,2,1,2,1,2,1,2}/36)+MOD((FIND(MID(AZ629,{1,2,3,4,5,6,7,8,9,10,11,12,13,14},1),"0123456789ABCDEFGHIJKLMNOPQRSTUVWXYZ")-1)*{1,2,1,2,1,2,1,2,1,2,1,2,1,2},36)),36),36)+1,1)=MID(AZ629,15,1),"OK","Typo? check digit wrong")),"Wrong format"))</f>
        <v/>
      </c>
      <c r="AW629" s="29">
        <f>IF(BA629="","",IF(AND(LEN(BA629)=10,SUMPRODUCT(--ISERROR(FIND(MID(BA629,{1,2,3,4,5,10},1),"ABCDEFGHIJKLMNOPQRSTUVWXYZ")))=0,SUMPRODUCT(--ISERROR(FIND(MID(BA629,{6,7,8,9},1),"0123456789")))=0),"OK","Wrong format"))</f>
        <v/>
      </c>
      <c r="AX629" s="29">
        <f>IF(TRIM(H629)="","",IF(AND(LEN(UPPER(TRIM(H629)))=10,SUMPRODUCT(--ISERROR(FIND(MID(UPPER(TRIM(H629)),{1,2,3,4,10},1),"ABCDEFGHIJKLMNOPQRSTUVWXYZ")))=0,SUMPRODUCT(--ISERROR(FIND(MID(UPPER(TRIM(H629)),{5,6,7,8,9},1),"0123456789")))=0),"OK","Wrong format"))</f>
        <v/>
      </c>
      <c r="AY629" s="30">
        <f>IF(NOT(COUNTA(A629:AE629)&gt;0),"",IF(BE629&lt;&gt;"","✖ "&amp;LEFT(BE629,LEN(BE629)-2),IF(BD629&gt;0,"✔ Ready — client + "&amp;BD629&amp;" service(s)","✔ Ready — client only")))</f>
        <v/>
      </c>
      <c r="AZ629" s="31">
        <f>UPPER(SUBSTITUTE(TRIM(F629)," ",""))</f>
        <v/>
      </c>
      <c r="BA629" s="31">
        <f>UPPER(SUBSTITUTE(TRIM(E629)," ",""))</f>
        <v/>
      </c>
      <c r="BB629" s="31">
        <f>IF(D629&lt;&gt;"",D629,IFERROR(VLOOKUP(MID(AS629,4,1),Lists!$E$2:$F$8,2,FALSE),""))</f>
        <v/>
      </c>
      <c r="BC629" s="31">
        <f>IFERROR(VLOOKUP(BB629,Lists!$A$2:$C$12,3,FALSE),"")</f>
        <v/>
      </c>
      <c r="BD629" s="31">
        <f>COUNTIF(W629:AC629,"Yes")</f>
        <v/>
      </c>
      <c r="BE629" s="31">
        <f>IF(TRIM(B629)="","Legal name missing; ","")&amp;IF(AND(AV629&lt;&gt;"",AV629&lt;&gt;"OK"),"GSTIN: "&amp;AV629&amp;"; ","")&amp;IF(AND(AW629&lt;&gt;"",AW629&lt;&gt;"OK"),"PAN wrong format; ","")&amp;IF(AND(BA629&lt;&gt;"",LEN(AZ629)=15,MID(AZ629,3,10)&lt;&gt;BA629),"PAN does not match GSTIN; ","")&amp;IF(AND(AX629&lt;&gt;"",AX629&lt;&gt;"OK"),"TAN wrong format; ","")&amp;IF(AS629="","PAN missing; ","")&amp;IF(BB629="","Entity type missing; ","")&amp;IF(AND(AZ629&lt;&gt;"",COUNTIF($AZ$6:$AZ$1005,AZ629)&gt;1),"GSTIN repeated in this sheet; ","")&amp;IF(AND(AS629&lt;&gt;"",COUNTIF($AS$6:$AS$1005,AS629)&gt;1),"PAN repeated in this sheet (same client? put extra GSTINs in Other GSTINs); ","")&amp;IF(AND(BD629&gt;0,V629=""),"Financial year missing; ","")&amp;IF(AND(BD629=0,V629&lt;&gt;""),"Financial year given but no service is Yes; ","")&amp;IF(AND(W629="Yes",AZ629=""),"GST needs a GSTIN; ","")&amp;IF(AND(W629="Yes",X629=""),"GST return frequency missing; ","")&amp;IF(AND(Y629="Yes",TRIM(H629)=""),"TDS needs a TAN; ","")&amp;IF(AND(AA629="Yes",BC629&lt;&gt;"",BC629&lt;&gt;"company",BC629&lt;&gt;"llp"),"ROC is only for a company / LLP; ","")&amp;IF(AND(AA629="Yes",OR(BC629="company",BC629="llp"),TRIM(I629)=""),"ROC needs the CIN / LLPIN; ","")&amp;IF((TRIM(AF629)="")&lt;&gt;(TRIM(AG629)=""),"GST login needs both user ID and password; ","")&amp;IF((TRIM(AH629)="")&lt;&gt;(TRIM(AI629)=""),"Income-tax login needs both user ID and password; ","")&amp;IF((TRIM(AJ629)="")&lt;&gt;(TRIM(AK629)=""),"Income-tax login needs both user ID and password; ","")&amp;IF((TRIM(AL629)="")&lt;&gt;(TRIM(AM629)=""),"TRACES login needs both user ID and password; ","")&amp;IF((TRIM(AN629)="")&lt;&gt;(TRIM(AO629)=""),"MCA login needs both user ID and password; ","")&amp;IF((TRIM(AP629)="")&lt;&gt;(TRIM(AQ629)=""),"E-way bill login needs both user ID and password; ","")</f>
        <v/>
      </c>
    </row>
    <row r="630">
      <c r="A630" s="32" t="n"/>
      <c r="B630" s="33" t="n"/>
      <c r="C630" s="33" t="n"/>
      <c r="D630" s="33" t="n"/>
      <c r="E630" s="32" t="n"/>
      <c r="F630" s="32" t="n"/>
      <c r="G630" s="32" t="n"/>
      <c r="H630" s="32" t="n"/>
      <c r="I630" s="32" t="n"/>
      <c r="J630" s="34" t="n"/>
      <c r="K630" s="33" t="n"/>
      <c r="L630" s="32" t="n"/>
      <c r="M630" s="33" t="n"/>
      <c r="N630" s="33" t="n"/>
      <c r="O630" s="33" t="n"/>
      <c r="P630" s="32" t="n"/>
      <c r="Q630" s="33" t="n"/>
      <c r="R630" s="33" t="n"/>
      <c r="S630" s="33" t="n"/>
      <c r="T630" s="33" t="n"/>
      <c r="U630" s="32" t="n"/>
      <c r="V630" s="33" t="n"/>
      <c r="W630" s="33" t="n"/>
      <c r="X630" s="33" t="n"/>
      <c r="Y630" s="33" t="n"/>
      <c r="Z630" s="33" t="n"/>
      <c r="AA630" s="33" t="n"/>
      <c r="AB630" s="33" t="n"/>
      <c r="AC630" s="33" t="n"/>
      <c r="AD630" s="33" t="n"/>
      <c r="AE630" s="33" t="n"/>
      <c r="AF630" s="32" t="n"/>
      <c r="AG630" s="32" t="n"/>
      <c r="AH630" s="32" t="n"/>
      <c r="AI630" s="32" t="n"/>
      <c r="AJ630" s="32" t="n"/>
      <c r="AK630" s="32" t="n"/>
      <c r="AL630" s="32" t="n"/>
      <c r="AM630" s="32" t="n"/>
      <c r="AN630" s="32" t="n"/>
      <c r="AO630" s="32" t="n"/>
      <c r="AP630" s="32" t="n"/>
      <c r="AQ630" s="32" t="n"/>
      <c r="AR630" s="29">
        <f>IF(NOT(COUNTA(A630:AE630)&gt;0),"",IF(A630="","New client","Update"))</f>
        <v/>
      </c>
      <c r="AS630" s="29">
        <f>IF(BA630&lt;&gt;"",BA630,IF(LEN(AZ630)=15,MID(AZ630,3,10),""))</f>
        <v/>
      </c>
      <c r="AT630" s="29">
        <f>IF(BB630="","",BB630&amp;IF(D630="","  (guessed from PAN)",""))</f>
        <v/>
      </c>
      <c r="AU630" s="29">
        <f>IF(AZ630="","",IFERROR(INDEX(Lists!$L$2:$L$38,MATCH(LEFT(AZ630,2),Lists!$K$2:$K$38,0)),"Unknown code"))</f>
        <v/>
      </c>
      <c r="AV630" s="29">
        <f>IF(AZ630="","",IFERROR(IF(NOT(AND(LEN(AZ630)=15,ISNUMBER(MATCH(LEFT(AZ630,2),Lists!$K$2:$K$38,0)),SUMPRODUCT(--ISERROR(FIND(MID(MID(AZ630,3,10),{1,2,3,4,5,10},1),"ABCDEFGHIJKLMNOPQRSTUVWXYZ")))=0,SUMPRODUCT(--ISERROR(FIND(MID(MID(AZ630,3,10),{6,7,8,9},1),"0123456789")))=0,ISNUMBER(FIND(MID(AZ630,13,1),"123456789ABCDEFGHIJKLMNOPQRSTUVWXYZ")),MID(AZ630,14,1)="Z")),"Wrong format",IF(MID("0123456789ABCDEFGHIJKLMNOPQRSTUVWXYZ",MOD(36-MOD(SUMPRODUCT(INT((FIND(MID(AZ630,{1,2,3,4,5,6,7,8,9,10,11,12,13,14},1),"0123456789ABCDEFGHIJKLMNOPQRSTUVWXYZ")-1)*{1,2,1,2,1,2,1,2,1,2,1,2,1,2}/36)+MOD((FIND(MID(AZ630,{1,2,3,4,5,6,7,8,9,10,11,12,13,14},1),"0123456789ABCDEFGHIJKLMNOPQRSTUVWXYZ")-1)*{1,2,1,2,1,2,1,2,1,2,1,2,1,2},36)),36),36)+1,1)=MID(AZ630,15,1),"OK","Typo? check digit wrong")),"Wrong format"))</f>
        <v/>
      </c>
      <c r="AW630" s="29">
        <f>IF(BA630="","",IF(AND(LEN(BA630)=10,SUMPRODUCT(--ISERROR(FIND(MID(BA630,{1,2,3,4,5,10},1),"ABCDEFGHIJKLMNOPQRSTUVWXYZ")))=0,SUMPRODUCT(--ISERROR(FIND(MID(BA630,{6,7,8,9},1),"0123456789")))=0),"OK","Wrong format"))</f>
        <v/>
      </c>
      <c r="AX630" s="29">
        <f>IF(TRIM(H630)="","",IF(AND(LEN(UPPER(TRIM(H630)))=10,SUMPRODUCT(--ISERROR(FIND(MID(UPPER(TRIM(H630)),{1,2,3,4,10},1),"ABCDEFGHIJKLMNOPQRSTUVWXYZ")))=0,SUMPRODUCT(--ISERROR(FIND(MID(UPPER(TRIM(H630)),{5,6,7,8,9},1),"0123456789")))=0),"OK","Wrong format"))</f>
        <v/>
      </c>
      <c r="AY630" s="30">
        <f>IF(NOT(COUNTA(A630:AE630)&gt;0),"",IF(BE630&lt;&gt;"","✖ "&amp;LEFT(BE630,LEN(BE630)-2),IF(BD630&gt;0,"✔ Ready — client + "&amp;BD630&amp;" service(s)","✔ Ready — client only")))</f>
        <v/>
      </c>
      <c r="AZ630" s="31">
        <f>UPPER(SUBSTITUTE(TRIM(F630)," ",""))</f>
        <v/>
      </c>
      <c r="BA630" s="31">
        <f>UPPER(SUBSTITUTE(TRIM(E630)," ",""))</f>
        <v/>
      </c>
      <c r="BB630" s="31">
        <f>IF(D630&lt;&gt;"",D630,IFERROR(VLOOKUP(MID(AS630,4,1),Lists!$E$2:$F$8,2,FALSE),""))</f>
        <v/>
      </c>
      <c r="BC630" s="31">
        <f>IFERROR(VLOOKUP(BB630,Lists!$A$2:$C$12,3,FALSE),"")</f>
        <v/>
      </c>
      <c r="BD630" s="31">
        <f>COUNTIF(W630:AC630,"Yes")</f>
        <v/>
      </c>
      <c r="BE630" s="31">
        <f>IF(TRIM(B630)="","Legal name missing; ","")&amp;IF(AND(AV630&lt;&gt;"",AV630&lt;&gt;"OK"),"GSTIN: "&amp;AV630&amp;"; ","")&amp;IF(AND(AW630&lt;&gt;"",AW630&lt;&gt;"OK"),"PAN wrong format; ","")&amp;IF(AND(BA630&lt;&gt;"",LEN(AZ630)=15,MID(AZ630,3,10)&lt;&gt;BA630),"PAN does not match GSTIN; ","")&amp;IF(AND(AX630&lt;&gt;"",AX630&lt;&gt;"OK"),"TAN wrong format; ","")&amp;IF(AS630="","PAN missing; ","")&amp;IF(BB630="","Entity type missing; ","")&amp;IF(AND(AZ630&lt;&gt;"",COUNTIF($AZ$6:$AZ$1005,AZ630)&gt;1),"GSTIN repeated in this sheet; ","")&amp;IF(AND(AS630&lt;&gt;"",COUNTIF($AS$6:$AS$1005,AS630)&gt;1),"PAN repeated in this sheet (same client? put extra GSTINs in Other GSTINs); ","")&amp;IF(AND(BD630&gt;0,V630=""),"Financial year missing; ","")&amp;IF(AND(BD630=0,V630&lt;&gt;""),"Financial year given but no service is Yes; ","")&amp;IF(AND(W630="Yes",AZ630=""),"GST needs a GSTIN; ","")&amp;IF(AND(W630="Yes",X630=""),"GST return frequency missing; ","")&amp;IF(AND(Y630="Yes",TRIM(H630)=""),"TDS needs a TAN; ","")&amp;IF(AND(AA630="Yes",BC630&lt;&gt;"",BC630&lt;&gt;"company",BC630&lt;&gt;"llp"),"ROC is only for a company / LLP; ","")&amp;IF(AND(AA630="Yes",OR(BC630="company",BC630="llp"),TRIM(I630)=""),"ROC needs the CIN / LLPIN; ","")&amp;IF((TRIM(AF630)="")&lt;&gt;(TRIM(AG630)=""),"GST login needs both user ID and password; ","")&amp;IF((TRIM(AH630)="")&lt;&gt;(TRIM(AI630)=""),"Income-tax login needs both user ID and password; ","")&amp;IF((TRIM(AJ630)="")&lt;&gt;(TRIM(AK630)=""),"Income-tax login needs both user ID and password; ","")&amp;IF((TRIM(AL630)="")&lt;&gt;(TRIM(AM630)=""),"TRACES login needs both user ID and password; ","")&amp;IF((TRIM(AN630)="")&lt;&gt;(TRIM(AO630)=""),"MCA login needs both user ID and password; ","")&amp;IF((TRIM(AP630)="")&lt;&gt;(TRIM(AQ630)=""),"E-way bill login needs both user ID and password; ","")</f>
        <v/>
      </c>
    </row>
    <row r="631">
      <c r="A631" s="32" t="n"/>
      <c r="B631" s="33" t="n"/>
      <c r="C631" s="33" t="n"/>
      <c r="D631" s="33" t="n"/>
      <c r="E631" s="32" t="n"/>
      <c r="F631" s="32" t="n"/>
      <c r="G631" s="32" t="n"/>
      <c r="H631" s="32" t="n"/>
      <c r="I631" s="32" t="n"/>
      <c r="J631" s="34" t="n"/>
      <c r="K631" s="33" t="n"/>
      <c r="L631" s="32" t="n"/>
      <c r="M631" s="33" t="n"/>
      <c r="N631" s="33" t="n"/>
      <c r="O631" s="33" t="n"/>
      <c r="P631" s="32" t="n"/>
      <c r="Q631" s="33" t="n"/>
      <c r="R631" s="33" t="n"/>
      <c r="S631" s="33" t="n"/>
      <c r="T631" s="33" t="n"/>
      <c r="U631" s="32" t="n"/>
      <c r="V631" s="33" t="n"/>
      <c r="W631" s="33" t="n"/>
      <c r="X631" s="33" t="n"/>
      <c r="Y631" s="33" t="n"/>
      <c r="Z631" s="33" t="n"/>
      <c r="AA631" s="33" t="n"/>
      <c r="AB631" s="33" t="n"/>
      <c r="AC631" s="33" t="n"/>
      <c r="AD631" s="33" t="n"/>
      <c r="AE631" s="33" t="n"/>
      <c r="AF631" s="32" t="n"/>
      <c r="AG631" s="32" t="n"/>
      <c r="AH631" s="32" t="n"/>
      <c r="AI631" s="32" t="n"/>
      <c r="AJ631" s="32" t="n"/>
      <c r="AK631" s="32" t="n"/>
      <c r="AL631" s="32" t="n"/>
      <c r="AM631" s="32" t="n"/>
      <c r="AN631" s="32" t="n"/>
      <c r="AO631" s="32" t="n"/>
      <c r="AP631" s="32" t="n"/>
      <c r="AQ631" s="32" t="n"/>
      <c r="AR631" s="29">
        <f>IF(NOT(COUNTA(A631:AE631)&gt;0),"",IF(A631="","New client","Update"))</f>
        <v/>
      </c>
      <c r="AS631" s="29">
        <f>IF(BA631&lt;&gt;"",BA631,IF(LEN(AZ631)=15,MID(AZ631,3,10),""))</f>
        <v/>
      </c>
      <c r="AT631" s="29">
        <f>IF(BB631="","",BB631&amp;IF(D631="","  (guessed from PAN)",""))</f>
        <v/>
      </c>
      <c r="AU631" s="29">
        <f>IF(AZ631="","",IFERROR(INDEX(Lists!$L$2:$L$38,MATCH(LEFT(AZ631,2),Lists!$K$2:$K$38,0)),"Unknown code"))</f>
        <v/>
      </c>
      <c r="AV631" s="29">
        <f>IF(AZ631="","",IFERROR(IF(NOT(AND(LEN(AZ631)=15,ISNUMBER(MATCH(LEFT(AZ631,2),Lists!$K$2:$K$38,0)),SUMPRODUCT(--ISERROR(FIND(MID(MID(AZ631,3,10),{1,2,3,4,5,10},1),"ABCDEFGHIJKLMNOPQRSTUVWXYZ")))=0,SUMPRODUCT(--ISERROR(FIND(MID(MID(AZ631,3,10),{6,7,8,9},1),"0123456789")))=0,ISNUMBER(FIND(MID(AZ631,13,1),"123456789ABCDEFGHIJKLMNOPQRSTUVWXYZ")),MID(AZ631,14,1)="Z")),"Wrong format",IF(MID("0123456789ABCDEFGHIJKLMNOPQRSTUVWXYZ",MOD(36-MOD(SUMPRODUCT(INT((FIND(MID(AZ631,{1,2,3,4,5,6,7,8,9,10,11,12,13,14},1),"0123456789ABCDEFGHIJKLMNOPQRSTUVWXYZ")-1)*{1,2,1,2,1,2,1,2,1,2,1,2,1,2}/36)+MOD((FIND(MID(AZ631,{1,2,3,4,5,6,7,8,9,10,11,12,13,14},1),"0123456789ABCDEFGHIJKLMNOPQRSTUVWXYZ")-1)*{1,2,1,2,1,2,1,2,1,2,1,2,1,2},36)),36),36)+1,1)=MID(AZ631,15,1),"OK","Typo? check digit wrong")),"Wrong format"))</f>
        <v/>
      </c>
      <c r="AW631" s="29">
        <f>IF(BA631="","",IF(AND(LEN(BA631)=10,SUMPRODUCT(--ISERROR(FIND(MID(BA631,{1,2,3,4,5,10},1),"ABCDEFGHIJKLMNOPQRSTUVWXYZ")))=0,SUMPRODUCT(--ISERROR(FIND(MID(BA631,{6,7,8,9},1),"0123456789")))=0),"OK","Wrong format"))</f>
        <v/>
      </c>
      <c r="AX631" s="29">
        <f>IF(TRIM(H631)="","",IF(AND(LEN(UPPER(TRIM(H631)))=10,SUMPRODUCT(--ISERROR(FIND(MID(UPPER(TRIM(H631)),{1,2,3,4,10},1),"ABCDEFGHIJKLMNOPQRSTUVWXYZ")))=0,SUMPRODUCT(--ISERROR(FIND(MID(UPPER(TRIM(H631)),{5,6,7,8,9},1),"0123456789")))=0),"OK","Wrong format"))</f>
        <v/>
      </c>
      <c r="AY631" s="30">
        <f>IF(NOT(COUNTA(A631:AE631)&gt;0),"",IF(BE631&lt;&gt;"","✖ "&amp;LEFT(BE631,LEN(BE631)-2),IF(BD631&gt;0,"✔ Ready — client + "&amp;BD631&amp;" service(s)","✔ Ready — client only")))</f>
        <v/>
      </c>
      <c r="AZ631" s="31">
        <f>UPPER(SUBSTITUTE(TRIM(F631)," ",""))</f>
        <v/>
      </c>
      <c r="BA631" s="31">
        <f>UPPER(SUBSTITUTE(TRIM(E631)," ",""))</f>
        <v/>
      </c>
      <c r="BB631" s="31">
        <f>IF(D631&lt;&gt;"",D631,IFERROR(VLOOKUP(MID(AS631,4,1),Lists!$E$2:$F$8,2,FALSE),""))</f>
        <v/>
      </c>
      <c r="BC631" s="31">
        <f>IFERROR(VLOOKUP(BB631,Lists!$A$2:$C$12,3,FALSE),"")</f>
        <v/>
      </c>
      <c r="BD631" s="31">
        <f>COUNTIF(W631:AC631,"Yes")</f>
        <v/>
      </c>
      <c r="BE631" s="31">
        <f>IF(TRIM(B631)="","Legal name missing; ","")&amp;IF(AND(AV631&lt;&gt;"",AV631&lt;&gt;"OK"),"GSTIN: "&amp;AV631&amp;"; ","")&amp;IF(AND(AW631&lt;&gt;"",AW631&lt;&gt;"OK"),"PAN wrong format; ","")&amp;IF(AND(BA631&lt;&gt;"",LEN(AZ631)=15,MID(AZ631,3,10)&lt;&gt;BA631),"PAN does not match GSTIN; ","")&amp;IF(AND(AX631&lt;&gt;"",AX631&lt;&gt;"OK"),"TAN wrong format; ","")&amp;IF(AS631="","PAN missing; ","")&amp;IF(BB631="","Entity type missing; ","")&amp;IF(AND(AZ631&lt;&gt;"",COUNTIF($AZ$6:$AZ$1005,AZ631)&gt;1),"GSTIN repeated in this sheet; ","")&amp;IF(AND(AS631&lt;&gt;"",COUNTIF($AS$6:$AS$1005,AS631)&gt;1),"PAN repeated in this sheet (same client? put extra GSTINs in Other GSTINs); ","")&amp;IF(AND(BD631&gt;0,V631=""),"Financial year missing; ","")&amp;IF(AND(BD631=0,V631&lt;&gt;""),"Financial year given but no service is Yes; ","")&amp;IF(AND(W631="Yes",AZ631=""),"GST needs a GSTIN; ","")&amp;IF(AND(W631="Yes",X631=""),"GST return frequency missing; ","")&amp;IF(AND(Y631="Yes",TRIM(H631)=""),"TDS needs a TAN; ","")&amp;IF(AND(AA631="Yes",BC631&lt;&gt;"",BC631&lt;&gt;"company",BC631&lt;&gt;"llp"),"ROC is only for a company / LLP; ","")&amp;IF(AND(AA631="Yes",OR(BC631="company",BC631="llp"),TRIM(I631)=""),"ROC needs the CIN / LLPIN; ","")&amp;IF((TRIM(AF631)="")&lt;&gt;(TRIM(AG631)=""),"GST login needs both user ID and password; ","")&amp;IF((TRIM(AH631)="")&lt;&gt;(TRIM(AI631)=""),"Income-tax login needs both user ID and password; ","")&amp;IF((TRIM(AJ631)="")&lt;&gt;(TRIM(AK631)=""),"Income-tax login needs both user ID and password; ","")&amp;IF((TRIM(AL631)="")&lt;&gt;(TRIM(AM631)=""),"TRACES login needs both user ID and password; ","")&amp;IF((TRIM(AN631)="")&lt;&gt;(TRIM(AO631)=""),"MCA login needs both user ID and password; ","")&amp;IF((TRIM(AP631)="")&lt;&gt;(TRIM(AQ631)=""),"E-way bill login needs both user ID and password; ","")</f>
        <v/>
      </c>
    </row>
    <row r="632">
      <c r="A632" s="32" t="n"/>
      <c r="B632" s="33" t="n"/>
      <c r="C632" s="33" t="n"/>
      <c r="D632" s="33" t="n"/>
      <c r="E632" s="32" t="n"/>
      <c r="F632" s="32" t="n"/>
      <c r="G632" s="32" t="n"/>
      <c r="H632" s="32" t="n"/>
      <c r="I632" s="32" t="n"/>
      <c r="J632" s="34" t="n"/>
      <c r="K632" s="33" t="n"/>
      <c r="L632" s="32" t="n"/>
      <c r="M632" s="33" t="n"/>
      <c r="N632" s="33" t="n"/>
      <c r="O632" s="33" t="n"/>
      <c r="P632" s="32" t="n"/>
      <c r="Q632" s="33" t="n"/>
      <c r="R632" s="33" t="n"/>
      <c r="S632" s="33" t="n"/>
      <c r="T632" s="33" t="n"/>
      <c r="U632" s="32" t="n"/>
      <c r="V632" s="33" t="n"/>
      <c r="W632" s="33" t="n"/>
      <c r="X632" s="33" t="n"/>
      <c r="Y632" s="33" t="n"/>
      <c r="Z632" s="33" t="n"/>
      <c r="AA632" s="33" t="n"/>
      <c r="AB632" s="33" t="n"/>
      <c r="AC632" s="33" t="n"/>
      <c r="AD632" s="33" t="n"/>
      <c r="AE632" s="33" t="n"/>
      <c r="AF632" s="32" t="n"/>
      <c r="AG632" s="32" t="n"/>
      <c r="AH632" s="32" t="n"/>
      <c r="AI632" s="32" t="n"/>
      <c r="AJ632" s="32" t="n"/>
      <c r="AK632" s="32" t="n"/>
      <c r="AL632" s="32" t="n"/>
      <c r="AM632" s="32" t="n"/>
      <c r="AN632" s="32" t="n"/>
      <c r="AO632" s="32" t="n"/>
      <c r="AP632" s="32" t="n"/>
      <c r="AQ632" s="32" t="n"/>
      <c r="AR632" s="29">
        <f>IF(NOT(COUNTA(A632:AE632)&gt;0),"",IF(A632="","New client","Update"))</f>
        <v/>
      </c>
      <c r="AS632" s="29">
        <f>IF(BA632&lt;&gt;"",BA632,IF(LEN(AZ632)=15,MID(AZ632,3,10),""))</f>
        <v/>
      </c>
      <c r="AT632" s="29">
        <f>IF(BB632="","",BB632&amp;IF(D632="","  (guessed from PAN)",""))</f>
        <v/>
      </c>
      <c r="AU632" s="29">
        <f>IF(AZ632="","",IFERROR(INDEX(Lists!$L$2:$L$38,MATCH(LEFT(AZ632,2),Lists!$K$2:$K$38,0)),"Unknown code"))</f>
        <v/>
      </c>
      <c r="AV632" s="29">
        <f>IF(AZ632="","",IFERROR(IF(NOT(AND(LEN(AZ632)=15,ISNUMBER(MATCH(LEFT(AZ632,2),Lists!$K$2:$K$38,0)),SUMPRODUCT(--ISERROR(FIND(MID(MID(AZ632,3,10),{1,2,3,4,5,10},1),"ABCDEFGHIJKLMNOPQRSTUVWXYZ")))=0,SUMPRODUCT(--ISERROR(FIND(MID(MID(AZ632,3,10),{6,7,8,9},1),"0123456789")))=0,ISNUMBER(FIND(MID(AZ632,13,1),"123456789ABCDEFGHIJKLMNOPQRSTUVWXYZ")),MID(AZ632,14,1)="Z")),"Wrong format",IF(MID("0123456789ABCDEFGHIJKLMNOPQRSTUVWXYZ",MOD(36-MOD(SUMPRODUCT(INT((FIND(MID(AZ632,{1,2,3,4,5,6,7,8,9,10,11,12,13,14},1),"0123456789ABCDEFGHIJKLMNOPQRSTUVWXYZ")-1)*{1,2,1,2,1,2,1,2,1,2,1,2,1,2}/36)+MOD((FIND(MID(AZ632,{1,2,3,4,5,6,7,8,9,10,11,12,13,14},1),"0123456789ABCDEFGHIJKLMNOPQRSTUVWXYZ")-1)*{1,2,1,2,1,2,1,2,1,2,1,2,1,2},36)),36),36)+1,1)=MID(AZ632,15,1),"OK","Typo? check digit wrong")),"Wrong format"))</f>
        <v/>
      </c>
      <c r="AW632" s="29">
        <f>IF(BA632="","",IF(AND(LEN(BA632)=10,SUMPRODUCT(--ISERROR(FIND(MID(BA632,{1,2,3,4,5,10},1),"ABCDEFGHIJKLMNOPQRSTUVWXYZ")))=0,SUMPRODUCT(--ISERROR(FIND(MID(BA632,{6,7,8,9},1),"0123456789")))=0),"OK","Wrong format"))</f>
        <v/>
      </c>
      <c r="AX632" s="29">
        <f>IF(TRIM(H632)="","",IF(AND(LEN(UPPER(TRIM(H632)))=10,SUMPRODUCT(--ISERROR(FIND(MID(UPPER(TRIM(H632)),{1,2,3,4,10},1),"ABCDEFGHIJKLMNOPQRSTUVWXYZ")))=0,SUMPRODUCT(--ISERROR(FIND(MID(UPPER(TRIM(H632)),{5,6,7,8,9},1),"0123456789")))=0),"OK","Wrong format"))</f>
        <v/>
      </c>
      <c r="AY632" s="30">
        <f>IF(NOT(COUNTA(A632:AE632)&gt;0),"",IF(BE632&lt;&gt;"","✖ "&amp;LEFT(BE632,LEN(BE632)-2),IF(BD632&gt;0,"✔ Ready — client + "&amp;BD632&amp;" service(s)","✔ Ready — client only")))</f>
        <v/>
      </c>
      <c r="AZ632" s="31">
        <f>UPPER(SUBSTITUTE(TRIM(F632)," ",""))</f>
        <v/>
      </c>
      <c r="BA632" s="31">
        <f>UPPER(SUBSTITUTE(TRIM(E632)," ",""))</f>
        <v/>
      </c>
      <c r="BB632" s="31">
        <f>IF(D632&lt;&gt;"",D632,IFERROR(VLOOKUP(MID(AS632,4,1),Lists!$E$2:$F$8,2,FALSE),""))</f>
        <v/>
      </c>
      <c r="BC632" s="31">
        <f>IFERROR(VLOOKUP(BB632,Lists!$A$2:$C$12,3,FALSE),"")</f>
        <v/>
      </c>
      <c r="BD632" s="31">
        <f>COUNTIF(W632:AC632,"Yes")</f>
        <v/>
      </c>
      <c r="BE632" s="31">
        <f>IF(TRIM(B632)="","Legal name missing; ","")&amp;IF(AND(AV632&lt;&gt;"",AV632&lt;&gt;"OK"),"GSTIN: "&amp;AV632&amp;"; ","")&amp;IF(AND(AW632&lt;&gt;"",AW632&lt;&gt;"OK"),"PAN wrong format; ","")&amp;IF(AND(BA632&lt;&gt;"",LEN(AZ632)=15,MID(AZ632,3,10)&lt;&gt;BA632),"PAN does not match GSTIN; ","")&amp;IF(AND(AX632&lt;&gt;"",AX632&lt;&gt;"OK"),"TAN wrong format; ","")&amp;IF(AS632="","PAN missing; ","")&amp;IF(BB632="","Entity type missing; ","")&amp;IF(AND(AZ632&lt;&gt;"",COUNTIF($AZ$6:$AZ$1005,AZ632)&gt;1),"GSTIN repeated in this sheet; ","")&amp;IF(AND(AS632&lt;&gt;"",COUNTIF($AS$6:$AS$1005,AS632)&gt;1),"PAN repeated in this sheet (same client? put extra GSTINs in Other GSTINs); ","")&amp;IF(AND(BD632&gt;0,V632=""),"Financial year missing; ","")&amp;IF(AND(BD632=0,V632&lt;&gt;""),"Financial year given but no service is Yes; ","")&amp;IF(AND(W632="Yes",AZ632=""),"GST needs a GSTIN; ","")&amp;IF(AND(W632="Yes",X632=""),"GST return frequency missing; ","")&amp;IF(AND(Y632="Yes",TRIM(H632)=""),"TDS needs a TAN; ","")&amp;IF(AND(AA632="Yes",BC632&lt;&gt;"",BC632&lt;&gt;"company",BC632&lt;&gt;"llp"),"ROC is only for a company / LLP; ","")&amp;IF(AND(AA632="Yes",OR(BC632="company",BC632="llp"),TRIM(I632)=""),"ROC needs the CIN / LLPIN; ","")&amp;IF((TRIM(AF632)="")&lt;&gt;(TRIM(AG632)=""),"GST login needs both user ID and password; ","")&amp;IF((TRIM(AH632)="")&lt;&gt;(TRIM(AI632)=""),"Income-tax login needs both user ID and password; ","")&amp;IF((TRIM(AJ632)="")&lt;&gt;(TRIM(AK632)=""),"Income-tax login needs both user ID and password; ","")&amp;IF((TRIM(AL632)="")&lt;&gt;(TRIM(AM632)=""),"TRACES login needs both user ID and password; ","")&amp;IF((TRIM(AN632)="")&lt;&gt;(TRIM(AO632)=""),"MCA login needs both user ID and password; ","")&amp;IF((TRIM(AP632)="")&lt;&gt;(TRIM(AQ632)=""),"E-way bill login needs both user ID and password; ","")</f>
        <v/>
      </c>
    </row>
    <row r="633">
      <c r="A633" s="32" t="n"/>
      <c r="B633" s="33" t="n"/>
      <c r="C633" s="33" t="n"/>
      <c r="D633" s="33" t="n"/>
      <c r="E633" s="32" t="n"/>
      <c r="F633" s="32" t="n"/>
      <c r="G633" s="32" t="n"/>
      <c r="H633" s="32" t="n"/>
      <c r="I633" s="32" t="n"/>
      <c r="J633" s="34" t="n"/>
      <c r="K633" s="33" t="n"/>
      <c r="L633" s="32" t="n"/>
      <c r="M633" s="33" t="n"/>
      <c r="N633" s="33" t="n"/>
      <c r="O633" s="33" t="n"/>
      <c r="P633" s="32" t="n"/>
      <c r="Q633" s="33" t="n"/>
      <c r="R633" s="33" t="n"/>
      <c r="S633" s="33" t="n"/>
      <c r="T633" s="33" t="n"/>
      <c r="U633" s="32" t="n"/>
      <c r="V633" s="33" t="n"/>
      <c r="W633" s="33" t="n"/>
      <c r="X633" s="33" t="n"/>
      <c r="Y633" s="33" t="n"/>
      <c r="Z633" s="33" t="n"/>
      <c r="AA633" s="33" t="n"/>
      <c r="AB633" s="33" t="n"/>
      <c r="AC633" s="33" t="n"/>
      <c r="AD633" s="33" t="n"/>
      <c r="AE633" s="33" t="n"/>
      <c r="AF633" s="32" t="n"/>
      <c r="AG633" s="32" t="n"/>
      <c r="AH633" s="32" t="n"/>
      <c r="AI633" s="32" t="n"/>
      <c r="AJ633" s="32" t="n"/>
      <c r="AK633" s="32" t="n"/>
      <c r="AL633" s="32" t="n"/>
      <c r="AM633" s="32" t="n"/>
      <c r="AN633" s="32" t="n"/>
      <c r="AO633" s="32" t="n"/>
      <c r="AP633" s="32" t="n"/>
      <c r="AQ633" s="32" t="n"/>
      <c r="AR633" s="29">
        <f>IF(NOT(COUNTA(A633:AE633)&gt;0),"",IF(A633="","New client","Update"))</f>
        <v/>
      </c>
      <c r="AS633" s="29">
        <f>IF(BA633&lt;&gt;"",BA633,IF(LEN(AZ633)=15,MID(AZ633,3,10),""))</f>
        <v/>
      </c>
      <c r="AT633" s="29">
        <f>IF(BB633="","",BB633&amp;IF(D633="","  (guessed from PAN)",""))</f>
        <v/>
      </c>
      <c r="AU633" s="29">
        <f>IF(AZ633="","",IFERROR(INDEX(Lists!$L$2:$L$38,MATCH(LEFT(AZ633,2),Lists!$K$2:$K$38,0)),"Unknown code"))</f>
        <v/>
      </c>
      <c r="AV633" s="29">
        <f>IF(AZ633="","",IFERROR(IF(NOT(AND(LEN(AZ633)=15,ISNUMBER(MATCH(LEFT(AZ633,2),Lists!$K$2:$K$38,0)),SUMPRODUCT(--ISERROR(FIND(MID(MID(AZ633,3,10),{1,2,3,4,5,10},1),"ABCDEFGHIJKLMNOPQRSTUVWXYZ")))=0,SUMPRODUCT(--ISERROR(FIND(MID(MID(AZ633,3,10),{6,7,8,9},1),"0123456789")))=0,ISNUMBER(FIND(MID(AZ633,13,1),"123456789ABCDEFGHIJKLMNOPQRSTUVWXYZ")),MID(AZ633,14,1)="Z")),"Wrong format",IF(MID("0123456789ABCDEFGHIJKLMNOPQRSTUVWXYZ",MOD(36-MOD(SUMPRODUCT(INT((FIND(MID(AZ633,{1,2,3,4,5,6,7,8,9,10,11,12,13,14},1),"0123456789ABCDEFGHIJKLMNOPQRSTUVWXYZ")-1)*{1,2,1,2,1,2,1,2,1,2,1,2,1,2}/36)+MOD((FIND(MID(AZ633,{1,2,3,4,5,6,7,8,9,10,11,12,13,14},1),"0123456789ABCDEFGHIJKLMNOPQRSTUVWXYZ")-1)*{1,2,1,2,1,2,1,2,1,2,1,2,1,2},36)),36),36)+1,1)=MID(AZ633,15,1),"OK","Typo? check digit wrong")),"Wrong format"))</f>
        <v/>
      </c>
      <c r="AW633" s="29">
        <f>IF(BA633="","",IF(AND(LEN(BA633)=10,SUMPRODUCT(--ISERROR(FIND(MID(BA633,{1,2,3,4,5,10},1),"ABCDEFGHIJKLMNOPQRSTUVWXYZ")))=0,SUMPRODUCT(--ISERROR(FIND(MID(BA633,{6,7,8,9},1),"0123456789")))=0),"OK","Wrong format"))</f>
        <v/>
      </c>
      <c r="AX633" s="29">
        <f>IF(TRIM(H633)="","",IF(AND(LEN(UPPER(TRIM(H633)))=10,SUMPRODUCT(--ISERROR(FIND(MID(UPPER(TRIM(H633)),{1,2,3,4,10},1),"ABCDEFGHIJKLMNOPQRSTUVWXYZ")))=0,SUMPRODUCT(--ISERROR(FIND(MID(UPPER(TRIM(H633)),{5,6,7,8,9},1),"0123456789")))=0),"OK","Wrong format"))</f>
        <v/>
      </c>
      <c r="AY633" s="30">
        <f>IF(NOT(COUNTA(A633:AE633)&gt;0),"",IF(BE633&lt;&gt;"","✖ "&amp;LEFT(BE633,LEN(BE633)-2),IF(BD633&gt;0,"✔ Ready — client + "&amp;BD633&amp;" service(s)","✔ Ready — client only")))</f>
        <v/>
      </c>
      <c r="AZ633" s="31">
        <f>UPPER(SUBSTITUTE(TRIM(F633)," ",""))</f>
        <v/>
      </c>
      <c r="BA633" s="31">
        <f>UPPER(SUBSTITUTE(TRIM(E633)," ",""))</f>
        <v/>
      </c>
      <c r="BB633" s="31">
        <f>IF(D633&lt;&gt;"",D633,IFERROR(VLOOKUP(MID(AS633,4,1),Lists!$E$2:$F$8,2,FALSE),""))</f>
        <v/>
      </c>
      <c r="BC633" s="31">
        <f>IFERROR(VLOOKUP(BB633,Lists!$A$2:$C$12,3,FALSE),"")</f>
        <v/>
      </c>
      <c r="BD633" s="31">
        <f>COUNTIF(W633:AC633,"Yes")</f>
        <v/>
      </c>
      <c r="BE633" s="31">
        <f>IF(TRIM(B633)="","Legal name missing; ","")&amp;IF(AND(AV633&lt;&gt;"",AV633&lt;&gt;"OK"),"GSTIN: "&amp;AV633&amp;"; ","")&amp;IF(AND(AW633&lt;&gt;"",AW633&lt;&gt;"OK"),"PAN wrong format; ","")&amp;IF(AND(BA633&lt;&gt;"",LEN(AZ633)=15,MID(AZ633,3,10)&lt;&gt;BA633),"PAN does not match GSTIN; ","")&amp;IF(AND(AX633&lt;&gt;"",AX633&lt;&gt;"OK"),"TAN wrong format; ","")&amp;IF(AS633="","PAN missing; ","")&amp;IF(BB633="","Entity type missing; ","")&amp;IF(AND(AZ633&lt;&gt;"",COUNTIF($AZ$6:$AZ$1005,AZ633)&gt;1),"GSTIN repeated in this sheet; ","")&amp;IF(AND(AS633&lt;&gt;"",COUNTIF($AS$6:$AS$1005,AS633)&gt;1),"PAN repeated in this sheet (same client? put extra GSTINs in Other GSTINs); ","")&amp;IF(AND(BD633&gt;0,V633=""),"Financial year missing; ","")&amp;IF(AND(BD633=0,V633&lt;&gt;""),"Financial year given but no service is Yes; ","")&amp;IF(AND(W633="Yes",AZ633=""),"GST needs a GSTIN; ","")&amp;IF(AND(W633="Yes",X633=""),"GST return frequency missing; ","")&amp;IF(AND(Y633="Yes",TRIM(H633)=""),"TDS needs a TAN; ","")&amp;IF(AND(AA633="Yes",BC633&lt;&gt;"",BC633&lt;&gt;"company",BC633&lt;&gt;"llp"),"ROC is only for a company / LLP; ","")&amp;IF(AND(AA633="Yes",OR(BC633="company",BC633="llp"),TRIM(I633)=""),"ROC needs the CIN / LLPIN; ","")&amp;IF((TRIM(AF633)="")&lt;&gt;(TRIM(AG633)=""),"GST login needs both user ID and password; ","")&amp;IF((TRIM(AH633)="")&lt;&gt;(TRIM(AI633)=""),"Income-tax login needs both user ID and password; ","")&amp;IF((TRIM(AJ633)="")&lt;&gt;(TRIM(AK633)=""),"Income-tax login needs both user ID and password; ","")&amp;IF((TRIM(AL633)="")&lt;&gt;(TRIM(AM633)=""),"TRACES login needs both user ID and password; ","")&amp;IF((TRIM(AN633)="")&lt;&gt;(TRIM(AO633)=""),"MCA login needs both user ID and password; ","")&amp;IF((TRIM(AP633)="")&lt;&gt;(TRIM(AQ633)=""),"E-way bill login needs both user ID and password; ","")</f>
        <v/>
      </c>
    </row>
    <row r="634">
      <c r="A634" s="32" t="n"/>
      <c r="B634" s="33" t="n"/>
      <c r="C634" s="33" t="n"/>
      <c r="D634" s="33" t="n"/>
      <c r="E634" s="32" t="n"/>
      <c r="F634" s="32" t="n"/>
      <c r="G634" s="32" t="n"/>
      <c r="H634" s="32" t="n"/>
      <c r="I634" s="32" t="n"/>
      <c r="J634" s="34" t="n"/>
      <c r="K634" s="33" t="n"/>
      <c r="L634" s="32" t="n"/>
      <c r="M634" s="33" t="n"/>
      <c r="N634" s="33" t="n"/>
      <c r="O634" s="33" t="n"/>
      <c r="P634" s="32" t="n"/>
      <c r="Q634" s="33" t="n"/>
      <c r="R634" s="33" t="n"/>
      <c r="S634" s="33" t="n"/>
      <c r="T634" s="33" t="n"/>
      <c r="U634" s="32" t="n"/>
      <c r="V634" s="33" t="n"/>
      <c r="W634" s="33" t="n"/>
      <c r="X634" s="33" t="n"/>
      <c r="Y634" s="33" t="n"/>
      <c r="Z634" s="33" t="n"/>
      <c r="AA634" s="33" t="n"/>
      <c r="AB634" s="33" t="n"/>
      <c r="AC634" s="33" t="n"/>
      <c r="AD634" s="33" t="n"/>
      <c r="AE634" s="33" t="n"/>
      <c r="AF634" s="32" t="n"/>
      <c r="AG634" s="32" t="n"/>
      <c r="AH634" s="32" t="n"/>
      <c r="AI634" s="32" t="n"/>
      <c r="AJ634" s="32" t="n"/>
      <c r="AK634" s="32" t="n"/>
      <c r="AL634" s="32" t="n"/>
      <c r="AM634" s="32" t="n"/>
      <c r="AN634" s="32" t="n"/>
      <c r="AO634" s="32" t="n"/>
      <c r="AP634" s="32" t="n"/>
      <c r="AQ634" s="32" t="n"/>
      <c r="AR634" s="29">
        <f>IF(NOT(COUNTA(A634:AE634)&gt;0),"",IF(A634="","New client","Update"))</f>
        <v/>
      </c>
      <c r="AS634" s="29">
        <f>IF(BA634&lt;&gt;"",BA634,IF(LEN(AZ634)=15,MID(AZ634,3,10),""))</f>
        <v/>
      </c>
      <c r="AT634" s="29">
        <f>IF(BB634="","",BB634&amp;IF(D634="","  (guessed from PAN)",""))</f>
        <v/>
      </c>
      <c r="AU634" s="29">
        <f>IF(AZ634="","",IFERROR(INDEX(Lists!$L$2:$L$38,MATCH(LEFT(AZ634,2),Lists!$K$2:$K$38,0)),"Unknown code"))</f>
        <v/>
      </c>
      <c r="AV634" s="29">
        <f>IF(AZ634="","",IFERROR(IF(NOT(AND(LEN(AZ634)=15,ISNUMBER(MATCH(LEFT(AZ634,2),Lists!$K$2:$K$38,0)),SUMPRODUCT(--ISERROR(FIND(MID(MID(AZ634,3,10),{1,2,3,4,5,10},1),"ABCDEFGHIJKLMNOPQRSTUVWXYZ")))=0,SUMPRODUCT(--ISERROR(FIND(MID(MID(AZ634,3,10),{6,7,8,9},1),"0123456789")))=0,ISNUMBER(FIND(MID(AZ634,13,1),"123456789ABCDEFGHIJKLMNOPQRSTUVWXYZ")),MID(AZ634,14,1)="Z")),"Wrong format",IF(MID("0123456789ABCDEFGHIJKLMNOPQRSTUVWXYZ",MOD(36-MOD(SUMPRODUCT(INT((FIND(MID(AZ634,{1,2,3,4,5,6,7,8,9,10,11,12,13,14},1),"0123456789ABCDEFGHIJKLMNOPQRSTUVWXYZ")-1)*{1,2,1,2,1,2,1,2,1,2,1,2,1,2}/36)+MOD((FIND(MID(AZ634,{1,2,3,4,5,6,7,8,9,10,11,12,13,14},1),"0123456789ABCDEFGHIJKLMNOPQRSTUVWXYZ")-1)*{1,2,1,2,1,2,1,2,1,2,1,2,1,2},36)),36),36)+1,1)=MID(AZ634,15,1),"OK","Typo? check digit wrong")),"Wrong format"))</f>
        <v/>
      </c>
      <c r="AW634" s="29">
        <f>IF(BA634="","",IF(AND(LEN(BA634)=10,SUMPRODUCT(--ISERROR(FIND(MID(BA634,{1,2,3,4,5,10},1),"ABCDEFGHIJKLMNOPQRSTUVWXYZ")))=0,SUMPRODUCT(--ISERROR(FIND(MID(BA634,{6,7,8,9},1),"0123456789")))=0),"OK","Wrong format"))</f>
        <v/>
      </c>
      <c r="AX634" s="29">
        <f>IF(TRIM(H634)="","",IF(AND(LEN(UPPER(TRIM(H634)))=10,SUMPRODUCT(--ISERROR(FIND(MID(UPPER(TRIM(H634)),{1,2,3,4,10},1),"ABCDEFGHIJKLMNOPQRSTUVWXYZ")))=0,SUMPRODUCT(--ISERROR(FIND(MID(UPPER(TRIM(H634)),{5,6,7,8,9},1),"0123456789")))=0),"OK","Wrong format"))</f>
        <v/>
      </c>
      <c r="AY634" s="30">
        <f>IF(NOT(COUNTA(A634:AE634)&gt;0),"",IF(BE634&lt;&gt;"","✖ "&amp;LEFT(BE634,LEN(BE634)-2),IF(BD634&gt;0,"✔ Ready — client + "&amp;BD634&amp;" service(s)","✔ Ready — client only")))</f>
        <v/>
      </c>
      <c r="AZ634" s="31">
        <f>UPPER(SUBSTITUTE(TRIM(F634)," ",""))</f>
        <v/>
      </c>
      <c r="BA634" s="31">
        <f>UPPER(SUBSTITUTE(TRIM(E634)," ",""))</f>
        <v/>
      </c>
      <c r="BB634" s="31">
        <f>IF(D634&lt;&gt;"",D634,IFERROR(VLOOKUP(MID(AS634,4,1),Lists!$E$2:$F$8,2,FALSE),""))</f>
        <v/>
      </c>
      <c r="BC634" s="31">
        <f>IFERROR(VLOOKUP(BB634,Lists!$A$2:$C$12,3,FALSE),"")</f>
        <v/>
      </c>
      <c r="BD634" s="31">
        <f>COUNTIF(W634:AC634,"Yes")</f>
        <v/>
      </c>
      <c r="BE634" s="31">
        <f>IF(TRIM(B634)="","Legal name missing; ","")&amp;IF(AND(AV634&lt;&gt;"",AV634&lt;&gt;"OK"),"GSTIN: "&amp;AV634&amp;"; ","")&amp;IF(AND(AW634&lt;&gt;"",AW634&lt;&gt;"OK"),"PAN wrong format; ","")&amp;IF(AND(BA634&lt;&gt;"",LEN(AZ634)=15,MID(AZ634,3,10)&lt;&gt;BA634),"PAN does not match GSTIN; ","")&amp;IF(AND(AX634&lt;&gt;"",AX634&lt;&gt;"OK"),"TAN wrong format; ","")&amp;IF(AS634="","PAN missing; ","")&amp;IF(BB634="","Entity type missing; ","")&amp;IF(AND(AZ634&lt;&gt;"",COUNTIF($AZ$6:$AZ$1005,AZ634)&gt;1),"GSTIN repeated in this sheet; ","")&amp;IF(AND(AS634&lt;&gt;"",COUNTIF($AS$6:$AS$1005,AS634)&gt;1),"PAN repeated in this sheet (same client? put extra GSTINs in Other GSTINs); ","")&amp;IF(AND(BD634&gt;0,V634=""),"Financial year missing; ","")&amp;IF(AND(BD634=0,V634&lt;&gt;""),"Financial year given but no service is Yes; ","")&amp;IF(AND(W634="Yes",AZ634=""),"GST needs a GSTIN; ","")&amp;IF(AND(W634="Yes",X634=""),"GST return frequency missing; ","")&amp;IF(AND(Y634="Yes",TRIM(H634)=""),"TDS needs a TAN; ","")&amp;IF(AND(AA634="Yes",BC634&lt;&gt;"",BC634&lt;&gt;"company",BC634&lt;&gt;"llp"),"ROC is only for a company / LLP; ","")&amp;IF(AND(AA634="Yes",OR(BC634="company",BC634="llp"),TRIM(I634)=""),"ROC needs the CIN / LLPIN; ","")&amp;IF((TRIM(AF634)="")&lt;&gt;(TRIM(AG634)=""),"GST login needs both user ID and password; ","")&amp;IF((TRIM(AH634)="")&lt;&gt;(TRIM(AI634)=""),"Income-tax login needs both user ID and password; ","")&amp;IF((TRIM(AJ634)="")&lt;&gt;(TRIM(AK634)=""),"Income-tax login needs both user ID and password; ","")&amp;IF((TRIM(AL634)="")&lt;&gt;(TRIM(AM634)=""),"TRACES login needs both user ID and password; ","")&amp;IF((TRIM(AN634)="")&lt;&gt;(TRIM(AO634)=""),"MCA login needs both user ID and password; ","")&amp;IF((TRIM(AP634)="")&lt;&gt;(TRIM(AQ634)=""),"E-way bill login needs both user ID and password; ","")</f>
        <v/>
      </c>
    </row>
    <row r="635">
      <c r="A635" s="32" t="n"/>
      <c r="B635" s="33" t="n"/>
      <c r="C635" s="33" t="n"/>
      <c r="D635" s="33" t="n"/>
      <c r="E635" s="32" t="n"/>
      <c r="F635" s="32" t="n"/>
      <c r="G635" s="32" t="n"/>
      <c r="H635" s="32" t="n"/>
      <c r="I635" s="32" t="n"/>
      <c r="J635" s="34" t="n"/>
      <c r="K635" s="33" t="n"/>
      <c r="L635" s="32" t="n"/>
      <c r="M635" s="33" t="n"/>
      <c r="N635" s="33" t="n"/>
      <c r="O635" s="33" t="n"/>
      <c r="P635" s="32" t="n"/>
      <c r="Q635" s="33" t="n"/>
      <c r="R635" s="33" t="n"/>
      <c r="S635" s="33" t="n"/>
      <c r="T635" s="33" t="n"/>
      <c r="U635" s="32" t="n"/>
      <c r="V635" s="33" t="n"/>
      <c r="W635" s="33" t="n"/>
      <c r="X635" s="33" t="n"/>
      <c r="Y635" s="33" t="n"/>
      <c r="Z635" s="33" t="n"/>
      <c r="AA635" s="33" t="n"/>
      <c r="AB635" s="33" t="n"/>
      <c r="AC635" s="33" t="n"/>
      <c r="AD635" s="33" t="n"/>
      <c r="AE635" s="33" t="n"/>
      <c r="AF635" s="32" t="n"/>
      <c r="AG635" s="32" t="n"/>
      <c r="AH635" s="32" t="n"/>
      <c r="AI635" s="32" t="n"/>
      <c r="AJ635" s="32" t="n"/>
      <c r="AK635" s="32" t="n"/>
      <c r="AL635" s="32" t="n"/>
      <c r="AM635" s="32" t="n"/>
      <c r="AN635" s="32" t="n"/>
      <c r="AO635" s="32" t="n"/>
      <c r="AP635" s="32" t="n"/>
      <c r="AQ635" s="32" t="n"/>
      <c r="AR635" s="29">
        <f>IF(NOT(COUNTA(A635:AE635)&gt;0),"",IF(A635="","New client","Update"))</f>
        <v/>
      </c>
      <c r="AS635" s="29">
        <f>IF(BA635&lt;&gt;"",BA635,IF(LEN(AZ635)=15,MID(AZ635,3,10),""))</f>
        <v/>
      </c>
      <c r="AT635" s="29">
        <f>IF(BB635="","",BB635&amp;IF(D635="","  (guessed from PAN)",""))</f>
        <v/>
      </c>
      <c r="AU635" s="29">
        <f>IF(AZ635="","",IFERROR(INDEX(Lists!$L$2:$L$38,MATCH(LEFT(AZ635,2),Lists!$K$2:$K$38,0)),"Unknown code"))</f>
        <v/>
      </c>
      <c r="AV635" s="29">
        <f>IF(AZ635="","",IFERROR(IF(NOT(AND(LEN(AZ635)=15,ISNUMBER(MATCH(LEFT(AZ635,2),Lists!$K$2:$K$38,0)),SUMPRODUCT(--ISERROR(FIND(MID(MID(AZ635,3,10),{1,2,3,4,5,10},1),"ABCDEFGHIJKLMNOPQRSTUVWXYZ")))=0,SUMPRODUCT(--ISERROR(FIND(MID(MID(AZ635,3,10),{6,7,8,9},1),"0123456789")))=0,ISNUMBER(FIND(MID(AZ635,13,1),"123456789ABCDEFGHIJKLMNOPQRSTUVWXYZ")),MID(AZ635,14,1)="Z")),"Wrong format",IF(MID("0123456789ABCDEFGHIJKLMNOPQRSTUVWXYZ",MOD(36-MOD(SUMPRODUCT(INT((FIND(MID(AZ635,{1,2,3,4,5,6,7,8,9,10,11,12,13,14},1),"0123456789ABCDEFGHIJKLMNOPQRSTUVWXYZ")-1)*{1,2,1,2,1,2,1,2,1,2,1,2,1,2}/36)+MOD((FIND(MID(AZ635,{1,2,3,4,5,6,7,8,9,10,11,12,13,14},1),"0123456789ABCDEFGHIJKLMNOPQRSTUVWXYZ")-1)*{1,2,1,2,1,2,1,2,1,2,1,2,1,2},36)),36),36)+1,1)=MID(AZ635,15,1),"OK","Typo? check digit wrong")),"Wrong format"))</f>
        <v/>
      </c>
      <c r="AW635" s="29">
        <f>IF(BA635="","",IF(AND(LEN(BA635)=10,SUMPRODUCT(--ISERROR(FIND(MID(BA635,{1,2,3,4,5,10},1),"ABCDEFGHIJKLMNOPQRSTUVWXYZ")))=0,SUMPRODUCT(--ISERROR(FIND(MID(BA635,{6,7,8,9},1),"0123456789")))=0),"OK","Wrong format"))</f>
        <v/>
      </c>
      <c r="AX635" s="29">
        <f>IF(TRIM(H635)="","",IF(AND(LEN(UPPER(TRIM(H635)))=10,SUMPRODUCT(--ISERROR(FIND(MID(UPPER(TRIM(H635)),{1,2,3,4,10},1),"ABCDEFGHIJKLMNOPQRSTUVWXYZ")))=0,SUMPRODUCT(--ISERROR(FIND(MID(UPPER(TRIM(H635)),{5,6,7,8,9},1),"0123456789")))=0),"OK","Wrong format"))</f>
        <v/>
      </c>
      <c r="AY635" s="30">
        <f>IF(NOT(COUNTA(A635:AE635)&gt;0),"",IF(BE635&lt;&gt;"","✖ "&amp;LEFT(BE635,LEN(BE635)-2),IF(BD635&gt;0,"✔ Ready — client + "&amp;BD635&amp;" service(s)","✔ Ready — client only")))</f>
        <v/>
      </c>
      <c r="AZ635" s="31">
        <f>UPPER(SUBSTITUTE(TRIM(F635)," ",""))</f>
        <v/>
      </c>
      <c r="BA635" s="31">
        <f>UPPER(SUBSTITUTE(TRIM(E635)," ",""))</f>
        <v/>
      </c>
      <c r="BB635" s="31">
        <f>IF(D635&lt;&gt;"",D635,IFERROR(VLOOKUP(MID(AS635,4,1),Lists!$E$2:$F$8,2,FALSE),""))</f>
        <v/>
      </c>
      <c r="BC635" s="31">
        <f>IFERROR(VLOOKUP(BB635,Lists!$A$2:$C$12,3,FALSE),"")</f>
        <v/>
      </c>
      <c r="BD635" s="31">
        <f>COUNTIF(W635:AC635,"Yes")</f>
        <v/>
      </c>
      <c r="BE635" s="31">
        <f>IF(TRIM(B635)="","Legal name missing; ","")&amp;IF(AND(AV635&lt;&gt;"",AV635&lt;&gt;"OK"),"GSTIN: "&amp;AV635&amp;"; ","")&amp;IF(AND(AW635&lt;&gt;"",AW635&lt;&gt;"OK"),"PAN wrong format; ","")&amp;IF(AND(BA635&lt;&gt;"",LEN(AZ635)=15,MID(AZ635,3,10)&lt;&gt;BA635),"PAN does not match GSTIN; ","")&amp;IF(AND(AX635&lt;&gt;"",AX635&lt;&gt;"OK"),"TAN wrong format; ","")&amp;IF(AS635="","PAN missing; ","")&amp;IF(BB635="","Entity type missing; ","")&amp;IF(AND(AZ635&lt;&gt;"",COUNTIF($AZ$6:$AZ$1005,AZ635)&gt;1),"GSTIN repeated in this sheet; ","")&amp;IF(AND(AS635&lt;&gt;"",COUNTIF($AS$6:$AS$1005,AS635)&gt;1),"PAN repeated in this sheet (same client? put extra GSTINs in Other GSTINs); ","")&amp;IF(AND(BD635&gt;0,V635=""),"Financial year missing; ","")&amp;IF(AND(BD635=0,V635&lt;&gt;""),"Financial year given but no service is Yes; ","")&amp;IF(AND(W635="Yes",AZ635=""),"GST needs a GSTIN; ","")&amp;IF(AND(W635="Yes",X635=""),"GST return frequency missing; ","")&amp;IF(AND(Y635="Yes",TRIM(H635)=""),"TDS needs a TAN; ","")&amp;IF(AND(AA635="Yes",BC635&lt;&gt;"",BC635&lt;&gt;"company",BC635&lt;&gt;"llp"),"ROC is only for a company / LLP; ","")&amp;IF(AND(AA635="Yes",OR(BC635="company",BC635="llp"),TRIM(I635)=""),"ROC needs the CIN / LLPIN; ","")&amp;IF((TRIM(AF635)="")&lt;&gt;(TRIM(AG635)=""),"GST login needs both user ID and password; ","")&amp;IF((TRIM(AH635)="")&lt;&gt;(TRIM(AI635)=""),"Income-tax login needs both user ID and password; ","")&amp;IF((TRIM(AJ635)="")&lt;&gt;(TRIM(AK635)=""),"Income-tax login needs both user ID and password; ","")&amp;IF((TRIM(AL635)="")&lt;&gt;(TRIM(AM635)=""),"TRACES login needs both user ID and password; ","")&amp;IF((TRIM(AN635)="")&lt;&gt;(TRIM(AO635)=""),"MCA login needs both user ID and password; ","")&amp;IF((TRIM(AP635)="")&lt;&gt;(TRIM(AQ635)=""),"E-way bill login needs both user ID and password; ","")</f>
        <v/>
      </c>
    </row>
    <row r="636">
      <c r="A636" s="32" t="n"/>
      <c r="B636" s="33" t="n"/>
      <c r="C636" s="33" t="n"/>
      <c r="D636" s="33" t="n"/>
      <c r="E636" s="32" t="n"/>
      <c r="F636" s="32" t="n"/>
      <c r="G636" s="32" t="n"/>
      <c r="H636" s="32" t="n"/>
      <c r="I636" s="32" t="n"/>
      <c r="J636" s="34" t="n"/>
      <c r="K636" s="33" t="n"/>
      <c r="L636" s="32" t="n"/>
      <c r="M636" s="33" t="n"/>
      <c r="N636" s="33" t="n"/>
      <c r="O636" s="33" t="n"/>
      <c r="P636" s="32" t="n"/>
      <c r="Q636" s="33" t="n"/>
      <c r="R636" s="33" t="n"/>
      <c r="S636" s="33" t="n"/>
      <c r="T636" s="33" t="n"/>
      <c r="U636" s="32" t="n"/>
      <c r="V636" s="33" t="n"/>
      <c r="W636" s="33" t="n"/>
      <c r="X636" s="33" t="n"/>
      <c r="Y636" s="33" t="n"/>
      <c r="Z636" s="33" t="n"/>
      <c r="AA636" s="33" t="n"/>
      <c r="AB636" s="33" t="n"/>
      <c r="AC636" s="33" t="n"/>
      <c r="AD636" s="33" t="n"/>
      <c r="AE636" s="33" t="n"/>
      <c r="AF636" s="32" t="n"/>
      <c r="AG636" s="32" t="n"/>
      <c r="AH636" s="32" t="n"/>
      <c r="AI636" s="32" t="n"/>
      <c r="AJ636" s="32" t="n"/>
      <c r="AK636" s="32" t="n"/>
      <c r="AL636" s="32" t="n"/>
      <c r="AM636" s="32" t="n"/>
      <c r="AN636" s="32" t="n"/>
      <c r="AO636" s="32" t="n"/>
      <c r="AP636" s="32" t="n"/>
      <c r="AQ636" s="32" t="n"/>
      <c r="AR636" s="29">
        <f>IF(NOT(COUNTA(A636:AE636)&gt;0),"",IF(A636="","New client","Update"))</f>
        <v/>
      </c>
      <c r="AS636" s="29">
        <f>IF(BA636&lt;&gt;"",BA636,IF(LEN(AZ636)=15,MID(AZ636,3,10),""))</f>
        <v/>
      </c>
      <c r="AT636" s="29">
        <f>IF(BB636="","",BB636&amp;IF(D636="","  (guessed from PAN)",""))</f>
        <v/>
      </c>
      <c r="AU636" s="29">
        <f>IF(AZ636="","",IFERROR(INDEX(Lists!$L$2:$L$38,MATCH(LEFT(AZ636,2),Lists!$K$2:$K$38,0)),"Unknown code"))</f>
        <v/>
      </c>
      <c r="AV636" s="29">
        <f>IF(AZ636="","",IFERROR(IF(NOT(AND(LEN(AZ636)=15,ISNUMBER(MATCH(LEFT(AZ636,2),Lists!$K$2:$K$38,0)),SUMPRODUCT(--ISERROR(FIND(MID(MID(AZ636,3,10),{1,2,3,4,5,10},1),"ABCDEFGHIJKLMNOPQRSTUVWXYZ")))=0,SUMPRODUCT(--ISERROR(FIND(MID(MID(AZ636,3,10),{6,7,8,9},1),"0123456789")))=0,ISNUMBER(FIND(MID(AZ636,13,1),"123456789ABCDEFGHIJKLMNOPQRSTUVWXYZ")),MID(AZ636,14,1)="Z")),"Wrong format",IF(MID("0123456789ABCDEFGHIJKLMNOPQRSTUVWXYZ",MOD(36-MOD(SUMPRODUCT(INT((FIND(MID(AZ636,{1,2,3,4,5,6,7,8,9,10,11,12,13,14},1),"0123456789ABCDEFGHIJKLMNOPQRSTUVWXYZ")-1)*{1,2,1,2,1,2,1,2,1,2,1,2,1,2}/36)+MOD((FIND(MID(AZ636,{1,2,3,4,5,6,7,8,9,10,11,12,13,14},1),"0123456789ABCDEFGHIJKLMNOPQRSTUVWXYZ")-1)*{1,2,1,2,1,2,1,2,1,2,1,2,1,2},36)),36),36)+1,1)=MID(AZ636,15,1),"OK","Typo? check digit wrong")),"Wrong format"))</f>
        <v/>
      </c>
      <c r="AW636" s="29">
        <f>IF(BA636="","",IF(AND(LEN(BA636)=10,SUMPRODUCT(--ISERROR(FIND(MID(BA636,{1,2,3,4,5,10},1),"ABCDEFGHIJKLMNOPQRSTUVWXYZ")))=0,SUMPRODUCT(--ISERROR(FIND(MID(BA636,{6,7,8,9},1),"0123456789")))=0),"OK","Wrong format"))</f>
        <v/>
      </c>
      <c r="AX636" s="29">
        <f>IF(TRIM(H636)="","",IF(AND(LEN(UPPER(TRIM(H636)))=10,SUMPRODUCT(--ISERROR(FIND(MID(UPPER(TRIM(H636)),{1,2,3,4,10},1),"ABCDEFGHIJKLMNOPQRSTUVWXYZ")))=0,SUMPRODUCT(--ISERROR(FIND(MID(UPPER(TRIM(H636)),{5,6,7,8,9},1),"0123456789")))=0),"OK","Wrong format"))</f>
        <v/>
      </c>
      <c r="AY636" s="30">
        <f>IF(NOT(COUNTA(A636:AE636)&gt;0),"",IF(BE636&lt;&gt;"","✖ "&amp;LEFT(BE636,LEN(BE636)-2),IF(BD636&gt;0,"✔ Ready — client + "&amp;BD636&amp;" service(s)","✔ Ready — client only")))</f>
        <v/>
      </c>
      <c r="AZ636" s="31">
        <f>UPPER(SUBSTITUTE(TRIM(F636)," ",""))</f>
        <v/>
      </c>
      <c r="BA636" s="31">
        <f>UPPER(SUBSTITUTE(TRIM(E636)," ",""))</f>
        <v/>
      </c>
      <c r="BB636" s="31">
        <f>IF(D636&lt;&gt;"",D636,IFERROR(VLOOKUP(MID(AS636,4,1),Lists!$E$2:$F$8,2,FALSE),""))</f>
        <v/>
      </c>
      <c r="BC636" s="31">
        <f>IFERROR(VLOOKUP(BB636,Lists!$A$2:$C$12,3,FALSE),"")</f>
        <v/>
      </c>
      <c r="BD636" s="31">
        <f>COUNTIF(W636:AC636,"Yes")</f>
        <v/>
      </c>
      <c r="BE636" s="31">
        <f>IF(TRIM(B636)="","Legal name missing; ","")&amp;IF(AND(AV636&lt;&gt;"",AV636&lt;&gt;"OK"),"GSTIN: "&amp;AV636&amp;"; ","")&amp;IF(AND(AW636&lt;&gt;"",AW636&lt;&gt;"OK"),"PAN wrong format; ","")&amp;IF(AND(BA636&lt;&gt;"",LEN(AZ636)=15,MID(AZ636,3,10)&lt;&gt;BA636),"PAN does not match GSTIN; ","")&amp;IF(AND(AX636&lt;&gt;"",AX636&lt;&gt;"OK"),"TAN wrong format; ","")&amp;IF(AS636="","PAN missing; ","")&amp;IF(BB636="","Entity type missing; ","")&amp;IF(AND(AZ636&lt;&gt;"",COUNTIF($AZ$6:$AZ$1005,AZ636)&gt;1),"GSTIN repeated in this sheet; ","")&amp;IF(AND(AS636&lt;&gt;"",COUNTIF($AS$6:$AS$1005,AS636)&gt;1),"PAN repeated in this sheet (same client? put extra GSTINs in Other GSTINs); ","")&amp;IF(AND(BD636&gt;0,V636=""),"Financial year missing; ","")&amp;IF(AND(BD636=0,V636&lt;&gt;""),"Financial year given but no service is Yes; ","")&amp;IF(AND(W636="Yes",AZ636=""),"GST needs a GSTIN; ","")&amp;IF(AND(W636="Yes",X636=""),"GST return frequency missing; ","")&amp;IF(AND(Y636="Yes",TRIM(H636)=""),"TDS needs a TAN; ","")&amp;IF(AND(AA636="Yes",BC636&lt;&gt;"",BC636&lt;&gt;"company",BC636&lt;&gt;"llp"),"ROC is only for a company / LLP; ","")&amp;IF(AND(AA636="Yes",OR(BC636="company",BC636="llp"),TRIM(I636)=""),"ROC needs the CIN / LLPIN; ","")&amp;IF((TRIM(AF636)="")&lt;&gt;(TRIM(AG636)=""),"GST login needs both user ID and password; ","")&amp;IF((TRIM(AH636)="")&lt;&gt;(TRIM(AI636)=""),"Income-tax login needs both user ID and password; ","")&amp;IF((TRIM(AJ636)="")&lt;&gt;(TRIM(AK636)=""),"Income-tax login needs both user ID and password; ","")&amp;IF((TRIM(AL636)="")&lt;&gt;(TRIM(AM636)=""),"TRACES login needs both user ID and password; ","")&amp;IF((TRIM(AN636)="")&lt;&gt;(TRIM(AO636)=""),"MCA login needs both user ID and password; ","")&amp;IF((TRIM(AP636)="")&lt;&gt;(TRIM(AQ636)=""),"E-way bill login needs both user ID and password; ","")</f>
        <v/>
      </c>
    </row>
    <row r="637">
      <c r="A637" s="32" t="n"/>
      <c r="B637" s="33" t="n"/>
      <c r="C637" s="33" t="n"/>
      <c r="D637" s="33" t="n"/>
      <c r="E637" s="32" t="n"/>
      <c r="F637" s="32" t="n"/>
      <c r="G637" s="32" t="n"/>
      <c r="H637" s="32" t="n"/>
      <c r="I637" s="32" t="n"/>
      <c r="J637" s="34" t="n"/>
      <c r="K637" s="33" t="n"/>
      <c r="L637" s="32" t="n"/>
      <c r="M637" s="33" t="n"/>
      <c r="N637" s="33" t="n"/>
      <c r="O637" s="33" t="n"/>
      <c r="P637" s="32" t="n"/>
      <c r="Q637" s="33" t="n"/>
      <c r="R637" s="33" t="n"/>
      <c r="S637" s="33" t="n"/>
      <c r="T637" s="33" t="n"/>
      <c r="U637" s="32" t="n"/>
      <c r="V637" s="33" t="n"/>
      <c r="W637" s="33" t="n"/>
      <c r="X637" s="33" t="n"/>
      <c r="Y637" s="33" t="n"/>
      <c r="Z637" s="33" t="n"/>
      <c r="AA637" s="33" t="n"/>
      <c r="AB637" s="33" t="n"/>
      <c r="AC637" s="33" t="n"/>
      <c r="AD637" s="33" t="n"/>
      <c r="AE637" s="33" t="n"/>
      <c r="AF637" s="32" t="n"/>
      <c r="AG637" s="32" t="n"/>
      <c r="AH637" s="32" t="n"/>
      <c r="AI637" s="32" t="n"/>
      <c r="AJ637" s="32" t="n"/>
      <c r="AK637" s="32" t="n"/>
      <c r="AL637" s="32" t="n"/>
      <c r="AM637" s="32" t="n"/>
      <c r="AN637" s="32" t="n"/>
      <c r="AO637" s="32" t="n"/>
      <c r="AP637" s="32" t="n"/>
      <c r="AQ637" s="32" t="n"/>
      <c r="AR637" s="29">
        <f>IF(NOT(COUNTA(A637:AE637)&gt;0),"",IF(A637="","New client","Update"))</f>
        <v/>
      </c>
      <c r="AS637" s="29">
        <f>IF(BA637&lt;&gt;"",BA637,IF(LEN(AZ637)=15,MID(AZ637,3,10),""))</f>
        <v/>
      </c>
      <c r="AT637" s="29">
        <f>IF(BB637="","",BB637&amp;IF(D637="","  (guessed from PAN)",""))</f>
        <v/>
      </c>
      <c r="AU637" s="29">
        <f>IF(AZ637="","",IFERROR(INDEX(Lists!$L$2:$L$38,MATCH(LEFT(AZ637,2),Lists!$K$2:$K$38,0)),"Unknown code"))</f>
        <v/>
      </c>
      <c r="AV637" s="29">
        <f>IF(AZ637="","",IFERROR(IF(NOT(AND(LEN(AZ637)=15,ISNUMBER(MATCH(LEFT(AZ637,2),Lists!$K$2:$K$38,0)),SUMPRODUCT(--ISERROR(FIND(MID(MID(AZ637,3,10),{1,2,3,4,5,10},1),"ABCDEFGHIJKLMNOPQRSTUVWXYZ")))=0,SUMPRODUCT(--ISERROR(FIND(MID(MID(AZ637,3,10),{6,7,8,9},1),"0123456789")))=0,ISNUMBER(FIND(MID(AZ637,13,1),"123456789ABCDEFGHIJKLMNOPQRSTUVWXYZ")),MID(AZ637,14,1)="Z")),"Wrong format",IF(MID("0123456789ABCDEFGHIJKLMNOPQRSTUVWXYZ",MOD(36-MOD(SUMPRODUCT(INT((FIND(MID(AZ637,{1,2,3,4,5,6,7,8,9,10,11,12,13,14},1),"0123456789ABCDEFGHIJKLMNOPQRSTUVWXYZ")-1)*{1,2,1,2,1,2,1,2,1,2,1,2,1,2}/36)+MOD((FIND(MID(AZ637,{1,2,3,4,5,6,7,8,9,10,11,12,13,14},1),"0123456789ABCDEFGHIJKLMNOPQRSTUVWXYZ")-1)*{1,2,1,2,1,2,1,2,1,2,1,2,1,2},36)),36),36)+1,1)=MID(AZ637,15,1),"OK","Typo? check digit wrong")),"Wrong format"))</f>
        <v/>
      </c>
      <c r="AW637" s="29">
        <f>IF(BA637="","",IF(AND(LEN(BA637)=10,SUMPRODUCT(--ISERROR(FIND(MID(BA637,{1,2,3,4,5,10},1),"ABCDEFGHIJKLMNOPQRSTUVWXYZ")))=0,SUMPRODUCT(--ISERROR(FIND(MID(BA637,{6,7,8,9},1),"0123456789")))=0),"OK","Wrong format"))</f>
        <v/>
      </c>
      <c r="AX637" s="29">
        <f>IF(TRIM(H637)="","",IF(AND(LEN(UPPER(TRIM(H637)))=10,SUMPRODUCT(--ISERROR(FIND(MID(UPPER(TRIM(H637)),{1,2,3,4,10},1),"ABCDEFGHIJKLMNOPQRSTUVWXYZ")))=0,SUMPRODUCT(--ISERROR(FIND(MID(UPPER(TRIM(H637)),{5,6,7,8,9},1),"0123456789")))=0),"OK","Wrong format"))</f>
        <v/>
      </c>
      <c r="AY637" s="30">
        <f>IF(NOT(COUNTA(A637:AE637)&gt;0),"",IF(BE637&lt;&gt;"","✖ "&amp;LEFT(BE637,LEN(BE637)-2),IF(BD637&gt;0,"✔ Ready — client + "&amp;BD637&amp;" service(s)","✔ Ready — client only")))</f>
        <v/>
      </c>
      <c r="AZ637" s="31">
        <f>UPPER(SUBSTITUTE(TRIM(F637)," ",""))</f>
        <v/>
      </c>
      <c r="BA637" s="31">
        <f>UPPER(SUBSTITUTE(TRIM(E637)," ",""))</f>
        <v/>
      </c>
      <c r="BB637" s="31">
        <f>IF(D637&lt;&gt;"",D637,IFERROR(VLOOKUP(MID(AS637,4,1),Lists!$E$2:$F$8,2,FALSE),""))</f>
        <v/>
      </c>
      <c r="BC637" s="31">
        <f>IFERROR(VLOOKUP(BB637,Lists!$A$2:$C$12,3,FALSE),"")</f>
        <v/>
      </c>
      <c r="BD637" s="31">
        <f>COUNTIF(W637:AC637,"Yes")</f>
        <v/>
      </c>
      <c r="BE637" s="31">
        <f>IF(TRIM(B637)="","Legal name missing; ","")&amp;IF(AND(AV637&lt;&gt;"",AV637&lt;&gt;"OK"),"GSTIN: "&amp;AV637&amp;"; ","")&amp;IF(AND(AW637&lt;&gt;"",AW637&lt;&gt;"OK"),"PAN wrong format; ","")&amp;IF(AND(BA637&lt;&gt;"",LEN(AZ637)=15,MID(AZ637,3,10)&lt;&gt;BA637),"PAN does not match GSTIN; ","")&amp;IF(AND(AX637&lt;&gt;"",AX637&lt;&gt;"OK"),"TAN wrong format; ","")&amp;IF(AS637="","PAN missing; ","")&amp;IF(BB637="","Entity type missing; ","")&amp;IF(AND(AZ637&lt;&gt;"",COUNTIF($AZ$6:$AZ$1005,AZ637)&gt;1),"GSTIN repeated in this sheet; ","")&amp;IF(AND(AS637&lt;&gt;"",COUNTIF($AS$6:$AS$1005,AS637)&gt;1),"PAN repeated in this sheet (same client? put extra GSTINs in Other GSTINs); ","")&amp;IF(AND(BD637&gt;0,V637=""),"Financial year missing; ","")&amp;IF(AND(BD637=0,V637&lt;&gt;""),"Financial year given but no service is Yes; ","")&amp;IF(AND(W637="Yes",AZ637=""),"GST needs a GSTIN; ","")&amp;IF(AND(W637="Yes",X637=""),"GST return frequency missing; ","")&amp;IF(AND(Y637="Yes",TRIM(H637)=""),"TDS needs a TAN; ","")&amp;IF(AND(AA637="Yes",BC637&lt;&gt;"",BC637&lt;&gt;"company",BC637&lt;&gt;"llp"),"ROC is only for a company / LLP; ","")&amp;IF(AND(AA637="Yes",OR(BC637="company",BC637="llp"),TRIM(I637)=""),"ROC needs the CIN / LLPIN; ","")&amp;IF((TRIM(AF637)="")&lt;&gt;(TRIM(AG637)=""),"GST login needs both user ID and password; ","")&amp;IF((TRIM(AH637)="")&lt;&gt;(TRIM(AI637)=""),"Income-tax login needs both user ID and password; ","")&amp;IF((TRIM(AJ637)="")&lt;&gt;(TRIM(AK637)=""),"Income-tax login needs both user ID and password; ","")&amp;IF((TRIM(AL637)="")&lt;&gt;(TRIM(AM637)=""),"TRACES login needs both user ID and password; ","")&amp;IF((TRIM(AN637)="")&lt;&gt;(TRIM(AO637)=""),"MCA login needs both user ID and password; ","")&amp;IF((TRIM(AP637)="")&lt;&gt;(TRIM(AQ637)=""),"E-way bill login needs both user ID and password; ","")</f>
        <v/>
      </c>
    </row>
    <row r="638">
      <c r="A638" s="32" t="n"/>
      <c r="B638" s="33" t="n"/>
      <c r="C638" s="33" t="n"/>
      <c r="D638" s="33" t="n"/>
      <c r="E638" s="32" t="n"/>
      <c r="F638" s="32" t="n"/>
      <c r="G638" s="32" t="n"/>
      <c r="H638" s="32" t="n"/>
      <c r="I638" s="32" t="n"/>
      <c r="J638" s="34" t="n"/>
      <c r="K638" s="33" t="n"/>
      <c r="L638" s="32" t="n"/>
      <c r="M638" s="33" t="n"/>
      <c r="N638" s="33" t="n"/>
      <c r="O638" s="33" t="n"/>
      <c r="P638" s="32" t="n"/>
      <c r="Q638" s="33" t="n"/>
      <c r="R638" s="33" t="n"/>
      <c r="S638" s="33" t="n"/>
      <c r="T638" s="33" t="n"/>
      <c r="U638" s="32" t="n"/>
      <c r="V638" s="33" t="n"/>
      <c r="W638" s="33" t="n"/>
      <c r="X638" s="33" t="n"/>
      <c r="Y638" s="33" t="n"/>
      <c r="Z638" s="33" t="n"/>
      <c r="AA638" s="33" t="n"/>
      <c r="AB638" s="33" t="n"/>
      <c r="AC638" s="33" t="n"/>
      <c r="AD638" s="33" t="n"/>
      <c r="AE638" s="33" t="n"/>
      <c r="AF638" s="32" t="n"/>
      <c r="AG638" s="32" t="n"/>
      <c r="AH638" s="32" t="n"/>
      <c r="AI638" s="32" t="n"/>
      <c r="AJ638" s="32" t="n"/>
      <c r="AK638" s="32" t="n"/>
      <c r="AL638" s="32" t="n"/>
      <c r="AM638" s="32" t="n"/>
      <c r="AN638" s="32" t="n"/>
      <c r="AO638" s="32" t="n"/>
      <c r="AP638" s="32" t="n"/>
      <c r="AQ638" s="32" t="n"/>
      <c r="AR638" s="29">
        <f>IF(NOT(COUNTA(A638:AE638)&gt;0),"",IF(A638="","New client","Update"))</f>
        <v/>
      </c>
      <c r="AS638" s="29">
        <f>IF(BA638&lt;&gt;"",BA638,IF(LEN(AZ638)=15,MID(AZ638,3,10),""))</f>
        <v/>
      </c>
      <c r="AT638" s="29">
        <f>IF(BB638="","",BB638&amp;IF(D638="","  (guessed from PAN)",""))</f>
        <v/>
      </c>
      <c r="AU638" s="29">
        <f>IF(AZ638="","",IFERROR(INDEX(Lists!$L$2:$L$38,MATCH(LEFT(AZ638,2),Lists!$K$2:$K$38,0)),"Unknown code"))</f>
        <v/>
      </c>
      <c r="AV638" s="29">
        <f>IF(AZ638="","",IFERROR(IF(NOT(AND(LEN(AZ638)=15,ISNUMBER(MATCH(LEFT(AZ638,2),Lists!$K$2:$K$38,0)),SUMPRODUCT(--ISERROR(FIND(MID(MID(AZ638,3,10),{1,2,3,4,5,10},1),"ABCDEFGHIJKLMNOPQRSTUVWXYZ")))=0,SUMPRODUCT(--ISERROR(FIND(MID(MID(AZ638,3,10),{6,7,8,9},1),"0123456789")))=0,ISNUMBER(FIND(MID(AZ638,13,1),"123456789ABCDEFGHIJKLMNOPQRSTUVWXYZ")),MID(AZ638,14,1)="Z")),"Wrong format",IF(MID("0123456789ABCDEFGHIJKLMNOPQRSTUVWXYZ",MOD(36-MOD(SUMPRODUCT(INT((FIND(MID(AZ638,{1,2,3,4,5,6,7,8,9,10,11,12,13,14},1),"0123456789ABCDEFGHIJKLMNOPQRSTUVWXYZ")-1)*{1,2,1,2,1,2,1,2,1,2,1,2,1,2}/36)+MOD((FIND(MID(AZ638,{1,2,3,4,5,6,7,8,9,10,11,12,13,14},1),"0123456789ABCDEFGHIJKLMNOPQRSTUVWXYZ")-1)*{1,2,1,2,1,2,1,2,1,2,1,2,1,2},36)),36),36)+1,1)=MID(AZ638,15,1),"OK","Typo? check digit wrong")),"Wrong format"))</f>
        <v/>
      </c>
      <c r="AW638" s="29">
        <f>IF(BA638="","",IF(AND(LEN(BA638)=10,SUMPRODUCT(--ISERROR(FIND(MID(BA638,{1,2,3,4,5,10},1),"ABCDEFGHIJKLMNOPQRSTUVWXYZ")))=0,SUMPRODUCT(--ISERROR(FIND(MID(BA638,{6,7,8,9},1),"0123456789")))=0),"OK","Wrong format"))</f>
        <v/>
      </c>
      <c r="AX638" s="29">
        <f>IF(TRIM(H638)="","",IF(AND(LEN(UPPER(TRIM(H638)))=10,SUMPRODUCT(--ISERROR(FIND(MID(UPPER(TRIM(H638)),{1,2,3,4,10},1),"ABCDEFGHIJKLMNOPQRSTUVWXYZ")))=0,SUMPRODUCT(--ISERROR(FIND(MID(UPPER(TRIM(H638)),{5,6,7,8,9},1),"0123456789")))=0),"OK","Wrong format"))</f>
        <v/>
      </c>
      <c r="AY638" s="30">
        <f>IF(NOT(COUNTA(A638:AE638)&gt;0),"",IF(BE638&lt;&gt;"","✖ "&amp;LEFT(BE638,LEN(BE638)-2),IF(BD638&gt;0,"✔ Ready — client + "&amp;BD638&amp;" service(s)","✔ Ready — client only")))</f>
        <v/>
      </c>
      <c r="AZ638" s="31">
        <f>UPPER(SUBSTITUTE(TRIM(F638)," ",""))</f>
        <v/>
      </c>
      <c r="BA638" s="31">
        <f>UPPER(SUBSTITUTE(TRIM(E638)," ",""))</f>
        <v/>
      </c>
      <c r="BB638" s="31">
        <f>IF(D638&lt;&gt;"",D638,IFERROR(VLOOKUP(MID(AS638,4,1),Lists!$E$2:$F$8,2,FALSE),""))</f>
        <v/>
      </c>
      <c r="BC638" s="31">
        <f>IFERROR(VLOOKUP(BB638,Lists!$A$2:$C$12,3,FALSE),"")</f>
        <v/>
      </c>
      <c r="BD638" s="31">
        <f>COUNTIF(W638:AC638,"Yes")</f>
        <v/>
      </c>
      <c r="BE638" s="31">
        <f>IF(TRIM(B638)="","Legal name missing; ","")&amp;IF(AND(AV638&lt;&gt;"",AV638&lt;&gt;"OK"),"GSTIN: "&amp;AV638&amp;"; ","")&amp;IF(AND(AW638&lt;&gt;"",AW638&lt;&gt;"OK"),"PAN wrong format; ","")&amp;IF(AND(BA638&lt;&gt;"",LEN(AZ638)=15,MID(AZ638,3,10)&lt;&gt;BA638),"PAN does not match GSTIN; ","")&amp;IF(AND(AX638&lt;&gt;"",AX638&lt;&gt;"OK"),"TAN wrong format; ","")&amp;IF(AS638="","PAN missing; ","")&amp;IF(BB638="","Entity type missing; ","")&amp;IF(AND(AZ638&lt;&gt;"",COUNTIF($AZ$6:$AZ$1005,AZ638)&gt;1),"GSTIN repeated in this sheet; ","")&amp;IF(AND(AS638&lt;&gt;"",COUNTIF($AS$6:$AS$1005,AS638)&gt;1),"PAN repeated in this sheet (same client? put extra GSTINs in Other GSTINs); ","")&amp;IF(AND(BD638&gt;0,V638=""),"Financial year missing; ","")&amp;IF(AND(BD638=0,V638&lt;&gt;""),"Financial year given but no service is Yes; ","")&amp;IF(AND(W638="Yes",AZ638=""),"GST needs a GSTIN; ","")&amp;IF(AND(W638="Yes",X638=""),"GST return frequency missing; ","")&amp;IF(AND(Y638="Yes",TRIM(H638)=""),"TDS needs a TAN; ","")&amp;IF(AND(AA638="Yes",BC638&lt;&gt;"",BC638&lt;&gt;"company",BC638&lt;&gt;"llp"),"ROC is only for a company / LLP; ","")&amp;IF(AND(AA638="Yes",OR(BC638="company",BC638="llp"),TRIM(I638)=""),"ROC needs the CIN / LLPIN; ","")&amp;IF((TRIM(AF638)="")&lt;&gt;(TRIM(AG638)=""),"GST login needs both user ID and password; ","")&amp;IF((TRIM(AH638)="")&lt;&gt;(TRIM(AI638)=""),"Income-tax login needs both user ID and password; ","")&amp;IF((TRIM(AJ638)="")&lt;&gt;(TRIM(AK638)=""),"Income-tax login needs both user ID and password; ","")&amp;IF((TRIM(AL638)="")&lt;&gt;(TRIM(AM638)=""),"TRACES login needs both user ID and password; ","")&amp;IF((TRIM(AN638)="")&lt;&gt;(TRIM(AO638)=""),"MCA login needs both user ID and password; ","")&amp;IF((TRIM(AP638)="")&lt;&gt;(TRIM(AQ638)=""),"E-way bill login needs both user ID and password; ","")</f>
        <v/>
      </c>
    </row>
    <row r="639">
      <c r="A639" s="32" t="n"/>
      <c r="B639" s="33" t="n"/>
      <c r="C639" s="33" t="n"/>
      <c r="D639" s="33" t="n"/>
      <c r="E639" s="32" t="n"/>
      <c r="F639" s="32" t="n"/>
      <c r="G639" s="32" t="n"/>
      <c r="H639" s="32" t="n"/>
      <c r="I639" s="32" t="n"/>
      <c r="J639" s="34" t="n"/>
      <c r="K639" s="33" t="n"/>
      <c r="L639" s="32" t="n"/>
      <c r="M639" s="33" t="n"/>
      <c r="N639" s="33" t="n"/>
      <c r="O639" s="33" t="n"/>
      <c r="P639" s="32" t="n"/>
      <c r="Q639" s="33" t="n"/>
      <c r="R639" s="33" t="n"/>
      <c r="S639" s="33" t="n"/>
      <c r="T639" s="33" t="n"/>
      <c r="U639" s="32" t="n"/>
      <c r="V639" s="33" t="n"/>
      <c r="W639" s="33" t="n"/>
      <c r="X639" s="33" t="n"/>
      <c r="Y639" s="33" t="n"/>
      <c r="Z639" s="33" t="n"/>
      <c r="AA639" s="33" t="n"/>
      <c r="AB639" s="33" t="n"/>
      <c r="AC639" s="33" t="n"/>
      <c r="AD639" s="33" t="n"/>
      <c r="AE639" s="33" t="n"/>
      <c r="AF639" s="32" t="n"/>
      <c r="AG639" s="32" t="n"/>
      <c r="AH639" s="32" t="n"/>
      <c r="AI639" s="32" t="n"/>
      <c r="AJ639" s="32" t="n"/>
      <c r="AK639" s="32" t="n"/>
      <c r="AL639" s="32" t="n"/>
      <c r="AM639" s="32" t="n"/>
      <c r="AN639" s="32" t="n"/>
      <c r="AO639" s="32" t="n"/>
      <c r="AP639" s="32" t="n"/>
      <c r="AQ639" s="32" t="n"/>
      <c r="AR639" s="29">
        <f>IF(NOT(COUNTA(A639:AE639)&gt;0),"",IF(A639="","New client","Update"))</f>
        <v/>
      </c>
      <c r="AS639" s="29">
        <f>IF(BA639&lt;&gt;"",BA639,IF(LEN(AZ639)=15,MID(AZ639,3,10),""))</f>
        <v/>
      </c>
      <c r="AT639" s="29">
        <f>IF(BB639="","",BB639&amp;IF(D639="","  (guessed from PAN)",""))</f>
        <v/>
      </c>
      <c r="AU639" s="29">
        <f>IF(AZ639="","",IFERROR(INDEX(Lists!$L$2:$L$38,MATCH(LEFT(AZ639,2),Lists!$K$2:$K$38,0)),"Unknown code"))</f>
        <v/>
      </c>
      <c r="AV639" s="29">
        <f>IF(AZ639="","",IFERROR(IF(NOT(AND(LEN(AZ639)=15,ISNUMBER(MATCH(LEFT(AZ639,2),Lists!$K$2:$K$38,0)),SUMPRODUCT(--ISERROR(FIND(MID(MID(AZ639,3,10),{1,2,3,4,5,10},1),"ABCDEFGHIJKLMNOPQRSTUVWXYZ")))=0,SUMPRODUCT(--ISERROR(FIND(MID(MID(AZ639,3,10),{6,7,8,9},1),"0123456789")))=0,ISNUMBER(FIND(MID(AZ639,13,1),"123456789ABCDEFGHIJKLMNOPQRSTUVWXYZ")),MID(AZ639,14,1)="Z")),"Wrong format",IF(MID("0123456789ABCDEFGHIJKLMNOPQRSTUVWXYZ",MOD(36-MOD(SUMPRODUCT(INT((FIND(MID(AZ639,{1,2,3,4,5,6,7,8,9,10,11,12,13,14},1),"0123456789ABCDEFGHIJKLMNOPQRSTUVWXYZ")-1)*{1,2,1,2,1,2,1,2,1,2,1,2,1,2}/36)+MOD((FIND(MID(AZ639,{1,2,3,4,5,6,7,8,9,10,11,12,13,14},1),"0123456789ABCDEFGHIJKLMNOPQRSTUVWXYZ")-1)*{1,2,1,2,1,2,1,2,1,2,1,2,1,2},36)),36),36)+1,1)=MID(AZ639,15,1),"OK","Typo? check digit wrong")),"Wrong format"))</f>
        <v/>
      </c>
      <c r="AW639" s="29">
        <f>IF(BA639="","",IF(AND(LEN(BA639)=10,SUMPRODUCT(--ISERROR(FIND(MID(BA639,{1,2,3,4,5,10},1),"ABCDEFGHIJKLMNOPQRSTUVWXYZ")))=0,SUMPRODUCT(--ISERROR(FIND(MID(BA639,{6,7,8,9},1),"0123456789")))=0),"OK","Wrong format"))</f>
        <v/>
      </c>
      <c r="AX639" s="29">
        <f>IF(TRIM(H639)="","",IF(AND(LEN(UPPER(TRIM(H639)))=10,SUMPRODUCT(--ISERROR(FIND(MID(UPPER(TRIM(H639)),{1,2,3,4,10},1),"ABCDEFGHIJKLMNOPQRSTUVWXYZ")))=0,SUMPRODUCT(--ISERROR(FIND(MID(UPPER(TRIM(H639)),{5,6,7,8,9},1),"0123456789")))=0),"OK","Wrong format"))</f>
        <v/>
      </c>
      <c r="AY639" s="30">
        <f>IF(NOT(COUNTA(A639:AE639)&gt;0),"",IF(BE639&lt;&gt;"","✖ "&amp;LEFT(BE639,LEN(BE639)-2),IF(BD639&gt;0,"✔ Ready — client + "&amp;BD639&amp;" service(s)","✔ Ready — client only")))</f>
        <v/>
      </c>
      <c r="AZ639" s="31">
        <f>UPPER(SUBSTITUTE(TRIM(F639)," ",""))</f>
        <v/>
      </c>
      <c r="BA639" s="31">
        <f>UPPER(SUBSTITUTE(TRIM(E639)," ",""))</f>
        <v/>
      </c>
      <c r="BB639" s="31">
        <f>IF(D639&lt;&gt;"",D639,IFERROR(VLOOKUP(MID(AS639,4,1),Lists!$E$2:$F$8,2,FALSE),""))</f>
        <v/>
      </c>
      <c r="BC639" s="31">
        <f>IFERROR(VLOOKUP(BB639,Lists!$A$2:$C$12,3,FALSE),"")</f>
        <v/>
      </c>
      <c r="BD639" s="31">
        <f>COUNTIF(W639:AC639,"Yes")</f>
        <v/>
      </c>
      <c r="BE639" s="31">
        <f>IF(TRIM(B639)="","Legal name missing; ","")&amp;IF(AND(AV639&lt;&gt;"",AV639&lt;&gt;"OK"),"GSTIN: "&amp;AV639&amp;"; ","")&amp;IF(AND(AW639&lt;&gt;"",AW639&lt;&gt;"OK"),"PAN wrong format; ","")&amp;IF(AND(BA639&lt;&gt;"",LEN(AZ639)=15,MID(AZ639,3,10)&lt;&gt;BA639),"PAN does not match GSTIN; ","")&amp;IF(AND(AX639&lt;&gt;"",AX639&lt;&gt;"OK"),"TAN wrong format; ","")&amp;IF(AS639="","PAN missing; ","")&amp;IF(BB639="","Entity type missing; ","")&amp;IF(AND(AZ639&lt;&gt;"",COUNTIF($AZ$6:$AZ$1005,AZ639)&gt;1),"GSTIN repeated in this sheet; ","")&amp;IF(AND(AS639&lt;&gt;"",COUNTIF($AS$6:$AS$1005,AS639)&gt;1),"PAN repeated in this sheet (same client? put extra GSTINs in Other GSTINs); ","")&amp;IF(AND(BD639&gt;0,V639=""),"Financial year missing; ","")&amp;IF(AND(BD639=0,V639&lt;&gt;""),"Financial year given but no service is Yes; ","")&amp;IF(AND(W639="Yes",AZ639=""),"GST needs a GSTIN; ","")&amp;IF(AND(W639="Yes",X639=""),"GST return frequency missing; ","")&amp;IF(AND(Y639="Yes",TRIM(H639)=""),"TDS needs a TAN; ","")&amp;IF(AND(AA639="Yes",BC639&lt;&gt;"",BC639&lt;&gt;"company",BC639&lt;&gt;"llp"),"ROC is only for a company / LLP; ","")&amp;IF(AND(AA639="Yes",OR(BC639="company",BC639="llp"),TRIM(I639)=""),"ROC needs the CIN / LLPIN; ","")&amp;IF((TRIM(AF639)="")&lt;&gt;(TRIM(AG639)=""),"GST login needs both user ID and password; ","")&amp;IF((TRIM(AH639)="")&lt;&gt;(TRIM(AI639)=""),"Income-tax login needs both user ID and password; ","")&amp;IF((TRIM(AJ639)="")&lt;&gt;(TRIM(AK639)=""),"Income-tax login needs both user ID and password; ","")&amp;IF((TRIM(AL639)="")&lt;&gt;(TRIM(AM639)=""),"TRACES login needs both user ID and password; ","")&amp;IF((TRIM(AN639)="")&lt;&gt;(TRIM(AO639)=""),"MCA login needs both user ID and password; ","")&amp;IF((TRIM(AP639)="")&lt;&gt;(TRIM(AQ639)=""),"E-way bill login needs both user ID and password; ","")</f>
        <v/>
      </c>
    </row>
    <row r="640">
      <c r="A640" s="32" t="n"/>
      <c r="B640" s="33" t="n"/>
      <c r="C640" s="33" t="n"/>
      <c r="D640" s="33" t="n"/>
      <c r="E640" s="32" t="n"/>
      <c r="F640" s="32" t="n"/>
      <c r="G640" s="32" t="n"/>
      <c r="H640" s="32" t="n"/>
      <c r="I640" s="32" t="n"/>
      <c r="J640" s="34" t="n"/>
      <c r="K640" s="33" t="n"/>
      <c r="L640" s="32" t="n"/>
      <c r="M640" s="33" t="n"/>
      <c r="N640" s="33" t="n"/>
      <c r="O640" s="33" t="n"/>
      <c r="P640" s="32" t="n"/>
      <c r="Q640" s="33" t="n"/>
      <c r="R640" s="33" t="n"/>
      <c r="S640" s="33" t="n"/>
      <c r="T640" s="33" t="n"/>
      <c r="U640" s="32" t="n"/>
      <c r="V640" s="33" t="n"/>
      <c r="W640" s="33" t="n"/>
      <c r="X640" s="33" t="n"/>
      <c r="Y640" s="33" t="n"/>
      <c r="Z640" s="33" t="n"/>
      <c r="AA640" s="33" t="n"/>
      <c r="AB640" s="33" t="n"/>
      <c r="AC640" s="33" t="n"/>
      <c r="AD640" s="33" t="n"/>
      <c r="AE640" s="33" t="n"/>
      <c r="AF640" s="32" t="n"/>
      <c r="AG640" s="32" t="n"/>
      <c r="AH640" s="32" t="n"/>
      <c r="AI640" s="32" t="n"/>
      <c r="AJ640" s="32" t="n"/>
      <c r="AK640" s="32" t="n"/>
      <c r="AL640" s="32" t="n"/>
      <c r="AM640" s="32" t="n"/>
      <c r="AN640" s="32" t="n"/>
      <c r="AO640" s="32" t="n"/>
      <c r="AP640" s="32" t="n"/>
      <c r="AQ640" s="32" t="n"/>
      <c r="AR640" s="29">
        <f>IF(NOT(COUNTA(A640:AE640)&gt;0),"",IF(A640="","New client","Update"))</f>
        <v/>
      </c>
      <c r="AS640" s="29">
        <f>IF(BA640&lt;&gt;"",BA640,IF(LEN(AZ640)=15,MID(AZ640,3,10),""))</f>
        <v/>
      </c>
      <c r="AT640" s="29">
        <f>IF(BB640="","",BB640&amp;IF(D640="","  (guessed from PAN)",""))</f>
        <v/>
      </c>
      <c r="AU640" s="29">
        <f>IF(AZ640="","",IFERROR(INDEX(Lists!$L$2:$L$38,MATCH(LEFT(AZ640,2),Lists!$K$2:$K$38,0)),"Unknown code"))</f>
        <v/>
      </c>
      <c r="AV640" s="29">
        <f>IF(AZ640="","",IFERROR(IF(NOT(AND(LEN(AZ640)=15,ISNUMBER(MATCH(LEFT(AZ640,2),Lists!$K$2:$K$38,0)),SUMPRODUCT(--ISERROR(FIND(MID(MID(AZ640,3,10),{1,2,3,4,5,10},1),"ABCDEFGHIJKLMNOPQRSTUVWXYZ")))=0,SUMPRODUCT(--ISERROR(FIND(MID(MID(AZ640,3,10),{6,7,8,9},1),"0123456789")))=0,ISNUMBER(FIND(MID(AZ640,13,1),"123456789ABCDEFGHIJKLMNOPQRSTUVWXYZ")),MID(AZ640,14,1)="Z")),"Wrong format",IF(MID("0123456789ABCDEFGHIJKLMNOPQRSTUVWXYZ",MOD(36-MOD(SUMPRODUCT(INT((FIND(MID(AZ640,{1,2,3,4,5,6,7,8,9,10,11,12,13,14},1),"0123456789ABCDEFGHIJKLMNOPQRSTUVWXYZ")-1)*{1,2,1,2,1,2,1,2,1,2,1,2,1,2}/36)+MOD((FIND(MID(AZ640,{1,2,3,4,5,6,7,8,9,10,11,12,13,14},1),"0123456789ABCDEFGHIJKLMNOPQRSTUVWXYZ")-1)*{1,2,1,2,1,2,1,2,1,2,1,2,1,2},36)),36),36)+1,1)=MID(AZ640,15,1),"OK","Typo? check digit wrong")),"Wrong format"))</f>
        <v/>
      </c>
      <c r="AW640" s="29">
        <f>IF(BA640="","",IF(AND(LEN(BA640)=10,SUMPRODUCT(--ISERROR(FIND(MID(BA640,{1,2,3,4,5,10},1),"ABCDEFGHIJKLMNOPQRSTUVWXYZ")))=0,SUMPRODUCT(--ISERROR(FIND(MID(BA640,{6,7,8,9},1),"0123456789")))=0),"OK","Wrong format"))</f>
        <v/>
      </c>
      <c r="AX640" s="29">
        <f>IF(TRIM(H640)="","",IF(AND(LEN(UPPER(TRIM(H640)))=10,SUMPRODUCT(--ISERROR(FIND(MID(UPPER(TRIM(H640)),{1,2,3,4,10},1),"ABCDEFGHIJKLMNOPQRSTUVWXYZ")))=0,SUMPRODUCT(--ISERROR(FIND(MID(UPPER(TRIM(H640)),{5,6,7,8,9},1),"0123456789")))=0),"OK","Wrong format"))</f>
        <v/>
      </c>
      <c r="AY640" s="30">
        <f>IF(NOT(COUNTA(A640:AE640)&gt;0),"",IF(BE640&lt;&gt;"","✖ "&amp;LEFT(BE640,LEN(BE640)-2),IF(BD640&gt;0,"✔ Ready — client + "&amp;BD640&amp;" service(s)","✔ Ready — client only")))</f>
        <v/>
      </c>
      <c r="AZ640" s="31">
        <f>UPPER(SUBSTITUTE(TRIM(F640)," ",""))</f>
        <v/>
      </c>
      <c r="BA640" s="31">
        <f>UPPER(SUBSTITUTE(TRIM(E640)," ",""))</f>
        <v/>
      </c>
      <c r="BB640" s="31">
        <f>IF(D640&lt;&gt;"",D640,IFERROR(VLOOKUP(MID(AS640,4,1),Lists!$E$2:$F$8,2,FALSE),""))</f>
        <v/>
      </c>
      <c r="BC640" s="31">
        <f>IFERROR(VLOOKUP(BB640,Lists!$A$2:$C$12,3,FALSE),"")</f>
        <v/>
      </c>
      <c r="BD640" s="31">
        <f>COUNTIF(W640:AC640,"Yes")</f>
        <v/>
      </c>
      <c r="BE640" s="31">
        <f>IF(TRIM(B640)="","Legal name missing; ","")&amp;IF(AND(AV640&lt;&gt;"",AV640&lt;&gt;"OK"),"GSTIN: "&amp;AV640&amp;"; ","")&amp;IF(AND(AW640&lt;&gt;"",AW640&lt;&gt;"OK"),"PAN wrong format; ","")&amp;IF(AND(BA640&lt;&gt;"",LEN(AZ640)=15,MID(AZ640,3,10)&lt;&gt;BA640),"PAN does not match GSTIN; ","")&amp;IF(AND(AX640&lt;&gt;"",AX640&lt;&gt;"OK"),"TAN wrong format; ","")&amp;IF(AS640="","PAN missing; ","")&amp;IF(BB640="","Entity type missing; ","")&amp;IF(AND(AZ640&lt;&gt;"",COUNTIF($AZ$6:$AZ$1005,AZ640)&gt;1),"GSTIN repeated in this sheet; ","")&amp;IF(AND(AS640&lt;&gt;"",COUNTIF($AS$6:$AS$1005,AS640)&gt;1),"PAN repeated in this sheet (same client? put extra GSTINs in Other GSTINs); ","")&amp;IF(AND(BD640&gt;0,V640=""),"Financial year missing; ","")&amp;IF(AND(BD640=0,V640&lt;&gt;""),"Financial year given but no service is Yes; ","")&amp;IF(AND(W640="Yes",AZ640=""),"GST needs a GSTIN; ","")&amp;IF(AND(W640="Yes",X640=""),"GST return frequency missing; ","")&amp;IF(AND(Y640="Yes",TRIM(H640)=""),"TDS needs a TAN; ","")&amp;IF(AND(AA640="Yes",BC640&lt;&gt;"",BC640&lt;&gt;"company",BC640&lt;&gt;"llp"),"ROC is only for a company / LLP; ","")&amp;IF(AND(AA640="Yes",OR(BC640="company",BC640="llp"),TRIM(I640)=""),"ROC needs the CIN / LLPIN; ","")&amp;IF((TRIM(AF640)="")&lt;&gt;(TRIM(AG640)=""),"GST login needs both user ID and password; ","")&amp;IF((TRIM(AH640)="")&lt;&gt;(TRIM(AI640)=""),"Income-tax login needs both user ID and password; ","")&amp;IF((TRIM(AJ640)="")&lt;&gt;(TRIM(AK640)=""),"Income-tax login needs both user ID and password; ","")&amp;IF((TRIM(AL640)="")&lt;&gt;(TRIM(AM640)=""),"TRACES login needs both user ID and password; ","")&amp;IF((TRIM(AN640)="")&lt;&gt;(TRIM(AO640)=""),"MCA login needs both user ID and password; ","")&amp;IF((TRIM(AP640)="")&lt;&gt;(TRIM(AQ640)=""),"E-way bill login needs both user ID and password; ","")</f>
        <v/>
      </c>
    </row>
    <row r="641">
      <c r="A641" s="32" t="n"/>
      <c r="B641" s="33" t="n"/>
      <c r="C641" s="33" t="n"/>
      <c r="D641" s="33" t="n"/>
      <c r="E641" s="32" t="n"/>
      <c r="F641" s="32" t="n"/>
      <c r="G641" s="32" t="n"/>
      <c r="H641" s="32" t="n"/>
      <c r="I641" s="32" t="n"/>
      <c r="J641" s="34" t="n"/>
      <c r="K641" s="33" t="n"/>
      <c r="L641" s="32" t="n"/>
      <c r="M641" s="33" t="n"/>
      <c r="N641" s="33" t="n"/>
      <c r="O641" s="33" t="n"/>
      <c r="P641" s="32" t="n"/>
      <c r="Q641" s="33" t="n"/>
      <c r="R641" s="33" t="n"/>
      <c r="S641" s="33" t="n"/>
      <c r="T641" s="33" t="n"/>
      <c r="U641" s="32" t="n"/>
      <c r="V641" s="33" t="n"/>
      <c r="W641" s="33" t="n"/>
      <c r="X641" s="33" t="n"/>
      <c r="Y641" s="33" t="n"/>
      <c r="Z641" s="33" t="n"/>
      <c r="AA641" s="33" t="n"/>
      <c r="AB641" s="33" t="n"/>
      <c r="AC641" s="33" t="n"/>
      <c r="AD641" s="33" t="n"/>
      <c r="AE641" s="33" t="n"/>
      <c r="AF641" s="32" t="n"/>
      <c r="AG641" s="32" t="n"/>
      <c r="AH641" s="32" t="n"/>
      <c r="AI641" s="32" t="n"/>
      <c r="AJ641" s="32" t="n"/>
      <c r="AK641" s="32" t="n"/>
      <c r="AL641" s="32" t="n"/>
      <c r="AM641" s="32" t="n"/>
      <c r="AN641" s="32" t="n"/>
      <c r="AO641" s="32" t="n"/>
      <c r="AP641" s="32" t="n"/>
      <c r="AQ641" s="32" t="n"/>
      <c r="AR641" s="29">
        <f>IF(NOT(COUNTA(A641:AE641)&gt;0),"",IF(A641="","New client","Update"))</f>
        <v/>
      </c>
      <c r="AS641" s="29">
        <f>IF(BA641&lt;&gt;"",BA641,IF(LEN(AZ641)=15,MID(AZ641,3,10),""))</f>
        <v/>
      </c>
      <c r="AT641" s="29">
        <f>IF(BB641="","",BB641&amp;IF(D641="","  (guessed from PAN)",""))</f>
        <v/>
      </c>
      <c r="AU641" s="29">
        <f>IF(AZ641="","",IFERROR(INDEX(Lists!$L$2:$L$38,MATCH(LEFT(AZ641,2),Lists!$K$2:$K$38,0)),"Unknown code"))</f>
        <v/>
      </c>
      <c r="AV641" s="29">
        <f>IF(AZ641="","",IFERROR(IF(NOT(AND(LEN(AZ641)=15,ISNUMBER(MATCH(LEFT(AZ641,2),Lists!$K$2:$K$38,0)),SUMPRODUCT(--ISERROR(FIND(MID(MID(AZ641,3,10),{1,2,3,4,5,10},1),"ABCDEFGHIJKLMNOPQRSTUVWXYZ")))=0,SUMPRODUCT(--ISERROR(FIND(MID(MID(AZ641,3,10),{6,7,8,9},1),"0123456789")))=0,ISNUMBER(FIND(MID(AZ641,13,1),"123456789ABCDEFGHIJKLMNOPQRSTUVWXYZ")),MID(AZ641,14,1)="Z")),"Wrong format",IF(MID("0123456789ABCDEFGHIJKLMNOPQRSTUVWXYZ",MOD(36-MOD(SUMPRODUCT(INT((FIND(MID(AZ641,{1,2,3,4,5,6,7,8,9,10,11,12,13,14},1),"0123456789ABCDEFGHIJKLMNOPQRSTUVWXYZ")-1)*{1,2,1,2,1,2,1,2,1,2,1,2,1,2}/36)+MOD((FIND(MID(AZ641,{1,2,3,4,5,6,7,8,9,10,11,12,13,14},1),"0123456789ABCDEFGHIJKLMNOPQRSTUVWXYZ")-1)*{1,2,1,2,1,2,1,2,1,2,1,2,1,2},36)),36),36)+1,1)=MID(AZ641,15,1),"OK","Typo? check digit wrong")),"Wrong format"))</f>
        <v/>
      </c>
      <c r="AW641" s="29">
        <f>IF(BA641="","",IF(AND(LEN(BA641)=10,SUMPRODUCT(--ISERROR(FIND(MID(BA641,{1,2,3,4,5,10},1),"ABCDEFGHIJKLMNOPQRSTUVWXYZ")))=0,SUMPRODUCT(--ISERROR(FIND(MID(BA641,{6,7,8,9},1),"0123456789")))=0),"OK","Wrong format"))</f>
        <v/>
      </c>
      <c r="AX641" s="29">
        <f>IF(TRIM(H641)="","",IF(AND(LEN(UPPER(TRIM(H641)))=10,SUMPRODUCT(--ISERROR(FIND(MID(UPPER(TRIM(H641)),{1,2,3,4,10},1),"ABCDEFGHIJKLMNOPQRSTUVWXYZ")))=0,SUMPRODUCT(--ISERROR(FIND(MID(UPPER(TRIM(H641)),{5,6,7,8,9},1),"0123456789")))=0),"OK","Wrong format"))</f>
        <v/>
      </c>
      <c r="AY641" s="30">
        <f>IF(NOT(COUNTA(A641:AE641)&gt;0),"",IF(BE641&lt;&gt;"","✖ "&amp;LEFT(BE641,LEN(BE641)-2),IF(BD641&gt;0,"✔ Ready — client + "&amp;BD641&amp;" service(s)","✔ Ready — client only")))</f>
        <v/>
      </c>
      <c r="AZ641" s="31">
        <f>UPPER(SUBSTITUTE(TRIM(F641)," ",""))</f>
        <v/>
      </c>
      <c r="BA641" s="31">
        <f>UPPER(SUBSTITUTE(TRIM(E641)," ",""))</f>
        <v/>
      </c>
      <c r="BB641" s="31">
        <f>IF(D641&lt;&gt;"",D641,IFERROR(VLOOKUP(MID(AS641,4,1),Lists!$E$2:$F$8,2,FALSE),""))</f>
        <v/>
      </c>
      <c r="BC641" s="31">
        <f>IFERROR(VLOOKUP(BB641,Lists!$A$2:$C$12,3,FALSE),"")</f>
        <v/>
      </c>
      <c r="BD641" s="31">
        <f>COUNTIF(W641:AC641,"Yes")</f>
        <v/>
      </c>
      <c r="BE641" s="31">
        <f>IF(TRIM(B641)="","Legal name missing; ","")&amp;IF(AND(AV641&lt;&gt;"",AV641&lt;&gt;"OK"),"GSTIN: "&amp;AV641&amp;"; ","")&amp;IF(AND(AW641&lt;&gt;"",AW641&lt;&gt;"OK"),"PAN wrong format; ","")&amp;IF(AND(BA641&lt;&gt;"",LEN(AZ641)=15,MID(AZ641,3,10)&lt;&gt;BA641),"PAN does not match GSTIN; ","")&amp;IF(AND(AX641&lt;&gt;"",AX641&lt;&gt;"OK"),"TAN wrong format; ","")&amp;IF(AS641="","PAN missing; ","")&amp;IF(BB641="","Entity type missing; ","")&amp;IF(AND(AZ641&lt;&gt;"",COUNTIF($AZ$6:$AZ$1005,AZ641)&gt;1),"GSTIN repeated in this sheet; ","")&amp;IF(AND(AS641&lt;&gt;"",COUNTIF($AS$6:$AS$1005,AS641)&gt;1),"PAN repeated in this sheet (same client? put extra GSTINs in Other GSTINs); ","")&amp;IF(AND(BD641&gt;0,V641=""),"Financial year missing; ","")&amp;IF(AND(BD641=0,V641&lt;&gt;""),"Financial year given but no service is Yes; ","")&amp;IF(AND(W641="Yes",AZ641=""),"GST needs a GSTIN; ","")&amp;IF(AND(W641="Yes",X641=""),"GST return frequency missing; ","")&amp;IF(AND(Y641="Yes",TRIM(H641)=""),"TDS needs a TAN; ","")&amp;IF(AND(AA641="Yes",BC641&lt;&gt;"",BC641&lt;&gt;"company",BC641&lt;&gt;"llp"),"ROC is only for a company / LLP; ","")&amp;IF(AND(AA641="Yes",OR(BC641="company",BC641="llp"),TRIM(I641)=""),"ROC needs the CIN / LLPIN; ","")&amp;IF((TRIM(AF641)="")&lt;&gt;(TRIM(AG641)=""),"GST login needs both user ID and password; ","")&amp;IF((TRIM(AH641)="")&lt;&gt;(TRIM(AI641)=""),"Income-tax login needs both user ID and password; ","")&amp;IF((TRIM(AJ641)="")&lt;&gt;(TRIM(AK641)=""),"Income-tax login needs both user ID and password; ","")&amp;IF((TRIM(AL641)="")&lt;&gt;(TRIM(AM641)=""),"TRACES login needs both user ID and password; ","")&amp;IF((TRIM(AN641)="")&lt;&gt;(TRIM(AO641)=""),"MCA login needs both user ID and password; ","")&amp;IF((TRIM(AP641)="")&lt;&gt;(TRIM(AQ641)=""),"E-way bill login needs both user ID and password; ","")</f>
        <v/>
      </c>
    </row>
    <row r="642">
      <c r="A642" s="32" t="n"/>
      <c r="B642" s="33" t="n"/>
      <c r="C642" s="33" t="n"/>
      <c r="D642" s="33" t="n"/>
      <c r="E642" s="32" t="n"/>
      <c r="F642" s="32" t="n"/>
      <c r="G642" s="32" t="n"/>
      <c r="H642" s="32" t="n"/>
      <c r="I642" s="32" t="n"/>
      <c r="J642" s="34" t="n"/>
      <c r="K642" s="33" t="n"/>
      <c r="L642" s="32" t="n"/>
      <c r="M642" s="33" t="n"/>
      <c r="N642" s="33" t="n"/>
      <c r="O642" s="33" t="n"/>
      <c r="P642" s="32" t="n"/>
      <c r="Q642" s="33" t="n"/>
      <c r="R642" s="33" t="n"/>
      <c r="S642" s="33" t="n"/>
      <c r="T642" s="33" t="n"/>
      <c r="U642" s="32" t="n"/>
      <c r="V642" s="33" t="n"/>
      <c r="W642" s="33" t="n"/>
      <c r="X642" s="33" t="n"/>
      <c r="Y642" s="33" t="n"/>
      <c r="Z642" s="33" t="n"/>
      <c r="AA642" s="33" t="n"/>
      <c r="AB642" s="33" t="n"/>
      <c r="AC642" s="33" t="n"/>
      <c r="AD642" s="33" t="n"/>
      <c r="AE642" s="33" t="n"/>
      <c r="AF642" s="32" t="n"/>
      <c r="AG642" s="32" t="n"/>
      <c r="AH642" s="32" t="n"/>
      <c r="AI642" s="32" t="n"/>
      <c r="AJ642" s="32" t="n"/>
      <c r="AK642" s="32" t="n"/>
      <c r="AL642" s="32" t="n"/>
      <c r="AM642" s="32" t="n"/>
      <c r="AN642" s="32" t="n"/>
      <c r="AO642" s="32" t="n"/>
      <c r="AP642" s="32" t="n"/>
      <c r="AQ642" s="32" t="n"/>
      <c r="AR642" s="29">
        <f>IF(NOT(COUNTA(A642:AE642)&gt;0),"",IF(A642="","New client","Update"))</f>
        <v/>
      </c>
      <c r="AS642" s="29">
        <f>IF(BA642&lt;&gt;"",BA642,IF(LEN(AZ642)=15,MID(AZ642,3,10),""))</f>
        <v/>
      </c>
      <c r="AT642" s="29">
        <f>IF(BB642="","",BB642&amp;IF(D642="","  (guessed from PAN)",""))</f>
        <v/>
      </c>
      <c r="AU642" s="29">
        <f>IF(AZ642="","",IFERROR(INDEX(Lists!$L$2:$L$38,MATCH(LEFT(AZ642,2),Lists!$K$2:$K$38,0)),"Unknown code"))</f>
        <v/>
      </c>
      <c r="AV642" s="29">
        <f>IF(AZ642="","",IFERROR(IF(NOT(AND(LEN(AZ642)=15,ISNUMBER(MATCH(LEFT(AZ642,2),Lists!$K$2:$K$38,0)),SUMPRODUCT(--ISERROR(FIND(MID(MID(AZ642,3,10),{1,2,3,4,5,10},1),"ABCDEFGHIJKLMNOPQRSTUVWXYZ")))=0,SUMPRODUCT(--ISERROR(FIND(MID(MID(AZ642,3,10),{6,7,8,9},1),"0123456789")))=0,ISNUMBER(FIND(MID(AZ642,13,1),"123456789ABCDEFGHIJKLMNOPQRSTUVWXYZ")),MID(AZ642,14,1)="Z")),"Wrong format",IF(MID("0123456789ABCDEFGHIJKLMNOPQRSTUVWXYZ",MOD(36-MOD(SUMPRODUCT(INT((FIND(MID(AZ642,{1,2,3,4,5,6,7,8,9,10,11,12,13,14},1),"0123456789ABCDEFGHIJKLMNOPQRSTUVWXYZ")-1)*{1,2,1,2,1,2,1,2,1,2,1,2,1,2}/36)+MOD((FIND(MID(AZ642,{1,2,3,4,5,6,7,8,9,10,11,12,13,14},1),"0123456789ABCDEFGHIJKLMNOPQRSTUVWXYZ")-1)*{1,2,1,2,1,2,1,2,1,2,1,2,1,2},36)),36),36)+1,1)=MID(AZ642,15,1),"OK","Typo? check digit wrong")),"Wrong format"))</f>
        <v/>
      </c>
      <c r="AW642" s="29">
        <f>IF(BA642="","",IF(AND(LEN(BA642)=10,SUMPRODUCT(--ISERROR(FIND(MID(BA642,{1,2,3,4,5,10},1),"ABCDEFGHIJKLMNOPQRSTUVWXYZ")))=0,SUMPRODUCT(--ISERROR(FIND(MID(BA642,{6,7,8,9},1),"0123456789")))=0),"OK","Wrong format"))</f>
        <v/>
      </c>
      <c r="AX642" s="29">
        <f>IF(TRIM(H642)="","",IF(AND(LEN(UPPER(TRIM(H642)))=10,SUMPRODUCT(--ISERROR(FIND(MID(UPPER(TRIM(H642)),{1,2,3,4,10},1),"ABCDEFGHIJKLMNOPQRSTUVWXYZ")))=0,SUMPRODUCT(--ISERROR(FIND(MID(UPPER(TRIM(H642)),{5,6,7,8,9},1),"0123456789")))=0),"OK","Wrong format"))</f>
        <v/>
      </c>
      <c r="AY642" s="30">
        <f>IF(NOT(COUNTA(A642:AE642)&gt;0),"",IF(BE642&lt;&gt;"","✖ "&amp;LEFT(BE642,LEN(BE642)-2),IF(BD642&gt;0,"✔ Ready — client + "&amp;BD642&amp;" service(s)","✔ Ready — client only")))</f>
        <v/>
      </c>
      <c r="AZ642" s="31">
        <f>UPPER(SUBSTITUTE(TRIM(F642)," ",""))</f>
        <v/>
      </c>
      <c r="BA642" s="31">
        <f>UPPER(SUBSTITUTE(TRIM(E642)," ",""))</f>
        <v/>
      </c>
      <c r="BB642" s="31">
        <f>IF(D642&lt;&gt;"",D642,IFERROR(VLOOKUP(MID(AS642,4,1),Lists!$E$2:$F$8,2,FALSE),""))</f>
        <v/>
      </c>
      <c r="BC642" s="31">
        <f>IFERROR(VLOOKUP(BB642,Lists!$A$2:$C$12,3,FALSE),"")</f>
        <v/>
      </c>
      <c r="BD642" s="31">
        <f>COUNTIF(W642:AC642,"Yes")</f>
        <v/>
      </c>
      <c r="BE642" s="31">
        <f>IF(TRIM(B642)="","Legal name missing; ","")&amp;IF(AND(AV642&lt;&gt;"",AV642&lt;&gt;"OK"),"GSTIN: "&amp;AV642&amp;"; ","")&amp;IF(AND(AW642&lt;&gt;"",AW642&lt;&gt;"OK"),"PAN wrong format; ","")&amp;IF(AND(BA642&lt;&gt;"",LEN(AZ642)=15,MID(AZ642,3,10)&lt;&gt;BA642),"PAN does not match GSTIN; ","")&amp;IF(AND(AX642&lt;&gt;"",AX642&lt;&gt;"OK"),"TAN wrong format; ","")&amp;IF(AS642="","PAN missing; ","")&amp;IF(BB642="","Entity type missing; ","")&amp;IF(AND(AZ642&lt;&gt;"",COUNTIF($AZ$6:$AZ$1005,AZ642)&gt;1),"GSTIN repeated in this sheet; ","")&amp;IF(AND(AS642&lt;&gt;"",COUNTIF($AS$6:$AS$1005,AS642)&gt;1),"PAN repeated in this sheet (same client? put extra GSTINs in Other GSTINs); ","")&amp;IF(AND(BD642&gt;0,V642=""),"Financial year missing; ","")&amp;IF(AND(BD642=0,V642&lt;&gt;""),"Financial year given but no service is Yes; ","")&amp;IF(AND(W642="Yes",AZ642=""),"GST needs a GSTIN; ","")&amp;IF(AND(W642="Yes",X642=""),"GST return frequency missing; ","")&amp;IF(AND(Y642="Yes",TRIM(H642)=""),"TDS needs a TAN; ","")&amp;IF(AND(AA642="Yes",BC642&lt;&gt;"",BC642&lt;&gt;"company",BC642&lt;&gt;"llp"),"ROC is only for a company / LLP; ","")&amp;IF(AND(AA642="Yes",OR(BC642="company",BC642="llp"),TRIM(I642)=""),"ROC needs the CIN / LLPIN; ","")&amp;IF((TRIM(AF642)="")&lt;&gt;(TRIM(AG642)=""),"GST login needs both user ID and password; ","")&amp;IF((TRIM(AH642)="")&lt;&gt;(TRIM(AI642)=""),"Income-tax login needs both user ID and password; ","")&amp;IF((TRIM(AJ642)="")&lt;&gt;(TRIM(AK642)=""),"Income-tax login needs both user ID and password; ","")&amp;IF((TRIM(AL642)="")&lt;&gt;(TRIM(AM642)=""),"TRACES login needs both user ID and password; ","")&amp;IF((TRIM(AN642)="")&lt;&gt;(TRIM(AO642)=""),"MCA login needs both user ID and password; ","")&amp;IF((TRIM(AP642)="")&lt;&gt;(TRIM(AQ642)=""),"E-way bill login needs both user ID and password; ","")</f>
        <v/>
      </c>
    </row>
    <row r="643">
      <c r="A643" s="32" t="n"/>
      <c r="B643" s="33" t="n"/>
      <c r="C643" s="33" t="n"/>
      <c r="D643" s="33" t="n"/>
      <c r="E643" s="32" t="n"/>
      <c r="F643" s="32" t="n"/>
      <c r="G643" s="32" t="n"/>
      <c r="H643" s="32" t="n"/>
      <c r="I643" s="32" t="n"/>
      <c r="J643" s="34" t="n"/>
      <c r="K643" s="33" t="n"/>
      <c r="L643" s="32" t="n"/>
      <c r="M643" s="33" t="n"/>
      <c r="N643" s="33" t="n"/>
      <c r="O643" s="33" t="n"/>
      <c r="P643" s="32" t="n"/>
      <c r="Q643" s="33" t="n"/>
      <c r="R643" s="33" t="n"/>
      <c r="S643" s="33" t="n"/>
      <c r="T643" s="33" t="n"/>
      <c r="U643" s="32" t="n"/>
      <c r="V643" s="33" t="n"/>
      <c r="W643" s="33" t="n"/>
      <c r="X643" s="33" t="n"/>
      <c r="Y643" s="33" t="n"/>
      <c r="Z643" s="33" t="n"/>
      <c r="AA643" s="33" t="n"/>
      <c r="AB643" s="33" t="n"/>
      <c r="AC643" s="33" t="n"/>
      <c r="AD643" s="33" t="n"/>
      <c r="AE643" s="33" t="n"/>
      <c r="AF643" s="32" t="n"/>
      <c r="AG643" s="32" t="n"/>
      <c r="AH643" s="32" t="n"/>
      <c r="AI643" s="32" t="n"/>
      <c r="AJ643" s="32" t="n"/>
      <c r="AK643" s="32" t="n"/>
      <c r="AL643" s="32" t="n"/>
      <c r="AM643" s="32" t="n"/>
      <c r="AN643" s="32" t="n"/>
      <c r="AO643" s="32" t="n"/>
      <c r="AP643" s="32" t="n"/>
      <c r="AQ643" s="32" t="n"/>
      <c r="AR643" s="29">
        <f>IF(NOT(COUNTA(A643:AE643)&gt;0),"",IF(A643="","New client","Update"))</f>
        <v/>
      </c>
      <c r="AS643" s="29">
        <f>IF(BA643&lt;&gt;"",BA643,IF(LEN(AZ643)=15,MID(AZ643,3,10),""))</f>
        <v/>
      </c>
      <c r="AT643" s="29">
        <f>IF(BB643="","",BB643&amp;IF(D643="","  (guessed from PAN)",""))</f>
        <v/>
      </c>
      <c r="AU643" s="29">
        <f>IF(AZ643="","",IFERROR(INDEX(Lists!$L$2:$L$38,MATCH(LEFT(AZ643,2),Lists!$K$2:$K$38,0)),"Unknown code"))</f>
        <v/>
      </c>
      <c r="AV643" s="29">
        <f>IF(AZ643="","",IFERROR(IF(NOT(AND(LEN(AZ643)=15,ISNUMBER(MATCH(LEFT(AZ643,2),Lists!$K$2:$K$38,0)),SUMPRODUCT(--ISERROR(FIND(MID(MID(AZ643,3,10),{1,2,3,4,5,10},1),"ABCDEFGHIJKLMNOPQRSTUVWXYZ")))=0,SUMPRODUCT(--ISERROR(FIND(MID(MID(AZ643,3,10),{6,7,8,9},1),"0123456789")))=0,ISNUMBER(FIND(MID(AZ643,13,1),"123456789ABCDEFGHIJKLMNOPQRSTUVWXYZ")),MID(AZ643,14,1)="Z")),"Wrong format",IF(MID("0123456789ABCDEFGHIJKLMNOPQRSTUVWXYZ",MOD(36-MOD(SUMPRODUCT(INT((FIND(MID(AZ643,{1,2,3,4,5,6,7,8,9,10,11,12,13,14},1),"0123456789ABCDEFGHIJKLMNOPQRSTUVWXYZ")-1)*{1,2,1,2,1,2,1,2,1,2,1,2,1,2}/36)+MOD((FIND(MID(AZ643,{1,2,3,4,5,6,7,8,9,10,11,12,13,14},1),"0123456789ABCDEFGHIJKLMNOPQRSTUVWXYZ")-1)*{1,2,1,2,1,2,1,2,1,2,1,2,1,2},36)),36),36)+1,1)=MID(AZ643,15,1),"OK","Typo? check digit wrong")),"Wrong format"))</f>
        <v/>
      </c>
      <c r="AW643" s="29">
        <f>IF(BA643="","",IF(AND(LEN(BA643)=10,SUMPRODUCT(--ISERROR(FIND(MID(BA643,{1,2,3,4,5,10},1),"ABCDEFGHIJKLMNOPQRSTUVWXYZ")))=0,SUMPRODUCT(--ISERROR(FIND(MID(BA643,{6,7,8,9},1),"0123456789")))=0),"OK","Wrong format"))</f>
        <v/>
      </c>
      <c r="AX643" s="29">
        <f>IF(TRIM(H643)="","",IF(AND(LEN(UPPER(TRIM(H643)))=10,SUMPRODUCT(--ISERROR(FIND(MID(UPPER(TRIM(H643)),{1,2,3,4,10},1),"ABCDEFGHIJKLMNOPQRSTUVWXYZ")))=0,SUMPRODUCT(--ISERROR(FIND(MID(UPPER(TRIM(H643)),{5,6,7,8,9},1),"0123456789")))=0),"OK","Wrong format"))</f>
        <v/>
      </c>
      <c r="AY643" s="30">
        <f>IF(NOT(COUNTA(A643:AE643)&gt;0),"",IF(BE643&lt;&gt;"","✖ "&amp;LEFT(BE643,LEN(BE643)-2),IF(BD643&gt;0,"✔ Ready — client + "&amp;BD643&amp;" service(s)","✔ Ready — client only")))</f>
        <v/>
      </c>
      <c r="AZ643" s="31">
        <f>UPPER(SUBSTITUTE(TRIM(F643)," ",""))</f>
        <v/>
      </c>
      <c r="BA643" s="31">
        <f>UPPER(SUBSTITUTE(TRIM(E643)," ",""))</f>
        <v/>
      </c>
      <c r="BB643" s="31">
        <f>IF(D643&lt;&gt;"",D643,IFERROR(VLOOKUP(MID(AS643,4,1),Lists!$E$2:$F$8,2,FALSE),""))</f>
        <v/>
      </c>
      <c r="BC643" s="31">
        <f>IFERROR(VLOOKUP(BB643,Lists!$A$2:$C$12,3,FALSE),"")</f>
        <v/>
      </c>
      <c r="BD643" s="31">
        <f>COUNTIF(W643:AC643,"Yes")</f>
        <v/>
      </c>
      <c r="BE643" s="31">
        <f>IF(TRIM(B643)="","Legal name missing; ","")&amp;IF(AND(AV643&lt;&gt;"",AV643&lt;&gt;"OK"),"GSTIN: "&amp;AV643&amp;"; ","")&amp;IF(AND(AW643&lt;&gt;"",AW643&lt;&gt;"OK"),"PAN wrong format; ","")&amp;IF(AND(BA643&lt;&gt;"",LEN(AZ643)=15,MID(AZ643,3,10)&lt;&gt;BA643),"PAN does not match GSTIN; ","")&amp;IF(AND(AX643&lt;&gt;"",AX643&lt;&gt;"OK"),"TAN wrong format; ","")&amp;IF(AS643="","PAN missing; ","")&amp;IF(BB643="","Entity type missing; ","")&amp;IF(AND(AZ643&lt;&gt;"",COUNTIF($AZ$6:$AZ$1005,AZ643)&gt;1),"GSTIN repeated in this sheet; ","")&amp;IF(AND(AS643&lt;&gt;"",COUNTIF($AS$6:$AS$1005,AS643)&gt;1),"PAN repeated in this sheet (same client? put extra GSTINs in Other GSTINs); ","")&amp;IF(AND(BD643&gt;0,V643=""),"Financial year missing; ","")&amp;IF(AND(BD643=0,V643&lt;&gt;""),"Financial year given but no service is Yes; ","")&amp;IF(AND(W643="Yes",AZ643=""),"GST needs a GSTIN; ","")&amp;IF(AND(W643="Yes",X643=""),"GST return frequency missing; ","")&amp;IF(AND(Y643="Yes",TRIM(H643)=""),"TDS needs a TAN; ","")&amp;IF(AND(AA643="Yes",BC643&lt;&gt;"",BC643&lt;&gt;"company",BC643&lt;&gt;"llp"),"ROC is only for a company / LLP; ","")&amp;IF(AND(AA643="Yes",OR(BC643="company",BC643="llp"),TRIM(I643)=""),"ROC needs the CIN / LLPIN; ","")&amp;IF((TRIM(AF643)="")&lt;&gt;(TRIM(AG643)=""),"GST login needs both user ID and password; ","")&amp;IF((TRIM(AH643)="")&lt;&gt;(TRIM(AI643)=""),"Income-tax login needs both user ID and password; ","")&amp;IF((TRIM(AJ643)="")&lt;&gt;(TRIM(AK643)=""),"Income-tax login needs both user ID and password; ","")&amp;IF((TRIM(AL643)="")&lt;&gt;(TRIM(AM643)=""),"TRACES login needs both user ID and password; ","")&amp;IF((TRIM(AN643)="")&lt;&gt;(TRIM(AO643)=""),"MCA login needs both user ID and password; ","")&amp;IF((TRIM(AP643)="")&lt;&gt;(TRIM(AQ643)=""),"E-way bill login needs both user ID and password; ","")</f>
        <v/>
      </c>
    </row>
    <row r="644">
      <c r="A644" s="32" t="n"/>
      <c r="B644" s="33" t="n"/>
      <c r="C644" s="33" t="n"/>
      <c r="D644" s="33" t="n"/>
      <c r="E644" s="32" t="n"/>
      <c r="F644" s="32" t="n"/>
      <c r="G644" s="32" t="n"/>
      <c r="H644" s="32" t="n"/>
      <c r="I644" s="32" t="n"/>
      <c r="J644" s="34" t="n"/>
      <c r="K644" s="33" t="n"/>
      <c r="L644" s="32" t="n"/>
      <c r="M644" s="33" t="n"/>
      <c r="N644" s="33" t="n"/>
      <c r="O644" s="33" t="n"/>
      <c r="P644" s="32" t="n"/>
      <c r="Q644" s="33" t="n"/>
      <c r="R644" s="33" t="n"/>
      <c r="S644" s="33" t="n"/>
      <c r="T644" s="33" t="n"/>
      <c r="U644" s="32" t="n"/>
      <c r="V644" s="33" t="n"/>
      <c r="W644" s="33" t="n"/>
      <c r="X644" s="33" t="n"/>
      <c r="Y644" s="33" t="n"/>
      <c r="Z644" s="33" t="n"/>
      <c r="AA644" s="33" t="n"/>
      <c r="AB644" s="33" t="n"/>
      <c r="AC644" s="33" t="n"/>
      <c r="AD644" s="33" t="n"/>
      <c r="AE644" s="33" t="n"/>
      <c r="AF644" s="32" t="n"/>
      <c r="AG644" s="32" t="n"/>
      <c r="AH644" s="32" t="n"/>
      <c r="AI644" s="32" t="n"/>
      <c r="AJ644" s="32" t="n"/>
      <c r="AK644" s="32" t="n"/>
      <c r="AL644" s="32" t="n"/>
      <c r="AM644" s="32" t="n"/>
      <c r="AN644" s="32" t="n"/>
      <c r="AO644" s="32" t="n"/>
      <c r="AP644" s="32" t="n"/>
      <c r="AQ644" s="32" t="n"/>
      <c r="AR644" s="29">
        <f>IF(NOT(COUNTA(A644:AE644)&gt;0),"",IF(A644="","New client","Update"))</f>
        <v/>
      </c>
      <c r="AS644" s="29">
        <f>IF(BA644&lt;&gt;"",BA644,IF(LEN(AZ644)=15,MID(AZ644,3,10),""))</f>
        <v/>
      </c>
      <c r="AT644" s="29">
        <f>IF(BB644="","",BB644&amp;IF(D644="","  (guessed from PAN)",""))</f>
        <v/>
      </c>
      <c r="AU644" s="29">
        <f>IF(AZ644="","",IFERROR(INDEX(Lists!$L$2:$L$38,MATCH(LEFT(AZ644,2),Lists!$K$2:$K$38,0)),"Unknown code"))</f>
        <v/>
      </c>
      <c r="AV644" s="29">
        <f>IF(AZ644="","",IFERROR(IF(NOT(AND(LEN(AZ644)=15,ISNUMBER(MATCH(LEFT(AZ644,2),Lists!$K$2:$K$38,0)),SUMPRODUCT(--ISERROR(FIND(MID(MID(AZ644,3,10),{1,2,3,4,5,10},1),"ABCDEFGHIJKLMNOPQRSTUVWXYZ")))=0,SUMPRODUCT(--ISERROR(FIND(MID(MID(AZ644,3,10),{6,7,8,9},1),"0123456789")))=0,ISNUMBER(FIND(MID(AZ644,13,1),"123456789ABCDEFGHIJKLMNOPQRSTUVWXYZ")),MID(AZ644,14,1)="Z")),"Wrong format",IF(MID("0123456789ABCDEFGHIJKLMNOPQRSTUVWXYZ",MOD(36-MOD(SUMPRODUCT(INT((FIND(MID(AZ644,{1,2,3,4,5,6,7,8,9,10,11,12,13,14},1),"0123456789ABCDEFGHIJKLMNOPQRSTUVWXYZ")-1)*{1,2,1,2,1,2,1,2,1,2,1,2,1,2}/36)+MOD((FIND(MID(AZ644,{1,2,3,4,5,6,7,8,9,10,11,12,13,14},1),"0123456789ABCDEFGHIJKLMNOPQRSTUVWXYZ")-1)*{1,2,1,2,1,2,1,2,1,2,1,2,1,2},36)),36),36)+1,1)=MID(AZ644,15,1),"OK","Typo? check digit wrong")),"Wrong format"))</f>
        <v/>
      </c>
      <c r="AW644" s="29">
        <f>IF(BA644="","",IF(AND(LEN(BA644)=10,SUMPRODUCT(--ISERROR(FIND(MID(BA644,{1,2,3,4,5,10},1),"ABCDEFGHIJKLMNOPQRSTUVWXYZ")))=0,SUMPRODUCT(--ISERROR(FIND(MID(BA644,{6,7,8,9},1),"0123456789")))=0),"OK","Wrong format"))</f>
        <v/>
      </c>
      <c r="AX644" s="29">
        <f>IF(TRIM(H644)="","",IF(AND(LEN(UPPER(TRIM(H644)))=10,SUMPRODUCT(--ISERROR(FIND(MID(UPPER(TRIM(H644)),{1,2,3,4,10},1),"ABCDEFGHIJKLMNOPQRSTUVWXYZ")))=0,SUMPRODUCT(--ISERROR(FIND(MID(UPPER(TRIM(H644)),{5,6,7,8,9},1),"0123456789")))=0),"OK","Wrong format"))</f>
        <v/>
      </c>
      <c r="AY644" s="30">
        <f>IF(NOT(COUNTA(A644:AE644)&gt;0),"",IF(BE644&lt;&gt;"","✖ "&amp;LEFT(BE644,LEN(BE644)-2),IF(BD644&gt;0,"✔ Ready — client + "&amp;BD644&amp;" service(s)","✔ Ready — client only")))</f>
        <v/>
      </c>
      <c r="AZ644" s="31">
        <f>UPPER(SUBSTITUTE(TRIM(F644)," ",""))</f>
        <v/>
      </c>
      <c r="BA644" s="31">
        <f>UPPER(SUBSTITUTE(TRIM(E644)," ",""))</f>
        <v/>
      </c>
      <c r="BB644" s="31">
        <f>IF(D644&lt;&gt;"",D644,IFERROR(VLOOKUP(MID(AS644,4,1),Lists!$E$2:$F$8,2,FALSE),""))</f>
        <v/>
      </c>
      <c r="BC644" s="31">
        <f>IFERROR(VLOOKUP(BB644,Lists!$A$2:$C$12,3,FALSE),"")</f>
        <v/>
      </c>
      <c r="BD644" s="31">
        <f>COUNTIF(W644:AC644,"Yes")</f>
        <v/>
      </c>
      <c r="BE644" s="31">
        <f>IF(TRIM(B644)="","Legal name missing; ","")&amp;IF(AND(AV644&lt;&gt;"",AV644&lt;&gt;"OK"),"GSTIN: "&amp;AV644&amp;"; ","")&amp;IF(AND(AW644&lt;&gt;"",AW644&lt;&gt;"OK"),"PAN wrong format; ","")&amp;IF(AND(BA644&lt;&gt;"",LEN(AZ644)=15,MID(AZ644,3,10)&lt;&gt;BA644),"PAN does not match GSTIN; ","")&amp;IF(AND(AX644&lt;&gt;"",AX644&lt;&gt;"OK"),"TAN wrong format; ","")&amp;IF(AS644="","PAN missing; ","")&amp;IF(BB644="","Entity type missing; ","")&amp;IF(AND(AZ644&lt;&gt;"",COUNTIF($AZ$6:$AZ$1005,AZ644)&gt;1),"GSTIN repeated in this sheet; ","")&amp;IF(AND(AS644&lt;&gt;"",COUNTIF($AS$6:$AS$1005,AS644)&gt;1),"PAN repeated in this sheet (same client? put extra GSTINs in Other GSTINs); ","")&amp;IF(AND(BD644&gt;0,V644=""),"Financial year missing; ","")&amp;IF(AND(BD644=0,V644&lt;&gt;""),"Financial year given but no service is Yes; ","")&amp;IF(AND(W644="Yes",AZ644=""),"GST needs a GSTIN; ","")&amp;IF(AND(W644="Yes",X644=""),"GST return frequency missing; ","")&amp;IF(AND(Y644="Yes",TRIM(H644)=""),"TDS needs a TAN; ","")&amp;IF(AND(AA644="Yes",BC644&lt;&gt;"",BC644&lt;&gt;"company",BC644&lt;&gt;"llp"),"ROC is only for a company / LLP; ","")&amp;IF(AND(AA644="Yes",OR(BC644="company",BC644="llp"),TRIM(I644)=""),"ROC needs the CIN / LLPIN; ","")&amp;IF((TRIM(AF644)="")&lt;&gt;(TRIM(AG644)=""),"GST login needs both user ID and password; ","")&amp;IF((TRIM(AH644)="")&lt;&gt;(TRIM(AI644)=""),"Income-tax login needs both user ID and password; ","")&amp;IF((TRIM(AJ644)="")&lt;&gt;(TRIM(AK644)=""),"Income-tax login needs both user ID and password; ","")&amp;IF((TRIM(AL644)="")&lt;&gt;(TRIM(AM644)=""),"TRACES login needs both user ID and password; ","")&amp;IF((TRIM(AN644)="")&lt;&gt;(TRIM(AO644)=""),"MCA login needs both user ID and password; ","")&amp;IF((TRIM(AP644)="")&lt;&gt;(TRIM(AQ644)=""),"E-way bill login needs both user ID and password; ","")</f>
        <v/>
      </c>
    </row>
    <row r="645">
      <c r="A645" s="32" t="n"/>
      <c r="B645" s="33" t="n"/>
      <c r="C645" s="33" t="n"/>
      <c r="D645" s="33" t="n"/>
      <c r="E645" s="32" t="n"/>
      <c r="F645" s="32" t="n"/>
      <c r="G645" s="32" t="n"/>
      <c r="H645" s="32" t="n"/>
      <c r="I645" s="32" t="n"/>
      <c r="J645" s="34" t="n"/>
      <c r="K645" s="33" t="n"/>
      <c r="L645" s="32" t="n"/>
      <c r="M645" s="33" t="n"/>
      <c r="N645" s="33" t="n"/>
      <c r="O645" s="33" t="n"/>
      <c r="P645" s="32" t="n"/>
      <c r="Q645" s="33" t="n"/>
      <c r="R645" s="33" t="n"/>
      <c r="S645" s="33" t="n"/>
      <c r="T645" s="33" t="n"/>
      <c r="U645" s="32" t="n"/>
      <c r="V645" s="33" t="n"/>
      <c r="W645" s="33" t="n"/>
      <c r="X645" s="33" t="n"/>
      <c r="Y645" s="33" t="n"/>
      <c r="Z645" s="33" t="n"/>
      <c r="AA645" s="33" t="n"/>
      <c r="AB645" s="33" t="n"/>
      <c r="AC645" s="33" t="n"/>
      <c r="AD645" s="33" t="n"/>
      <c r="AE645" s="33" t="n"/>
      <c r="AF645" s="32" t="n"/>
      <c r="AG645" s="32" t="n"/>
      <c r="AH645" s="32" t="n"/>
      <c r="AI645" s="32" t="n"/>
      <c r="AJ645" s="32" t="n"/>
      <c r="AK645" s="32" t="n"/>
      <c r="AL645" s="32" t="n"/>
      <c r="AM645" s="32" t="n"/>
      <c r="AN645" s="32" t="n"/>
      <c r="AO645" s="32" t="n"/>
      <c r="AP645" s="32" t="n"/>
      <c r="AQ645" s="32" t="n"/>
      <c r="AR645" s="29">
        <f>IF(NOT(COUNTA(A645:AE645)&gt;0),"",IF(A645="","New client","Update"))</f>
        <v/>
      </c>
      <c r="AS645" s="29">
        <f>IF(BA645&lt;&gt;"",BA645,IF(LEN(AZ645)=15,MID(AZ645,3,10),""))</f>
        <v/>
      </c>
      <c r="AT645" s="29">
        <f>IF(BB645="","",BB645&amp;IF(D645="","  (guessed from PAN)",""))</f>
        <v/>
      </c>
      <c r="AU645" s="29">
        <f>IF(AZ645="","",IFERROR(INDEX(Lists!$L$2:$L$38,MATCH(LEFT(AZ645,2),Lists!$K$2:$K$38,0)),"Unknown code"))</f>
        <v/>
      </c>
      <c r="AV645" s="29">
        <f>IF(AZ645="","",IFERROR(IF(NOT(AND(LEN(AZ645)=15,ISNUMBER(MATCH(LEFT(AZ645,2),Lists!$K$2:$K$38,0)),SUMPRODUCT(--ISERROR(FIND(MID(MID(AZ645,3,10),{1,2,3,4,5,10},1),"ABCDEFGHIJKLMNOPQRSTUVWXYZ")))=0,SUMPRODUCT(--ISERROR(FIND(MID(MID(AZ645,3,10),{6,7,8,9},1),"0123456789")))=0,ISNUMBER(FIND(MID(AZ645,13,1),"123456789ABCDEFGHIJKLMNOPQRSTUVWXYZ")),MID(AZ645,14,1)="Z")),"Wrong format",IF(MID("0123456789ABCDEFGHIJKLMNOPQRSTUVWXYZ",MOD(36-MOD(SUMPRODUCT(INT((FIND(MID(AZ645,{1,2,3,4,5,6,7,8,9,10,11,12,13,14},1),"0123456789ABCDEFGHIJKLMNOPQRSTUVWXYZ")-1)*{1,2,1,2,1,2,1,2,1,2,1,2,1,2}/36)+MOD((FIND(MID(AZ645,{1,2,3,4,5,6,7,8,9,10,11,12,13,14},1),"0123456789ABCDEFGHIJKLMNOPQRSTUVWXYZ")-1)*{1,2,1,2,1,2,1,2,1,2,1,2,1,2},36)),36),36)+1,1)=MID(AZ645,15,1),"OK","Typo? check digit wrong")),"Wrong format"))</f>
        <v/>
      </c>
      <c r="AW645" s="29">
        <f>IF(BA645="","",IF(AND(LEN(BA645)=10,SUMPRODUCT(--ISERROR(FIND(MID(BA645,{1,2,3,4,5,10},1),"ABCDEFGHIJKLMNOPQRSTUVWXYZ")))=0,SUMPRODUCT(--ISERROR(FIND(MID(BA645,{6,7,8,9},1),"0123456789")))=0),"OK","Wrong format"))</f>
        <v/>
      </c>
      <c r="AX645" s="29">
        <f>IF(TRIM(H645)="","",IF(AND(LEN(UPPER(TRIM(H645)))=10,SUMPRODUCT(--ISERROR(FIND(MID(UPPER(TRIM(H645)),{1,2,3,4,10},1),"ABCDEFGHIJKLMNOPQRSTUVWXYZ")))=0,SUMPRODUCT(--ISERROR(FIND(MID(UPPER(TRIM(H645)),{5,6,7,8,9},1),"0123456789")))=0),"OK","Wrong format"))</f>
        <v/>
      </c>
      <c r="AY645" s="30">
        <f>IF(NOT(COUNTA(A645:AE645)&gt;0),"",IF(BE645&lt;&gt;"","✖ "&amp;LEFT(BE645,LEN(BE645)-2),IF(BD645&gt;0,"✔ Ready — client + "&amp;BD645&amp;" service(s)","✔ Ready — client only")))</f>
        <v/>
      </c>
      <c r="AZ645" s="31">
        <f>UPPER(SUBSTITUTE(TRIM(F645)," ",""))</f>
        <v/>
      </c>
      <c r="BA645" s="31">
        <f>UPPER(SUBSTITUTE(TRIM(E645)," ",""))</f>
        <v/>
      </c>
      <c r="BB645" s="31">
        <f>IF(D645&lt;&gt;"",D645,IFERROR(VLOOKUP(MID(AS645,4,1),Lists!$E$2:$F$8,2,FALSE),""))</f>
        <v/>
      </c>
      <c r="BC645" s="31">
        <f>IFERROR(VLOOKUP(BB645,Lists!$A$2:$C$12,3,FALSE),"")</f>
        <v/>
      </c>
      <c r="BD645" s="31">
        <f>COUNTIF(W645:AC645,"Yes")</f>
        <v/>
      </c>
      <c r="BE645" s="31">
        <f>IF(TRIM(B645)="","Legal name missing; ","")&amp;IF(AND(AV645&lt;&gt;"",AV645&lt;&gt;"OK"),"GSTIN: "&amp;AV645&amp;"; ","")&amp;IF(AND(AW645&lt;&gt;"",AW645&lt;&gt;"OK"),"PAN wrong format; ","")&amp;IF(AND(BA645&lt;&gt;"",LEN(AZ645)=15,MID(AZ645,3,10)&lt;&gt;BA645),"PAN does not match GSTIN; ","")&amp;IF(AND(AX645&lt;&gt;"",AX645&lt;&gt;"OK"),"TAN wrong format; ","")&amp;IF(AS645="","PAN missing; ","")&amp;IF(BB645="","Entity type missing; ","")&amp;IF(AND(AZ645&lt;&gt;"",COUNTIF($AZ$6:$AZ$1005,AZ645)&gt;1),"GSTIN repeated in this sheet; ","")&amp;IF(AND(AS645&lt;&gt;"",COUNTIF($AS$6:$AS$1005,AS645)&gt;1),"PAN repeated in this sheet (same client? put extra GSTINs in Other GSTINs); ","")&amp;IF(AND(BD645&gt;0,V645=""),"Financial year missing; ","")&amp;IF(AND(BD645=0,V645&lt;&gt;""),"Financial year given but no service is Yes; ","")&amp;IF(AND(W645="Yes",AZ645=""),"GST needs a GSTIN; ","")&amp;IF(AND(W645="Yes",X645=""),"GST return frequency missing; ","")&amp;IF(AND(Y645="Yes",TRIM(H645)=""),"TDS needs a TAN; ","")&amp;IF(AND(AA645="Yes",BC645&lt;&gt;"",BC645&lt;&gt;"company",BC645&lt;&gt;"llp"),"ROC is only for a company / LLP; ","")&amp;IF(AND(AA645="Yes",OR(BC645="company",BC645="llp"),TRIM(I645)=""),"ROC needs the CIN / LLPIN; ","")&amp;IF((TRIM(AF645)="")&lt;&gt;(TRIM(AG645)=""),"GST login needs both user ID and password; ","")&amp;IF((TRIM(AH645)="")&lt;&gt;(TRIM(AI645)=""),"Income-tax login needs both user ID and password; ","")&amp;IF((TRIM(AJ645)="")&lt;&gt;(TRIM(AK645)=""),"Income-tax login needs both user ID and password; ","")&amp;IF((TRIM(AL645)="")&lt;&gt;(TRIM(AM645)=""),"TRACES login needs both user ID and password; ","")&amp;IF((TRIM(AN645)="")&lt;&gt;(TRIM(AO645)=""),"MCA login needs both user ID and password; ","")&amp;IF((TRIM(AP645)="")&lt;&gt;(TRIM(AQ645)=""),"E-way bill login needs both user ID and password; ","")</f>
        <v/>
      </c>
    </row>
    <row r="646">
      <c r="A646" s="32" t="n"/>
      <c r="B646" s="33" t="n"/>
      <c r="C646" s="33" t="n"/>
      <c r="D646" s="33" t="n"/>
      <c r="E646" s="32" t="n"/>
      <c r="F646" s="32" t="n"/>
      <c r="G646" s="32" t="n"/>
      <c r="H646" s="32" t="n"/>
      <c r="I646" s="32" t="n"/>
      <c r="J646" s="34" t="n"/>
      <c r="K646" s="33" t="n"/>
      <c r="L646" s="32" t="n"/>
      <c r="M646" s="33" t="n"/>
      <c r="N646" s="33" t="n"/>
      <c r="O646" s="33" t="n"/>
      <c r="P646" s="32" t="n"/>
      <c r="Q646" s="33" t="n"/>
      <c r="R646" s="33" t="n"/>
      <c r="S646" s="33" t="n"/>
      <c r="T646" s="33" t="n"/>
      <c r="U646" s="32" t="n"/>
      <c r="V646" s="33" t="n"/>
      <c r="W646" s="33" t="n"/>
      <c r="X646" s="33" t="n"/>
      <c r="Y646" s="33" t="n"/>
      <c r="Z646" s="33" t="n"/>
      <c r="AA646" s="33" t="n"/>
      <c r="AB646" s="33" t="n"/>
      <c r="AC646" s="33" t="n"/>
      <c r="AD646" s="33" t="n"/>
      <c r="AE646" s="33" t="n"/>
      <c r="AF646" s="32" t="n"/>
      <c r="AG646" s="32" t="n"/>
      <c r="AH646" s="32" t="n"/>
      <c r="AI646" s="32" t="n"/>
      <c r="AJ646" s="32" t="n"/>
      <c r="AK646" s="32" t="n"/>
      <c r="AL646" s="32" t="n"/>
      <c r="AM646" s="32" t="n"/>
      <c r="AN646" s="32" t="n"/>
      <c r="AO646" s="32" t="n"/>
      <c r="AP646" s="32" t="n"/>
      <c r="AQ646" s="32" t="n"/>
      <c r="AR646" s="29">
        <f>IF(NOT(COUNTA(A646:AE646)&gt;0),"",IF(A646="","New client","Update"))</f>
        <v/>
      </c>
      <c r="AS646" s="29">
        <f>IF(BA646&lt;&gt;"",BA646,IF(LEN(AZ646)=15,MID(AZ646,3,10),""))</f>
        <v/>
      </c>
      <c r="AT646" s="29">
        <f>IF(BB646="","",BB646&amp;IF(D646="","  (guessed from PAN)",""))</f>
        <v/>
      </c>
      <c r="AU646" s="29">
        <f>IF(AZ646="","",IFERROR(INDEX(Lists!$L$2:$L$38,MATCH(LEFT(AZ646,2),Lists!$K$2:$K$38,0)),"Unknown code"))</f>
        <v/>
      </c>
      <c r="AV646" s="29">
        <f>IF(AZ646="","",IFERROR(IF(NOT(AND(LEN(AZ646)=15,ISNUMBER(MATCH(LEFT(AZ646,2),Lists!$K$2:$K$38,0)),SUMPRODUCT(--ISERROR(FIND(MID(MID(AZ646,3,10),{1,2,3,4,5,10},1),"ABCDEFGHIJKLMNOPQRSTUVWXYZ")))=0,SUMPRODUCT(--ISERROR(FIND(MID(MID(AZ646,3,10),{6,7,8,9},1),"0123456789")))=0,ISNUMBER(FIND(MID(AZ646,13,1),"123456789ABCDEFGHIJKLMNOPQRSTUVWXYZ")),MID(AZ646,14,1)="Z")),"Wrong format",IF(MID("0123456789ABCDEFGHIJKLMNOPQRSTUVWXYZ",MOD(36-MOD(SUMPRODUCT(INT((FIND(MID(AZ646,{1,2,3,4,5,6,7,8,9,10,11,12,13,14},1),"0123456789ABCDEFGHIJKLMNOPQRSTUVWXYZ")-1)*{1,2,1,2,1,2,1,2,1,2,1,2,1,2}/36)+MOD((FIND(MID(AZ646,{1,2,3,4,5,6,7,8,9,10,11,12,13,14},1),"0123456789ABCDEFGHIJKLMNOPQRSTUVWXYZ")-1)*{1,2,1,2,1,2,1,2,1,2,1,2,1,2},36)),36),36)+1,1)=MID(AZ646,15,1),"OK","Typo? check digit wrong")),"Wrong format"))</f>
        <v/>
      </c>
      <c r="AW646" s="29">
        <f>IF(BA646="","",IF(AND(LEN(BA646)=10,SUMPRODUCT(--ISERROR(FIND(MID(BA646,{1,2,3,4,5,10},1),"ABCDEFGHIJKLMNOPQRSTUVWXYZ")))=0,SUMPRODUCT(--ISERROR(FIND(MID(BA646,{6,7,8,9},1),"0123456789")))=0),"OK","Wrong format"))</f>
        <v/>
      </c>
      <c r="AX646" s="29">
        <f>IF(TRIM(H646)="","",IF(AND(LEN(UPPER(TRIM(H646)))=10,SUMPRODUCT(--ISERROR(FIND(MID(UPPER(TRIM(H646)),{1,2,3,4,10},1),"ABCDEFGHIJKLMNOPQRSTUVWXYZ")))=0,SUMPRODUCT(--ISERROR(FIND(MID(UPPER(TRIM(H646)),{5,6,7,8,9},1),"0123456789")))=0),"OK","Wrong format"))</f>
        <v/>
      </c>
      <c r="AY646" s="30">
        <f>IF(NOT(COUNTA(A646:AE646)&gt;0),"",IF(BE646&lt;&gt;"","✖ "&amp;LEFT(BE646,LEN(BE646)-2),IF(BD646&gt;0,"✔ Ready — client + "&amp;BD646&amp;" service(s)","✔ Ready — client only")))</f>
        <v/>
      </c>
      <c r="AZ646" s="31">
        <f>UPPER(SUBSTITUTE(TRIM(F646)," ",""))</f>
        <v/>
      </c>
      <c r="BA646" s="31">
        <f>UPPER(SUBSTITUTE(TRIM(E646)," ",""))</f>
        <v/>
      </c>
      <c r="BB646" s="31">
        <f>IF(D646&lt;&gt;"",D646,IFERROR(VLOOKUP(MID(AS646,4,1),Lists!$E$2:$F$8,2,FALSE),""))</f>
        <v/>
      </c>
      <c r="BC646" s="31">
        <f>IFERROR(VLOOKUP(BB646,Lists!$A$2:$C$12,3,FALSE),"")</f>
        <v/>
      </c>
      <c r="BD646" s="31">
        <f>COUNTIF(W646:AC646,"Yes")</f>
        <v/>
      </c>
      <c r="BE646" s="31">
        <f>IF(TRIM(B646)="","Legal name missing; ","")&amp;IF(AND(AV646&lt;&gt;"",AV646&lt;&gt;"OK"),"GSTIN: "&amp;AV646&amp;"; ","")&amp;IF(AND(AW646&lt;&gt;"",AW646&lt;&gt;"OK"),"PAN wrong format; ","")&amp;IF(AND(BA646&lt;&gt;"",LEN(AZ646)=15,MID(AZ646,3,10)&lt;&gt;BA646),"PAN does not match GSTIN; ","")&amp;IF(AND(AX646&lt;&gt;"",AX646&lt;&gt;"OK"),"TAN wrong format; ","")&amp;IF(AS646="","PAN missing; ","")&amp;IF(BB646="","Entity type missing; ","")&amp;IF(AND(AZ646&lt;&gt;"",COUNTIF($AZ$6:$AZ$1005,AZ646)&gt;1),"GSTIN repeated in this sheet; ","")&amp;IF(AND(AS646&lt;&gt;"",COUNTIF($AS$6:$AS$1005,AS646)&gt;1),"PAN repeated in this sheet (same client? put extra GSTINs in Other GSTINs); ","")&amp;IF(AND(BD646&gt;0,V646=""),"Financial year missing; ","")&amp;IF(AND(BD646=0,V646&lt;&gt;""),"Financial year given but no service is Yes; ","")&amp;IF(AND(W646="Yes",AZ646=""),"GST needs a GSTIN; ","")&amp;IF(AND(W646="Yes",X646=""),"GST return frequency missing; ","")&amp;IF(AND(Y646="Yes",TRIM(H646)=""),"TDS needs a TAN; ","")&amp;IF(AND(AA646="Yes",BC646&lt;&gt;"",BC646&lt;&gt;"company",BC646&lt;&gt;"llp"),"ROC is only for a company / LLP; ","")&amp;IF(AND(AA646="Yes",OR(BC646="company",BC646="llp"),TRIM(I646)=""),"ROC needs the CIN / LLPIN; ","")&amp;IF((TRIM(AF646)="")&lt;&gt;(TRIM(AG646)=""),"GST login needs both user ID and password; ","")&amp;IF((TRIM(AH646)="")&lt;&gt;(TRIM(AI646)=""),"Income-tax login needs both user ID and password; ","")&amp;IF((TRIM(AJ646)="")&lt;&gt;(TRIM(AK646)=""),"Income-tax login needs both user ID and password; ","")&amp;IF((TRIM(AL646)="")&lt;&gt;(TRIM(AM646)=""),"TRACES login needs both user ID and password; ","")&amp;IF((TRIM(AN646)="")&lt;&gt;(TRIM(AO646)=""),"MCA login needs both user ID and password; ","")&amp;IF((TRIM(AP646)="")&lt;&gt;(TRIM(AQ646)=""),"E-way bill login needs both user ID and password; ","")</f>
        <v/>
      </c>
    </row>
    <row r="647">
      <c r="A647" s="32" t="n"/>
      <c r="B647" s="33" t="n"/>
      <c r="C647" s="33" t="n"/>
      <c r="D647" s="33" t="n"/>
      <c r="E647" s="32" t="n"/>
      <c r="F647" s="32" t="n"/>
      <c r="G647" s="32" t="n"/>
      <c r="H647" s="32" t="n"/>
      <c r="I647" s="32" t="n"/>
      <c r="J647" s="34" t="n"/>
      <c r="K647" s="33" t="n"/>
      <c r="L647" s="32" t="n"/>
      <c r="M647" s="33" t="n"/>
      <c r="N647" s="33" t="n"/>
      <c r="O647" s="33" t="n"/>
      <c r="P647" s="32" t="n"/>
      <c r="Q647" s="33" t="n"/>
      <c r="R647" s="33" t="n"/>
      <c r="S647" s="33" t="n"/>
      <c r="T647" s="33" t="n"/>
      <c r="U647" s="32" t="n"/>
      <c r="V647" s="33" t="n"/>
      <c r="W647" s="33" t="n"/>
      <c r="X647" s="33" t="n"/>
      <c r="Y647" s="33" t="n"/>
      <c r="Z647" s="33" t="n"/>
      <c r="AA647" s="33" t="n"/>
      <c r="AB647" s="33" t="n"/>
      <c r="AC647" s="33" t="n"/>
      <c r="AD647" s="33" t="n"/>
      <c r="AE647" s="33" t="n"/>
      <c r="AF647" s="32" t="n"/>
      <c r="AG647" s="32" t="n"/>
      <c r="AH647" s="32" t="n"/>
      <c r="AI647" s="32" t="n"/>
      <c r="AJ647" s="32" t="n"/>
      <c r="AK647" s="32" t="n"/>
      <c r="AL647" s="32" t="n"/>
      <c r="AM647" s="32" t="n"/>
      <c r="AN647" s="32" t="n"/>
      <c r="AO647" s="32" t="n"/>
      <c r="AP647" s="32" t="n"/>
      <c r="AQ647" s="32" t="n"/>
      <c r="AR647" s="29">
        <f>IF(NOT(COUNTA(A647:AE647)&gt;0),"",IF(A647="","New client","Update"))</f>
        <v/>
      </c>
      <c r="AS647" s="29">
        <f>IF(BA647&lt;&gt;"",BA647,IF(LEN(AZ647)=15,MID(AZ647,3,10),""))</f>
        <v/>
      </c>
      <c r="AT647" s="29">
        <f>IF(BB647="","",BB647&amp;IF(D647="","  (guessed from PAN)",""))</f>
        <v/>
      </c>
      <c r="AU647" s="29">
        <f>IF(AZ647="","",IFERROR(INDEX(Lists!$L$2:$L$38,MATCH(LEFT(AZ647,2),Lists!$K$2:$K$38,0)),"Unknown code"))</f>
        <v/>
      </c>
      <c r="AV647" s="29">
        <f>IF(AZ647="","",IFERROR(IF(NOT(AND(LEN(AZ647)=15,ISNUMBER(MATCH(LEFT(AZ647,2),Lists!$K$2:$K$38,0)),SUMPRODUCT(--ISERROR(FIND(MID(MID(AZ647,3,10),{1,2,3,4,5,10},1),"ABCDEFGHIJKLMNOPQRSTUVWXYZ")))=0,SUMPRODUCT(--ISERROR(FIND(MID(MID(AZ647,3,10),{6,7,8,9},1),"0123456789")))=0,ISNUMBER(FIND(MID(AZ647,13,1),"123456789ABCDEFGHIJKLMNOPQRSTUVWXYZ")),MID(AZ647,14,1)="Z")),"Wrong format",IF(MID("0123456789ABCDEFGHIJKLMNOPQRSTUVWXYZ",MOD(36-MOD(SUMPRODUCT(INT((FIND(MID(AZ647,{1,2,3,4,5,6,7,8,9,10,11,12,13,14},1),"0123456789ABCDEFGHIJKLMNOPQRSTUVWXYZ")-1)*{1,2,1,2,1,2,1,2,1,2,1,2,1,2}/36)+MOD((FIND(MID(AZ647,{1,2,3,4,5,6,7,8,9,10,11,12,13,14},1),"0123456789ABCDEFGHIJKLMNOPQRSTUVWXYZ")-1)*{1,2,1,2,1,2,1,2,1,2,1,2,1,2},36)),36),36)+1,1)=MID(AZ647,15,1),"OK","Typo? check digit wrong")),"Wrong format"))</f>
        <v/>
      </c>
      <c r="AW647" s="29">
        <f>IF(BA647="","",IF(AND(LEN(BA647)=10,SUMPRODUCT(--ISERROR(FIND(MID(BA647,{1,2,3,4,5,10},1),"ABCDEFGHIJKLMNOPQRSTUVWXYZ")))=0,SUMPRODUCT(--ISERROR(FIND(MID(BA647,{6,7,8,9},1),"0123456789")))=0),"OK","Wrong format"))</f>
        <v/>
      </c>
      <c r="AX647" s="29">
        <f>IF(TRIM(H647)="","",IF(AND(LEN(UPPER(TRIM(H647)))=10,SUMPRODUCT(--ISERROR(FIND(MID(UPPER(TRIM(H647)),{1,2,3,4,10},1),"ABCDEFGHIJKLMNOPQRSTUVWXYZ")))=0,SUMPRODUCT(--ISERROR(FIND(MID(UPPER(TRIM(H647)),{5,6,7,8,9},1),"0123456789")))=0),"OK","Wrong format"))</f>
        <v/>
      </c>
      <c r="AY647" s="30">
        <f>IF(NOT(COUNTA(A647:AE647)&gt;0),"",IF(BE647&lt;&gt;"","✖ "&amp;LEFT(BE647,LEN(BE647)-2),IF(BD647&gt;0,"✔ Ready — client + "&amp;BD647&amp;" service(s)","✔ Ready — client only")))</f>
        <v/>
      </c>
      <c r="AZ647" s="31">
        <f>UPPER(SUBSTITUTE(TRIM(F647)," ",""))</f>
        <v/>
      </c>
      <c r="BA647" s="31">
        <f>UPPER(SUBSTITUTE(TRIM(E647)," ",""))</f>
        <v/>
      </c>
      <c r="BB647" s="31">
        <f>IF(D647&lt;&gt;"",D647,IFERROR(VLOOKUP(MID(AS647,4,1),Lists!$E$2:$F$8,2,FALSE),""))</f>
        <v/>
      </c>
      <c r="BC647" s="31">
        <f>IFERROR(VLOOKUP(BB647,Lists!$A$2:$C$12,3,FALSE),"")</f>
        <v/>
      </c>
      <c r="BD647" s="31">
        <f>COUNTIF(W647:AC647,"Yes")</f>
        <v/>
      </c>
      <c r="BE647" s="31">
        <f>IF(TRIM(B647)="","Legal name missing; ","")&amp;IF(AND(AV647&lt;&gt;"",AV647&lt;&gt;"OK"),"GSTIN: "&amp;AV647&amp;"; ","")&amp;IF(AND(AW647&lt;&gt;"",AW647&lt;&gt;"OK"),"PAN wrong format; ","")&amp;IF(AND(BA647&lt;&gt;"",LEN(AZ647)=15,MID(AZ647,3,10)&lt;&gt;BA647),"PAN does not match GSTIN; ","")&amp;IF(AND(AX647&lt;&gt;"",AX647&lt;&gt;"OK"),"TAN wrong format; ","")&amp;IF(AS647="","PAN missing; ","")&amp;IF(BB647="","Entity type missing; ","")&amp;IF(AND(AZ647&lt;&gt;"",COUNTIF($AZ$6:$AZ$1005,AZ647)&gt;1),"GSTIN repeated in this sheet; ","")&amp;IF(AND(AS647&lt;&gt;"",COUNTIF($AS$6:$AS$1005,AS647)&gt;1),"PAN repeated in this sheet (same client? put extra GSTINs in Other GSTINs); ","")&amp;IF(AND(BD647&gt;0,V647=""),"Financial year missing; ","")&amp;IF(AND(BD647=0,V647&lt;&gt;""),"Financial year given but no service is Yes; ","")&amp;IF(AND(W647="Yes",AZ647=""),"GST needs a GSTIN; ","")&amp;IF(AND(W647="Yes",X647=""),"GST return frequency missing; ","")&amp;IF(AND(Y647="Yes",TRIM(H647)=""),"TDS needs a TAN; ","")&amp;IF(AND(AA647="Yes",BC647&lt;&gt;"",BC647&lt;&gt;"company",BC647&lt;&gt;"llp"),"ROC is only for a company / LLP; ","")&amp;IF(AND(AA647="Yes",OR(BC647="company",BC647="llp"),TRIM(I647)=""),"ROC needs the CIN / LLPIN; ","")&amp;IF((TRIM(AF647)="")&lt;&gt;(TRIM(AG647)=""),"GST login needs both user ID and password; ","")&amp;IF((TRIM(AH647)="")&lt;&gt;(TRIM(AI647)=""),"Income-tax login needs both user ID and password; ","")&amp;IF((TRIM(AJ647)="")&lt;&gt;(TRIM(AK647)=""),"Income-tax login needs both user ID and password; ","")&amp;IF((TRIM(AL647)="")&lt;&gt;(TRIM(AM647)=""),"TRACES login needs both user ID and password; ","")&amp;IF((TRIM(AN647)="")&lt;&gt;(TRIM(AO647)=""),"MCA login needs both user ID and password; ","")&amp;IF((TRIM(AP647)="")&lt;&gt;(TRIM(AQ647)=""),"E-way bill login needs both user ID and password; ","")</f>
        <v/>
      </c>
    </row>
    <row r="648">
      <c r="A648" s="32" t="n"/>
      <c r="B648" s="33" t="n"/>
      <c r="C648" s="33" t="n"/>
      <c r="D648" s="33" t="n"/>
      <c r="E648" s="32" t="n"/>
      <c r="F648" s="32" t="n"/>
      <c r="G648" s="32" t="n"/>
      <c r="H648" s="32" t="n"/>
      <c r="I648" s="32" t="n"/>
      <c r="J648" s="34" t="n"/>
      <c r="K648" s="33" t="n"/>
      <c r="L648" s="32" t="n"/>
      <c r="M648" s="33" t="n"/>
      <c r="N648" s="33" t="n"/>
      <c r="O648" s="33" t="n"/>
      <c r="P648" s="32" t="n"/>
      <c r="Q648" s="33" t="n"/>
      <c r="R648" s="33" t="n"/>
      <c r="S648" s="33" t="n"/>
      <c r="T648" s="33" t="n"/>
      <c r="U648" s="32" t="n"/>
      <c r="V648" s="33" t="n"/>
      <c r="W648" s="33" t="n"/>
      <c r="X648" s="33" t="n"/>
      <c r="Y648" s="33" t="n"/>
      <c r="Z648" s="33" t="n"/>
      <c r="AA648" s="33" t="n"/>
      <c r="AB648" s="33" t="n"/>
      <c r="AC648" s="33" t="n"/>
      <c r="AD648" s="33" t="n"/>
      <c r="AE648" s="33" t="n"/>
      <c r="AF648" s="32" t="n"/>
      <c r="AG648" s="32" t="n"/>
      <c r="AH648" s="32" t="n"/>
      <c r="AI648" s="32" t="n"/>
      <c r="AJ648" s="32" t="n"/>
      <c r="AK648" s="32" t="n"/>
      <c r="AL648" s="32" t="n"/>
      <c r="AM648" s="32" t="n"/>
      <c r="AN648" s="32" t="n"/>
      <c r="AO648" s="32" t="n"/>
      <c r="AP648" s="32" t="n"/>
      <c r="AQ648" s="32" t="n"/>
      <c r="AR648" s="29">
        <f>IF(NOT(COUNTA(A648:AE648)&gt;0),"",IF(A648="","New client","Update"))</f>
        <v/>
      </c>
      <c r="AS648" s="29">
        <f>IF(BA648&lt;&gt;"",BA648,IF(LEN(AZ648)=15,MID(AZ648,3,10),""))</f>
        <v/>
      </c>
      <c r="AT648" s="29">
        <f>IF(BB648="","",BB648&amp;IF(D648="","  (guessed from PAN)",""))</f>
        <v/>
      </c>
      <c r="AU648" s="29">
        <f>IF(AZ648="","",IFERROR(INDEX(Lists!$L$2:$L$38,MATCH(LEFT(AZ648,2),Lists!$K$2:$K$38,0)),"Unknown code"))</f>
        <v/>
      </c>
      <c r="AV648" s="29">
        <f>IF(AZ648="","",IFERROR(IF(NOT(AND(LEN(AZ648)=15,ISNUMBER(MATCH(LEFT(AZ648,2),Lists!$K$2:$K$38,0)),SUMPRODUCT(--ISERROR(FIND(MID(MID(AZ648,3,10),{1,2,3,4,5,10},1),"ABCDEFGHIJKLMNOPQRSTUVWXYZ")))=0,SUMPRODUCT(--ISERROR(FIND(MID(MID(AZ648,3,10),{6,7,8,9},1),"0123456789")))=0,ISNUMBER(FIND(MID(AZ648,13,1),"123456789ABCDEFGHIJKLMNOPQRSTUVWXYZ")),MID(AZ648,14,1)="Z")),"Wrong format",IF(MID("0123456789ABCDEFGHIJKLMNOPQRSTUVWXYZ",MOD(36-MOD(SUMPRODUCT(INT((FIND(MID(AZ648,{1,2,3,4,5,6,7,8,9,10,11,12,13,14},1),"0123456789ABCDEFGHIJKLMNOPQRSTUVWXYZ")-1)*{1,2,1,2,1,2,1,2,1,2,1,2,1,2}/36)+MOD((FIND(MID(AZ648,{1,2,3,4,5,6,7,8,9,10,11,12,13,14},1),"0123456789ABCDEFGHIJKLMNOPQRSTUVWXYZ")-1)*{1,2,1,2,1,2,1,2,1,2,1,2,1,2},36)),36),36)+1,1)=MID(AZ648,15,1),"OK","Typo? check digit wrong")),"Wrong format"))</f>
        <v/>
      </c>
      <c r="AW648" s="29">
        <f>IF(BA648="","",IF(AND(LEN(BA648)=10,SUMPRODUCT(--ISERROR(FIND(MID(BA648,{1,2,3,4,5,10},1),"ABCDEFGHIJKLMNOPQRSTUVWXYZ")))=0,SUMPRODUCT(--ISERROR(FIND(MID(BA648,{6,7,8,9},1),"0123456789")))=0),"OK","Wrong format"))</f>
        <v/>
      </c>
      <c r="AX648" s="29">
        <f>IF(TRIM(H648)="","",IF(AND(LEN(UPPER(TRIM(H648)))=10,SUMPRODUCT(--ISERROR(FIND(MID(UPPER(TRIM(H648)),{1,2,3,4,10},1),"ABCDEFGHIJKLMNOPQRSTUVWXYZ")))=0,SUMPRODUCT(--ISERROR(FIND(MID(UPPER(TRIM(H648)),{5,6,7,8,9},1),"0123456789")))=0),"OK","Wrong format"))</f>
        <v/>
      </c>
      <c r="AY648" s="30">
        <f>IF(NOT(COUNTA(A648:AE648)&gt;0),"",IF(BE648&lt;&gt;"","✖ "&amp;LEFT(BE648,LEN(BE648)-2),IF(BD648&gt;0,"✔ Ready — client + "&amp;BD648&amp;" service(s)","✔ Ready — client only")))</f>
        <v/>
      </c>
      <c r="AZ648" s="31">
        <f>UPPER(SUBSTITUTE(TRIM(F648)," ",""))</f>
        <v/>
      </c>
      <c r="BA648" s="31">
        <f>UPPER(SUBSTITUTE(TRIM(E648)," ",""))</f>
        <v/>
      </c>
      <c r="BB648" s="31">
        <f>IF(D648&lt;&gt;"",D648,IFERROR(VLOOKUP(MID(AS648,4,1),Lists!$E$2:$F$8,2,FALSE),""))</f>
        <v/>
      </c>
      <c r="BC648" s="31">
        <f>IFERROR(VLOOKUP(BB648,Lists!$A$2:$C$12,3,FALSE),"")</f>
        <v/>
      </c>
      <c r="BD648" s="31">
        <f>COUNTIF(W648:AC648,"Yes")</f>
        <v/>
      </c>
      <c r="BE648" s="31">
        <f>IF(TRIM(B648)="","Legal name missing; ","")&amp;IF(AND(AV648&lt;&gt;"",AV648&lt;&gt;"OK"),"GSTIN: "&amp;AV648&amp;"; ","")&amp;IF(AND(AW648&lt;&gt;"",AW648&lt;&gt;"OK"),"PAN wrong format; ","")&amp;IF(AND(BA648&lt;&gt;"",LEN(AZ648)=15,MID(AZ648,3,10)&lt;&gt;BA648),"PAN does not match GSTIN; ","")&amp;IF(AND(AX648&lt;&gt;"",AX648&lt;&gt;"OK"),"TAN wrong format; ","")&amp;IF(AS648="","PAN missing; ","")&amp;IF(BB648="","Entity type missing; ","")&amp;IF(AND(AZ648&lt;&gt;"",COUNTIF($AZ$6:$AZ$1005,AZ648)&gt;1),"GSTIN repeated in this sheet; ","")&amp;IF(AND(AS648&lt;&gt;"",COUNTIF($AS$6:$AS$1005,AS648)&gt;1),"PAN repeated in this sheet (same client? put extra GSTINs in Other GSTINs); ","")&amp;IF(AND(BD648&gt;0,V648=""),"Financial year missing; ","")&amp;IF(AND(BD648=0,V648&lt;&gt;""),"Financial year given but no service is Yes; ","")&amp;IF(AND(W648="Yes",AZ648=""),"GST needs a GSTIN; ","")&amp;IF(AND(W648="Yes",X648=""),"GST return frequency missing; ","")&amp;IF(AND(Y648="Yes",TRIM(H648)=""),"TDS needs a TAN; ","")&amp;IF(AND(AA648="Yes",BC648&lt;&gt;"",BC648&lt;&gt;"company",BC648&lt;&gt;"llp"),"ROC is only for a company / LLP; ","")&amp;IF(AND(AA648="Yes",OR(BC648="company",BC648="llp"),TRIM(I648)=""),"ROC needs the CIN / LLPIN; ","")&amp;IF((TRIM(AF648)="")&lt;&gt;(TRIM(AG648)=""),"GST login needs both user ID and password; ","")&amp;IF((TRIM(AH648)="")&lt;&gt;(TRIM(AI648)=""),"Income-tax login needs both user ID and password; ","")&amp;IF((TRIM(AJ648)="")&lt;&gt;(TRIM(AK648)=""),"Income-tax login needs both user ID and password; ","")&amp;IF((TRIM(AL648)="")&lt;&gt;(TRIM(AM648)=""),"TRACES login needs both user ID and password; ","")&amp;IF((TRIM(AN648)="")&lt;&gt;(TRIM(AO648)=""),"MCA login needs both user ID and password; ","")&amp;IF((TRIM(AP648)="")&lt;&gt;(TRIM(AQ648)=""),"E-way bill login needs both user ID and password; ","")</f>
        <v/>
      </c>
    </row>
    <row r="649">
      <c r="A649" s="32" t="n"/>
      <c r="B649" s="33" t="n"/>
      <c r="C649" s="33" t="n"/>
      <c r="D649" s="33" t="n"/>
      <c r="E649" s="32" t="n"/>
      <c r="F649" s="32" t="n"/>
      <c r="G649" s="32" t="n"/>
      <c r="H649" s="32" t="n"/>
      <c r="I649" s="32" t="n"/>
      <c r="J649" s="34" t="n"/>
      <c r="K649" s="33" t="n"/>
      <c r="L649" s="32" t="n"/>
      <c r="M649" s="33" t="n"/>
      <c r="N649" s="33" t="n"/>
      <c r="O649" s="33" t="n"/>
      <c r="P649" s="32" t="n"/>
      <c r="Q649" s="33" t="n"/>
      <c r="R649" s="33" t="n"/>
      <c r="S649" s="33" t="n"/>
      <c r="T649" s="33" t="n"/>
      <c r="U649" s="32" t="n"/>
      <c r="V649" s="33" t="n"/>
      <c r="W649" s="33" t="n"/>
      <c r="X649" s="33" t="n"/>
      <c r="Y649" s="33" t="n"/>
      <c r="Z649" s="33" t="n"/>
      <c r="AA649" s="33" t="n"/>
      <c r="AB649" s="33" t="n"/>
      <c r="AC649" s="33" t="n"/>
      <c r="AD649" s="33" t="n"/>
      <c r="AE649" s="33" t="n"/>
      <c r="AF649" s="32" t="n"/>
      <c r="AG649" s="32" t="n"/>
      <c r="AH649" s="32" t="n"/>
      <c r="AI649" s="32" t="n"/>
      <c r="AJ649" s="32" t="n"/>
      <c r="AK649" s="32" t="n"/>
      <c r="AL649" s="32" t="n"/>
      <c r="AM649" s="32" t="n"/>
      <c r="AN649" s="32" t="n"/>
      <c r="AO649" s="32" t="n"/>
      <c r="AP649" s="32" t="n"/>
      <c r="AQ649" s="32" t="n"/>
      <c r="AR649" s="29">
        <f>IF(NOT(COUNTA(A649:AE649)&gt;0),"",IF(A649="","New client","Update"))</f>
        <v/>
      </c>
      <c r="AS649" s="29">
        <f>IF(BA649&lt;&gt;"",BA649,IF(LEN(AZ649)=15,MID(AZ649,3,10),""))</f>
        <v/>
      </c>
      <c r="AT649" s="29">
        <f>IF(BB649="","",BB649&amp;IF(D649="","  (guessed from PAN)",""))</f>
        <v/>
      </c>
      <c r="AU649" s="29">
        <f>IF(AZ649="","",IFERROR(INDEX(Lists!$L$2:$L$38,MATCH(LEFT(AZ649,2),Lists!$K$2:$K$38,0)),"Unknown code"))</f>
        <v/>
      </c>
      <c r="AV649" s="29">
        <f>IF(AZ649="","",IFERROR(IF(NOT(AND(LEN(AZ649)=15,ISNUMBER(MATCH(LEFT(AZ649,2),Lists!$K$2:$K$38,0)),SUMPRODUCT(--ISERROR(FIND(MID(MID(AZ649,3,10),{1,2,3,4,5,10},1),"ABCDEFGHIJKLMNOPQRSTUVWXYZ")))=0,SUMPRODUCT(--ISERROR(FIND(MID(MID(AZ649,3,10),{6,7,8,9},1),"0123456789")))=0,ISNUMBER(FIND(MID(AZ649,13,1),"123456789ABCDEFGHIJKLMNOPQRSTUVWXYZ")),MID(AZ649,14,1)="Z")),"Wrong format",IF(MID("0123456789ABCDEFGHIJKLMNOPQRSTUVWXYZ",MOD(36-MOD(SUMPRODUCT(INT((FIND(MID(AZ649,{1,2,3,4,5,6,7,8,9,10,11,12,13,14},1),"0123456789ABCDEFGHIJKLMNOPQRSTUVWXYZ")-1)*{1,2,1,2,1,2,1,2,1,2,1,2,1,2}/36)+MOD((FIND(MID(AZ649,{1,2,3,4,5,6,7,8,9,10,11,12,13,14},1),"0123456789ABCDEFGHIJKLMNOPQRSTUVWXYZ")-1)*{1,2,1,2,1,2,1,2,1,2,1,2,1,2},36)),36),36)+1,1)=MID(AZ649,15,1),"OK","Typo? check digit wrong")),"Wrong format"))</f>
        <v/>
      </c>
      <c r="AW649" s="29">
        <f>IF(BA649="","",IF(AND(LEN(BA649)=10,SUMPRODUCT(--ISERROR(FIND(MID(BA649,{1,2,3,4,5,10},1),"ABCDEFGHIJKLMNOPQRSTUVWXYZ")))=0,SUMPRODUCT(--ISERROR(FIND(MID(BA649,{6,7,8,9},1),"0123456789")))=0),"OK","Wrong format"))</f>
        <v/>
      </c>
      <c r="AX649" s="29">
        <f>IF(TRIM(H649)="","",IF(AND(LEN(UPPER(TRIM(H649)))=10,SUMPRODUCT(--ISERROR(FIND(MID(UPPER(TRIM(H649)),{1,2,3,4,10},1),"ABCDEFGHIJKLMNOPQRSTUVWXYZ")))=0,SUMPRODUCT(--ISERROR(FIND(MID(UPPER(TRIM(H649)),{5,6,7,8,9},1),"0123456789")))=0),"OK","Wrong format"))</f>
        <v/>
      </c>
      <c r="AY649" s="30">
        <f>IF(NOT(COUNTA(A649:AE649)&gt;0),"",IF(BE649&lt;&gt;"","✖ "&amp;LEFT(BE649,LEN(BE649)-2),IF(BD649&gt;0,"✔ Ready — client + "&amp;BD649&amp;" service(s)","✔ Ready — client only")))</f>
        <v/>
      </c>
      <c r="AZ649" s="31">
        <f>UPPER(SUBSTITUTE(TRIM(F649)," ",""))</f>
        <v/>
      </c>
      <c r="BA649" s="31">
        <f>UPPER(SUBSTITUTE(TRIM(E649)," ",""))</f>
        <v/>
      </c>
      <c r="BB649" s="31">
        <f>IF(D649&lt;&gt;"",D649,IFERROR(VLOOKUP(MID(AS649,4,1),Lists!$E$2:$F$8,2,FALSE),""))</f>
        <v/>
      </c>
      <c r="BC649" s="31">
        <f>IFERROR(VLOOKUP(BB649,Lists!$A$2:$C$12,3,FALSE),"")</f>
        <v/>
      </c>
      <c r="BD649" s="31">
        <f>COUNTIF(W649:AC649,"Yes")</f>
        <v/>
      </c>
      <c r="BE649" s="31">
        <f>IF(TRIM(B649)="","Legal name missing; ","")&amp;IF(AND(AV649&lt;&gt;"",AV649&lt;&gt;"OK"),"GSTIN: "&amp;AV649&amp;"; ","")&amp;IF(AND(AW649&lt;&gt;"",AW649&lt;&gt;"OK"),"PAN wrong format; ","")&amp;IF(AND(BA649&lt;&gt;"",LEN(AZ649)=15,MID(AZ649,3,10)&lt;&gt;BA649),"PAN does not match GSTIN; ","")&amp;IF(AND(AX649&lt;&gt;"",AX649&lt;&gt;"OK"),"TAN wrong format; ","")&amp;IF(AS649="","PAN missing; ","")&amp;IF(BB649="","Entity type missing; ","")&amp;IF(AND(AZ649&lt;&gt;"",COUNTIF($AZ$6:$AZ$1005,AZ649)&gt;1),"GSTIN repeated in this sheet; ","")&amp;IF(AND(AS649&lt;&gt;"",COUNTIF($AS$6:$AS$1005,AS649)&gt;1),"PAN repeated in this sheet (same client? put extra GSTINs in Other GSTINs); ","")&amp;IF(AND(BD649&gt;0,V649=""),"Financial year missing; ","")&amp;IF(AND(BD649=0,V649&lt;&gt;""),"Financial year given but no service is Yes; ","")&amp;IF(AND(W649="Yes",AZ649=""),"GST needs a GSTIN; ","")&amp;IF(AND(W649="Yes",X649=""),"GST return frequency missing; ","")&amp;IF(AND(Y649="Yes",TRIM(H649)=""),"TDS needs a TAN; ","")&amp;IF(AND(AA649="Yes",BC649&lt;&gt;"",BC649&lt;&gt;"company",BC649&lt;&gt;"llp"),"ROC is only for a company / LLP; ","")&amp;IF(AND(AA649="Yes",OR(BC649="company",BC649="llp"),TRIM(I649)=""),"ROC needs the CIN / LLPIN; ","")&amp;IF((TRIM(AF649)="")&lt;&gt;(TRIM(AG649)=""),"GST login needs both user ID and password; ","")&amp;IF((TRIM(AH649)="")&lt;&gt;(TRIM(AI649)=""),"Income-tax login needs both user ID and password; ","")&amp;IF((TRIM(AJ649)="")&lt;&gt;(TRIM(AK649)=""),"Income-tax login needs both user ID and password; ","")&amp;IF((TRIM(AL649)="")&lt;&gt;(TRIM(AM649)=""),"TRACES login needs both user ID and password; ","")&amp;IF((TRIM(AN649)="")&lt;&gt;(TRIM(AO649)=""),"MCA login needs both user ID and password; ","")&amp;IF((TRIM(AP649)="")&lt;&gt;(TRIM(AQ649)=""),"E-way bill login needs both user ID and password; ","")</f>
        <v/>
      </c>
    </row>
    <row r="650">
      <c r="A650" s="32" t="n"/>
      <c r="B650" s="33" t="n"/>
      <c r="C650" s="33" t="n"/>
      <c r="D650" s="33" t="n"/>
      <c r="E650" s="32" t="n"/>
      <c r="F650" s="32" t="n"/>
      <c r="G650" s="32" t="n"/>
      <c r="H650" s="32" t="n"/>
      <c r="I650" s="32" t="n"/>
      <c r="J650" s="34" t="n"/>
      <c r="K650" s="33" t="n"/>
      <c r="L650" s="32" t="n"/>
      <c r="M650" s="33" t="n"/>
      <c r="N650" s="33" t="n"/>
      <c r="O650" s="33" t="n"/>
      <c r="P650" s="32" t="n"/>
      <c r="Q650" s="33" t="n"/>
      <c r="R650" s="33" t="n"/>
      <c r="S650" s="33" t="n"/>
      <c r="T650" s="33" t="n"/>
      <c r="U650" s="32" t="n"/>
      <c r="V650" s="33" t="n"/>
      <c r="W650" s="33" t="n"/>
      <c r="X650" s="33" t="n"/>
      <c r="Y650" s="33" t="n"/>
      <c r="Z650" s="33" t="n"/>
      <c r="AA650" s="33" t="n"/>
      <c r="AB650" s="33" t="n"/>
      <c r="AC650" s="33" t="n"/>
      <c r="AD650" s="33" t="n"/>
      <c r="AE650" s="33" t="n"/>
      <c r="AF650" s="32" t="n"/>
      <c r="AG650" s="32" t="n"/>
      <c r="AH650" s="32" t="n"/>
      <c r="AI650" s="32" t="n"/>
      <c r="AJ650" s="32" t="n"/>
      <c r="AK650" s="32" t="n"/>
      <c r="AL650" s="32" t="n"/>
      <c r="AM650" s="32" t="n"/>
      <c r="AN650" s="32" t="n"/>
      <c r="AO650" s="32" t="n"/>
      <c r="AP650" s="32" t="n"/>
      <c r="AQ650" s="32" t="n"/>
      <c r="AR650" s="29">
        <f>IF(NOT(COUNTA(A650:AE650)&gt;0),"",IF(A650="","New client","Update"))</f>
        <v/>
      </c>
      <c r="AS650" s="29">
        <f>IF(BA650&lt;&gt;"",BA650,IF(LEN(AZ650)=15,MID(AZ650,3,10),""))</f>
        <v/>
      </c>
      <c r="AT650" s="29">
        <f>IF(BB650="","",BB650&amp;IF(D650="","  (guessed from PAN)",""))</f>
        <v/>
      </c>
      <c r="AU650" s="29">
        <f>IF(AZ650="","",IFERROR(INDEX(Lists!$L$2:$L$38,MATCH(LEFT(AZ650,2),Lists!$K$2:$K$38,0)),"Unknown code"))</f>
        <v/>
      </c>
      <c r="AV650" s="29">
        <f>IF(AZ650="","",IFERROR(IF(NOT(AND(LEN(AZ650)=15,ISNUMBER(MATCH(LEFT(AZ650,2),Lists!$K$2:$K$38,0)),SUMPRODUCT(--ISERROR(FIND(MID(MID(AZ650,3,10),{1,2,3,4,5,10},1),"ABCDEFGHIJKLMNOPQRSTUVWXYZ")))=0,SUMPRODUCT(--ISERROR(FIND(MID(MID(AZ650,3,10),{6,7,8,9},1),"0123456789")))=0,ISNUMBER(FIND(MID(AZ650,13,1),"123456789ABCDEFGHIJKLMNOPQRSTUVWXYZ")),MID(AZ650,14,1)="Z")),"Wrong format",IF(MID("0123456789ABCDEFGHIJKLMNOPQRSTUVWXYZ",MOD(36-MOD(SUMPRODUCT(INT((FIND(MID(AZ650,{1,2,3,4,5,6,7,8,9,10,11,12,13,14},1),"0123456789ABCDEFGHIJKLMNOPQRSTUVWXYZ")-1)*{1,2,1,2,1,2,1,2,1,2,1,2,1,2}/36)+MOD((FIND(MID(AZ650,{1,2,3,4,5,6,7,8,9,10,11,12,13,14},1),"0123456789ABCDEFGHIJKLMNOPQRSTUVWXYZ")-1)*{1,2,1,2,1,2,1,2,1,2,1,2,1,2},36)),36),36)+1,1)=MID(AZ650,15,1),"OK","Typo? check digit wrong")),"Wrong format"))</f>
        <v/>
      </c>
      <c r="AW650" s="29">
        <f>IF(BA650="","",IF(AND(LEN(BA650)=10,SUMPRODUCT(--ISERROR(FIND(MID(BA650,{1,2,3,4,5,10},1),"ABCDEFGHIJKLMNOPQRSTUVWXYZ")))=0,SUMPRODUCT(--ISERROR(FIND(MID(BA650,{6,7,8,9},1),"0123456789")))=0),"OK","Wrong format"))</f>
        <v/>
      </c>
      <c r="AX650" s="29">
        <f>IF(TRIM(H650)="","",IF(AND(LEN(UPPER(TRIM(H650)))=10,SUMPRODUCT(--ISERROR(FIND(MID(UPPER(TRIM(H650)),{1,2,3,4,10},1),"ABCDEFGHIJKLMNOPQRSTUVWXYZ")))=0,SUMPRODUCT(--ISERROR(FIND(MID(UPPER(TRIM(H650)),{5,6,7,8,9},1),"0123456789")))=0),"OK","Wrong format"))</f>
        <v/>
      </c>
      <c r="AY650" s="30">
        <f>IF(NOT(COUNTA(A650:AE650)&gt;0),"",IF(BE650&lt;&gt;"","✖ "&amp;LEFT(BE650,LEN(BE650)-2),IF(BD650&gt;0,"✔ Ready — client + "&amp;BD650&amp;" service(s)","✔ Ready — client only")))</f>
        <v/>
      </c>
      <c r="AZ650" s="31">
        <f>UPPER(SUBSTITUTE(TRIM(F650)," ",""))</f>
        <v/>
      </c>
      <c r="BA650" s="31">
        <f>UPPER(SUBSTITUTE(TRIM(E650)," ",""))</f>
        <v/>
      </c>
      <c r="BB650" s="31">
        <f>IF(D650&lt;&gt;"",D650,IFERROR(VLOOKUP(MID(AS650,4,1),Lists!$E$2:$F$8,2,FALSE),""))</f>
        <v/>
      </c>
      <c r="BC650" s="31">
        <f>IFERROR(VLOOKUP(BB650,Lists!$A$2:$C$12,3,FALSE),"")</f>
        <v/>
      </c>
      <c r="BD650" s="31">
        <f>COUNTIF(W650:AC650,"Yes")</f>
        <v/>
      </c>
      <c r="BE650" s="31">
        <f>IF(TRIM(B650)="","Legal name missing; ","")&amp;IF(AND(AV650&lt;&gt;"",AV650&lt;&gt;"OK"),"GSTIN: "&amp;AV650&amp;"; ","")&amp;IF(AND(AW650&lt;&gt;"",AW650&lt;&gt;"OK"),"PAN wrong format; ","")&amp;IF(AND(BA650&lt;&gt;"",LEN(AZ650)=15,MID(AZ650,3,10)&lt;&gt;BA650),"PAN does not match GSTIN; ","")&amp;IF(AND(AX650&lt;&gt;"",AX650&lt;&gt;"OK"),"TAN wrong format; ","")&amp;IF(AS650="","PAN missing; ","")&amp;IF(BB650="","Entity type missing; ","")&amp;IF(AND(AZ650&lt;&gt;"",COUNTIF($AZ$6:$AZ$1005,AZ650)&gt;1),"GSTIN repeated in this sheet; ","")&amp;IF(AND(AS650&lt;&gt;"",COUNTIF($AS$6:$AS$1005,AS650)&gt;1),"PAN repeated in this sheet (same client? put extra GSTINs in Other GSTINs); ","")&amp;IF(AND(BD650&gt;0,V650=""),"Financial year missing; ","")&amp;IF(AND(BD650=0,V650&lt;&gt;""),"Financial year given but no service is Yes; ","")&amp;IF(AND(W650="Yes",AZ650=""),"GST needs a GSTIN; ","")&amp;IF(AND(W650="Yes",X650=""),"GST return frequency missing; ","")&amp;IF(AND(Y650="Yes",TRIM(H650)=""),"TDS needs a TAN; ","")&amp;IF(AND(AA650="Yes",BC650&lt;&gt;"",BC650&lt;&gt;"company",BC650&lt;&gt;"llp"),"ROC is only for a company / LLP; ","")&amp;IF(AND(AA650="Yes",OR(BC650="company",BC650="llp"),TRIM(I650)=""),"ROC needs the CIN / LLPIN; ","")&amp;IF((TRIM(AF650)="")&lt;&gt;(TRIM(AG650)=""),"GST login needs both user ID and password; ","")&amp;IF((TRIM(AH650)="")&lt;&gt;(TRIM(AI650)=""),"Income-tax login needs both user ID and password; ","")&amp;IF((TRIM(AJ650)="")&lt;&gt;(TRIM(AK650)=""),"Income-tax login needs both user ID and password; ","")&amp;IF((TRIM(AL650)="")&lt;&gt;(TRIM(AM650)=""),"TRACES login needs both user ID and password; ","")&amp;IF((TRIM(AN650)="")&lt;&gt;(TRIM(AO650)=""),"MCA login needs both user ID and password; ","")&amp;IF((TRIM(AP650)="")&lt;&gt;(TRIM(AQ650)=""),"E-way bill login needs both user ID and password; ","")</f>
        <v/>
      </c>
    </row>
    <row r="651">
      <c r="A651" s="32" t="n"/>
      <c r="B651" s="33" t="n"/>
      <c r="C651" s="33" t="n"/>
      <c r="D651" s="33" t="n"/>
      <c r="E651" s="32" t="n"/>
      <c r="F651" s="32" t="n"/>
      <c r="G651" s="32" t="n"/>
      <c r="H651" s="32" t="n"/>
      <c r="I651" s="32" t="n"/>
      <c r="J651" s="34" t="n"/>
      <c r="K651" s="33" t="n"/>
      <c r="L651" s="32" t="n"/>
      <c r="M651" s="33" t="n"/>
      <c r="N651" s="33" t="n"/>
      <c r="O651" s="33" t="n"/>
      <c r="P651" s="32" t="n"/>
      <c r="Q651" s="33" t="n"/>
      <c r="R651" s="33" t="n"/>
      <c r="S651" s="33" t="n"/>
      <c r="T651" s="33" t="n"/>
      <c r="U651" s="32" t="n"/>
      <c r="V651" s="33" t="n"/>
      <c r="W651" s="33" t="n"/>
      <c r="X651" s="33" t="n"/>
      <c r="Y651" s="33" t="n"/>
      <c r="Z651" s="33" t="n"/>
      <c r="AA651" s="33" t="n"/>
      <c r="AB651" s="33" t="n"/>
      <c r="AC651" s="33" t="n"/>
      <c r="AD651" s="33" t="n"/>
      <c r="AE651" s="33" t="n"/>
      <c r="AF651" s="32" t="n"/>
      <c r="AG651" s="32" t="n"/>
      <c r="AH651" s="32" t="n"/>
      <c r="AI651" s="32" t="n"/>
      <c r="AJ651" s="32" t="n"/>
      <c r="AK651" s="32" t="n"/>
      <c r="AL651" s="32" t="n"/>
      <c r="AM651" s="32" t="n"/>
      <c r="AN651" s="32" t="n"/>
      <c r="AO651" s="32" t="n"/>
      <c r="AP651" s="32" t="n"/>
      <c r="AQ651" s="32" t="n"/>
      <c r="AR651" s="29">
        <f>IF(NOT(COUNTA(A651:AE651)&gt;0),"",IF(A651="","New client","Update"))</f>
        <v/>
      </c>
      <c r="AS651" s="29">
        <f>IF(BA651&lt;&gt;"",BA651,IF(LEN(AZ651)=15,MID(AZ651,3,10),""))</f>
        <v/>
      </c>
      <c r="AT651" s="29">
        <f>IF(BB651="","",BB651&amp;IF(D651="","  (guessed from PAN)",""))</f>
        <v/>
      </c>
      <c r="AU651" s="29">
        <f>IF(AZ651="","",IFERROR(INDEX(Lists!$L$2:$L$38,MATCH(LEFT(AZ651,2),Lists!$K$2:$K$38,0)),"Unknown code"))</f>
        <v/>
      </c>
      <c r="AV651" s="29">
        <f>IF(AZ651="","",IFERROR(IF(NOT(AND(LEN(AZ651)=15,ISNUMBER(MATCH(LEFT(AZ651,2),Lists!$K$2:$K$38,0)),SUMPRODUCT(--ISERROR(FIND(MID(MID(AZ651,3,10),{1,2,3,4,5,10},1),"ABCDEFGHIJKLMNOPQRSTUVWXYZ")))=0,SUMPRODUCT(--ISERROR(FIND(MID(MID(AZ651,3,10),{6,7,8,9},1),"0123456789")))=0,ISNUMBER(FIND(MID(AZ651,13,1),"123456789ABCDEFGHIJKLMNOPQRSTUVWXYZ")),MID(AZ651,14,1)="Z")),"Wrong format",IF(MID("0123456789ABCDEFGHIJKLMNOPQRSTUVWXYZ",MOD(36-MOD(SUMPRODUCT(INT((FIND(MID(AZ651,{1,2,3,4,5,6,7,8,9,10,11,12,13,14},1),"0123456789ABCDEFGHIJKLMNOPQRSTUVWXYZ")-1)*{1,2,1,2,1,2,1,2,1,2,1,2,1,2}/36)+MOD((FIND(MID(AZ651,{1,2,3,4,5,6,7,8,9,10,11,12,13,14},1),"0123456789ABCDEFGHIJKLMNOPQRSTUVWXYZ")-1)*{1,2,1,2,1,2,1,2,1,2,1,2,1,2},36)),36),36)+1,1)=MID(AZ651,15,1),"OK","Typo? check digit wrong")),"Wrong format"))</f>
        <v/>
      </c>
      <c r="AW651" s="29">
        <f>IF(BA651="","",IF(AND(LEN(BA651)=10,SUMPRODUCT(--ISERROR(FIND(MID(BA651,{1,2,3,4,5,10},1),"ABCDEFGHIJKLMNOPQRSTUVWXYZ")))=0,SUMPRODUCT(--ISERROR(FIND(MID(BA651,{6,7,8,9},1),"0123456789")))=0),"OK","Wrong format"))</f>
        <v/>
      </c>
      <c r="AX651" s="29">
        <f>IF(TRIM(H651)="","",IF(AND(LEN(UPPER(TRIM(H651)))=10,SUMPRODUCT(--ISERROR(FIND(MID(UPPER(TRIM(H651)),{1,2,3,4,10},1),"ABCDEFGHIJKLMNOPQRSTUVWXYZ")))=0,SUMPRODUCT(--ISERROR(FIND(MID(UPPER(TRIM(H651)),{5,6,7,8,9},1),"0123456789")))=0),"OK","Wrong format"))</f>
        <v/>
      </c>
      <c r="AY651" s="30">
        <f>IF(NOT(COUNTA(A651:AE651)&gt;0),"",IF(BE651&lt;&gt;"","✖ "&amp;LEFT(BE651,LEN(BE651)-2),IF(BD651&gt;0,"✔ Ready — client + "&amp;BD651&amp;" service(s)","✔ Ready — client only")))</f>
        <v/>
      </c>
      <c r="AZ651" s="31">
        <f>UPPER(SUBSTITUTE(TRIM(F651)," ",""))</f>
        <v/>
      </c>
      <c r="BA651" s="31">
        <f>UPPER(SUBSTITUTE(TRIM(E651)," ",""))</f>
        <v/>
      </c>
      <c r="BB651" s="31">
        <f>IF(D651&lt;&gt;"",D651,IFERROR(VLOOKUP(MID(AS651,4,1),Lists!$E$2:$F$8,2,FALSE),""))</f>
        <v/>
      </c>
      <c r="BC651" s="31">
        <f>IFERROR(VLOOKUP(BB651,Lists!$A$2:$C$12,3,FALSE),"")</f>
        <v/>
      </c>
      <c r="BD651" s="31">
        <f>COUNTIF(W651:AC651,"Yes")</f>
        <v/>
      </c>
      <c r="BE651" s="31">
        <f>IF(TRIM(B651)="","Legal name missing; ","")&amp;IF(AND(AV651&lt;&gt;"",AV651&lt;&gt;"OK"),"GSTIN: "&amp;AV651&amp;"; ","")&amp;IF(AND(AW651&lt;&gt;"",AW651&lt;&gt;"OK"),"PAN wrong format; ","")&amp;IF(AND(BA651&lt;&gt;"",LEN(AZ651)=15,MID(AZ651,3,10)&lt;&gt;BA651),"PAN does not match GSTIN; ","")&amp;IF(AND(AX651&lt;&gt;"",AX651&lt;&gt;"OK"),"TAN wrong format; ","")&amp;IF(AS651="","PAN missing; ","")&amp;IF(BB651="","Entity type missing; ","")&amp;IF(AND(AZ651&lt;&gt;"",COUNTIF($AZ$6:$AZ$1005,AZ651)&gt;1),"GSTIN repeated in this sheet; ","")&amp;IF(AND(AS651&lt;&gt;"",COUNTIF($AS$6:$AS$1005,AS651)&gt;1),"PAN repeated in this sheet (same client? put extra GSTINs in Other GSTINs); ","")&amp;IF(AND(BD651&gt;0,V651=""),"Financial year missing; ","")&amp;IF(AND(BD651=0,V651&lt;&gt;""),"Financial year given but no service is Yes; ","")&amp;IF(AND(W651="Yes",AZ651=""),"GST needs a GSTIN; ","")&amp;IF(AND(W651="Yes",X651=""),"GST return frequency missing; ","")&amp;IF(AND(Y651="Yes",TRIM(H651)=""),"TDS needs a TAN; ","")&amp;IF(AND(AA651="Yes",BC651&lt;&gt;"",BC651&lt;&gt;"company",BC651&lt;&gt;"llp"),"ROC is only for a company / LLP; ","")&amp;IF(AND(AA651="Yes",OR(BC651="company",BC651="llp"),TRIM(I651)=""),"ROC needs the CIN / LLPIN; ","")&amp;IF((TRIM(AF651)="")&lt;&gt;(TRIM(AG651)=""),"GST login needs both user ID and password; ","")&amp;IF((TRIM(AH651)="")&lt;&gt;(TRIM(AI651)=""),"Income-tax login needs both user ID and password; ","")&amp;IF((TRIM(AJ651)="")&lt;&gt;(TRIM(AK651)=""),"Income-tax login needs both user ID and password; ","")&amp;IF((TRIM(AL651)="")&lt;&gt;(TRIM(AM651)=""),"TRACES login needs both user ID and password; ","")&amp;IF((TRIM(AN651)="")&lt;&gt;(TRIM(AO651)=""),"MCA login needs both user ID and password; ","")&amp;IF((TRIM(AP651)="")&lt;&gt;(TRIM(AQ651)=""),"E-way bill login needs both user ID and password; ","")</f>
        <v/>
      </c>
    </row>
    <row r="652">
      <c r="A652" s="32" t="n"/>
      <c r="B652" s="33" t="n"/>
      <c r="C652" s="33" t="n"/>
      <c r="D652" s="33" t="n"/>
      <c r="E652" s="32" t="n"/>
      <c r="F652" s="32" t="n"/>
      <c r="G652" s="32" t="n"/>
      <c r="H652" s="32" t="n"/>
      <c r="I652" s="32" t="n"/>
      <c r="J652" s="34" t="n"/>
      <c r="K652" s="33" t="n"/>
      <c r="L652" s="32" t="n"/>
      <c r="M652" s="33" t="n"/>
      <c r="N652" s="33" t="n"/>
      <c r="O652" s="33" t="n"/>
      <c r="P652" s="32" t="n"/>
      <c r="Q652" s="33" t="n"/>
      <c r="R652" s="33" t="n"/>
      <c r="S652" s="33" t="n"/>
      <c r="T652" s="33" t="n"/>
      <c r="U652" s="32" t="n"/>
      <c r="V652" s="33" t="n"/>
      <c r="W652" s="33" t="n"/>
      <c r="X652" s="33" t="n"/>
      <c r="Y652" s="33" t="n"/>
      <c r="Z652" s="33" t="n"/>
      <c r="AA652" s="33" t="n"/>
      <c r="AB652" s="33" t="n"/>
      <c r="AC652" s="33" t="n"/>
      <c r="AD652" s="33" t="n"/>
      <c r="AE652" s="33" t="n"/>
      <c r="AF652" s="32" t="n"/>
      <c r="AG652" s="32" t="n"/>
      <c r="AH652" s="32" t="n"/>
      <c r="AI652" s="32" t="n"/>
      <c r="AJ652" s="32" t="n"/>
      <c r="AK652" s="32" t="n"/>
      <c r="AL652" s="32" t="n"/>
      <c r="AM652" s="32" t="n"/>
      <c r="AN652" s="32" t="n"/>
      <c r="AO652" s="32" t="n"/>
      <c r="AP652" s="32" t="n"/>
      <c r="AQ652" s="32" t="n"/>
      <c r="AR652" s="29">
        <f>IF(NOT(COUNTA(A652:AE652)&gt;0),"",IF(A652="","New client","Update"))</f>
        <v/>
      </c>
      <c r="AS652" s="29">
        <f>IF(BA652&lt;&gt;"",BA652,IF(LEN(AZ652)=15,MID(AZ652,3,10),""))</f>
        <v/>
      </c>
      <c r="AT652" s="29">
        <f>IF(BB652="","",BB652&amp;IF(D652="","  (guessed from PAN)",""))</f>
        <v/>
      </c>
      <c r="AU652" s="29">
        <f>IF(AZ652="","",IFERROR(INDEX(Lists!$L$2:$L$38,MATCH(LEFT(AZ652,2),Lists!$K$2:$K$38,0)),"Unknown code"))</f>
        <v/>
      </c>
      <c r="AV652" s="29">
        <f>IF(AZ652="","",IFERROR(IF(NOT(AND(LEN(AZ652)=15,ISNUMBER(MATCH(LEFT(AZ652,2),Lists!$K$2:$K$38,0)),SUMPRODUCT(--ISERROR(FIND(MID(MID(AZ652,3,10),{1,2,3,4,5,10},1),"ABCDEFGHIJKLMNOPQRSTUVWXYZ")))=0,SUMPRODUCT(--ISERROR(FIND(MID(MID(AZ652,3,10),{6,7,8,9},1),"0123456789")))=0,ISNUMBER(FIND(MID(AZ652,13,1),"123456789ABCDEFGHIJKLMNOPQRSTUVWXYZ")),MID(AZ652,14,1)="Z")),"Wrong format",IF(MID("0123456789ABCDEFGHIJKLMNOPQRSTUVWXYZ",MOD(36-MOD(SUMPRODUCT(INT((FIND(MID(AZ652,{1,2,3,4,5,6,7,8,9,10,11,12,13,14},1),"0123456789ABCDEFGHIJKLMNOPQRSTUVWXYZ")-1)*{1,2,1,2,1,2,1,2,1,2,1,2,1,2}/36)+MOD((FIND(MID(AZ652,{1,2,3,4,5,6,7,8,9,10,11,12,13,14},1),"0123456789ABCDEFGHIJKLMNOPQRSTUVWXYZ")-1)*{1,2,1,2,1,2,1,2,1,2,1,2,1,2},36)),36),36)+1,1)=MID(AZ652,15,1),"OK","Typo? check digit wrong")),"Wrong format"))</f>
        <v/>
      </c>
      <c r="AW652" s="29">
        <f>IF(BA652="","",IF(AND(LEN(BA652)=10,SUMPRODUCT(--ISERROR(FIND(MID(BA652,{1,2,3,4,5,10},1),"ABCDEFGHIJKLMNOPQRSTUVWXYZ")))=0,SUMPRODUCT(--ISERROR(FIND(MID(BA652,{6,7,8,9},1),"0123456789")))=0),"OK","Wrong format"))</f>
        <v/>
      </c>
      <c r="AX652" s="29">
        <f>IF(TRIM(H652)="","",IF(AND(LEN(UPPER(TRIM(H652)))=10,SUMPRODUCT(--ISERROR(FIND(MID(UPPER(TRIM(H652)),{1,2,3,4,10},1),"ABCDEFGHIJKLMNOPQRSTUVWXYZ")))=0,SUMPRODUCT(--ISERROR(FIND(MID(UPPER(TRIM(H652)),{5,6,7,8,9},1),"0123456789")))=0),"OK","Wrong format"))</f>
        <v/>
      </c>
      <c r="AY652" s="30">
        <f>IF(NOT(COUNTA(A652:AE652)&gt;0),"",IF(BE652&lt;&gt;"","✖ "&amp;LEFT(BE652,LEN(BE652)-2),IF(BD652&gt;0,"✔ Ready — client + "&amp;BD652&amp;" service(s)","✔ Ready — client only")))</f>
        <v/>
      </c>
      <c r="AZ652" s="31">
        <f>UPPER(SUBSTITUTE(TRIM(F652)," ",""))</f>
        <v/>
      </c>
      <c r="BA652" s="31">
        <f>UPPER(SUBSTITUTE(TRIM(E652)," ",""))</f>
        <v/>
      </c>
      <c r="BB652" s="31">
        <f>IF(D652&lt;&gt;"",D652,IFERROR(VLOOKUP(MID(AS652,4,1),Lists!$E$2:$F$8,2,FALSE),""))</f>
        <v/>
      </c>
      <c r="BC652" s="31">
        <f>IFERROR(VLOOKUP(BB652,Lists!$A$2:$C$12,3,FALSE),"")</f>
        <v/>
      </c>
      <c r="BD652" s="31">
        <f>COUNTIF(W652:AC652,"Yes")</f>
        <v/>
      </c>
      <c r="BE652" s="31">
        <f>IF(TRIM(B652)="","Legal name missing; ","")&amp;IF(AND(AV652&lt;&gt;"",AV652&lt;&gt;"OK"),"GSTIN: "&amp;AV652&amp;"; ","")&amp;IF(AND(AW652&lt;&gt;"",AW652&lt;&gt;"OK"),"PAN wrong format; ","")&amp;IF(AND(BA652&lt;&gt;"",LEN(AZ652)=15,MID(AZ652,3,10)&lt;&gt;BA652),"PAN does not match GSTIN; ","")&amp;IF(AND(AX652&lt;&gt;"",AX652&lt;&gt;"OK"),"TAN wrong format; ","")&amp;IF(AS652="","PAN missing; ","")&amp;IF(BB652="","Entity type missing; ","")&amp;IF(AND(AZ652&lt;&gt;"",COUNTIF($AZ$6:$AZ$1005,AZ652)&gt;1),"GSTIN repeated in this sheet; ","")&amp;IF(AND(AS652&lt;&gt;"",COUNTIF($AS$6:$AS$1005,AS652)&gt;1),"PAN repeated in this sheet (same client? put extra GSTINs in Other GSTINs); ","")&amp;IF(AND(BD652&gt;0,V652=""),"Financial year missing; ","")&amp;IF(AND(BD652=0,V652&lt;&gt;""),"Financial year given but no service is Yes; ","")&amp;IF(AND(W652="Yes",AZ652=""),"GST needs a GSTIN; ","")&amp;IF(AND(W652="Yes",X652=""),"GST return frequency missing; ","")&amp;IF(AND(Y652="Yes",TRIM(H652)=""),"TDS needs a TAN; ","")&amp;IF(AND(AA652="Yes",BC652&lt;&gt;"",BC652&lt;&gt;"company",BC652&lt;&gt;"llp"),"ROC is only for a company / LLP; ","")&amp;IF(AND(AA652="Yes",OR(BC652="company",BC652="llp"),TRIM(I652)=""),"ROC needs the CIN / LLPIN; ","")&amp;IF((TRIM(AF652)="")&lt;&gt;(TRIM(AG652)=""),"GST login needs both user ID and password; ","")&amp;IF((TRIM(AH652)="")&lt;&gt;(TRIM(AI652)=""),"Income-tax login needs both user ID and password; ","")&amp;IF((TRIM(AJ652)="")&lt;&gt;(TRIM(AK652)=""),"Income-tax login needs both user ID and password; ","")&amp;IF((TRIM(AL652)="")&lt;&gt;(TRIM(AM652)=""),"TRACES login needs both user ID and password; ","")&amp;IF((TRIM(AN652)="")&lt;&gt;(TRIM(AO652)=""),"MCA login needs both user ID and password; ","")&amp;IF((TRIM(AP652)="")&lt;&gt;(TRIM(AQ652)=""),"E-way bill login needs both user ID and password; ","")</f>
        <v/>
      </c>
    </row>
    <row r="653">
      <c r="A653" s="32" t="n"/>
      <c r="B653" s="33" t="n"/>
      <c r="C653" s="33" t="n"/>
      <c r="D653" s="33" t="n"/>
      <c r="E653" s="32" t="n"/>
      <c r="F653" s="32" t="n"/>
      <c r="G653" s="32" t="n"/>
      <c r="H653" s="32" t="n"/>
      <c r="I653" s="32" t="n"/>
      <c r="J653" s="34" t="n"/>
      <c r="K653" s="33" t="n"/>
      <c r="L653" s="32" t="n"/>
      <c r="M653" s="33" t="n"/>
      <c r="N653" s="33" t="n"/>
      <c r="O653" s="33" t="n"/>
      <c r="P653" s="32" t="n"/>
      <c r="Q653" s="33" t="n"/>
      <c r="R653" s="33" t="n"/>
      <c r="S653" s="33" t="n"/>
      <c r="T653" s="33" t="n"/>
      <c r="U653" s="32" t="n"/>
      <c r="V653" s="33" t="n"/>
      <c r="W653" s="33" t="n"/>
      <c r="X653" s="33" t="n"/>
      <c r="Y653" s="33" t="n"/>
      <c r="Z653" s="33" t="n"/>
      <c r="AA653" s="33" t="n"/>
      <c r="AB653" s="33" t="n"/>
      <c r="AC653" s="33" t="n"/>
      <c r="AD653" s="33" t="n"/>
      <c r="AE653" s="33" t="n"/>
      <c r="AF653" s="32" t="n"/>
      <c r="AG653" s="32" t="n"/>
      <c r="AH653" s="32" t="n"/>
      <c r="AI653" s="32" t="n"/>
      <c r="AJ653" s="32" t="n"/>
      <c r="AK653" s="32" t="n"/>
      <c r="AL653" s="32" t="n"/>
      <c r="AM653" s="32" t="n"/>
      <c r="AN653" s="32" t="n"/>
      <c r="AO653" s="32" t="n"/>
      <c r="AP653" s="32" t="n"/>
      <c r="AQ653" s="32" t="n"/>
      <c r="AR653" s="29">
        <f>IF(NOT(COUNTA(A653:AE653)&gt;0),"",IF(A653="","New client","Update"))</f>
        <v/>
      </c>
      <c r="AS653" s="29">
        <f>IF(BA653&lt;&gt;"",BA653,IF(LEN(AZ653)=15,MID(AZ653,3,10),""))</f>
        <v/>
      </c>
      <c r="AT653" s="29">
        <f>IF(BB653="","",BB653&amp;IF(D653="","  (guessed from PAN)",""))</f>
        <v/>
      </c>
      <c r="AU653" s="29">
        <f>IF(AZ653="","",IFERROR(INDEX(Lists!$L$2:$L$38,MATCH(LEFT(AZ653,2),Lists!$K$2:$K$38,0)),"Unknown code"))</f>
        <v/>
      </c>
      <c r="AV653" s="29">
        <f>IF(AZ653="","",IFERROR(IF(NOT(AND(LEN(AZ653)=15,ISNUMBER(MATCH(LEFT(AZ653,2),Lists!$K$2:$K$38,0)),SUMPRODUCT(--ISERROR(FIND(MID(MID(AZ653,3,10),{1,2,3,4,5,10},1),"ABCDEFGHIJKLMNOPQRSTUVWXYZ")))=0,SUMPRODUCT(--ISERROR(FIND(MID(MID(AZ653,3,10),{6,7,8,9},1),"0123456789")))=0,ISNUMBER(FIND(MID(AZ653,13,1),"123456789ABCDEFGHIJKLMNOPQRSTUVWXYZ")),MID(AZ653,14,1)="Z")),"Wrong format",IF(MID("0123456789ABCDEFGHIJKLMNOPQRSTUVWXYZ",MOD(36-MOD(SUMPRODUCT(INT((FIND(MID(AZ653,{1,2,3,4,5,6,7,8,9,10,11,12,13,14},1),"0123456789ABCDEFGHIJKLMNOPQRSTUVWXYZ")-1)*{1,2,1,2,1,2,1,2,1,2,1,2,1,2}/36)+MOD((FIND(MID(AZ653,{1,2,3,4,5,6,7,8,9,10,11,12,13,14},1),"0123456789ABCDEFGHIJKLMNOPQRSTUVWXYZ")-1)*{1,2,1,2,1,2,1,2,1,2,1,2,1,2},36)),36),36)+1,1)=MID(AZ653,15,1),"OK","Typo? check digit wrong")),"Wrong format"))</f>
        <v/>
      </c>
      <c r="AW653" s="29">
        <f>IF(BA653="","",IF(AND(LEN(BA653)=10,SUMPRODUCT(--ISERROR(FIND(MID(BA653,{1,2,3,4,5,10},1),"ABCDEFGHIJKLMNOPQRSTUVWXYZ")))=0,SUMPRODUCT(--ISERROR(FIND(MID(BA653,{6,7,8,9},1),"0123456789")))=0),"OK","Wrong format"))</f>
        <v/>
      </c>
      <c r="AX653" s="29">
        <f>IF(TRIM(H653)="","",IF(AND(LEN(UPPER(TRIM(H653)))=10,SUMPRODUCT(--ISERROR(FIND(MID(UPPER(TRIM(H653)),{1,2,3,4,10},1),"ABCDEFGHIJKLMNOPQRSTUVWXYZ")))=0,SUMPRODUCT(--ISERROR(FIND(MID(UPPER(TRIM(H653)),{5,6,7,8,9},1),"0123456789")))=0),"OK","Wrong format"))</f>
        <v/>
      </c>
      <c r="AY653" s="30">
        <f>IF(NOT(COUNTA(A653:AE653)&gt;0),"",IF(BE653&lt;&gt;"","✖ "&amp;LEFT(BE653,LEN(BE653)-2),IF(BD653&gt;0,"✔ Ready — client + "&amp;BD653&amp;" service(s)","✔ Ready — client only")))</f>
        <v/>
      </c>
      <c r="AZ653" s="31">
        <f>UPPER(SUBSTITUTE(TRIM(F653)," ",""))</f>
        <v/>
      </c>
      <c r="BA653" s="31">
        <f>UPPER(SUBSTITUTE(TRIM(E653)," ",""))</f>
        <v/>
      </c>
      <c r="BB653" s="31">
        <f>IF(D653&lt;&gt;"",D653,IFERROR(VLOOKUP(MID(AS653,4,1),Lists!$E$2:$F$8,2,FALSE),""))</f>
        <v/>
      </c>
      <c r="BC653" s="31">
        <f>IFERROR(VLOOKUP(BB653,Lists!$A$2:$C$12,3,FALSE),"")</f>
        <v/>
      </c>
      <c r="BD653" s="31">
        <f>COUNTIF(W653:AC653,"Yes")</f>
        <v/>
      </c>
      <c r="BE653" s="31">
        <f>IF(TRIM(B653)="","Legal name missing; ","")&amp;IF(AND(AV653&lt;&gt;"",AV653&lt;&gt;"OK"),"GSTIN: "&amp;AV653&amp;"; ","")&amp;IF(AND(AW653&lt;&gt;"",AW653&lt;&gt;"OK"),"PAN wrong format; ","")&amp;IF(AND(BA653&lt;&gt;"",LEN(AZ653)=15,MID(AZ653,3,10)&lt;&gt;BA653),"PAN does not match GSTIN; ","")&amp;IF(AND(AX653&lt;&gt;"",AX653&lt;&gt;"OK"),"TAN wrong format; ","")&amp;IF(AS653="","PAN missing; ","")&amp;IF(BB653="","Entity type missing; ","")&amp;IF(AND(AZ653&lt;&gt;"",COUNTIF($AZ$6:$AZ$1005,AZ653)&gt;1),"GSTIN repeated in this sheet; ","")&amp;IF(AND(AS653&lt;&gt;"",COUNTIF($AS$6:$AS$1005,AS653)&gt;1),"PAN repeated in this sheet (same client? put extra GSTINs in Other GSTINs); ","")&amp;IF(AND(BD653&gt;0,V653=""),"Financial year missing; ","")&amp;IF(AND(BD653=0,V653&lt;&gt;""),"Financial year given but no service is Yes; ","")&amp;IF(AND(W653="Yes",AZ653=""),"GST needs a GSTIN; ","")&amp;IF(AND(W653="Yes",X653=""),"GST return frequency missing; ","")&amp;IF(AND(Y653="Yes",TRIM(H653)=""),"TDS needs a TAN; ","")&amp;IF(AND(AA653="Yes",BC653&lt;&gt;"",BC653&lt;&gt;"company",BC653&lt;&gt;"llp"),"ROC is only for a company / LLP; ","")&amp;IF(AND(AA653="Yes",OR(BC653="company",BC653="llp"),TRIM(I653)=""),"ROC needs the CIN / LLPIN; ","")&amp;IF((TRIM(AF653)="")&lt;&gt;(TRIM(AG653)=""),"GST login needs both user ID and password; ","")&amp;IF((TRIM(AH653)="")&lt;&gt;(TRIM(AI653)=""),"Income-tax login needs both user ID and password; ","")&amp;IF((TRIM(AJ653)="")&lt;&gt;(TRIM(AK653)=""),"Income-tax login needs both user ID and password; ","")&amp;IF((TRIM(AL653)="")&lt;&gt;(TRIM(AM653)=""),"TRACES login needs both user ID and password; ","")&amp;IF((TRIM(AN653)="")&lt;&gt;(TRIM(AO653)=""),"MCA login needs both user ID and password; ","")&amp;IF((TRIM(AP653)="")&lt;&gt;(TRIM(AQ653)=""),"E-way bill login needs both user ID and password; ","")</f>
        <v/>
      </c>
    </row>
    <row r="654">
      <c r="A654" s="32" t="n"/>
      <c r="B654" s="33" t="n"/>
      <c r="C654" s="33" t="n"/>
      <c r="D654" s="33" t="n"/>
      <c r="E654" s="32" t="n"/>
      <c r="F654" s="32" t="n"/>
      <c r="G654" s="32" t="n"/>
      <c r="H654" s="32" t="n"/>
      <c r="I654" s="32" t="n"/>
      <c r="J654" s="34" t="n"/>
      <c r="K654" s="33" t="n"/>
      <c r="L654" s="32" t="n"/>
      <c r="M654" s="33" t="n"/>
      <c r="N654" s="33" t="n"/>
      <c r="O654" s="33" t="n"/>
      <c r="P654" s="32" t="n"/>
      <c r="Q654" s="33" t="n"/>
      <c r="R654" s="33" t="n"/>
      <c r="S654" s="33" t="n"/>
      <c r="T654" s="33" t="n"/>
      <c r="U654" s="32" t="n"/>
      <c r="V654" s="33" t="n"/>
      <c r="W654" s="33" t="n"/>
      <c r="X654" s="33" t="n"/>
      <c r="Y654" s="33" t="n"/>
      <c r="Z654" s="33" t="n"/>
      <c r="AA654" s="33" t="n"/>
      <c r="AB654" s="33" t="n"/>
      <c r="AC654" s="33" t="n"/>
      <c r="AD654" s="33" t="n"/>
      <c r="AE654" s="33" t="n"/>
      <c r="AF654" s="32" t="n"/>
      <c r="AG654" s="32" t="n"/>
      <c r="AH654" s="32" t="n"/>
      <c r="AI654" s="32" t="n"/>
      <c r="AJ654" s="32" t="n"/>
      <c r="AK654" s="32" t="n"/>
      <c r="AL654" s="32" t="n"/>
      <c r="AM654" s="32" t="n"/>
      <c r="AN654" s="32" t="n"/>
      <c r="AO654" s="32" t="n"/>
      <c r="AP654" s="32" t="n"/>
      <c r="AQ654" s="32" t="n"/>
      <c r="AR654" s="29">
        <f>IF(NOT(COUNTA(A654:AE654)&gt;0),"",IF(A654="","New client","Update"))</f>
        <v/>
      </c>
      <c r="AS654" s="29">
        <f>IF(BA654&lt;&gt;"",BA654,IF(LEN(AZ654)=15,MID(AZ654,3,10),""))</f>
        <v/>
      </c>
      <c r="AT654" s="29">
        <f>IF(BB654="","",BB654&amp;IF(D654="","  (guessed from PAN)",""))</f>
        <v/>
      </c>
      <c r="AU654" s="29">
        <f>IF(AZ654="","",IFERROR(INDEX(Lists!$L$2:$L$38,MATCH(LEFT(AZ654,2),Lists!$K$2:$K$38,0)),"Unknown code"))</f>
        <v/>
      </c>
      <c r="AV654" s="29">
        <f>IF(AZ654="","",IFERROR(IF(NOT(AND(LEN(AZ654)=15,ISNUMBER(MATCH(LEFT(AZ654,2),Lists!$K$2:$K$38,0)),SUMPRODUCT(--ISERROR(FIND(MID(MID(AZ654,3,10),{1,2,3,4,5,10},1),"ABCDEFGHIJKLMNOPQRSTUVWXYZ")))=0,SUMPRODUCT(--ISERROR(FIND(MID(MID(AZ654,3,10),{6,7,8,9},1),"0123456789")))=0,ISNUMBER(FIND(MID(AZ654,13,1),"123456789ABCDEFGHIJKLMNOPQRSTUVWXYZ")),MID(AZ654,14,1)="Z")),"Wrong format",IF(MID("0123456789ABCDEFGHIJKLMNOPQRSTUVWXYZ",MOD(36-MOD(SUMPRODUCT(INT((FIND(MID(AZ654,{1,2,3,4,5,6,7,8,9,10,11,12,13,14},1),"0123456789ABCDEFGHIJKLMNOPQRSTUVWXYZ")-1)*{1,2,1,2,1,2,1,2,1,2,1,2,1,2}/36)+MOD((FIND(MID(AZ654,{1,2,3,4,5,6,7,8,9,10,11,12,13,14},1),"0123456789ABCDEFGHIJKLMNOPQRSTUVWXYZ")-1)*{1,2,1,2,1,2,1,2,1,2,1,2,1,2},36)),36),36)+1,1)=MID(AZ654,15,1),"OK","Typo? check digit wrong")),"Wrong format"))</f>
        <v/>
      </c>
      <c r="AW654" s="29">
        <f>IF(BA654="","",IF(AND(LEN(BA654)=10,SUMPRODUCT(--ISERROR(FIND(MID(BA654,{1,2,3,4,5,10},1),"ABCDEFGHIJKLMNOPQRSTUVWXYZ")))=0,SUMPRODUCT(--ISERROR(FIND(MID(BA654,{6,7,8,9},1),"0123456789")))=0),"OK","Wrong format"))</f>
        <v/>
      </c>
      <c r="AX654" s="29">
        <f>IF(TRIM(H654)="","",IF(AND(LEN(UPPER(TRIM(H654)))=10,SUMPRODUCT(--ISERROR(FIND(MID(UPPER(TRIM(H654)),{1,2,3,4,10},1),"ABCDEFGHIJKLMNOPQRSTUVWXYZ")))=0,SUMPRODUCT(--ISERROR(FIND(MID(UPPER(TRIM(H654)),{5,6,7,8,9},1),"0123456789")))=0),"OK","Wrong format"))</f>
        <v/>
      </c>
      <c r="AY654" s="30">
        <f>IF(NOT(COUNTA(A654:AE654)&gt;0),"",IF(BE654&lt;&gt;"","✖ "&amp;LEFT(BE654,LEN(BE654)-2),IF(BD654&gt;0,"✔ Ready — client + "&amp;BD654&amp;" service(s)","✔ Ready — client only")))</f>
        <v/>
      </c>
      <c r="AZ654" s="31">
        <f>UPPER(SUBSTITUTE(TRIM(F654)," ",""))</f>
        <v/>
      </c>
      <c r="BA654" s="31">
        <f>UPPER(SUBSTITUTE(TRIM(E654)," ",""))</f>
        <v/>
      </c>
      <c r="BB654" s="31">
        <f>IF(D654&lt;&gt;"",D654,IFERROR(VLOOKUP(MID(AS654,4,1),Lists!$E$2:$F$8,2,FALSE),""))</f>
        <v/>
      </c>
      <c r="BC654" s="31">
        <f>IFERROR(VLOOKUP(BB654,Lists!$A$2:$C$12,3,FALSE),"")</f>
        <v/>
      </c>
      <c r="BD654" s="31">
        <f>COUNTIF(W654:AC654,"Yes")</f>
        <v/>
      </c>
      <c r="BE654" s="31">
        <f>IF(TRIM(B654)="","Legal name missing; ","")&amp;IF(AND(AV654&lt;&gt;"",AV654&lt;&gt;"OK"),"GSTIN: "&amp;AV654&amp;"; ","")&amp;IF(AND(AW654&lt;&gt;"",AW654&lt;&gt;"OK"),"PAN wrong format; ","")&amp;IF(AND(BA654&lt;&gt;"",LEN(AZ654)=15,MID(AZ654,3,10)&lt;&gt;BA654),"PAN does not match GSTIN; ","")&amp;IF(AND(AX654&lt;&gt;"",AX654&lt;&gt;"OK"),"TAN wrong format; ","")&amp;IF(AS654="","PAN missing; ","")&amp;IF(BB654="","Entity type missing; ","")&amp;IF(AND(AZ654&lt;&gt;"",COUNTIF($AZ$6:$AZ$1005,AZ654)&gt;1),"GSTIN repeated in this sheet; ","")&amp;IF(AND(AS654&lt;&gt;"",COUNTIF($AS$6:$AS$1005,AS654)&gt;1),"PAN repeated in this sheet (same client? put extra GSTINs in Other GSTINs); ","")&amp;IF(AND(BD654&gt;0,V654=""),"Financial year missing; ","")&amp;IF(AND(BD654=0,V654&lt;&gt;""),"Financial year given but no service is Yes; ","")&amp;IF(AND(W654="Yes",AZ654=""),"GST needs a GSTIN; ","")&amp;IF(AND(W654="Yes",X654=""),"GST return frequency missing; ","")&amp;IF(AND(Y654="Yes",TRIM(H654)=""),"TDS needs a TAN; ","")&amp;IF(AND(AA654="Yes",BC654&lt;&gt;"",BC654&lt;&gt;"company",BC654&lt;&gt;"llp"),"ROC is only for a company / LLP; ","")&amp;IF(AND(AA654="Yes",OR(BC654="company",BC654="llp"),TRIM(I654)=""),"ROC needs the CIN / LLPIN; ","")&amp;IF((TRIM(AF654)="")&lt;&gt;(TRIM(AG654)=""),"GST login needs both user ID and password; ","")&amp;IF((TRIM(AH654)="")&lt;&gt;(TRIM(AI654)=""),"Income-tax login needs both user ID and password; ","")&amp;IF((TRIM(AJ654)="")&lt;&gt;(TRIM(AK654)=""),"Income-tax login needs both user ID and password; ","")&amp;IF((TRIM(AL654)="")&lt;&gt;(TRIM(AM654)=""),"TRACES login needs both user ID and password; ","")&amp;IF((TRIM(AN654)="")&lt;&gt;(TRIM(AO654)=""),"MCA login needs both user ID and password; ","")&amp;IF((TRIM(AP654)="")&lt;&gt;(TRIM(AQ654)=""),"E-way bill login needs both user ID and password; ","")</f>
        <v/>
      </c>
    </row>
    <row r="655">
      <c r="A655" s="32" t="n"/>
      <c r="B655" s="33" t="n"/>
      <c r="C655" s="33" t="n"/>
      <c r="D655" s="33" t="n"/>
      <c r="E655" s="32" t="n"/>
      <c r="F655" s="32" t="n"/>
      <c r="G655" s="32" t="n"/>
      <c r="H655" s="32" t="n"/>
      <c r="I655" s="32" t="n"/>
      <c r="J655" s="34" t="n"/>
      <c r="K655" s="33" t="n"/>
      <c r="L655" s="32" t="n"/>
      <c r="M655" s="33" t="n"/>
      <c r="N655" s="33" t="n"/>
      <c r="O655" s="33" t="n"/>
      <c r="P655" s="32" t="n"/>
      <c r="Q655" s="33" t="n"/>
      <c r="R655" s="33" t="n"/>
      <c r="S655" s="33" t="n"/>
      <c r="T655" s="33" t="n"/>
      <c r="U655" s="32" t="n"/>
      <c r="V655" s="33" t="n"/>
      <c r="W655" s="33" t="n"/>
      <c r="X655" s="33" t="n"/>
      <c r="Y655" s="33" t="n"/>
      <c r="Z655" s="33" t="n"/>
      <c r="AA655" s="33" t="n"/>
      <c r="AB655" s="33" t="n"/>
      <c r="AC655" s="33" t="n"/>
      <c r="AD655" s="33" t="n"/>
      <c r="AE655" s="33" t="n"/>
      <c r="AF655" s="32" t="n"/>
      <c r="AG655" s="32" t="n"/>
      <c r="AH655" s="32" t="n"/>
      <c r="AI655" s="32" t="n"/>
      <c r="AJ655" s="32" t="n"/>
      <c r="AK655" s="32" t="n"/>
      <c r="AL655" s="32" t="n"/>
      <c r="AM655" s="32" t="n"/>
      <c r="AN655" s="32" t="n"/>
      <c r="AO655" s="32" t="n"/>
      <c r="AP655" s="32" t="n"/>
      <c r="AQ655" s="32" t="n"/>
      <c r="AR655" s="29">
        <f>IF(NOT(COUNTA(A655:AE655)&gt;0),"",IF(A655="","New client","Update"))</f>
        <v/>
      </c>
      <c r="AS655" s="29">
        <f>IF(BA655&lt;&gt;"",BA655,IF(LEN(AZ655)=15,MID(AZ655,3,10),""))</f>
        <v/>
      </c>
      <c r="AT655" s="29">
        <f>IF(BB655="","",BB655&amp;IF(D655="","  (guessed from PAN)",""))</f>
        <v/>
      </c>
      <c r="AU655" s="29">
        <f>IF(AZ655="","",IFERROR(INDEX(Lists!$L$2:$L$38,MATCH(LEFT(AZ655,2),Lists!$K$2:$K$38,0)),"Unknown code"))</f>
        <v/>
      </c>
      <c r="AV655" s="29">
        <f>IF(AZ655="","",IFERROR(IF(NOT(AND(LEN(AZ655)=15,ISNUMBER(MATCH(LEFT(AZ655,2),Lists!$K$2:$K$38,0)),SUMPRODUCT(--ISERROR(FIND(MID(MID(AZ655,3,10),{1,2,3,4,5,10},1),"ABCDEFGHIJKLMNOPQRSTUVWXYZ")))=0,SUMPRODUCT(--ISERROR(FIND(MID(MID(AZ655,3,10),{6,7,8,9},1),"0123456789")))=0,ISNUMBER(FIND(MID(AZ655,13,1),"123456789ABCDEFGHIJKLMNOPQRSTUVWXYZ")),MID(AZ655,14,1)="Z")),"Wrong format",IF(MID("0123456789ABCDEFGHIJKLMNOPQRSTUVWXYZ",MOD(36-MOD(SUMPRODUCT(INT((FIND(MID(AZ655,{1,2,3,4,5,6,7,8,9,10,11,12,13,14},1),"0123456789ABCDEFGHIJKLMNOPQRSTUVWXYZ")-1)*{1,2,1,2,1,2,1,2,1,2,1,2,1,2}/36)+MOD((FIND(MID(AZ655,{1,2,3,4,5,6,7,8,9,10,11,12,13,14},1),"0123456789ABCDEFGHIJKLMNOPQRSTUVWXYZ")-1)*{1,2,1,2,1,2,1,2,1,2,1,2,1,2},36)),36),36)+1,1)=MID(AZ655,15,1),"OK","Typo? check digit wrong")),"Wrong format"))</f>
        <v/>
      </c>
      <c r="AW655" s="29">
        <f>IF(BA655="","",IF(AND(LEN(BA655)=10,SUMPRODUCT(--ISERROR(FIND(MID(BA655,{1,2,3,4,5,10},1),"ABCDEFGHIJKLMNOPQRSTUVWXYZ")))=0,SUMPRODUCT(--ISERROR(FIND(MID(BA655,{6,7,8,9},1),"0123456789")))=0),"OK","Wrong format"))</f>
        <v/>
      </c>
      <c r="AX655" s="29">
        <f>IF(TRIM(H655)="","",IF(AND(LEN(UPPER(TRIM(H655)))=10,SUMPRODUCT(--ISERROR(FIND(MID(UPPER(TRIM(H655)),{1,2,3,4,10},1),"ABCDEFGHIJKLMNOPQRSTUVWXYZ")))=0,SUMPRODUCT(--ISERROR(FIND(MID(UPPER(TRIM(H655)),{5,6,7,8,9},1),"0123456789")))=0),"OK","Wrong format"))</f>
        <v/>
      </c>
      <c r="AY655" s="30">
        <f>IF(NOT(COUNTA(A655:AE655)&gt;0),"",IF(BE655&lt;&gt;"","✖ "&amp;LEFT(BE655,LEN(BE655)-2),IF(BD655&gt;0,"✔ Ready — client + "&amp;BD655&amp;" service(s)","✔ Ready — client only")))</f>
        <v/>
      </c>
      <c r="AZ655" s="31">
        <f>UPPER(SUBSTITUTE(TRIM(F655)," ",""))</f>
        <v/>
      </c>
      <c r="BA655" s="31">
        <f>UPPER(SUBSTITUTE(TRIM(E655)," ",""))</f>
        <v/>
      </c>
      <c r="BB655" s="31">
        <f>IF(D655&lt;&gt;"",D655,IFERROR(VLOOKUP(MID(AS655,4,1),Lists!$E$2:$F$8,2,FALSE),""))</f>
        <v/>
      </c>
      <c r="BC655" s="31">
        <f>IFERROR(VLOOKUP(BB655,Lists!$A$2:$C$12,3,FALSE),"")</f>
        <v/>
      </c>
      <c r="BD655" s="31">
        <f>COUNTIF(W655:AC655,"Yes")</f>
        <v/>
      </c>
      <c r="BE655" s="31">
        <f>IF(TRIM(B655)="","Legal name missing; ","")&amp;IF(AND(AV655&lt;&gt;"",AV655&lt;&gt;"OK"),"GSTIN: "&amp;AV655&amp;"; ","")&amp;IF(AND(AW655&lt;&gt;"",AW655&lt;&gt;"OK"),"PAN wrong format; ","")&amp;IF(AND(BA655&lt;&gt;"",LEN(AZ655)=15,MID(AZ655,3,10)&lt;&gt;BA655),"PAN does not match GSTIN; ","")&amp;IF(AND(AX655&lt;&gt;"",AX655&lt;&gt;"OK"),"TAN wrong format; ","")&amp;IF(AS655="","PAN missing; ","")&amp;IF(BB655="","Entity type missing; ","")&amp;IF(AND(AZ655&lt;&gt;"",COUNTIF($AZ$6:$AZ$1005,AZ655)&gt;1),"GSTIN repeated in this sheet; ","")&amp;IF(AND(AS655&lt;&gt;"",COUNTIF($AS$6:$AS$1005,AS655)&gt;1),"PAN repeated in this sheet (same client? put extra GSTINs in Other GSTINs); ","")&amp;IF(AND(BD655&gt;0,V655=""),"Financial year missing; ","")&amp;IF(AND(BD655=0,V655&lt;&gt;""),"Financial year given but no service is Yes; ","")&amp;IF(AND(W655="Yes",AZ655=""),"GST needs a GSTIN; ","")&amp;IF(AND(W655="Yes",X655=""),"GST return frequency missing; ","")&amp;IF(AND(Y655="Yes",TRIM(H655)=""),"TDS needs a TAN; ","")&amp;IF(AND(AA655="Yes",BC655&lt;&gt;"",BC655&lt;&gt;"company",BC655&lt;&gt;"llp"),"ROC is only for a company / LLP; ","")&amp;IF(AND(AA655="Yes",OR(BC655="company",BC655="llp"),TRIM(I655)=""),"ROC needs the CIN / LLPIN; ","")&amp;IF((TRIM(AF655)="")&lt;&gt;(TRIM(AG655)=""),"GST login needs both user ID and password; ","")&amp;IF((TRIM(AH655)="")&lt;&gt;(TRIM(AI655)=""),"Income-tax login needs both user ID and password; ","")&amp;IF((TRIM(AJ655)="")&lt;&gt;(TRIM(AK655)=""),"Income-tax login needs both user ID and password; ","")&amp;IF((TRIM(AL655)="")&lt;&gt;(TRIM(AM655)=""),"TRACES login needs both user ID and password; ","")&amp;IF((TRIM(AN655)="")&lt;&gt;(TRIM(AO655)=""),"MCA login needs both user ID and password; ","")&amp;IF((TRIM(AP655)="")&lt;&gt;(TRIM(AQ655)=""),"E-way bill login needs both user ID and password; ","")</f>
        <v/>
      </c>
    </row>
    <row r="656">
      <c r="A656" s="32" t="n"/>
      <c r="B656" s="33" t="n"/>
      <c r="C656" s="33" t="n"/>
      <c r="D656" s="33" t="n"/>
      <c r="E656" s="32" t="n"/>
      <c r="F656" s="32" t="n"/>
      <c r="G656" s="32" t="n"/>
      <c r="H656" s="32" t="n"/>
      <c r="I656" s="32" t="n"/>
      <c r="J656" s="34" t="n"/>
      <c r="K656" s="33" t="n"/>
      <c r="L656" s="32" t="n"/>
      <c r="M656" s="33" t="n"/>
      <c r="N656" s="33" t="n"/>
      <c r="O656" s="33" t="n"/>
      <c r="P656" s="32" t="n"/>
      <c r="Q656" s="33" t="n"/>
      <c r="R656" s="33" t="n"/>
      <c r="S656" s="33" t="n"/>
      <c r="T656" s="33" t="n"/>
      <c r="U656" s="32" t="n"/>
      <c r="V656" s="33" t="n"/>
      <c r="W656" s="33" t="n"/>
      <c r="X656" s="33" t="n"/>
      <c r="Y656" s="33" t="n"/>
      <c r="Z656" s="33" t="n"/>
      <c r="AA656" s="33" t="n"/>
      <c r="AB656" s="33" t="n"/>
      <c r="AC656" s="33" t="n"/>
      <c r="AD656" s="33" t="n"/>
      <c r="AE656" s="33" t="n"/>
      <c r="AF656" s="32" t="n"/>
      <c r="AG656" s="32" t="n"/>
      <c r="AH656" s="32" t="n"/>
      <c r="AI656" s="32" t="n"/>
      <c r="AJ656" s="32" t="n"/>
      <c r="AK656" s="32" t="n"/>
      <c r="AL656" s="32" t="n"/>
      <c r="AM656" s="32" t="n"/>
      <c r="AN656" s="32" t="n"/>
      <c r="AO656" s="32" t="n"/>
      <c r="AP656" s="32" t="n"/>
      <c r="AQ656" s="32" t="n"/>
      <c r="AR656" s="29">
        <f>IF(NOT(COUNTA(A656:AE656)&gt;0),"",IF(A656="","New client","Update"))</f>
        <v/>
      </c>
      <c r="AS656" s="29">
        <f>IF(BA656&lt;&gt;"",BA656,IF(LEN(AZ656)=15,MID(AZ656,3,10),""))</f>
        <v/>
      </c>
      <c r="AT656" s="29">
        <f>IF(BB656="","",BB656&amp;IF(D656="","  (guessed from PAN)",""))</f>
        <v/>
      </c>
      <c r="AU656" s="29">
        <f>IF(AZ656="","",IFERROR(INDEX(Lists!$L$2:$L$38,MATCH(LEFT(AZ656,2),Lists!$K$2:$K$38,0)),"Unknown code"))</f>
        <v/>
      </c>
      <c r="AV656" s="29">
        <f>IF(AZ656="","",IFERROR(IF(NOT(AND(LEN(AZ656)=15,ISNUMBER(MATCH(LEFT(AZ656,2),Lists!$K$2:$K$38,0)),SUMPRODUCT(--ISERROR(FIND(MID(MID(AZ656,3,10),{1,2,3,4,5,10},1),"ABCDEFGHIJKLMNOPQRSTUVWXYZ")))=0,SUMPRODUCT(--ISERROR(FIND(MID(MID(AZ656,3,10),{6,7,8,9},1),"0123456789")))=0,ISNUMBER(FIND(MID(AZ656,13,1),"123456789ABCDEFGHIJKLMNOPQRSTUVWXYZ")),MID(AZ656,14,1)="Z")),"Wrong format",IF(MID("0123456789ABCDEFGHIJKLMNOPQRSTUVWXYZ",MOD(36-MOD(SUMPRODUCT(INT((FIND(MID(AZ656,{1,2,3,4,5,6,7,8,9,10,11,12,13,14},1),"0123456789ABCDEFGHIJKLMNOPQRSTUVWXYZ")-1)*{1,2,1,2,1,2,1,2,1,2,1,2,1,2}/36)+MOD((FIND(MID(AZ656,{1,2,3,4,5,6,7,8,9,10,11,12,13,14},1),"0123456789ABCDEFGHIJKLMNOPQRSTUVWXYZ")-1)*{1,2,1,2,1,2,1,2,1,2,1,2,1,2},36)),36),36)+1,1)=MID(AZ656,15,1),"OK","Typo? check digit wrong")),"Wrong format"))</f>
        <v/>
      </c>
      <c r="AW656" s="29">
        <f>IF(BA656="","",IF(AND(LEN(BA656)=10,SUMPRODUCT(--ISERROR(FIND(MID(BA656,{1,2,3,4,5,10},1),"ABCDEFGHIJKLMNOPQRSTUVWXYZ")))=0,SUMPRODUCT(--ISERROR(FIND(MID(BA656,{6,7,8,9},1),"0123456789")))=0),"OK","Wrong format"))</f>
        <v/>
      </c>
      <c r="AX656" s="29">
        <f>IF(TRIM(H656)="","",IF(AND(LEN(UPPER(TRIM(H656)))=10,SUMPRODUCT(--ISERROR(FIND(MID(UPPER(TRIM(H656)),{1,2,3,4,10},1),"ABCDEFGHIJKLMNOPQRSTUVWXYZ")))=0,SUMPRODUCT(--ISERROR(FIND(MID(UPPER(TRIM(H656)),{5,6,7,8,9},1),"0123456789")))=0),"OK","Wrong format"))</f>
        <v/>
      </c>
      <c r="AY656" s="30">
        <f>IF(NOT(COUNTA(A656:AE656)&gt;0),"",IF(BE656&lt;&gt;"","✖ "&amp;LEFT(BE656,LEN(BE656)-2),IF(BD656&gt;0,"✔ Ready — client + "&amp;BD656&amp;" service(s)","✔ Ready — client only")))</f>
        <v/>
      </c>
      <c r="AZ656" s="31">
        <f>UPPER(SUBSTITUTE(TRIM(F656)," ",""))</f>
        <v/>
      </c>
      <c r="BA656" s="31">
        <f>UPPER(SUBSTITUTE(TRIM(E656)," ",""))</f>
        <v/>
      </c>
      <c r="BB656" s="31">
        <f>IF(D656&lt;&gt;"",D656,IFERROR(VLOOKUP(MID(AS656,4,1),Lists!$E$2:$F$8,2,FALSE),""))</f>
        <v/>
      </c>
      <c r="BC656" s="31">
        <f>IFERROR(VLOOKUP(BB656,Lists!$A$2:$C$12,3,FALSE),"")</f>
        <v/>
      </c>
      <c r="BD656" s="31">
        <f>COUNTIF(W656:AC656,"Yes")</f>
        <v/>
      </c>
      <c r="BE656" s="31">
        <f>IF(TRIM(B656)="","Legal name missing; ","")&amp;IF(AND(AV656&lt;&gt;"",AV656&lt;&gt;"OK"),"GSTIN: "&amp;AV656&amp;"; ","")&amp;IF(AND(AW656&lt;&gt;"",AW656&lt;&gt;"OK"),"PAN wrong format; ","")&amp;IF(AND(BA656&lt;&gt;"",LEN(AZ656)=15,MID(AZ656,3,10)&lt;&gt;BA656),"PAN does not match GSTIN; ","")&amp;IF(AND(AX656&lt;&gt;"",AX656&lt;&gt;"OK"),"TAN wrong format; ","")&amp;IF(AS656="","PAN missing; ","")&amp;IF(BB656="","Entity type missing; ","")&amp;IF(AND(AZ656&lt;&gt;"",COUNTIF($AZ$6:$AZ$1005,AZ656)&gt;1),"GSTIN repeated in this sheet; ","")&amp;IF(AND(AS656&lt;&gt;"",COUNTIF($AS$6:$AS$1005,AS656)&gt;1),"PAN repeated in this sheet (same client? put extra GSTINs in Other GSTINs); ","")&amp;IF(AND(BD656&gt;0,V656=""),"Financial year missing; ","")&amp;IF(AND(BD656=0,V656&lt;&gt;""),"Financial year given but no service is Yes; ","")&amp;IF(AND(W656="Yes",AZ656=""),"GST needs a GSTIN; ","")&amp;IF(AND(W656="Yes",X656=""),"GST return frequency missing; ","")&amp;IF(AND(Y656="Yes",TRIM(H656)=""),"TDS needs a TAN; ","")&amp;IF(AND(AA656="Yes",BC656&lt;&gt;"",BC656&lt;&gt;"company",BC656&lt;&gt;"llp"),"ROC is only for a company / LLP; ","")&amp;IF(AND(AA656="Yes",OR(BC656="company",BC656="llp"),TRIM(I656)=""),"ROC needs the CIN / LLPIN; ","")&amp;IF((TRIM(AF656)="")&lt;&gt;(TRIM(AG656)=""),"GST login needs both user ID and password; ","")&amp;IF((TRIM(AH656)="")&lt;&gt;(TRIM(AI656)=""),"Income-tax login needs both user ID and password; ","")&amp;IF((TRIM(AJ656)="")&lt;&gt;(TRIM(AK656)=""),"Income-tax login needs both user ID and password; ","")&amp;IF((TRIM(AL656)="")&lt;&gt;(TRIM(AM656)=""),"TRACES login needs both user ID and password; ","")&amp;IF((TRIM(AN656)="")&lt;&gt;(TRIM(AO656)=""),"MCA login needs both user ID and password; ","")&amp;IF((TRIM(AP656)="")&lt;&gt;(TRIM(AQ656)=""),"E-way bill login needs both user ID and password; ","")</f>
        <v/>
      </c>
    </row>
    <row r="657">
      <c r="A657" s="32" t="n"/>
      <c r="B657" s="33" t="n"/>
      <c r="C657" s="33" t="n"/>
      <c r="D657" s="33" t="n"/>
      <c r="E657" s="32" t="n"/>
      <c r="F657" s="32" t="n"/>
      <c r="G657" s="32" t="n"/>
      <c r="H657" s="32" t="n"/>
      <c r="I657" s="32" t="n"/>
      <c r="J657" s="34" t="n"/>
      <c r="K657" s="33" t="n"/>
      <c r="L657" s="32" t="n"/>
      <c r="M657" s="33" t="n"/>
      <c r="N657" s="33" t="n"/>
      <c r="O657" s="33" t="n"/>
      <c r="P657" s="32" t="n"/>
      <c r="Q657" s="33" t="n"/>
      <c r="R657" s="33" t="n"/>
      <c r="S657" s="33" t="n"/>
      <c r="T657" s="33" t="n"/>
      <c r="U657" s="32" t="n"/>
      <c r="V657" s="33" t="n"/>
      <c r="W657" s="33" t="n"/>
      <c r="X657" s="33" t="n"/>
      <c r="Y657" s="33" t="n"/>
      <c r="Z657" s="33" t="n"/>
      <c r="AA657" s="33" t="n"/>
      <c r="AB657" s="33" t="n"/>
      <c r="AC657" s="33" t="n"/>
      <c r="AD657" s="33" t="n"/>
      <c r="AE657" s="33" t="n"/>
      <c r="AF657" s="32" t="n"/>
      <c r="AG657" s="32" t="n"/>
      <c r="AH657" s="32" t="n"/>
      <c r="AI657" s="32" t="n"/>
      <c r="AJ657" s="32" t="n"/>
      <c r="AK657" s="32" t="n"/>
      <c r="AL657" s="32" t="n"/>
      <c r="AM657" s="32" t="n"/>
      <c r="AN657" s="32" t="n"/>
      <c r="AO657" s="32" t="n"/>
      <c r="AP657" s="32" t="n"/>
      <c r="AQ657" s="32" t="n"/>
      <c r="AR657" s="29">
        <f>IF(NOT(COUNTA(A657:AE657)&gt;0),"",IF(A657="","New client","Update"))</f>
        <v/>
      </c>
      <c r="AS657" s="29">
        <f>IF(BA657&lt;&gt;"",BA657,IF(LEN(AZ657)=15,MID(AZ657,3,10),""))</f>
        <v/>
      </c>
      <c r="AT657" s="29">
        <f>IF(BB657="","",BB657&amp;IF(D657="","  (guessed from PAN)",""))</f>
        <v/>
      </c>
      <c r="AU657" s="29">
        <f>IF(AZ657="","",IFERROR(INDEX(Lists!$L$2:$L$38,MATCH(LEFT(AZ657,2),Lists!$K$2:$K$38,0)),"Unknown code"))</f>
        <v/>
      </c>
      <c r="AV657" s="29">
        <f>IF(AZ657="","",IFERROR(IF(NOT(AND(LEN(AZ657)=15,ISNUMBER(MATCH(LEFT(AZ657,2),Lists!$K$2:$K$38,0)),SUMPRODUCT(--ISERROR(FIND(MID(MID(AZ657,3,10),{1,2,3,4,5,10},1),"ABCDEFGHIJKLMNOPQRSTUVWXYZ")))=0,SUMPRODUCT(--ISERROR(FIND(MID(MID(AZ657,3,10),{6,7,8,9},1),"0123456789")))=0,ISNUMBER(FIND(MID(AZ657,13,1),"123456789ABCDEFGHIJKLMNOPQRSTUVWXYZ")),MID(AZ657,14,1)="Z")),"Wrong format",IF(MID("0123456789ABCDEFGHIJKLMNOPQRSTUVWXYZ",MOD(36-MOD(SUMPRODUCT(INT((FIND(MID(AZ657,{1,2,3,4,5,6,7,8,9,10,11,12,13,14},1),"0123456789ABCDEFGHIJKLMNOPQRSTUVWXYZ")-1)*{1,2,1,2,1,2,1,2,1,2,1,2,1,2}/36)+MOD((FIND(MID(AZ657,{1,2,3,4,5,6,7,8,9,10,11,12,13,14},1),"0123456789ABCDEFGHIJKLMNOPQRSTUVWXYZ")-1)*{1,2,1,2,1,2,1,2,1,2,1,2,1,2},36)),36),36)+1,1)=MID(AZ657,15,1),"OK","Typo? check digit wrong")),"Wrong format"))</f>
        <v/>
      </c>
      <c r="AW657" s="29">
        <f>IF(BA657="","",IF(AND(LEN(BA657)=10,SUMPRODUCT(--ISERROR(FIND(MID(BA657,{1,2,3,4,5,10},1),"ABCDEFGHIJKLMNOPQRSTUVWXYZ")))=0,SUMPRODUCT(--ISERROR(FIND(MID(BA657,{6,7,8,9},1),"0123456789")))=0),"OK","Wrong format"))</f>
        <v/>
      </c>
      <c r="AX657" s="29">
        <f>IF(TRIM(H657)="","",IF(AND(LEN(UPPER(TRIM(H657)))=10,SUMPRODUCT(--ISERROR(FIND(MID(UPPER(TRIM(H657)),{1,2,3,4,10},1),"ABCDEFGHIJKLMNOPQRSTUVWXYZ")))=0,SUMPRODUCT(--ISERROR(FIND(MID(UPPER(TRIM(H657)),{5,6,7,8,9},1),"0123456789")))=0),"OK","Wrong format"))</f>
        <v/>
      </c>
      <c r="AY657" s="30">
        <f>IF(NOT(COUNTA(A657:AE657)&gt;0),"",IF(BE657&lt;&gt;"","✖ "&amp;LEFT(BE657,LEN(BE657)-2),IF(BD657&gt;0,"✔ Ready — client + "&amp;BD657&amp;" service(s)","✔ Ready — client only")))</f>
        <v/>
      </c>
      <c r="AZ657" s="31">
        <f>UPPER(SUBSTITUTE(TRIM(F657)," ",""))</f>
        <v/>
      </c>
      <c r="BA657" s="31">
        <f>UPPER(SUBSTITUTE(TRIM(E657)," ",""))</f>
        <v/>
      </c>
      <c r="BB657" s="31">
        <f>IF(D657&lt;&gt;"",D657,IFERROR(VLOOKUP(MID(AS657,4,1),Lists!$E$2:$F$8,2,FALSE),""))</f>
        <v/>
      </c>
      <c r="BC657" s="31">
        <f>IFERROR(VLOOKUP(BB657,Lists!$A$2:$C$12,3,FALSE),"")</f>
        <v/>
      </c>
      <c r="BD657" s="31">
        <f>COUNTIF(W657:AC657,"Yes")</f>
        <v/>
      </c>
      <c r="BE657" s="31">
        <f>IF(TRIM(B657)="","Legal name missing; ","")&amp;IF(AND(AV657&lt;&gt;"",AV657&lt;&gt;"OK"),"GSTIN: "&amp;AV657&amp;"; ","")&amp;IF(AND(AW657&lt;&gt;"",AW657&lt;&gt;"OK"),"PAN wrong format; ","")&amp;IF(AND(BA657&lt;&gt;"",LEN(AZ657)=15,MID(AZ657,3,10)&lt;&gt;BA657),"PAN does not match GSTIN; ","")&amp;IF(AND(AX657&lt;&gt;"",AX657&lt;&gt;"OK"),"TAN wrong format; ","")&amp;IF(AS657="","PAN missing; ","")&amp;IF(BB657="","Entity type missing; ","")&amp;IF(AND(AZ657&lt;&gt;"",COUNTIF($AZ$6:$AZ$1005,AZ657)&gt;1),"GSTIN repeated in this sheet; ","")&amp;IF(AND(AS657&lt;&gt;"",COUNTIF($AS$6:$AS$1005,AS657)&gt;1),"PAN repeated in this sheet (same client? put extra GSTINs in Other GSTINs); ","")&amp;IF(AND(BD657&gt;0,V657=""),"Financial year missing; ","")&amp;IF(AND(BD657=0,V657&lt;&gt;""),"Financial year given but no service is Yes; ","")&amp;IF(AND(W657="Yes",AZ657=""),"GST needs a GSTIN; ","")&amp;IF(AND(W657="Yes",X657=""),"GST return frequency missing; ","")&amp;IF(AND(Y657="Yes",TRIM(H657)=""),"TDS needs a TAN; ","")&amp;IF(AND(AA657="Yes",BC657&lt;&gt;"",BC657&lt;&gt;"company",BC657&lt;&gt;"llp"),"ROC is only for a company / LLP; ","")&amp;IF(AND(AA657="Yes",OR(BC657="company",BC657="llp"),TRIM(I657)=""),"ROC needs the CIN / LLPIN; ","")&amp;IF((TRIM(AF657)="")&lt;&gt;(TRIM(AG657)=""),"GST login needs both user ID and password; ","")&amp;IF((TRIM(AH657)="")&lt;&gt;(TRIM(AI657)=""),"Income-tax login needs both user ID and password; ","")&amp;IF((TRIM(AJ657)="")&lt;&gt;(TRIM(AK657)=""),"Income-tax login needs both user ID and password; ","")&amp;IF((TRIM(AL657)="")&lt;&gt;(TRIM(AM657)=""),"TRACES login needs both user ID and password; ","")&amp;IF((TRIM(AN657)="")&lt;&gt;(TRIM(AO657)=""),"MCA login needs both user ID and password; ","")&amp;IF((TRIM(AP657)="")&lt;&gt;(TRIM(AQ657)=""),"E-way bill login needs both user ID and password; ","")</f>
        <v/>
      </c>
    </row>
    <row r="658">
      <c r="A658" s="32" t="n"/>
      <c r="B658" s="33" t="n"/>
      <c r="C658" s="33" t="n"/>
      <c r="D658" s="33" t="n"/>
      <c r="E658" s="32" t="n"/>
      <c r="F658" s="32" t="n"/>
      <c r="G658" s="32" t="n"/>
      <c r="H658" s="32" t="n"/>
      <c r="I658" s="32" t="n"/>
      <c r="J658" s="34" t="n"/>
      <c r="K658" s="33" t="n"/>
      <c r="L658" s="32" t="n"/>
      <c r="M658" s="33" t="n"/>
      <c r="N658" s="33" t="n"/>
      <c r="O658" s="33" t="n"/>
      <c r="P658" s="32" t="n"/>
      <c r="Q658" s="33" t="n"/>
      <c r="R658" s="33" t="n"/>
      <c r="S658" s="33" t="n"/>
      <c r="T658" s="33" t="n"/>
      <c r="U658" s="32" t="n"/>
      <c r="V658" s="33" t="n"/>
      <c r="W658" s="33" t="n"/>
      <c r="X658" s="33" t="n"/>
      <c r="Y658" s="33" t="n"/>
      <c r="Z658" s="33" t="n"/>
      <c r="AA658" s="33" t="n"/>
      <c r="AB658" s="33" t="n"/>
      <c r="AC658" s="33" t="n"/>
      <c r="AD658" s="33" t="n"/>
      <c r="AE658" s="33" t="n"/>
      <c r="AF658" s="32" t="n"/>
      <c r="AG658" s="32" t="n"/>
      <c r="AH658" s="32" t="n"/>
      <c r="AI658" s="32" t="n"/>
      <c r="AJ658" s="32" t="n"/>
      <c r="AK658" s="32" t="n"/>
      <c r="AL658" s="32" t="n"/>
      <c r="AM658" s="32" t="n"/>
      <c r="AN658" s="32" t="n"/>
      <c r="AO658" s="32" t="n"/>
      <c r="AP658" s="32" t="n"/>
      <c r="AQ658" s="32" t="n"/>
      <c r="AR658" s="29">
        <f>IF(NOT(COUNTA(A658:AE658)&gt;0),"",IF(A658="","New client","Update"))</f>
        <v/>
      </c>
      <c r="AS658" s="29">
        <f>IF(BA658&lt;&gt;"",BA658,IF(LEN(AZ658)=15,MID(AZ658,3,10),""))</f>
        <v/>
      </c>
      <c r="AT658" s="29">
        <f>IF(BB658="","",BB658&amp;IF(D658="","  (guessed from PAN)",""))</f>
        <v/>
      </c>
      <c r="AU658" s="29">
        <f>IF(AZ658="","",IFERROR(INDEX(Lists!$L$2:$L$38,MATCH(LEFT(AZ658,2),Lists!$K$2:$K$38,0)),"Unknown code"))</f>
        <v/>
      </c>
      <c r="AV658" s="29">
        <f>IF(AZ658="","",IFERROR(IF(NOT(AND(LEN(AZ658)=15,ISNUMBER(MATCH(LEFT(AZ658,2),Lists!$K$2:$K$38,0)),SUMPRODUCT(--ISERROR(FIND(MID(MID(AZ658,3,10),{1,2,3,4,5,10},1),"ABCDEFGHIJKLMNOPQRSTUVWXYZ")))=0,SUMPRODUCT(--ISERROR(FIND(MID(MID(AZ658,3,10),{6,7,8,9},1),"0123456789")))=0,ISNUMBER(FIND(MID(AZ658,13,1),"123456789ABCDEFGHIJKLMNOPQRSTUVWXYZ")),MID(AZ658,14,1)="Z")),"Wrong format",IF(MID("0123456789ABCDEFGHIJKLMNOPQRSTUVWXYZ",MOD(36-MOD(SUMPRODUCT(INT((FIND(MID(AZ658,{1,2,3,4,5,6,7,8,9,10,11,12,13,14},1),"0123456789ABCDEFGHIJKLMNOPQRSTUVWXYZ")-1)*{1,2,1,2,1,2,1,2,1,2,1,2,1,2}/36)+MOD((FIND(MID(AZ658,{1,2,3,4,5,6,7,8,9,10,11,12,13,14},1),"0123456789ABCDEFGHIJKLMNOPQRSTUVWXYZ")-1)*{1,2,1,2,1,2,1,2,1,2,1,2,1,2},36)),36),36)+1,1)=MID(AZ658,15,1),"OK","Typo? check digit wrong")),"Wrong format"))</f>
        <v/>
      </c>
      <c r="AW658" s="29">
        <f>IF(BA658="","",IF(AND(LEN(BA658)=10,SUMPRODUCT(--ISERROR(FIND(MID(BA658,{1,2,3,4,5,10},1),"ABCDEFGHIJKLMNOPQRSTUVWXYZ")))=0,SUMPRODUCT(--ISERROR(FIND(MID(BA658,{6,7,8,9},1),"0123456789")))=0),"OK","Wrong format"))</f>
        <v/>
      </c>
      <c r="AX658" s="29">
        <f>IF(TRIM(H658)="","",IF(AND(LEN(UPPER(TRIM(H658)))=10,SUMPRODUCT(--ISERROR(FIND(MID(UPPER(TRIM(H658)),{1,2,3,4,10},1),"ABCDEFGHIJKLMNOPQRSTUVWXYZ")))=0,SUMPRODUCT(--ISERROR(FIND(MID(UPPER(TRIM(H658)),{5,6,7,8,9},1),"0123456789")))=0),"OK","Wrong format"))</f>
        <v/>
      </c>
      <c r="AY658" s="30">
        <f>IF(NOT(COUNTA(A658:AE658)&gt;0),"",IF(BE658&lt;&gt;"","✖ "&amp;LEFT(BE658,LEN(BE658)-2),IF(BD658&gt;0,"✔ Ready — client + "&amp;BD658&amp;" service(s)","✔ Ready — client only")))</f>
        <v/>
      </c>
      <c r="AZ658" s="31">
        <f>UPPER(SUBSTITUTE(TRIM(F658)," ",""))</f>
        <v/>
      </c>
      <c r="BA658" s="31">
        <f>UPPER(SUBSTITUTE(TRIM(E658)," ",""))</f>
        <v/>
      </c>
      <c r="BB658" s="31">
        <f>IF(D658&lt;&gt;"",D658,IFERROR(VLOOKUP(MID(AS658,4,1),Lists!$E$2:$F$8,2,FALSE),""))</f>
        <v/>
      </c>
      <c r="BC658" s="31">
        <f>IFERROR(VLOOKUP(BB658,Lists!$A$2:$C$12,3,FALSE),"")</f>
        <v/>
      </c>
      <c r="BD658" s="31">
        <f>COUNTIF(W658:AC658,"Yes")</f>
        <v/>
      </c>
      <c r="BE658" s="31">
        <f>IF(TRIM(B658)="","Legal name missing; ","")&amp;IF(AND(AV658&lt;&gt;"",AV658&lt;&gt;"OK"),"GSTIN: "&amp;AV658&amp;"; ","")&amp;IF(AND(AW658&lt;&gt;"",AW658&lt;&gt;"OK"),"PAN wrong format; ","")&amp;IF(AND(BA658&lt;&gt;"",LEN(AZ658)=15,MID(AZ658,3,10)&lt;&gt;BA658),"PAN does not match GSTIN; ","")&amp;IF(AND(AX658&lt;&gt;"",AX658&lt;&gt;"OK"),"TAN wrong format; ","")&amp;IF(AS658="","PAN missing; ","")&amp;IF(BB658="","Entity type missing; ","")&amp;IF(AND(AZ658&lt;&gt;"",COUNTIF($AZ$6:$AZ$1005,AZ658)&gt;1),"GSTIN repeated in this sheet; ","")&amp;IF(AND(AS658&lt;&gt;"",COUNTIF($AS$6:$AS$1005,AS658)&gt;1),"PAN repeated in this sheet (same client? put extra GSTINs in Other GSTINs); ","")&amp;IF(AND(BD658&gt;0,V658=""),"Financial year missing; ","")&amp;IF(AND(BD658=0,V658&lt;&gt;""),"Financial year given but no service is Yes; ","")&amp;IF(AND(W658="Yes",AZ658=""),"GST needs a GSTIN; ","")&amp;IF(AND(W658="Yes",X658=""),"GST return frequency missing; ","")&amp;IF(AND(Y658="Yes",TRIM(H658)=""),"TDS needs a TAN; ","")&amp;IF(AND(AA658="Yes",BC658&lt;&gt;"",BC658&lt;&gt;"company",BC658&lt;&gt;"llp"),"ROC is only for a company / LLP; ","")&amp;IF(AND(AA658="Yes",OR(BC658="company",BC658="llp"),TRIM(I658)=""),"ROC needs the CIN / LLPIN; ","")&amp;IF((TRIM(AF658)="")&lt;&gt;(TRIM(AG658)=""),"GST login needs both user ID and password; ","")&amp;IF((TRIM(AH658)="")&lt;&gt;(TRIM(AI658)=""),"Income-tax login needs both user ID and password; ","")&amp;IF((TRIM(AJ658)="")&lt;&gt;(TRIM(AK658)=""),"Income-tax login needs both user ID and password; ","")&amp;IF((TRIM(AL658)="")&lt;&gt;(TRIM(AM658)=""),"TRACES login needs both user ID and password; ","")&amp;IF((TRIM(AN658)="")&lt;&gt;(TRIM(AO658)=""),"MCA login needs both user ID and password; ","")&amp;IF((TRIM(AP658)="")&lt;&gt;(TRIM(AQ658)=""),"E-way bill login needs both user ID and password; ","")</f>
        <v/>
      </c>
    </row>
    <row r="659">
      <c r="A659" s="32" t="n"/>
      <c r="B659" s="33" t="n"/>
      <c r="C659" s="33" t="n"/>
      <c r="D659" s="33" t="n"/>
      <c r="E659" s="32" t="n"/>
      <c r="F659" s="32" t="n"/>
      <c r="G659" s="32" t="n"/>
      <c r="H659" s="32" t="n"/>
      <c r="I659" s="32" t="n"/>
      <c r="J659" s="34" t="n"/>
      <c r="K659" s="33" t="n"/>
      <c r="L659" s="32" t="n"/>
      <c r="M659" s="33" t="n"/>
      <c r="N659" s="33" t="n"/>
      <c r="O659" s="33" t="n"/>
      <c r="P659" s="32" t="n"/>
      <c r="Q659" s="33" t="n"/>
      <c r="R659" s="33" t="n"/>
      <c r="S659" s="33" t="n"/>
      <c r="T659" s="33" t="n"/>
      <c r="U659" s="32" t="n"/>
      <c r="V659" s="33" t="n"/>
      <c r="W659" s="33" t="n"/>
      <c r="X659" s="33" t="n"/>
      <c r="Y659" s="33" t="n"/>
      <c r="Z659" s="33" t="n"/>
      <c r="AA659" s="33" t="n"/>
      <c r="AB659" s="33" t="n"/>
      <c r="AC659" s="33" t="n"/>
      <c r="AD659" s="33" t="n"/>
      <c r="AE659" s="33" t="n"/>
      <c r="AF659" s="32" t="n"/>
      <c r="AG659" s="32" t="n"/>
      <c r="AH659" s="32" t="n"/>
      <c r="AI659" s="32" t="n"/>
      <c r="AJ659" s="32" t="n"/>
      <c r="AK659" s="32" t="n"/>
      <c r="AL659" s="32" t="n"/>
      <c r="AM659" s="32" t="n"/>
      <c r="AN659" s="32" t="n"/>
      <c r="AO659" s="32" t="n"/>
      <c r="AP659" s="32" t="n"/>
      <c r="AQ659" s="32" t="n"/>
      <c r="AR659" s="29">
        <f>IF(NOT(COUNTA(A659:AE659)&gt;0),"",IF(A659="","New client","Update"))</f>
        <v/>
      </c>
      <c r="AS659" s="29">
        <f>IF(BA659&lt;&gt;"",BA659,IF(LEN(AZ659)=15,MID(AZ659,3,10),""))</f>
        <v/>
      </c>
      <c r="AT659" s="29">
        <f>IF(BB659="","",BB659&amp;IF(D659="","  (guessed from PAN)",""))</f>
        <v/>
      </c>
      <c r="AU659" s="29">
        <f>IF(AZ659="","",IFERROR(INDEX(Lists!$L$2:$L$38,MATCH(LEFT(AZ659,2),Lists!$K$2:$K$38,0)),"Unknown code"))</f>
        <v/>
      </c>
      <c r="AV659" s="29">
        <f>IF(AZ659="","",IFERROR(IF(NOT(AND(LEN(AZ659)=15,ISNUMBER(MATCH(LEFT(AZ659,2),Lists!$K$2:$K$38,0)),SUMPRODUCT(--ISERROR(FIND(MID(MID(AZ659,3,10),{1,2,3,4,5,10},1),"ABCDEFGHIJKLMNOPQRSTUVWXYZ")))=0,SUMPRODUCT(--ISERROR(FIND(MID(MID(AZ659,3,10),{6,7,8,9},1),"0123456789")))=0,ISNUMBER(FIND(MID(AZ659,13,1),"123456789ABCDEFGHIJKLMNOPQRSTUVWXYZ")),MID(AZ659,14,1)="Z")),"Wrong format",IF(MID("0123456789ABCDEFGHIJKLMNOPQRSTUVWXYZ",MOD(36-MOD(SUMPRODUCT(INT((FIND(MID(AZ659,{1,2,3,4,5,6,7,8,9,10,11,12,13,14},1),"0123456789ABCDEFGHIJKLMNOPQRSTUVWXYZ")-1)*{1,2,1,2,1,2,1,2,1,2,1,2,1,2}/36)+MOD((FIND(MID(AZ659,{1,2,3,4,5,6,7,8,9,10,11,12,13,14},1),"0123456789ABCDEFGHIJKLMNOPQRSTUVWXYZ")-1)*{1,2,1,2,1,2,1,2,1,2,1,2,1,2},36)),36),36)+1,1)=MID(AZ659,15,1),"OK","Typo? check digit wrong")),"Wrong format"))</f>
        <v/>
      </c>
      <c r="AW659" s="29">
        <f>IF(BA659="","",IF(AND(LEN(BA659)=10,SUMPRODUCT(--ISERROR(FIND(MID(BA659,{1,2,3,4,5,10},1),"ABCDEFGHIJKLMNOPQRSTUVWXYZ")))=0,SUMPRODUCT(--ISERROR(FIND(MID(BA659,{6,7,8,9},1),"0123456789")))=0),"OK","Wrong format"))</f>
        <v/>
      </c>
      <c r="AX659" s="29">
        <f>IF(TRIM(H659)="","",IF(AND(LEN(UPPER(TRIM(H659)))=10,SUMPRODUCT(--ISERROR(FIND(MID(UPPER(TRIM(H659)),{1,2,3,4,10},1),"ABCDEFGHIJKLMNOPQRSTUVWXYZ")))=0,SUMPRODUCT(--ISERROR(FIND(MID(UPPER(TRIM(H659)),{5,6,7,8,9},1),"0123456789")))=0),"OK","Wrong format"))</f>
        <v/>
      </c>
      <c r="AY659" s="30">
        <f>IF(NOT(COUNTA(A659:AE659)&gt;0),"",IF(BE659&lt;&gt;"","✖ "&amp;LEFT(BE659,LEN(BE659)-2),IF(BD659&gt;0,"✔ Ready — client + "&amp;BD659&amp;" service(s)","✔ Ready — client only")))</f>
        <v/>
      </c>
      <c r="AZ659" s="31">
        <f>UPPER(SUBSTITUTE(TRIM(F659)," ",""))</f>
        <v/>
      </c>
      <c r="BA659" s="31">
        <f>UPPER(SUBSTITUTE(TRIM(E659)," ",""))</f>
        <v/>
      </c>
      <c r="BB659" s="31">
        <f>IF(D659&lt;&gt;"",D659,IFERROR(VLOOKUP(MID(AS659,4,1),Lists!$E$2:$F$8,2,FALSE),""))</f>
        <v/>
      </c>
      <c r="BC659" s="31">
        <f>IFERROR(VLOOKUP(BB659,Lists!$A$2:$C$12,3,FALSE),"")</f>
        <v/>
      </c>
      <c r="BD659" s="31">
        <f>COUNTIF(W659:AC659,"Yes")</f>
        <v/>
      </c>
      <c r="BE659" s="31">
        <f>IF(TRIM(B659)="","Legal name missing; ","")&amp;IF(AND(AV659&lt;&gt;"",AV659&lt;&gt;"OK"),"GSTIN: "&amp;AV659&amp;"; ","")&amp;IF(AND(AW659&lt;&gt;"",AW659&lt;&gt;"OK"),"PAN wrong format; ","")&amp;IF(AND(BA659&lt;&gt;"",LEN(AZ659)=15,MID(AZ659,3,10)&lt;&gt;BA659),"PAN does not match GSTIN; ","")&amp;IF(AND(AX659&lt;&gt;"",AX659&lt;&gt;"OK"),"TAN wrong format; ","")&amp;IF(AS659="","PAN missing; ","")&amp;IF(BB659="","Entity type missing; ","")&amp;IF(AND(AZ659&lt;&gt;"",COUNTIF($AZ$6:$AZ$1005,AZ659)&gt;1),"GSTIN repeated in this sheet; ","")&amp;IF(AND(AS659&lt;&gt;"",COUNTIF($AS$6:$AS$1005,AS659)&gt;1),"PAN repeated in this sheet (same client? put extra GSTINs in Other GSTINs); ","")&amp;IF(AND(BD659&gt;0,V659=""),"Financial year missing; ","")&amp;IF(AND(BD659=0,V659&lt;&gt;""),"Financial year given but no service is Yes; ","")&amp;IF(AND(W659="Yes",AZ659=""),"GST needs a GSTIN; ","")&amp;IF(AND(W659="Yes",X659=""),"GST return frequency missing; ","")&amp;IF(AND(Y659="Yes",TRIM(H659)=""),"TDS needs a TAN; ","")&amp;IF(AND(AA659="Yes",BC659&lt;&gt;"",BC659&lt;&gt;"company",BC659&lt;&gt;"llp"),"ROC is only for a company / LLP; ","")&amp;IF(AND(AA659="Yes",OR(BC659="company",BC659="llp"),TRIM(I659)=""),"ROC needs the CIN / LLPIN; ","")&amp;IF((TRIM(AF659)="")&lt;&gt;(TRIM(AG659)=""),"GST login needs both user ID and password; ","")&amp;IF((TRIM(AH659)="")&lt;&gt;(TRIM(AI659)=""),"Income-tax login needs both user ID and password; ","")&amp;IF((TRIM(AJ659)="")&lt;&gt;(TRIM(AK659)=""),"Income-tax login needs both user ID and password; ","")&amp;IF((TRIM(AL659)="")&lt;&gt;(TRIM(AM659)=""),"TRACES login needs both user ID and password; ","")&amp;IF((TRIM(AN659)="")&lt;&gt;(TRIM(AO659)=""),"MCA login needs both user ID and password; ","")&amp;IF((TRIM(AP659)="")&lt;&gt;(TRIM(AQ659)=""),"E-way bill login needs both user ID and password; ","")</f>
        <v/>
      </c>
    </row>
    <row r="660">
      <c r="A660" s="32" t="n"/>
      <c r="B660" s="33" t="n"/>
      <c r="C660" s="33" t="n"/>
      <c r="D660" s="33" t="n"/>
      <c r="E660" s="32" t="n"/>
      <c r="F660" s="32" t="n"/>
      <c r="G660" s="32" t="n"/>
      <c r="H660" s="32" t="n"/>
      <c r="I660" s="32" t="n"/>
      <c r="J660" s="34" t="n"/>
      <c r="K660" s="33" t="n"/>
      <c r="L660" s="32" t="n"/>
      <c r="M660" s="33" t="n"/>
      <c r="N660" s="33" t="n"/>
      <c r="O660" s="33" t="n"/>
      <c r="P660" s="32" t="n"/>
      <c r="Q660" s="33" t="n"/>
      <c r="R660" s="33" t="n"/>
      <c r="S660" s="33" t="n"/>
      <c r="T660" s="33" t="n"/>
      <c r="U660" s="32" t="n"/>
      <c r="V660" s="33" t="n"/>
      <c r="W660" s="33" t="n"/>
      <c r="X660" s="33" t="n"/>
      <c r="Y660" s="33" t="n"/>
      <c r="Z660" s="33" t="n"/>
      <c r="AA660" s="33" t="n"/>
      <c r="AB660" s="33" t="n"/>
      <c r="AC660" s="33" t="n"/>
      <c r="AD660" s="33" t="n"/>
      <c r="AE660" s="33" t="n"/>
      <c r="AF660" s="32" t="n"/>
      <c r="AG660" s="32" t="n"/>
      <c r="AH660" s="32" t="n"/>
      <c r="AI660" s="32" t="n"/>
      <c r="AJ660" s="32" t="n"/>
      <c r="AK660" s="32" t="n"/>
      <c r="AL660" s="32" t="n"/>
      <c r="AM660" s="32" t="n"/>
      <c r="AN660" s="32" t="n"/>
      <c r="AO660" s="32" t="n"/>
      <c r="AP660" s="32" t="n"/>
      <c r="AQ660" s="32" t="n"/>
      <c r="AR660" s="29">
        <f>IF(NOT(COUNTA(A660:AE660)&gt;0),"",IF(A660="","New client","Update"))</f>
        <v/>
      </c>
      <c r="AS660" s="29">
        <f>IF(BA660&lt;&gt;"",BA660,IF(LEN(AZ660)=15,MID(AZ660,3,10),""))</f>
        <v/>
      </c>
      <c r="AT660" s="29">
        <f>IF(BB660="","",BB660&amp;IF(D660="","  (guessed from PAN)",""))</f>
        <v/>
      </c>
      <c r="AU660" s="29">
        <f>IF(AZ660="","",IFERROR(INDEX(Lists!$L$2:$L$38,MATCH(LEFT(AZ660,2),Lists!$K$2:$K$38,0)),"Unknown code"))</f>
        <v/>
      </c>
      <c r="AV660" s="29">
        <f>IF(AZ660="","",IFERROR(IF(NOT(AND(LEN(AZ660)=15,ISNUMBER(MATCH(LEFT(AZ660,2),Lists!$K$2:$K$38,0)),SUMPRODUCT(--ISERROR(FIND(MID(MID(AZ660,3,10),{1,2,3,4,5,10},1),"ABCDEFGHIJKLMNOPQRSTUVWXYZ")))=0,SUMPRODUCT(--ISERROR(FIND(MID(MID(AZ660,3,10),{6,7,8,9},1),"0123456789")))=0,ISNUMBER(FIND(MID(AZ660,13,1),"123456789ABCDEFGHIJKLMNOPQRSTUVWXYZ")),MID(AZ660,14,1)="Z")),"Wrong format",IF(MID("0123456789ABCDEFGHIJKLMNOPQRSTUVWXYZ",MOD(36-MOD(SUMPRODUCT(INT((FIND(MID(AZ660,{1,2,3,4,5,6,7,8,9,10,11,12,13,14},1),"0123456789ABCDEFGHIJKLMNOPQRSTUVWXYZ")-1)*{1,2,1,2,1,2,1,2,1,2,1,2,1,2}/36)+MOD((FIND(MID(AZ660,{1,2,3,4,5,6,7,8,9,10,11,12,13,14},1),"0123456789ABCDEFGHIJKLMNOPQRSTUVWXYZ")-1)*{1,2,1,2,1,2,1,2,1,2,1,2,1,2},36)),36),36)+1,1)=MID(AZ660,15,1),"OK","Typo? check digit wrong")),"Wrong format"))</f>
        <v/>
      </c>
      <c r="AW660" s="29">
        <f>IF(BA660="","",IF(AND(LEN(BA660)=10,SUMPRODUCT(--ISERROR(FIND(MID(BA660,{1,2,3,4,5,10},1),"ABCDEFGHIJKLMNOPQRSTUVWXYZ")))=0,SUMPRODUCT(--ISERROR(FIND(MID(BA660,{6,7,8,9},1),"0123456789")))=0),"OK","Wrong format"))</f>
        <v/>
      </c>
      <c r="AX660" s="29">
        <f>IF(TRIM(H660)="","",IF(AND(LEN(UPPER(TRIM(H660)))=10,SUMPRODUCT(--ISERROR(FIND(MID(UPPER(TRIM(H660)),{1,2,3,4,10},1),"ABCDEFGHIJKLMNOPQRSTUVWXYZ")))=0,SUMPRODUCT(--ISERROR(FIND(MID(UPPER(TRIM(H660)),{5,6,7,8,9},1),"0123456789")))=0),"OK","Wrong format"))</f>
        <v/>
      </c>
      <c r="AY660" s="30">
        <f>IF(NOT(COUNTA(A660:AE660)&gt;0),"",IF(BE660&lt;&gt;"","✖ "&amp;LEFT(BE660,LEN(BE660)-2),IF(BD660&gt;0,"✔ Ready — client + "&amp;BD660&amp;" service(s)","✔ Ready — client only")))</f>
        <v/>
      </c>
      <c r="AZ660" s="31">
        <f>UPPER(SUBSTITUTE(TRIM(F660)," ",""))</f>
        <v/>
      </c>
      <c r="BA660" s="31">
        <f>UPPER(SUBSTITUTE(TRIM(E660)," ",""))</f>
        <v/>
      </c>
      <c r="BB660" s="31">
        <f>IF(D660&lt;&gt;"",D660,IFERROR(VLOOKUP(MID(AS660,4,1),Lists!$E$2:$F$8,2,FALSE),""))</f>
        <v/>
      </c>
      <c r="BC660" s="31">
        <f>IFERROR(VLOOKUP(BB660,Lists!$A$2:$C$12,3,FALSE),"")</f>
        <v/>
      </c>
      <c r="BD660" s="31">
        <f>COUNTIF(W660:AC660,"Yes")</f>
        <v/>
      </c>
      <c r="BE660" s="31">
        <f>IF(TRIM(B660)="","Legal name missing; ","")&amp;IF(AND(AV660&lt;&gt;"",AV660&lt;&gt;"OK"),"GSTIN: "&amp;AV660&amp;"; ","")&amp;IF(AND(AW660&lt;&gt;"",AW660&lt;&gt;"OK"),"PAN wrong format; ","")&amp;IF(AND(BA660&lt;&gt;"",LEN(AZ660)=15,MID(AZ660,3,10)&lt;&gt;BA660),"PAN does not match GSTIN; ","")&amp;IF(AND(AX660&lt;&gt;"",AX660&lt;&gt;"OK"),"TAN wrong format; ","")&amp;IF(AS660="","PAN missing; ","")&amp;IF(BB660="","Entity type missing; ","")&amp;IF(AND(AZ660&lt;&gt;"",COUNTIF($AZ$6:$AZ$1005,AZ660)&gt;1),"GSTIN repeated in this sheet; ","")&amp;IF(AND(AS660&lt;&gt;"",COUNTIF($AS$6:$AS$1005,AS660)&gt;1),"PAN repeated in this sheet (same client? put extra GSTINs in Other GSTINs); ","")&amp;IF(AND(BD660&gt;0,V660=""),"Financial year missing; ","")&amp;IF(AND(BD660=0,V660&lt;&gt;""),"Financial year given but no service is Yes; ","")&amp;IF(AND(W660="Yes",AZ660=""),"GST needs a GSTIN; ","")&amp;IF(AND(W660="Yes",X660=""),"GST return frequency missing; ","")&amp;IF(AND(Y660="Yes",TRIM(H660)=""),"TDS needs a TAN; ","")&amp;IF(AND(AA660="Yes",BC660&lt;&gt;"",BC660&lt;&gt;"company",BC660&lt;&gt;"llp"),"ROC is only for a company / LLP; ","")&amp;IF(AND(AA660="Yes",OR(BC660="company",BC660="llp"),TRIM(I660)=""),"ROC needs the CIN / LLPIN; ","")&amp;IF((TRIM(AF660)="")&lt;&gt;(TRIM(AG660)=""),"GST login needs both user ID and password; ","")&amp;IF((TRIM(AH660)="")&lt;&gt;(TRIM(AI660)=""),"Income-tax login needs both user ID and password; ","")&amp;IF((TRIM(AJ660)="")&lt;&gt;(TRIM(AK660)=""),"Income-tax login needs both user ID and password; ","")&amp;IF((TRIM(AL660)="")&lt;&gt;(TRIM(AM660)=""),"TRACES login needs both user ID and password; ","")&amp;IF((TRIM(AN660)="")&lt;&gt;(TRIM(AO660)=""),"MCA login needs both user ID and password; ","")&amp;IF((TRIM(AP660)="")&lt;&gt;(TRIM(AQ660)=""),"E-way bill login needs both user ID and password; ","")</f>
        <v/>
      </c>
    </row>
    <row r="661">
      <c r="A661" s="32" t="n"/>
      <c r="B661" s="33" t="n"/>
      <c r="C661" s="33" t="n"/>
      <c r="D661" s="33" t="n"/>
      <c r="E661" s="32" t="n"/>
      <c r="F661" s="32" t="n"/>
      <c r="G661" s="32" t="n"/>
      <c r="H661" s="32" t="n"/>
      <c r="I661" s="32" t="n"/>
      <c r="J661" s="34" t="n"/>
      <c r="K661" s="33" t="n"/>
      <c r="L661" s="32" t="n"/>
      <c r="M661" s="33" t="n"/>
      <c r="N661" s="33" t="n"/>
      <c r="O661" s="33" t="n"/>
      <c r="P661" s="32" t="n"/>
      <c r="Q661" s="33" t="n"/>
      <c r="R661" s="33" t="n"/>
      <c r="S661" s="33" t="n"/>
      <c r="T661" s="33" t="n"/>
      <c r="U661" s="32" t="n"/>
      <c r="V661" s="33" t="n"/>
      <c r="W661" s="33" t="n"/>
      <c r="X661" s="33" t="n"/>
      <c r="Y661" s="33" t="n"/>
      <c r="Z661" s="33" t="n"/>
      <c r="AA661" s="33" t="n"/>
      <c r="AB661" s="33" t="n"/>
      <c r="AC661" s="33" t="n"/>
      <c r="AD661" s="33" t="n"/>
      <c r="AE661" s="33" t="n"/>
      <c r="AF661" s="32" t="n"/>
      <c r="AG661" s="32" t="n"/>
      <c r="AH661" s="32" t="n"/>
      <c r="AI661" s="32" t="n"/>
      <c r="AJ661" s="32" t="n"/>
      <c r="AK661" s="32" t="n"/>
      <c r="AL661" s="32" t="n"/>
      <c r="AM661" s="32" t="n"/>
      <c r="AN661" s="32" t="n"/>
      <c r="AO661" s="32" t="n"/>
      <c r="AP661" s="32" t="n"/>
      <c r="AQ661" s="32" t="n"/>
      <c r="AR661" s="29">
        <f>IF(NOT(COUNTA(A661:AE661)&gt;0),"",IF(A661="","New client","Update"))</f>
        <v/>
      </c>
      <c r="AS661" s="29">
        <f>IF(BA661&lt;&gt;"",BA661,IF(LEN(AZ661)=15,MID(AZ661,3,10),""))</f>
        <v/>
      </c>
      <c r="AT661" s="29">
        <f>IF(BB661="","",BB661&amp;IF(D661="","  (guessed from PAN)",""))</f>
        <v/>
      </c>
      <c r="AU661" s="29">
        <f>IF(AZ661="","",IFERROR(INDEX(Lists!$L$2:$L$38,MATCH(LEFT(AZ661,2),Lists!$K$2:$K$38,0)),"Unknown code"))</f>
        <v/>
      </c>
      <c r="AV661" s="29">
        <f>IF(AZ661="","",IFERROR(IF(NOT(AND(LEN(AZ661)=15,ISNUMBER(MATCH(LEFT(AZ661,2),Lists!$K$2:$K$38,0)),SUMPRODUCT(--ISERROR(FIND(MID(MID(AZ661,3,10),{1,2,3,4,5,10},1),"ABCDEFGHIJKLMNOPQRSTUVWXYZ")))=0,SUMPRODUCT(--ISERROR(FIND(MID(MID(AZ661,3,10),{6,7,8,9},1),"0123456789")))=0,ISNUMBER(FIND(MID(AZ661,13,1),"123456789ABCDEFGHIJKLMNOPQRSTUVWXYZ")),MID(AZ661,14,1)="Z")),"Wrong format",IF(MID("0123456789ABCDEFGHIJKLMNOPQRSTUVWXYZ",MOD(36-MOD(SUMPRODUCT(INT((FIND(MID(AZ661,{1,2,3,4,5,6,7,8,9,10,11,12,13,14},1),"0123456789ABCDEFGHIJKLMNOPQRSTUVWXYZ")-1)*{1,2,1,2,1,2,1,2,1,2,1,2,1,2}/36)+MOD((FIND(MID(AZ661,{1,2,3,4,5,6,7,8,9,10,11,12,13,14},1),"0123456789ABCDEFGHIJKLMNOPQRSTUVWXYZ")-1)*{1,2,1,2,1,2,1,2,1,2,1,2,1,2},36)),36),36)+1,1)=MID(AZ661,15,1),"OK","Typo? check digit wrong")),"Wrong format"))</f>
        <v/>
      </c>
      <c r="AW661" s="29">
        <f>IF(BA661="","",IF(AND(LEN(BA661)=10,SUMPRODUCT(--ISERROR(FIND(MID(BA661,{1,2,3,4,5,10},1),"ABCDEFGHIJKLMNOPQRSTUVWXYZ")))=0,SUMPRODUCT(--ISERROR(FIND(MID(BA661,{6,7,8,9},1),"0123456789")))=0),"OK","Wrong format"))</f>
        <v/>
      </c>
      <c r="AX661" s="29">
        <f>IF(TRIM(H661)="","",IF(AND(LEN(UPPER(TRIM(H661)))=10,SUMPRODUCT(--ISERROR(FIND(MID(UPPER(TRIM(H661)),{1,2,3,4,10},1),"ABCDEFGHIJKLMNOPQRSTUVWXYZ")))=0,SUMPRODUCT(--ISERROR(FIND(MID(UPPER(TRIM(H661)),{5,6,7,8,9},1),"0123456789")))=0),"OK","Wrong format"))</f>
        <v/>
      </c>
      <c r="AY661" s="30">
        <f>IF(NOT(COUNTA(A661:AE661)&gt;0),"",IF(BE661&lt;&gt;"","✖ "&amp;LEFT(BE661,LEN(BE661)-2),IF(BD661&gt;0,"✔ Ready — client + "&amp;BD661&amp;" service(s)","✔ Ready — client only")))</f>
        <v/>
      </c>
      <c r="AZ661" s="31">
        <f>UPPER(SUBSTITUTE(TRIM(F661)," ",""))</f>
        <v/>
      </c>
      <c r="BA661" s="31">
        <f>UPPER(SUBSTITUTE(TRIM(E661)," ",""))</f>
        <v/>
      </c>
      <c r="BB661" s="31">
        <f>IF(D661&lt;&gt;"",D661,IFERROR(VLOOKUP(MID(AS661,4,1),Lists!$E$2:$F$8,2,FALSE),""))</f>
        <v/>
      </c>
      <c r="BC661" s="31">
        <f>IFERROR(VLOOKUP(BB661,Lists!$A$2:$C$12,3,FALSE),"")</f>
        <v/>
      </c>
      <c r="BD661" s="31">
        <f>COUNTIF(W661:AC661,"Yes")</f>
        <v/>
      </c>
      <c r="BE661" s="31">
        <f>IF(TRIM(B661)="","Legal name missing; ","")&amp;IF(AND(AV661&lt;&gt;"",AV661&lt;&gt;"OK"),"GSTIN: "&amp;AV661&amp;"; ","")&amp;IF(AND(AW661&lt;&gt;"",AW661&lt;&gt;"OK"),"PAN wrong format; ","")&amp;IF(AND(BA661&lt;&gt;"",LEN(AZ661)=15,MID(AZ661,3,10)&lt;&gt;BA661),"PAN does not match GSTIN; ","")&amp;IF(AND(AX661&lt;&gt;"",AX661&lt;&gt;"OK"),"TAN wrong format; ","")&amp;IF(AS661="","PAN missing; ","")&amp;IF(BB661="","Entity type missing; ","")&amp;IF(AND(AZ661&lt;&gt;"",COUNTIF($AZ$6:$AZ$1005,AZ661)&gt;1),"GSTIN repeated in this sheet; ","")&amp;IF(AND(AS661&lt;&gt;"",COUNTIF($AS$6:$AS$1005,AS661)&gt;1),"PAN repeated in this sheet (same client? put extra GSTINs in Other GSTINs); ","")&amp;IF(AND(BD661&gt;0,V661=""),"Financial year missing; ","")&amp;IF(AND(BD661=0,V661&lt;&gt;""),"Financial year given but no service is Yes; ","")&amp;IF(AND(W661="Yes",AZ661=""),"GST needs a GSTIN; ","")&amp;IF(AND(W661="Yes",X661=""),"GST return frequency missing; ","")&amp;IF(AND(Y661="Yes",TRIM(H661)=""),"TDS needs a TAN; ","")&amp;IF(AND(AA661="Yes",BC661&lt;&gt;"",BC661&lt;&gt;"company",BC661&lt;&gt;"llp"),"ROC is only for a company / LLP; ","")&amp;IF(AND(AA661="Yes",OR(BC661="company",BC661="llp"),TRIM(I661)=""),"ROC needs the CIN / LLPIN; ","")&amp;IF((TRIM(AF661)="")&lt;&gt;(TRIM(AG661)=""),"GST login needs both user ID and password; ","")&amp;IF((TRIM(AH661)="")&lt;&gt;(TRIM(AI661)=""),"Income-tax login needs both user ID and password; ","")&amp;IF((TRIM(AJ661)="")&lt;&gt;(TRIM(AK661)=""),"Income-tax login needs both user ID and password; ","")&amp;IF((TRIM(AL661)="")&lt;&gt;(TRIM(AM661)=""),"TRACES login needs both user ID and password; ","")&amp;IF((TRIM(AN661)="")&lt;&gt;(TRIM(AO661)=""),"MCA login needs both user ID and password; ","")&amp;IF((TRIM(AP661)="")&lt;&gt;(TRIM(AQ661)=""),"E-way bill login needs both user ID and password; ","")</f>
        <v/>
      </c>
    </row>
    <row r="662">
      <c r="A662" s="32" t="n"/>
      <c r="B662" s="33" t="n"/>
      <c r="C662" s="33" t="n"/>
      <c r="D662" s="33" t="n"/>
      <c r="E662" s="32" t="n"/>
      <c r="F662" s="32" t="n"/>
      <c r="G662" s="32" t="n"/>
      <c r="H662" s="32" t="n"/>
      <c r="I662" s="32" t="n"/>
      <c r="J662" s="34" t="n"/>
      <c r="K662" s="33" t="n"/>
      <c r="L662" s="32" t="n"/>
      <c r="M662" s="33" t="n"/>
      <c r="N662" s="33" t="n"/>
      <c r="O662" s="33" t="n"/>
      <c r="P662" s="32" t="n"/>
      <c r="Q662" s="33" t="n"/>
      <c r="R662" s="33" t="n"/>
      <c r="S662" s="33" t="n"/>
      <c r="T662" s="33" t="n"/>
      <c r="U662" s="32" t="n"/>
      <c r="V662" s="33" t="n"/>
      <c r="W662" s="33" t="n"/>
      <c r="X662" s="33" t="n"/>
      <c r="Y662" s="33" t="n"/>
      <c r="Z662" s="33" t="n"/>
      <c r="AA662" s="33" t="n"/>
      <c r="AB662" s="33" t="n"/>
      <c r="AC662" s="33" t="n"/>
      <c r="AD662" s="33" t="n"/>
      <c r="AE662" s="33" t="n"/>
      <c r="AF662" s="32" t="n"/>
      <c r="AG662" s="32" t="n"/>
      <c r="AH662" s="32" t="n"/>
      <c r="AI662" s="32" t="n"/>
      <c r="AJ662" s="32" t="n"/>
      <c r="AK662" s="32" t="n"/>
      <c r="AL662" s="32" t="n"/>
      <c r="AM662" s="32" t="n"/>
      <c r="AN662" s="32" t="n"/>
      <c r="AO662" s="32" t="n"/>
      <c r="AP662" s="32" t="n"/>
      <c r="AQ662" s="32" t="n"/>
      <c r="AR662" s="29">
        <f>IF(NOT(COUNTA(A662:AE662)&gt;0),"",IF(A662="","New client","Update"))</f>
        <v/>
      </c>
      <c r="AS662" s="29">
        <f>IF(BA662&lt;&gt;"",BA662,IF(LEN(AZ662)=15,MID(AZ662,3,10),""))</f>
        <v/>
      </c>
      <c r="AT662" s="29">
        <f>IF(BB662="","",BB662&amp;IF(D662="","  (guessed from PAN)",""))</f>
        <v/>
      </c>
      <c r="AU662" s="29">
        <f>IF(AZ662="","",IFERROR(INDEX(Lists!$L$2:$L$38,MATCH(LEFT(AZ662,2),Lists!$K$2:$K$38,0)),"Unknown code"))</f>
        <v/>
      </c>
      <c r="AV662" s="29">
        <f>IF(AZ662="","",IFERROR(IF(NOT(AND(LEN(AZ662)=15,ISNUMBER(MATCH(LEFT(AZ662,2),Lists!$K$2:$K$38,0)),SUMPRODUCT(--ISERROR(FIND(MID(MID(AZ662,3,10),{1,2,3,4,5,10},1),"ABCDEFGHIJKLMNOPQRSTUVWXYZ")))=0,SUMPRODUCT(--ISERROR(FIND(MID(MID(AZ662,3,10),{6,7,8,9},1),"0123456789")))=0,ISNUMBER(FIND(MID(AZ662,13,1),"123456789ABCDEFGHIJKLMNOPQRSTUVWXYZ")),MID(AZ662,14,1)="Z")),"Wrong format",IF(MID("0123456789ABCDEFGHIJKLMNOPQRSTUVWXYZ",MOD(36-MOD(SUMPRODUCT(INT((FIND(MID(AZ662,{1,2,3,4,5,6,7,8,9,10,11,12,13,14},1),"0123456789ABCDEFGHIJKLMNOPQRSTUVWXYZ")-1)*{1,2,1,2,1,2,1,2,1,2,1,2,1,2}/36)+MOD((FIND(MID(AZ662,{1,2,3,4,5,6,7,8,9,10,11,12,13,14},1),"0123456789ABCDEFGHIJKLMNOPQRSTUVWXYZ")-1)*{1,2,1,2,1,2,1,2,1,2,1,2,1,2},36)),36),36)+1,1)=MID(AZ662,15,1),"OK","Typo? check digit wrong")),"Wrong format"))</f>
        <v/>
      </c>
      <c r="AW662" s="29">
        <f>IF(BA662="","",IF(AND(LEN(BA662)=10,SUMPRODUCT(--ISERROR(FIND(MID(BA662,{1,2,3,4,5,10},1),"ABCDEFGHIJKLMNOPQRSTUVWXYZ")))=0,SUMPRODUCT(--ISERROR(FIND(MID(BA662,{6,7,8,9},1),"0123456789")))=0),"OK","Wrong format"))</f>
        <v/>
      </c>
      <c r="AX662" s="29">
        <f>IF(TRIM(H662)="","",IF(AND(LEN(UPPER(TRIM(H662)))=10,SUMPRODUCT(--ISERROR(FIND(MID(UPPER(TRIM(H662)),{1,2,3,4,10},1),"ABCDEFGHIJKLMNOPQRSTUVWXYZ")))=0,SUMPRODUCT(--ISERROR(FIND(MID(UPPER(TRIM(H662)),{5,6,7,8,9},1),"0123456789")))=0),"OK","Wrong format"))</f>
        <v/>
      </c>
      <c r="AY662" s="30">
        <f>IF(NOT(COUNTA(A662:AE662)&gt;0),"",IF(BE662&lt;&gt;"","✖ "&amp;LEFT(BE662,LEN(BE662)-2),IF(BD662&gt;0,"✔ Ready — client + "&amp;BD662&amp;" service(s)","✔ Ready — client only")))</f>
        <v/>
      </c>
      <c r="AZ662" s="31">
        <f>UPPER(SUBSTITUTE(TRIM(F662)," ",""))</f>
        <v/>
      </c>
      <c r="BA662" s="31">
        <f>UPPER(SUBSTITUTE(TRIM(E662)," ",""))</f>
        <v/>
      </c>
      <c r="BB662" s="31">
        <f>IF(D662&lt;&gt;"",D662,IFERROR(VLOOKUP(MID(AS662,4,1),Lists!$E$2:$F$8,2,FALSE),""))</f>
        <v/>
      </c>
      <c r="BC662" s="31">
        <f>IFERROR(VLOOKUP(BB662,Lists!$A$2:$C$12,3,FALSE),"")</f>
        <v/>
      </c>
      <c r="BD662" s="31">
        <f>COUNTIF(W662:AC662,"Yes")</f>
        <v/>
      </c>
      <c r="BE662" s="31">
        <f>IF(TRIM(B662)="","Legal name missing; ","")&amp;IF(AND(AV662&lt;&gt;"",AV662&lt;&gt;"OK"),"GSTIN: "&amp;AV662&amp;"; ","")&amp;IF(AND(AW662&lt;&gt;"",AW662&lt;&gt;"OK"),"PAN wrong format; ","")&amp;IF(AND(BA662&lt;&gt;"",LEN(AZ662)=15,MID(AZ662,3,10)&lt;&gt;BA662),"PAN does not match GSTIN; ","")&amp;IF(AND(AX662&lt;&gt;"",AX662&lt;&gt;"OK"),"TAN wrong format; ","")&amp;IF(AS662="","PAN missing; ","")&amp;IF(BB662="","Entity type missing; ","")&amp;IF(AND(AZ662&lt;&gt;"",COUNTIF($AZ$6:$AZ$1005,AZ662)&gt;1),"GSTIN repeated in this sheet; ","")&amp;IF(AND(AS662&lt;&gt;"",COUNTIF($AS$6:$AS$1005,AS662)&gt;1),"PAN repeated in this sheet (same client? put extra GSTINs in Other GSTINs); ","")&amp;IF(AND(BD662&gt;0,V662=""),"Financial year missing; ","")&amp;IF(AND(BD662=0,V662&lt;&gt;""),"Financial year given but no service is Yes; ","")&amp;IF(AND(W662="Yes",AZ662=""),"GST needs a GSTIN; ","")&amp;IF(AND(W662="Yes",X662=""),"GST return frequency missing; ","")&amp;IF(AND(Y662="Yes",TRIM(H662)=""),"TDS needs a TAN; ","")&amp;IF(AND(AA662="Yes",BC662&lt;&gt;"",BC662&lt;&gt;"company",BC662&lt;&gt;"llp"),"ROC is only for a company / LLP; ","")&amp;IF(AND(AA662="Yes",OR(BC662="company",BC662="llp"),TRIM(I662)=""),"ROC needs the CIN / LLPIN; ","")&amp;IF((TRIM(AF662)="")&lt;&gt;(TRIM(AG662)=""),"GST login needs both user ID and password; ","")&amp;IF((TRIM(AH662)="")&lt;&gt;(TRIM(AI662)=""),"Income-tax login needs both user ID and password; ","")&amp;IF((TRIM(AJ662)="")&lt;&gt;(TRIM(AK662)=""),"Income-tax login needs both user ID and password; ","")&amp;IF((TRIM(AL662)="")&lt;&gt;(TRIM(AM662)=""),"TRACES login needs both user ID and password; ","")&amp;IF((TRIM(AN662)="")&lt;&gt;(TRIM(AO662)=""),"MCA login needs both user ID and password; ","")&amp;IF((TRIM(AP662)="")&lt;&gt;(TRIM(AQ662)=""),"E-way bill login needs both user ID and password; ","")</f>
        <v/>
      </c>
    </row>
    <row r="663">
      <c r="A663" s="32" t="n"/>
      <c r="B663" s="33" t="n"/>
      <c r="C663" s="33" t="n"/>
      <c r="D663" s="33" t="n"/>
      <c r="E663" s="32" t="n"/>
      <c r="F663" s="32" t="n"/>
      <c r="G663" s="32" t="n"/>
      <c r="H663" s="32" t="n"/>
      <c r="I663" s="32" t="n"/>
      <c r="J663" s="34" t="n"/>
      <c r="K663" s="33" t="n"/>
      <c r="L663" s="32" t="n"/>
      <c r="M663" s="33" t="n"/>
      <c r="N663" s="33" t="n"/>
      <c r="O663" s="33" t="n"/>
      <c r="P663" s="32" t="n"/>
      <c r="Q663" s="33" t="n"/>
      <c r="R663" s="33" t="n"/>
      <c r="S663" s="33" t="n"/>
      <c r="T663" s="33" t="n"/>
      <c r="U663" s="32" t="n"/>
      <c r="V663" s="33" t="n"/>
      <c r="W663" s="33" t="n"/>
      <c r="X663" s="33" t="n"/>
      <c r="Y663" s="33" t="n"/>
      <c r="Z663" s="33" t="n"/>
      <c r="AA663" s="33" t="n"/>
      <c r="AB663" s="33" t="n"/>
      <c r="AC663" s="33" t="n"/>
      <c r="AD663" s="33" t="n"/>
      <c r="AE663" s="33" t="n"/>
      <c r="AF663" s="32" t="n"/>
      <c r="AG663" s="32" t="n"/>
      <c r="AH663" s="32" t="n"/>
      <c r="AI663" s="32" t="n"/>
      <c r="AJ663" s="32" t="n"/>
      <c r="AK663" s="32" t="n"/>
      <c r="AL663" s="32" t="n"/>
      <c r="AM663" s="32" t="n"/>
      <c r="AN663" s="32" t="n"/>
      <c r="AO663" s="32" t="n"/>
      <c r="AP663" s="32" t="n"/>
      <c r="AQ663" s="32" t="n"/>
      <c r="AR663" s="29">
        <f>IF(NOT(COUNTA(A663:AE663)&gt;0),"",IF(A663="","New client","Update"))</f>
        <v/>
      </c>
      <c r="AS663" s="29">
        <f>IF(BA663&lt;&gt;"",BA663,IF(LEN(AZ663)=15,MID(AZ663,3,10),""))</f>
        <v/>
      </c>
      <c r="AT663" s="29">
        <f>IF(BB663="","",BB663&amp;IF(D663="","  (guessed from PAN)",""))</f>
        <v/>
      </c>
      <c r="AU663" s="29">
        <f>IF(AZ663="","",IFERROR(INDEX(Lists!$L$2:$L$38,MATCH(LEFT(AZ663,2),Lists!$K$2:$K$38,0)),"Unknown code"))</f>
        <v/>
      </c>
      <c r="AV663" s="29">
        <f>IF(AZ663="","",IFERROR(IF(NOT(AND(LEN(AZ663)=15,ISNUMBER(MATCH(LEFT(AZ663,2),Lists!$K$2:$K$38,0)),SUMPRODUCT(--ISERROR(FIND(MID(MID(AZ663,3,10),{1,2,3,4,5,10},1),"ABCDEFGHIJKLMNOPQRSTUVWXYZ")))=0,SUMPRODUCT(--ISERROR(FIND(MID(MID(AZ663,3,10),{6,7,8,9},1),"0123456789")))=0,ISNUMBER(FIND(MID(AZ663,13,1),"123456789ABCDEFGHIJKLMNOPQRSTUVWXYZ")),MID(AZ663,14,1)="Z")),"Wrong format",IF(MID("0123456789ABCDEFGHIJKLMNOPQRSTUVWXYZ",MOD(36-MOD(SUMPRODUCT(INT((FIND(MID(AZ663,{1,2,3,4,5,6,7,8,9,10,11,12,13,14},1),"0123456789ABCDEFGHIJKLMNOPQRSTUVWXYZ")-1)*{1,2,1,2,1,2,1,2,1,2,1,2,1,2}/36)+MOD((FIND(MID(AZ663,{1,2,3,4,5,6,7,8,9,10,11,12,13,14},1),"0123456789ABCDEFGHIJKLMNOPQRSTUVWXYZ")-1)*{1,2,1,2,1,2,1,2,1,2,1,2,1,2},36)),36),36)+1,1)=MID(AZ663,15,1),"OK","Typo? check digit wrong")),"Wrong format"))</f>
        <v/>
      </c>
      <c r="AW663" s="29">
        <f>IF(BA663="","",IF(AND(LEN(BA663)=10,SUMPRODUCT(--ISERROR(FIND(MID(BA663,{1,2,3,4,5,10},1),"ABCDEFGHIJKLMNOPQRSTUVWXYZ")))=0,SUMPRODUCT(--ISERROR(FIND(MID(BA663,{6,7,8,9},1),"0123456789")))=0),"OK","Wrong format"))</f>
        <v/>
      </c>
      <c r="AX663" s="29">
        <f>IF(TRIM(H663)="","",IF(AND(LEN(UPPER(TRIM(H663)))=10,SUMPRODUCT(--ISERROR(FIND(MID(UPPER(TRIM(H663)),{1,2,3,4,10},1),"ABCDEFGHIJKLMNOPQRSTUVWXYZ")))=0,SUMPRODUCT(--ISERROR(FIND(MID(UPPER(TRIM(H663)),{5,6,7,8,9},1),"0123456789")))=0),"OK","Wrong format"))</f>
        <v/>
      </c>
      <c r="AY663" s="30">
        <f>IF(NOT(COUNTA(A663:AE663)&gt;0),"",IF(BE663&lt;&gt;"","✖ "&amp;LEFT(BE663,LEN(BE663)-2),IF(BD663&gt;0,"✔ Ready — client + "&amp;BD663&amp;" service(s)","✔ Ready — client only")))</f>
        <v/>
      </c>
      <c r="AZ663" s="31">
        <f>UPPER(SUBSTITUTE(TRIM(F663)," ",""))</f>
        <v/>
      </c>
      <c r="BA663" s="31">
        <f>UPPER(SUBSTITUTE(TRIM(E663)," ",""))</f>
        <v/>
      </c>
      <c r="BB663" s="31">
        <f>IF(D663&lt;&gt;"",D663,IFERROR(VLOOKUP(MID(AS663,4,1),Lists!$E$2:$F$8,2,FALSE),""))</f>
        <v/>
      </c>
      <c r="BC663" s="31">
        <f>IFERROR(VLOOKUP(BB663,Lists!$A$2:$C$12,3,FALSE),"")</f>
        <v/>
      </c>
      <c r="BD663" s="31">
        <f>COUNTIF(W663:AC663,"Yes")</f>
        <v/>
      </c>
      <c r="BE663" s="31">
        <f>IF(TRIM(B663)="","Legal name missing; ","")&amp;IF(AND(AV663&lt;&gt;"",AV663&lt;&gt;"OK"),"GSTIN: "&amp;AV663&amp;"; ","")&amp;IF(AND(AW663&lt;&gt;"",AW663&lt;&gt;"OK"),"PAN wrong format; ","")&amp;IF(AND(BA663&lt;&gt;"",LEN(AZ663)=15,MID(AZ663,3,10)&lt;&gt;BA663),"PAN does not match GSTIN; ","")&amp;IF(AND(AX663&lt;&gt;"",AX663&lt;&gt;"OK"),"TAN wrong format; ","")&amp;IF(AS663="","PAN missing; ","")&amp;IF(BB663="","Entity type missing; ","")&amp;IF(AND(AZ663&lt;&gt;"",COUNTIF($AZ$6:$AZ$1005,AZ663)&gt;1),"GSTIN repeated in this sheet; ","")&amp;IF(AND(AS663&lt;&gt;"",COUNTIF($AS$6:$AS$1005,AS663)&gt;1),"PAN repeated in this sheet (same client? put extra GSTINs in Other GSTINs); ","")&amp;IF(AND(BD663&gt;0,V663=""),"Financial year missing; ","")&amp;IF(AND(BD663=0,V663&lt;&gt;""),"Financial year given but no service is Yes; ","")&amp;IF(AND(W663="Yes",AZ663=""),"GST needs a GSTIN; ","")&amp;IF(AND(W663="Yes",X663=""),"GST return frequency missing; ","")&amp;IF(AND(Y663="Yes",TRIM(H663)=""),"TDS needs a TAN; ","")&amp;IF(AND(AA663="Yes",BC663&lt;&gt;"",BC663&lt;&gt;"company",BC663&lt;&gt;"llp"),"ROC is only for a company / LLP; ","")&amp;IF(AND(AA663="Yes",OR(BC663="company",BC663="llp"),TRIM(I663)=""),"ROC needs the CIN / LLPIN; ","")&amp;IF((TRIM(AF663)="")&lt;&gt;(TRIM(AG663)=""),"GST login needs both user ID and password; ","")&amp;IF((TRIM(AH663)="")&lt;&gt;(TRIM(AI663)=""),"Income-tax login needs both user ID and password; ","")&amp;IF((TRIM(AJ663)="")&lt;&gt;(TRIM(AK663)=""),"Income-tax login needs both user ID and password; ","")&amp;IF((TRIM(AL663)="")&lt;&gt;(TRIM(AM663)=""),"TRACES login needs both user ID and password; ","")&amp;IF((TRIM(AN663)="")&lt;&gt;(TRIM(AO663)=""),"MCA login needs both user ID and password; ","")&amp;IF((TRIM(AP663)="")&lt;&gt;(TRIM(AQ663)=""),"E-way bill login needs both user ID and password; ","")</f>
        <v/>
      </c>
    </row>
    <row r="664">
      <c r="A664" s="32" t="n"/>
      <c r="B664" s="33" t="n"/>
      <c r="C664" s="33" t="n"/>
      <c r="D664" s="33" t="n"/>
      <c r="E664" s="32" t="n"/>
      <c r="F664" s="32" t="n"/>
      <c r="G664" s="32" t="n"/>
      <c r="H664" s="32" t="n"/>
      <c r="I664" s="32" t="n"/>
      <c r="J664" s="34" t="n"/>
      <c r="K664" s="33" t="n"/>
      <c r="L664" s="32" t="n"/>
      <c r="M664" s="33" t="n"/>
      <c r="N664" s="33" t="n"/>
      <c r="O664" s="33" t="n"/>
      <c r="P664" s="32" t="n"/>
      <c r="Q664" s="33" t="n"/>
      <c r="R664" s="33" t="n"/>
      <c r="S664" s="33" t="n"/>
      <c r="T664" s="33" t="n"/>
      <c r="U664" s="32" t="n"/>
      <c r="V664" s="33" t="n"/>
      <c r="W664" s="33" t="n"/>
      <c r="X664" s="33" t="n"/>
      <c r="Y664" s="33" t="n"/>
      <c r="Z664" s="33" t="n"/>
      <c r="AA664" s="33" t="n"/>
      <c r="AB664" s="33" t="n"/>
      <c r="AC664" s="33" t="n"/>
      <c r="AD664" s="33" t="n"/>
      <c r="AE664" s="33" t="n"/>
      <c r="AF664" s="32" t="n"/>
      <c r="AG664" s="32" t="n"/>
      <c r="AH664" s="32" t="n"/>
      <c r="AI664" s="32" t="n"/>
      <c r="AJ664" s="32" t="n"/>
      <c r="AK664" s="32" t="n"/>
      <c r="AL664" s="32" t="n"/>
      <c r="AM664" s="32" t="n"/>
      <c r="AN664" s="32" t="n"/>
      <c r="AO664" s="32" t="n"/>
      <c r="AP664" s="32" t="n"/>
      <c r="AQ664" s="32" t="n"/>
      <c r="AR664" s="29">
        <f>IF(NOT(COUNTA(A664:AE664)&gt;0),"",IF(A664="","New client","Update"))</f>
        <v/>
      </c>
      <c r="AS664" s="29">
        <f>IF(BA664&lt;&gt;"",BA664,IF(LEN(AZ664)=15,MID(AZ664,3,10),""))</f>
        <v/>
      </c>
      <c r="AT664" s="29">
        <f>IF(BB664="","",BB664&amp;IF(D664="","  (guessed from PAN)",""))</f>
        <v/>
      </c>
      <c r="AU664" s="29">
        <f>IF(AZ664="","",IFERROR(INDEX(Lists!$L$2:$L$38,MATCH(LEFT(AZ664,2),Lists!$K$2:$K$38,0)),"Unknown code"))</f>
        <v/>
      </c>
      <c r="AV664" s="29">
        <f>IF(AZ664="","",IFERROR(IF(NOT(AND(LEN(AZ664)=15,ISNUMBER(MATCH(LEFT(AZ664,2),Lists!$K$2:$K$38,0)),SUMPRODUCT(--ISERROR(FIND(MID(MID(AZ664,3,10),{1,2,3,4,5,10},1),"ABCDEFGHIJKLMNOPQRSTUVWXYZ")))=0,SUMPRODUCT(--ISERROR(FIND(MID(MID(AZ664,3,10),{6,7,8,9},1),"0123456789")))=0,ISNUMBER(FIND(MID(AZ664,13,1),"123456789ABCDEFGHIJKLMNOPQRSTUVWXYZ")),MID(AZ664,14,1)="Z")),"Wrong format",IF(MID("0123456789ABCDEFGHIJKLMNOPQRSTUVWXYZ",MOD(36-MOD(SUMPRODUCT(INT((FIND(MID(AZ664,{1,2,3,4,5,6,7,8,9,10,11,12,13,14},1),"0123456789ABCDEFGHIJKLMNOPQRSTUVWXYZ")-1)*{1,2,1,2,1,2,1,2,1,2,1,2,1,2}/36)+MOD((FIND(MID(AZ664,{1,2,3,4,5,6,7,8,9,10,11,12,13,14},1),"0123456789ABCDEFGHIJKLMNOPQRSTUVWXYZ")-1)*{1,2,1,2,1,2,1,2,1,2,1,2,1,2},36)),36),36)+1,1)=MID(AZ664,15,1),"OK","Typo? check digit wrong")),"Wrong format"))</f>
        <v/>
      </c>
      <c r="AW664" s="29">
        <f>IF(BA664="","",IF(AND(LEN(BA664)=10,SUMPRODUCT(--ISERROR(FIND(MID(BA664,{1,2,3,4,5,10},1),"ABCDEFGHIJKLMNOPQRSTUVWXYZ")))=0,SUMPRODUCT(--ISERROR(FIND(MID(BA664,{6,7,8,9},1),"0123456789")))=0),"OK","Wrong format"))</f>
        <v/>
      </c>
      <c r="AX664" s="29">
        <f>IF(TRIM(H664)="","",IF(AND(LEN(UPPER(TRIM(H664)))=10,SUMPRODUCT(--ISERROR(FIND(MID(UPPER(TRIM(H664)),{1,2,3,4,10},1),"ABCDEFGHIJKLMNOPQRSTUVWXYZ")))=0,SUMPRODUCT(--ISERROR(FIND(MID(UPPER(TRIM(H664)),{5,6,7,8,9},1),"0123456789")))=0),"OK","Wrong format"))</f>
        <v/>
      </c>
      <c r="AY664" s="30">
        <f>IF(NOT(COUNTA(A664:AE664)&gt;0),"",IF(BE664&lt;&gt;"","✖ "&amp;LEFT(BE664,LEN(BE664)-2),IF(BD664&gt;0,"✔ Ready — client + "&amp;BD664&amp;" service(s)","✔ Ready — client only")))</f>
        <v/>
      </c>
      <c r="AZ664" s="31">
        <f>UPPER(SUBSTITUTE(TRIM(F664)," ",""))</f>
        <v/>
      </c>
      <c r="BA664" s="31">
        <f>UPPER(SUBSTITUTE(TRIM(E664)," ",""))</f>
        <v/>
      </c>
      <c r="BB664" s="31">
        <f>IF(D664&lt;&gt;"",D664,IFERROR(VLOOKUP(MID(AS664,4,1),Lists!$E$2:$F$8,2,FALSE),""))</f>
        <v/>
      </c>
      <c r="BC664" s="31">
        <f>IFERROR(VLOOKUP(BB664,Lists!$A$2:$C$12,3,FALSE),"")</f>
        <v/>
      </c>
      <c r="BD664" s="31">
        <f>COUNTIF(W664:AC664,"Yes")</f>
        <v/>
      </c>
      <c r="BE664" s="31">
        <f>IF(TRIM(B664)="","Legal name missing; ","")&amp;IF(AND(AV664&lt;&gt;"",AV664&lt;&gt;"OK"),"GSTIN: "&amp;AV664&amp;"; ","")&amp;IF(AND(AW664&lt;&gt;"",AW664&lt;&gt;"OK"),"PAN wrong format; ","")&amp;IF(AND(BA664&lt;&gt;"",LEN(AZ664)=15,MID(AZ664,3,10)&lt;&gt;BA664),"PAN does not match GSTIN; ","")&amp;IF(AND(AX664&lt;&gt;"",AX664&lt;&gt;"OK"),"TAN wrong format; ","")&amp;IF(AS664="","PAN missing; ","")&amp;IF(BB664="","Entity type missing; ","")&amp;IF(AND(AZ664&lt;&gt;"",COUNTIF($AZ$6:$AZ$1005,AZ664)&gt;1),"GSTIN repeated in this sheet; ","")&amp;IF(AND(AS664&lt;&gt;"",COUNTIF($AS$6:$AS$1005,AS664)&gt;1),"PAN repeated in this sheet (same client? put extra GSTINs in Other GSTINs); ","")&amp;IF(AND(BD664&gt;0,V664=""),"Financial year missing; ","")&amp;IF(AND(BD664=0,V664&lt;&gt;""),"Financial year given but no service is Yes; ","")&amp;IF(AND(W664="Yes",AZ664=""),"GST needs a GSTIN; ","")&amp;IF(AND(W664="Yes",X664=""),"GST return frequency missing; ","")&amp;IF(AND(Y664="Yes",TRIM(H664)=""),"TDS needs a TAN; ","")&amp;IF(AND(AA664="Yes",BC664&lt;&gt;"",BC664&lt;&gt;"company",BC664&lt;&gt;"llp"),"ROC is only for a company / LLP; ","")&amp;IF(AND(AA664="Yes",OR(BC664="company",BC664="llp"),TRIM(I664)=""),"ROC needs the CIN / LLPIN; ","")&amp;IF((TRIM(AF664)="")&lt;&gt;(TRIM(AG664)=""),"GST login needs both user ID and password; ","")&amp;IF((TRIM(AH664)="")&lt;&gt;(TRIM(AI664)=""),"Income-tax login needs both user ID and password; ","")&amp;IF((TRIM(AJ664)="")&lt;&gt;(TRIM(AK664)=""),"Income-tax login needs both user ID and password; ","")&amp;IF((TRIM(AL664)="")&lt;&gt;(TRIM(AM664)=""),"TRACES login needs both user ID and password; ","")&amp;IF((TRIM(AN664)="")&lt;&gt;(TRIM(AO664)=""),"MCA login needs both user ID and password; ","")&amp;IF((TRIM(AP664)="")&lt;&gt;(TRIM(AQ664)=""),"E-way bill login needs both user ID and password; ","")</f>
        <v/>
      </c>
    </row>
    <row r="665">
      <c r="A665" s="32" t="n"/>
      <c r="B665" s="33" t="n"/>
      <c r="C665" s="33" t="n"/>
      <c r="D665" s="33" t="n"/>
      <c r="E665" s="32" t="n"/>
      <c r="F665" s="32" t="n"/>
      <c r="G665" s="32" t="n"/>
      <c r="H665" s="32" t="n"/>
      <c r="I665" s="32" t="n"/>
      <c r="J665" s="34" t="n"/>
      <c r="K665" s="33" t="n"/>
      <c r="L665" s="32" t="n"/>
      <c r="M665" s="33" t="n"/>
      <c r="N665" s="33" t="n"/>
      <c r="O665" s="33" t="n"/>
      <c r="P665" s="32" t="n"/>
      <c r="Q665" s="33" t="n"/>
      <c r="R665" s="33" t="n"/>
      <c r="S665" s="33" t="n"/>
      <c r="T665" s="33" t="n"/>
      <c r="U665" s="32" t="n"/>
      <c r="V665" s="33" t="n"/>
      <c r="W665" s="33" t="n"/>
      <c r="X665" s="33" t="n"/>
      <c r="Y665" s="33" t="n"/>
      <c r="Z665" s="33" t="n"/>
      <c r="AA665" s="33" t="n"/>
      <c r="AB665" s="33" t="n"/>
      <c r="AC665" s="33" t="n"/>
      <c r="AD665" s="33" t="n"/>
      <c r="AE665" s="33" t="n"/>
      <c r="AF665" s="32" t="n"/>
      <c r="AG665" s="32" t="n"/>
      <c r="AH665" s="32" t="n"/>
      <c r="AI665" s="32" t="n"/>
      <c r="AJ665" s="32" t="n"/>
      <c r="AK665" s="32" t="n"/>
      <c r="AL665" s="32" t="n"/>
      <c r="AM665" s="32" t="n"/>
      <c r="AN665" s="32" t="n"/>
      <c r="AO665" s="32" t="n"/>
      <c r="AP665" s="32" t="n"/>
      <c r="AQ665" s="32" t="n"/>
      <c r="AR665" s="29">
        <f>IF(NOT(COUNTA(A665:AE665)&gt;0),"",IF(A665="","New client","Update"))</f>
        <v/>
      </c>
      <c r="AS665" s="29">
        <f>IF(BA665&lt;&gt;"",BA665,IF(LEN(AZ665)=15,MID(AZ665,3,10),""))</f>
        <v/>
      </c>
      <c r="AT665" s="29">
        <f>IF(BB665="","",BB665&amp;IF(D665="","  (guessed from PAN)",""))</f>
        <v/>
      </c>
      <c r="AU665" s="29">
        <f>IF(AZ665="","",IFERROR(INDEX(Lists!$L$2:$L$38,MATCH(LEFT(AZ665,2),Lists!$K$2:$K$38,0)),"Unknown code"))</f>
        <v/>
      </c>
      <c r="AV665" s="29">
        <f>IF(AZ665="","",IFERROR(IF(NOT(AND(LEN(AZ665)=15,ISNUMBER(MATCH(LEFT(AZ665,2),Lists!$K$2:$K$38,0)),SUMPRODUCT(--ISERROR(FIND(MID(MID(AZ665,3,10),{1,2,3,4,5,10},1),"ABCDEFGHIJKLMNOPQRSTUVWXYZ")))=0,SUMPRODUCT(--ISERROR(FIND(MID(MID(AZ665,3,10),{6,7,8,9},1),"0123456789")))=0,ISNUMBER(FIND(MID(AZ665,13,1),"123456789ABCDEFGHIJKLMNOPQRSTUVWXYZ")),MID(AZ665,14,1)="Z")),"Wrong format",IF(MID("0123456789ABCDEFGHIJKLMNOPQRSTUVWXYZ",MOD(36-MOD(SUMPRODUCT(INT((FIND(MID(AZ665,{1,2,3,4,5,6,7,8,9,10,11,12,13,14},1),"0123456789ABCDEFGHIJKLMNOPQRSTUVWXYZ")-1)*{1,2,1,2,1,2,1,2,1,2,1,2,1,2}/36)+MOD((FIND(MID(AZ665,{1,2,3,4,5,6,7,8,9,10,11,12,13,14},1),"0123456789ABCDEFGHIJKLMNOPQRSTUVWXYZ")-1)*{1,2,1,2,1,2,1,2,1,2,1,2,1,2},36)),36),36)+1,1)=MID(AZ665,15,1),"OK","Typo? check digit wrong")),"Wrong format"))</f>
        <v/>
      </c>
      <c r="AW665" s="29">
        <f>IF(BA665="","",IF(AND(LEN(BA665)=10,SUMPRODUCT(--ISERROR(FIND(MID(BA665,{1,2,3,4,5,10},1),"ABCDEFGHIJKLMNOPQRSTUVWXYZ")))=0,SUMPRODUCT(--ISERROR(FIND(MID(BA665,{6,7,8,9},1),"0123456789")))=0),"OK","Wrong format"))</f>
        <v/>
      </c>
      <c r="AX665" s="29">
        <f>IF(TRIM(H665)="","",IF(AND(LEN(UPPER(TRIM(H665)))=10,SUMPRODUCT(--ISERROR(FIND(MID(UPPER(TRIM(H665)),{1,2,3,4,10},1),"ABCDEFGHIJKLMNOPQRSTUVWXYZ")))=0,SUMPRODUCT(--ISERROR(FIND(MID(UPPER(TRIM(H665)),{5,6,7,8,9},1),"0123456789")))=0),"OK","Wrong format"))</f>
        <v/>
      </c>
      <c r="AY665" s="30">
        <f>IF(NOT(COUNTA(A665:AE665)&gt;0),"",IF(BE665&lt;&gt;"","✖ "&amp;LEFT(BE665,LEN(BE665)-2),IF(BD665&gt;0,"✔ Ready — client + "&amp;BD665&amp;" service(s)","✔ Ready — client only")))</f>
        <v/>
      </c>
      <c r="AZ665" s="31">
        <f>UPPER(SUBSTITUTE(TRIM(F665)," ",""))</f>
        <v/>
      </c>
      <c r="BA665" s="31">
        <f>UPPER(SUBSTITUTE(TRIM(E665)," ",""))</f>
        <v/>
      </c>
      <c r="BB665" s="31">
        <f>IF(D665&lt;&gt;"",D665,IFERROR(VLOOKUP(MID(AS665,4,1),Lists!$E$2:$F$8,2,FALSE),""))</f>
        <v/>
      </c>
      <c r="BC665" s="31">
        <f>IFERROR(VLOOKUP(BB665,Lists!$A$2:$C$12,3,FALSE),"")</f>
        <v/>
      </c>
      <c r="BD665" s="31">
        <f>COUNTIF(W665:AC665,"Yes")</f>
        <v/>
      </c>
      <c r="BE665" s="31">
        <f>IF(TRIM(B665)="","Legal name missing; ","")&amp;IF(AND(AV665&lt;&gt;"",AV665&lt;&gt;"OK"),"GSTIN: "&amp;AV665&amp;"; ","")&amp;IF(AND(AW665&lt;&gt;"",AW665&lt;&gt;"OK"),"PAN wrong format; ","")&amp;IF(AND(BA665&lt;&gt;"",LEN(AZ665)=15,MID(AZ665,3,10)&lt;&gt;BA665),"PAN does not match GSTIN; ","")&amp;IF(AND(AX665&lt;&gt;"",AX665&lt;&gt;"OK"),"TAN wrong format; ","")&amp;IF(AS665="","PAN missing; ","")&amp;IF(BB665="","Entity type missing; ","")&amp;IF(AND(AZ665&lt;&gt;"",COUNTIF($AZ$6:$AZ$1005,AZ665)&gt;1),"GSTIN repeated in this sheet; ","")&amp;IF(AND(AS665&lt;&gt;"",COUNTIF($AS$6:$AS$1005,AS665)&gt;1),"PAN repeated in this sheet (same client? put extra GSTINs in Other GSTINs); ","")&amp;IF(AND(BD665&gt;0,V665=""),"Financial year missing; ","")&amp;IF(AND(BD665=0,V665&lt;&gt;""),"Financial year given but no service is Yes; ","")&amp;IF(AND(W665="Yes",AZ665=""),"GST needs a GSTIN; ","")&amp;IF(AND(W665="Yes",X665=""),"GST return frequency missing; ","")&amp;IF(AND(Y665="Yes",TRIM(H665)=""),"TDS needs a TAN; ","")&amp;IF(AND(AA665="Yes",BC665&lt;&gt;"",BC665&lt;&gt;"company",BC665&lt;&gt;"llp"),"ROC is only for a company / LLP; ","")&amp;IF(AND(AA665="Yes",OR(BC665="company",BC665="llp"),TRIM(I665)=""),"ROC needs the CIN / LLPIN; ","")&amp;IF((TRIM(AF665)="")&lt;&gt;(TRIM(AG665)=""),"GST login needs both user ID and password; ","")&amp;IF((TRIM(AH665)="")&lt;&gt;(TRIM(AI665)=""),"Income-tax login needs both user ID and password; ","")&amp;IF((TRIM(AJ665)="")&lt;&gt;(TRIM(AK665)=""),"Income-tax login needs both user ID and password; ","")&amp;IF((TRIM(AL665)="")&lt;&gt;(TRIM(AM665)=""),"TRACES login needs both user ID and password; ","")&amp;IF((TRIM(AN665)="")&lt;&gt;(TRIM(AO665)=""),"MCA login needs both user ID and password; ","")&amp;IF((TRIM(AP665)="")&lt;&gt;(TRIM(AQ665)=""),"E-way bill login needs both user ID and password; ","")</f>
        <v/>
      </c>
    </row>
    <row r="666">
      <c r="A666" s="32" t="n"/>
      <c r="B666" s="33" t="n"/>
      <c r="C666" s="33" t="n"/>
      <c r="D666" s="33" t="n"/>
      <c r="E666" s="32" t="n"/>
      <c r="F666" s="32" t="n"/>
      <c r="G666" s="32" t="n"/>
      <c r="H666" s="32" t="n"/>
      <c r="I666" s="32" t="n"/>
      <c r="J666" s="34" t="n"/>
      <c r="K666" s="33" t="n"/>
      <c r="L666" s="32" t="n"/>
      <c r="M666" s="33" t="n"/>
      <c r="N666" s="33" t="n"/>
      <c r="O666" s="33" t="n"/>
      <c r="P666" s="32" t="n"/>
      <c r="Q666" s="33" t="n"/>
      <c r="R666" s="33" t="n"/>
      <c r="S666" s="33" t="n"/>
      <c r="T666" s="33" t="n"/>
      <c r="U666" s="32" t="n"/>
      <c r="V666" s="33" t="n"/>
      <c r="W666" s="33" t="n"/>
      <c r="X666" s="33" t="n"/>
      <c r="Y666" s="33" t="n"/>
      <c r="Z666" s="33" t="n"/>
      <c r="AA666" s="33" t="n"/>
      <c r="AB666" s="33" t="n"/>
      <c r="AC666" s="33" t="n"/>
      <c r="AD666" s="33" t="n"/>
      <c r="AE666" s="33" t="n"/>
      <c r="AF666" s="32" t="n"/>
      <c r="AG666" s="32" t="n"/>
      <c r="AH666" s="32" t="n"/>
      <c r="AI666" s="32" t="n"/>
      <c r="AJ666" s="32" t="n"/>
      <c r="AK666" s="32" t="n"/>
      <c r="AL666" s="32" t="n"/>
      <c r="AM666" s="32" t="n"/>
      <c r="AN666" s="32" t="n"/>
      <c r="AO666" s="32" t="n"/>
      <c r="AP666" s="32" t="n"/>
      <c r="AQ666" s="32" t="n"/>
      <c r="AR666" s="29">
        <f>IF(NOT(COUNTA(A666:AE666)&gt;0),"",IF(A666="","New client","Update"))</f>
        <v/>
      </c>
      <c r="AS666" s="29">
        <f>IF(BA666&lt;&gt;"",BA666,IF(LEN(AZ666)=15,MID(AZ666,3,10),""))</f>
        <v/>
      </c>
      <c r="AT666" s="29">
        <f>IF(BB666="","",BB666&amp;IF(D666="","  (guessed from PAN)",""))</f>
        <v/>
      </c>
      <c r="AU666" s="29">
        <f>IF(AZ666="","",IFERROR(INDEX(Lists!$L$2:$L$38,MATCH(LEFT(AZ666,2),Lists!$K$2:$K$38,0)),"Unknown code"))</f>
        <v/>
      </c>
      <c r="AV666" s="29">
        <f>IF(AZ666="","",IFERROR(IF(NOT(AND(LEN(AZ666)=15,ISNUMBER(MATCH(LEFT(AZ666,2),Lists!$K$2:$K$38,0)),SUMPRODUCT(--ISERROR(FIND(MID(MID(AZ666,3,10),{1,2,3,4,5,10},1),"ABCDEFGHIJKLMNOPQRSTUVWXYZ")))=0,SUMPRODUCT(--ISERROR(FIND(MID(MID(AZ666,3,10),{6,7,8,9},1),"0123456789")))=0,ISNUMBER(FIND(MID(AZ666,13,1),"123456789ABCDEFGHIJKLMNOPQRSTUVWXYZ")),MID(AZ666,14,1)="Z")),"Wrong format",IF(MID("0123456789ABCDEFGHIJKLMNOPQRSTUVWXYZ",MOD(36-MOD(SUMPRODUCT(INT((FIND(MID(AZ666,{1,2,3,4,5,6,7,8,9,10,11,12,13,14},1),"0123456789ABCDEFGHIJKLMNOPQRSTUVWXYZ")-1)*{1,2,1,2,1,2,1,2,1,2,1,2,1,2}/36)+MOD((FIND(MID(AZ666,{1,2,3,4,5,6,7,8,9,10,11,12,13,14},1),"0123456789ABCDEFGHIJKLMNOPQRSTUVWXYZ")-1)*{1,2,1,2,1,2,1,2,1,2,1,2,1,2},36)),36),36)+1,1)=MID(AZ666,15,1),"OK","Typo? check digit wrong")),"Wrong format"))</f>
        <v/>
      </c>
      <c r="AW666" s="29">
        <f>IF(BA666="","",IF(AND(LEN(BA666)=10,SUMPRODUCT(--ISERROR(FIND(MID(BA666,{1,2,3,4,5,10},1),"ABCDEFGHIJKLMNOPQRSTUVWXYZ")))=0,SUMPRODUCT(--ISERROR(FIND(MID(BA666,{6,7,8,9},1),"0123456789")))=0),"OK","Wrong format"))</f>
        <v/>
      </c>
      <c r="AX666" s="29">
        <f>IF(TRIM(H666)="","",IF(AND(LEN(UPPER(TRIM(H666)))=10,SUMPRODUCT(--ISERROR(FIND(MID(UPPER(TRIM(H666)),{1,2,3,4,10},1),"ABCDEFGHIJKLMNOPQRSTUVWXYZ")))=0,SUMPRODUCT(--ISERROR(FIND(MID(UPPER(TRIM(H666)),{5,6,7,8,9},1),"0123456789")))=0),"OK","Wrong format"))</f>
        <v/>
      </c>
      <c r="AY666" s="30">
        <f>IF(NOT(COUNTA(A666:AE666)&gt;0),"",IF(BE666&lt;&gt;"","✖ "&amp;LEFT(BE666,LEN(BE666)-2),IF(BD666&gt;0,"✔ Ready — client + "&amp;BD666&amp;" service(s)","✔ Ready — client only")))</f>
        <v/>
      </c>
      <c r="AZ666" s="31">
        <f>UPPER(SUBSTITUTE(TRIM(F666)," ",""))</f>
        <v/>
      </c>
      <c r="BA666" s="31">
        <f>UPPER(SUBSTITUTE(TRIM(E666)," ",""))</f>
        <v/>
      </c>
      <c r="BB666" s="31">
        <f>IF(D666&lt;&gt;"",D666,IFERROR(VLOOKUP(MID(AS666,4,1),Lists!$E$2:$F$8,2,FALSE),""))</f>
        <v/>
      </c>
      <c r="BC666" s="31">
        <f>IFERROR(VLOOKUP(BB666,Lists!$A$2:$C$12,3,FALSE),"")</f>
        <v/>
      </c>
      <c r="BD666" s="31">
        <f>COUNTIF(W666:AC666,"Yes")</f>
        <v/>
      </c>
      <c r="BE666" s="31">
        <f>IF(TRIM(B666)="","Legal name missing; ","")&amp;IF(AND(AV666&lt;&gt;"",AV666&lt;&gt;"OK"),"GSTIN: "&amp;AV666&amp;"; ","")&amp;IF(AND(AW666&lt;&gt;"",AW666&lt;&gt;"OK"),"PAN wrong format; ","")&amp;IF(AND(BA666&lt;&gt;"",LEN(AZ666)=15,MID(AZ666,3,10)&lt;&gt;BA666),"PAN does not match GSTIN; ","")&amp;IF(AND(AX666&lt;&gt;"",AX666&lt;&gt;"OK"),"TAN wrong format; ","")&amp;IF(AS666="","PAN missing; ","")&amp;IF(BB666="","Entity type missing; ","")&amp;IF(AND(AZ666&lt;&gt;"",COUNTIF($AZ$6:$AZ$1005,AZ666)&gt;1),"GSTIN repeated in this sheet; ","")&amp;IF(AND(AS666&lt;&gt;"",COUNTIF($AS$6:$AS$1005,AS666)&gt;1),"PAN repeated in this sheet (same client? put extra GSTINs in Other GSTINs); ","")&amp;IF(AND(BD666&gt;0,V666=""),"Financial year missing; ","")&amp;IF(AND(BD666=0,V666&lt;&gt;""),"Financial year given but no service is Yes; ","")&amp;IF(AND(W666="Yes",AZ666=""),"GST needs a GSTIN; ","")&amp;IF(AND(W666="Yes",X666=""),"GST return frequency missing; ","")&amp;IF(AND(Y666="Yes",TRIM(H666)=""),"TDS needs a TAN; ","")&amp;IF(AND(AA666="Yes",BC666&lt;&gt;"",BC666&lt;&gt;"company",BC666&lt;&gt;"llp"),"ROC is only for a company / LLP; ","")&amp;IF(AND(AA666="Yes",OR(BC666="company",BC666="llp"),TRIM(I666)=""),"ROC needs the CIN / LLPIN; ","")&amp;IF((TRIM(AF666)="")&lt;&gt;(TRIM(AG666)=""),"GST login needs both user ID and password; ","")&amp;IF((TRIM(AH666)="")&lt;&gt;(TRIM(AI666)=""),"Income-tax login needs both user ID and password; ","")&amp;IF((TRIM(AJ666)="")&lt;&gt;(TRIM(AK666)=""),"Income-tax login needs both user ID and password; ","")&amp;IF((TRIM(AL666)="")&lt;&gt;(TRIM(AM666)=""),"TRACES login needs both user ID and password; ","")&amp;IF((TRIM(AN666)="")&lt;&gt;(TRIM(AO666)=""),"MCA login needs both user ID and password; ","")&amp;IF((TRIM(AP666)="")&lt;&gt;(TRIM(AQ666)=""),"E-way bill login needs both user ID and password; ","")</f>
        <v/>
      </c>
    </row>
    <row r="667">
      <c r="A667" s="32" t="n"/>
      <c r="B667" s="33" t="n"/>
      <c r="C667" s="33" t="n"/>
      <c r="D667" s="33" t="n"/>
      <c r="E667" s="32" t="n"/>
      <c r="F667" s="32" t="n"/>
      <c r="G667" s="32" t="n"/>
      <c r="H667" s="32" t="n"/>
      <c r="I667" s="32" t="n"/>
      <c r="J667" s="34" t="n"/>
      <c r="K667" s="33" t="n"/>
      <c r="L667" s="32" t="n"/>
      <c r="M667" s="33" t="n"/>
      <c r="N667" s="33" t="n"/>
      <c r="O667" s="33" t="n"/>
      <c r="P667" s="32" t="n"/>
      <c r="Q667" s="33" t="n"/>
      <c r="R667" s="33" t="n"/>
      <c r="S667" s="33" t="n"/>
      <c r="T667" s="33" t="n"/>
      <c r="U667" s="32" t="n"/>
      <c r="V667" s="33" t="n"/>
      <c r="W667" s="33" t="n"/>
      <c r="X667" s="33" t="n"/>
      <c r="Y667" s="33" t="n"/>
      <c r="Z667" s="33" t="n"/>
      <c r="AA667" s="33" t="n"/>
      <c r="AB667" s="33" t="n"/>
      <c r="AC667" s="33" t="n"/>
      <c r="AD667" s="33" t="n"/>
      <c r="AE667" s="33" t="n"/>
      <c r="AF667" s="32" t="n"/>
      <c r="AG667" s="32" t="n"/>
      <c r="AH667" s="32" t="n"/>
      <c r="AI667" s="32" t="n"/>
      <c r="AJ667" s="32" t="n"/>
      <c r="AK667" s="32" t="n"/>
      <c r="AL667" s="32" t="n"/>
      <c r="AM667" s="32" t="n"/>
      <c r="AN667" s="32" t="n"/>
      <c r="AO667" s="32" t="n"/>
      <c r="AP667" s="32" t="n"/>
      <c r="AQ667" s="32" t="n"/>
      <c r="AR667" s="29">
        <f>IF(NOT(COUNTA(A667:AE667)&gt;0),"",IF(A667="","New client","Update"))</f>
        <v/>
      </c>
      <c r="AS667" s="29">
        <f>IF(BA667&lt;&gt;"",BA667,IF(LEN(AZ667)=15,MID(AZ667,3,10),""))</f>
        <v/>
      </c>
      <c r="AT667" s="29">
        <f>IF(BB667="","",BB667&amp;IF(D667="","  (guessed from PAN)",""))</f>
        <v/>
      </c>
      <c r="AU667" s="29">
        <f>IF(AZ667="","",IFERROR(INDEX(Lists!$L$2:$L$38,MATCH(LEFT(AZ667,2),Lists!$K$2:$K$38,0)),"Unknown code"))</f>
        <v/>
      </c>
      <c r="AV667" s="29">
        <f>IF(AZ667="","",IFERROR(IF(NOT(AND(LEN(AZ667)=15,ISNUMBER(MATCH(LEFT(AZ667,2),Lists!$K$2:$K$38,0)),SUMPRODUCT(--ISERROR(FIND(MID(MID(AZ667,3,10),{1,2,3,4,5,10},1),"ABCDEFGHIJKLMNOPQRSTUVWXYZ")))=0,SUMPRODUCT(--ISERROR(FIND(MID(MID(AZ667,3,10),{6,7,8,9},1),"0123456789")))=0,ISNUMBER(FIND(MID(AZ667,13,1),"123456789ABCDEFGHIJKLMNOPQRSTUVWXYZ")),MID(AZ667,14,1)="Z")),"Wrong format",IF(MID("0123456789ABCDEFGHIJKLMNOPQRSTUVWXYZ",MOD(36-MOD(SUMPRODUCT(INT((FIND(MID(AZ667,{1,2,3,4,5,6,7,8,9,10,11,12,13,14},1),"0123456789ABCDEFGHIJKLMNOPQRSTUVWXYZ")-1)*{1,2,1,2,1,2,1,2,1,2,1,2,1,2}/36)+MOD((FIND(MID(AZ667,{1,2,3,4,5,6,7,8,9,10,11,12,13,14},1),"0123456789ABCDEFGHIJKLMNOPQRSTUVWXYZ")-1)*{1,2,1,2,1,2,1,2,1,2,1,2,1,2},36)),36),36)+1,1)=MID(AZ667,15,1),"OK","Typo? check digit wrong")),"Wrong format"))</f>
        <v/>
      </c>
      <c r="AW667" s="29">
        <f>IF(BA667="","",IF(AND(LEN(BA667)=10,SUMPRODUCT(--ISERROR(FIND(MID(BA667,{1,2,3,4,5,10},1),"ABCDEFGHIJKLMNOPQRSTUVWXYZ")))=0,SUMPRODUCT(--ISERROR(FIND(MID(BA667,{6,7,8,9},1),"0123456789")))=0),"OK","Wrong format"))</f>
        <v/>
      </c>
      <c r="AX667" s="29">
        <f>IF(TRIM(H667)="","",IF(AND(LEN(UPPER(TRIM(H667)))=10,SUMPRODUCT(--ISERROR(FIND(MID(UPPER(TRIM(H667)),{1,2,3,4,10},1),"ABCDEFGHIJKLMNOPQRSTUVWXYZ")))=0,SUMPRODUCT(--ISERROR(FIND(MID(UPPER(TRIM(H667)),{5,6,7,8,9},1),"0123456789")))=0),"OK","Wrong format"))</f>
        <v/>
      </c>
      <c r="AY667" s="30">
        <f>IF(NOT(COUNTA(A667:AE667)&gt;0),"",IF(BE667&lt;&gt;"","✖ "&amp;LEFT(BE667,LEN(BE667)-2),IF(BD667&gt;0,"✔ Ready — client + "&amp;BD667&amp;" service(s)","✔ Ready — client only")))</f>
        <v/>
      </c>
      <c r="AZ667" s="31">
        <f>UPPER(SUBSTITUTE(TRIM(F667)," ",""))</f>
        <v/>
      </c>
      <c r="BA667" s="31">
        <f>UPPER(SUBSTITUTE(TRIM(E667)," ",""))</f>
        <v/>
      </c>
      <c r="BB667" s="31">
        <f>IF(D667&lt;&gt;"",D667,IFERROR(VLOOKUP(MID(AS667,4,1),Lists!$E$2:$F$8,2,FALSE),""))</f>
        <v/>
      </c>
      <c r="BC667" s="31">
        <f>IFERROR(VLOOKUP(BB667,Lists!$A$2:$C$12,3,FALSE),"")</f>
        <v/>
      </c>
      <c r="BD667" s="31">
        <f>COUNTIF(W667:AC667,"Yes")</f>
        <v/>
      </c>
      <c r="BE667" s="31">
        <f>IF(TRIM(B667)="","Legal name missing; ","")&amp;IF(AND(AV667&lt;&gt;"",AV667&lt;&gt;"OK"),"GSTIN: "&amp;AV667&amp;"; ","")&amp;IF(AND(AW667&lt;&gt;"",AW667&lt;&gt;"OK"),"PAN wrong format; ","")&amp;IF(AND(BA667&lt;&gt;"",LEN(AZ667)=15,MID(AZ667,3,10)&lt;&gt;BA667),"PAN does not match GSTIN; ","")&amp;IF(AND(AX667&lt;&gt;"",AX667&lt;&gt;"OK"),"TAN wrong format; ","")&amp;IF(AS667="","PAN missing; ","")&amp;IF(BB667="","Entity type missing; ","")&amp;IF(AND(AZ667&lt;&gt;"",COUNTIF($AZ$6:$AZ$1005,AZ667)&gt;1),"GSTIN repeated in this sheet; ","")&amp;IF(AND(AS667&lt;&gt;"",COUNTIF($AS$6:$AS$1005,AS667)&gt;1),"PAN repeated in this sheet (same client? put extra GSTINs in Other GSTINs); ","")&amp;IF(AND(BD667&gt;0,V667=""),"Financial year missing; ","")&amp;IF(AND(BD667=0,V667&lt;&gt;""),"Financial year given but no service is Yes; ","")&amp;IF(AND(W667="Yes",AZ667=""),"GST needs a GSTIN; ","")&amp;IF(AND(W667="Yes",X667=""),"GST return frequency missing; ","")&amp;IF(AND(Y667="Yes",TRIM(H667)=""),"TDS needs a TAN; ","")&amp;IF(AND(AA667="Yes",BC667&lt;&gt;"",BC667&lt;&gt;"company",BC667&lt;&gt;"llp"),"ROC is only for a company / LLP; ","")&amp;IF(AND(AA667="Yes",OR(BC667="company",BC667="llp"),TRIM(I667)=""),"ROC needs the CIN / LLPIN; ","")&amp;IF((TRIM(AF667)="")&lt;&gt;(TRIM(AG667)=""),"GST login needs both user ID and password; ","")&amp;IF((TRIM(AH667)="")&lt;&gt;(TRIM(AI667)=""),"Income-tax login needs both user ID and password; ","")&amp;IF((TRIM(AJ667)="")&lt;&gt;(TRIM(AK667)=""),"Income-tax login needs both user ID and password; ","")&amp;IF((TRIM(AL667)="")&lt;&gt;(TRIM(AM667)=""),"TRACES login needs both user ID and password; ","")&amp;IF((TRIM(AN667)="")&lt;&gt;(TRIM(AO667)=""),"MCA login needs both user ID and password; ","")&amp;IF((TRIM(AP667)="")&lt;&gt;(TRIM(AQ667)=""),"E-way bill login needs both user ID and password; ","")</f>
        <v/>
      </c>
    </row>
    <row r="668">
      <c r="A668" s="32" t="n"/>
      <c r="B668" s="33" t="n"/>
      <c r="C668" s="33" t="n"/>
      <c r="D668" s="33" t="n"/>
      <c r="E668" s="32" t="n"/>
      <c r="F668" s="32" t="n"/>
      <c r="G668" s="32" t="n"/>
      <c r="H668" s="32" t="n"/>
      <c r="I668" s="32" t="n"/>
      <c r="J668" s="34" t="n"/>
      <c r="K668" s="33" t="n"/>
      <c r="L668" s="32" t="n"/>
      <c r="M668" s="33" t="n"/>
      <c r="N668" s="33" t="n"/>
      <c r="O668" s="33" t="n"/>
      <c r="P668" s="32" t="n"/>
      <c r="Q668" s="33" t="n"/>
      <c r="R668" s="33" t="n"/>
      <c r="S668" s="33" t="n"/>
      <c r="T668" s="33" t="n"/>
      <c r="U668" s="32" t="n"/>
      <c r="V668" s="33" t="n"/>
      <c r="W668" s="33" t="n"/>
      <c r="X668" s="33" t="n"/>
      <c r="Y668" s="33" t="n"/>
      <c r="Z668" s="33" t="n"/>
      <c r="AA668" s="33" t="n"/>
      <c r="AB668" s="33" t="n"/>
      <c r="AC668" s="33" t="n"/>
      <c r="AD668" s="33" t="n"/>
      <c r="AE668" s="33" t="n"/>
      <c r="AF668" s="32" t="n"/>
      <c r="AG668" s="32" t="n"/>
      <c r="AH668" s="32" t="n"/>
      <c r="AI668" s="32" t="n"/>
      <c r="AJ668" s="32" t="n"/>
      <c r="AK668" s="32" t="n"/>
      <c r="AL668" s="32" t="n"/>
      <c r="AM668" s="32" t="n"/>
      <c r="AN668" s="32" t="n"/>
      <c r="AO668" s="32" t="n"/>
      <c r="AP668" s="32" t="n"/>
      <c r="AQ668" s="32" t="n"/>
      <c r="AR668" s="29">
        <f>IF(NOT(COUNTA(A668:AE668)&gt;0),"",IF(A668="","New client","Update"))</f>
        <v/>
      </c>
      <c r="AS668" s="29">
        <f>IF(BA668&lt;&gt;"",BA668,IF(LEN(AZ668)=15,MID(AZ668,3,10),""))</f>
        <v/>
      </c>
      <c r="AT668" s="29">
        <f>IF(BB668="","",BB668&amp;IF(D668="","  (guessed from PAN)",""))</f>
        <v/>
      </c>
      <c r="AU668" s="29">
        <f>IF(AZ668="","",IFERROR(INDEX(Lists!$L$2:$L$38,MATCH(LEFT(AZ668,2),Lists!$K$2:$K$38,0)),"Unknown code"))</f>
        <v/>
      </c>
      <c r="AV668" s="29">
        <f>IF(AZ668="","",IFERROR(IF(NOT(AND(LEN(AZ668)=15,ISNUMBER(MATCH(LEFT(AZ668,2),Lists!$K$2:$K$38,0)),SUMPRODUCT(--ISERROR(FIND(MID(MID(AZ668,3,10),{1,2,3,4,5,10},1),"ABCDEFGHIJKLMNOPQRSTUVWXYZ")))=0,SUMPRODUCT(--ISERROR(FIND(MID(MID(AZ668,3,10),{6,7,8,9},1),"0123456789")))=0,ISNUMBER(FIND(MID(AZ668,13,1),"123456789ABCDEFGHIJKLMNOPQRSTUVWXYZ")),MID(AZ668,14,1)="Z")),"Wrong format",IF(MID("0123456789ABCDEFGHIJKLMNOPQRSTUVWXYZ",MOD(36-MOD(SUMPRODUCT(INT((FIND(MID(AZ668,{1,2,3,4,5,6,7,8,9,10,11,12,13,14},1),"0123456789ABCDEFGHIJKLMNOPQRSTUVWXYZ")-1)*{1,2,1,2,1,2,1,2,1,2,1,2,1,2}/36)+MOD((FIND(MID(AZ668,{1,2,3,4,5,6,7,8,9,10,11,12,13,14},1),"0123456789ABCDEFGHIJKLMNOPQRSTUVWXYZ")-1)*{1,2,1,2,1,2,1,2,1,2,1,2,1,2},36)),36),36)+1,1)=MID(AZ668,15,1),"OK","Typo? check digit wrong")),"Wrong format"))</f>
        <v/>
      </c>
      <c r="AW668" s="29">
        <f>IF(BA668="","",IF(AND(LEN(BA668)=10,SUMPRODUCT(--ISERROR(FIND(MID(BA668,{1,2,3,4,5,10},1),"ABCDEFGHIJKLMNOPQRSTUVWXYZ")))=0,SUMPRODUCT(--ISERROR(FIND(MID(BA668,{6,7,8,9},1),"0123456789")))=0),"OK","Wrong format"))</f>
        <v/>
      </c>
      <c r="AX668" s="29">
        <f>IF(TRIM(H668)="","",IF(AND(LEN(UPPER(TRIM(H668)))=10,SUMPRODUCT(--ISERROR(FIND(MID(UPPER(TRIM(H668)),{1,2,3,4,10},1),"ABCDEFGHIJKLMNOPQRSTUVWXYZ")))=0,SUMPRODUCT(--ISERROR(FIND(MID(UPPER(TRIM(H668)),{5,6,7,8,9},1),"0123456789")))=0),"OK","Wrong format"))</f>
        <v/>
      </c>
      <c r="AY668" s="30">
        <f>IF(NOT(COUNTA(A668:AE668)&gt;0),"",IF(BE668&lt;&gt;"","✖ "&amp;LEFT(BE668,LEN(BE668)-2),IF(BD668&gt;0,"✔ Ready — client + "&amp;BD668&amp;" service(s)","✔ Ready — client only")))</f>
        <v/>
      </c>
      <c r="AZ668" s="31">
        <f>UPPER(SUBSTITUTE(TRIM(F668)," ",""))</f>
        <v/>
      </c>
      <c r="BA668" s="31">
        <f>UPPER(SUBSTITUTE(TRIM(E668)," ",""))</f>
        <v/>
      </c>
      <c r="BB668" s="31">
        <f>IF(D668&lt;&gt;"",D668,IFERROR(VLOOKUP(MID(AS668,4,1),Lists!$E$2:$F$8,2,FALSE),""))</f>
        <v/>
      </c>
      <c r="BC668" s="31">
        <f>IFERROR(VLOOKUP(BB668,Lists!$A$2:$C$12,3,FALSE),"")</f>
        <v/>
      </c>
      <c r="BD668" s="31">
        <f>COUNTIF(W668:AC668,"Yes")</f>
        <v/>
      </c>
      <c r="BE668" s="31">
        <f>IF(TRIM(B668)="","Legal name missing; ","")&amp;IF(AND(AV668&lt;&gt;"",AV668&lt;&gt;"OK"),"GSTIN: "&amp;AV668&amp;"; ","")&amp;IF(AND(AW668&lt;&gt;"",AW668&lt;&gt;"OK"),"PAN wrong format; ","")&amp;IF(AND(BA668&lt;&gt;"",LEN(AZ668)=15,MID(AZ668,3,10)&lt;&gt;BA668),"PAN does not match GSTIN; ","")&amp;IF(AND(AX668&lt;&gt;"",AX668&lt;&gt;"OK"),"TAN wrong format; ","")&amp;IF(AS668="","PAN missing; ","")&amp;IF(BB668="","Entity type missing; ","")&amp;IF(AND(AZ668&lt;&gt;"",COUNTIF($AZ$6:$AZ$1005,AZ668)&gt;1),"GSTIN repeated in this sheet; ","")&amp;IF(AND(AS668&lt;&gt;"",COUNTIF($AS$6:$AS$1005,AS668)&gt;1),"PAN repeated in this sheet (same client? put extra GSTINs in Other GSTINs); ","")&amp;IF(AND(BD668&gt;0,V668=""),"Financial year missing; ","")&amp;IF(AND(BD668=0,V668&lt;&gt;""),"Financial year given but no service is Yes; ","")&amp;IF(AND(W668="Yes",AZ668=""),"GST needs a GSTIN; ","")&amp;IF(AND(W668="Yes",X668=""),"GST return frequency missing; ","")&amp;IF(AND(Y668="Yes",TRIM(H668)=""),"TDS needs a TAN; ","")&amp;IF(AND(AA668="Yes",BC668&lt;&gt;"",BC668&lt;&gt;"company",BC668&lt;&gt;"llp"),"ROC is only for a company / LLP; ","")&amp;IF(AND(AA668="Yes",OR(BC668="company",BC668="llp"),TRIM(I668)=""),"ROC needs the CIN / LLPIN; ","")&amp;IF((TRIM(AF668)="")&lt;&gt;(TRIM(AG668)=""),"GST login needs both user ID and password; ","")&amp;IF((TRIM(AH668)="")&lt;&gt;(TRIM(AI668)=""),"Income-tax login needs both user ID and password; ","")&amp;IF((TRIM(AJ668)="")&lt;&gt;(TRIM(AK668)=""),"Income-tax login needs both user ID and password; ","")&amp;IF((TRIM(AL668)="")&lt;&gt;(TRIM(AM668)=""),"TRACES login needs both user ID and password; ","")&amp;IF((TRIM(AN668)="")&lt;&gt;(TRIM(AO668)=""),"MCA login needs both user ID and password; ","")&amp;IF((TRIM(AP668)="")&lt;&gt;(TRIM(AQ668)=""),"E-way bill login needs both user ID and password; ","")</f>
        <v/>
      </c>
    </row>
    <row r="669">
      <c r="A669" s="32" t="n"/>
      <c r="B669" s="33" t="n"/>
      <c r="C669" s="33" t="n"/>
      <c r="D669" s="33" t="n"/>
      <c r="E669" s="32" t="n"/>
      <c r="F669" s="32" t="n"/>
      <c r="G669" s="32" t="n"/>
      <c r="H669" s="32" t="n"/>
      <c r="I669" s="32" t="n"/>
      <c r="J669" s="34" t="n"/>
      <c r="K669" s="33" t="n"/>
      <c r="L669" s="32" t="n"/>
      <c r="M669" s="33" t="n"/>
      <c r="N669" s="33" t="n"/>
      <c r="O669" s="33" t="n"/>
      <c r="P669" s="32" t="n"/>
      <c r="Q669" s="33" t="n"/>
      <c r="R669" s="33" t="n"/>
      <c r="S669" s="33" t="n"/>
      <c r="T669" s="33" t="n"/>
      <c r="U669" s="32" t="n"/>
      <c r="V669" s="33" t="n"/>
      <c r="W669" s="33" t="n"/>
      <c r="X669" s="33" t="n"/>
      <c r="Y669" s="33" t="n"/>
      <c r="Z669" s="33" t="n"/>
      <c r="AA669" s="33" t="n"/>
      <c r="AB669" s="33" t="n"/>
      <c r="AC669" s="33" t="n"/>
      <c r="AD669" s="33" t="n"/>
      <c r="AE669" s="33" t="n"/>
      <c r="AF669" s="32" t="n"/>
      <c r="AG669" s="32" t="n"/>
      <c r="AH669" s="32" t="n"/>
      <c r="AI669" s="32" t="n"/>
      <c r="AJ669" s="32" t="n"/>
      <c r="AK669" s="32" t="n"/>
      <c r="AL669" s="32" t="n"/>
      <c r="AM669" s="32" t="n"/>
      <c r="AN669" s="32" t="n"/>
      <c r="AO669" s="32" t="n"/>
      <c r="AP669" s="32" t="n"/>
      <c r="AQ669" s="32" t="n"/>
      <c r="AR669" s="29">
        <f>IF(NOT(COUNTA(A669:AE669)&gt;0),"",IF(A669="","New client","Update"))</f>
        <v/>
      </c>
      <c r="AS669" s="29">
        <f>IF(BA669&lt;&gt;"",BA669,IF(LEN(AZ669)=15,MID(AZ669,3,10),""))</f>
        <v/>
      </c>
      <c r="AT669" s="29">
        <f>IF(BB669="","",BB669&amp;IF(D669="","  (guessed from PAN)",""))</f>
        <v/>
      </c>
      <c r="AU669" s="29">
        <f>IF(AZ669="","",IFERROR(INDEX(Lists!$L$2:$L$38,MATCH(LEFT(AZ669,2),Lists!$K$2:$K$38,0)),"Unknown code"))</f>
        <v/>
      </c>
      <c r="AV669" s="29">
        <f>IF(AZ669="","",IFERROR(IF(NOT(AND(LEN(AZ669)=15,ISNUMBER(MATCH(LEFT(AZ669,2),Lists!$K$2:$K$38,0)),SUMPRODUCT(--ISERROR(FIND(MID(MID(AZ669,3,10),{1,2,3,4,5,10},1),"ABCDEFGHIJKLMNOPQRSTUVWXYZ")))=0,SUMPRODUCT(--ISERROR(FIND(MID(MID(AZ669,3,10),{6,7,8,9},1),"0123456789")))=0,ISNUMBER(FIND(MID(AZ669,13,1),"123456789ABCDEFGHIJKLMNOPQRSTUVWXYZ")),MID(AZ669,14,1)="Z")),"Wrong format",IF(MID("0123456789ABCDEFGHIJKLMNOPQRSTUVWXYZ",MOD(36-MOD(SUMPRODUCT(INT((FIND(MID(AZ669,{1,2,3,4,5,6,7,8,9,10,11,12,13,14},1),"0123456789ABCDEFGHIJKLMNOPQRSTUVWXYZ")-1)*{1,2,1,2,1,2,1,2,1,2,1,2,1,2}/36)+MOD((FIND(MID(AZ669,{1,2,3,4,5,6,7,8,9,10,11,12,13,14},1),"0123456789ABCDEFGHIJKLMNOPQRSTUVWXYZ")-1)*{1,2,1,2,1,2,1,2,1,2,1,2,1,2},36)),36),36)+1,1)=MID(AZ669,15,1),"OK","Typo? check digit wrong")),"Wrong format"))</f>
        <v/>
      </c>
      <c r="AW669" s="29">
        <f>IF(BA669="","",IF(AND(LEN(BA669)=10,SUMPRODUCT(--ISERROR(FIND(MID(BA669,{1,2,3,4,5,10},1),"ABCDEFGHIJKLMNOPQRSTUVWXYZ")))=0,SUMPRODUCT(--ISERROR(FIND(MID(BA669,{6,7,8,9},1),"0123456789")))=0),"OK","Wrong format"))</f>
        <v/>
      </c>
      <c r="AX669" s="29">
        <f>IF(TRIM(H669)="","",IF(AND(LEN(UPPER(TRIM(H669)))=10,SUMPRODUCT(--ISERROR(FIND(MID(UPPER(TRIM(H669)),{1,2,3,4,10},1),"ABCDEFGHIJKLMNOPQRSTUVWXYZ")))=0,SUMPRODUCT(--ISERROR(FIND(MID(UPPER(TRIM(H669)),{5,6,7,8,9},1),"0123456789")))=0),"OK","Wrong format"))</f>
        <v/>
      </c>
      <c r="AY669" s="30">
        <f>IF(NOT(COUNTA(A669:AE669)&gt;0),"",IF(BE669&lt;&gt;"","✖ "&amp;LEFT(BE669,LEN(BE669)-2),IF(BD669&gt;0,"✔ Ready — client + "&amp;BD669&amp;" service(s)","✔ Ready — client only")))</f>
        <v/>
      </c>
      <c r="AZ669" s="31">
        <f>UPPER(SUBSTITUTE(TRIM(F669)," ",""))</f>
        <v/>
      </c>
      <c r="BA669" s="31">
        <f>UPPER(SUBSTITUTE(TRIM(E669)," ",""))</f>
        <v/>
      </c>
      <c r="BB669" s="31">
        <f>IF(D669&lt;&gt;"",D669,IFERROR(VLOOKUP(MID(AS669,4,1),Lists!$E$2:$F$8,2,FALSE),""))</f>
        <v/>
      </c>
      <c r="BC669" s="31">
        <f>IFERROR(VLOOKUP(BB669,Lists!$A$2:$C$12,3,FALSE),"")</f>
        <v/>
      </c>
      <c r="BD669" s="31">
        <f>COUNTIF(W669:AC669,"Yes")</f>
        <v/>
      </c>
      <c r="BE669" s="31">
        <f>IF(TRIM(B669)="","Legal name missing; ","")&amp;IF(AND(AV669&lt;&gt;"",AV669&lt;&gt;"OK"),"GSTIN: "&amp;AV669&amp;"; ","")&amp;IF(AND(AW669&lt;&gt;"",AW669&lt;&gt;"OK"),"PAN wrong format; ","")&amp;IF(AND(BA669&lt;&gt;"",LEN(AZ669)=15,MID(AZ669,3,10)&lt;&gt;BA669),"PAN does not match GSTIN; ","")&amp;IF(AND(AX669&lt;&gt;"",AX669&lt;&gt;"OK"),"TAN wrong format; ","")&amp;IF(AS669="","PAN missing; ","")&amp;IF(BB669="","Entity type missing; ","")&amp;IF(AND(AZ669&lt;&gt;"",COUNTIF($AZ$6:$AZ$1005,AZ669)&gt;1),"GSTIN repeated in this sheet; ","")&amp;IF(AND(AS669&lt;&gt;"",COUNTIF($AS$6:$AS$1005,AS669)&gt;1),"PAN repeated in this sheet (same client? put extra GSTINs in Other GSTINs); ","")&amp;IF(AND(BD669&gt;0,V669=""),"Financial year missing; ","")&amp;IF(AND(BD669=0,V669&lt;&gt;""),"Financial year given but no service is Yes; ","")&amp;IF(AND(W669="Yes",AZ669=""),"GST needs a GSTIN; ","")&amp;IF(AND(W669="Yes",X669=""),"GST return frequency missing; ","")&amp;IF(AND(Y669="Yes",TRIM(H669)=""),"TDS needs a TAN; ","")&amp;IF(AND(AA669="Yes",BC669&lt;&gt;"",BC669&lt;&gt;"company",BC669&lt;&gt;"llp"),"ROC is only for a company / LLP; ","")&amp;IF(AND(AA669="Yes",OR(BC669="company",BC669="llp"),TRIM(I669)=""),"ROC needs the CIN / LLPIN; ","")&amp;IF((TRIM(AF669)="")&lt;&gt;(TRIM(AG669)=""),"GST login needs both user ID and password; ","")&amp;IF((TRIM(AH669)="")&lt;&gt;(TRIM(AI669)=""),"Income-tax login needs both user ID and password; ","")&amp;IF((TRIM(AJ669)="")&lt;&gt;(TRIM(AK669)=""),"Income-tax login needs both user ID and password; ","")&amp;IF((TRIM(AL669)="")&lt;&gt;(TRIM(AM669)=""),"TRACES login needs both user ID and password; ","")&amp;IF((TRIM(AN669)="")&lt;&gt;(TRIM(AO669)=""),"MCA login needs both user ID and password; ","")&amp;IF((TRIM(AP669)="")&lt;&gt;(TRIM(AQ669)=""),"E-way bill login needs both user ID and password; ","")</f>
        <v/>
      </c>
    </row>
    <row r="670">
      <c r="A670" s="32" t="n"/>
      <c r="B670" s="33" t="n"/>
      <c r="C670" s="33" t="n"/>
      <c r="D670" s="33" t="n"/>
      <c r="E670" s="32" t="n"/>
      <c r="F670" s="32" t="n"/>
      <c r="G670" s="32" t="n"/>
      <c r="H670" s="32" t="n"/>
      <c r="I670" s="32" t="n"/>
      <c r="J670" s="34" t="n"/>
      <c r="K670" s="33" t="n"/>
      <c r="L670" s="32" t="n"/>
      <c r="M670" s="33" t="n"/>
      <c r="N670" s="33" t="n"/>
      <c r="O670" s="33" t="n"/>
      <c r="P670" s="32" t="n"/>
      <c r="Q670" s="33" t="n"/>
      <c r="R670" s="33" t="n"/>
      <c r="S670" s="33" t="n"/>
      <c r="T670" s="33" t="n"/>
      <c r="U670" s="32" t="n"/>
      <c r="V670" s="33" t="n"/>
      <c r="W670" s="33" t="n"/>
      <c r="X670" s="33" t="n"/>
      <c r="Y670" s="33" t="n"/>
      <c r="Z670" s="33" t="n"/>
      <c r="AA670" s="33" t="n"/>
      <c r="AB670" s="33" t="n"/>
      <c r="AC670" s="33" t="n"/>
      <c r="AD670" s="33" t="n"/>
      <c r="AE670" s="33" t="n"/>
      <c r="AF670" s="32" t="n"/>
      <c r="AG670" s="32" t="n"/>
      <c r="AH670" s="32" t="n"/>
      <c r="AI670" s="32" t="n"/>
      <c r="AJ670" s="32" t="n"/>
      <c r="AK670" s="32" t="n"/>
      <c r="AL670" s="32" t="n"/>
      <c r="AM670" s="32" t="n"/>
      <c r="AN670" s="32" t="n"/>
      <c r="AO670" s="32" t="n"/>
      <c r="AP670" s="32" t="n"/>
      <c r="AQ670" s="32" t="n"/>
      <c r="AR670" s="29">
        <f>IF(NOT(COUNTA(A670:AE670)&gt;0),"",IF(A670="","New client","Update"))</f>
        <v/>
      </c>
      <c r="AS670" s="29">
        <f>IF(BA670&lt;&gt;"",BA670,IF(LEN(AZ670)=15,MID(AZ670,3,10),""))</f>
        <v/>
      </c>
      <c r="AT670" s="29">
        <f>IF(BB670="","",BB670&amp;IF(D670="","  (guessed from PAN)",""))</f>
        <v/>
      </c>
      <c r="AU670" s="29">
        <f>IF(AZ670="","",IFERROR(INDEX(Lists!$L$2:$L$38,MATCH(LEFT(AZ670,2),Lists!$K$2:$K$38,0)),"Unknown code"))</f>
        <v/>
      </c>
      <c r="AV670" s="29">
        <f>IF(AZ670="","",IFERROR(IF(NOT(AND(LEN(AZ670)=15,ISNUMBER(MATCH(LEFT(AZ670,2),Lists!$K$2:$K$38,0)),SUMPRODUCT(--ISERROR(FIND(MID(MID(AZ670,3,10),{1,2,3,4,5,10},1),"ABCDEFGHIJKLMNOPQRSTUVWXYZ")))=0,SUMPRODUCT(--ISERROR(FIND(MID(MID(AZ670,3,10),{6,7,8,9},1),"0123456789")))=0,ISNUMBER(FIND(MID(AZ670,13,1),"123456789ABCDEFGHIJKLMNOPQRSTUVWXYZ")),MID(AZ670,14,1)="Z")),"Wrong format",IF(MID("0123456789ABCDEFGHIJKLMNOPQRSTUVWXYZ",MOD(36-MOD(SUMPRODUCT(INT((FIND(MID(AZ670,{1,2,3,4,5,6,7,8,9,10,11,12,13,14},1),"0123456789ABCDEFGHIJKLMNOPQRSTUVWXYZ")-1)*{1,2,1,2,1,2,1,2,1,2,1,2,1,2}/36)+MOD((FIND(MID(AZ670,{1,2,3,4,5,6,7,8,9,10,11,12,13,14},1),"0123456789ABCDEFGHIJKLMNOPQRSTUVWXYZ")-1)*{1,2,1,2,1,2,1,2,1,2,1,2,1,2},36)),36),36)+1,1)=MID(AZ670,15,1),"OK","Typo? check digit wrong")),"Wrong format"))</f>
        <v/>
      </c>
      <c r="AW670" s="29">
        <f>IF(BA670="","",IF(AND(LEN(BA670)=10,SUMPRODUCT(--ISERROR(FIND(MID(BA670,{1,2,3,4,5,10},1),"ABCDEFGHIJKLMNOPQRSTUVWXYZ")))=0,SUMPRODUCT(--ISERROR(FIND(MID(BA670,{6,7,8,9},1),"0123456789")))=0),"OK","Wrong format"))</f>
        <v/>
      </c>
      <c r="AX670" s="29">
        <f>IF(TRIM(H670)="","",IF(AND(LEN(UPPER(TRIM(H670)))=10,SUMPRODUCT(--ISERROR(FIND(MID(UPPER(TRIM(H670)),{1,2,3,4,10},1),"ABCDEFGHIJKLMNOPQRSTUVWXYZ")))=0,SUMPRODUCT(--ISERROR(FIND(MID(UPPER(TRIM(H670)),{5,6,7,8,9},1),"0123456789")))=0),"OK","Wrong format"))</f>
        <v/>
      </c>
      <c r="AY670" s="30">
        <f>IF(NOT(COUNTA(A670:AE670)&gt;0),"",IF(BE670&lt;&gt;"","✖ "&amp;LEFT(BE670,LEN(BE670)-2),IF(BD670&gt;0,"✔ Ready — client + "&amp;BD670&amp;" service(s)","✔ Ready — client only")))</f>
        <v/>
      </c>
      <c r="AZ670" s="31">
        <f>UPPER(SUBSTITUTE(TRIM(F670)," ",""))</f>
        <v/>
      </c>
      <c r="BA670" s="31">
        <f>UPPER(SUBSTITUTE(TRIM(E670)," ",""))</f>
        <v/>
      </c>
      <c r="BB670" s="31">
        <f>IF(D670&lt;&gt;"",D670,IFERROR(VLOOKUP(MID(AS670,4,1),Lists!$E$2:$F$8,2,FALSE),""))</f>
        <v/>
      </c>
      <c r="BC670" s="31">
        <f>IFERROR(VLOOKUP(BB670,Lists!$A$2:$C$12,3,FALSE),"")</f>
        <v/>
      </c>
      <c r="BD670" s="31">
        <f>COUNTIF(W670:AC670,"Yes")</f>
        <v/>
      </c>
      <c r="BE670" s="31">
        <f>IF(TRIM(B670)="","Legal name missing; ","")&amp;IF(AND(AV670&lt;&gt;"",AV670&lt;&gt;"OK"),"GSTIN: "&amp;AV670&amp;"; ","")&amp;IF(AND(AW670&lt;&gt;"",AW670&lt;&gt;"OK"),"PAN wrong format; ","")&amp;IF(AND(BA670&lt;&gt;"",LEN(AZ670)=15,MID(AZ670,3,10)&lt;&gt;BA670),"PAN does not match GSTIN; ","")&amp;IF(AND(AX670&lt;&gt;"",AX670&lt;&gt;"OK"),"TAN wrong format; ","")&amp;IF(AS670="","PAN missing; ","")&amp;IF(BB670="","Entity type missing; ","")&amp;IF(AND(AZ670&lt;&gt;"",COUNTIF($AZ$6:$AZ$1005,AZ670)&gt;1),"GSTIN repeated in this sheet; ","")&amp;IF(AND(AS670&lt;&gt;"",COUNTIF($AS$6:$AS$1005,AS670)&gt;1),"PAN repeated in this sheet (same client? put extra GSTINs in Other GSTINs); ","")&amp;IF(AND(BD670&gt;0,V670=""),"Financial year missing; ","")&amp;IF(AND(BD670=0,V670&lt;&gt;""),"Financial year given but no service is Yes; ","")&amp;IF(AND(W670="Yes",AZ670=""),"GST needs a GSTIN; ","")&amp;IF(AND(W670="Yes",X670=""),"GST return frequency missing; ","")&amp;IF(AND(Y670="Yes",TRIM(H670)=""),"TDS needs a TAN; ","")&amp;IF(AND(AA670="Yes",BC670&lt;&gt;"",BC670&lt;&gt;"company",BC670&lt;&gt;"llp"),"ROC is only for a company / LLP; ","")&amp;IF(AND(AA670="Yes",OR(BC670="company",BC670="llp"),TRIM(I670)=""),"ROC needs the CIN / LLPIN; ","")&amp;IF((TRIM(AF670)="")&lt;&gt;(TRIM(AG670)=""),"GST login needs both user ID and password; ","")&amp;IF((TRIM(AH670)="")&lt;&gt;(TRIM(AI670)=""),"Income-tax login needs both user ID and password; ","")&amp;IF((TRIM(AJ670)="")&lt;&gt;(TRIM(AK670)=""),"Income-tax login needs both user ID and password; ","")&amp;IF((TRIM(AL670)="")&lt;&gt;(TRIM(AM670)=""),"TRACES login needs both user ID and password; ","")&amp;IF((TRIM(AN670)="")&lt;&gt;(TRIM(AO670)=""),"MCA login needs both user ID and password; ","")&amp;IF((TRIM(AP670)="")&lt;&gt;(TRIM(AQ670)=""),"E-way bill login needs both user ID and password; ","")</f>
        <v/>
      </c>
    </row>
    <row r="671">
      <c r="A671" s="32" t="n"/>
      <c r="B671" s="33" t="n"/>
      <c r="C671" s="33" t="n"/>
      <c r="D671" s="33" t="n"/>
      <c r="E671" s="32" t="n"/>
      <c r="F671" s="32" t="n"/>
      <c r="G671" s="32" t="n"/>
      <c r="H671" s="32" t="n"/>
      <c r="I671" s="32" t="n"/>
      <c r="J671" s="34" t="n"/>
      <c r="K671" s="33" t="n"/>
      <c r="L671" s="32" t="n"/>
      <c r="M671" s="33" t="n"/>
      <c r="N671" s="33" t="n"/>
      <c r="O671" s="33" t="n"/>
      <c r="P671" s="32" t="n"/>
      <c r="Q671" s="33" t="n"/>
      <c r="R671" s="33" t="n"/>
      <c r="S671" s="33" t="n"/>
      <c r="T671" s="33" t="n"/>
      <c r="U671" s="32" t="n"/>
      <c r="V671" s="33" t="n"/>
      <c r="W671" s="33" t="n"/>
      <c r="X671" s="33" t="n"/>
      <c r="Y671" s="33" t="n"/>
      <c r="Z671" s="33" t="n"/>
      <c r="AA671" s="33" t="n"/>
      <c r="AB671" s="33" t="n"/>
      <c r="AC671" s="33" t="n"/>
      <c r="AD671" s="33" t="n"/>
      <c r="AE671" s="33" t="n"/>
      <c r="AF671" s="32" t="n"/>
      <c r="AG671" s="32" t="n"/>
      <c r="AH671" s="32" t="n"/>
      <c r="AI671" s="32" t="n"/>
      <c r="AJ671" s="32" t="n"/>
      <c r="AK671" s="32" t="n"/>
      <c r="AL671" s="32" t="n"/>
      <c r="AM671" s="32" t="n"/>
      <c r="AN671" s="32" t="n"/>
      <c r="AO671" s="32" t="n"/>
      <c r="AP671" s="32" t="n"/>
      <c r="AQ671" s="32" t="n"/>
      <c r="AR671" s="29">
        <f>IF(NOT(COUNTA(A671:AE671)&gt;0),"",IF(A671="","New client","Update"))</f>
        <v/>
      </c>
      <c r="AS671" s="29">
        <f>IF(BA671&lt;&gt;"",BA671,IF(LEN(AZ671)=15,MID(AZ671,3,10),""))</f>
        <v/>
      </c>
      <c r="AT671" s="29">
        <f>IF(BB671="","",BB671&amp;IF(D671="","  (guessed from PAN)",""))</f>
        <v/>
      </c>
      <c r="AU671" s="29">
        <f>IF(AZ671="","",IFERROR(INDEX(Lists!$L$2:$L$38,MATCH(LEFT(AZ671,2),Lists!$K$2:$K$38,0)),"Unknown code"))</f>
        <v/>
      </c>
      <c r="AV671" s="29">
        <f>IF(AZ671="","",IFERROR(IF(NOT(AND(LEN(AZ671)=15,ISNUMBER(MATCH(LEFT(AZ671,2),Lists!$K$2:$K$38,0)),SUMPRODUCT(--ISERROR(FIND(MID(MID(AZ671,3,10),{1,2,3,4,5,10},1),"ABCDEFGHIJKLMNOPQRSTUVWXYZ")))=0,SUMPRODUCT(--ISERROR(FIND(MID(MID(AZ671,3,10),{6,7,8,9},1),"0123456789")))=0,ISNUMBER(FIND(MID(AZ671,13,1),"123456789ABCDEFGHIJKLMNOPQRSTUVWXYZ")),MID(AZ671,14,1)="Z")),"Wrong format",IF(MID("0123456789ABCDEFGHIJKLMNOPQRSTUVWXYZ",MOD(36-MOD(SUMPRODUCT(INT((FIND(MID(AZ671,{1,2,3,4,5,6,7,8,9,10,11,12,13,14},1),"0123456789ABCDEFGHIJKLMNOPQRSTUVWXYZ")-1)*{1,2,1,2,1,2,1,2,1,2,1,2,1,2}/36)+MOD((FIND(MID(AZ671,{1,2,3,4,5,6,7,8,9,10,11,12,13,14},1),"0123456789ABCDEFGHIJKLMNOPQRSTUVWXYZ")-1)*{1,2,1,2,1,2,1,2,1,2,1,2,1,2},36)),36),36)+1,1)=MID(AZ671,15,1),"OK","Typo? check digit wrong")),"Wrong format"))</f>
        <v/>
      </c>
      <c r="AW671" s="29">
        <f>IF(BA671="","",IF(AND(LEN(BA671)=10,SUMPRODUCT(--ISERROR(FIND(MID(BA671,{1,2,3,4,5,10},1),"ABCDEFGHIJKLMNOPQRSTUVWXYZ")))=0,SUMPRODUCT(--ISERROR(FIND(MID(BA671,{6,7,8,9},1),"0123456789")))=0),"OK","Wrong format"))</f>
        <v/>
      </c>
      <c r="AX671" s="29">
        <f>IF(TRIM(H671)="","",IF(AND(LEN(UPPER(TRIM(H671)))=10,SUMPRODUCT(--ISERROR(FIND(MID(UPPER(TRIM(H671)),{1,2,3,4,10},1),"ABCDEFGHIJKLMNOPQRSTUVWXYZ")))=0,SUMPRODUCT(--ISERROR(FIND(MID(UPPER(TRIM(H671)),{5,6,7,8,9},1),"0123456789")))=0),"OK","Wrong format"))</f>
        <v/>
      </c>
      <c r="AY671" s="30">
        <f>IF(NOT(COUNTA(A671:AE671)&gt;0),"",IF(BE671&lt;&gt;"","✖ "&amp;LEFT(BE671,LEN(BE671)-2),IF(BD671&gt;0,"✔ Ready — client + "&amp;BD671&amp;" service(s)","✔ Ready — client only")))</f>
        <v/>
      </c>
      <c r="AZ671" s="31">
        <f>UPPER(SUBSTITUTE(TRIM(F671)," ",""))</f>
        <v/>
      </c>
      <c r="BA671" s="31">
        <f>UPPER(SUBSTITUTE(TRIM(E671)," ",""))</f>
        <v/>
      </c>
      <c r="BB671" s="31">
        <f>IF(D671&lt;&gt;"",D671,IFERROR(VLOOKUP(MID(AS671,4,1),Lists!$E$2:$F$8,2,FALSE),""))</f>
        <v/>
      </c>
      <c r="BC671" s="31">
        <f>IFERROR(VLOOKUP(BB671,Lists!$A$2:$C$12,3,FALSE),"")</f>
        <v/>
      </c>
      <c r="BD671" s="31">
        <f>COUNTIF(W671:AC671,"Yes")</f>
        <v/>
      </c>
      <c r="BE671" s="31">
        <f>IF(TRIM(B671)="","Legal name missing; ","")&amp;IF(AND(AV671&lt;&gt;"",AV671&lt;&gt;"OK"),"GSTIN: "&amp;AV671&amp;"; ","")&amp;IF(AND(AW671&lt;&gt;"",AW671&lt;&gt;"OK"),"PAN wrong format; ","")&amp;IF(AND(BA671&lt;&gt;"",LEN(AZ671)=15,MID(AZ671,3,10)&lt;&gt;BA671),"PAN does not match GSTIN; ","")&amp;IF(AND(AX671&lt;&gt;"",AX671&lt;&gt;"OK"),"TAN wrong format; ","")&amp;IF(AS671="","PAN missing; ","")&amp;IF(BB671="","Entity type missing; ","")&amp;IF(AND(AZ671&lt;&gt;"",COUNTIF($AZ$6:$AZ$1005,AZ671)&gt;1),"GSTIN repeated in this sheet; ","")&amp;IF(AND(AS671&lt;&gt;"",COUNTIF($AS$6:$AS$1005,AS671)&gt;1),"PAN repeated in this sheet (same client? put extra GSTINs in Other GSTINs); ","")&amp;IF(AND(BD671&gt;0,V671=""),"Financial year missing; ","")&amp;IF(AND(BD671=0,V671&lt;&gt;""),"Financial year given but no service is Yes; ","")&amp;IF(AND(W671="Yes",AZ671=""),"GST needs a GSTIN; ","")&amp;IF(AND(W671="Yes",X671=""),"GST return frequency missing; ","")&amp;IF(AND(Y671="Yes",TRIM(H671)=""),"TDS needs a TAN; ","")&amp;IF(AND(AA671="Yes",BC671&lt;&gt;"",BC671&lt;&gt;"company",BC671&lt;&gt;"llp"),"ROC is only for a company / LLP; ","")&amp;IF(AND(AA671="Yes",OR(BC671="company",BC671="llp"),TRIM(I671)=""),"ROC needs the CIN / LLPIN; ","")&amp;IF((TRIM(AF671)="")&lt;&gt;(TRIM(AG671)=""),"GST login needs both user ID and password; ","")&amp;IF((TRIM(AH671)="")&lt;&gt;(TRIM(AI671)=""),"Income-tax login needs both user ID and password; ","")&amp;IF((TRIM(AJ671)="")&lt;&gt;(TRIM(AK671)=""),"Income-tax login needs both user ID and password; ","")&amp;IF((TRIM(AL671)="")&lt;&gt;(TRIM(AM671)=""),"TRACES login needs both user ID and password; ","")&amp;IF((TRIM(AN671)="")&lt;&gt;(TRIM(AO671)=""),"MCA login needs both user ID and password; ","")&amp;IF((TRIM(AP671)="")&lt;&gt;(TRIM(AQ671)=""),"E-way bill login needs both user ID and password; ","")</f>
        <v/>
      </c>
    </row>
    <row r="672">
      <c r="A672" s="32" t="n"/>
      <c r="B672" s="33" t="n"/>
      <c r="C672" s="33" t="n"/>
      <c r="D672" s="33" t="n"/>
      <c r="E672" s="32" t="n"/>
      <c r="F672" s="32" t="n"/>
      <c r="G672" s="32" t="n"/>
      <c r="H672" s="32" t="n"/>
      <c r="I672" s="32" t="n"/>
      <c r="J672" s="34" t="n"/>
      <c r="K672" s="33" t="n"/>
      <c r="L672" s="32" t="n"/>
      <c r="M672" s="33" t="n"/>
      <c r="N672" s="33" t="n"/>
      <c r="O672" s="33" t="n"/>
      <c r="P672" s="32" t="n"/>
      <c r="Q672" s="33" t="n"/>
      <c r="R672" s="33" t="n"/>
      <c r="S672" s="33" t="n"/>
      <c r="T672" s="33" t="n"/>
      <c r="U672" s="32" t="n"/>
      <c r="V672" s="33" t="n"/>
      <c r="W672" s="33" t="n"/>
      <c r="X672" s="33" t="n"/>
      <c r="Y672" s="33" t="n"/>
      <c r="Z672" s="33" t="n"/>
      <c r="AA672" s="33" t="n"/>
      <c r="AB672" s="33" t="n"/>
      <c r="AC672" s="33" t="n"/>
      <c r="AD672" s="33" t="n"/>
      <c r="AE672" s="33" t="n"/>
      <c r="AF672" s="32" t="n"/>
      <c r="AG672" s="32" t="n"/>
      <c r="AH672" s="32" t="n"/>
      <c r="AI672" s="32" t="n"/>
      <c r="AJ672" s="32" t="n"/>
      <c r="AK672" s="32" t="n"/>
      <c r="AL672" s="32" t="n"/>
      <c r="AM672" s="32" t="n"/>
      <c r="AN672" s="32" t="n"/>
      <c r="AO672" s="32" t="n"/>
      <c r="AP672" s="32" t="n"/>
      <c r="AQ672" s="32" t="n"/>
      <c r="AR672" s="29">
        <f>IF(NOT(COUNTA(A672:AE672)&gt;0),"",IF(A672="","New client","Update"))</f>
        <v/>
      </c>
      <c r="AS672" s="29">
        <f>IF(BA672&lt;&gt;"",BA672,IF(LEN(AZ672)=15,MID(AZ672,3,10),""))</f>
        <v/>
      </c>
      <c r="AT672" s="29">
        <f>IF(BB672="","",BB672&amp;IF(D672="","  (guessed from PAN)",""))</f>
        <v/>
      </c>
      <c r="AU672" s="29">
        <f>IF(AZ672="","",IFERROR(INDEX(Lists!$L$2:$L$38,MATCH(LEFT(AZ672,2),Lists!$K$2:$K$38,0)),"Unknown code"))</f>
        <v/>
      </c>
      <c r="AV672" s="29">
        <f>IF(AZ672="","",IFERROR(IF(NOT(AND(LEN(AZ672)=15,ISNUMBER(MATCH(LEFT(AZ672,2),Lists!$K$2:$K$38,0)),SUMPRODUCT(--ISERROR(FIND(MID(MID(AZ672,3,10),{1,2,3,4,5,10},1),"ABCDEFGHIJKLMNOPQRSTUVWXYZ")))=0,SUMPRODUCT(--ISERROR(FIND(MID(MID(AZ672,3,10),{6,7,8,9},1),"0123456789")))=0,ISNUMBER(FIND(MID(AZ672,13,1),"123456789ABCDEFGHIJKLMNOPQRSTUVWXYZ")),MID(AZ672,14,1)="Z")),"Wrong format",IF(MID("0123456789ABCDEFGHIJKLMNOPQRSTUVWXYZ",MOD(36-MOD(SUMPRODUCT(INT((FIND(MID(AZ672,{1,2,3,4,5,6,7,8,9,10,11,12,13,14},1),"0123456789ABCDEFGHIJKLMNOPQRSTUVWXYZ")-1)*{1,2,1,2,1,2,1,2,1,2,1,2,1,2}/36)+MOD((FIND(MID(AZ672,{1,2,3,4,5,6,7,8,9,10,11,12,13,14},1),"0123456789ABCDEFGHIJKLMNOPQRSTUVWXYZ")-1)*{1,2,1,2,1,2,1,2,1,2,1,2,1,2},36)),36),36)+1,1)=MID(AZ672,15,1),"OK","Typo? check digit wrong")),"Wrong format"))</f>
        <v/>
      </c>
      <c r="AW672" s="29">
        <f>IF(BA672="","",IF(AND(LEN(BA672)=10,SUMPRODUCT(--ISERROR(FIND(MID(BA672,{1,2,3,4,5,10},1),"ABCDEFGHIJKLMNOPQRSTUVWXYZ")))=0,SUMPRODUCT(--ISERROR(FIND(MID(BA672,{6,7,8,9},1),"0123456789")))=0),"OK","Wrong format"))</f>
        <v/>
      </c>
      <c r="AX672" s="29">
        <f>IF(TRIM(H672)="","",IF(AND(LEN(UPPER(TRIM(H672)))=10,SUMPRODUCT(--ISERROR(FIND(MID(UPPER(TRIM(H672)),{1,2,3,4,10},1),"ABCDEFGHIJKLMNOPQRSTUVWXYZ")))=0,SUMPRODUCT(--ISERROR(FIND(MID(UPPER(TRIM(H672)),{5,6,7,8,9},1),"0123456789")))=0),"OK","Wrong format"))</f>
        <v/>
      </c>
      <c r="AY672" s="30">
        <f>IF(NOT(COUNTA(A672:AE672)&gt;0),"",IF(BE672&lt;&gt;"","✖ "&amp;LEFT(BE672,LEN(BE672)-2),IF(BD672&gt;0,"✔ Ready — client + "&amp;BD672&amp;" service(s)","✔ Ready — client only")))</f>
        <v/>
      </c>
      <c r="AZ672" s="31">
        <f>UPPER(SUBSTITUTE(TRIM(F672)," ",""))</f>
        <v/>
      </c>
      <c r="BA672" s="31">
        <f>UPPER(SUBSTITUTE(TRIM(E672)," ",""))</f>
        <v/>
      </c>
      <c r="BB672" s="31">
        <f>IF(D672&lt;&gt;"",D672,IFERROR(VLOOKUP(MID(AS672,4,1),Lists!$E$2:$F$8,2,FALSE),""))</f>
        <v/>
      </c>
      <c r="BC672" s="31">
        <f>IFERROR(VLOOKUP(BB672,Lists!$A$2:$C$12,3,FALSE),"")</f>
        <v/>
      </c>
      <c r="BD672" s="31">
        <f>COUNTIF(W672:AC672,"Yes")</f>
        <v/>
      </c>
      <c r="BE672" s="31">
        <f>IF(TRIM(B672)="","Legal name missing; ","")&amp;IF(AND(AV672&lt;&gt;"",AV672&lt;&gt;"OK"),"GSTIN: "&amp;AV672&amp;"; ","")&amp;IF(AND(AW672&lt;&gt;"",AW672&lt;&gt;"OK"),"PAN wrong format; ","")&amp;IF(AND(BA672&lt;&gt;"",LEN(AZ672)=15,MID(AZ672,3,10)&lt;&gt;BA672),"PAN does not match GSTIN; ","")&amp;IF(AND(AX672&lt;&gt;"",AX672&lt;&gt;"OK"),"TAN wrong format; ","")&amp;IF(AS672="","PAN missing; ","")&amp;IF(BB672="","Entity type missing; ","")&amp;IF(AND(AZ672&lt;&gt;"",COUNTIF($AZ$6:$AZ$1005,AZ672)&gt;1),"GSTIN repeated in this sheet; ","")&amp;IF(AND(AS672&lt;&gt;"",COUNTIF($AS$6:$AS$1005,AS672)&gt;1),"PAN repeated in this sheet (same client? put extra GSTINs in Other GSTINs); ","")&amp;IF(AND(BD672&gt;0,V672=""),"Financial year missing; ","")&amp;IF(AND(BD672=0,V672&lt;&gt;""),"Financial year given but no service is Yes; ","")&amp;IF(AND(W672="Yes",AZ672=""),"GST needs a GSTIN; ","")&amp;IF(AND(W672="Yes",X672=""),"GST return frequency missing; ","")&amp;IF(AND(Y672="Yes",TRIM(H672)=""),"TDS needs a TAN; ","")&amp;IF(AND(AA672="Yes",BC672&lt;&gt;"",BC672&lt;&gt;"company",BC672&lt;&gt;"llp"),"ROC is only for a company / LLP; ","")&amp;IF(AND(AA672="Yes",OR(BC672="company",BC672="llp"),TRIM(I672)=""),"ROC needs the CIN / LLPIN; ","")&amp;IF((TRIM(AF672)="")&lt;&gt;(TRIM(AG672)=""),"GST login needs both user ID and password; ","")&amp;IF((TRIM(AH672)="")&lt;&gt;(TRIM(AI672)=""),"Income-tax login needs both user ID and password; ","")&amp;IF((TRIM(AJ672)="")&lt;&gt;(TRIM(AK672)=""),"Income-tax login needs both user ID and password; ","")&amp;IF((TRIM(AL672)="")&lt;&gt;(TRIM(AM672)=""),"TRACES login needs both user ID and password; ","")&amp;IF((TRIM(AN672)="")&lt;&gt;(TRIM(AO672)=""),"MCA login needs both user ID and password; ","")&amp;IF((TRIM(AP672)="")&lt;&gt;(TRIM(AQ672)=""),"E-way bill login needs both user ID and password; ","")</f>
        <v/>
      </c>
    </row>
    <row r="673">
      <c r="A673" s="32" t="n"/>
      <c r="B673" s="33" t="n"/>
      <c r="C673" s="33" t="n"/>
      <c r="D673" s="33" t="n"/>
      <c r="E673" s="32" t="n"/>
      <c r="F673" s="32" t="n"/>
      <c r="G673" s="32" t="n"/>
      <c r="H673" s="32" t="n"/>
      <c r="I673" s="32" t="n"/>
      <c r="J673" s="34" t="n"/>
      <c r="K673" s="33" t="n"/>
      <c r="L673" s="32" t="n"/>
      <c r="M673" s="33" t="n"/>
      <c r="N673" s="33" t="n"/>
      <c r="O673" s="33" t="n"/>
      <c r="P673" s="32" t="n"/>
      <c r="Q673" s="33" t="n"/>
      <c r="R673" s="33" t="n"/>
      <c r="S673" s="33" t="n"/>
      <c r="T673" s="33" t="n"/>
      <c r="U673" s="32" t="n"/>
      <c r="V673" s="33" t="n"/>
      <c r="W673" s="33" t="n"/>
      <c r="X673" s="33" t="n"/>
      <c r="Y673" s="33" t="n"/>
      <c r="Z673" s="33" t="n"/>
      <c r="AA673" s="33" t="n"/>
      <c r="AB673" s="33" t="n"/>
      <c r="AC673" s="33" t="n"/>
      <c r="AD673" s="33" t="n"/>
      <c r="AE673" s="33" t="n"/>
      <c r="AF673" s="32" t="n"/>
      <c r="AG673" s="32" t="n"/>
      <c r="AH673" s="32" t="n"/>
      <c r="AI673" s="32" t="n"/>
      <c r="AJ673" s="32" t="n"/>
      <c r="AK673" s="32" t="n"/>
      <c r="AL673" s="32" t="n"/>
      <c r="AM673" s="32" t="n"/>
      <c r="AN673" s="32" t="n"/>
      <c r="AO673" s="32" t="n"/>
      <c r="AP673" s="32" t="n"/>
      <c r="AQ673" s="32" t="n"/>
      <c r="AR673" s="29">
        <f>IF(NOT(COUNTA(A673:AE673)&gt;0),"",IF(A673="","New client","Update"))</f>
        <v/>
      </c>
      <c r="AS673" s="29">
        <f>IF(BA673&lt;&gt;"",BA673,IF(LEN(AZ673)=15,MID(AZ673,3,10),""))</f>
        <v/>
      </c>
      <c r="AT673" s="29">
        <f>IF(BB673="","",BB673&amp;IF(D673="","  (guessed from PAN)",""))</f>
        <v/>
      </c>
      <c r="AU673" s="29">
        <f>IF(AZ673="","",IFERROR(INDEX(Lists!$L$2:$L$38,MATCH(LEFT(AZ673,2),Lists!$K$2:$K$38,0)),"Unknown code"))</f>
        <v/>
      </c>
      <c r="AV673" s="29">
        <f>IF(AZ673="","",IFERROR(IF(NOT(AND(LEN(AZ673)=15,ISNUMBER(MATCH(LEFT(AZ673,2),Lists!$K$2:$K$38,0)),SUMPRODUCT(--ISERROR(FIND(MID(MID(AZ673,3,10),{1,2,3,4,5,10},1),"ABCDEFGHIJKLMNOPQRSTUVWXYZ")))=0,SUMPRODUCT(--ISERROR(FIND(MID(MID(AZ673,3,10),{6,7,8,9},1),"0123456789")))=0,ISNUMBER(FIND(MID(AZ673,13,1),"123456789ABCDEFGHIJKLMNOPQRSTUVWXYZ")),MID(AZ673,14,1)="Z")),"Wrong format",IF(MID("0123456789ABCDEFGHIJKLMNOPQRSTUVWXYZ",MOD(36-MOD(SUMPRODUCT(INT((FIND(MID(AZ673,{1,2,3,4,5,6,7,8,9,10,11,12,13,14},1),"0123456789ABCDEFGHIJKLMNOPQRSTUVWXYZ")-1)*{1,2,1,2,1,2,1,2,1,2,1,2,1,2}/36)+MOD((FIND(MID(AZ673,{1,2,3,4,5,6,7,8,9,10,11,12,13,14},1),"0123456789ABCDEFGHIJKLMNOPQRSTUVWXYZ")-1)*{1,2,1,2,1,2,1,2,1,2,1,2,1,2},36)),36),36)+1,1)=MID(AZ673,15,1),"OK","Typo? check digit wrong")),"Wrong format"))</f>
        <v/>
      </c>
      <c r="AW673" s="29">
        <f>IF(BA673="","",IF(AND(LEN(BA673)=10,SUMPRODUCT(--ISERROR(FIND(MID(BA673,{1,2,3,4,5,10},1),"ABCDEFGHIJKLMNOPQRSTUVWXYZ")))=0,SUMPRODUCT(--ISERROR(FIND(MID(BA673,{6,7,8,9},1),"0123456789")))=0),"OK","Wrong format"))</f>
        <v/>
      </c>
      <c r="AX673" s="29">
        <f>IF(TRIM(H673)="","",IF(AND(LEN(UPPER(TRIM(H673)))=10,SUMPRODUCT(--ISERROR(FIND(MID(UPPER(TRIM(H673)),{1,2,3,4,10},1),"ABCDEFGHIJKLMNOPQRSTUVWXYZ")))=0,SUMPRODUCT(--ISERROR(FIND(MID(UPPER(TRIM(H673)),{5,6,7,8,9},1),"0123456789")))=0),"OK","Wrong format"))</f>
        <v/>
      </c>
      <c r="AY673" s="30">
        <f>IF(NOT(COUNTA(A673:AE673)&gt;0),"",IF(BE673&lt;&gt;"","✖ "&amp;LEFT(BE673,LEN(BE673)-2),IF(BD673&gt;0,"✔ Ready — client + "&amp;BD673&amp;" service(s)","✔ Ready — client only")))</f>
        <v/>
      </c>
      <c r="AZ673" s="31">
        <f>UPPER(SUBSTITUTE(TRIM(F673)," ",""))</f>
        <v/>
      </c>
      <c r="BA673" s="31">
        <f>UPPER(SUBSTITUTE(TRIM(E673)," ",""))</f>
        <v/>
      </c>
      <c r="BB673" s="31">
        <f>IF(D673&lt;&gt;"",D673,IFERROR(VLOOKUP(MID(AS673,4,1),Lists!$E$2:$F$8,2,FALSE),""))</f>
        <v/>
      </c>
      <c r="BC673" s="31">
        <f>IFERROR(VLOOKUP(BB673,Lists!$A$2:$C$12,3,FALSE),"")</f>
        <v/>
      </c>
      <c r="BD673" s="31">
        <f>COUNTIF(W673:AC673,"Yes")</f>
        <v/>
      </c>
      <c r="BE673" s="31">
        <f>IF(TRIM(B673)="","Legal name missing; ","")&amp;IF(AND(AV673&lt;&gt;"",AV673&lt;&gt;"OK"),"GSTIN: "&amp;AV673&amp;"; ","")&amp;IF(AND(AW673&lt;&gt;"",AW673&lt;&gt;"OK"),"PAN wrong format; ","")&amp;IF(AND(BA673&lt;&gt;"",LEN(AZ673)=15,MID(AZ673,3,10)&lt;&gt;BA673),"PAN does not match GSTIN; ","")&amp;IF(AND(AX673&lt;&gt;"",AX673&lt;&gt;"OK"),"TAN wrong format; ","")&amp;IF(AS673="","PAN missing; ","")&amp;IF(BB673="","Entity type missing; ","")&amp;IF(AND(AZ673&lt;&gt;"",COUNTIF($AZ$6:$AZ$1005,AZ673)&gt;1),"GSTIN repeated in this sheet; ","")&amp;IF(AND(AS673&lt;&gt;"",COUNTIF($AS$6:$AS$1005,AS673)&gt;1),"PAN repeated in this sheet (same client? put extra GSTINs in Other GSTINs); ","")&amp;IF(AND(BD673&gt;0,V673=""),"Financial year missing; ","")&amp;IF(AND(BD673=0,V673&lt;&gt;""),"Financial year given but no service is Yes; ","")&amp;IF(AND(W673="Yes",AZ673=""),"GST needs a GSTIN; ","")&amp;IF(AND(W673="Yes",X673=""),"GST return frequency missing; ","")&amp;IF(AND(Y673="Yes",TRIM(H673)=""),"TDS needs a TAN; ","")&amp;IF(AND(AA673="Yes",BC673&lt;&gt;"",BC673&lt;&gt;"company",BC673&lt;&gt;"llp"),"ROC is only for a company / LLP; ","")&amp;IF(AND(AA673="Yes",OR(BC673="company",BC673="llp"),TRIM(I673)=""),"ROC needs the CIN / LLPIN; ","")&amp;IF((TRIM(AF673)="")&lt;&gt;(TRIM(AG673)=""),"GST login needs both user ID and password; ","")&amp;IF((TRIM(AH673)="")&lt;&gt;(TRIM(AI673)=""),"Income-tax login needs both user ID and password; ","")&amp;IF((TRIM(AJ673)="")&lt;&gt;(TRIM(AK673)=""),"Income-tax login needs both user ID and password; ","")&amp;IF((TRIM(AL673)="")&lt;&gt;(TRIM(AM673)=""),"TRACES login needs both user ID and password; ","")&amp;IF((TRIM(AN673)="")&lt;&gt;(TRIM(AO673)=""),"MCA login needs both user ID and password; ","")&amp;IF((TRIM(AP673)="")&lt;&gt;(TRIM(AQ673)=""),"E-way bill login needs both user ID and password; ","")</f>
        <v/>
      </c>
    </row>
    <row r="674">
      <c r="A674" s="32" t="n"/>
      <c r="B674" s="33" t="n"/>
      <c r="C674" s="33" t="n"/>
      <c r="D674" s="33" t="n"/>
      <c r="E674" s="32" t="n"/>
      <c r="F674" s="32" t="n"/>
      <c r="G674" s="32" t="n"/>
      <c r="H674" s="32" t="n"/>
      <c r="I674" s="32" t="n"/>
      <c r="J674" s="34" t="n"/>
      <c r="K674" s="33" t="n"/>
      <c r="L674" s="32" t="n"/>
      <c r="M674" s="33" t="n"/>
      <c r="N674" s="33" t="n"/>
      <c r="O674" s="33" t="n"/>
      <c r="P674" s="32" t="n"/>
      <c r="Q674" s="33" t="n"/>
      <c r="R674" s="33" t="n"/>
      <c r="S674" s="33" t="n"/>
      <c r="T674" s="33" t="n"/>
      <c r="U674" s="32" t="n"/>
      <c r="V674" s="33" t="n"/>
      <c r="W674" s="33" t="n"/>
      <c r="X674" s="33" t="n"/>
      <c r="Y674" s="33" t="n"/>
      <c r="Z674" s="33" t="n"/>
      <c r="AA674" s="33" t="n"/>
      <c r="AB674" s="33" t="n"/>
      <c r="AC674" s="33" t="n"/>
      <c r="AD674" s="33" t="n"/>
      <c r="AE674" s="33" t="n"/>
      <c r="AF674" s="32" t="n"/>
      <c r="AG674" s="32" t="n"/>
      <c r="AH674" s="32" t="n"/>
      <c r="AI674" s="32" t="n"/>
      <c r="AJ674" s="32" t="n"/>
      <c r="AK674" s="32" t="n"/>
      <c r="AL674" s="32" t="n"/>
      <c r="AM674" s="32" t="n"/>
      <c r="AN674" s="32" t="n"/>
      <c r="AO674" s="32" t="n"/>
      <c r="AP674" s="32" t="n"/>
      <c r="AQ674" s="32" t="n"/>
      <c r="AR674" s="29">
        <f>IF(NOT(COUNTA(A674:AE674)&gt;0),"",IF(A674="","New client","Update"))</f>
        <v/>
      </c>
      <c r="AS674" s="29">
        <f>IF(BA674&lt;&gt;"",BA674,IF(LEN(AZ674)=15,MID(AZ674,3,10),""))</f>
        <v/>
      </c>
      <c r="AT674" s="29">
        <f>IF(BB674="","",BB674&amp;IF(D674="","  (guessed from PAN)",""))</f>
        <v/>
      </c>
      <c r="AU674" s="29">
        <f>IF(AZ674="","",IFERROR(INDEX(Lists!$L$2:$L$38,MATCH(LEFT(AZ674,2),Lists!$K$2:$K$38,0)),"Unknown code"))</f>
        <v/>
      </c>
      <c r="AV674" s="29">
        <f>IF(AZ674="","",IFERROR(IF(NOT(AND(LEN(AZ674)=15,ISNUMBER(MATCH(LEFT(AZ674,2),Lists!$K$2:$K$38,0)),SUMPRODUCT(--ISERROR(FIND(MID(MID(AZ674,3,10),{1,2,3,4,5,10},1),"ABCDEFGHIJKLMNOPQRSTUVWXYZ")))=0,SUMPRODUCT(--ISERROR(FIND(MID(MID(AZ674,3,10),{6,7,8,9},1),"0123456789")))=0,ISNUMBER(FIND(MID(AZ674,13,1),"123456789ABCDEFGHIJKLMNOPQRSTUVWXYZ")),MID(AZ674,14,1)="Z")),"Wrong format",IF(MID("0123456789ABCDEFGHIJKLMNOPQRSTUVWXYZ",MOD(36-MOD(SUMPRODUCT(INT((FIND(MID(AZ674,{1,2,3,4,5,6,7,8,9,10,11,12,13,14},1),"0123456789ABCDEFGHIJKLMNOPQRSTUVWXYZ")-1)*{1,2,1,2,1,2,1,2,1,2,1,2,1,2}/36)+MOD((FIND(MID(AZ674,{1,2,3,4,5,6,7,8,9,10,11,12,13,14},1),"0123456789ABCDEFGHIJKLMNOPQRSTUVWXYZ")-1)*{1,2,1,2,1,2,1,2,1,2,1,2,1,2},36)),36),36)+1,1)=MID(AZ674,15,1),"OK","Typo? check digit wrong")),"Wrong format"))</f>
        <v/>
      </c>
      <c r="AW674" s="29">
        <f>IF(BA674="","",IF(AND(LEN(BA674)=10,SUMPRODUCT(--ISERROR(FIND(MID(BA674,{1,2,3,4,5,10},1),"ABCDEFGHIJKLMNOPQRSTUVWXYZ")))=0,SUMPRODUCT(--ISERROR(FIND(MID(BA674,{6,7,8,9},1),"0123456789")))=0),"OK","Wrong format"))</f>
        <v/>
      </c>
      <c r="AX674" s="29">
        <f>IF(TRIM(H674)="","",IF(AND(LEN(UPPER(TRIM(H674)))=10,SUMPRODUCT(--ISERROR(FIND(MID(UPPER(TRIM(H674)),{1,2,3,4,10},1),"ABCDEFGHIJKLMNOPQRSTUVWXYZ")))=0,SUMPRODUCT(--ISERROR(FIND(MID(UPPER(TRIM(H674)),{5,6,7,8,9},1),"0123456789")))=0),"OK","Wrong format"))</f>
        <v/>
      </c>
      <c r="AY674" s="30">
        <f>IF(NOT(COUNTA(A674:AE674)&gt;0),"",IF(BE674&lt;&gt;"","✖ "&amp;LEFT(BE674,LEN(BE674)-2),IF(BD674&gt;0,"✔ Ready — client + "&amp;BD674&amp;" service(s)","✔ Ready — client only")))</f>
        <v/>
      </c>
      <c r="AZ674" s="31">
        <f>UPPER(SUBSTITUTE(TRIM(F674)," ",""))</f>
        <v/>
      </c>
      <c r="BA674" s="31">
        <f>UPPER(SUBSTITUTE(TRIM(E674)," ",""))</f>
        <v/>
      </c>
      <c r="BB674" s="31">
        <f>IF(D674&lt;&gt;"",D674,IFERROR(VLOOKUP(MID(AS674,4,1),Lists!$E$2:$F$8,2,FALSE),""))</f>
        <v/>
      </c>
      <c r="BC674" s="31">
        <f>IFERROR(VLOOKUP(BB674,Lists!$A$2:$C$12,3,FALSE),"")</f>
        <v/>
      </c>
      <c r="BD674" s="31">
        <f>COUNTIF(W674:AC674,"Yes")</f>
        <v/>
      </c>
      <c r="BE674" s="31">
        <f>IF(TRIM(B674)="","Legal name missing; ","")&amp;IF(AND(AV674&lt;&gt;"",AV674&lt;&gt;"OK"),"GSTIN: "&amp;AV674&amp;"; ","")&amp;IF(AND(AW674&lt;&gt;"",AW674&lt;&gt;"OK"),"PAN wrong format; ","")&amp;IF(AND(BA674&lt;&gt;"",LEN(AZ674)=15,MID(AZ674,3,10)&lt;&gt;BA674),"PAN does not match GSTIN; ","")&amp;IF(AND(AX674&lt;&gt;"",AX674&lt;&gt;"OK"),"TAN wrong format; ","")&amp;IF(AS674="","PAN missing; ","")&amp;IF(BB674="","Entity type missing; ","")&amp;IF(AND(AZ674&lt;&gt;"",COUNTIF($AZ$6:$AZ$1005,AZ674)&gt;1),"GSTIN repeated in this sheet; ","")&amp;IF(AND(AS674&lt;&gt;"",COUNTIF($AS$6:$AS$1005,AS674)&gt;1),"PAN repeated in this sheet (same client? put extra GSTINs in Other GSTINs); ","")&amp;IF(AND(BD674&gt;0,V674=""),"Financial year missing; ","")&amp;IF(AND(BD674=0,V674&lt;&gt;""),"Financial year given but no service is Yes; ","")&amp;IF(AND(W674="Yes",AZ674=""),"GST needs a GSTIN; ","")&amp;IF(AND(W674="Yes",X674=""),"GST return frequency missing; ","")&amp;IF(AND(Y674="Yes",TRIM(H674)=""),"TDS needs a TAN; ","")&amp;IF(AND(AA674="Yes",BC674&lt;&gt;"",BC674&lt;&gt;"company",BC674&lt;&gt;"llp"),"ROC is only for a company / LLP; ","")&amp;IF(AND(AA674="Yes",OR(BC674="company",BC674="llp"),TRIM(I674)=""),"ROC needs the CIN / LLPIN; ","")&amp;IF((TRIM(AF674)="")&lt;&gt;(TRIM(AG674)=""),"GST login needs both user ID and password; ","")&amp;IF((TRIM(AH674)="")&lt;&gt;(TRIM(AI674)=""),"Income-tax login needs both user ID and password; ","")&amp;IF((TRIM(AJ674)="")&lt;&gt;(TRIM(AK674)=""),"Income-tax login needs both user ID and password; ","")&amp;IF((TRIM(AL674)="")&lt;&gt;(TRIM(AM674)=""),"TRACES login needs both user ID and password; ","")&amp;IF((TRIM(AN674)="")&lt;&gt;(TRIM(AO674)=""),"MCA login needs both user ID and password; ","")&amp;IF((TRIM(AP674)="")&lt;&gt;(TRIM(AQ674)=""),"E-way bill login needs both user ID and password; ","")</f>
        <v/>
      </c>
    </row>
    <row r="675">
      <c r="A675" s="32" t="n"/>
      <c r="B675" s="33" t="n"/>
      <c r="C675" s="33" t="n"/>
      <c r="D675" s="33" t="n"/>
      <c r="E675" s="32" t="n"/>
      <c r="F675" s="32" t="n"/>
      <c r="G675" s="32" t="n"/>
      <c r="H675" s="32" t="n"/>
      <c r="I675" s="32" t="n"/>
      <c r="J675" s="34" t="n"/>
      <c r="K675" s="33" t="n"/>
      <c r="L675" s="32" t="n"/>
      <c r="M675" s="33" t="n"/>
      <c r="N675" s="33" t="n"/>
      <c r="O675" s="33" t="n"/>
      <c r="P675" s="32" t="n"/>
      <c r="Q675" s="33" t="n"/>
      <c r="R675" s="33" t="n"/>
      <c r="S675" s="33" t="n"/>
      <c r="T675" s="33" t="n"/>
      <c r="U675" s="32" t="n"/>
      <c r="V675" s="33" t="n"/>
      <c r="W675" s="33" t="n"/>
      <c r="X675" s="33" t="n"/>
      <c r="Y675" s="33" t="n"/>
      <c r="Z675" s="33" t="n"/>
      <c r="AA675" s="33" t="n"/>
      <c r="AB675" s="33" t="n"/>
      <c r="AC675" s="33" t="n"/>
      <c r="AD675" s="33" t="n"/>
      <c r="AE675" s="33" t="n"/>
      <c r="AF675" s="32" t="n"/>
      <c r="AG675" s="32" t="n"/>
      <c r="AH675" s="32" t="n"/>
      <c r="AI675" s="32" t="n"/>
      <c r="AJ675" s="32" t="n"/>
      <c r="AK675" s="32" t="n"/>
      <c r="AL675" s="32" t="n"/>
      <c r="AM675" s="32" t="n"/>
      <c r="AN675" s="32" t="n"/>
      <c r="AO675" s="32" t="n"/>
      <c r="AP675" s="32" t="n"/>
      <c r="AQ675" s="32" t="n"/>
      <c r="AR675" s="29">
        <f>IF(NOT(COUNTA(A675:AE675)&gt;0),"",IF(A675="","New client","Update"))</f>
        <v/>
      </c>
      <c r="AS675" s="29">
        <f>IF(BA675&lt;&gt;"",BA675,IF(LEN(AZ675)=15,MID(AZ675,3,10),""))</f>
        <v/>
      </c>
      <c r="AT675" s="29">
        <f>IF(BB675="","",BB675&amp;IF(D675="","  (guessed from PAN)",""))</f>
        <v/>
      </c>
      <c r="AU675" s="29">
        <f>IF(AZ675="","",IFERROR(INDEX(Lists!$L$2:$L$38,MATCH(LEFT(AZ675,2),Lists!$K$2:$K$38,0)),"Unknown code"))</f>
        <v/>
      </c>
      <c r="AV675" s="29">
        <f>IF(AZ675="","",IFERROR(IF(NOT(AND(LEN(AZ675)=15,ISNUMBER(MATCH(LEFT(AZ675,2),Lists!$K$2:$K$38,0)),SUMPRODUCT(--ISERROR(FIND(MID(MID(AZ675,3,10),{1,2,3,4,5,10},1),"ABCDEFGHIJKLMNOPQRSTUVWXYZ")))=0,SUMPRODUCT(--ISERROR(FIND(MID(MID(AZ675,3,10),{6,7,8,9},1),"0123456789")))=0,ISNUMBER(FIND(MID(AZ675,13,1),"123456789ABCDEFGHIJKLMNOPQRSTUVWXYZ")),MID(AZ675,14,1)="Z")),"Wrong format",IF(MID("0123456789ABCDEFGHIJKLMNOPQRSTUVWXYZ",MOD(36-MOD(SUMPRODUCT(INT((FIND(MID(AZ675,{1,2,3,4,5,6,7,8,9,10,11,12,13,14},1),"0123456789ABCDEFGHIJKLMNOPQRSTUVWXYZ")-1)*{1,2,1,2,1,2,1,2,1,2,1,2,1,2}/36)+MOD((FIND(MID(AZ675,{1,2,3,4,5,6,7,8,9,10,11,12,13,14},1),"0123456789ABCDEFGHIJKLMNOPQRSTUVWXYZ")-1)*{1,2,1,2,1,2,1,2,1,2,1,2,1,2},36)),36),36)+1,1)=MID(AZ675,15,1),"OK","Typo? check digit wrong")),"Wrong format"))</f>
        <v/>
      </c>
      <c r="AW675" s="29">
        <f>IF(BA675="","",IF(AND(LEN(BA675)=10,SUMPRODUCT(--ISERROR(FIND(MID(BA675,{1,2,3,4,5,10},1),"ABCDEFGHIJKLMNOPQRSTUVWXYZ")))=0,SUMPRODUCT(--ISERROR(FIND(MID(BA675,{6,7,8,9},1),"0123456789")))=0),"OK","Wrong format"))</f>
        <v/>
      </c>
      <c r="AX675" s="29">
        <f>IF(TRIM(H675)="","",IF(AND(LEN(UPPER(TRIM(H675)))=10,SUMPRODUCT(--ISERROR(FIND(MID(UPPER(TRIM(H675)),{1,2,3,4,10},1),"ABCDEFGHIJKLMNOPQRSTUVWXYZ")))=0,SUMPRODUCT(--ISERROR(FIND(MID(UPPER(TRIM(H675)),{5,6,7,8,9},1),"0123456789")))=0),"OK","Wrong format"))</f>
        <v/>
      </c>
      <c r="AY675" s="30">
        <f>IF(NOT(COUNTA(A675:AE675)&gt;0),"",IF(BE675&lt;&gt;"","✖ "&amp;LEFT(BE675,LEN(BE675)-2),IF(BD675&gt;0,"✔ Ready — client + "&amp;BD675&amp;" service(s)","✔ Ready — client only")))</f>
        <v/>
      </c>
      <c r="AZ675" s="31">
        <f>UPPER(SUBSTITUTE(TRIM(F675)," ",""))</f>
        <v/>
      </c>
      <c r="BA675" s="31">
        <f>UPPER(SUBSTITUTE(TRIM(E675)," ",""))</f>
        <v/>
      </c>
      <c r="BB675" s="31">
        <f>IF(D675&lt;&gt;"",D675,IFERROR(VLOOKUP(MID(AS675,4,1),Lists!$E$2:$F$8,2,FALSE),""))</f>
        <v/>
      </c>
      <c r="BC675" s="31">
        <f>IFERROR(VLOOKUP(BB675,Lists!$A$2:$C$12,3,FALSE),"")</f>
        <v/>
      </c>
      <c r="BD675" s="31">
        <f>COUNTIF(W675:AC675,"Yes")</f>
        <v/>
      </c>
      <c r="BE675" s="31">
        <f>IF(TRIM(B675)="","Legal name missing; ","")&amp;IF(AND(AV675&lt;&gt;"",AV675&lt;&gt;"OK"),"GSTIN: "&amp;AV675&amp;"; ","")&amp;IF(AND(AW675&lt;&gt;"",AW675&lt;&gt;"OK"),"PAN wrong format; ","")&amp;IF(AND(BA675&lt;&gt;"",LEN(AZ675)=15,MID(AZ675,3,10)&lt;&gt;BA675),"PAN does not match GSTIN; ","")&amp;IF(AND(AX675&lt;&gt;"",AX675&lt;&gt;"OK"),"TAN wrong format; ","")&amp;IF(AS675="","PAN missing; ","")&amp;IF(BB675="","Entity type missing; ","")&amp;IF(AND(AZ675&lt;&gt;"",COUNTIF($AZ$6:$AZ$1005,AZ675)&gt;1),"GSTIN repeated in this sheet; ","")&amp;IF(AND(AS675&lt;&gt;"",COUNTIF($AS$6:$AS$1005,AS675)&gt;1),"PAN repeated in this sheet (same client? put extra GSTINs in Other GSTINs); ","")&amp;IF(AND(BD675&gt;0,V675=""),"Financial year missing; ","")&amp;IF(AND(BD675=0,V675&lt;&gt;""),"Financial year given but no service is Yes; ","")&amp;IF(AND(W675="Yes",AZ675=""),"GST needs a GSTIN; ","")&amp;IF(AND(W675="Yes",X675=""),"GST return frequency missing; ","")&amp;IF(AND(Y675="Yes",TRIM(H675)=""),"TDS needs a TAN; ","")&amp;IF(AND(AA675="Yes",BC675&lt;&gt;"",BC675&lt;&gt;"company",BC675&lt;&gt;"llp"),"ROC is only for a company / LLP; ","")&amp;IF(AND(AA675="Yes",OR(BC675="company",BC675="llp"),TRIM(I675)=""),"ROC needs the CIN / LLPIN; ","")&amp;IF((TRIM(AF675)="")&lt;&gt;(TRIM(AG675)=""),"GST login needs both user ID and password; ","")&amp;IF((TRIM(AH675)="")&lt;&gt;(TRIM(AI675)=""),"Income-tax login needs both user ID and password; ","")&amp;IF((TRIM(AJ675)="")&lt;&gt;(TRIM(AK675)=""),"Income-tax login needs both user ID and password; ","")&amp;IF((TRIM(AL675)="")&lt;&gt;(TRIM(AM675)=""),"TRACES login needs both user ID and password; ","")&amp;IF((TRIM(AN675)="")&lt;&gt;(TRIM(AO675)=""),"MCA login needs both user ID and password; ","")&amp;IF((TRIM(AP675)="")&lt;&gt;(TRIM(AQ675)=""),"E-way bill login needs both user ID and password; ","")</f>
        <v/>
      </c>
    </row>
    <row r="676">
      <c r="A676" s="32" t="n"/>
      <c r="B676" s="33" t="n"/>
      <c r="C676" s="33" t="n"/>
      <c r="D676" s="33" t="n"/>
      <c r="E676" s="32" t="n"/>
      <c r="F676" s="32" t="n"/>
      <c r="G676" s="32" t="n"/>
      <c r="H676" s="32" t="n"/>
      <c r="I676" s="32" t="n"/>
      <c r="J676" s="34" t="n"/>
      <c r="K676" s="33" t="n"/>
      <c r="L676" s="32" t="n"/>
      <c r="M676" s="33" t="n"/>
      <c r="N676" s="33" t="n"/>
      <c r="O676" s="33" t="n"/>
      <c r="P676" s="32" t="n"/>
      <c r="Q676" s="33" t="n"/>
      <c r="R676" s="33" t="n"/>
      <c r="S676" s="33" t="n"/>
      <c r="T676" s="33" t="n"/>
      <c r="U676" s="32" t="n"/>
      <c r="V676" s="33" t="n"/>
      <c r="W676" s="33" t="n"/>
      <c r="X676" s="33" t="n"/>
      <c r="Y676" s="33" t="n"/>
      <c r="Z676" s="33" t="n"/>
      <c r="AA676" s="33" t="n"/>
      <c r="AB676" s="33" t="n"/>
      <c r="AC676" s="33" t="n"/>
      <c r="AD676" s="33" t="n"/>
      <c r="AE676" s="33" t="n"/>
      <c r="AF676" s="32" t="n"/>
      <c r="AG676" s="32" t="n"/>
      <c r="AH676" s="32" t="n"/>
      <c r="AI676" s="32" t="n"/>
      <c r="AJ676" s="32" t="n"/>
      <c r="AK676" s="32" t="n"/>
      <c r="AL676" s="32" t="n"/>
      <c r="AM676" s="32" t="n"/>
      <c r="AN676" s="32" t="n"/>
      <c r="AO676" s="32" t="n"/>
      <c r="AP676" s="32" t="n"/>
      <c r="AQ676" s="32" t="n"/>
      <c r="AR676" s="29">
        <f>IF(NOT(COUNTA(A676:AE676)&gt;0),"",IF(A676="","New client","Update"))</f>
        <v/>
      </c>
      <c r="AS676" s="29">
        <f>IF(BA676&lt;&gt;"",BA676,IF(LEN(AZ676)=15,MID(AZ676,3,10),""))</f>
        <v/>
      </c>
      <c r="AT676" s="29">
        <f>IF(BB676="","",BB676&amp;IF(D676="","  (guessed from PAN)",""))</f>
        <v/>
      </c>
      <c r="AU676" s="29">
        <f>IF(AZ676="","",IFERROR(INDEX(Lists!$L$2:$L$38,MATCH(LEFT(AZ676,2),Lists!$K$2:$K$38,0)),"Unknown code"))</f>
        <v/>
      </c>
      <c r="AV676" s="29">
        <f>IF(AZ676="","",IFERROR(IF(NOT(AND(LEN(AZ676)=15,ISNUMBER(MATCH(LEFT(AZ676,2),Lists!$K$2:$K$38,0)),SUMPRODUCT(--ISERROR(FIND(MID(MID(AZ676,3,10),{1,2,3,4,5,10},1),"ABCDEFGHIJKLMNOPQRSTUVWXYZ")))=0,SUMPRODUCT(--ISERROR(FIND(MID(MID(AZ676,3,10),{6,7,8,9},1),"0123456789")))=0,ISNUMBER(FIND(MID(AZ676,13,1),"123456789ABCDEFGHIJKLMNOPQRSTUVWXYZ")),MID(AZ676,14,1)="Z")),"Wrong format",IF(MID("0123456789ABCDEFGHIJKLMNOPQRSTUVWXYZ",MOD(36-MOD(SUMPRODUCT(INT((FIND(MID(AZ676,{1,2,3,4,5,6,7,8,9,10,11,12,13,14},1),"0123456789ABCDEFGHIJKLMNOPQRSTUVWXYZ")-1)*{1,2,1,2,1,2,1,2,1,2,1,2,1,2}/36)+MOD((FIND(MID(AZ676,{1,2,3,4,5,6,7,8,9,10,11,12,13,14},1),"0123456789ABCDEFGHIJKLMNOPQRSTUVWXYZ")-1)*{1,2,1,2,1,2,1,2,1,2,1,2,1,2},36)),36),36)+1,1)=MID(AZ676,15,1),"OK","Typo? check digit wrong")),"Wrong format"))</f>
        <v/>
      </c>
      <c r="AW676" s="29">
        <f>IF(BA676="","",IF(AND(LEN(BA676)=10,SUMPRODUCT(--ISERROR(FIND(MID(BA676,{1,2,3,4,5,10},1),"ABCDEFGHIJKLMNOPQRSTUVWXYZ")))=0,SUMPRODUCT(--ISERROR(FIND(MID(BA676,{6,7,8,9},1),"0123456789")))=0),"OK","Wrong format"))</f>
        <v/>
      </c>
      <c r="AX676" s="29">
        <f>IF(TRIM(H676)="","",IF(AND(LEN(UPPER(TRIM(H676)))=10,SUMPRODUCT(--ISERROR(FIND(MID(UPPER(TRIM(H676)),{1,2,3,4,10},1),"ABCDEFGHIJKLMNOPQRSTUVWXYZ")))=0,SUMPRODUCT(--ISERROR(FIND(MID(UPPER(TRIM(H676)),{5,6,7,8,9},1),"0123456789")))=0),"OK","Wrong format"))</f>
        <v/>
      </c>
      <c r="AY676" s="30">
        <f>IF(NOT(COUNTA(A676:AE676)&gt;0),"",IF(BE676&lt;&gt;"","✖ "&amp;LEFT(BE676,LEN(BE676)-2),IF(BD676&gt;0,"✔ Ready — client + "&amp;BD676&amp;" service(s)","✔ Ready — client only")))</f>
        <v/>
      </c>
      <c r="AZ676" s="31">
        <f>UPPER(SUBSTITUTE(TRIM(F676)," ",""))</f>
        <v/>
      </c>
      <c r="BA676" s="31">
        <f>UPPER(SUBSTITUTE(TRIM(E676)," ",""))</f>
        <v/>
      </c>
      <c r="BB676" s="31">
        <f>IF(D676&lt;&gt;"",D676,IFERROR(VLOOKUP(MID(AS676,4,1),Lists!$E$2:$F$8,2,FALSE),""))</f>
        <v/>
      </c>
      <c r="BC676" s="31">
        <f>IFERROR(VLOOKUP(BB676,Lists!$A$2:$C$12,3,FALSE),"")</f>
        <v/>
      </c>
      <c r="BD676" s="31">
        <f>COUNTIF(W676:AC676,"Yes")</f>
        <v/>
      </c>
      <c r="BE676" s="31">
        <f>IF(TRIM(B676)="","Legal name missing; ","")&amp;IF(AND(AV676&lt;&gt;"",AV676&lt;&gt;"OK"),"GSTIN: "&amp;AV676&amp;"; ","")&amp;IF(AND(AW676&lt;&gt;"",AW676&lt;&gt;"OK"),"PAN wrong format; ","")&amp;IF(AND(BA676&lt;&gt;"",LEN(AZ676)=15,MID(AZ676,3,10)&lt;&gt;BA676),"PAN does not match GSTIN; ","")&amp;IF(AND(AX676&lt;&gt;"",AX676&lt;&gt;"OK"),"TAN wrong format; ","")&amp;IF(AS676="","PAN missing; ","")&amp;IF(BB676="","Entity type missing; ","")&amp;IF(AND(AZ676&lt;&gt;"",COUNTIF($AZ$6:$AZ$1005,AZ676)&gt;1),"GSTIN repeated in this sheet; ","")&amp;IF(AND(AS676&lt;&gt;"",COUNTIF($AS$6:$AS$1005,AS676)&gt;1),"PAN repeated in this sheet (same client? put extra GSTINs in Other GSTINs); ","")&amp;IF(AND(BD676&gt;0,V676=""),"Financial year missing; ","")&amp;IF(AND(BD676=0,V676&lt;&gt;""),"Financial year given but no service is Yes; ","")&amp;IF(AND(W676="Yes",AZ676=""),"GST needs a GSTIN; ","")&amp;IF(AND(W676="Yes",X676=""),"GST return frequency missing; ","")&amp;IF(AND(Y676="Yes",TRIM(H676)=""),"TDS needs a TAN; ","")&amp;IF(AND(AA676="Yes",BC676&lt;&gt;"",BC676&lt;&gt;"company",BC676&lt;&gt;"llp"),"ROC is only for a company / LLP; ","")&amp;IF(AND(AA676="Yes",OR(BC676="company",BC676="llp"),TRIM(I676)=""),"ROC needs the CIN / LLPIN; ","")&amp;IF((TRIM(AF676)="")&lt;&gt;(TRIM(AG676)=""),"GST login needs both user ID and password; ","")&amp;IF((TRIM(AH676)="")&lt;&gt;(TRIM(AI676)=""),"Income-tax login needs both user ID and password; ","")&amp;IF((TRIM(AJ676)="")&lt;&gt;(TRIM(AK676)=""),"Income-tax login needs both user ID and password; ","")&amp;IF((TRIM(AL676)="")&lt;&gt;(TRIM(AM676)=""),"TRACES login needs both user ID and password; ","")&amp;IF((TRIM(AN676)="")&lt;&gt;(TRIM(AO676)=""),"MCA login needs both user ID and password; ","")&amp;IF((TRIM(AP676)="")&lt;&gt;(TRIM(AQ676)=""),"E-way bill login needs both user ID and password; ","")</f>
        <v/>
      </c>
    </row>
    <row r="677">
      <c r="A677" s="32" t="n"/>
      <c r="B677" s="33" t="n"/>
      <c r="C677" s="33" t="n"/>
      <c r="D677" s="33" t="n"/>
      <c r="E677" s="32" t="n"/>
      <c r="F677" s="32" t="n"/>
      <c r="G677" s="32" t="n"/>
      <c r="H677" s="32" t="n"/>
      <c r="I677" s="32" t="n"/>
      <c r="J677" s="34" t="n"/>
      <c r="K677" s="33" t="n"/>
      <c r="L677" s="32" t="n"/>
      <c r="M677" s="33" t="n"/>
      <c r="N677" s="33" t="n"/>
      <c r="O677" s="33" t="n"/>
      <c r="P677" s="32" t="n"/>
      <c r="Q677" s="33" t="n"/>
      <c r="R677" s="33" t="n"/>
      <c r="S677" s="33" t="n"/>
      <c r="T677" s="33" t="n"/>
      <c r="U677" s="32" t="n"/>
      <c r="V677" s="33" t="n"/>
      <c r="W677" s="33" t="n"/>
      <c r="X677" s="33" t="n"/>
      <c r="Y677" s="33" t="n"/>
      <c r="Z677" s="33" t="n"/>
      <c r="AA677" s="33" t="n"/>
      <c r="AB677" s="33" t="n"/>
      <c r="AC677" s="33" t="n"/>
      <c r="AD677" s="33" t="n"/>
      <c r="AE677" s="33" t="n"/>
      <c r="AF677" s="32" t="n"/>
      <c r="AG677" s="32" t="n"/>
      <c r="AH677" s="32" t="n"/>
      <c r="AI677" s="32" t="n"/>
      <c r="AJ677" s="32" t="n"/>
      <c r="AK677" s="32" t="n"/>
      <c r="AL677" s="32" t="n"/>
      <c r="AM677" s="32" t="n"/>
      <c r="AN677" s="32" t="n"/>
      <c r="AO677" s="32" t="n"/>
      <c r="AP677" s="32" t="n"/>
      <c r="AQ677" s="32" t="n"/>
      <c r="AR677" s="29">
        <f>IF(NOT(COUNTA(A677:AE677)&gt;0),"",IF(A677="","New client","Update"))</f>
        <v/>
      </c>
      <c r="AS677" s="29">
        <f>IF(BA677&lt;&gt;"",BA677,IF(LEN(AZ677)=15,MID(AZ677,3,10),""))</f>
        <v/>
      </c>
      <c r="AT677" s="29">
        <f>IF(BB677="","",BB677&amp;IF(D677="","  (guessed from PAN)",""))</f>
        <v/>
      </c>
      <c r="AU677" s="29">
        <f>IF(AZ677="","",IFERROR(INDEX(Lists!$L$2:$L$38,MATCH(LEFT(AZ677,2),Lists!$K$2:$K$38,0)),"Unknown code"))</f>
        <v/>
      </c>
      <c r="AV677" s="29">
        <f>IF(AZ677="","",IFERROR(IF(NOT(AND(LEN(AZ677)=15,ISNUMBER(MATCH(LEFT(AZ677,2),Lists!$K$2:$K$38,0)),SUMPRODUCT(--ISERROR(FIND(MID(MID(AZ677,3,10),{1,2,3,4,5,10},1),"ABCDEFGHIJKLMNOPQRSTUVWXYZ")))=0,SUMPRODUCT(--ISERROR(FIND(MID(MID(AZ677,3,10),{6,7,8,9},1),"0123456789")))=0,ISNUMBER(FIND(MID(AZ677,13,1),"123456789ABCDEFGHIJKLMNOPQRSTUVWXYZ")),MID(AZ677,14,1)="Z")),"Wrong format",IF(MID("0123456789ABCDEFGHIJKLMNOPQRSTUVWXYZ",MOD(36-MOD(SUMPRODUCT(INT((FIND(MID(AZ677,{1,2,3,4,5,6,7,8,9,10,11,12,13,14},1),"0123456789ABCDEFGHIJKLMNOPQRSTUVWXYZ")-1)*{1,2,1,2,1,2,1,2,1,2,1,2,1,2}/36)+MOD((FIND(MID(AZ677,{1,2,3,4,5,6,7,8,9,10,11,12,13,14},1),"0123456789ABCDEFGHIJKLMNOPQRSTUVWXYZ")-1)*{1,2,1,2,1,2,1,2,1,2,1,2,1,2},36)),36),36)+1,1)=MID(AZ677,15,1),"OK","Typo? check digit wrong")),"Wrong format"))</f>
        <v/>
      </c>
      <c r="AW677" s="29">
        <f>IF(BA677="","",IF(AND(LEN(BA677)=10,SUMPRODUCT(--ISERROR(FIND(MID(BA677,{1,2,3,4,5,10},1),"ABCDEFGHIJKLMNOPQRSTUVWXYZ")))=0,SUMPRODUCT(--ISERROR(FIND(MID(BA677,{6,7,8,9},1),"0123456789")))=0),"OK","Wrong format"))</f>
        <v/>
      </c>
      <c r="AX677" s="29">
        <f>IF(TRIM(H677)="","",IF(AND(LEN(UPPER(TRIM(H677)))=10,SUMPRODUCT(--ISERROR(FIND(MID(UPPER(TRIM(H677)),{1,2,3,4,10},1),"ABCDEFGHIJKLMNOPQRSTUVWXYZ")))=0,SUMPRODUCT(--ISERROR(FIND(MID(UPPER(TRIM(H677)),{5,6,7,8,9},1),"0123456789")))=0),"OK","Wrong format"))</f>
        <v/>
      </c>
      <c r="AY677" s="30">
        <f>IF(NOT(COUNTA(A677:AE677)&gt;0),"",IF(BE677&lt;&gt;"","✖ "&amp;LEFT(BE677,LEN(BE677)-2),IF(BD677&gt;0,"✔ Ready — client + "&amp;BD677&amp;" service(s)","✔ Ready — client only")))</f>
        <v/>
      </c>
      <c r="AZ677" s="31">
        <f>UPPER(SUBSTITUTE(TRIM(F677)," ",""))</f>
        <v/>
      </c>
      <c r="BA677" s="31">
        <f>UPPER(SUBSTITUTE(TRIM(E677)," ",""))</f>
        <v/>
      </c>
      <c r="BB677" s="31">
        <f>IF(D677&lt;&gt;"",D677,IFERROR(VLOOKUP(MID(AS677,4,1),Lists!$E$2:$F$8,2,FALSE),""))</f>
        <v/>
      </c>
      <c r="BC677" s="31">
        <f>IFERROR(VLOOKUP(BB677,Lists!$A$2:$C$12,3,FALSE),"")</f>
        <v/>
      </c>
      <c r="BD677" s="31">
        <f>COUNTIF(W677:AC677,"Yes")</f>
        <v/>
      </c>
      <c r="BE677" s="31">
        <f>IF(TRIM(B677)="","Legal name missing; ","")&amp;IF(AND(AV677&lt;&gt;"",AV677&lt;&gt;"OK"),"GSTIN: "&amp;AV677&amp;"; ","")&amp;IF(AND(AW677&lt;&gt;"",AW677&lt;&gt;"OK"),"PAN wrong format; ","")&amp;IF(AND(BA677&lt;&gt;"",LEN(AZ677)=15,MID(AZ677,3,10)&lt;&gt;BA677),"PAN does not match GSTIN; ","")&amp;IF(AND(AX677&lt;&gt;"",AX677&lt;&gt;"OK"),"TAN wrong format; ","")&amp;IF(AS677="","PAN missing; ","")&amp;IF(BB677="","Entity type missing; ","")&amp;IF(AND(AZ677&lt;&gt;"",COUNTIF($AZ$6:$AZ$1005,AZ677)&gt;1),"GSTIN repeated in this sheet; ","")&amp;IF(AND(AS677&lt;&gt;"",COUNTIF($AS$6:$AS$1005,AS677)&gt;1),"PAN repeated in this sheet (same client? put extra GSTINs in Other GSTINs); ","")&amp;IF(AND(BD677&gt;0,V677=""),"Financial year missing; ","")&amp;IF(AND(BD677=0,V677&lt;&gt;""),"Financial year given but no service is Yes; ","")&amp;IF(AND(W677="Yes",AZ677=""),"GST needs a GSTIN; ","")&amp;IF(AND(W677="Yes",X677=""),"GST return frequency missing; ","")&amp;IF(AND(Y677="Yes",TRIM(H677)=""),"TDS needs a TAN; ","")&amp;IF(AND(AA677="Yes",BC677&lt;&gt;"",BC677&lt;&gt;"company",BC677&lt;&gt;"llp"),"ROC is only for a company / LLP; ","")&amp;IF(AND(AA677="Yes",OR(BC677="company",BC677="llp"),TRIM(I677)=""),"ROC needs the CIN / LLPIN; ","")&amp;IF((TRIM(AF677)="")&lt;&gt;(TRIM(AG677)=""),"GST login needs both user ID and password; ","")&amp;IF((TRIM(AH677)="")&lt;&gt;(TRIM(AI677)=""),"Income-tax login needs both user ID and password; ","")&amp;IF((TRIM(AJ677)="")&lt;&gt;(TRIM(AK677)=""),"Income-tax login needs both user ID and password; ","")&amp;IF((TRIM(AL677)="")&lt;&gt;(TRIM(AM677)=""),"TRACES login needs both user ID and password; ","")&amp;IF((TRIM(AN677)="")&lt;&gt;(TRIM(AO677)=""),"MCA login needs both user ID and password; ","")&amp;IF((TRIM(AP677)="")&lt;&gt;(TRIM(AQ677)=""),"E-way bill login needs both user ID and password; ","")</f>
        <v/>
      </c>
    </row>
    <row r="678">
      <c r="A678" s="32" t="n"/>
      <c r="B678" s="33" t="n"/>
      <c r="C678" s="33" t="n"/>
      <c r="D678" s="33" t="n"/>
      <c r="E678" s="32" t="n"/>
      <c r="F678" s="32" t="n"/>
      <c r="G678" s="32" t="n"/>
      <c r="H678" s="32" t="n"/>
      <c r="I678" s="32" t="n"/>
      <c r="J678" s="34" t="n"/>
      <c r="K678" s="33" t="n"/>
      <c r="L678" s="32" t="n"/>
      <c r="M678" s="33" t="n"/>
      <c r="N678" s="33" t="n"/>
      <c r="O678" s="33" t="n"/>
      <c r="P678" s="32" t="n"/>
      <c r="Q678" s="33" t="n"/>
      <c r="R678" s="33" t="n"/>
      <c r="S678" s="33" t="n"/>
      <c r="T678" s="33" t="n"/>
      <c r="U678" s="32" t="n"/>
      <c r="V678" s="33" t="n"/>
      <c r="W678" s="33" t="n"/>
      <c r="X678" s="33" t="n"/>
      <c r="Y678" s="33" t="n"/>
      <c r="Z678" s="33" t="n"/>
      <c r="AA678" s="33" t="n"/>
      <c r="AB678" s="33" t="n"/>
      <c r="AC678" s="33" t="n"/>
      <c r="AD678" s="33" t="n"/>
      <c r="AE678" s="33" t="n"/>
      <c r="AF678" s="32" t="n"/>
      <c r="AG678" s="32" t="n"/>
      <c r="AH678" s="32" t="n"/>
      <c r="AI678" s="32" t="n"/>
      <c r="AJ678" s="32" t="n"/>
      <c r="AK678" s="32" t="n"/>
      <c r="AL678" s="32" t="n"/>
      <c r="AM678" s="32" t="n"/>
      <c r="AN678" s="32" t="n"/>
      <c r="AO678" s="32" t="n"/>
      <c r="AP678" s="32" t="n"/>
      <c r="AQ678" s="32" t="n"/>
      <c r="AR678" s="29">
        <f>IF(NOT(COUNTA(A678:AE678)&gt;0),"",IF(A678="","New client","Update"))</f>
        <v/>
      </c>
      <c r="AS678" s="29">
        <f>IF(BA678&lt;&gt;"",BA678,IF(LEN(AZ678)=15,MID(AZ678,3,10),""))</f>
        <v/>
      </c>
      <c r="AT678" s="29">
        <f>IF(BB678="","",BB678&amp;IF(D678="","  (guessed from PAN)",""))</f>
        <v/>
      </c>
      <c r="AU678" s="29">
        <f>IF(AZ678="","",IFERROR(INDEX(Lists!$L$2:$L$38,MATCH(LEFT(AZ678,2),Lists!$K$2:$K$38,0)),"Unknown code"))</f>
        <v/>
      </c>
      <c r="AV678" s="29">
        <f>IF(AZ678="","",IFERROR(IF(NOT(AND(LEN(AZ678)=15,ISNUMBER(MATCH(LEFT(AZ678,2),Lists!$K$2:$K$38,0)),SUMPRODUCT(--ISERROR(FIND(MID(MID(AZ678,3,10),{1,2,3,4,5,10},1),"ABCDEFGHIJKLMNOPQRSTUVWXYZ")))=0,SUMPRODUCT(--ISERROR(FIND(MID(MID(AZ678,3,10),{6,7,8,9},1),"0123456789")))=0,ISNUMBER(FIND(MID(AZ678,13,1),"123456789ABCDEFGHIJKLMNOPQRSTUVWXYZ")),MID(AZ678,14,1)="Z")),"Wrong format",IF(MID("0123456789ABCDEFGHIJKLMNOPQRSTUVWXYZ",MOD(36-MOD(SUMPRODUCT(INT((FIND(MID(AZ678,{1,2,3,4,5,6,7,8,9,10,11,12,13,14},1),"0123456789ABCDEFGHIJKLMNOPQRSTUVWXYZ")-1)*{1,2,1,2,1,2,1,2,1,2,1,2,1,2}/36)+MOD((FIND(MID(AZ678,{1,2,3,4,5,6,7,8,9,10,11,12,13,14},1),"0123456789ABCDEFGHIJKLMNOPQRSTUVWXYZ")-1)*{1,2,1,2,1,2,1,2,1,2,1,2,1,2},36)),36),36)+1,1)=MID(AZ678,15,1),"OK","Typo? check digit wrong")),"Wrong format"))</f>
        <v/>
      </c>
      <c r="AW678" s="29">
        <f>IF(BA678="","",IF(AND(LEN(BA678)=10,SUMPRODUCT(--ISERROR(FIND(MID(BA678,{1,2,3,4,5,10},1),"ABCDEFGHIJKLMNOPQRSTUVWXYZ")))=0,SUMPRODUCT(--ISERROR(FIND(MID(BA678,{6,7,8,9},1),"0123456789")))=0),"OK","Wrong format"))</f>
        <v/>
      </c>
      <c r="AX678" s="29">
        <f>IF(TRIM(H678)="","",IF(AND(LEN(UPPER(TRIM(H678)))=10,SUMPRODUCT(--ISERROR(FIND(MID(UPPER(TRIM(H678)),{1,2,3,4,10},1),"ABCDEFGHIJKLMNOPQRSTUVWXYZ")))=0,SUMPRODUCT(--ISERROR(FIND(MID(UPPER(TRIM(H678)),{5,6,7,8,9},1),"0123456789")))=0),"OK","Wrong format"))</f>
        <v/>
      </c>
      <c r="AY678" s="30">
        <f>IF(NOT(COUNTA(A678:AE678)&gt;0),"",IF(BE678&lt;&gt;"","✖ "&amp;LEFT(BE678,LEN(BE678)-2),IF(BD678&gt;0,"✔ Ready — client + "&amp;BD678&amp;" service(s)","✔ Ready — client only")))</f>
        <v/>
      </c>
      <c r="AZ678" s="31">
        <f>UPPER(SUBSTITUTE(TRIM(F678)," ",""))</f>
        <v/>
      </c>
      <c r="BA678" s="31">
        <f>UPPER(SUBSTITUTE(TRIM(E678)," ",""))</f>
        <v/>
      </c>
      <c r="BB678" s="31">
        <f>IF(D678&lt;&gt;"",D678,IFERROR(VLOOKUP(MID(AS678,4,1),Lists!$E$2:$F$8,2,FALSE),""))</f>
        <v/>
      </c>
      <c r="BC678" s="31">
        <f>IFERROR(VLOOKUP(BB678,Lists!$A$2:$C$12,3,FALSE),"")</f>
        <v/>
      </c>
      <c r="BD678" s="31">
        <f>COUNTIF(W678:AC678,"Yes")</f>
        <v/>
      </c>
      <c r="BE678" s="31">
        <f>IF(TRIM(B678)="","Legal name missing; ","")&amp;IF(AND(AV678&lt;&gt;"",AV678&lt;&gt;"OK"),"GSTIN: "&amp;AV678&amp;"; ","")&amp;IF(AND(AW678&lt;&gt;"",AW678&lt;&gt;"OK"),"PAN wrong format; ","")&amp;IF(AND(BA678&lt;&gt;"",LEN(AZ678)=15,MID(AZ678,3,10)&lt;&gt;BA678),"PAN does not match GSTIN; ","")&amp;IF(AND(AX678&lt;&gt;"",AX678&lt;&gt;"OK"),"TAN wrong format; ","")&amp;IF(AS678="","PAN missing; ","")&amp;IF(BB678="","Entity type missing; ","")&amp;IF(AND(AZ678&lt;&gt;"",COUNTIF($AZ$6:$AZ$1005,AZ678)&gt;1),"GSTIN repeated in this sheet; ","")&amp;IF(AND(AS678&lt;&gt;"",COUNTIF($AS$6:$AS$1005,AS678)&gt;1),"PAN repeated in this sheet (same client? put extra GSTINs in Other GSTINs); ","")&amp;IF(AND(BD678&gt;0,V678=""),"Financial year missing; ","")&amp;IF(AND(BD678=0,V678&lt;&gt;""),"Financial year given but no service is Yes; ","")&amp;IF(AND(W678="Yes",AZ678=""),"GST needs a GSTIN; ","")&amp;IF(AND(W678="Yes",X678=""),"GST return frequency missing; ","")&amp;IF(AND(Y678="Yes",TRIM(H678)=""),"TDS needs a TAN; ","")&amp;IF(AND(AA678="Yes",BC678&lt;&gt;"",BC678&lt;&gt;"company",BC678&lt;&gt;"llp"),"ROC is only for a company / LLP; ","")&amp;IF(AND(AA678="Yes",OR(BC678="company",BC678="llp"),TRIM(I678)=""),"ROC needs the CIN / LLPIN; ","")&amp;IF((TRIM(AF678)="")&lt;&gt;(TRIM(AG678)=""),"GST login needs both user ID and password; ","")&amp;IF((TRIM(AH678)="")&lt;&gt;(TRIM(AI678)=""),"Income-tax login needs both user ID and password; ","")&amp;IF((TRIM(AJ678)="")&lt;&gt;(TRIM(AK678)=""),"Income-tax login needs both user ID and password; ","")&amp;IF((TRIM(AL678)="")&lt;&gt;(TRIM(AM678)=""),"TRACES login needs both user ID and password; ","")&amp;IF((TRIM(AN678)="")&lt;&gt;(TRIM(AO678)=""),"MCA login needs both user ID and password; ","")&amp;IF((TRIM(AP678)="")&lt;&gt;(TRIM(AQ678)=""),"E-way bill login needs both user ID and password; ","")</f>
        <v/>
      </c>
    </row>
    <row r="679">
      <c r="A679" s="32" t="n"/>
      <c r="B679" s="33" t="n"/>
      <c r="C679" s="33" t="n"/>
      <c r="D679" s="33" t="n"/>
      <c r="E679" s="32" t="n"/>
      <c r="F679" s="32" t="n"/>
      <c r="G679" s="32" t="n"/>
      <c r="H679" s="32" t="n"/>
      <c r="I679" s="32" t="n"/>
      <c r="J679" s="34" t="n"/>
      <c r="K679" s="33" t="n"/>
      <c r="L679" s="32" t="n"/>
      <c r="M679" s="33" t="n"/>
      <c r="N679" s="33" t="n"/>
      <c r="O679" s="33" t="n"/>
      <c r="P679" s="32" t="n"/>
      <c r="Q679" s="33" t="n"/>
      <c r="R679" s="33" t="n"/>
      <c r="S679" s="33" t="n"/>
      <c r="T679" s="33" t="n"/>
      <c r="U679" s="32" t="n"/>
      <c r="V679" s="33" t="n"/>
      <c r="W679" s="33" t="n"/>
      <c r="X679" s="33" t="n"/>
      <c r="Y679" s="33" t="n"/>
      <c r="Z679" s="33" t="n"/>
      <c r="AA679" s="33" t="n"/>
      <c r="AB679" s="33" t="n"/>
      <c r="AC679" s="33" t="n"/>
      <c r="AD679" s="33" t="n"/>
      <c r="AE679" s="33" t="n"/>
      <c r="AF679" s="32" t="n"/>
      <c r="AG679" s="32" t="n"/>
      <c r="AH679" s="32" t="n"/>
      <c r="AI679" s="32" t="n"/>
      <c r="AJ679" s="32" t="n"/>
      <c r="AK679" s="32" t="n"/>
      <c r="AL679" s="32" t="n"/>
      <c r="AM679" s="32" t="n"/>
      <c r="AN679" s="32" t="n"/>
      <c r="AO679" s="32" t="n"/>
      <c r="AP679" s="32" t="n"/>
      <c r="AQ679" s="32" t="n"/>
      <c r="AR679" s="29">
        <f>IF(NOT(COUNTA(A679:AE679)&gt;0),"",IF(A679="","New client","Update"))</f>
        <v/>
      </c>
      <c r="AS679" s="29">
        <f>IF(BA679&lt;&gt;"",BA679,IF(LEN(AZ679)=15,MID(AZ679,3,10),""))</f>
        <v/>
      </c>
      <c r="AT679" s="29">
        <f>IF(BB679="","",BB679&amp;IF(D679="","  (guessed from PAN)",""))</f>
        <v/>
      </c>
      <c r="AU679" s="29">
        <f>IF(AZ679="","",IFERROR(INDEX(Lists!$L$2:$L$38,MATCH(LEFT(AZ679,2),Lists!$K$2:$K$38,0)),"Unknown code"))</f>
        <v/>
      </c>
      <c r="AV679" s="29">
        <f>IF(AZ679="","",IFERROR(IF(NOT(AND(LEN(AZ679)=15,ISNUMBER(MATCH(LEFT(AZ679,2),Lists!$K$2:$K$38,0)),SUMPRODUCT(--ISERROR(FIND(MID(MID(AZ679,3,10),{1,2,3,4,5,10},1),"ABCDEFGHIJKLMNOPQRSTUVWXYZ")))=0,SUMPRODUCT(--ISERROR(FIND(MID(MID(AZ679,3,10),{6,7,8,9},1),"0123456789")))=0,ISNUMBER(FIND(MID(AZ679,13,1),"123456789ABCDEFGHIJKLMNOPQRSTUVWXYZ")),MID(AZ679,14,1)="Z")),"Wrong format",IF(MID("0123456789ABCDEFGHIJKLMNOPQRSTUVWXYZ",MOD(36-MOD(SUMPRODUCT(INT((FIND(MID(AZ679,{1,2,3,4,5,6,7,8,9,10,11,12,13,14},1),"0123456789ABCDEFGHIJKLMNOPQRSTUVWXYZ")-1)*{1,2,1,2,1,2,1,2,1,2,1,2,1,2}/36)+MOD((FIND(MID(AZ679,{1,2,3,4,5,6,7,8,9,10,11,12,13,14},1),"0123456789ABCDEFGHIJKLMNOPQRSTUVWXYZ")-1)*{1,2,1,2,1,2,1,2,1,2,1,2,1,2},36)),36),36)+1,1)=MID(AZ679,15,1),"OK","Typo? check digit wrong")),"Wrong format"))</f>
        <v/>
      </c>
      <c r="AW679" s="29">
        <f>IF(BA679="","",IF(AND(LEN(BA679)=10,SUMPRODUCT(--ISERROR(FIND(MID(BA679,{1,2,3,4,5,10},1),"ABCDEFGHIJKLMNOPQRSTUVWXYZ")))=0,SUMPRODUCT(--ISERROR(FIND(MID(BA679,{6,7,8,9},1),"0123456789")))=0),"OK","Wrong format"))</f>
        <v/>
      </c>
      <c r="AX679" s="29">
        <f>IF(TRIM(H679)="","",IF(AND(LEN(UPPER(TRIM(H679)))=10,SUMPRODUCT(--ISERROR(FIND(MID(UPPER(TRIM(H679)),{1,2,3,4,10},1),"ABCDEFGHIJKLMNOPQRSTUVWXYZ")))=0,SUMPRODUCT(--ISERROR(FIND(MID(UPPER(TRIM(H679)),{5,6,7,8,9},1),"0123456789")))=0),"OK","Wrong format"))</f>
        <v/>
      </c>
      <c r="AY679" s="30">
        <f>IF(NOT(COUNTA(A679:AE679)&gt;0),"",IF(BE679&lt;&gt;"","✖ "&amp;LEFT(BE679,LEN(BE679)-2),IF(BD679&gt;0,"✔ Ready — client + "&amp;BD679&amp;" service(s)","✔ Ready — client only")))</f>
        <v/>
      </c>
      <c r="AZ679" s="31">
        <f>UPPER(SUBSTITUTE(TRIM(F679)," ",""))</f>
        <v/>
      </c>
      <c r="BA679" s="31">
        <f>UPPER(SUBSTITUTE(TRIM(E679)," ",""))</f>
        <v/>
      </c>
      <c r="BB679" s="31">
        <f>IF(D679&lt;&gt;"",D679,IFERROR(VLOOKUP(MID(AS679,4,1),Lists!$E$2:$F$8,2,FALSE),""))</f>
        <v/>
      </c>
      <c r="BC679" s="31">
        <f>IFERROR(VLOOKUP(BB679,Lists!$A$2:$C$12,3,FALSE),"")</f>
        <v/>
      </c>
      <c r="BD679" s="31">
        <f>COUNTIF(W679:AC679,"Yes")</f>
        <v/>
      </c>
      <c r="BE679" s="31">
        <f>IF(TRIM(B679)="","Legal name missing; ","")&amp;IF(AND(AV679&lt;&gt;"",AV679&lt;&gt;"OK"),"GSTIN: "&amp;AV679&amp;"; ","")&amp;IF(AND(AW679&lt;&gt;"",AW679&lt;&gt;"OK"),"PAN wrong format; ","")&amp;IF(AND(BA679&lt;&gt;"",LEN(AZ679)=15,MID(AZ679,3,10)&lt;&gt;BA679),"PAN does not match GSTIN; ","")&amp;IF(AND(AX679&lt;&gt;"",AX679&lt;&gt;"OK"),"TAN wrong format; ","")&amp;IF(AS679="","PAN missing; ","")&amp;IF(BB679="","Entity type missing; ","")&amp;IF(AND(AZ679&lt;&gt;"",COUNTIF($AZ$6:$AZ$1005,AZ679)&gt;1),"GSTIN repeated in this sheet; ","")&amp;IF(AND(AS679&lt;&gt;"",COUNTIF($AS$6:$AS$1005,AS679)&gt;1),"PAN repeated in this sheet (same client? put extra GSTINs in Other GSTINs); ","")&amp;IF(AND(BD679&gt;0,V679=""),"Financial year missing; ","")&amp;IF(AND(BD679=0,V679&lt;&gt;""),"Financial year given but no service is Yes; ","")&amp;IF(AND(W679="Yes",AZ679=""),"GST needs a GSTIN; ","")&amp;IF(AND(W679="Yes",X679=""),"GST return frequency missing; ","")&amp;IF(AND(Y679="Yes",TRIM(H679)=""),"TDS needs a TAN; ","")&amp;IF(AND(AA679="Yes",BC679&lt;&gt;"",BC679&lt;&gt;"company",BC679&lt;&gt;"llp"),"ROC is only for a company / LLP; ","")&amp;IF(AND(AA679="Yes",OR(BC679="company",BC679="llp"),TRIM(I679)=""),"ROC needs the CIN / LLPIN; ","")&amp;IF((TRIM(AF679)="")&lt;&gt;(TRIM(AG679)=""),"GST login needs both user ID and password; ","")&amp;IF((TRIM(AH679)="")&lt;&gt;(TRIM(AI679)=""),"Income-tax login needs both user ID and password; ","")&amp;IF((TRIM(AJ679)="")&lt;&gt;(TRIM(AK679)=""),"Income-tax login needs both user ID and password; ","")&amp;IF((TRIM(AL679)="")&lt;&gt;(TRIM(AM679)=""),"TRACES login needs both user ID and password; ","")&amp;IF((TRIM(AN679)="")&lt;&gt;(TRIM(AO679)=""),"MCA login needs both user ID and password; ","")&amp;IF((TRIM(AP679)="")&lt;&gt;(TRIM(AQ679)=""),"E-way bill login needs both user ID and password; ","")</f>
        <v/>
      </c>
    </row>
    <row r="680">
      <c r="A680" s="32" t="n"/>
      <c r="B680" s="33" t="n"/>
      <c r="C680" s="33" t="n"/>
      <c r="D680" s="33" t="n"/>
      <c r="E680" s="32" t="n"/>
      <c r="F680" s="32" t="n"/>
      <c r="G680" s="32" t="n"/>
      <c r="H680" s="32" t="n"/>
      <c r="I680" s="32" t="n"/>
      <c r="J680" s="34" t="n"/>
      <c r="K680" s="33" t="n"/>
      <c r="L680" s="32" t="n"/>
      <c r="M680" s="33" t="n"/>
      <c r="N680" s="33" t="n"/>
      <c r="O680" s="33" t="n"/>
      <c r="P680" s="32" t="n"/>
      <c r="Q680" s="33" t="n"/>
      <c r="R680" s="33" t="n"/>
      <c r="S680" s="33" t="n"/>
      <c r="T680" s="33" t="n"/>
      <c r="U680" s="32" t="n"/>
      <c r="V680" s="33" t="n"/>
      <c r="W680" s="33" t="n"/>
      <c r="X680" s="33" t="n"/>
      <c r="Y680" s="33" t="n"/>
      <c r="Z680" s="33" t="n"/>
      <c r="AA680" s="33" t="n"/>
      <c r="AB680" s="33" t="n"/>
      <c r="AC680" s="33" t="n"/>
      <c r="AD680" s="33" t="n"/>
      <c r="AE680" s="33" t="n"/>
      <c r="AF680" s="32" t="n"/>
      <c r="AG680" s="32" t="n"/>
      <c r="AH680" s="32" t="n"/>
      <c r="AI680" s="32" t="n"/>
      <c r="AJ680" s="32" t="n"/>
      <c r="AK680" s="32" t="n"/>
      <c r="AL680" s="32" t="n"/>
      <c r="AM680" s="32" t="n"/>
      <c r="AN680" s="32" t="n"/>
      <c r="AO680" s="32" t="n"/>
      <c r="AP680" s="32" t="n"/>
      <c r="AQ680" s="32" t="n"/>
      <c r="AR680" s="29">
        <f>IF(NOT(COUNTA(A680:AE680)&gt;0),"",IF(A680="","New client","Update"))</f>
        <v/>
      </c>
      <c r="AS680" s="29">
        <f>IF(BA680&lt;&gt;"",BA680,IF(LEN(AZ680)=15,MID(AZ680,3,10),""))</f>
        <v/>
      </c>
      <c r="AT680" s="29">
        <f>IF(BB680="","",BB680&amp;IF(D680="","  (guessed from PAN)",""))</f>
        <v/>
      </c>
      <c r="AU680" s="29">
        <f>IF(AZ680="","",IFERROR(INDEX(Lists!$L$2:$L$38,MATCH(LEFT(AZ680,2),Lists!$K$2:$K$38,0)),"Unknown code"))</f>
        <v/>
      </c>
      <c r="AV680" s="29">
        <f>IF(AZ680="","",IFERROR(IF(NOT(AND(LEN(AZ680)=15,ISNUMBER(MATCH(LEFT(AZ680,2),Lists!$K$2:$K$38,0)),SUMPRODUCT(--ISERROR(FIND(MID(MID(AZ680,3,10),{1,2,3,4,5,10},1),"ABCDEFGHIJKLMNOPQRSTUVWXYZ")))=0,SUMPRODUCT(--ISERROR(FIND(MID(MID(AZ680,3,10),{6,7,8,9},1),"0123456789")))=0,ISNUMBER(FIND(MID(AZ680,13,1),"123456789ABCDEFGHIJKLMNOPQRSTUVWXYZ")),MID(AZ680,14,1)="Z")),"Wrong format",IF(MID("0123456789ABCDEFGHIJKLMNOPQRSTUVWXYZ",MOD(36-MOD(SUMPRODUCT(INT((FIND(MID(AZ680,{1,2,3,4,5,6,7,8,9,10,11,12,13,14},1),"0123456789ABCDEFGHIJKLMNOPQRSTUVWXYZ")-1)*{1,2,1,2,1,2,1,2,1,2,1,2,1,2}/36)+MOD((FIND(MID(AZ680,{1,2,3,4,5,6,7,8,9,10,11,12,13,14},1),"0123456789ABCDEFGHIJKLMNOPQRSTUVWXYZ")-1)*{1,2,1,2,1,2,1,2,1,2,1,2,1,2},36)),36),36)+1,1)=MID(AZ680,15,1),"OK","Typo? check digit wrong")),"Wrong format"))</f>
        <v/>
      </c>
      <c r="AW680" s="29">
        <f>IF(BA680="","",IF(AND(LEN(BA680)=10,SUMPRODUCT(--ISERROR(FIND(MID(BA680,{1,2,3,4,5,10},1),"ABCDEFGHIJKLMNOPQRSTUVWXYZ")))=0,SUMPRODUCT(--ISERROR(FIND(MID(BA680,{6,7,8,9},1),"0123456789")))=0),"OK","Wrong format"))</f>
        <v/>
      </c>
      <c r="AX680" s="29">
        <f>IF(TRIM(H680)="","",IF(AND(LEN(UPPER(TRIM(H680)))=10,SUMPRODUCT(--ISERROR(FIND(MID(UPPER(TRIM(H680)),{1,2,3,4,10},1),"ABCDEFGHIJKLMNOPQRSTUVWXYZ")))=0,SUMPRODUCT(--ISERROR(FIND(MID(UPPER(TRIM(H680)),{5,6,7,8,9},1),"0123456789")))=0),"OK","Wrong format"))</f>
        <v/>
      </c>
      <c r="AY680" s="30">
        <f>IF(NOT(COUNTA(A680:AE680)&gt;0),"",IF(BE680&lt;&gt;"","✖ "&amp;LEFT(BE680,LEN(BE680)-2),IF(BD680&gt;0,"✔ Ready — client + "&amp;BD680&amp;" service(s)","✔ Ready — client only")))</f>
        <v/>
      </c>
      <c r="AZ680" s="31">
        <f>UPPER(SUBSTITUTE(TRIM(F680)," ",""))</f>
        <v/>
      </c>
      <c r="BA680" s="31">
        <f>UPPER(SUBSTITUTE(TRIM(E680)," ",""))</f>
        <v/>
      </c>
      <c r="BB680" s="31">
        <f>IF(D680&lt;&gt;"",D680,IFERROR(VLOOKUP(MID(AS680,4,1),Lists!$E$2:$F$8,2,FALSE),""))</f>
        <v/>
      </c>
      <c r="BC680" s="31">
        <f>IFERROR(VLOOKUP(BB680,Lists!$A$2:$C$12,3,FALSE),"")</f>
        <v/>
      </c>
      <c r="BD680" s="31">
        <f>COUNTIF(W680:AC680,"Yes")</f>
        <v/>
      </c>
      <c r="BE680" s="31">
        <f>IF(TRIM(B680)="","Legal name missing; ","")&amp;IF(AND(AV680&lt;&gt;"",AV680&lt;&gt;"OK"),"GSTIN: "&amp;AV680&amp;"; ","")&amp;IF(AND(AW680&lt;&gt;"",AW680&lt;&gt;"OK"),"PAN wrong format; ","")&amp;IF(AND(BA680&lt;&gt;"",LEN(AZ680)=15,MID(AZ680,3,10)&lt;&gt;BA680),"PAN does not match GSTIN; ","")&amp;IF(AND(AX680&lt;&gt;"",AX680&lt;&gt;"OK"),"TAN wrong format; ","")&amp;IF(AS680="","PAN missing; ","")&amp;IF(BB680="","Entity type missing; ","")&amp;IF(AND(AZ680&lt;&gt;"",COUNTIF($AZ$6:$AZ$1005,AZ680)&gt;1),"GSTIN repeated in this sheet; ","")&amp;IF(AND(AS680&lt;&gt;"",COUNTIF($AS$6:$AS$1005,AS680)&gt;1),"PAN repeated in this sheet (same client? put extra GSTINs in Other GSTINs); ","")&amp;IF(AND(BD680&gt;0,V680=""),"Financial year missing; ","")&amp;IF(AND(BD680=0,V680&lt;&gt;""),"Financial year given but no service is Yes; ","")&amp;IF(AND(W680="Yes",AZ680=""),"GST needs a GSTIN; ","")&amp;IF(AND(W680="Yes",X680=""),"GST return frequency missing; ","")&amp;IF(AND(Y680="Yes",TRIM(H680)=""),"TDS needs a TAN; ","")&amp;IF(AND(AA680="Yes",BC680&lt;&gt;"",BC680&lt;&gt;"company",BC680&lt;&gt;"llp"),"ROC is only for a company / LLP; ","")&amp;IF(AND(AA680="Yes",OR(BC680="company",BC680="llp"),TRIM(I680)=""),"ROC needs the CIN / LLPIN; ","")&amp;IF((TRIM(AF680)="")&lt;&gt;(TRIM(AG680)=""),"GST login needs both user ID and password; ","")&amp;IF((TRIM(AH680)="")&lt;&gt;(TRIM(AI680)=""),"Income-tax login needs both user ID and password; ","")&amp;IF((TRIM(AJ680)="")&lt;&gt;(TRIM(AK680)=""),"Income-tax login needs both user ID and password; ","")&amp;IF((TRIM(AL680)="")&lt;&gt;(TRIM(AM680)=""),"TRACES login needs both user ID and password; ","")&amp;IF((TRIM(AN680)="")&lt;&gt;(TRIM(AO680)=""),"MCA login needs both user ID and password; ","")&amp;IF((TRIM(AP680)="")&lt;&gt;(TRIM(AQ680)=""),"E-way bill login needs both user ID and password; ","")</f>
        <v/>
      </c>
    </row>
    <row r="681">
      <c r="A681" s="32" t="n"/>
      <c r="B681" s="33" t="n"/>
      <c r="C681" s="33" t="n"/>
      <c r="D681" s="33" t="n"/>
      <c r="E681" s="32" t="n"/>
      <c r="F681" s="32" t="n"/>
      <c r="G681" s="32" t="n"/>
      <c r="H681" s="32" t="n"/>
      <c r="I681" s="32" t="n"/>
      <c r="J681" s="34" t="n"/>
      <c r="K681" s="33" t="n"/>
      <c r="L681" s="32" t="n"/>
      <c r="M681" s="33" t="n"/>
      <c r="N681" s="33" t="n"/>
      <c r="O681" s="33" t="n"/>
      <c r="P681" s="32" t="n"/>
      <c r="Q681" s="33" t="n"/>
      <c r="R681" s="33" t="n"/>
      <c r="S681" s="33" t="n"/>
      <c r="T681" s="33" t="n"/>
      <c r="U681" s="32" t="n"/>
      <c r="V681" s="33" t="n"/>
      <c r="W681" s="33" t="n"/>
      <c r="X681" s="33" t="n"/>
      <c r="Y681" s="33" t="n"/>
      <c r="Z681" s="33" t="n"/>
      <c r="AA681" s="33" t="n"/>
      <c r="AB681" s="33" t="n"/>
      <c r="AC681" s="33" t="n"/>
      <c r="AD681" s="33" t="n"/>
      <c r="AE681" s="33" t="n"/>
      <c r="AF681" s="32" t="n"/>
      <c r="AG681" s="32" t="n"/>
      <c r="AH681" s="32" t="n"/>
      <c r="AI681" s="32" t="n"/>
      <c r="AJ681" s="32" t="n"/>
      <c r="AK681" s="32" t="n"/>
      <c r="AL681" s="32" t="n"/>
      <c r="AM681" s="32" t="n"/>
      <c r="AN681" s="32" t="n"/>
      <c r="AO681" s="32" t="n"/>
      <c r="AP681" s="32" t="n"/>
      <c r="AQ681" s="32" t="n"/>
      <c r="AR681" s="29">
        <f>IF(NOT(COUNTA(A681:AE681)&gt;0),"",IF(A681="","New client","Update"))</f>
        <v/>
      </c>
      <c r="AS681" s="29">
        <f>IF(BA681&lt;&gt;"",BA681,IF(LEN(AZ681)=15,MID(AZ681,3,10),""))</f>
        <v/>
      </c>
      <c r="AT681" s="29">
        <f>IF(BB681="","",BB681&amp;IF(D681="","  (guessed from PAN)",""))</f>
        <v/>
      </c>
      <c r="AU681" s="29">
        <f>IF(AZ681="","",IFERROR(INDEX(Lists!$L$2:$L$38,MATCH(LEFT(AZ681,2),Lists!$K$2:$K$38,0)),"Unknown code"))</f>
        <v/>
      </c>
      <c r="AV681" s="29">
        <f>IF(AZ681="","",IFERROR(IF(NOT(AND(LEN(AZ681)=15,ISNUMBER(MATCH(LEFT(AZ681,2),Lists!$K$2:$K$38,0)),SUMPRODUCT(--ISERROR(FIND(MID(MID(AZ681,3,10),{1,2,3,4,5,10},1),"ABCDEFGHIJKLMNOPQRSTUVWXYZ")))=0,SUMPRODUCT(--ISERROR(FIND(MID(MID(AZ681,3,10),{6,7,8,9},1),"0123456789")))=0,ISNUMBER(FIND(MID(AZ681,13,1),"123456789ABCDEFGHIJKLMNOPQRSTUVWXYZ")),MID(AZ681,14,1)="Z")),"Wrong format",IF(MID("0123456789ABCDEFGHIJKLMNOPQRSTUVWXYZ",MOD(36-MOD(SUMPRODUCT(INT((FIND(MID(AZ681,{1,2,3,4,5,6,7,8,9,10,11,12,13,14},1),"0123456789ABCDEFGHIJKLMNOPQRSTUVWXYZ")-1)*{1,2,1,2,1,2,1,2,1,2,1,2,1,2}/36)+MOD((FIND(MID(AZ681,{1,2,3,4,5,6,7,8,9,10,11,12,13,14},1),"0123456789ABCDEFGHIJKLMNOPQRSTUVWXYZ")-1)*{1,2,1,2,1,2,1,2,1,2,1,2,1,2},36)),36),36)+1,1)=MID(AZ681,15,1),"OK","Typo? check digit wrong")),"Wrong format"))</f>
        <v/>
      </c>
      <c r="AW681" s="29">
        <f>IF(BA681="","",IF(AND(LEN(BA681)=10,SUMPRODUCT(--ISERROR(FIND(MID(BA681,{1,2,3,4,5,10},1),"ABCDEFGHIJKLMNOPQRSTUVWXYZ")))=0,SUMPRODUCT(--ISERROR(FIND(MID(BA681,{6,7,8,9},1),"0123456789")))=0),"OK","Wrong format"))</f>
        <v/>
      </c>
      <c r="AX681" s="29">
        <f>IF(TRIM(H681)="","",IF(AND(LEN(UPPER(TRIM(H681)))=10,SUMPRODUCT(--ISERROR(FIND(MID(UPPER(TRIM(H681)),{1,2,3,4,10},1),"ABCDEFGHIJKLMNOPQRSTUVWXYZ")))=0,SUMPRODUCT(--ISERROR(FIND(MID(UPPER(TRIM(H681)),{5,6,7,8,9},1),"0123456789")))=0),"OK","Wrong format"))</f>
        <v/>
      </c>
      <c r="AY681" s="30">
        <f>IF(NOT(COUNTA(A681:AE681)&gt;0),"",IF(BE681&lt;&gt;"","✖ "&amp;LEFT(BE681,LEN(BE681)-2),IF(BD681&gt;0,"✔ Ready — client + "&amp;BD681&amp;" service(s)","✔ Ready — client only")))</f>
        <v/>
      </c>
      <c r="AZ681" s="31">
        <f>UPPER(SUBSTITUTE(TRIM(F681)," ",""))</f>
        <v/>
      </c>
      <c r="BA681" s="31">
        <f>UPPER(SUBSTITUTE(TRIM(E681)," ",""))</f>
        <v/>
      </c>
      <c r="BB681" s="31">
        <f>IF(D681&lt;&gt;"",D681,IFERROR(VLOOKUP(MID(AS681,4,1),Lists!$E$2:$F$8,2,FALSE),""))</f>
        <v/>
      </c>
      <c r="BC681" s="31">
        <f>IFERROR(VLOOKUP(BB681,Lists!$A$2:$C$12,3,FALSE),"")</f>
        <v/>
      </c>
      <c r="BD681" s="31">
        <f>COUNTIF(W681:AC681,"Yes")</f>
        <v/>
      </c>
      <c r="BE681" s="31">
        <f>IF(TRIM(B681)="","Legal name missing; ","")&amp;IF(AND(AV681&lt;&gt;"",AV681&lt;&gt;"OK"),"GSTIN: "&amp;AV681&amp;"; ","")&amp;IF(AND(AW681&lt;&gt;"",AW681&lt;&gt;"OK"),"PAN wrong format; ","")&amp;IF(AND(BA681&lt;&gt;"",LEN(AZ681)=15,MID(AZ681,3,10)&lt;&gt;BA681),"PAN does not match GSTIN; ","")&amp;IF(AND(AX681&lt;&gt;"",AX681&lt;&gt;"OK"),"TAN wrong format; ","")&amp;IF(AS681="","PAN missing; ","")&amp;IF(BB681="","Entity type missing; ","")&amp;IF(AND(AZ681&lt;&gt;"",COUNTIF($AZ$6:$AZ$1005,AZ681)&gt;1),"GSTIN repeated in this sheet; ","")&amp;IF(AND(AS681&lt;&gt;"",COUNTIF($AS$6:$AS$1005,AS681)&gt;1),"PAN repeated in this sheet (same client? put extra GSTINs in Other GSTINs); ","")&amp;IF(AND(BD681&gt;0,V681=""),"Financial year missing; ","")&amp;IF(AND(BD681=0,V681&lt;&gt;""),"Financial year given but no service is Yes; ","")&amp;IF(AND(W681="Yes",AZ681=""),"GST needs a GSTIN; ","")&amp;IF(AND(W681="Yes",X681=""),"GST return frequency missing; ","")&amp;IF(AND(Y681="Yes",TRIM(H681)=""),"TDS needs a TAN; ","")&amp;IF(AND(AA681="Yes",BC681&lt;&gt;"",BC681&lt;&gt;"company",BC681&lt;&gt;"llp"),"ROC is only for a company / LLP; ","")&amp;IF(AND(AA681="Yes",OR(BC681="company",BC681="llp"),TRIM(I681)=""),"ROC needs the CIN / LLPIN; ","")&amp;IF((TRIM(AF681)="")&lt;&gt;(TRIM(AG681)=""),"GST login needs both user ID and password; ","")&amp;IF((TRIM(AH681)="")&lt;&gt;(TRIM(AI681)=""),"Income-tax login needs both user ID and password; ","")&amp;IF((TRIM(AJ681)="")&lt;&gt;(TRIM(AK681)=""),"Income-tax login needs both user ID and password; ","")&amp;IF((TRIM(AL681)="")&lt;&gt;(TRIM(AM681)=""),"TRACES login needs both user ID and password; ","")&amp;IF((TRIM(AN681)="")&lt;&gt;(TRIM(AO681)=""),"MCA login needs both user ID and password; ","")&amp;IF((TRIM(AP681)="")&lt;&gt;(TRIM(AQ681)=""),"E-way bill login needs both user ID and password; ","")</f>
        <v/>
      </c>
    </row>
    <row r="682">
      <c r="A682" s="32" t="n"/>
      <c r="B682" s="33" t="n"/>
      <c r="C682" s="33" t="n"/>
      <c r="D682" s="33" t="n"/>
      <c r="E682" s="32" t="n"/>
      <c r="F682" s="32" t="n"/>
      <c r="G682" s="32" t="n"/>
      <c r="H682" s="32" t="n"/>
      <c r="I682" s="32" t="n"/>
      <c r="J682" s="34" t="n"/>
      <c r="K682" s="33" t="n"/>
      <c r="L682" s="32" t="n"/>
      <c r="M682" s="33" t="n"/>
      <c r="N682" s="33" t="n"/>
      <c r="O682" s="33" t="n"/>
      <c r="P682" s="32" t="n"/>
      <c r="Q682" s="33" t="n"/>
      <c r="R682" s="33" t="n"/>
      <c r="S682" s="33" t="n"/>
      <c r="T682" s="33" t="n"/>
      <c r="U682" s="32" t="n"/>
      <c r="V682" s="33" t="n"/>
      <c r="W682" s="33" t="n"/>
      <c r="X682" s="33" t="n"/>
      <c r="Y682" s="33" t="n"/>
      <c r="Z682" s="33" t="n"/>
      <c r="AA682" s="33" t="n"/>
      <c r="AB682" s="33" t="n"/>
      <c r="AC682" s="33" t="n"/>
      <c r="AD682" s="33" t="n"/>
      <c r="AE682" s="33" t="n"/>
      <c r="AF682" s="32" t="n"/>
      <c r="AG682" s="32" t="n"/>
      <c r="AH682" s="32" t="n"/>
      <c r="AI682" s="32" t="n"/>
      <c r="AJ682" s="32" t="n"/>
      <c r="AK682" s="32" t="n"/>
      <c r="AL682" s="32" t="n"/>
      <c r="AM682" s="32" t="n"/>
      <c r="AN682" s="32" t="n"/>
      <c r="AO682" s="32" t="n"/>
      <c r="AP682" s="32" t="n"/>
      <c r="AQ682" s="32" t="n"/>
      <c r="AR682" s="29">
        <f>IF(NOT(COUNTA(A682:AE682)&gt;0),"",IF(A682="","New client","Update"))</f>
        <v/>
      </c>
      <c r="AS682" s="29">
        <f>IF(BA682&lt;&gt;"",BA682,IF(LEN(AZ682)=15,MID(AZ682,3,10),""))</f>
        <v/>
      </c>
      <c r="AT682" s="29">
        <f>IF(BB682="","",BB682&amp;IF(D682="","  (guessed from PAN)",""))</f>
        <v/>
      </c>
      <c r="AU682" s="29">
        <f>IF(AZ682="","",IFERROR(INDEX(Lists!$L$2:$L$38,MATCH(LEFT(AZ682,2),Lists!$K$2:$K$38,0)),"Unknown code"))</f>
        <v/>
      </c>
      <c r="AV682" s="29">
        <f>IF(AZ682="","",IFERROR(IF(NOT(AND(LEN(AZ682)=15,ISNUMBER(MATCH(LEFT(AZ682,2),Lists!$K$2:$K$38,0)),SUMPRODUCT(--ISERROR(FIND(MID(MID(AZ682,3,10),{1,2,3,4,5,10},1),"ABCDEFGHIJKLMNOPQRSTUVWXYZ")))=0,SUMPRODUCT(--ISERROR(FIND(MID(MID(AZ682,3,10),{6,7,8,9},1),"0123456789")))=0,ISNUMBER(FIND(MID(AZ682,13,1),"123456789ABCDEFGHIJKLMNOPQRSTUVWXYZ")),MID(AZ682,14,1)="Z")),"Wrong format",IF(MID("0123456789ABCDEFGHIJKLMNOPQRSTUVWXYZ",MOD(36-MOD(SUMPRODUCT(INT((FIND(MID(AZ682,{1,2,3,4,5,6,7,8,9,10,11,12,13,14},1),"0123456789ABCDEFGHIJKLMNOPQRSTUVWXYZ")-1)*{1,2,1,2,1,2,1,2,1,2,1,2,1,2}/36)+MOD((FIND(MID(AZ682,{1,2,3,4,5,6,7,8,9,10,11,12,13,14},1),"0123456789ABCDEFGHIJKLMNOPQRSTUVWXYZ")-1)*{1,2,1,2,1,2,1,2,1,2,1,2,1,2},36)),36),36)+1,1)=MID(AZ682,15,1),"OK","Typo? check digit wrong")),"Wrong format"))</f>
        <v/>
      </c>
      <c r="AW682" s="29">
        <f>IF(BA682="","",IF(AND(LEN(BA682)=10,SUMPRODUCT(--ISERROR(FIND(MID(BA682,{1,2,3,4,5,10},1),"ABCDEFGHIJKLMNOPQRSTUVWXYZ")))=0,SUMPRODUCT(--ISERROR(FIND(MID(BA682,{6,7,8,9},1),"0123456789")))=0),"OK","Wrong format"))</f>
        <v/>
      </c>
      <c r="AX682" s="29">
        <f>IF(TRIM(H682)="","",IF(AND(LEN(UPPER(TRIM(H682)))=10,SUMPRODUCT(--ISERROR(FIND(MID(UPPER(TRIM(H682)),{1,2,3,4,10},1),"ABCDEFGHIJKLMNOPQRSTUVWXYZ")))=0,SUMPRODUCT(--ISERROR(FIND(MID(UPPER(TRIM(H682)),{5,6,7,8,9},1),"0123456789")))=0),"OK","Wrong format"))</f>
        <v/>
      </c>
      <c r="AY682" s="30">
        <f>IF(NOT(COUNTA(A682:AE682)&gt;0),"",IF(BE682&lt;&gt;"","✖ "&amp;LEFT(BE682,LEN(BE682)-2),IF(BD682&gt;0,"✔ Ready — client + "&amp;BD682&amp;" service(s)","✔ Ready — client only")))</f>
        <v/>
      </c>
      <c r="AZ682" s="31">
        <f>UPPER(SUBSTITUTE(TRIM(F682)," ",""))</f>
        <v/>
      </c>
      <c r="BA682" s="31">
        <f>UPPER(SUBSTITUTE(TRIM(E682)," ",""))</f>
        <v/>
      </c>
      <c r="BB682" s="31">
        <f>IF(D682&lt;&gt;"",D682,IFERROR(VLOOKUP(MID(AS682,4,1),Lists!$E$2:$F$8,2,FALSE),""))</f>
        <v/>
      </c>
      <c r="BC682" s="31">
        <f>IFERROR(VLOOKUP(BB682,Lists!$A$2:$C$12,3,FALSE),"")</f>
        <v/>
      </c>
      <c r="BD682" s="31">
        <f>COUNTIF(W682:AC682,"Yes")</f>
        <v/>
      </c>
      <c r="BE682" s="31">
        <f>IF(TRIM(B682)="","Legal name missing; ","")&amp;IF(AND(AV682&lt;&gt;"",AV682&lt;&gt;"OK"),"GSTIN: "&amp;AV682&amp;"; ","")&amp;IF(AND(AW682&lt;&gt;"",AW682&lt;&gt;"OK"),"PAN wrong format; ","")&amp;IF(AND(BA682&lt;&gt;"",LEN(AZ682)=15,MID(AZ682,3,10)&lt;&gt;BA682),"PAN does not match GSTIN; ","")&amp;IF(AND(AX682&lt;&gt;"",AX682&lt;&gt;"OK"),"TAN wrong format; ","")&amp;IF(AS682="","PAN missing; ","")&amp;IF(BB682="","Entity type missing; ","")&amp;IF(AND(AZ682&lt;&gt;"",COUNTIF($AZ$6:$AZ$1005,AZ682)&gt;1),"GSTIN repeated in this sheet; ","")&amp;IF(AND(AS682&lt;&gt;"",COUNTIF($AS$6:$AS$1005,AS682)&gt;1),"PAN repeated in this sheet (same client? put extra GSTINs in Other GSTINs); ","")&amp;IF(AND(BD682&gt;0,V682=""),"Financial year missing; ","")&amp;IF(AND(BD682=0,V682&lt;&gt;""),"Financial year given but no service is Yes; ","")&amp;IF(AND(W682="Yes",AZ682=""),"GST needs a GSTIN; ","")&amp;IF(AND(W682="Yes",X682=""),"GST return frequency missing; ","")&amp;IF(AND(Y682="Yes",TRIM(H682)=""),"TDS needs a TAN; ","")&amp;IF(AND(AA682="Yes",BC682&lt;&gt;"",BC682&lt;&gt;"company",BC682&lt;&gt;"llp"),"ROC is only for a company / LLP; ","")&amp;IF(AND(AA682="Yes",OR(BC682="company",BC682="llp"),TRIM(I682)=""),"ROC needs the CIN / LLPIN; ","")&amp;IF((TRIM(AF682)="")&lt;&gt;(TRIM(AG682)=""),"GST login needs both user ID and password; ","")&amp;IF((TRIM(AH682)="")&lt;&gt;(TRIM(AI682)=""),"Income-tax login needs both user ID and password; ","")&amp;IF((TRIM(AJ682)="")&lt;&gt;(TRIM(AK682)=""),"Income-tax login needs both user ID and password; ","")&amp;IF((TRIM(AL682)="")&lt;&gt;(TRIM(AM682)=""),"TRACES login needs both user ID and password; ","")&amp;IF((TRIM(AN682)="")&lt;&gt;(TRIM(AO682)=""),"MCA login needs both user ID and password; ","")&amp;IF((TRIM(AP682)="")&lt;&gt;(TRIM(AQ682)=""),"E-way bill login needs both user ID and password; ","")</f>
        <v/>
      </c>
    </row>
    <row r="683">
      <c r="A683" s="32" t="n"/>
      <c r="B683" s="33" t="n"/>
      <c r="C683" s="33" t="n"/>
      <c r="D683" s="33" t="n"/>
      <c r="E683" s="32" t="n"/>
      <c r="F683" s="32" t="n"/>
      <c r="G683" s="32" t="n"/>
      <c r="H683" s="32" t="n"/>
      <c r="I683" s="32" t="n"/>
      <c r="J683" s="34" t="n"/>
      <c r="K683" s="33" t="n"/>
      <c r="L683" s="32" t="n"/>
      <c r="M683" s="33" t="n"/>
      <c r="N683" s="33" t="n"/>
      <c r="O683" s="33" t="n"/>
      <c r="P683" s="32" t="n"/>
      <c r="Q683" s="33" t="n"/>
      <c r="R683" s="33" t="n"/>
      <c r="S683" s="33" t="n"/>
      <c r="T683" s="33" t="n"/>
      <c r="U683" s="32" t="n"/>
      <c r="V683" s="33" t="n"/>
      <c r="W683" s="33" t="n"/>
      <c r="X683" s="33" t="n"/>
      <c r="Y683" s="33" t="n"/>
      <c r="Z683" s="33" t="n"/>
      <c r="AA683" s="33" t="n"/>
      <c r="AB683" s="33" t="n"/>
      <c r="AC683" s="33" t="n"/>
      <c r="AD683" s="33" t="n"/>
      <c r="AE683" s="33" t="n"/>
      <c r="AF683" s="32" t="n"/>
      <c r="AG683" s="32" t="n"/>
      <c r="AH683" s="32" t="n"/>
      <c r="AI683" s="32" t="n"/>
      <c r="AJ683" s="32" t="n"/>
      <c r="AK683" s="32" t="n"/>
      <c r="AL683" s="32" t="n"/>
      <c r="AM683" s="32" t="n"/>
      <c r="AN683" s="32" t="n"/>
      <c r="AO683" s="32" t="n"/>
      <c r="AP683" s="32" t="n"/>
      <c r="AQ683" s="32" t="n"/>
      <c r="AR683" s="29">
        <f>IF(NOT(COUNTA(A683:AE683)&gt;0),"",IF(A683="","New client","Update"))</f>
        <v/>
      </c>
      <c r="AS683" s="29">
        <f>IF(BA683&lt;&gt;"",BA683,IF(LEN(AZ683)=15,MID(AZ683,3,10),""))</f>
        <v/>
      </c>
      <c r="AT683" s="29">
        <f>IF(BB683="","",BB683&amp;IF(D683="","  (guessed from PAN)",""))</f>
        <v/>
      </c>
      <c r="AU683" s="29">
        <f>IF(AZ683="","",IFERROR(INDEX(Lists!$L$2:$L$38,MATCH(LEFT(AZ683,2),Lists!$K$2:$K$38,0)),"Unknown code"))</f>
        <v/>
      </c>
      <c r="AV683" s="29">
        <f>IF(AZ683="","",IFERROR(IF(NOT(AND(LEN(AZ683)=15,ISNUMBER(MATCH(LEFT(AZ683,2),Lists!$K$2:$K$38,0)),SUMPRODUCT(--ISERROR(FIND(MID(MID(AZ683,3,10),{1,2,3,4,5,10},1),"ABCDEFGHIJKLMNOPQRSTUVWXYZ")))=0,SUMPRODUCT(--ISERROR(FIND(MID(MID(AZ683,3,10),{6,7,8,9},1),"0123456789")))=0,ISNUMBER(FIND(MID(AZ683,13,1),"123456789ABCDEFGHIJKLMNOPQRSTUVWXYZ")),MID(AZ683,14,1)="Z")),"Wrong format",IF(MID("0123456789ABCDEFGHIJKLMNOPQRSTUVWXYZ",MOD(36-MOD(SUMPRODUCT(INT((FIND(MID(AZ683,{1,2,3,4,5,6,7,8,9,10,11,12,13,14},1),"0123456789ABCDEFGHIJKLMNOPQRSTUVWXYZ")-1)*{1,2,1,2,1,2,1,2,1,2,1,2,1,2}/36)+MOD((FIND(MID(AZ683,{1,2,3,4,5,6,7,8,9,10,11,12,13,14},1),"0123456789ABCDEFGHIJKLMNOPQRSTUVWXYZ")-1)*{1,2,1,2,1,2,1,2,1,2,1,2,1,2},36)),36),36)+1,1)=MID(AZ683,15,1),"OK","Typo? check digit wrong")),"Wrong format"))</f>
        <v/>
      </c>
      <c r="AW683" s="29">
        <f>IF(BA683="","",IF(AND(LEN(BA683)=10,SUMPRODUCT(--ISERROR(FIND(MID(BA683,{1,2,3,4,5,10},1),"ABCDEFGHIJKLMNOPQRSTUVWXYZ")))=0,SUMPRODUCT(--ISERROR(FIND(MID(BA683,{6,7,8,9},1),"0123456789")))=0),"OK","Wrong format"))</f>
        <v/>
      </c>
      <c r="AX683" s="29">
        <f>IF(TRIM(H683)="","",IF(AND(LEN(UPPER(TRIM(H683)))=10,SUMPRODUCT(--ISERROR(FIND(MID(UPPER(TRIM(H683)),{1,2,3,4,10},1),"ABCDEFGHIJKLMNOPQRSTUVWXYZ")))=0,SUMPRODUCT(--ISERROR(FIND(MID(UPPER(TRIM(H683)),{5,6,7,8,9},1),"0123456789")))=0),"OK","Wrong format"))</f>
        <v/>
      </c>
      <c r="AY683" s="30">
        <f>IF(NOT(COUNTA(A683:AE683)&gt;0),"",IF(BE683&lt;&gt;"","✖ "&amp;LEFT(BE683,LEN(BE683)-2),IF(BD683&gt;0,"✔ Ready — client + "&amp;BD683&amp;" service(s)","✔ Ready — client only")))</f>
        <v/>
      </c>
      <c r="AZ683" s="31">
        <f>UPPER(SUBSTITUTE(TRIM(F683)," ",""))</f>
        <v/>
      </c>
      <c r="BA683" s="31">
        <f>UPPER(SUBSTITUTE(TRIM(E683)," ",""))</f>
        <v/>
      </c>
      <c r="BB683" s="31">
        <f>IF(D683&lt;&gt;"",D683,IFERROR(VLOOKUP(MID(AS683,4,1),Lists!$E$2:$F$8,2,FALSE),""))</f>
        <v/>
      </c>
      <c r="BC683" s="31">
        <f>IFERROR(VLOOKUP(BB683,Lists!$A$2:$C$12,3,FALSE),"")</f>
        <v/>
      </c>
      <c r="BD683" s="31">
        <f>COUNTIF(W683:AC683,"Yes")</f>
        <v/>
      </c>
      <c r="BE683" s="31">
        <f>IF(TRIM(B683)="","Legal name missing; ","")&amp;IF(AND(AV683&lt;&gt;"",AV683&lt;&gt;"OK"),"GSTIN: "&amp;AV683&amp;"; ","")&amp;IF(AND(AW683&lt;&gt;"",AW683&lt;&gt;"OK"),"PAN wrong format; ","")&amp;IF(AND(BA683&lt;&gt;"",LEN(AZ683)=15,MID(AZ683,3,10)&lt;&gt;BA683),"PAN does not match GSTIN; ","")&amp;IF(AND(AX683&lt;&gt;"",AX683&lt;&gt;"OK"),"TAN wrong format; ","")&amp;IF(AS683="","PAN missing; ","")&amp;IF(BB683="","Entity type missing; ","")&amp;IF(AND(AZ683&lt;&gt;"",COUNTIF($AZ$6:$AZ$1005,AZ683)&gt;1),"GSTIN repeated in this sheet; ","")&amp;IF(AND(AS683&lt;&gt;"",COUNTIF($AS$6:$AS$1005,AS683)&gt;1),"PAN repeated in this sheet (same client? put extra GSTINs in Other GSTINs); ","")&amp;IF(AND(BD683&gt;0,V683=""),"Financial year missing; ","")&amp;IF(AND(BD683=0,V683&lt;&gt;""),"Financial year given but no service is Yes; ","")&amp;IF(AND(W683="Yes",AZ683=""),"GST needs a GSTIN; ","")&amp;IF(AND(W683="Yes",X683=""),"GST return frequency missing; ","")&amp;IF(AND(Y683="Yes",TRIM(H683)=""),"TDS needs a TAN; ","")&amp;IF(AND(AA683="Yes",BC683&lt;&gt;"",BC683&lt;&gt;"company",BC683&lt;&gt;"llp"),"ROC is only for a company / LLP; ","")&amp;IF(AND(AA683="Yes",OR(BC683="company",BC683="llp"),TRIM(I683)=""),"ROC needs the CIN / LLPIN; ","")&amp;IF((TRIM(AF683)="")&lt;&gt;(TRIM(AG683)=""),"GST login needs both user ID and password; ","")&amp;IF((TRIM(AH683)="")&lt;&gt;(TRIM(AI683)=""),"Income-tax login needs both user ID and password; ","")&amp;IF((TRIM(AJ683)="")&lt;&gt;(TRIM(AK683)=""),"Income-tax login needs both user ID and password; ","")&amp;IF((TRIM(AL683)="")&lt;&gt;(TRIM(AM683)=""),"TRACES login needs both user ID and password; ","")&amp;IF((TRIM(AN683)="")&lt;&gt;(TRIM(AO683)=""),"MCA login needs both user ID and password; ","")&amp;IF((TRIM(AP683)="")&lt;&gt;(TRIM(AQ683)=""),"E-way bill login needs both user ID and password; ","")</f>
        <v/>
      </c>
    </row>
    <row r="684">
      <c r="A684" s="32" t="n"/>
      <c r="B684" s="33" t="n"/>
      <c r="C684" s="33" t="n"/>
      <c r="D684" s="33" t="n"/>
      <c r="E684" s="32" t="n"/>
      <c r="F684" s="32" t="n"/>
      <c r="G684" s="32" t="n"/>
      <c r="H684" s="32" t="n"/>
      <c r="I684" s="32" t="n"/>
      <c r="J684" s="34" t="n"/>
      <c r="K684" s="33" t="n"/>
      <c r="L684" s="32" t="n"/>
      <c r="M684" s="33" t="n"/>
      <c r="N684" s="33" t="n"/>
      <c r="O684" s="33" t="n"/>
      <c r="P684" s="32" t="n"/>
      <c r="Q684" s="33" t="n"/>
      <c r="R684" s="33" t="n"/>
      <c r="S684" s="33" t="n"/>
      <c r="T684" s="33" t="n"/>
      <c r="U684" s="32" t="n"/>
      <c r="V684" s="33" t="n"/>
      <c r="W684" s="33" t="n"/>
      <c r="X684" s="33" t="n"/>
      <c r="Y684" s="33" t="n"/>
      <c r="Z684" s="33" t="n"/>
      <c r="AA684" s="33" t="n"/>
      <c r="AB684" s="33" t="n"/>
      <c r="AC684" s="33" t="n"/>
      <c r="AD684" s="33" t="n"/>
      <c r="AE684" s="33" t="n"/>
      <c r="AF684" s="32" t="n"/>
      <c r="AG684" s="32" t="n"/>
      <c r="AH684" s="32" t="n"/>
      <c r="AI684" s="32" t="n"/>
      <c r="AJ684" s="32" t="n"/>
      <c r="AK684" s="32" t="n"/>
      <c r="AL684" s="32" t="n"/>
      <c r="AM684" s="32" t="n"/>
      <c r="AN684" s="32" t="n"/>
      <c r="AO684" s="32" t="n"/>
      <c r="AP684" s="32" t="n"/>
      <c r="AQ684" s="32" t="n"/>
      <c r="AR684" s="29">
        <f>IF(NOT(COUNTA(A684:AE684)&gt;0),"",IF(A684="","New client","Update"))</f>
        <v/>
      </c>
      <c r="AS684" s="29">
        <f>IF(BA684&lt;&gt;"",BA684,IF(LEN(AZ684)=15,MID(AZ684,3,10),""))</f>
        <v/>
      </c>
      <c r="AT684" s="29">
        <f>IF(BB684="","",BB684&amp;IF(D684="","  (guessed from PAN)",""))</f>
        <v/>
      </c>
      <c r="AU684" s="29">
        <f>IF(AZ684="","",IFERROR(INDEX(Lists!$L$2:$L$38,MATCH(LEFT(AZ684,2),Lists!$K$2:$K$38,0)),"Unknown code"))</f>
        <v/>
      </c>
      <c r="AV684" s="29">
        <f>IF(AZ684="","",IFERROR(IF(NOT(AND(LEN(AZ684)=15,ISNUMBER(MATCH(LEFT(AZ684,2),Lists!$K$2:$K$38,0)),SUMPRODUCT(--ISERROR(FIND(MID(MID(AZ684,3,10),{1,2,3,4,5,10},1),"ABCDEFGHIJKLMNOPQRSTUVWXYZ")))=0,SUMPRODUCT(--ISERROR(FIND(MID(MID(AZ684,3,10),{6,7,8,9},1),"0123456789")))=0,ISNUMBER(FIND(MID(AZ684,13,1),"123456789ABCDEFGHIJKLMNOPQRSTUVWXYZ")),MID(AZ684,14,1)="Z")),"Wrong format",IF(MID("0123456789ABCDEFGHIJKLMNOPQRSTUVWXYZ",MOD(36-MOD(SUMPRODUCT(INT((FIND(MID(AZ684,{1,2,3,4,5,6,7,8,9,10,11,12,13,14},1),"0123456789ABCDEFGHIJKLMNOPQRSTUVWXYZ")-1)*{1,2,1,2,1,2,1,2,1,2,1,2,1,2}/36)+MOD((FIND(MID(AZ684,{1,2,3,4,5,6,7,8,9,10,11,12,13,14},1),"0123456789ABCDEFGHIJKLMNOPQRSTUVWXYZ")-1)*{1,2,1,2,1,2,1,2,1,2,1,2,1,2},36)),36),36)+1,1)=MID(AZ684,15,1),"OK","Typo? check digit wrong")),"Wrong format"))</f>
        <v/>
      </c>
      <c r="AW684" s="29">
        <f>IF(BA684="","",IF(AND(LEN(BA684)=10,SUMPRODUCT(--ISERROR(FIND(MID(BA684,{1,2,3,4,5,10},1),"ABCDEFGHIJKLMNOPQRSTUVWXYZ")))=0,SUMPRODUCT(--ISERROR(FIND(MID(BA684,{6,7,8,9},1),"0123456789")))=0),"OK","Wrong format"))</f>
        <v/>
      </c>
      <c r="AX684" s="29">
        <f>IF(TRIM(H684)="","",IF(AND(LEN(UPPER(TRIM(H684)))=10,SUMPRODUCT(--ISERROR(FIND(MID(UPPER(TRIM(H684)),{1,2,3,4,10},1),"ABCDEFGHIJKLMNOPQRSTUVWXYZ")))=0,SUMPRODUCT(--ISERROR(FIND(MID(UPPER(TRIM(H684)),{5,6,7,8,9},1),"0123456789")))=0),"OK","Wrong format"))</f>
        <v/>
      </c>
      <c r="AY684" s="30">
        <f>IF(NOT(COUNTA(A684:AE684)&gt;0),"",IF(BE684&lt;&gt;"","✖ "&amp;LEFT(BE684,LEN(BE684)-2),IF(BD684&gt;0,"✔ Ready — client + "&amp;BD684&amp;" service(s)","✔ Ready — client only")))</f>
        <v/>
      </c>
      <c r="AZ684" s="31">
        <f>UPPER(SUBSTITUTE(TRIM(F684)," ",""))</f>
        <v/>
      </c>
      <c r="BA684" s="31">
        <f>UPPER(SUBSTITUTE(TRIM(E684)," ",""))</f>
        <v/>
      </c>
      <c r="BB684" s="31">
        <f>IF(D684&lt;&gt;"",D684,IFERROR(VLOOKUP(MID(AS684,4,1),Lists!$E$2:$F$8,2,FALSE),""))</f>
        <v/>
      </c>
      <c r="BC684" s="31">
        <f>IFERROR(VLOOKUP(BB684,Lists!$A$2:$C$12,3,FALSE),"")</f>
        <v/>
      </c>
      <c r="BD684" s="31">
        <f>COUNTIF(W684:AC684,"Yes")</f>
        <v/>
      </c>
      <c r="BE684" s="31">
        <f>IF(TRIM(B684)="","Legal name missing; ","")&amp;IF(AND(AV684&lt;&gt;"",AV684&lt;&gt;"OK"),"GSTIN: "&amp;AV684&amp;"; ","")&amp;IF(AND(AW684&lt;&gt;"",AW684&lt;&gt;"OK"),"PAN wrong format; ","")&amp;IF(AND(BA684&lt;&gt;"",LEN(AZ684)=15,MID(AZ684,3,10)&lt;&gt;BA684),"PAN does not match GSTIN; ","")&amp;IF(AND(AX684&lt;&gt;"",AX684&lt;&gt;"OK"),"TAN wrong format; ","")&amp;IF(AS684="","PAN missing; ","")&amp;IF(BB684="","Entity type missing; ","")&amp;IF(AND(AZ684&lt;&gt;"",COUNTIF($AZ$6:$AZ$1005,AZ684)&gt;1),"GSTIN repeated in this sheet; ","")&amp;IF(AND(AS684&lt;&gt;"",COUNTIF($AS$6:$AS$1005,AS684)&gt;1),"PAN repeated in this sheet (same client? put extra GSTINs in Other GSTINs); ","")&amp;IF(AND(BD684&gt;0,V684=""),"Financial year missing; ","")&amp;IF(AND(BD684=0,V684&lt;&gt;""),"Financial year given but no service is Yes; ","")&amp;IF(AND(W684="Yes",AZ684=""),"GST needs a GSTIN; ","")&amp;IF(AND(W684="Yes",X684=""),"GST return frequency missing; ","")&amp;IF(AND(Y684="Yes",TRIM(H684)=""),"TDS needs a TAN; ","")&amp;IF(AND(AA684="Yes",BC684&lt;&gt;"",BC684&lt;&gt;"company",BC684&lt;&gt;"llp"),"ROC is only for a company / LLP; ","")&amp;IF(AND(AA684="Yes",OR(BC684="company",BC684="llp"),TRIM(I684)=""),"ROC needs the CIN / LLPIN; ","")&amp;IF((TRIM(AF684)="")&lt;&gt;(TRIM(AG684)=""),"GST login needs both user ID and password; ","")&amp;IF((TRIM(AH684)="")&lt;&gt;(TRIM(AI684)=""),"Income-tax login needs both user ID and password; ","")&amp;IF((TRIM(AJ684)="")&lt;&gt;(TRIM(AK684)=""),"Income-tax login needs both user ID and password; ","")&amp;IF((TRIM(AL684)="")&lt;&gt;(TRIM(AM684)=""),"TRACES login needs both user ID and password; ","")&amp;IF((TRIM(AN684)="")&lt;&gt;(TRIM(AO684)=""),"MCA login needs both user ID and password; ","")&amp;IF((TRIM(AP684)="")&lt;&gt;(TRIM(AQ684)=""),"E-way bill login needs both user ID and password; ","")</f>
        <v/>
      </c>
    </row>
    <row r="685">
      <c r="A685" s="32" t="n"/>
      <c r="B685" s="33" t="n"/>
      <c r="C685" s="33" t="n"/>
      <c r="D685" s="33" t="n"/>
      <c r="E685" s="32" t="n"/>
      <c r="F685" s="32" t="n"/>
      <c r="G685" s="32" t="n"/>
      <c r="H685" s="32" t="n"/>
      <c r="I685" s="32" t="n"/>
      <c r="J685" s="34" t="n"/>
      <c r="K685" s="33" t="n"/>
      <c r="L685" s="32" t="n"/>
      <c r="M685" s="33" t="n"/>
      <c r="N685" s="33" t="n"/>
      <c r="O685" s="33" t="n"/>
      <c r="P685" s="32" t="n"/>
      <c r="Q685" s="33" t="n"/>
      <c r="R685" s="33" t="n"/>
      <c r="S685" s="33" t="n"/>
      <c r="T685" s="33" t="n"/>
      <c r="U685" s="32" t="n"/>
      <c r="V685" s="33" t="n"/>
      <c r="W685" s="33" t="n"/>
      <c r="X685" s="33" t="n"/>
      <c r="Y685" s="33" t="n"/>
      <c r="Z685" s="33" t="n"/>
      <c r="AA685" s="33" t="n"/>
      <c r="AB685" s="33" t="n"/>
      <c r="AC685" s="33" t="n"/>
      <c r="AD685" s="33" t="n"/>
      <c r="AE685" s="33" t="n"/>
      <c r="AF685" s="32" t="n"/>
      <c r="AG685" s="32" t="n"/>
      <c r="AH685" s="32" t="n"/>
      <c r="AI685" s="32" t="n"/>
      <c r="AJ685" s="32" t="n"/>
      <c r="AK685" s="32" t="n"/>
      <c r="AL685" s="32" t="n"/>
      <c r="AM685" s="32" t="n"/>
      <c r="AN685" s="32" t="n"/>
      <c r="AO685" s="32" t="n"/>
      <c r="AP685" s="32" t="n"/>
      <c r="AQ685" s="32" t="n"/>
      <c r="AR685" s="29">
        <f>IF(NOT(COUNTA(A685:AE685)&gt;0),"",IF(A685="","New client","Update"))</f>
        <v/>
      </c>
      <c r="AS685" s="29">
        <f>IF(BA685&lt;&gt;"",BA685,IF(LEN(AZ685)=15,MID(AZ685,3,10),""))</f>
        <v/>
      </c>
      <c r="AT685" s="29">
        <f>IF(BB685="","",BB685&amp;IF(D685="","  (guessed from PAN)",""))</f>
        <v/>
      </c>
      <c r="AU685" s="29">
        <f>IF(AZ685="","",IFERROR(INDEX(Lists!$L$2:$L$38,MATCH(LEFT(AZ685,2),Lists!$K$2:$K$38,0)),"Unknown code"))</f>
        <v/>
      </c>
      <c r="AV685" s="29">
        <f>IF(AZ685="","",IFERROR(IF(NOT(AND(LEN(AZ685)=15,ISNUMBER(MATCH(LEFT(AZ685,2),Lists!$K$2:$K$38,0)),SUMPRODUCT(--ISERROR(FIND(MID(MID(AZ685,3,10),{1,2,3,4,5,10},1),"ABCDEFGHIJKLMNOPQRSTUVWXYZ")))=0,SUMPRODUCT(--ISERROR(FIND(MID(MID(AZ685,3,10),{6,7,8,9},1),"0123456789")))=0,ISNUMBER(FIND(MID(AZ685,13,1),"123456789ABCDEFGHIJKLMNOPQRSTUVWXYZ")),MID(AZ685,14,1)="Z")),"Wrong format",IF(MID("0123456789ABCDEFGHIJKLMNOPQRSTUVWXYZ",MOD(36-MOD(SUMPRODUCT(INT((FIND(MID(AZ685,{1,2,3,4,5,6,7,8,9,10,11,12,13,14},1),"0123456789ABCDEFGHIJKLMNOPQRSTUVWXYZ")-1)*{1,2,1,2,1,2,1,2,1,2,1,2,1,2}/36)+MOD((FIND(MID(AZ685,{1,2,3,4,5,6,7,8,9,10,11,12,13,14},1),"0123456789ABCDEFGHIJKLMNOPQRSTUVWXYZ")-1)*{1,2,1,2,1,2,1,2,1,2,1,2,1,2},36)),36),36)+1,1)=MID(AZ685,15,1),"OK","Typo? check digit wrong")),"Wrong format"))</f>
        <v/>
      </c>
      <c r="AW685" s="29">
        <f>IF(BA685="","",IF(AND(LEN(BA685)=10,SUMPRODUCT(--ISERROR(FIND(MID(BA685,{1,2,3,4,5,10},1),"ABCDEFGHIJKLMNOPQRSTUVWXYZ")))=0,SUMPRODUCT(--ISERROR(FIND(MID(BA685,{6,7,8,9},1),"0123456789")))=0),"OK","Wrong format"))</f>
        <v/>
      </c>
      <c r="AX685" s="29">
        <f>IF(TRIM(H685)="","",IF(AND(LEN(UPPER(TRIM(H685)))=10,SUMPRODUCT(--ISERROR(FIND(MID(UPPER(TRIM(H685)),{1,2,3,4,10},1),"ABCDEFGHIJKLMNOPQRSTUVWXYZ")))=0,SUMPRODUCT(--ISERROR(FIND(MID(UPPER(TRIM(H685)),{5,6,7,8,9},1),"0123456789")))=0),"OK","Wrong format"))</f>
        <v/>
      </c>
      <c r="AY685" s="30">
        <f>IF(NOT(COUNTA(A685:AE685)&gt;0),"",IF(BE685&lt;&gt;"","✖ "&amp;LEFT(BE685,LEN(BE685)-2),IF(BD685&gt;0,"✔ Ready — client + "&amp;BD685&amp;" service(s)","✔ Ready — client only")))</f>
        <v/>
      </c>
      <c r="AZ685" s="31">
        <f>UPPER(SUBSTITUTE(TRIM(F685)," ",""))</f>
        <v/>
      </c>
      <c r="BA685" s="31">
        <f>UPPER(SUBSTITUTE(TRIM(E685)," ",""))</f>
        <v/>
      </c>
      <c r="BB685" s="31">
        <f>IF(D685&lt;&gt;"",D685,IFERROR(VLOOKUP(MID(AS685,4,1),Lists!$E$2:$F$8,2,FALSE),""))</f>
        <v/>
      </c>
      <c r="BC685" s="31">
        <f>IFERROR(VLOOKUP(BB685,Lists!$A$2:$C$12,3,FALSE),"")</f>
        <v/>
      </c>
      <c r="BD685" s="31">
        <f>COUNTIF(W685:AC685,"Yes")</f>
        <v/>
      </c>
      <c r="BE685" s="31">
        <f>IF(TRIM(B685)="","Legal name missing; ","")&amp;IF(AND(AV685&lt;&gt;"",AV685&lt;&gt;"OK"),"GSTIN: "&amp;AV685&amp;"; ","")&amp;IF(AND(AW685&lt;&gt;"",AW685&lt;&gt;"OK"),"PAN wrong format; ","")&amp;IF(AND(BA685&lt;&gt;"",LEN(AZ685)=15,MID(AZ685,3,10)&lt;&gt;BA685),"PAN does not match GSTIN; ","")&amp;IF(AND(AX685&lt;&gt;"",AX685&lt;&gt;"OK"),"TAN wrong format; ","")&amp;IF(AS685="","PAN missing; ","")&amp;IF(BB685="","Entity type missing; ","")&amp;IF(AND(AZ685&lt;&gt;"",COUNTIF($AZ$6:$AZ$1005,AZ685)&gt;1),"GSTIN repeated in this sheet; ","")&amp;IF(AND(AS685&lt;&gt;"",COUNTIF($AS$6:$AS$1005,AS685)&gt;1),"PAN repeated in this sheet (same client? put extra GSTINs in Other GSTINs); ","")&amp;IF(AND(BD685&gt;0,V685=""),"Financial year missing; ","")&amp;IF(AND(BD685=0,V685&lt;&gt;""),"Financial year given but no service is Yes; ","")&amp;IF(AND(W685="Yes",AZ685=""),"GST needs a GSTIN; ","")&amp;IF(AND(W685="Yes",X685=""),"GST return frequency missing; ","")&amp;IF(AND(Y685="Yes",TRIM(H685)=""),"TDS needs a TAN; ","")&amp;IF(AND(AA685="Yes",BC685&lt;&gt;"",BC685&lt;&gt;"company",BC685&lt;&gt;"llp"),"ROC is only for a company / LLP; ","")&amp;IF(AND(AA685="Yes",OR(BC685="company",BC685="llp"),TRIM(I685)=""),"ROC needs the CIN / LLPIN; ","")&amp;IF((TRIM(AF685)="")&lt;&gt;(TRIM(AG685)=""),"GST login needs both user ID and password; ","")&amp;IF((TRIM(AH685)="")&lt;&gt;(TRIM(AI685)=""),"Income-tax login needs both user ID and password; ","")&amp;IF((TRIM(AJ685)="")&lt;&gt;(TRIM(AK685)=""),"Income-tax login needs both user ID and password; ","")&amp;IF((TRIM(AL685)="")&lt;&gt;(TRIM(AM685)=""),"TRACES login needs both user ID and password; ","")&amp;IF((TRIM(AN685)="")&lt;&gt;(TRIM(AO685)=""),"MCA login needs both user ID and password; ","")&amp;IF((TRIM(AP685)="")&lt;&gt;(TRIM(AQ685)=""),"E-way bill login needs both user ID and password; ","")</f>
        <v/>
      </c>
    </row>
    <row r="686">
      <c r="A686" s="32" t="n"/>
      <c r="B686" s="33" t="n"/>
      <c r="C686" s="33" t="n"/>
      <c r="D686" s="33" t="n"/>
      <c r="E686" s="32" t="n"/>
      <c r="F686" s="32" t="n"/>
      <c r="G686" s="32" t="n"/>
      <c r="H686" s="32" t="n"/>
      <c r="I686" s="32" t="n"/>
      <c r="J686" s="34" t="n"/>
      <c r="K686" s="33" t="n"/>
      <c r="L686" s="32" t="n"/>
      <c r="M686" s="33" t="n"/>
      <c r="N686" s="33" t="n"/>
      <c r="O686" s="33" t="n"/>
      <c r="P686" s="32" t="n"/>
      <c r="Q686" s="33" t="n"/>
      <c r="R686" s="33" t="n"/>
      <c r="S686" s="33" t="n"/>
      <c r="T686" s="33" t="n"/>
      <c r="U686" s="32" t="n"/>
      <c r="V686" s="33" t="n"/>
      <c r="W686" s="33" t="n"/>
      <c r="X686" s="33" t="n"/>
      <c r="Y686" s="33" t="n"/>
      <c r="Z686" s="33" t="n"/>
      <c r="AA686" s="33" t="n"/>
      <c r="AB686" s="33" t="n"/>
      <c r="AC686" s="33" t="n"/>
      <c r="AD686" s="33" t="n"/>
      <c r="AE686" s="33" t="n"/>
      <c r="AF686" s="32" t="n"/>
      <c r="AG686" s="32" t="n"/>
      <c r="AH686" s="32" t="n"/>
      <c r="AI686" s="32" t="n"/>
      <c r="AJ686" s="32" t="n"/>
      <c r="AK686" s="32" t="n"/>
      <c r="AL686" s="32" t="n"/>
      <c r="AM686" s="32" t="n"/>
      <c r="AN686" s="32" t="n"/>
      <c r="AO686" s="32" t="n"/>
      <c r="AP686" s="32" t="n"/>
      <c r="AQ686" s="32" t="n"/>
      <c r="AR686" s="29">
        <f>IF(NOT(COUNTA(A686:AE686)&gt;0),"",IF(A686="","New client","Update"))</f>
        <v/>
      </c>
      <c r="AS686" s="29">
        <f>IF(BA686&lt;&gt;"",BA686,IF(LEN(AZ686)=15,MID(AZ686,3,10),""))</f>
        <v/>
      </c>
      <c r="AT686" s="29">
        <f>IF(BB686="","",BB686&amp;IF(D686="","  (guessed from PAN)",""))</f>
        <v/>
      </c>
      <c r="AU686" s="29">
        <f>IF(AZ686="","",IFERROR(INDEX(Lists!$L$2:$L$38,MATCH(LEFT(AZ686,2),Lists!$K$2:$K$38,0)),"Unknown code"))</f>
        <v/>
      </c>
      <c r="AV686" s="29">
        <f>IF(AZ686="","",IFERROR(IF(NOT(AND(LEN(AZ686)=15,ISNUMBER(MATCH(LEFT(AZ686,2),Lists!$K$2:$K$38,0)),SUMPRODUCT(--ISERROR(FIND(MID(MID(AZ686,3,10),{1,2,3,4,5,10},1),"ABCDEFGHIJKLMNOPQRSTUVWXYZ")))=0,SUMPRODUCT(--ISERROR(FIND(MID(MID(AZ686,3,10),{6,7,8,9},1),"0123456789")))=0,ISNUMBER(FIND(MID(AZ686,13,1),"123456789ABCDEFGHIJKLMNOPQRSTUVWXYZ")),MID(AZ686,14,1)="Z")),"Wrong format",IF(MID("0123456789ABCDEFGHIJKLMNOPQRSTUVWXYZ",MOD(36-MOD(SUMPRODUCT(INT((FIND(MID(AZ686,{1,2,3,4,5,6,7,8,9,10,11,12,13,14},1),"0123456789ABCDEFGHIJKLMNOPQRSTUVWXYZ")-1)*{1,2,1,2,1,2,1,2,1,2,1,2,1,2}/36)+MOD((FIND(MID(AZ686,{1,2,3,4,5,6,7,8,9,10,11,12,13,14},1),"0123456789ABCDEFGHIJKLMNOPQRSTUVWXYZ")-1)*{1,2,1,2,1,2,1,2,1,2,1,2,1,2},36)),36),36)+1,1)=MID(AZ686,15,1),"OK","Typo? check digit wrong")),"Wrong format"))</f>
        <v/>
      </c>
      <c r="AW686" s="29">
        <f>IF(BA686="","",IF(AND(LEN(BA686)=10,SUMPRODUCT(--ISERROR(FIND(MID(BA686,{1,2,3,4,5,10},1),"ABCDEFGHIJKLMNOPQRSTUVWXYZ")))=0,SUMPRODUCT(--ISERROR(FIND(MID(BA686,{6,7,8,9},1),"0123456789")))=0),"OK","Wrong format"))</f>
        <v/>
      </c>
      <c r="AX686" s="29">
        <f>IF(TRIM(H686)="","",IF(AND(LEN(UPPER(TRIM(H686)))=10,SUMPRODUCT(--ISERROR(FIND(MID(UPPER(TRIM(H686)),{1,2,3,4,10},1),"ABCDEFGHIJKLMNOPQRSTUVWXYZ")))=0,SUMPRODUCT(--ISERROR(FIND(MID(UPPER(TRIM(H686)),{5,6,7,8,9},1),"0123456789")))=0),"OK","Wrong format"))</f>
        <v/>
      </c>
      <c r="AY686" s="30">
        <f>IF(NOT(COUNTA(A686:AE686)&gt;0),"",IF(BE686&lt;&gt;"","✖ "&amp;LEFT(BE686,LEN(BE686)-2),IF(BD686&gt;0,"✔ Ready — client + "&amp;BD686&amp;" service(s)","✔ Ready — client only")))</f>
        <v/>
      </c>
      <c r="AZ686" s="31">
        <f>UPPER(SUBSTITUTE(TRIM(F686)," ",""))</f>
        <v/>
      </c>
      <c r="BA686" s="31">
        <f>UPPER(SUBSTITUTE(TRIM(E686)," ",""))</f>
        <v/>
      </c>
      <c r="BB686" s="31">
        <f>IF(D686&lt;&gt;"",D686,IFERROR(VLOOKUP(MID(AS686,4,1),Lists!$E$2:$F$8,2,FALSE),""))</f>
        <v/>
      </c>
      <c r="BC686" s="31">
        <f>IFERROR(VLOOKUP(BB686,Lists!$A$2:$C$12,3,FALSE),"")</f>
        <v/>
      </c>
      <c r="BD686" s="31">
        <f>COUNTIF(W686:AC686,"Yes")</f>
        <v/>
      </c>
      <c r="BE686" s="31">
        <f>IF(TRIM(B686)="","Legal name missing; ","")&amp;IF(AND(AV686&lt;&gt;"",AV686&lt;&gt;"OK"),"GSTIN: "&amp;AV686&amp;"; ","")&amp;IF(AND(AW686&lt;&gt;"",AW686&lt;&gt;"OK"),"PAN wrong format; ","")&amp;IF(AND(BA686&lt;&gt;"",LEN(AZ686)=15,MID(AZ686,3,10)&lt;&gt;BA686),"PAN does not match GSTIN; ","")&amp;IF(AND(AX686&lt;&gt;"",AX686&lt;&gt;"OK"),"TAN wrong format; ","")&amp;IF(AS686="","PAN missing; ","")&amp;IF(BB686="","Entity type missing; ","")&amp;IF(AND(AZ686&lt;&gt;"",COUNTIF($AZ$6:$AZ$1005,AZ686)&gt;1),"GSTIN repeated in this sheet; ","")&amp;IF(AND(AS686&lt;&gt;"",COUNTIF($AS$6:$AS$1005,AS686)&gt;1),"PAN repeated in this sheet (same client? put extra GSTINs in Other GSTINs); ","")&amp;IF(AND(BD686&gt;0,V686=""),"Financial year missing; ","")&amp;IF(AND(BD686=0,V686&lt;&gt;""),"Financial year given but no service is Yes; ","")&amp;IF(AND(W686="Yes",AZ686=""),"GST needs a GSTIN; ","")&amp;IF(AND(W686="Yes",X686=""),"GST return frequency missing; ","")&amp;IF(AND(Y686="Yes",TRIM(H686)=""),"TDS needs a TAN; ","")&amp;IF(AND(AA686="Yes",BC686&lt;&gt;"",BC686&lt;&gt;"company",BC686&lt;&gt;"llp"),"ROC is only for a company / LLP; ","")&amp;IF(AND(AA686="Yes",OR(BC686="company",BC686="llp"),TRIM(I686)=""),"ROC needs the CIN / LLPIN; ","")&amp;IF((TRIM(AF686)="")&lt;&gt;(TRIM(AG686)=""),"GST login needs both user ID and password; ","")&amp;IF((TRIM(AH686)="")&lt;&gt;(TRIM(AI686)=""),"Income-tax login needs both user ID and password; ","")&amp;IF((TRIM(AJ686)="")&lt;&gt;(TRIM(AK686)=""),"Income-tax login needs both user ID and password; ","")&amp;IF((TRIM(AL686)="")&lt;&gt;(TRIM(AM686)=""),"TRACES login needs both user ID and password; ","")&amp;IF((TRIM(AN686)="")&lt;&gt;(TRIM(AO686)=""),"MCA login needs both user ID and password; ","")&amp;IF((TRIM(AP686)="")&lt;&gt;(TRIM(AQ686)=""),"E-way bill login needs both user ID and password; ","")</f>
        <v/>
      </c>
    </row>
    <row r="687">
      <c r="A687" s="32" t="n"/>
      <c r="B687" s="33" t="n"/>
      <c r="C687" s="33" t="n"/>
      <c r="D687" s="33" t="n"/>
      <c r="E687" s="32" t="n"/>
      <c r="F687" s="32" t="n"/>
      <c r="G687" s="32" t="n"/>
      <c r="H687" s="32" t="n"/>
      <c r="I687" s="32" t="n"/>
      <c r="J687" s="34" t="n"/>
      <c r="K687" s="33" t="n"/>
      <c r="L687" s="32" t="n"/>
      <c r="M687" s="33" t="n"/>
      <c r="N687" s="33" t="n"/>
      <c r="O687" s="33" t="n"/>
      <c r="P687" s="32" t="n"/>
      <c r="Q687" s="33" t="n"/>
      <c r="R687" s="33" t="n"/>
      <c r="S687" s="33" t="n"/>
      <c r="T687" s="33" t="n"/>
      <c r="U687" s="32" t="n"/>
      <c r="V687" s="33" t="n"/>
      <c r="W687" s="33" t="n"/>
      <c r="X687" s="33" t="n"/>
      <c r="Y687" s="33" t="n"/>
      <c r="Z687" s="33" t="n"/>
      <c r="AA687" s="33" t="n"/>
      <c r="AB687" s="33" t="n"/>
      <c r="AC687" s="33" t="n"/>
      <c r="AD687" s="33" t="n"/>
      <c r="AE687" s="33" t="n"/>
      <c r="AF687" s="32" t="n"/>
      <c r="AG687" s="32" t="n"/>
      <c r="AH687" s="32" t="n"/>
      <c r="AI687" s="32" t="n"/>
      <c r="AJ687" s="32" t="n"/>
      <c r="AK687" s="32" t="n"/>
      <c r="AL687" s="32" t="n"/>
      <c r="AM687" s="32" t="n"/>
      <c r="AN687" s="32" t="n"/>
      <c r="AO687" s="32" t="n"/>
      <c r="AP687" s="32" t="n"/>
      <c r="AQ687" s="32" t="n"/>
      <c r="AR687" s="29">
        <f>IF(NOT(COUNTA(A687:AE687)&gt;0),"",IF(A687="","New client","Update"))</f>
        <v/>
      </c>
      <c r="AS687" s="29">
        <f>IF(BA687&lt;&gt;"",BA687,IF(LEN(AZ687)=15,MID(AZ687,3,10),""))</f>
        <v/>
      </c>
      <c r="AT687" s="29">
        <f>IF(BB687="","",BB687&amp;IF(D687="","  (guessed from PAN)",""))</f>
        <v/>
      </c>
      <c r="AU687" s="29">
        <f>IF(AZ687="","",IFERROR(INDEX(Lists!$L$2:$L$38,MATCH(LEFT(AZ687,2),Lists!$K$2:$K$38,0)),"Unknown code"))</f>
        <v/>
      </c>
      <c r="AV687" s="29">
        <f>IF(AZ687="","",IFERROR(IF(NOT(AND(LEN(AZ687)=15,ISNUMBER(MATCH(LEFT(AZ687,2),Lists!$K$2:$K$38,0)),SUMPRODUCT(--ISERROR(FIND(MID(MID(AZ687,3,10),{1,2,3,4,5,10},1),"ABCDEFGHIJKLMNOPQRSTUVWXYZ")))=0,SUMPRODUCT(--ISERROR(FIND(MID(MID(AZ687,3,10),{6,7,8,9},1),"0123456789")))=0,ISNUMBER(FIND(MID(AZ687,13,1),"123456789ABCDEFGHIJKLMNOPQRSTUVWXYZ")),MID(AZ687,14,1)="Z")),"Wrong format",IF(MID("0123456789ABCDEFGHIJKLMNOPQRSTUVWXYZ",MOD(36-MOD(SUMPRODUCT(INT((FIND(MID(AZ687,{1,2,3,4,5,6,7,8,9,10,11,12,13,14},1),"0123456789ABCDEFGHIJKLMNOPQRSTUVWXYZ")-1)*{1,2,1,2,1,2,1,2,1,2,1,2,1,2}/36)+MOD((FIND(MID(AZ687,{1,2,3,4,5,6,7,8,9,10,11,12,13,14},1),"0123456789ABCDEFGHIJKLMNOPQRSTUVWXYZ")-1)*{1,2,1,2,1,2,1,2,1,2,1,2,1,2},36)),36),36)+1,1)=MID(AZ687,15,1),"OK","Typo? check digit wrong")),"Wrong format"))</f>
        <v/>
      </c>
      <c r="AW687" s="29">
        <f>IF(BA687="","",IF(AND(LEN(BA687)=10,SUMPRODUCT(--ISERROR(FIND(MID(BA687,{1,2,3,4,5,10},1),"ABCDEFGHIJKLMNOPQRSTUVWXYZ")))=0,SUMPRODUCT(--ISERROR(FIND(MID(BA687,{6,7,8,9},1),"0123456789")))=0),"OK","Wrong format"))</f>
        <v/>
      </c>
      <c r="AX687" s="29">
        <f>IF(TRIM(H687)="","",IF(AND(LEN(UPPER(TRIM(H687)))=10,SUMPRODUCT(--ISERROR(FIND(MID(UPPER(TRIM(H687)),{1,2,3,4,10},1),"ABCDEFGHIJKLMNOPQRSTUVWXYZ")))=0,SUMPRODUCT(--ISERROR(FIND(MID(UPPER(TRIM(H687)),{5,6,7,8,9},1),"0123456789")))=0),"OK","Wrong format"))</f>
        <v/>
      </c>
      <c r="AY687" s="30">
        <f>IF(NOT(COUNTA(A687:AE687)&gt;0),"",IF(BE687&lt;&gt;"","✖ "&amp;LEFT(BE687,LEN(BE687)-2),IF(BD687&gt;0,"✔ Ready — client + "&amp;BD687&amp;" service(s)","✔ Ready — client only")))</f>
        <v/>
      </c>
      <c r="AZ687" s="31">
        <f>UPPER(SUBSTITUTE(TRIM(F687)," ",""))</f>
        <v/>
      </c>
      <c r="BA687" s="31">
        <f>UPPER(SUBSTITUTE(TRIM(E687)," ",""))</f>
        <v/>
      </c>
      <c r="BB687" s="31">
        <f>IF(D687&lt;&gt;"",D687,IFERROR(VLOOKUP(MID(AS687,4,1),Lists!$E$2:$F$8,2,FALSE),""))</f>
        <v/>
      </c>
      <c r="BC687" s="31">
        <f>IFERROR(VLOOKUP(BB687,Lists!$A$2:$C$12,3,FALSE),"")</f>
        <v/>
      </c>
      <c r="BD687" s="31">
        <f>COUNTIF(W687:AC687,"Yes")</f>
        <v/>
      </c>
      <c r="BE687" s="31">
        <f>IF(TRIM(B687)="","Legal name missing; ","")&amp;IF(AND(AV687&lt;&gt;"",AV687&lt;&gt;"OK"),"GSTIN: "&amp;AV687&amp;"; ","")&amp;IF(AND(AW687&lt;&gt;"",AW687&lt;&gt;"OK"),"PAN wrong format; ","")&amp;IF(AND(BA687&lt;&gt;"",LEN(AZ687)=15,MID(AZ687,3,10)&lt;&gt;BA687),"PAN does not match GSTIN; ","")&amp;IF(AND(AX687&lt;&gt;"",AX687&lt;&gt;"OK"),"TAN wrong format; ","")&amp;IF(AS687="","PAN missing; ","")&amp;IF(BB687="","Entity type missing; ","")&amp;IF(AND(AZ687&lt;&gt;"",COUNTIF($AZ$6:$AZ$1005,AZ687)&gt;1),"GSTIN repeated in this sheet; ","")&amp;IF(AND(AS687&lt;&gt;"",COUNTIF($AS$6:$AS$1005,AS687)&gt;1),"PAN repeated in this sheet (same client? put extra GSTINs in Other GSTINs); ","")&amp;IF(AND(BD687&gt;0,V687=""),"Financial year missing; ","")&amp;IF(AND(BD687=0,V687&lt;&gt;""),"Financial year given but no service is Yes; ","")&amp;IF(AND(W687="Yes",AZ687=""),"GST needs a GSTIN; ","")&amp;IF(AND(W687="Yes",X687=""),"GST return frequency missing; ","")&amp;IF(AND(Y687="Yes",TRIM(H687)=""),"TDS needs a TAN; ","")&amp;IF(AND(AA687="Yes",BC687&lt;&gt;"",BC687&lt;&gt;"company",BC687&lt;&gt;"llp"),"ROC is only for a company / LLP; ","")&amp;IF(AND(AA687="Yes",OR(BC687="company",BC687="llp"),TRIM(I687)=""),"ROC needs the CIN / LLPIN; ","")&amp;IF((TRIM(AF687)="")&lt;&gt;(TRIM(AG687)=""),"GST login needs both user ID and password; ","")&amp;IF((TRIM(AH687)="")&lt;&gt;(TRIM(AI687)=""),"Income-tax login needs both user ID and password; ","")&amp;IF((TRIM(AJ687)="")&lt;&gt;(TRIM(AK687)=""),"Income-tax login needs both user ID and password; ","")&amp;IF((TRIM(AL687)="")&lt;&gt;(TRIM(AM687)=""),"TRACES login needs both user ID and password; ","")&amp;IF((TRIM(AN687)="")&lt;&gt;(TRIM(AO687)=""),"MCA login needs both user ID and password; ","")&amp;IF((TRIM(AP687)="")&lt;&gt;(TRIM(AQ687)=""),"E-way bill login needs both user ID and password; ","")</f>
        <v/>
      </c>
    </row>
    <row r="688">
      <c r="A688" s="32" t="n"/>
      <c r="B688" s="33" t="n"/>
      <c r="C688" s="33" t="n"/>
      <c r="D688" s="33" t="n"/>
      <c r="E688" s="32" t="n"/>
      <c r="F688" s="32" t="n"/>
      <c r="G688" s="32" t="n"/>
      <c r="H688" s="32" t="n"/>
      <c r="I688" s="32" t="n"/>
      <c r="J688" s="34" t="n"/>
      <c r="K688" s="33" t="n"/>
      <c r="L688" s="32" t="n"/>
      <c r="M688" s="33" t="n"/>
      <c r="N688" s="33" t="n"/>
      <c r="O688" s="33" t="n"/>
      <c r="P688" s="32" t="n"/>
      <c r="Q688" s="33" t="n"/>
      <c r="R688" s="33" t="n"/>
      <c r="S688" s="33" t="n"/>
      <c r="T688" s="33" t="n"/>
      <c r="U688" s="32" t="n"/>
      <c r="V688" s="33" t="n"/>
      <c r="W688" s="33" t="n"/>
      <c r="X688" s="33" t="n"/>
      <c r="Y688" s="33" t="n"/>
      <c r="Z688" s="33" t="n"/>
      <c r="AA688" s="33" t="n"/>
      <c r="AB688" s="33" t="n"/>
      <c r="AC688" s="33" t="n"/>
      <c r="AD688" s="33" t="n"/>
      <c r="AE688" s="33" t="n"/>
      <c r="AF688" s="32" t="n"/>
      <c r="AG688" s="32" t="n"/>
      <c r="AH688" s="32" t="n"/>
      <c r="AI688" s="32" t="n"/>
      <c r="AJ688" s="32" t="n"/>
      <c r="AK688" s="32" t="n"/>
      <c r="AL688" s="32" t="n"/>
      <c r="AM688" s="32" t="n"/>
      <c r="AN688" s="32" t="n"/>
      <c r="AO688" s="32" t="n"/>
      <c r="AP688" s="32" t="n"/>
      <c r="AQ688" s="32" t="n"/>
      <c r="AR688" s="29">
        <f>IF(NOT(COUNTA(A688:AE688)&gt;0),"",IF(A688="","New client","Update"))</f>
        <v/>
      </c>
      <c r="AS688" s="29">
        <f>IF(BA688&lt;&gt;"",BA688,IF(LEN(AZ688)=15,MID(AZ688,3,10),""))</f>
        <v/>
      </c>
      <c r="AT688" s="29">
        <f>IF(BB688="","",BB688&amp;IF(D688="","  (guessed from PAN)",""))</f>
        <v/>
      </c>
      <c r="AU688" s="29">
        <f>IF(AZ688="","",IFERROR(INDEX(Lists!$L$2:$L$38,MATCH(LEFT(AZ688,2),Lists!$K$2:$K$38,0)),"Unknown code"))</f>
        <v/>
      </c>
      <c r="AV688" s="29">
        <f>IF(AZ688="","",IFERROR(IF(NOT(AND(LEN(AZ688)=15,ISNUMBER(MATCH(LEFT(AZ688,2),Lists!$K$2:$K$38,0)),SUMPRODUCT(--ISERROR(FIND(MID(MID(AZ688,3,10),{1,2,3,4,5,10},1),"ABCDEFGHIJKLMNOPQRSTUVWXYZ")))=0,SUMPRODUCT(--ISERROR(FIND(MID(MID(AZ688,3,10),{6,7,8,9},1),"0123456789")))=0,ISNUMBER(FIND(MID(AZ688,13,1),"123456789ABCDEFGHIJKLMNOPQRSTUVWXYZ")),MID(AZ688,14,1)="Z")),"Wrong format",IF(MID("0123456789ABCDEFGHIJKLMNOPQRSTUVWXYZ",MOD(36-MOD(SUMPRODUCT(INT((FIND(MID(AZ688,{1,2,3,4,5,6,7,8,9,10,11,12,13,14},1),"0123456789ABCDEFGHIJKLMNOPQRSTUVWXYZ")-1)*{1,2,1,2,1,2,1,2,1,2,1,2,1,2}/36)+MOD((FIND(MID(AZ688,{1,2,3,4,5,6,7,8,9,10,11,12,13,14},1),"0123456789ABCDEFGHIJKLMNOPQRSTUVWXYZ")-1)*{1,2,1,2,1,2,1,2,1,2,1,2,1,2},36)),36),36)+1,1)=MID(AZ688,15,1),"OK","Typo? check digit wrong")),"Wrong format"))</f>
        <v/>
      </c>
      <c r="AW688" s="29">
        <f>IF(BA688="","",IF(AND(LEN(BA688)=10,SUMPRODUCT(--ISERROR(FIND(MID(BA688,{1,2,3,4,5,10},1),"ABCDEFGHIJKLMNOPQRSTUVWXYZ")))=0,SUMPRODUCT(--ISERROR(FIND(MID(BA688,{6,7,8,9},1),"0123456789")))=0),"OK","Wrong format"))</f>
        <v/>
      </c>
      <c r="AX688" s="29">
        <f>IF(TRIM(H688)="","",IF(AND(LEN(UPPER(TRIM(H688)))=10,SUMPRODUCT(--ISERROR(FIND(MID(UPPER(TRIM(H688)),{1,2,3,4,10},1),"ABCDEFGHIJKLMNOPQRSTUVWXYZ")))=0,SUMPRODUCT(--ISERROR(FIND(MID(UPPER(TRIM(H688)),{5,6,7,8,9},1),"0123456789")))=0),"OK","Wrong format"))</f>
        <v/>
      </c>
      <c r="AY688" s="30">
        <f>IF(NOT(COUNTA(A688:AE688)&gt;0),"",IF(BE688&lt;&gt;"","✖ "&amp;LEFT(BE688,LEN(BE688)-2),IF(BD688&gt;0,"✔ Ready — client + "&amp;BD688&amp;" service(s)","✔ Ready — client only")))</f>
        <v/>
      </c>
      <c r="AZ688" s="31">
        <f>UPPER(SUBSTITUTE(TRIM(F688)," ",""))</f>
        <v/>
      </c>
      <c r="BA688" s="31">
        <f>UPPER(SUBSTITUTE(TRIM(E688)," ",""))</f>
        <v/>
      </c>
      <c r="BB688" s="31">
        <f>IF(D688&lt;&gt;"",D688,IFERROR(VLOOKUP(MID(AS688,4,1),Lists!$E$2:$F$8,2,FALSE),""))</f>
        <v/>
      </c>
      <c r="BC688" s="31">
        <f>IFERROR(VLOOKUP(BB688,Lists!$A$2:$C$12,3,FALSE),"")</f>
        <v/>
      </c>
      <c r="BD688" s="31">
        <f>COUNTIF(W688:AC688,"Yes")</f>
        <v/>
      </c>
      <c r="BE688" s="31">
        <f>IF(TRIM(B688)="","Legal name missing; ","")&amp;IF(AND(AV688&lt;&gt;"",AV688&lt;&gt;"OK"),"GSTIN: "&amp;AV688&amp;"; ","")&amp;IF(AND(AW688&lt;&gt;"",AW688&lt;&gt;"OK"),"PAN wrong format; ","")&amp;IF(AND(BA688&lt;&gt;"",LEN(AZ688)=15,MID(AZ688,3,10)&lt;&gt;BA688),"PAN does not match GSTIN; ","")&amp;IF(AND(AX688&lt;&gt;"",AX688&lt;&gt;"OK"),"TAN wrong format; ","")&amp;IF(AS688="","PAN missing; ","")&amp;IF(BB688="","Entity type missing; ","")&amp;IF(AND(AZ688&lt;&gt;"",COUNTIF($AZ$6:$AZ$1005,AZ688)&gt;1),"GSTIN repeated in this sheet; ","")&amp;IF(AND(AS688&lt;&gt;"",COUNTIF($AS$6:$AS$1005,AS688)&gt;1),"PAN repeated in this sheet (same client? put extra GSTINs in Other GSTINs); ","")&amp;IF(AND(BD688&gt;0,V688=""),"Financial year missing; ","")&amp;IF(AND(BD688=0,V688&lt;&gt;""),"Financial year given but no service is Yes; ","")&amp;IF(AND(W688="Yes",AZ688=""),"GST needs a GSTIN; ","")&amp;IF(AND(W688="Yes",X688=""),"GST return frequency missing; ","")&amp;IF(AND(Y688="Yes",TRIM(H688)=""),"TDS needs a TAN; ","")&amp;IF(AND(AA688="Yes",BC688&lt;&gt;"",BC688&lt;&gt;"company",BC688&lt;&gt;"llp"),"ROC is only for a company / LLP; ","")&amp;IF(AND(AA688="Yes",OR(BC688="company",BC688="llp"),TRIM(I688)=""),"ROC needs the CIN / LLPIN; ","")&amp;IF((TRIM(AF688)="")&lt;&gt;(TRIM(AG688)=""),"GST login needs both user ID and password; ","")&amp;IF((TRIM(AH688)="")&lt;&gt;(TRIM(AI688)=""),"Income-tax login needs both user ID and password; ","")&amp;IF((TRIM(AJ688)="")&lt;&gt;(TRIM(AK688)=""),"Income-tax login needs both user ID and password; ","")&amp;IF((TRIM(AL688)="")&lt;&gt;(TRIM(AM688)=""),"TRACES login needs both user ID and password; ","")&amp;IF((TRIM(AN688)="")&lt;&gt;(TRIM(AO688)=""),"MCA login needs both user ID and password; ","")&amp;IF((TRIM(AP688)="")&lt;&gt;(TRIM(AQ688)=""),"E-way bill login needs both user ID and password; ","")</f>
        <v/>
      </c>
    </row>
    <row r="689">
      <c r="A689" s="32" t="n"/>
      <c r="B689" s="33" t="n"/>
      <c r="C689" s="33" t="n"/>
      <c r="D689" s="33" t="n"/>
      <c r="E689" s="32" t="n"/>
      <c r="F689" s="32" t="n"/>
      <c r="G689" s="32" t="n"/>
      <c r="H689" s="32" t="n"/>
      <c r="I689" s="32" t="n"/>
      <c r="J689" s="34" t="n"/>
      <c r="K689" s="33" t="n"/>
      <c r="L689" s="32" t="n"/>
      <c r="M689" s="33" t="n"/>
      <c r="N689" s="33" t="n"/>
      <c r="O689" s="33" t="n"/>
      <c r="P689" s="32" t="n"/>
      <c r="Q689" s="33" t="n"/>
      <c r="R689" s="33" t="n"/>
      <c r="S689" s="33" t="n"/>
      <c r="T689" s="33" t="n"/>
      <c r="U689" s="32" t="n"/>
      <c r="V689" s="33" t="n"/>
      <c r="W689" s="33" t="n"/>
      <c r="X689" s="33" t="n"/>
      <c r="Y689" s="33" t="n"/>
      <c r="Z689" s="33" t="n"/>
      <c r="AA689" s="33" t="n"/>
      <c r="AB689" s="33" t="n"/>
      <c r="AC689" s="33" t="n"/>
      <c r="AD689" s="33" t="n"/>
      <c r="AE689" s="33" t="n"/>
      <c r="AF689" s="32" t="n"/>
      <c r="AG689" s="32" t="n"/>
      <c r="AH689" s="32" t="n"/>
      <c r="AI689" s="32" t="n"/>
      <c r="AJ689" s="32" t="n"/>
      <c r="AK689" s="32" t="n"/>
      <c r="AL689" s="32" t="n"/>
      <c r="AM689" s="32" t="n"/>
      <c r="AN689" s="32" t="n"/>
      <c r="AO689" s="32" t="n"/>
      <c r="AP689" s="32" t="n"/>
      <c r="AQ689" s="32" t="n"/>
      <c r="AR689" s="29">
        <f>IF(NOT(COUNTA(A689:AE689)&gt;0),"",IF(A689="","New client","Update"))</f>
        <v/>
      </c>
      <c r="AS689" s="29">
        <f>IF(BA689&lt;&gt;"",BA689,IF(LEN(AZ689)=15,MID(AZ689,3,10),""))</f>
        <v/>
      </c>
      <c r="AT689" s="29">
        <f>IF(BB689="","",BB689&amp;IF(D689="","  (guessed from PAN)",""))</f>
        <v/>
      </c>
      <c r="AU689" s="29">
        <f>IF(AZ689="","",IFERROR(INDEX(Lists!$L$2:$L$38,MATCH(LEFT(AZ689,2),Lists!$K$2:$K$38,0)),"Unknown code"))</f>
        <v/>
      </c>
      <c r="AV689" s="29">
        <f>IF(AZ689="","",IFERROR(IF(NOT(AND(LEN(AZ689)=15,ISNUMBER(MATCH(LEFT(AZ689,2),Lists!$K$2:$K$38,0)),SUMPRODUCT(--ISERROR(FIND(MID(MID(AZ689,3,10),{1,2,3,4,5,10},1),"ABCDEFGHIJKLMNOPQRSTUVWXYZ")))=0,SUMPRODUCT(--ISERROR(FIND(MID(MID(AZ689,3,10),{6,7,8,9},1),"0123456789")))=0,ISNUMBER(FIND(MID(AZ689,13,1),"123456789ABCDEFGHIJKLMNOPQRSTUVWXYZ")),MID(AZ689,14,1)="Z")),"Wrong format",IF(MID("0123456789ABCDEFGHIJKLMNOPQRSTUVWXYZ",MOD(36-MOD(SUMPRODUCT(INT((FIND(MID(AZ689,{1,2,3,4,5,6,7,8,9,10,11,12,13,14},1),"0123456789ABCDEFGHIJKLMNOPQRSTUVWXYZ")-1)*{1,2,1,2,1,2,1,2,1,2,1,2,1,2}/36)+MOD((FIND(MID(AZ689,{1,2,3,4,5,6,7,8,9,10,11,12,13,14},1),"0123456789ABCDEFGHIJKLMNOPQRSTUVWXYZ")-1)*{1,2,1,2,1,2,1,2,1,2,1,2,1,2},36)),36),36)+1,1)=MID(AZ689,15,1),"OK","Typo? check digit wrong")),"Wrong format"))</f>
        <v/>
      </c>
      <c r="AW689" s="29">
        <f>IF(BA689="","",IF(AND(LEN(BA689)=10,SUMPRODUCT(--ISERROR(FIND(MID(BA689,{1,2,3,4,5,10},1),"ABCDEFGHIJKLMNOPQRSTUVWXYZ")))=0,SUMPRODUCT(--ISERROR(FIND(MID(BA689,{6,7,8,9},1),"0123456789")))=0),"OK","Wrong format"))</f>
        <v/>
      </c>
      <c r="AX689" s="29">
        <f>IF(TRIM(H689)="","",IF(AND(LEN(UPPER(TRIM(H689)))=10,SUMPRODUCT(--ISERROR(FIND(MID(UPPER(TRIM(H689)),{1,2,3,4,10},1),"ABCDEFGHIJKLMNOPQRSTUVWXYZ")))=0,SUMPRODUCT(--ISERROR(FIND(MID(UPPER(TRIM(H689)),{5,6,7,8,9},1),"0123456789")))=0),"OK","Wrong format"))</f>
        <v/>
      </c>
      <c r="AY689" s="30">
        <f>IF(NOT(COUNTA(A689:AE689)&gt;0),"",IF(BE689&lt;&gt;"","✖ "&amp;LEFT(BE689,LEN(BE689)-2),IF(BD689&gt;0,"✔ Ready — client + "&amp;BD689&amp;" service(s)","✔ Ready — client only")))</f>
        <v/>
      </c>
      <c r="AZ689" s="31">
        <f>UPPER(SUBSTITUTE(TRIM(F689)," ",""))</f>
        <v/>
      </c>
      <c r="BA689" s="31">
        <f>UPPER(SUBSTITUTE(TRIM(E689)," ",""))</f>
        <v/>
      </c>
      <c r="BB689" s="31">
        <f>IF(D689&lt;&gt;"",D689,IFERROR(VLOOKUP(MID(AS689,4,1),Lists!$E$2:$F$8,2,FALSE),""))</f>
        <v/>
      </c>
      <c r="BC689" s="31">
        <f>IFERROR(VLOOKUP(BB689,Lists!$A$2:$C$12,3,FALSE),"")</f>
        <v/>
      </c>
      <c r="BD689" s="31">
        <f>COUNTIF(W689:AC689,"Yes")</f>
        <v/>
      </c>
      <c r="BE689" s="31">
        <f>IF(TRIM(B689)="","Legal name missing; ","")&amp;IF(AND(AV689&lt;&gt;"",AV689&lt;&gt;"OK"),"GSTIN: "&amp;AV689&amp;"; ","")&amp;IF(AND(AW689&lt;&gt;"",AW689&lt;&gt;"OK"),"PAN wrong format; ","")&amp;IF(AND(BA689&lt;&gt;"",LEN(AZ689)=15,MID(AZ689,3,10)&lt;&gt;BA689),"PAN does not match GSTIN; ","")&amp;IF(AND(AX689&lt;&gt;"",AX689&lt;&gt;"OK"),"TAN wrong format; ","")&amp;IF(AS689="","PAN missing; ","")&amp;IF(BB689="","Entity type missing; ","")&amp;IF(AND(AZ689&lt;&gt;"",COUNTIF($AZ$6:$AZ$1005,AZ689)&gt;1),"GSTIN repeated in this sheet; ","")&amp;IF(AND(AS689&lt;&gt;"",COUNTIF($AS$6:$AS$1005,AS689)&gt;1),"PAN repeated in this sheet (same client? put extra GSTINs in Other GSTINs); ","")&amp;IF(AND(BD689&gt;0,V689=""),"Financial year missing; ","")&amp;IF(AND(BD689=0,V689&lt;&gt;""),"Financial year given but no service is Yes; ","")&amp;IF(AND(W689="Yes",AZ689=""),"GST needs a GSTIN; ","")&amp;IF(AND(W689="Yes",X689=""),"GST return frequency missing; ","")&amp;IF(AND(Y689="Yes",TRIM(H689)=""),"TDS needs a TAN; ","")&amp;IF(AND(AA689="Yes",BC689&lt;&gt;"",BC689&lt;&gt;"company",BC689&lt;&gt;"llp"),"ROC is only for a company / LLP; ","")&amp;IF(AND(AA689="Yes",OR(BC689="company",BC689="llp"),TRIM(I689)=""),"ROC needs the CIN / LLPIN; ","")&amp;IF((TRIM(AF689)="")&lt;&gt;(TRIM(AG689)=""),"GST login needs both user ID and password; ","")&amp;IF((TRIM(AH689)="")&lt;&gt;(TRIM(AI689)=""),"Income-tax login needs both user ID and password; ","")&amp;IF((TRIM(AJ689)="")&lt;&gt;(TRIM(AK689)=""),"Income-tax login needs both user ID and password; ","")&amp;IF((TRIM(AL689)="")&lt;&gt;(TRIM(AM689)=""),"TRACES login needs both user ID and password; ","")&amp;IF((TRIM(AN689)="")&lt;&gt;(TRIM(AO689)=""),"MCA login needs both user ID and password; ","")&amp;IF((TRIM(AP689)="")&lt;&gt;(TRIM(AQ689)=""),"E-way bill login needs both user ID and password; ","")</f>
        <v/>
      </c>
    </row>
    <row r="690">
      <c r="A690" s="32" t="n"/>
      <c r="B690" s="33" t="n"/>
      <c r="C690" s="33" t="n"/>
      <c r="D690" s="33" t="n"/>
      <c r="E690" s="32" t="n"/>
      <c r="F690" s="32" t="n"/>
      <c r="G690" s="32" t="n"/>
      <c r="H690" s="32" t="n"/>
      <c r="I690" s="32" t="n"/>
      <c r="J690" s="34" t="n"/>
      <c r="K690" s="33" t="n"/>
      <c r="L690" s="32" t="n"/>
      <c r="M690" s="33" t="n"/>
      <c r="N690" s="33" t="n"/>
      <c r="O690" s="33" t="n"/>
      <c r="P690" s="32" t="n"/>
      <c r="Q690" s="33" t="n"/>
      <c r="R690" s="33" t="n"/>
      <c r="S690" s="33" t="n"/>
      <c r="T690" s="33" t="n"/>
      <c r="U690" s="32" t="n"/>
      <c r="V690" s="33" t="n"/>
      <c r="W690" s="33" t="n"/>
      <c r="X690" s="33" t="n"/>
      <c r="Y690" s="33" t="n"/>
      <c r="Z690" s="33" t="n"/>
      <c r="AA690" s="33" t="n"/>
      <c r="AB690" s="33" t="n"/>
      <c r="AC690" s="33" t="n"/>
      <c r="AD690" s="33" t="n"/>
      <c r="AE690" s="33" t="n"/>
      <c r="AF690" s="32" t="n"/>
      <c r="AG690" s="32" t="n"/>
      <c r="AH690" s="32" t="n"/>
      <c r="AI690" s="32" t="n"/>
      <c r="AJ690" s="32" t="n"/>
      <c r="AK690" s="32" t="n"/>
      <c r="AL690" s="32" t="n"/>
      <c r="AM690" s="32" t="n"/>
      <c r="AN690" s="32" t="n"/>
      <c r="AO690" s="32" t="n"/>
      <c r="AP690" s="32" t="n"/>
      <c r="AQ690" s="32" t="n"/>
      <c r="AR690" s="29">
        <f>IF(NOT(COUNTA(A690:AE690)&gt;0),"",IF(A690="","New client","Update"))</f>
        <v/>
      </c>
      <c r="AS690" s="29">
        <f>IF(BA690&lt;&gt;"",BA690,IF(LEN(AZ690)=15,MID(AZ690,3,10),""))</f>
        <v/>
      </c>
      <c r="AT690" s="29">
        <f>IF(BB690="","",BB690&amp;IF(D690="","  (guessed from PAN)",""))</f>
        <v/>
      </c>
      <c r="AU690" s="29">
        <f>IF(AZ690="","",IFERROR(INDEX(Lists!$L$2:$L$38,MATCH(LEFT(AZ690,2),Lists!$K$2:$K$38,0)),"Unknown code"))</f>
        <v/>
      </c>
      <c r="AV690" s="29">
        <f>IF(AZ690="","",IFERROR(IF(NOT(AND(LEN(AZ690)=15,ISNUMBER(MATCH(LEFT(AZ690,2),Lists!$K$2:$K$38,0)),SUMPRODUCT(--ISERROR(FIND(MID(MID(AZ690,3,10),{1,2,3,4,5,10},1),"ABCDEFGHIJKLMNOPQRSTUVWXYZ")))=0,SUMPRODUCT(--ISERROR(FIND(MID(MID(AZ690,3,10),{6,7,8,9},1),"0123456789")))=0,ISNUMBER(FIND(MID(AZ690,13,1),"123456789ABCDEFGHIJKLMNOPQRSTUVWXYZ")),MID(AZ690,14,1)="Z")),"Wrong format",IF(MID("0123456789ABCDEFGHIJKLMNOPQRSTUVWXYZ",MOD(36-MOD(SUMPRODUCT(INT((FIND(MID(AZ690,{1,2,3,4,5,6,7,8,9,10,11,12,13,14},1),"0123456789ABCDEFGHIJKLMNOPQRSTUVWXYZ")-1)*{1,2,1,2,1,2,1,2,1,2,1,2,1,2}/36)+MOD((FIND(MID(AZ690,{1,2,3,4,5,6,7,8,9,10,11,12,13,14},1),"0123456789ABCDEFGHIJKLMNOPQRSTUVWXYZ")-1)*{1,2,1,2,1,2,1,2,1,2,1,2,1,2},36)),36),36)+1,1)=MID(AZ690,15,1),"OK","Typo? check digit wrong")),"Wrong format"))</f>
        <v/>
      </c>
      <c r="AW690" s="29">
        <f>IF(BA690="","",IF(AND(LEN(BA690)=10,SUMPRODUCT(--ISERROR(FIND(MID(BA690,{1,2,3,4,5,10},1),"ABCDEFGHIJKLMNOPQRSTUVWXYZ")))=0,SUMPRODUCT(--ISERROR(FIND(MID(BA690,{6,7,8,9},1),"0123456789")))=0),"OK","Wrong format"))</f>
        <v/>
      </c>
      <c r="AX690" s="29">
        <f>IF(TRIM(H690)="","",IF(AND(LEN(UPPER(TRIM(H690)))=10,SUMPRODUCT(--ISERROR(FIND(MID(UPPER(TRIM(H690)),{1,2,3,4,10},1),"ABCDEFGHIJKLMNOPQRSTUVWXYZ")))=0,SUMPRODUCT(--ISERROR(FIND(MID(UPPER(TRIM(H690)),{5,6,7,8,9},1),"0123456789")))=0),"OK","Wrong format"))</f>
        <v/>
      </c>
      <c r="AY690" s="30">
        <f>IF(NOT(COUNTA(A690:AE690)&gt;0),"",IF(BE690&lt;&gt;"","✖ "&amp;LEFT(BE690,LEN(BE690)-2),IF(BD690&gt;0,"✔ Ready — client + "&amp;BD690&amp;" service(s)","✔ Ready — client only")))</f>
        <v/>
      </c>
      <c r="AZ690" s="31">
        <f>UPPER(SUBSTITUTE(TRIM(F690)," ",""))</f>
        <v/>
      </c>
      <c r="BA690" s="31">
        <f>UPPER(SUBSTITUTE(TRIM(E690)," ",""))</f>
        <v/>
      </c>
      <c r="BB690" s="31">
        <f>IF(D690&lt;&gt;"",D690,IFERROR(VLOOKUP(MID(AS690,4,1),Lists!$E$2:$F$8,2,FALSE),""))</f>
        <v/>
      </c>
      <c r="BC690" s="31">
        <f>IFERROR(VLOOKUP(BB690,Lists!$A$2:$C$12,3,FALSE),"")</f>
        <v/>
      </c>
      <c r="BD690" s="31">
        <f>COUNTIF(W690:AC690,"Yes")</f>
        <v/>
      </c>
      <c r="BE690" s="31">
        <f>IF(TRIM(B690)="","Legal name missing; ","")&amp;IF(AND(AV690&lt;&gt;"",AV690&lt;&gt;"OK"),"GSTIN: "&amp;AV690&amp;"; ","")&amp;IF(AND(AW690&lt;&gt;"",AW690&lt;&gt;"OK"),"PAN wrong format; ","")&amp;IF(AND(BA690&lt;&gt;"",LEN(AZ690)=15,MID(AZ690,3,10)&lt;&gt;BA690),"PAN does not match GSTIN; ","")&amp;IF(AND(AX690&lt;&gt;"",AX690&lt;&gt;"OK"),"TAN wrong format; ","")&amp;IF(AS690="","PAN missing; ","")&amp;IF(BB690="","Entity type missing; ","")&amp;IF(AND(AZ690&lt;&gt;"",COUNTIF($AZ$6:$AZ$1005,AZ690)&gt;1),"GSTIN repeated in this sheet; ","")&amp;IF(AND(AS690&lt;&gt;"",COUNTIF($AS$6:$AS$1005,AS690)&gt;1),"PAN repeated in this sheet (same client? put extra GSTINs in Other GSTINs); ","")&amp;IF(AND(BD690&gt;0,V690=""),"Financial year missing; ","")&amp;IF(AND(BD690=0,V690&lt;&gt;""),"Financial year given but no service is Yes; ","")&amp;IF(AND(W690="Yes",AZ690=""),"GST needs a GSTIN; ","")&amp;IF(AND(W690="Yes",X690=""),"GST return frequency missing; ","")&amp;IF(AND(Y690="Yes",TRIM(H690)=""),"TDS needs a TAN; ","")&amp;IF(AND(AA690="Yes",BC690&lt;&gt;"",BC690&lt;&gt;"company",BC690&lt;&gt;"llp"),"ROC is only for a company / LLP; ","")&amp;IF(AND(AA690="Yes",OR(BC690="company",BC690="llp"),TRIM(I690)=""),"ROC needs the CIN / LLPIN; ","")&amp;IF((TRIM(AF690)="")&lt;&gt;(TRIM(AG690)=""),"GST login needs both user ID and password; ","")&amp;IF((TRIM(AH690)="")&lt;&gt;(TRIM(AI690)=""),"Income-tax login needs both user ID and password; ","")&amp;IF((TRIM(AJ690)="")&lt;&gt;(TRIM(AK690)=""),"Income-tax login needs both user ID and password; ","")&amp;IF((TRIM(AL690)="")&lt;&gt;(TRIM(AM690)=""),"TRACES login needs both user ID and password; ","")&amp;IF((TRIM(AN690)="")&lt;&gt;(TRIM(AO690)=""),"MCA login needs both user ID and password; ","")&amp;IF((TRIM(AP690)="")&lt;&gt;(TRIM(AQ690)=""),"E-way bill login needs both user ID and password; ","")</f>
        <v/>
      </c>
    </row>
    <row r="691">
      <c r="A691" s="32" t="n"/>
      <c r="B691" s="33" t="n"/>
      <c r="C691" s="33" t="n"/>
      <c r="D691" s="33" t="n"/>
      <c r="E691" s="32" t="n"/>
      <c r="F691" s="32" t="n"/>
      <c r="G691" s="32" t="n"/>
      <c r="H691" s="32" t="n"/>
      <c r="I691" s="32" t="n"/>
      <c r="J691" s="34" t="n"/>
      <c r="K691" s="33" t="n"/>
      <c r="L691" s="32" t="n"/>
      <c r="M691" s="33" t="n"/>
      <c r="N691" s="33" t="n"/>
      <c r="O691" s="33" t="n"/>
      <c r="P691" s="32" t="n"/>
      <c r="Q691" s="33" t="n"/>
      <c r="R691" s="33" t="n"/>
      <c r="S691" s="33" t="n"/>
      <c r="T691" s="33" t="n"/>
      <c r="U691" s="32" t="n"/>
      <c r="V691" s="33" t="n"/>
      <c r="W691" s="33" t="n"/>
      <c r="X691" s="33" t="n"/>
      <c r="Y691" s="33" t="n"/>
      <c r="Z691" s="33" t="n"/>
      <c r="AA691" s="33" t="n"/>
      <c r="AB691" s="33" t="n"/>
      <c r="AC691" s="33" t="n"/>
      <c r="AD691" s="33" t="n"/>
      <c r="AE691" s="33" t="n"/>
      <c r="AF691" s="32" t="n"/>
      <c r="AG691" s="32" t="n"/>
      <c r="AH691" s="32" t="n"/>
      <c r="AI691" s="32" t="n"/>
      <c r="AJ691" s="32" t="n"/>
      <c r="AK691" s="32" t="n"/>
      <c r="AL691" s="32" t="n"/>
      <c r="AM691" s="32" t="n"/>
      <c r="AN691" s="32" t="n"/>
      <c r="AO691" s="32" t="n"/>
      <c r="AP691" s="32" t="n"/>
      <c r="AQ691" s="32" t="n"/>
      <c r="AR691" s="29">
        <f>IF(NOT(COUNTA(A691:AE691)&gt;0),"",IF(A691="","New client","Update"))</f>
        <v/>
      </c>
      <c r="AS691" s="29">
        <f>IF(BA691&lt;&gt;"",BA691,IF(LEN(AZ691)=15,MID(AZ691,3,10),""))</f>
        <v/>
      </c>
      <c r="AT691" s="29">
        <f>IF(BB691="","",BB691&amp;IF(D691="","  (guessed from PAN)",""))</f>
        <v/>
      </c>
      <c r="AU691" s="29">
        <f>IF(AZ691="","",IFERROR(INDEX(Lists!$L$2:$L$38,MATCH(LEFT(AZ691,2),Lists!$K$2:$K$38,0)),"Unknown code"))</f>
        <v/>
      </c>
      <c r="AV691" s="29">
        <f>IF(AZ691="","",IFERROR(IF(NOT(AND(LEN(AZ691)=15,ISNUMBER(MATCH(LEFT(AZ691,2),Lists!$K$2:$K$38,0)),SUMPRODUCT(--ISERROR(FIND(MID(MID(AZ691,3,10),{1,2,3,4,5,10},1),"ABCDEFGHIJKLMNOPQRSTUVWXYZ")))=0,SUMPRODUCT(--ISERROR(FIND(MID(MID(AZ691,3,10),{6,7,8,9},1),"0123456789")))=0,ISNUMBER(FIND(MID(AZ691,13,1),"123456789ABCDEFGHIJKLMNOPQRSTUVWXYZ")),MID(AZ691,14,1)="Z")),"Wrong format",IF(MID("0123456789ABCDEFGHIJKLMNOPQRSTUVWXYZ",MOD(36-MOD(SUMPRODUCT(INT((FIND(MID(AZ691,{1,2,3,4,5,6,7,8,9,10,11,12,13,14},1),"0123456789ABCDEFGHIJKLMNOPQRSTUVWXYZ")-1)*{1,2,1,2,1,2,1,2,1,2,1,2,1,2}/36)+MOD((FIND(MID(AZ691,{1,2,3,4,5,6,7,8,9,10,11,12,13,14},1),"0123456789ABCDEFGHIJKLMNOPQRSTUVWXYZ")-1)*{1,2,1,2,1,2,1,2,1,2,1,2,1,2},36)),36),36)+1,1)=MID(AZ691,15,1),"OK","Typo? check digit wrong")),"Wrong format"))</f>
        <v/>
      </c>
      <c r="AW691" s="29">
        <f>IF(BA691="","",IF(AND(LEN(BA691)=10,SUMPRODUCT(--ISERROR(FIND(MID(BA691,{1,2,3,4,5,10},1),"ABCDEFGHIJKLMNOPQRSTUVWXYZ")))=0,SUMPRODUCT(--ISERROR(FIND(MID(BA691,{6,7,8,9},1),"0123456789")))=0),"OK","Wrong format"))</f>
        <v/>
      </c>
      <c r="AX691" s="29">
        <f>IF(TRIM(H691)="","",IF(AND(LEN(UPPER(TRIM(H691)))=10,SUMPRODUCT(--ISERROR(FIND(MID(UPPER(TRIM(H691)),{1,2,3,4,10},1),"ABCDEFGHIJKLMNOPQRSTUVWXYZ")))=0,SUMPRODUCT(--ISERROR(FIND(MID(UPPER(TRIM(H691)),{5,6,7,8,9},1),"0123456789")))=0),"OK","Wrong format"))</f>
        <v/>
      </c>
      <c r="AY691" s="30">
        <f>IF(NOT(COUNTA(A691:AE691)&gt;0),"",IF(BE691&lt;&gt;"","✖ "&amp;LEFT(BE691,LEN(BE691)-2),IF(BD691&gt;0,"✔ Ready — client + "&amp;BD691&amp;" service(s)","✔ Ready — client only")))</f>
        <v/>
      </c>
      <c r="AZ691" s="31">
        <f>UPPER(SUBSTITUTE(TRIM(F691)," ",""))</f>
        <v/>
      </c>
      <c r="BA691" s="31">
        <f>UPPER(SUBSTITUTE(TRIM(E691)," ",""))</f>
        <v/>
      </c>
      <c r="BB691" s="31">
        <f>IF(D691&lt;&gt;"",D691,IFERROR(VLOOKUP(MID(AS691,4,1),Lists!$E$2:$F$8,2,FALSE),""))</f>
        <v/>
      </c>
      <c r="BC691" s="31">
        <f>IFERROR(VLOOKUP(BB691,Lists!$A$2:$C$12,3,FALSE),"")</f>
        <v/>
      </c>
      <c r="BD691" s="31">
        <f>COUNTIF(W691:AC691,"Yes")</f>
        <v/>
      </c>
      <c r="BE691" s="31">
        <f>IF(TRIM(B691)="","Legal name missing; ","")&amp;IF(AND(AV691&lt;&gt;"",AV691&lt;&gt;"OK"),"GSTIN: "&amp;AV691&amp;"; ","")&amp;IF(AND(AW691&lt;&gt;"",AW691&lt;&gt;"OK"),"PAN wrong format; ","")&amp;IF(AND(BA691&lt;&gt;"",LEN(AZ691)=15,MID(AZ691,3,10)&lt;&gt;BA691),"PAN does not match GSTIN; ","")&amp;IF(AND(AX691&lt;&gt;"",AX691&lt;&gt;"OK"),"TAN wrong format; ","")&amp;IF(AS691="","PAN missing; ","")&amp;IF(BB691="","Entity type missing; ","")&amp;IF(AND(AZ691&lt;&gt;"",COUNTIF($AZ$6:$AZ$1005,AZ691)&gt;1),"GSTIN repeated in this sheet; ","")&amp;IF(AND(AS691&lt;&gt;"",COUNTIF($AS$6:$AS$1005,AS691)&gt;1),"PAN repeated in this sheet (same client? put extra GSTINs in Other GSTINs); ","")&amp;IF(AND(BD691&gt;0,V691=""),"Financial year missing; ","")&amp;IF(AND(BD691=0,V691&lt;&gt;""),"Financial year given but no service is Yes; ","")&amp;IF(AND(W691="Yes",AZ691=""),"GST needs a GSTIN; ","")&amp;IF(AND(W691="Yes",X691=""),"GST return frequency missing; ","")&amp;IF(AND(Y691="Yes",TRIM(H691)=""),"TDS needs a TAN; ","")&amp;IF(AND(AA691="Yes",BC691&lt;&gt;"",BC691&lt;&gt;"company",BC691&lt;&gt;"llp"),"ROC is only for a company / LLP; ","")&amp;IF(AND(AA691="Yes",OR(BC691="company",BC691="llp"),TRIM(I691)=""),"ROC needs the CIN / LLPIN; ","")&amp;IF((TRIM(AF691)="")&lt;&gt;(TRIM(AG691)=""),"GST login needs both user ID and password; ","")&amp;IF((TRIM(AH691)="")&lt;&gt;(TRIM(AI691)=""),"Income-tax login needs both user ID and password; ","")&amp;IF((TRIM(AJ691)="")&lt;&gt;(TRIM(AK691)=""),"Income-tax login needs both user ID and password; ","")&amp;IF((TRIM(AL691)="")&lt;&gt;(TRIM(AM691)=""),"TRACES login needs both user ID and password; ","")&amp;IF((TRIM(AN691)="")&lt;&gt;(TRIM(AO691)=""),"MCA login needs both user ID and password; ","")&amp;IF((TRIM(AP691)="")&lt;&gt;(TRIM(AQ691)=""),"E-way bill login needs both user ID and password; ","")</f>
        <v/>
      </c>
    </row>
    <row r="692">
      <c r="A692" s="32" t="n"/>
      <c r="B692" s="33" t="n"/>
      <c r="C692" s="33" t="n"/>
      <c r="D692" s="33" t="n"/>
      <c r="E692" s="32" t="n"/>
      <c r="F692" s="32" t="n"/>
      <c r="G692" s="32" t="n"/>
      <c r="H692" s="32" t="n"/>
      <c r="I692" s="32" t="n"/>
      <c r="J692" s="34" t="n"/>
      <c r="K692" s="33" t="n"/>
      <c r="L692" s="32" t="n"/>
      <c r="M692" s="33" t="n"/>
      <c r="N692" s="33" t="n"/>
      <c r="O692" s="33" t="n"/>
      <c r="P692" s="32" t="n"/>
      <c r="Q692" s="33" t="n"/>
      <c r="R692" s="33" t="n"/>
      <c r="S692" s="33" t="n"/>
      <c r="T692" s="33" t="n"/>
      <c r="U692" s="32" t="n"/>
      <c r="V692" s="33" t="n"/>
      <c r="W692" s="33" t="n"/>
      <c r="X692" s="33" t="n"/>
      <c r="Y692" s="33" t="n"/>
      <c r="Z692" s="33" t="n"/>
      <c r="AA692" s="33" t="n"/>
      <c r="AB692" s="33" t="n"/>
      <c r="AC692" s="33" t="n"/>
      <c r="AD692" s="33" t="n"/>
      <c r="AE692" s="33" t="n"/>
      <c r="AF692" s="32" t="n"/>
      <c r="AG692" s="32" t="n"/>
      <c r="AH692" s="32" t="n"/>
      <c r="AI692" s="32" t="n"/>
      <c r="AJ692" s="32" t="n"/>
      <c r="AK692" s="32" t="n"/>
      <c r="AL692" s="32" t="n"/>
      <c r="AM692" s="32" t="n"/>
      <c r="AN692" s="32" t="n"/>
      <c r="AO692" s="32" t="n"/>
      <c r="AP692" s="32" t="n"/>
      <c r="AQ692" s="32" t="n"/>
      <c r="AR692" s="29">
        <f>IF(NOT(COUNTA(A692:AE692)&gt;0),"",IF(A692="","New client","Update"))</f>
        <v/>
      </c>
      <c r="AS692" s="29">
        <f>IF(BA692&lt;&gt;"",BA692,IF(LEN(AZ692)=15,MID(AZ692,3,10),""))</f>
        <v/>
      </c>
      <c r="AT692" s="29">
        <f>IF(BB692="","",BB692&amp;IF(D692="","  (guessed from PAN)",""))</f>
        <v/>
      </c>
      <c r="AU692" s="29">
        <f>IF(AZ692="","",IFERROR(INDEX(Lists!$L$2:$L$38,MATCH(LEFT(AZ692,2),Lists!$K$2:$K$38,0)),"Unknown code"))</f>
        <v/>
      </c>
      <c r="AV692" s="29">
        <f>IF(AZ692="","",IFERROR(IF(NOT(AND(LEN(AZ692)=15,ISNUMBER(MATCH(LEFT(AZ692,2),Lists!$K$2:$K$38,0)),SUMPRODUCT(--ISERROR(FIND(MID(MID(AZ692,3,10),{1,2,3,4,5,10},1),"ABCDEFGHIJKLMNOPQRSTUVWXYZ")))=0,SUMPRODUCT(--ISERROR(FIND(MID(MID(AZ692,3,10),{6,7,8,9},1),"0123456789")))=0,ISNUMBER(FIND(MID(AZ692,13,1),"123456789ABCDEFGHIJKLMNOPQRSTUVWXYZ")),MID(AZ692,14,1)="Z")),"Wrong format",IF(MID("0123456789ABCDEFGHIJKLMNOPQRSTUVWXYZ",MOD(36-MOD(SUMPRODUCT(INT((FIND(MID(AZ692,{1,2,3,4,5,6,7,8,9,10,11,12,13,14},1),"0123456789ABCDEFGHIJKLMNOPQRSTUVWXYZ")-1)*{1,2,1,2,1,2,1,2,1,2,1,2,1,2}/36)+MOD((FIND(MID(AZ692,{1,2,3,4,5,6,7,8,9,10,11,12,13,14},1),"0123456789ABCDEFGHIJKLMNOPQRSTUVWXYZ")-1)*{1,2,1,2,1,2,1,2,1,2,1,2,1,2},36)),36),36)+1,1)=MID(AZ692,15,1),"OK","Typo? check digit wrong")),"Wrong format"))</f>
        <v/>
      </c>
      <c r="AW692" s="29">
        <f>IF(BA692="","",IF(AND(LEN(BA692)=10,SUMPRODUCT(--ISERROR(FIND(MID(BA692,{1,2,3,4,5,10},1),"ABCDEFGHIJKLMNOPQRSTUVWXYZ")))=0,SUMPRODUCT(--ISERROR(FIND(MID(BA692,{6,7,8,9},1),"0123456789")))=0),"OK","Wrong format"))</f>
        <v/>
      </c>
      <c r="AX692" s="29">
        <f>IF(TRIM(H692)="","",IF(AND(LEN(UPPER(TRIM(H692)))=10,SUMPRODUCT(--ISERROR(FIND(MID(UPPER(TRIM(H692)),{1,2,3,4,10},1),"ABCDEFGHIJKLMNOPQRSTUVWXYZ")))=0,SUMPRODUCT(--ISERROR(FIND(MID(UPPER(TRIM(H692)),{5,6,7,8,9},1),"0123456789")))=0),"OK","Wrong format"))</f>
        <v/>
      </c>
      <c r="AY692" s="30">
        <f>IF(NOT(COUNTA(A692:AE692)&gt;0),"",IF(BE692&lt;&gt;"","✖ "&amp;LEFT(BE692,LEN(BE692)-2),IF(BD692&gt;0,"✔ Ready — client + "&amp;BD692&amp;" service(s)","✔ Ready — client only")))</f>
        <v/>
      </c>
      <c r="AZ692" s="31">
        <f>UPPER(SUBSTITUTE(TRIM(F692)," ",""))</f>
        <v/>
      </c>
      <c r="BA692" s="31">
        <f>UPPER(SUBSTITUTE(TRIM(E692)," ",""))</f>
        <v/>
      </c>
      <c r="BB692" s="31">
        <f>IF(D692&lt;&gt;"",D692,IFERROR(VLOOKUP(MID(AS692,4,1),Lists!$E$2:$F$8,2,FALSE),""))</f>
        <v/>
      </c>
      <c r="BC692" s="31">
        <f>IFERROR(VLOOKUP(BB692,Lists!$A$2:$C$12,3,FALSE),"")</f>
        <v/>
      </c>
      <c r="BD692" s="31">
        <f>COUNTIF(W692:AC692,"Yes")</f>
        <v/>
      </c>
      <c r="BE692" s="31">
        <f>IF(TRIM(B692)="","Legal name missing; ","")&amp;IF(AND(AV692&lt;&gt;"",AV692&lt;&gt;"OK"),"GSTIN: "&amp;AV692&amp;"; ","")&amp;IF(AND(AW692&lt;&gt;"",AW692&lt;&gt;"OK"),"PAN wrong format; ","")&amp;IF(AND(BA692&lt;&gt;"",LEN(AZ692)=15,MID(AZ692,3,10)&lt;&gt;BA692),"PAN does not match GSTIN; ","")&amp;IF(AND(AX692&lt;&gt;"",AX692&lt;&gt;"OK"),"TAN wrong format; ","")&amp;IF(AS692="","PAN missing; ","")&amp;IF(BB692="","Entity type missing; ","")&amp;IF(AND(AZ692&lt;&gt;"",COUNTIF($AZ$6:$AZ$1005,AZ692)&gt;1),"GSTIN repeated in this sheet; ","")&amp;IF(AND(AS692&lt;&gt;"",COUNTIF($AS$6:$AS$1005,AS692)&gt;1),"PAN repeated in this sheet (same client? put extra GSTINs in Other GSTINs); ","")&amp;IF(AND(BD692&gt;0,V692=""),"Financial year missing; ","")&amp;IF(AND(BD692=0,V692&lt;&gt;""),"Financial year given but no service is Yes; ","")&amp;IF(AND(W692="Yes",AZ692=""),"GST needs a GSTIN; ","")&amp;IF(AND(W692="Yes",X692=""),"GST return frequency missing; ","")&amp;IF(AND(Y692="Yes",TRIM(H692)=""),"TDS needs a TAN; ","")&amp;IF(AND(AA692="Yes",BC692&lt;&gt;"",BC692&lt;&gt;"company",BC692&lt;&gt;"llp"),"ROC is only for a company / LLP; ","")&amp;IF(AND(AA692="Yes",OR(BC692="company",BC692="llp"),TRIM(I692)=""),"ROC needs the CIN / LLPIN; ","")&amp;IF((TRIM(AF692)="")&lt;&gt;(TRIM(AG692)=""),"GST login needs both user ID and password; ","")&amp;IF((TRIM(AH692)="")&lt;&gt;(TRIM(AI692)=""),"Income-tax login needs both user ID and password; ","")&amp;IF((TRIM(AJ692)="")&lt;&gt;(TRIM(AK692)=""),"Income-tax login needs both user ID and password; ","")&amp;IF((TRIM(AL692)="")&lt;&gt;(TRIM(AM692)=""),"TRACES login needs both user ID and password; ","")&amp;IF((TRIM(AN692)="")&lt;&gt;(TRIM(AO692)=""),"MCA login needs both user ID and password; ","")&amp;IF((TRIM(AP692)="")&lt;&gt;(TRIM(AQ692)=""),"E-way bill login needs both user ID and password; ","")</f>
        <v/>
      </c>
    </row>
    <row r="693">
      <c r="A693" s="32" t="n"/>
      <c r="B693" s="33" t="n"/>
      <c r="C693" s="33" t="n"/>
      <c r="D693" s="33" t="n"/>
      <c r="E693" s="32" t="n"/>
      <c r="F693" s="32" t="n"/>
      <c r="G693" s="32" t="n"/>
      <c r="H693" s="32" t="n"/>
      <c r="I693" s="32" t="n"/>
      <c r="J693" s="34" t="n"/>
      <c r="K693" s="33" t="n"/>
      <c r="L693" s="32" t="n"/>
      <c r="M693" s="33" t="n"/>
      <c r="N693" s="33" t="n"/>
      <c r="O693" s="33" t="n"/>
      <c r="P693" s="32" t="n"/>
      <c r="Q693" s="33" t="n"/>
      <c r="R693" s="33" t="n"/>
      <c r="S693" s="33" t="n"/>
      <c r="T693" s="33" t="n"/>
      <c r="U693" s="32" t="n"/>
      <c r="V693" s="33" t="n"/>
      <c r="W693" s="33" t="n"/>
      <c r="X693" s="33" t="n"/>
      <c r="Y693" s="33" t="n"/>
      <c r="Z693" s="33" t="n"/>
      <c r="AA693" s="33" t="n"/>
      <c r="AB693" s="33" t="n"/>
      <c r="AC693" s="33" t="n"/>
      <c r="AD693" s="33" t="n"/>
      <c r="AE693" s="33" t="n"/>
      <c r="AF693" s="32" t="n"/>
      <c r="AG693" s="32" t="n"/>
      <c r="AH693" s="32" t="n"/>
      <c r="AI693" s="32" t="n"/>
      <c r="AJ693" s="32" t="n"/>
      <c r="AK693" s="32" t="n"/>
      <c r="AL693" s="32" t="n"/>
      <c r="AM693" s="32" t="n"/>
      <c r="AN693" s="32" t="n"/>
      <c r="AO693" s="32" t="n"/>
      <c r="AP693" s="32" t="n"/>
      <c r="AQ693" s="32" t="n"/>
      <c r="AR693" s="29">
        <f>IF(NOT(COUNTA(A693:AE693)&gt;0),"",IF(A693="","New client","Update"))</f>
        <v/>
      </c>
      <c r="AS693" s="29">
        <f>IF(BA693&lt;&gt;"",BA693,IF(LEN(AZ693)=15,MID(AZ693,3,10),""))</f>
        <v/>
      </c>
      <c r="AT693" s="29">
        <f>IF(BB693="","",BB693&amp;IF(D693="","  (guessed from PAN)",""))</f>
        <v/>
      </c>
      <c r="AU693" s="29">
        <f>IF(AZ693="","",IFERROR(INDEX(Lists!$L$2:$L$38,MATCH(LEFT(AZ693,2),Lists!$K$2:$K$38,0)),"Unknown code"))</f>
        <v/>
      </c>
      <c r="AV693" s="29">
        <f>IF(AZ693="","",IFERROR(IF(NOT(AND(LEN(AZ693)=15,ISNUMBER(MATCH(LEFT(AZ693,2),Lists!$K$2:$K$38,0)),SUMPRODUCT(--ISERROR(FIND(MID(MID(AZ693,3,10),{1,2,3,4,5,10},1),"ABCDEFGHIJKLMNOPQRSTUVWXYZ")))=0,SUMPRODUCT(--ISERROR(FIND(MID(MID(AZ693,3,10),{6,7,8,9},1),"0123456789")))=0,ISNUMBER(FIND(MID(AZ693,13,1),"123456789ABCDEFGHIJKLMNOPQRSTUVWXYZ")),MID(AZ693,14,1)="Z")),"Wrong format",IF(MID("0123456789ABCDEFGHIJKLMNOPQRSTUVWXYZ",MOD(36-MOD(SUMPRODUCT(INT((FIND(MID(AZ693,{1,2,3,4,5,6,7,8,9,10,11,12,13,14},1),"0123456789ABCDEFGHIJKLMNOPQRSTUVWXYZ")-1)*{1,2,1,2,1,2,1,2,1,2,1,2,1,2}/36)+MOD((FIND(MID(AZ693,{1,2,3,4,5,6,7,8,9,10,11,12,13,14},1),"0123456789ABCDEFGHIJKLMNOPQRSTUVWXYZ")-1)*{1,2,1,2,1,2,1,2,1,2,1,2,1,2},36)),36),36)+1,1)=MID(AZ693,15,1),"OK","Typo? check digit wrong")),"Wrong format"))</f>
        <v/>
      </c>
      <c r="AW693" s="29">
        <f>IF(BA693="","",IF(AND(LEN(BA693)=10,SUMPRODUCT(--ISERROR(FIND(MID(BA693,{1,2,3,4,5,10},1),"ABCDEFGHIJKLMNOPQRSTUVWXYZ")))=0,SUMPRODUCT(--ISERROR(FIND(MID(BA693,{6,7,8,9},1),"0123456789")))=0),"OK","Wrong format"))</f>
        <v/>
      </c>
      <c r="AX693" s="29">
        <f>IF(TRIM(H693)="","",IF(AND(LEN(UPPER(TRIM(H693)))=10,SUMPRODUCT(--ISERROR(FIND(MID(UPPER(TRIM(H693)),{1,2,3,4,10},1),"ABCDEFGHIJKLMNOPQRSTUVWXYZ")))=0,SUMPRODUCT(--ISERROR(FIND(MID(UPPER(TRIM(H693)),{5,6,7,8,9},1),"0123456789")))=0),"OK","Wrong format"))</f>
        <v/>
      </c>
      <c r="AY693" s="30">
        <f>IF(NOT(COUNTA(A693:AE693)&gt;0),"",IF(BE693&lt;&gt;"","✖ "&amp;LEFT(BE693,LEN(BE693)-2),IF(BD693&gt;0,"✔ Ready — client + "&amp;BD693&amp;" service(s)","✔ Ready — client only")))</f>
        <v/>
      </c>
      <c r="AZ693" s="31">
        <f>UPPER(SUBSTITUTE(TRIM(F693)," ",""))</f>
        <v/>
      </c>
      <c r="BA693" s="31">
        <f>UPPER(SUBSTITUTE(TRIM(E693)," ",""))</f>
        <v/>
      </c>
      <c r="BB693" s="31">
        <f>IF(D693&lt;&gt;"",D693,IFERROR(VLOOKUP(MID(AS693,4,1),Lists!$E$2:$F$8,2,FALSE),""))</f>
        <v/>
      </c>
      <c r="BC693" s="31">
        <f>IFERROR(VLOOKUP(BB693,Lists!$A$2:$C$12,3,FALSE),"")</f>
        <v/>
      </c>
      <c r="BD693" s="31">
        <f>COUNTIF(W693:AC693,"Yes")</f>
        <v/>
      </c>
      <c r="BE693" s="31">
        <f>IF(TRIM(B693)="","Legal name missing; ","")&amp;IF(AND(AV693&lt;&gt;"",AV693&lt;&gt;"OK"),"GSTIN: "&amp;AV693&amp;"; ","")&amp;IF(AND(AW693&lt;&gt;"",AW693&lt;&gt;"OK"),"PAN wrong format; ","")&amp;IF(AND(BA693&lt;&gt;"",LEN(AZ693)=15,MID(AZ693,3,10)&lt;&gt;BA693),"PAN does not match GSTIN; ","")&amp;IF(AND(AX693&lt;&gt;"",AX693&lt;&gt;"OK"),"TAN wrong format; ","")&amp;IF(AS693="","PAN missing; ","")&amp;IF(BB693="","Entity type missing; ","")&amp;IF(AND(AZ693&lt;&gt;"",COUNTIF($AZ$6:$AZ$1005,AZ693)&gt;1),"GSTIN repeated in this sheet; ","")&amp;IF(AND(AS693&lt;&gt;"",COUNTIF($AS$6:$AS$1005,AS693)&gt;1),"PAN repeated in this sheet (same client? put extra GSTINs in Other GSTINs); ","")&amp;IF(AND(BD693&gt;0,V693=""),"Financial year missing; ","")&amp;IF(AND(BD693=0,V693&lt;&gt;""),"Financial year given but no service is Yes; ","")&amp;IF(AND(W693="Yes",AZ693=""),"GST needs a GSTIN; ","")&amp;IF(AND(W693="Yes",X693=""),"GST return frequency missing; ","")&amp;IF(AND(Y693="Yes",TRIM(H693)=""),"TDS needs a TAN; ","")&amp;IF(AND(AA693="Yes",BC693&lt;&gt;"",BC693&lt;&gt;"company",BC693&lt;&gt;"llp"),"ROC is only for a company / LLP; ","")&amp;IF(AND(AA693="Yes",OR(BC693="company",BC693="llp"),TRIM(I693)=""),"ROC needs the CIN / LLPIN; ","")&amp;IF((TRIM(AF693)="")&lt;&gt;(TRIM(AG693)=""),"GST login needs both user ID and password; ","")&amp;IF((TRIM(AH693)="")&lt;&gt;(TRIM(AI693)=""),"Income-tax login needs both user ID and password; ","")&amp;IF((TRIM(AJ693)="")&lt;&gt;(TRIM(AK693)=""),"Income-tax login needs both user ID and password; ","")&amp;IF((TRIM(AL693)="")&lt;&gt;(TRIM(AM693)=""),"TRACES login needs both user ID and password; ","")&amp;IF((TRIM(AN693)="")&lt;&gt;(TRIM(AO693)=""),"MCA login needs both user ID and password; ","")&amp;IF((TRIM(AP693)="")&lt;&gt;(TRIM(AQ693)=""),"E-way bill login needs both user ID and password; ","")</f>
        <v/>
      </c>
    </row>
    <row r="694">
      <c r="A694" s="32" t="n"/>
      <c r="B694" s="33" t="n"/>
      <c r="C694" s="33" t="n"/>
      <c r="D694" s="33" t="n"/>
      <c r="E694" s="32" t="n"/>
      <c r="F694" s="32" t="n"/>
      <c r="G694" s="32" t="n"/>
      <c r="H694" s="32" t="n"/>
      <c r="I694" s="32" t="n"/>
      <c r="J694" s="34" t="n"/>
      <c r="K694" s="33" t="n"/>
      <c r="L694" s="32" t="n"/>
      <c r="M694" s="33" t="n"/>
      <c r="N694" s="33" t="n"/>
      <c r="O694" s="33" t="n"/>
      <c r="P694" s="32" t="n"/>
      <c r="Q694" s="33" t="n"/>
      <c r="R694" s="33" t="n"/>
      <c r="S694" s="33" t="n"/>
      <c r="T694" s="33" t="n"/>
      <c r="U694" s="32" t="n"/>
      <c r="V694" s="33" t="n"/>
      <c r="W694" s="33" t="n"/>
      <c r="X694" s="33" t="n"/>
      <c r="Y694" s="33" t="n"/>
      <c r="Z694" s="33" t="n"/>
      <c r="AA694" s="33" t="n"/>
      <c r="AB694" s="33" t="n"/>
      <c r="AC694" s="33" t="n"/>
      <c r="AD694" s="33" t="n"/>
      <c r="AE694" s="33" t="n"/>
      <c r="AF694" s="32" t="n"/>
      <c r="AG694" s="32" t="n"/>
      <c r="AH694" s="32" t="n"/>
      <c r="AI694" s="32" t="n"/>
      <c r="AJ694" s="32" t="n"/>
      <c r="AK694" s="32" t="n"/>
      <c r="AL694" s="32" t="n"/>
      <c r="AM694" s="32" t="n"/>
      <c r="AN694" s="32" t="n"/>
      <c r="AO694" s="32" t="n"/>
      <c r="AP694" s="32" t="n"/>
      <c r="AQ694" s="32" t="n"/>
      <c r="AR694" s="29">
        <f>IF(NOT(COUNTA(A694:AE694)&gt;0),"",IF(A694="","New client","Update"))</f>
        <v/>
      </c>
      <c r="AS694" s="29">
        <f>IF(BA694&lt;&gt;"",BA694,IF(LEN(AZ694)=15,MID(AZ694,3,10),""))</f>
        <v/>
      </c>
      <c r="AT694" s="29">
        <f>IF(BB694="","",BB694&amp;IF(D694="","  (guessed from PAN)",""))</f>
        <v/>
      </c>
      <c r="AU694" s="29">
        <f>IF(AZ694="","",IFERROR(INDEX(Lists!$L$2:$L$38,MATCH(LEFT(AZ694,2),Lists!$K$2:$K$38,0)),"Unknown code"))</f>
        <v/>
      </c>
      <c r="AV694" s="29">
        <f>IF(AZ694="","",IFERROR(IF(NOT(AND(LEN(AZ694)=15,ISNUMBER(MATCH(LEFT(AZ694,2),Lists!$K$2:$K$38,0)),SUMPRODUCT(--ISERROR(FIND(MID(MID(AZ694,3,10),{1,2,3,4,5,10},1),"ABCDEFGHIJKLMNOPQRSTUVWXYZ")))=0,SUMPRODUCT(--ISERROR(FIND(MID(MID(AZ694,3,10),{6,7,8,9},1),"0123456789")))=0,ISNUMBER(FIND(MID(AZ694,13,1),"123456789ABCDEFGHIJKLMNOPQRSTUVWXYZ")),MID(AZ694,14,1)="Z")),"Wrong format",IF(MID("0123456789ABCDEFGHIJKLMNOPQRSTUVWXYZ",MOD(36-MOD(SUMPRODUCT(INT((FIND(MID(AZ694,{1,2,3,4,5,6,7,8,9,10,11,12,13,14},1),"0123456789ABCDEFGHIJKLMNOPQRSTUVWXYZ")-1)*{1,2,1,2,1,2,1,2,1,2,1,2,1,2}/36)+MOD((FIND(MID(AZ694,{1,2,3,4,5,6,7,8,9,10,11,12,13,14},1),"0123456789ABCDEFGHIJKLMNOPQRSTUVWXYZ")-1)*{1,2,1,2,1,2,1,2,1,2,1,2,1,2},36)),36),36)+1,1)=MID(AZ694,15,1),"OK","Typo? check digit wrong")),"Wrong format"))</f>
        <v/>
      </c>
      <c r="AW694" s="29">
        <f>IF(BA694="","",IF(AND(LEN(BA694)=10,SUMPRODUCT(--ISERROR(FIND(MID(BA694,{1,2,3,4,5,10},1),"ABCDEFGHIJKLMNOPQRSTUVWXYZ")))=0,SUMPRODUCT(--ISERROR(FIND(MID(BA694,{6,7,8,9},1),"0123456789")))=0),"OK","Wrong format"))</f>
        <v/>
      </c>
      <c r="AX694" s="29">
        <f>IF(TRIM(H694)="","",IF(AND(LEN(UPPER(TRIM(H694)))=10,SUMPRODUCT(--ISERROR(FIND(MID(UPPER(TRIM(H694)),{1,2,3,4,10},1),"ABCDEFGHIJKLMNOPQRSTUVWXYZ")))=0,SUMPRODUCT(--ISERROR(FIND(MID(UPPER(TRIM(H694)),{5,6,7,8,9},1),"0123456789")))=0),"OK","Wrong format"))</f>
        <v/>
      </c>
      <c r="AY694" s="30">
        <f>IF(NOT(COUNTA(A694:AE694)&gt;0),"",IF(BE694&lt;&gt;"","✖ "&amp;LEFT(BE694,LEN(BE694)-2),IF(BD694&gt;0,"✔ Ready — client + "&amp;BD694&amp;" service(s)","✔ Ready — client only")))</f>
        <v/>
      </c>
      <c r="AZ694" s="31">
        <f>UPPER(SUBSTITUTE(TRIM(F694)," ",""))</f>
        <v/>
      </c>
      <c r="BA694" s="31">
        <f>UPPER(SUBSTITUTE(TRIM(E694)," ",""))</f>
        <v/>
      </c>
      <c r="BB694" s="31">
        <f>IF(D694&lt;&gt;"",D694,IFERROR(VLOOKUP(MID(AS694,4,1),Lists!$E$2:$F$8,2,FALSE),""))</f>
        <v/>
      </c>
      <c r="BC694" s="31">
        <f>IFERROR(VLOOKUP(BB694,Lists!$A$2:$C$12,3,FALSE),"")</f>
        <v/>
      </c>
      <c r="BD694" s="31">
        <f>COUNTIF(W694:AC694,"Yes")</f>
        <v/>
      </c>
      <c r="BE694" s="31">
        <f>IF(TRIM(B694)="","Legal name missing; ","")&amp;IF(AND(AV694&lt;&gt;"",AV694&lt;&gt;"OK"),"GSTIN: "&amp;AV694&amp;"; ","")&amp;IF(AND(AW694&lt;&gt;"",AW694&lt;&gt;"OK"),"PAN wrong format; ","")&amp;IF(AND(BA694&lt;&gt;"",LEN(AZ694)=15,MID(AZ694,3,10)&lt;&gt;BA694),"PAN does not match GSTIN; ","")&amp;IF(AND(AX694&lt;&gt;"",AX694&lt;&gt;"OK"),"TAN wrong format; ","")&amp;IF(AS694="","PAN missing; ","")&amp;IF(BB694="","Entity type missing; ","")&amp;IF(AND(AZ694&lt;&gt;"",COUNTIF($AZ$6:$AZ$1005,AZ694)&gt;1),"GSTIN repeated in this sheet; ","")&amp;IF(AND(AS694&lt;&gt;"",COUNTIF($AS$6:$AS$1005,AS694)&gt;1),"PAN repeated in this sheet (same client? put extra GSTINs in Other GSTINs); ","")&amp;IF(AND(BD694&gt;0,V694=""),"Financial year missing; ","")&amp;IF(AND(BD694=0,V694&lt;&gt;""),"Financial year given but no service is Yes; ","")&amp;IF(AND(W694="Yes",AZ694=""),"GST needs a GSTIN; ","")&amp;IF(AND(W694="Yes",X694=""),"GST return frequency missing; ","")&amp;IF(AND(Y694="Yes",TRIM(H694)=""),"TDS needs a TAN; ","")&amp;IF(AND(AA694="Yes",BC694&lt;&gt;"",BC694&lt;&gt;"company",BC694&lt;&gt;"llp"),"ROC is only for a company / LLP; ","")&amp;IF(AND(AA694="Yes",OR(BC694="company",BC694="llp"),TRIM(I694)=""),"ROC needs the CIN / LLPIN; ","")&amp;IF((TRIM(AF694)="")&lt;&gt;(TRIM(AG694)=""),"GST login needs both user ID and password; ","")&amp;IF((TRIM(AH694)="")&lt;&gt;(TRIM(AI694)=""),"Income-tax login needs both user ID and password; ","")&amp;IF((TRIM(AJ694)="")&lt;&gt;(TRIM(AK694)=""),"Income-tax login needs both user ID and password; ","")&amp;IF((TRIM(AL694)="")&lt;&gt;(TRIM(AM694)=""),"TRACES login needs both user ID and password; ","")&amp;IF((TRIM(AN694)="")&lt;&gt;(TRIM(AO694)=""),"MCA login needs both user ID and password; ","")&amp;IF((TRIM(AP694)="")&lt;&gt;(TRIM(AQ694)=""),"E-way bill login needs both user ID and password; ","")</f>
        <v/>
      </c>
    </row>
    <row r="695">
      <c r="A695" s="32" t="n"/>
      <c r="B695" s="33" t="n"/>
      <c r="C695" s="33" t="n"/>
      <c r="D695" s="33" t="n"/>
      <c r="E695" s="32" t="n"/>
      <c r="F695" s="32" t="n"/>
      <c r="G695" s="32" t="n"/>
      <c r="H695" s="32" t="n"/>
      <c r="I695" s="32" t="n"/>
      <c r="J695" s="34" t="n"/>
      <c r="K695" s="33" t="n"/>
      <c r="L695" s="32" t="n"/>
      <c r="M695" s="33" t="n"/>
      <c r="N695" s="33" t="n"/>
      <c r="O695" s="33" t="n"/>
      <c r="P695" s="32" t="n"/>
      <c r="Q695" s="33" t="n"/>
      <c r="R695" s="33" t="n"/>
      <c r="S695" s="33" t="n"/>
      <c r="T695" s="33" t="n"/>
      <c r="U695" s="32" t="n"/>
      <c r="V695" s="33" t="n"/>
      <c r="W695" s="33" t="n"/>
      <c r="X695" s="33" t="n"/>
      <c r="Y695" s="33" t="n"/>
      <c r="Z695" s="33" t="n"/>
      <c r="AA695" s="33" t="n"/>
      <c r="AB695" s="33" t="n"/>
      <c r="AC695" s="33" t="n"/>
      <c r="AD695" s="33" t="n"/>
      <c r="AE695" s="33" t="n"/>
      <c r="AF695" s="32" t="n"/>
      <c r="AG695" s="32" t="n"/>
      <c r="AH695" s="32" t="n"/>
      <c r="AI695" s="32" t="n"/>
      <c r="AJ695" s="32" t="n"/>
      <c r="AK695" s="32" t="n"/>
      <c r="AL695" s="32" t="n"/>
      <c r="AM695" s="32" t="n"/>
      <c r="AN695" s="32" t="n"/>
      <c r="AO695" s="32" t="n"/>
      <c r="AP695" s="32" t="n"/>
      <c r="AQ695" s="32" t="n"/>
      <c r="AR695" s="29">
        <f>IF(NOT(COUNTA(A695:AE695)&gt;0),"",IF(A695="","New client","Update"))</f>
        <v/>
      </c>
      <c r="AS695" s="29">
        <f>IF(BA695&lt;&gt;"",BA695,IF(LEN(AZ695)=15,MID(AZ695,3,10),""))</f>
        <v/>
      </c>
      <c r="AT695" s="29">
        <f>IF(BB695="","",BB695&amp;IF(D695="","  (guessed from PAN)",""))</f>
        <v/>
      </c>
      <c r="AU695" s="29">
        <f>IF(AZ695="","",IFERROR(INDEX(Lists!$L$2:$L$38,MATCH(LEFT(AZ695,2),Lists!$K$2:$K$38,0)),"Unknown code"))</f>
        <v/>
      </c>
      <c r="AV695" s="29">
        <f>IF(AZ695="","",IFERROR(IF(NOT(AND(LEN(AZ695)=15,ISNUMBER(MATCH(LEFT(AZ695,2),Lists!$K$2:$K$38,0)),SUMPRODUCT(--ISERROR(FIND(MID(MID(AZ695,3,10),{1,2,3,4,5,10},1),"ABCDEFGHIJKLMNOPQRSTUVWXYZ")))=0,SUMPRODUCT(--ISERROR(FIND(MID(MID(AZ695,3,10),{6,7,8,9},1),"0123456789")))=0,ISNUMBER(FIND(MID(AZ695,13,1),"123456789ABCDEFGHIJKLMNOPQRSTUVWXYZ")),MID(AZ695,14,1)="Z")),"Wrong format",IF(MID("0123456789ABCDEFGHIJKLMNOPQRSTUVWXYZ",MOD(36-MOD(SUMPRODUCT(INT((FIND(MID(AZ695,{1,2,3,4,5,6,7,8,9,10,11,12,13,14},1),"0123456789ABCDEFGHIJKLMNOPQRSTUVWXYZ")-1)*{1,2,1,2,1,2,1,2,1,2,1,2,1,2}/36)+MOD((FIND(MID(AZ695,{1,2,3,4,5,6,7,8,9,10,11,12,13,14},1),"0123456789ABCDEFGHIJKLMNOPQRSTUVWXYZ")-1)*{1,2,1,2,1,2,1,2,1,2,1,2,1,2},36)),36),36)+1,1)=MID(AZ695,15,1),"OK","Typo? check digit wrong")),"Wrong format"))</f>
        <v/>
      </c>
      <c r="AW695" s="29">
        <f>IF(BA695="","",IF(AND(LEN(BA695)=10,SUMPRODUCT(--ISERROR(FIND(MID(BA695,{1,2,3,4,5,10},1),"ABCDEFGHIJKLMNOPQRSTUVWXYZ")))=0,SUMPRODUCT(--ISERROR(FIND(MID(BA695,{6,7,8,9},1),"0123456789")))=0),"OK","Wrong format"))</f>
        <v/>
      </c>
      <c r="AX695" s="29">
        <f>IF(TRIM(H695)="","",IF(AND(LEN(UPPER(TRIM(H695)))=10,SUMPRODUCT(--ISERROR(FIND(MID(UPPER(TRIM(H695)),{1,2,3,4,10},1),"ABCDEFGHIJKLMNOPQRSTUVWXYZ")))=0,SUMPRODUCT(--ISERROR(FIND(MID(UPPER(TRIM(H695)),{5,6,7,8,9},1),"0123456789")))=0),"OK","Wrong format"))</f>
        <v/>
      </c>
      <c r="AY695" s="30">
        <f>IF(NOT(COUNTA(A695:AE695)&gt;0),"",IF(BE695&lt;&gt;"","✖ "&amp;LEFT(BE695,LEN(BE695)-2),IF(BD695&gt;0,"✔ Ready — client + "&amp;BD695&amp;" service(s)","✔ Ready — client only")))</f>
        <v/>
      </c>
      <c r="AZ695" s="31">
        <f>UPPER(SUBSTITUTE(TRIM(F695)," ",""))</f>
        <v/>
      </c>
      <c r="BA695" s="31">
        <f>UPPER(SUBSTITUTE(TRIM(E695)," ",""))</f>
        <v/>
      </c>
      <c r="BB695" s="31">
        <f>IF(D695&lt;&gt;"",D695,IFERROR(VLOOKUP(MID(AS695,4,1),Lists!$E$2:$F$8,2,FALSE),""))</f>
        <v/>
      </c>
      <c r="BC695" s="31">
        <f>IFERROR(VLOOKUP(BB695,Lists!$A$2:$C$12,3,FALSE),"")</f>
        <v/>
      </c>
      <c r="BD695" s="31">
        <f>COUNTIF(W695:AC695,"Yes")</f>
        <v/>
      </c>
      <c r="BE695" s="31">
        <f>IF(TRIM(B695)="","Legal name missing; ","")&amp;IF(AND(AV695&lt;&gt;"",AV695&lt;&gt;"OK"),"GSTIN: "&amp;AV695&amp;"; ","")&amp;IF(AND(AW695&lt;&gt;"",AW695&lt;&gt;"OK"),"PAN wrong format; ","")&amp;IF(AND(BA695&lt;&gt;"",LEN(AZ695)=15,MID(AZ695,3,10)&lt;&gt;BA695),"PAN does not match GSTIN; ","")&amp;IF(AND(AX695&lt;&gt;"",AX695&lt;&gt;"OK"),"TAN wrong format; ","")&amp;IF(AS695="","PAN missing; ","")&amp;IF(BB695="","Entity type missing; ","")&amp;IF(AND(AZ695&lt;&gt;"",COUNTIF($AZ$6:$AZ$1005,AZ695)&gt;1),"GSTIN repeated in this sheet; ","")&amp;IF(AND(AS695&lt;&gt;"",COUNTIF($AS$6:$AS$1005,AS695)&gt;1),"PAN repeated in this sheet (same client? put extra GSTINs in Other GSTINs); ","")&amp;IF(AND(BD695&gt;0,V695=""),"Financial year missing; ","")&amp;IF(AND(BD695=0,V695&lt;&gt;""),"Financial year given but no service is Yes; ","")&amp;IF(AND(W695="Yes",AZ695=""),"GST needs a GSTIN; ","")&amp;IF(AND(W695="Yes",X695=""),"GST return frequency missing; ","")&amp;IF(AND(Y695="Yes",TRIM(H695)=""),"TDS needs a TAN; ","")&amp;IF(AND(AA695="Yes",BC695&lt;&gt;"",BC695&lt;&gt;"company",BC695&lt;&gt;"llp"),"ROC is only for a company / LLP; ","")&amp;IF(AND(AA695="Yes",OR(BC695="company",BC695="llp"),TRIM(I695)=""),"ROC needs the CIN / LLPIN; ","")&amp;IF((TRIM(AF695)="")&lt;&gt;(TRIM(AG695)=""),"GST login needs both user ID and password; ","")&amp;IF((TRIM(AH695)="")&lt;&gt;(TRIM(AI695)=""),"Income-tax login needs both user ID and password; ","")&amp;IF((TRIM(AJ695)="")&lt;&gt;(TRIM(AK695)=""),"Income-tax login needs both user ID and password; ","")&amp;IF((TRIM(AL695)="")&lt;&gt;(TRIM(AM695)=""),"TRACES login needs both user ID and password; ","")&amp;IF((TRIM(AN695)="")&lt;&gt;(TRIM(AO695)=""),"MCA login needs both user ID and password; ","")&amp;IF((TRIM(AP695)="")&lt;&gt;(TRIM(AQ695)=""),"E-way bill login needs both user ID and password; ","")</f>
        <v/>
      </c>
    </row>
    <row r="696">
      <c r="A696" s="32" t="n"/>
      <c r="B696" s="33" t="n"/>
      <c r="C696" s="33" t="n"/>
      <c r="D696" s="33" t="n"/>
      <c r="E696" s="32" t="n"/>
      <c r="F696" s="32" t="n"/>
      <c r="G696" s="32" t="n"/>
      <c r="H696" s="32" t="n"/>
      <c r="I696" s="32" t="n"/>
      <c r="J696" s="34" t="n"/>
      <c r="K696" s="33" t="n"/>
      <c r="L696" s="32" t="n"/>
      <c r="M696" s="33" t="n"/>
      <c r="N696" s="33" t="n"/>
      <c r="O696" s="33" t="n"/>
      <c r="P696" s="32" t="n"/>
      <c r="Q696" s="33" t="n"/>
      <c r="R696" s="33" t="n"/>
      <c r="S696" s="33" t="n"/>
      <c r="T696" s="33" t="n"/>
      <c r="U696" s="32" t="n"/>
      <c r="V696" s="33" t="n"/>
      <c r="W696" s="33" t="n"/>
      <c r="X696" s="33" t="n"/>
      <c r="Y696" s="33" t="n"/>
      <c r="Z696" s="33" t="n"/>
      <c r="AA696" s="33" t="n"/>
      <c r="AB696" s="33" t="n"/>
      <c r="AC696" s="33" t="n"/>
      <c r="AD696" s="33" t="n"/>
      <c r="AE696" s="33" t="n"/>
      <c r="AF696" s="32" t="n"/>
      <c r="AG696" s="32" t="n"/>
      <c r="AH696" s="32" t="n"/>
      <c r="AI696" s="32" t="n"/>
      <c r="AJ696" s="32" t="n"/>
      <c r="AK696" s="32" t="n"/>
      <c r="AL696" s="32" t="n"/>
      <c r="AM696" s="32" t="n"/>
      <c r="AN696" s="32" t="n"/>
      <c r="AO696" s="32" t="n"/>
      <c r="AP696" s="32" t="n"/>
      <c r="AQ696" s="32" t="n"/>
      <c r="AR696" s="29">
        <f>IF(NOT(COUNTA(A696:AE696)&gt;0),"",IF(A696="","New client","Update"))</f>
        <v/>
      </c>
      <c r="AS696" s="29">
        <f>IF(BA696&lt;&gt;"",BA696,IF(LEN(AZ696)=15,MID(AZ696,3,10),""))</f>
        <v/>
      </c>
      <c r="AT696" s="29">
        <f>IF(BB696="","",BB696&amp;IF(D696="","  (guessed from PAN)",""))</f>
        <v/>
      </c>
      <c r="AU696" s="29">
        <f>IF(AZ696="","",IFERROR(INDEX(Lists!$L$2:$L$38,MATCH(LEFT(AZ696,2),Lists!$K$2:$K$38,0)),"Unknown code"))</f>
        <v/>
      </c>
      <c r="AV696" s="29">
        <f>IF(AZ696="","",IFERROR(IF(NOT(AND(LEN(AZ696)=15,ISNUMBER(MATCH(LEFT(AZ696,2),Lists!$K$2:$K$38,0)),SUMPRODUCT(--ISERROR(FIND(MID(MID(AZ696,3,10),{1,2,3,4,5,10},1),"ABCDEFGHIJKLMNOPQRSTUVWXYZ")))=0,SUMPRODUCT(--ISERROR(FIND(MID(MID(AZ696,3,10),{6,7,8,9},1),"0123456789")))=0,ISNUMBER(FIND(MID(AZ696,13,1),"123456789ABCDEFGHIJKLMNOPQRSTUVWXYZ")),MID(AZ696,14,1)="Z")),"Wrong format",IF(MID("0123456789ABCDEFGHIJKLMNOPQRSTUVWXYZ",MOD(36-MOD(SUMPRODUCT(INT((FIND(MID(AZ696,{1,2,3,4,5,6,7,8,9,10,11,12,13,14},1),"0123456789ABCDEFGHIJKLMNOPQRSTUVWXYZ")-1)*{1,2,1,2,1,2,1,2,1,2,1,2,1,2}/36)+MOD((FIND(MID(AZ696,{1,2,3,4,5,6,7,8,9,10,11,12,13,14},1),"0123456789ABCDEFGHIJKLMNOPQRSTUVWXYZ")-1)*{1,2,1,2,1,2,1,2,1,2,1,2,1,2},36)),36),36)+1,1)=MID(AZ696,15,1),"OK","Typo? check digit wrong")),"Wrong format"))</f>
        <v/>
      </c>
      <c r="AW696" s="29">
        <f>IF(BA696="","",IF(AND(LEN(BA696)=10,SUMPRODUCT(--ISERROR(FIND(MID(BA696,{1,2,3,4,5,10},1),"ABCDEFGHIJKLMNOPQRSTUVWXYZ")))=0,SUMPRODUCT(--ISERROR(FIND(MID(BA696,{6,7,8,9},1),"0123456789")))=0),"OK","Wrong format"))</f>
        <v/>
      </c>
      <c r="AX696" s="29">
        <f>IF(TRIM(H696)="","",IF(AND(LEN(UPPER(TRIM(H696)))=10,SUMPRODUCT(--ISERROR(FIND(MID(UPPER(TRIM(H696)),{1,2,3,4,10},1),"ABCDEFGHIJKLMNOPQRSTUVWXYZ")))=0,SUMPRODUCT(--ISERROR(FIND(MID(UPPER(TRIM(H696)),{5,6,7,8,9},1),"0123456789")))=0),"OK","Wrong format"))</f>
        <v/>
      </c>
      <c r="AY696" s="30">
        <f>IF(NOT(COUNTA(A696:AE696)&gt;0),"",IF(BE696&lt;&gt;"","✖ "&amp;LEFT(BE696,LEN(BE696)-2),IF(BD696&gt;0,"✔ Ready — client + "&amp;BD696&amp;" service(s)","✔ Ready — client only")))</f>
        <v/>
      </c>
      <c r="AZ696" s="31">
        <f>UPPER(SUBSTITUTE(TRIM(F696)," ",""))</f>
        <v/>
      </c>
      <c r="BA696" s="31">
        <f>UPPER(SUBSTITUTE(TRIM(E696)," ",""))</f>
        <v/>
      </c>
      <c r="BB696" s="31">
        <f>IF(D696&lt;&gt;"",D696,IFERROR(VLOOKUP(MID(AS696,4,1),Lists!$E$2:$F$8,2,FALSE),""))</f>
        <v/>
      </c>
      <c r="BC696" s="31">
        <f>IFERROR(VLOOKUP(BB696,Lists!$A$2:$C$12,3,FALSE),"")</f>
        <v/>
      </c>
      <c r="BD696" s="31">
        <f>COUNTIF(W696:AC696,"Yes")</f>
        <v/>
      </c>
      <c r="BE696" s="31">
        <f>IF(TRIM(B696)="","Legal name missing; ","")&amp;IF(AND(AV696&lt;&gt;"",AV696&lt;&gt;"OK"),"GSTIN: "&amp;AV696&amp;"; ","")&amp;IF(AND(AW696&lt;&gt;"",AW696&lt;&gt;"OK"),"PAN wrong format; ","")&amp;IF(AND(BA696&lt;&gt;"",LEN(AZ696)=15,MID(AZ696,3,10)&lt;&gt;BA696),"PAN does not match GSTIN; ","")&amp;IF(AND(AX696&lt;&gt;"",AX696&lt;&gt;"OK"),"TAN wrong format; ","")&amp;IF(AS696="","PAN missing; ","")&amp;IF(BB696="","Entity type missing; ","")&amp;IF(AND(AZ696&lt;&gt;"",COUNTIF($AZ$6:$AZ$1005,AZ696)&gt;1),"GSTIN repeated in this sheet; ","")&amp;IF(AND(AS696&lt;&gt;"",COUNTIF($AS$6:$AS$1005,AS696)&gt;1),"PAN repeated in this sheet (same client? put extra GSTINs in Other GSTINs); ","")&amp;IF(AND(BD696&gt;0,V696=""),"Financial year missing; ","")&amp;IF(AND(BD696=0,V696&lt;&gt;""),"Financial year given but no service is Yes; ","")&amp;IF(AND(W696="Yes",AZ696=""),"GST needs a GSTIN; ","")&amp;IF(AND(W696="Yes",X696=""),"GST return frequency missing; ","")&amp;IF(AND(Y696="Yes",TRIM(H696)=""),"TDS needs a TAN; ","")&amp;IF(AND(AA696="Yes",BC696&lt;&gt;"",BC696&lt;&gt;"company",BC696&lt;&gt;"llp"),"ROC is only for a company / LLP; ","")&amp;IF(AND(AA696="Yes",OR(BC696="company",BC696="llp"),TRIM(I696)=""),"ROC needs the CIN / LLPIN; ","")&amp;IF((TRIM(AF696)="")&lt;&gt;(TRIM(AG696)=""),"GST login needs both user ID and password; ","")&amp;IF((TRIM(AH696)="")&lt;&gt;(TRIM(AI696)=""),"Income-tax login needs both user ID and password; ","")&amp;IF((TRIM(AJ696)="")&lt;&gt;(TRIM(AK696)=""),"Income-tax login needs both user ID and password; ","")&amp;IF((TRIM(AL696)="")&lt;&gt;(TRIM(AM696)=""),"TRACES login needs both user ID and password; ","")&amp;IF((TRIM(AN696)="")&lt;&gt;(TRIM(AO696)=""),"MCA login needs both user ID and password; ","")&amp;IF((TRIM(AP696)="")&lt;&gt;(TRIM(AQ696)=""),"E-way bill login needs both user ID and password; ","")</f>
        <v/>
      </c>
    </row>
    <row r="697">
      <c r="A697" s="32" t="n"/>
      <c r="B697" s="33" t="n"/>
      <c r="C697" s="33" t="n"/>
      <c r="D697" s="33" t="n"/>
      <c r="E697" s="32" t="n"/>
      <c r="F697" s="32" t="n"/>
      <c r="G697" s="32" t="n"/>
      <c r="H697" s="32" t="n"/>
      <c r="I697" s="32" t="n"/>
      <c r="J697" s="34" t="n"/>
      <c r="K697" s="33" t="n"/>
      <c r="L697" s="32" t="n"/>
      <c r="M697" s="33" t="n"/>
      <c r="N697" s="33" t="n"/>
      <c r="O697" s="33" t="n"/>
      <c r="P697" s="32" t="n"/>
      <c r="Q697" s="33" t="n"/>
      <c r="R697" s="33" t="n"/>
      <c r="S697" s="33" t="n"/>
      <c r="T697" s="33" t="n"/>
      <c r="U697" s="32" t="n"/>
      <c r="V697" s="33" t="n"/>
      <c r="W697" s="33" t="n"/>
      <c r="X697" s="33" t="n"/>
      <c r="Y697" s="33" t="n"/>
      <c r="Z697" s="33" t="n"/>
      <c r="AA697" s="33" t="n"/>
      <c r="AB697" s="33" t="n"/>
      <c r="AC697" s="33" t="n"/>
      <c r="AD697" s="33" t="n"/>
      <c r="AE697" s="33" t="n"/>
      <c r="AF697" s="32" t="n"/>
      <c r="AG697" s="32" t="n"/>
      <c r="AH697" s="32" t="n"/>
      <c r="AI697" s="32" t="n"/>
      <c r="AJ697" s="32" t="n"/>
      <c r="AK697" s="32" t="n"/>
      <c r="AL697" s="32" t="n"/>
      <c r="AM697" s="32" t="n"/>
      <c r="AN697" s="32" t="n"/>
      <c r="AO697" s="32" t="n"/>
      <c r="AP697" s="32" t="n"/>
      <c r="AQ697" s="32" t="n"/>
      <c r="AR697" s="29">
        <f>IF(NOT(COUNTA(A697:AE697)&gt;0),"",IF(A697="","New client","Update"))</f>
        <v/>
      </c>
      <c r="AS697" s="29">
        <f>IF(BA697&lt;&gt;"",BA697,IF(LEN(AZ697)=15,MID(AZ697,3,10),""))</f>
        <v/>
      </c>
      <c r="AT697" s="29">
        <f>IF(BB697="","",BB697&amp;IF(D697="","  (guessed from PAN)",""))</f>
        <v/>
      </c>
      <c r="AU697" s="29">
        <f>IF(AZ697="","",IFERROR(INDEX(Lists!$L$2:$L$38,MATCH(LEFT(AZ697,2),Lists!$K$2:$K$38,0)),"Unknown code"))</f>
        <v/>
      </c>
      <c r="AV697" s="29">
        <f>IF(AZ697="","",IFERROR(IF(NOT(AND(LEN(AZ697)=15,ISNUMBER(MATCH(LEFT(AZ697,2),Lists!$K$2:$K$38,0)),SUMPRODUCT(--ISERROR(FIND(MID(MID(AZ697,3,10),{1,2,3,4,5,10},1),"ABCDEFGHIJKLMNOPQRSTUVWXYZ")))=0,SUMPRODUCT(--ISERROR(FIND(MID(MID(AZ697,3,10),{6,7,8,9},1),"0123456789")))=0,ISNUMBER(FIND(MID(AZ697,13,1),"123456789ABCDEFGHIJKLMNOPQRSTUVWXYZ")),MID(AZ697,14,1)="Z")),"Wrong format",IF(MID("0123456789ABCDEFGHIJKLMNOPQRSTUVWXYZ",MOD(36-MOD(SUMPRODUCT(INT((FIND(MID(AZ697,{1,2,3,4,5,6,7,8,9,10,11,12,13,14},1),"0123456789ABCDEFGHIJKLMNOPQRSTUVWXYZ")-1)*{1,2,1,2,1,2,1,2,1,2,1,2,1,2}/36)+MOD((FIND(MID(AZ697,{1,2,3,4,5,6,7,8,9,10,11,12,13,14},1),"0123456789ABCDEFGHIJKLMNOPQRSTUVWXYZ")-1)*{1,2,1,2,1,2,1,2,1,2,1,2,1,2},36)),36),36)+1,1)=MID(AZ697,15,1),"OK","Typo? check digit wrong")),"Wrong format"))</f>
        <v/>
      </c>
      <c r="AW697" s="29">
        <f>IF(BA697="","",IF(AND(LEN(BA697)=10,SUMPRODUCT(--ISERROR(FIND(MID(BA697,{1,2,3,4,5,10},1),"ABCDEFGHIJKLMNOPQRSTUVWXYZ")))=0,SUMPRODUCT(--ISERROR(FIND(MID(BA697,{6,7,8,9},1),"0123456789")))=0),"OK","Wrong format"))</f>
        <v/>
      </c>
      <c r="AX697" s="29">
        <f>IF(TRIM(H697)="","",IF(AND(LEN(UPPER(TRIM(H697)))=10,SUMPRODUCT(--ISERROR(FIND(MID(UPPER(TRIM(H697)),{1,2,3,4,10},1),"ABCDEFGHIJKLMNOPQRSTUVWXYZ")))=0,SUMPRODUCT(--ISERROR(FIND(MID(UPPER(TRIM(H697)),{5,6,7,8,9},1),"0123456789")))=0),"OK","Wrong format"))</f>
        <v/>
      </c>
      <c r="AY697" s="30">
        <f>IF(NOT(COUNTA(A697:AE697)&gt;0),"",IF(BE697&lt;&gt;"","✖ "&amp;LEFT(BE697,LEN(BE697)-2),IF(BD697&gt;0,"✔ Ready — client + "&amp;BD697&amp;" service(s)","✔ Ready — client only")))</f>
        <v/>
      </c>
      <c r="AZ697" s="31">
        <f>UPPER(SUBSTITUTE(TRIM(F697)," ",""))</f>
        <v/>
      </c>
      <c r="BA697" s="31">
        <f>UPPER(SUBSTITUTE(TRIM(E697)," ",""))</f>
        <v/>
      </c>
      <c r="BB697" s="31">
        <f>IF(D697&lt;&gt;"",D697,IFERROR(VLOOKUP(MID(AS697,4,1),Lists!$E$2:$F$8,2,FALSE),""))</f>
        <v/>
      </c>
      <c r="BC697" s="31">
        <f>IFERROR(VLOOKUP(BB697,Lists!$A$2:$C$12,3,FALSE),"")</f>
        <v/>
      </c>
      <c r="BD697" s="31">
        <f>COUNTIF(W697:AC697,"Yes")</f>
        <v/>
      </c>
      <c r="BE697" s="31">
        <f>IF(TRIM(B697)="","Legal name missing; ","")&amp;IF(AND(AV697&lt;&gt;"",AV697&lt;&gt;"OK"),"GSTIN: "&amp;AV697&amp;"; ","")&amp;IF(AND(AW697&lt;&gt;"",AW697&lt;&gt;"OK"),"PAN wrong format; ","")&amp;IF(AND(BA697&lt;&gt;"",LEN(AZ697)=15,MID(AZ697,3,10)&lt;&gt;BA697),"PAN does not match GSTIN; ","")&amp;IF(AND(AX697&lt;&gt;"",AX697&lt;&gt;"OK"),"TAN wrong format; ","")&amp;IF(AS697="","PAN missing; ","")&amp;IF(BB697="","Entity type missing; ","")&amp;IF(AND(AZ697&lt;&gt;"",COUNTIF($AZ$6:$AZ$1005,AZ697)&gt;1),"GSTIN repeated in this sheet; ","")&amp;IF(AND(AS697&lt;&gt;"",COUNTIF($AS$6:$AS$1005,AS697)&gt;1),"PAN repeated in this sheet (same client? put extra GSTINs in Other GSTINs); ","")&amp;IF(AND(BD697&gt;0,V697=""),"Financial year missing; ","")&amp;IF(AND(BD697=0,V697&lt;&gt;""),"Financial year given but no service is Yes; ","")&amp;IF(AND(W697="Yes",AZ697=""),"GST needs a GSTIN; ","")&amp;IF(AND(W697="Yes",X697=""),"GST return frequency missing; ","")&amp;IF(AND(Y697="Yes",TRIM(H697)=""),"TDS needs a TAN; ","")&amp;IF(AND(AA697="Yes",BC697&lt;&gt;"",BC697&lt;&gt;"company",BC697&lt;&gt;"llp"),"ROC is only for a company / LLP; ","")&amp;IF(AND(AA697="Yes",OR(BC697="company",BC697="llp"),TRIM(I697)=""),"ROC needs the CIN / LLPIN; ","")&amp;IF((TRIM(AF697)="")&lt;&gt;(TRIM(AG697)=""),"GST login needs both user ID and password; ","")&amp;IF((TRIM(AH697)="")&lt;&gt;(TRIM(AI697)=""),"Income-tax login needs both user ID and password; ","")&amp;IF((TRIM(AJ697)="")&lt;&gt;(TRIM(AK697)=""),"Income-tax login needs both user ID and password; ","")&amp;IF((TRIM(AL697)="")&lt;&gt;(TRIM(AM697)=""),"TRACES login needs both user ID and password; ","")&amp;IF((TRIM(AN697)="")&lt;&gt;(TRIM(AO697)=""),"MCA login needs both user ID and password; ","")&amp;IF((TRIM(AP697)="")&lt;&gt;(TRIM(AQ697)=""),"E-way bill login needs both user ID and password; ","")</f>
        <v/>
      </c>
    </row>
    <row r="698">
      <c r="A698" s="32" t="n"/>
      <c r="B698" s="33" t="n"/>
      <c r="C698" s="33" t="n"/>
      <c r="D698" s="33" t="n"/>
      <c r="E698" s="32" t="n"/>
      <c r="F698" s="32" t="n"/>
      <c r="G698" s="32" t="n"/>
      <c r="H698" s="32" t="n"/>
      <c r="I698" s="32" t="n"/>
      <c r="J698" s="34" t="n"/>
      <c r="K698" s="33" t="n"/>
      <c r="L698" s="32" t="n"/>
      <c r="M698" s="33" t="n"/>
      <c r="N698" s="33" t="n"/>
      <c r="O698" s="33" t="n"/>
      <c r="P698" s="32" t="n"/>
      <c r="Q698" s="33" t="n"/>
      <c r="R698" s="33" t="n"/>
      <c r="S698" s="33" t="n"/>
      <c r="T698" s="33" t="n"/>
      <c r="U698" s="32" t="n"/>
      <c r="V698" s="33" t="n"/>
      <c r="W698" s="33" t="n"/>
      <c r="X698" s="33" t="n"/>
      <c r="Y698" s="33" t="n"/>
      <c r="Z698" s="33" t="n"/>
      <c r="AA698" s="33" t="n"/>
      <c r="AB698" s="33" t="n"/>
      <c r="AC698" s="33" t="n"/>
      <c r="AD698" s="33" t="n"/>
      <c r="AE698" s="33" t="n"/>
      <c r="AF698" s="32" t="n"/>
      <c r="AG698" s="32" t="n"/>
      <c r="AH698" s="32" t="n"/>
      <c r="AI698" s="32" t="n"/>
      <c r="AJ698" s="32" t="n"/>
      <c r="AK698" s="32" t="n"/>
      <c r="AL698" s="32" t="n"/>
      <c r="AM698" s="32" t="n"/>
      <c r="AN698" s="32" t="n"/>
      <c r="AO698" s="32" t="n"/>
      <c r="AP698" s="32" t="n"/>
      <c r="AQ698" s="32" t="n"/>
      <c r="AR698" s="29">
        <f>IF(NOT(COUNTA(A698:AE698)&gt;0),"",IF(A698="","New client","Update"))</f>
        <v/>
      </c>
      <c r="AS698" s="29">
        <f>IF(BA698&lt;&gt;"",BA698,IF(LEN(AZ698)=15,MID(AZ698,3,10),""))</f>
        <v/>
      </c>
      <c r="AT698" s="29">
        <f>IF(BB698="","",BB698&amp;IF(D698="","  (guessed from PAN)",""))</f>
        <v/>
      </c>
      <c r="AU698" s="29">
        <f>IF(AZ698="","",IFERROR(INDEX(Lists!$L$2:$L$38,MATCH(LEFT(AZ698,2),Lists!$K$2:$K$38,0)),"Unknown code"))</f>
        <v/>
      </c>
      <c r="AV698" s="29">
        <f>IF(AZ698="","",IFERROR(IF(NOT(AND(LEN(AZ698)=15,ISNUMBER(MATCH(LEFT(AZ698,2),Lists!$K$2:$K$38,0)),SUMPRODUCT(--ISERROR(FIND(MID(MID(AZ698,3,10),{1,2,3,4,5,10},1),"ABCDEFGHIJKLMNOPQRSTUVWXYZ")))=0,SUMPRODUCT(--ISERROR(FIND(MID(MID(AZ698,3,10),{6,7,8,9},1),"0123456789")))=0,ISNUMBER(FIND(MID(AZ698,13,1),"123456789ABCDEFGHIJKLMNOPQRSTUVWXYZ")),MID(AZ698,14,1)="Z")),"Wrong format",IF(MID("0123456789ABCDEFGHIJKLMNOPQRSTUVWXYZ",MOD(36-MOD(SUMPRODUCT(INT((FIND(MID(AZ698,{1,2,3,4,5,6,7,8,9,10,11,12,13,14},1),"0123456789ABCDEFGHIJKLMNOPQRSTUVWXYZ")-1)*{1,2,1,2,1,2,1,2,1,2,1,2,1,2}/36)+MOD((FIND(MID(AZ698,{1,2,3,4,5,6,7,8,9,10,11,12,13,14},1),"0123456789ABCDEFGHIJKLMNOPQRSTUVWXYZ")-1)*{1,2,1,2,1,2,1,2,1,2,1,2,1,2},36)),36),36)+1,1)=MID(AZ698,15,1),"OK","Typo? check digit wrong")),"Wrong format"))</f>
        <v/>
      </c>
      <c r="AW698" s="29">
        <f>IF(BA698="","",IF(AND(LEN(BA698)=10,SUMPRODUCT(--ISERROR(FIND(MID(BA698,{1,2,3,4,5,10},1),"ABCDEFGHIJKLMNOPQRSTUVWXYZ")))=0,SUMPRODUCT(--ISERROR(FIND(MID(BA698,{6,7,8,9},1),"0123456789")))=0),"OK","Wrong format"))</f>
        <v/>
      </c>
      <c r="AX698" s="29">
        <f>IF(TRIM(H698)="","",IF(AND(LEN(UPPER(TRIM(H698)))=10,SUMPRODUCT(--ISERROR(FIND(MID(UPPER(TRIM(H698)),{1,2,3,4,10},1),"ABCDEFGHIJKLMNOPQRSTUVWXYZ")))=0,SUMPRODUCT(--ISERROR(FIND(MID(UPPER(TRIM(H698)),{5,6,7,8,9},1),"0123456789")))=0),"OK","Wrong format"))</f>
        <v/>
      </c>
      <c r="AY698" s="30">
        <f>IF(NOT(COUNTA(A698:AE698)&gt;0),"",IF(BE698&lt;&gt;"","✖ "&amp;LEFT(BE698,LEN(BE698)-2),IF(BD698&gt;0,"✔ Ready — client + "&amp;BD698&amp;" service(s)","✔ Ready — client only")))</f>
        <v/>
      </c>
      <c r="AZ698" s="31">
        <f>UPPER(SUBSTITUTE(TRIM(F698)," ",""))</f>
        <v/>
      </c>
      <c r="BA698" s="31">
        <f>UPPER(SUBSTITUTE(TRIM(E698)," ",""))</f>
        <v/>
      </c>
      <c r="BB698" s="31">
        <f>IF(D698&lt;&gt;"",D698,IFERROR(VLOOKUP(MID(AS698,4,1),Lists!$E$2:$F$8,2,FALSE),""))</f>
        <v/>
      </c>
      <c r="BC698" s="31">
        <f>IFERROR(VLOOKUP(BB698,Lists!$A$2:$C$12,3,FALSE),"")</f>
        <v/>
      </c>
      <c r="BD698" s="31">
        <f>COUNTIF(W698:AC698,"Yes")</f>
        <v/>
      </c>
      <c r="BE698" s="31">
        <f>IF(TRIM(B698)="","Legal name missing; ","")&amp;IF(AND(AV698&lt;&gt;"",AV698&lt;&gt;"OK"),"GSTIN: "&amp;AV698&amp;"; ","")&amp;IF(AND(AW698&lt;&gt;"",AW698&lt;&gt;"OK"),"PAN wrong format; ","")&amp;IF(AND(BA698&lt;&gt;"",LEN(AZ698)=15,MID(AZ698,3,10)&lt;&gt;BA698),"PAN does not match GSTIN; ","")&amp;IF(AND(AX698&lt;&gt;"",AX698&lt;&gt;"OK"),"TAN wrong format; ","")&amp;IF(AS698="","PAN missing; ","")&amp;IF(BB698="","Entity type missing; ","")&amp;IF(AND(AZ698&lt;&gt;"",COUNTIF($AZ$6:$AZ$1005,AZ698)&gt;1),"GSTIN repeated in this sheet; ","")&amp;IF(AND(AS698&lt;&gt;"",COUNTIF($AS$6:$AS$1005,AS698)&gt;1),"PAN repeated in this sheet (same client? put extra GSTINs in Other GSTINs); ","")&amp;IF(AND(BD698&gt;0,V698=""),"Financial year missing; ","")&amp;IF(AND(BD698=0,V698&lt;&gt;""),"Financial year given but no service is Yes; ","")&amp;IF(AND(W698="Yes",AZ698=""),"GST needs a GSTIN; ","")&amp;IF(AND(W698="Yes",X698=""),"GST return frequency missing; ","")&amp;IF(AND(Y698="Yes",TRIM(H698)=""),"TDS needs a TAN; ","")&amp;IF(AND(AA698="Yes",BC698&lt;&gt;"",BC698&lt;&gt;"company",BC698&lt;&gt;"llp"),"ROC is only for a company / LLP; ","")&amp;IF(AND(AA698="Yes",OR(BC698="company",BC698="llp"),TRIM(I698)=""),"ROC needs the CIN / LLPIN; ","")&amp;IF((TRIM(AF698)="")&lt;&gt;(TRIM(AG698)=""),"GST login needs both user ID and password; ","")&amp;IF((TRIM(AH698)="")&lt;&gt;(TRIM(AI698)=""),"Income-tax login needs both user ID and password; ","")&amp;IF((TRIM(AJ698)="")&lt;&gt;(TRIM(AK698)=""),"Income-tax login needs both user ID and password; ","")&amp;IF((TRIM(AL698)="")&lt;&gt;(TRIM(AM698)=""),"TRACES login needs both user ID and password; ","")&amp;IF((TRIM(AN698)="")&lt;&gt;(TRIM(AO698)=""),"MCA login needs both user ID and password; ","")&amp;IF((TRIM(AP698)="")&lt;&gt;(TRIM(AQ698)=""),"E-way bill login needs both user ID and password; ","")</f>
        <v/>
      </c>
    </row>
    <row r="699">
      <c r="A699" s="32" t="n"/>
      <c r="B699" s="33" t="n"/>
      <c r="C699" s="33" t="n"/>
      <c r="D699" s="33" t="n"/>
      <c r="E699" s="32" t="n"/>
      <c r="F699" s="32" t="n"/>
      <c r="G699" s="32" t="n"/>
      <c r="H699" s="32" t="n"/>
      <c r="I699" s="32" t="n"/>
      <c r="J699" s="34" t="n"/>
      <c r="K699" s="33" t="n"/>
      <c r="L699" s="32" t="n"/>
      <c r="M699" s="33" t="n"/>
      <c r="N699" s="33" t="n"/>
      <c r="O699" s="33" t="n"/>
      <c r="P699" s="32" t="n"/>
      <c r="Q699" s="33" t="n"/>
      <c r="R699" s="33" t="n"/>
      <c r="S699" s="33" t="n"/>
      <c r="T699" s="33" t="n"/>
      <c r="U699" s="32" t="n"/>
      <c r="V699" s="33" t="n"/>
      <c r="W699" s="33" t="n"/>
      <c r="X699" s="33" t="n"/>
      <c r="Y699" s="33" t="n"/>
      <c r="Z699" s="33" t="n"/>
      <c r="AA699" s="33" t="n"/>
      <c r="AB699" s="33" t="n"/>
      <c r="AC699" s="33" t="n"/>
      <c r="AD699" s="33" t="n"/>
      <c r="AE699" s="33" t="n"/>
      <c r="AF699" s="32" t="n"/>
      <c r="AG699" s="32" t="n"/>
      <c r="AH699" s="32" t="n"/>
      <c r="AI699" s="32" t="n"/>
      <c r="AJ699" s="32" t="n"/>
      <c r="AK699" s="32" t="n"/>
      <c r="AL699" s="32" t="n"/>
      <c r="AM699" s="32" t="n"/>
      <c r="AN699" s="32" t="n"/>
      <c r="AO699" s="32" t="n"/>
      <c r="AP699" s="32" t="n"/>
      <c r="AQ699" s="32" t="n"/>
      <c r="AR699" s="29">
        <f>IF(NOT(COUNTA(A699:AE699)&gt;0),"",IF(A699="","New client","Update"))</f>
        <v/>
      </c>
      <c r="AS699" s="29">
        <f>IF(BA699&lt;&gt;"",BA699,IF(LEN(AZ699)=15,MID(AZ699,3,10),""))</f>
        <v/>
      </c>
      <c r="AT699" s="29">
        <f>IF(BB699="","",BB699&amp;IF(D699="","  (guessed from PAN)",""))</f>
        <v/>
      </c>
      <c r="AU699" s="29">
        <f>IF(AZ699="","",IFERROR(INDEX(Lists!$L$2:$L$38,MATCH(LEFT(AZ699,2),Lists!$K$2:$K$38,0)),"Unknown code"))</f>
        <v/>
      </c>
      <c r="AV699" s="29">
        <f>IF(AZ699="","",IFERROR(IF(NOT(AND(LEN(AZ699)=15,ISNUMBER(MATCH(LEFT(AZ699,2),Lists!$K$2:$K$38,0)),SUMPRODUCT(--ISERROR(FIND(MID(MID(AZ699,3,10),{1,2,3,4,5,10},1),"ABCDEFGHIJKLMNOPQRSTUVWXYZ")))=0,SUMPRODUCT(--ISERROR(FIND(MID(MID(AZ699,3,10),{6,7,8,9},1),"0123456789")))=0,ISNUMBER(FIND(MID(AZ699,13,1),"123456789ABCDEFGHIJKLMNOPQRSTUVWXYZ")),MID(AZ699,14,1)="Z")),"Wrong format",IF(MID("0123456789ABCDEFGHIJKLMNOPQRSTUVWXYZ",MOD(36-MOD(SUMPRODUCT(INT((FIND(MID(AZ699,{1,2,3,4,5,6,7,8,9,10,11,12,13,14},1),"0123456789ABCDEFGHIJKLMNOPQRSTUVWXYZ")-1)*{1,2,1,2,1,2,1,2,1,2,1,2,1,2}/36)+MOD((FIND(MID(AZ699,{1,2,3,4,5,6,7,8,9,10,11,12,13,14},1),"0123456789ABCDEFGHIJKLMNOPQRSTUVWXYZ")-1)*{1,2,1,2,1,2,1,2,1,2,1,2,1,2},36)),36),36)+1,1)=MID(AZ699,15,1),"OK","Typo? check digit wrong")),"Wrong format"))</f>
        <v/>
      </c>
      <c r="AW699" s="29">
        <f>IF(BA699="","",IF(AND(LEN(BA699)=10,SUMPRODUCT(--ISERROR(FIND(MID(BA699,{1,2,3,4,5,10},1),"ABCDEFGHIJKLMNOPQRSTUVWXYZ")))=0,SUMPRODUCT(--ISERROR(FIND(MID(BA699,{6,7,8,9},1),"0123456789")))=0),"OK","Wrong format"))</f>
        <v/>
      </c>
      <c r="AX699" s="29">
        <f>IF(TRIM(H699)="","",IF(AND(LEN(UPPER(TRIM(H699)))=10,SUMPRODUCT(--ISERROR(FIND(MID(UPPER(TRIM(H699)),{1,2,3,4,10},1),"ABCDEFGHIJKLMNOPQRSTUVWXYZ")))=0,SUMPRODUCT(--ISERROR(FIND(MID(UPPER(TRIM(H699)),{5,6,7,8,9},1),"0123456789")))=0),"OK","Wrong format"))</f>
        <v/>
      </c>
      <c r="AY699" s="30">
        <f>IF(NOT(COUNTA(A699:AE699)&gt;0),"",IF(BE699&lt;&gt;"","✖ "&amp;LEFT(BE699,LEN(BE699)-2),IF(BD699&gt;0,"✔ Ready — client + "&amp;BD699&amp;" service(s)","✔ Ready — client only")))</f>
        <v/>
      </c>
      <c r="AZ699" s="31">
        <f>UPPER(SUBSTITUTE(TRIM(F699)," ",""))</f>
        <v/>
      </c>
      <c r="BA699" s="31">
        <f>UPPER(SUBSTITUTE(TRIM(E699)," ",""))</f>
        <v/>
      </c>
      <c r="BB699" s="31">
        <f>IF(D699&lt;&gt;"",D699,IFERROR(VLOOKUP(MID(AS699,4,1),Lists!$E$2:$F$8,2,FALSE),""))</f>
        <v/>
      </c>
      <c r="BC699" s="31">
        <f>IFERROR(VLOOKUP(BB699,Lists!$A$2:$C$12,3,FALSE),"")</f>
        <v/>
      </c>
      <c r="BD699" s="31">
        <f>COUNTIF(W699:AC699,"Yes")</f>
        <v/>
      </c>
      <c r="BE699" s="31">
        <f>IF(TRIM(B699)="","Legal name missing; ","")&amp;IF(AND(AV699&lt;&gt;"",AV699&lt;&gt;"OK"),"GSTIN: "&amp;AV699&amp;"; ","")&amp;IF(AND(AW699&lt;&gt;"",AW699&lt;&gt;"OK"),"PAN wrong format; ","")&amp;IF(AND(BA699&lt;&gt;"",LEN(AZ699)=15,MID(AZ699,3,10)&lt;&gt;BA699),"PAN does not match GSTIN; ","")&amp;IF(AND(AX699&lt;&gt;"",AX699&lt;&gt;"OK"),"TAN wrong format; ","")&amp;IF(AS699="","PAN missing; ","")&amp;IF(BB699="","Entity type missing; ","")&amp;IF(AND(AZ699&lt;&gt;"",COUNTIF($AZ$6:$AZ$1005,AZ699)&gt;1),"GSTIN repeated in this sheet; ","")&amp;IF(AND(AS699&lt;&gt;"",COUNTIF($AS$6:$AS$1005,AS699)&gt;1),"PAN repeated in this sheet (same client? put extra GSTINs in Other GSTINs); ","")&amp;IF(AND(BD699&gt;0,V699=""),"Financial year missing; ","")&amp;IF(AND(BD699=0,V699&lt;&gt;""),"Financial year given but no service is Yes; ","")&amp;IF(AND(W699="Yes",AZ699=""),"GST needs a GSTIN; ","")&amp;IF(AND(W699="Yes",X699=""),"GST return frequency missing; ","")&amp;IF(AND(Y699="Yes",TRIM(H699)=""),"TDS needs a TAN; ","")&amp;IF(AND(AA699="Yes",BC699&lt;&gt;"",BC699&lt;&gt;"company",BC699&lt;&gt;"llp"),"ROC is only for a company / LLP; ","")&amp;IF(AND(AA699="Yes",OR(BC699="company",BC699="llp"),TRIM(I699)=""),"ROC needs the CIN / LLPIN; ","")&amp;IF((TRIM(AF699)="")&lt;&gt;(TRIM(AG699)=""),"GST login needs both user ID and password; ","")&amp;IF((TRIM(AH699)="")&lt;&gt;(TRIM(AI699)=""),"Income-tax login needs both user ID and password; ","")&amp;IF((TRIM(AJ699)="")&lt;&gt;(TRIM(AK699)=""),"Income-tax login needs both user ID and password; ","")&amp;IF((TRIM(AL699)="")&lt;&gt;(TRIM(AM699)=""),"TRACES login needs both user ID and password; ","")&amp;IF((TRIM(AN699)="")&lt;&gt;(TRIM(AO699)=""),"MCA login needs both user ID and password; ","")&amp;IF((TRIM(AP699)="")&lt;&gt;(TRIM(AQ699)=""),"E-way bill login needs both user ID and password; ","")</f>
        <v/>
      </c>
    </row>
    <row r="700">
      <c r="A700" s="32" t="n"/>
      <c r="B700" s="33" t="n"/>
      <c r="C700" s="33" t="n"/>
      <c r="D700" s="33" t="n"/>
      <c r="E700" s="32" t="n"/>
      <c r="F700" s="32" t="n"/>
      <c r="G700" s="32" t="n"/>
      <c r="H700" s="32" t="n"/>
      <c r="I700" s="32" t="n"/>
      <c r="J700" s="34" t="n"/>
      <c r="K700" s="33" t="n"/>
      <c r="L700" s="32" t="n"/>
      <c r="M700" s="33" t="n"/>
      <c r="N700" s="33" t="n"/>
      <c r="O700" s="33" t="n"/>
      <c r="P700" s="32" t="n"/>
      <c r="Q700" s="33" t="n"/>
      <c r="R700" s="33" t="n"/>
      <c r="S700" s="33" t="n"/>
      <c r="T700" s="33" t="n"/>
      <c r="U700" s="32" t="n"/>
      <c r="V700" s="33" t="n"/>
      <c r="W700" s="33" t="n"/>
      <c r="X700" s="33" t="n"/>
      <c r="Y700" s="33" t="n"/>
      <c r="Z700" s="33" t="n"/>
      <c r="AA700" s="33" t="n"/>
      <c r="AB700" s="33" t="n"/>
      <c r="AC700" s="33" t="n"/>
      <c r="AD700" s="33" t="n"/>
      <c r="AE700" s="33" t="n"/>
      <c r="AF700" s="32" t="n"/>
      <c r="AG700" s="32" t="n"/>
      <c r="AH700" s="32" t="n"/>
      <c r="AI700" s="32" t="n"/>
      <c r="AJ700" s="32" t="n"/>
      <c r="AK700" s="32" t="n"/>
      <c r="AL700" s="32" t="n"/>
      <c r="AM700" s="32" t="n"/>
      <c r="AN700" s="32" t="n"/>
      <c r="AO700" s="32" t="n"/>
      <c r="AP700" s="32" t="n"/>
      <c r="AQ700" s="32" t="n"/>
      <c r="AR700" s="29">
        <f>IF(NOT(COUNTA(A700:AE700)&gt;0),"",IF(A700="","New client","Update"))</f>
        <v/>
      </c>
      <c r="AS700" s="29">
        <f>IF(BA700&lt;&gt;"",BA700,IF(LEN(AZ700)=15,MID(AZ700,3,10),""))</f>
        <v/>
      </c>
      <c r="AT700" s="29">
        <f>IF(BB700="","",BB700&amp;IF(D700="","  (guessed from PAN)",""))</f>
        <v/>
      </c>
      <c r="AU700" s="29">
        <f>IF(AZ700="","",IFERROR(INDEX(Lists!$L$2:$L$38,MATCH(LEFT(AZ700,2),Lists!$K$2:$K$38,0)),"Unknown code"))</f>
        <v/>
      </c>
      <c r="AV700" s="29">
        <f>IF(AZ700="","",IFERROR(IF(NOT(AND(LEN(AZ700)=15,ISNUMBER(MATCH(LEFT(AZ700,2),Lists!$K$2:$K$38,0)),SUMPRODUCT(--ISERROR(FIND(MID(MID(AZ700,3,10),{1,2,3,4,5,10},1),"ABCDEFGHIJKLMNOPQRSTUVWXYZ")))=0,SUMPRODUCT(--ISERROR(FIND(MID(MID(AZ700,3,10),{6,7,8,9},1),"0123456789")))=0,ISNUMBER(FIND(MID(AZ700,13,1),"123456789ABCDEFGHIJKLMNOPQRSTUVWXYZ")),MID(AZ700,14,1)="Z")),"Wrong format",IF(MID("0123456789ABCDEFGHIJKLMNOPQRSTUVWXYZ",MOD(36-MOD(SUMPRODUCT(INT((FIND(MID(AZ700,{1,2,3,4,5,6,7,8,9,10,11,12,13,14},1),"0123456789ABCDEFGHIJKLMNOPQRSTUVWXYZ")-1)*{1,2,1,2,1,2,1,2,1,2,1,2,1,2}/36)+MOD((FIND(MID(AZ700,{1,2,3,4,5,6,7,8,9,10,11,12,13,14},1),"0123456789ABCDEFGHIJKLMNOPQRSTUVWXYZ")-1)*{1,2,1,2,1,2,1,2,1,2,1,2,1,2},36)),36),36)+1,1)=MID(AZ700,15,1),"OK","Typo? check digit wrong")),"Wrong format"))</f>
        <v/>
      </c>
      <c r="AW700" s="29">
        <f>IF(BA700="","",IF(AND(LEN(BA700)=10,SUMPRODUCT(--ISERROR(FIND(MID(BA700,{1,2,3,4,5,10},1),"ABCDEFGHIJKLMNOPQRSTUVWXYZ")))=0,SUMPRODUCT(--ISERROR(FIND(MID(BA700,{6,7,8,9},1),"0123456789")))=0),"OK","Wrong format"))</f>
        <v/>
      </c>
      <c r="AX700" s="29">
        <f>IF(TRIM(H700)="","",IF(AND(LEN(UPPER(TRIM(H700)))=10,SUMPRODUCT(--ISERROR(FIND(MID(UPPER(TRIM(H700)),{1,2,3,4,10},1),"ABCDEFGHIJKLMNOPQRSTUVWXYZ")))=0,SUMPRODUCT(--ISERROR(FIND(MID(UPPER(TRIM(H700)),{5,6,7,8,9},1),"0123456789")))=0),"OK","Wrong format"))</f>
        <v/>
      </c>
      <c r="AY700" s="30">
        <f>IF(NOT(COUNTA(A700:AE700)&gt;0),"",IF(BE700&lt;&gt;"","✖ "&amp;LEFT(BE700,LEN(BE700)-2),IF(BD700&gt;0,"✔ Ready — client + "&amp;BD700&amp;" service(s)","✔ Ready — client only")))</f>
        <v/>
      </c>
      <c r="AZ700" s="31">
        <f>UPPER(SUBSTITUTE(TRIM(F700)," ",""))</f>
        <v/>
      </c>
      <c r="BA700" s="31">
        <f>UPPER(SUBSTITUTE(TRIM(E700)," ",""))</f>
        <v/>
      </c>
      <c r="BB700" s="31">
        <f>IF(D700&lt;&gt;"",D700,IFERROR(VLOOKUP(MID(AS700,4,1),Lists!$E$2:$F$8,2,FALSE),""))</f>
        <v/>
      </c>
      <c r="BC700" s="31">
        <f>IFERROR(VLOOKUP(BB700,Lists!$A$2:$C$12,3,FALSE),"")</f>
        <v/>
      </c>
      <c r="BD700" s="31">
        <f>COUNTIF(W700:AC700,"Yes")</f>
        <v/>
      </c>
      <c r="BE700" s="31">
        <f>IF(TRIM(B700)="","Legal name missing; ","")&amp;IF(AND(AV700&lt;&gt;"",AV700&lt;&gt;"OK"),"GSTIN: "&amp;AV700&amp;"; ","")&amp;IF(AND(AW700&lt;&gt;"",AW700&lt;&gt;"OK"),"PAN wrong format; ","")&amp;IF(AND(BA700&lt;&gt;"",LEN(AZ700)=15,MID(AZ700,3,10)&lt;&gt;BA700),"PAN does not match GSTIN; ","")&amp;IF(AND(AX700&lt;&gt;"",AX700&lt;&gt;"OK"),"TAN wrong format; ","")&amp;IF(AS700="","PAN missing; ","")&amp;IF(BB700="","Entity type missing; ","")&amp;IF(AND(AZ700&lt;&gt;"",COUNTIF($AZ$6:$AZ$1005,AZ700)&gt;1),"GSTIN repeated in this sheet; ","")&amp;IF(AND(AS700&lt;&gt;"",COUNTIF($AS$6:$AS$1005,AS700)&gt;1),"PAN repeated in this sheet (same client? put extra GSTINs in Other GSTINs); ","")&amp;IF(AND(BD700&gt;0,V700=""),"Financial year missing; ","")&amp;IF(AND(BD700=0,V700&lt;&gt;""),"Financial year given but no service is Yes; ","")&amp;IF(AND(W700="Yes",AZ700=""),"GST needs a GSTIN; ","")&amp;IF(AND(W700="Yes",X700=""),"GST return frequency missing; ","")&amp;IF(AND(Y700="Yes",TRIM(H700)=""),"TDS needs a TAN; ","")&amp;IF(AND(AA700="Yes",BC700&lt;&gt;"",BC700&lt;&gt;"company",BC700&lt;&gt;"llp"),"ROC is only for a company / LLP; ","")&amp;IF(AND(AA700="Yes",OR(BC700="company",BC700="llp"),TRIM(I700)=""),"ROC needs the CIN / LLPIN; ","")&amp;IF((TRIM(AF700)="")&lt;&gt;(TRIM(AG700)=""),"GST login needs both user ID and password; ","")&amp;IF((TRIM(AH700)="")&lt;&gt;(TRIM(AI700)=""),"Income-tax login needs both user ID and password; ","")&amp;IF((TRIM(AJ700)="")&lt;&gt;(TRIM(AK700)=""),"Income-tax login needs both user ID and password; ","")&amp;IF((TRIM(AL700)="")&lt;&gt;(TRIM(AM700)=""),"TRACES login needs both user ID and password; ","")&amp;IF((TRIM(AN700)="")&lt;&gt;(TRIM(AO700)=""),"MCA login needs both user ID and password; ","")&amp;IF((TRIM(AP700)="")&lt;&gt;(TRIM(AQ700)=""),"E-way bill login needs both user ID and password; ","")</f>
        <v/>
      </c>
    </row>
    <row r="701">
      <c r="A701" s="32" t="n"/>
      <c r="B701" s="33" t="n"/>
      <c r="C701" s="33" t="n"/>
      <c r="D701" s="33" t="n"/>
      <c r="E701" s="32" t="n"/>
      <c r="F701" s="32" t="n"/>
      <c r="G701" s="32" t="n"/>
      <c r="H701" s="32" t="n"/>
      <c r="I701" s="32" t="n"/>
      <c r="J701" s="34" t="n"/>
      <c r="K701" s="33" t="n"/>
      <c r="L701" s="32" t="n"/>
      <c r="M701" s="33" t="n"/>
      <c r="N701" s="33" t="n"/>
      <c r="O701" s="33" t="n"/>
      <c r="P701" s="32" t="n"/>
      <c r="Q701" s="33" t="n"/>
      <c r="R701" s="33" t="n"/>
      <c r="S701" s="33" t="n"/>
      <c r="T701" s="33" t="n"/>
      <c r="U701" s="32" t="n"/>
      <c r="V701" s="33" t="n"/>
      <c r="W701" s="33" t="n"/>
      <c r="X701" s="33" t="n"/>
      <c r="Y701" s="33" t="n"/>
      <c r="Z701" s="33" t="n"/>
      <c r="AA701" s="33" t="n"/>
      <c r="AB701" s="33" t="n"/>
      <c r="AC701" s="33" t="n"/>
      <c r="AD701" s="33" t="n"/>
      <c r="AE701" s="33" t="n"/>
      <c r="AF701" s="32" t="n"/>
      <c r="AG701" s="32" t="n"/>
      <c r="AH701" s="32" t="n"/>
      <c r="AI701" s="32" t="n"/>
      <c r="AJ701" s="32" t="n"/>
      <c r="AK701" s="32" t="n"/>
      <c r="AL701" s="32" t="n"/>
      <c r="AM701" s="32" t="n"/>
      <c r="AN701" s="32" t="n"/>
      <c r="AO701" s="32" t="n"/>
      <c r="AP701" s="32" t="n"/>
      <c r="AQ701" s="32" t="n"/>
      <c r="AR701" s="29">
        <f>IF(NOT(COUNTA(A701:AE701)&gt;0),"",IF(A701="","New client","Update"))</f>
        <v/>
      </c>
      <c r="AS701" s="29">
        <f>IF(BA701&lt;&gt;"",BA701,IF(LEN(AZ701)=15,MID(AZ701,3,10),""))</f>
        <v/>
      </c>
      <c r="AT701" s="29">
        <f>IF(BB701="","",BB701&amp;IF(D701="","  (guessed from PAN)",""))</f>
        <v/>
      </c>
      <c r="AU701" s="29">
        <f>IF(AZ701="","",IFERROR(INDEX(Lists!$L$2:$L$38,MATCH(LEFT(AZ701,2),Lists!$K$2:$K$38,0)),"Unknown code"))</f>
        <v/>
      </c>
      <c r="AV701" s="29">
        <f>IF(AZ701="","",IFERROR(IF(NOT(AND(LEN(AZ701)=15,ISNUMBER(MATCH(LEFT(AZ701,2),Lists!$K$2:$K$38,0)),SUMPRODUCT(--ISERROR(FIND(MID(MID(AZ701,3,10),{1,2,3,4,5,10},1),"ABCDEFGHIJKLMNOPQRSTUVWXYZ")))=0,SUMPRODUCT(--ISERROR(FIND(MID(MID(AZ701,3,10),{6,7,8,9},1),"0123456789")))=0,ISNUMBER(FIND(MID(AZ701,13,1),"123456789ABCDEFGHIJKLMNOPQRSTUVWXYZ")),MID(AZ701,14,1)="Z")),"Wrong format",IF(MID("0123456789ABCDEFGHIJKLMNOPQRSTUVWXYZ",MOD(36-MOD(SUMPRODUCT(INT((FIND(MID(AZ701,{1,2,3,4,5,6,7,8,9,10,11,12,13,14},1),"0123456789ABCDEFGHIJKLMNOPQRSTUVWXYZ")-1)*{1,2,1,2,1,2,1,2,1,2,1,2,1,2}/36)+MOD((FIND(MID(AZ701,{1,2,3,4,5,6,7,8,9,10,11,12,13,14},1),"0123456789ABCDEFGHIJKLMNOPQRSTUVWXYZ")-1)*{1,2,1,2,1,2,1,2,1,2,1,2,1,2},36)),36),36)+1,1)=MID(AZ701,15,1),"OK","Typo? check digit wrong")),"Wrong format"))</f>
        <v/>
      </c>
      <c r="AW701" s="29">
        <f>IF(BA701="","",IF(AND(LEN(BA701)=10,SUMPRODUCT(--ISERROR(FIND(MID(BA701,{1,2,3,4,5,10},1),"ABCDEFGHIJKLMNOPQRSTUVWXYZ")))=0,SUMPRODUCT(--ISERROR(FIND(MID(BA701,{6,7,8,9},1),"0123456789")))=0),"OK","Wrong format"))</f>
        <v/>
      </c>
      <c r="AX701" s="29">
        <f>IF(TRIM(H701)="","",IF(AND(LEN(UPPER(TRIM(H701)))=10,SUMPRODUCT(--ISERROR(FIND(MID(UPPER(TRIM(H701)),{1,2,3,4,10},1),"ABCDEFGHIJKLMNOPQRSTUVWXYZ")))=0,SUMPRODUCT(--ISERROR(FIND(MID(UPPER(TRIM(H701)),{5,6,7,8,9},1),"0123456789")))=0),"OK","Wrong format"))</f>
        <v/>
      </c>
      <c r="AY701" s="30">
        <f>IF(NOT(COUNTA(A701:AE701)&gt;0),"",IF(BE701&lt;&gt;"","✖ "&amp;LEFT(BE701,LEN(BE701)-2),IF(BD701&gt;0,"✔ Ready — client + "&amp;BD701&amp;" service(s)","✔ Ready — client only")))</f>
        <v/>
      </c>
      <c r="AZ701" s="31">
        <f>UPPER(SUBSTITUTE(TRIM(F701)," ",""))</f>
        <v/>
      </c>
      <c r="BA701" s="31">
        <f>UPPER(SUBSTITUTE(TRIM(E701)," ",""))</f>
        <v/>
      </c>
      <c r="BB701" s="31">
        <f>IF(D701&lt;&gt;"",D701,IFERROR(VLOOKUP(MID(AS701,4,1),Lists!$E$2:$F$8,2,FALSE),""))</f>
        <v/>
      </c>
      <c r="BC701" s="31">
        <f>IFERROR(VLOOKUP(BB701,Lists!$A$2:$C$12,3,FALSE),"")</f>
        <v/>
      </c>
      <c r="BD701" s="31">
        <f>COUNTIF(W701:AC701,"Yes")</f>
        <v/>
      </c>
      <c r="BE701" s="31">
        <f>IF(TRIM(B701)="","Legal name missing; ","")&amp;IF(AND(AV701&lt;&gt;"",AV701&lt;&gt;"OK"),"GSTIN: "&amp;AV701&amp;"; ","")&amp;IF(AND(AW701&lt;&gt;"",AW701&lt;&gt;"OK"),"PAN wrong format; ","")&amp;IF(AND(BA701&lt;&gt;"",LEN(AZ701)=15,MID(AZ701,3,10)&lt;&gt;BA701),"PAN does not match GSTIN; ","")&amp;IF(AND(AX701&lt;&gt;"",AX701&lt;&gt;"OK"),"TAN wrong format; ","")&amp;IF(AS701="","PAN missing; ","")&amp;IF(BB701="","Entity type missing; ","")&amp;IF(AND(AZ701&lt;&gt;"",COUNTIF($AZ$6:$AZ$1005,AZ701)&gt;1),"GSTIN repeated in this sheet; ","")&amp;IF(AND(AS701&lt;&gt;"",COUNTIF($AS$6:$AS$1005,AS701)&gt;1),"PAN repeated in this sheet (same client? put extra GSTINs in Other GSTINs); ","")&amp;IF(AND(BD701&gt;0,V701=""),"Financial year missing; ","")&amp;IF(AND(BD701=0,V701&lt;&gt;""),"Financial year given but no service is Yes; ","")&amp;IF(AND(W701="Yes",AZ701=""),"GST needs a GSTIN; ","")&amp;IF(AND(W701="Yes",X701=""),"GST return frequency missing; ","")&amp;IF(AND(Y701="Yes",TRIM(H701)=""),"TDS needs a TAN; ","")&amp;IF(AND(AA701="Yes",BC701&lt;&gt;"",BC701&lt;&gt;"company",BC701&lt;&gt;"llp"),"ROC is only for a company / LLP; ","")&amp;IF(AND(AA701="Yes",OR(BC701="company",BC701="llp"),TRIM(I701)=""),"ROC needs the CIN / LLPIN; ","")&amp;IF((TRIM(AF701)="")&lt;&gt;(TRIM(AG701)=""),"GST login needs both user ID and password; ","")&amp;IF((TRIM(AH701)="")&lt;&gt;(TRIM(AI701)=""),"Income-tax login needs both user ID and password; ","")&amp;IF((TRIM(AJ701)="")&lt;&gt;(TRIM(AK701)=""),"Income-tax login needs both user ID and password; ","")&amp;IF((TRIM(AL701)="")&lt;&gt;(TRIM(AM701)=""),"TRACES login needs both user ID and password; ","")&amp;IF((TRIM(AN701)="")&lt;&gt;(TRIM(AO701)=""),"MCA login needs both user ID and password; ","")&amp;IF((TRIM(AP701)="")&lt;&gt;(TRIM(AQ701)=""),"E-way bill login needs both user ID and password; ","")</f>
        <v/>
      </c>
    </row>
    <row r="702">
      <c r="A702" s="32" t="n"/>
      <c r="B702" s="33" t="n"/>
      <c r="C702" s="33" t="n"/>
      <c r="D702" s="33" t="n"/>
      <c r="E702" s="32" t="n"/>
      <c r="F702" s="32" t="n"/>
      <c r="G702" s="32" t="n"/>
      <c r="H702" s="32" t="n"/>
      <c r="I702" s="32" t="n"/>
      <c r="J702" s="34" t="n"/>
      <c r="K702" s="33" t="n"/>
      <c r="L702" s="32" t="n"/>
      <c r="M702" s="33" t="n"/>
      <c r="N702" s="33" t="n"/>
      <c r="O702" s="33" t="n"/>
      <c r="P702" s="32" t="n"/>
      <c r="Q702" s="33" t="n"/>
      <c r="R702" s="33" t="n"/>
      <c r="S702" s="33" t="n"/>
      <c r="T702" s="33" t="n"/>
      <c r="U702" s="32" t="n"/>
      <c r="V702" s="33" t="n"/>
      <c r="W702" s="33" t="n"/>
      <c r="X702" s="33" t="n"/>
      <c r="Y702" s="33" t="n"/>
      <c r="Z702" s="33" t="n"/>
      <c r="AA702" s="33" t="n"/>
      <c r="AB702" s="33" t="n"/>
      <c r="AC702" s="33" t="n"/>
      <c r="AD702" s="33" t="n"/>
      <c r="AE702" s="33" t="n"/>
      <c r="AF702" s="32" t="n"/>
      <c r="AG702" s="32" t="n"/>
      <c r="AH702" s="32" t="n"/>
      <c r="AI702" s="32" t="n"/>
      <c r="AJ702" s="32" t="n"/>
      <c r="AK702" s="32" t="n"/>
      <c r="AL702" s="32" t="n"/>
      <c r="AM702" s="32" t="n"/>
      <c r="AN702" s="32" t="n"/>
      <c r="AO702" s="32" t="n"/>
      <c r="AP702" s="32" t="n"/>
      <c r="AQ702" s="32" t="n"/>
      <c r="AR702" s="29">
        <f>IF(NOT(COUNTA(A702:AE702)&gt;0),"",IF(A702="","New client","Update"))</f>
        <v/>
      </c>
      <c r="AS702" s="29">
        <f>IF(BA702&lt;&gt;"",BA702,IF(LEN(AZ702)=15,MID(AZ702,3,10),""))</f>
        <v/>
      </c>
      <c r="AT702" s="29">
        <f>IF(BB702="","",BB702&amp;IF(D702="","  (guessed from PAN)",""))</f>
        <v/>
      </c>
      <c r="AU702" s="29">
        <f>IF(AZ702="","",IFERROR(INDEX(Lists!$L$2:$L$38,MATCH(LEFT(AZ702,2),Lists!$K$2:$K$38,0)),"Unknown code"))</f>
        <v/>
      </c>
      <c r="AV702" s="29">
        <f>IF(AZ702="","",IFERROR(IF(NOT(AND(LEN(AZ702)=15,ISNUMBER(MATCH(LEFT(AZ702,2),Lists!$K$2:$K$38,0)),SUMPRODUCT(--ISERROR(FIND(MID(MID(AZ702,3,10),{1,2,3,4,5,10},1),"ABCDEFGHIJKLMNOPQRSTUVWXYZ")))=0,SUMPRODUCT(--ISERROR(FIND(MID(MID(AZ702,3,10),{6,7,8,9},1),"0123456789")))=0,ISNUMBER(FIND(MID(AZ702,13,1),"123456789ABCDEFGHIJKLMNOPQRSTUVWXYZ")),MID(AZ702,14,1)="Z")),"Wrong format",IF(MID("0123456789ABCDEFGHIJKLMNOPQRSTUVWXYZ",MOD(36-MOD(SUMPRODUCT(INT((FIND(MID(AZ702,{1,2,3,4,5,6,7,8,9,10,11,12,13,14},1),"0123456789ABCDEFGHIJKLMNOPQRSTUVWXYZ")-1)*{1,2,1,2,1,2,1,2,1,2,1,2,1,2}/36)+MOD((FIND(MID(AZ702,{1,2,3,4,5,6,7,8,9,10,11,12,13,14},1),"0123456789ABCDEFGHIJKLMNOPQRSTUVWXYZ")-1)*{1,2,1,2,1,2,1,2,1,2,1,2,1,2},36)),36),36)+1,1)=MID(AZ702,15,1),"OK","Typo? check digit wrong")),"Wrong format"))</f>
        <v/>
      </c>
      <c r="AW702" s="29">
        <f>IF(BA702="","",IF(AND(LEN(BA702)=10,SUMPRODUCT(--ISERROR(FIND(MID(BA702,{1,2,3,4,5,10},1),"ABCDEFGHIJKLMNOPQRSTUVWXYZ")))=0,SUMPRODUCT(--ISERROR(FIND(MID(BA702,{6,7,8,9},1),"0123456789")))=0),"OK","Wrong format"))</f>
        <v/>
      </c>
      <c r="AX702" s="29">
        <f>IF(TRIM(H702)="","",IF(AND(LEN(UPPER(TRIM(H702)))=10,SUMPRODUCT(--ISERROR(FIND(MID(UPPER(TRIM(H702)),{1,2,3,4,10},1),"ABCDEFGHIJKLMNOPQRSTUVWXYZ")))=0,SUMPRODUCT(--ISERROR(FIND(MID(UPPER(TRIM(H702)),{5,6,7,8,9},1),"0123456789")))=0),"OK","Wrong format"))</f>
        <v/>
      </c>
      <c r="AY702" s="30">
        <f>IF(NOT(COUNTA(A702:AE702)&gt;0),"",IF(BE702&lt;&gt;"","✖ "&amp;LEFT(BE702,LEN(BE702)-2),IF(BD702&gt;0,"✔ Ready — client + "&amp;BD702&amp;" service(s)","✔ Ready — client only")))</f>
        <v/>
      </c>
      <c r="AZ702" s="31">
        <f>UPPER(SUBSTITUTE(TRIM(F702)," ",""))</f>
        <v/>
      </c>
      <c r="BA702" s="31">
        <f>UPPER(SUBSTITUTE(TRIM(E702)," ",""))</f>
        <v/>
      </c>
      <c r="BB702" s="31">
        <f>IF(D702&lt;&gt;"",D702,IFERROR(VLOOKUP(MID(AS702,4,1),Lists!$E$2:$F$8,2,FALSE),""))</f>
        <v/>
      </c>
      <c r="BC702" s="31">
        <f>IFERROR(VLOOKUP(BB702,Lists!$A$2:$C$12,3,FALSE),"")</f>
        <v/>
      </c>
      <c r="BD702" s="31">
        <f>COUNTIF(W702:AC702,"Yes")</f>
        <v/>
      </c>
      <c r="BE702" s="31">
        <f>IF(TRIM(B702)="","Legal name missing; ","")&amp;IF(AND(AV702&lt;&gt;"",AV702&lt;&gt;"OK"),"GSTIN: "&amp;AV702&amp;"; ","")&amp;IF(AND(AW702&lt;&gt;"",AW702&lt;&gt;"OK"),"PAN wrong format; ","")&amp;IF(AND(BA702&lt;&gt;"",LEN(AZ702)=15,MID(AZ702,3,10)&lt;&gt;BA702),"PAN does not match GSTIN; ","")&amp;IF(AND(AX702&lt;&gt;"",AX702&lt;&gt;"OK"),"TAN wrong format; ","")&amp;IF(AS702="","PAN missing; ","")&amp;IF(BB702="","Entity type missing; ","")&amp;IF(AND(AZ702&lt;&gt;"",COUNTIF($AZ$6:$AZ$1005,AZ702)&gt;1),"GSTIN repeated in this sheet; ","")&amp;IF(AND(AS702&lt;&gt;"",COUNTIF($AS$6:$AS$1005,AS702)&gt;1),"PAN repeated in this sheet (same client? put extra GSTINs in Other GSTINs); ","")&amp;IF(AND(BD702&gt;0,V702=""),"Financial year missing; ","")&amp;IF(AND(BD702=0,V702&lt;&gt;""),"Financial year given but no service is Yes; ","")&amp;IF(AND(W702="Yes",AZ702=""),"GST needs a GSTIN; ","")&amp;IF(AND(W702="Yes",X702=""),"GST return frequency missing; ","")&amp;IF(AND(Y702="Yes",TRIM(H702)=""),"TDS needs a TAN; ","")&amp;IF(AND(AA702="Yes",BC702&lt;&gt;"",BC702&lt;&gt;"company",BC702&lt;&gt;"llp"),"ROC is only for a company / LLP; ","")&amp;IF(AND(AA702="Yes",OR(BC702="company",BC702="llp"),TRIM(I702)=""),"ROC needs the CIN / LLPIN; ","")&amp;IF((TRIM(AF702)="")&lt;&gt;(TRIM(AG702)=""),"GST login needs both user ID and password; ","")&amp;IF((TRIM(AH702)="")&lt;&gt;(TRIM(AI702)=""),"Income-tax login needs both user ID and password; ","")&amp;IF((TRIM(AJ702)="")&lt;&gt;(TRIM(AK702)=""),"Income-tax login needs both user ID and password; ","")&amp;IF((TRIM(AL702)="")&lt;&gt;(TRIM(AM702)=""),"TRACES login needs both user ID and password; ","")&amp;IF((TRIM(AN702)="")&lt;&gt;(TRIM(AO702)=""),"MCA login needs both user ID and password; ","")&amp;IF((TRIM(AP702)="")&lt;&gt;(TRIM(AQ702)=""),"E-way bill login needs both user ID and password; ","")</f>
        <v/>
      </c>
    </row>
    <row r="703">
      <c r="A703" s="32" t="n"/>
      <c r="B703" s="33" t="n"/>
      <c r="C703" s="33" t="n"/>
      <c r="D703" s="33" t="n"/>
      <c r="E703" s="32" t="n"/>
      <c r="F703" s="32" t="n"/>
      <c r="G703" s="32" t="n"/>
      <c r="H703" s="32" t="n"/>
      <c r="I703" s="32" t="n"/>
      <c r="J703" s="34" t="n"/>
      <c r="K703" s="33" t="n"/>
      <c r="L703" s="32" t="n"/>
      <c r="M703" s="33" t="n"/>
      <c r="N703" s="33" t="n"/>
      <c r="O703" s="33" t="n"/>
      <c r="P703" s="32" t="n"/>
      <c r="Q703" s="33" t="n"/>
      <c r="R703" s="33" t="n"/>
      <c r="S703" s="33" t="n"/>
      <c r="T703" s="33" t="n"/>
      <c r="U703" s="32" t="n"/>
      <c r="V703" s="33" t="n"/>
      <c r="W703" s="33" t="n"/>
      <c r="X703" s="33" t="n"/>
      <c r="Y703" s="33" t="n"/>
      <c r="Z703" s="33" t="n"/>
      <c r="AA703" s="33" t="n"/>
      <c r="AB703" s="33" t="n"/>
      <c r="AC703" s="33" t="n"/>
      <c r="AD703" s="33" t="n"/>
      <c r="AE703" s="33" t="n"/>
      <c r="AF703" s="32" t="n"/>
      <c r="AG703" s="32" t="n"/>
      <c r="AH703" s="32" t="n"/>
      <c r="AI703" s="32" t="n"/>
      <c r="AJ703" s="32" t="n"/>
      <c r="AK703" s="32" t="n"/>
      <c r="AL703" s="32" t="n"/>
      <c r="AM703" s="32" t="n"/>
      <c r="AN703" s="32" t="n"/>
      <c r="AO703" s="32" t="n"/>
      <c r="AP703" s="32" t="n"/>
      <c r="AQ703" s="32" t="n"/>
      <c r="AR703" s="29">
        <f>IF(NOT(COUNTA(A703:AE703)&gt;0),"",IF(A703="","New client","Update"))</f>
        <v/>
      </c>
      <c r="AS703" s="29">
        <f>IF(BA703&lt;&gt;"",BA703,IF(LEN(AZ703)=15,MID(AZ703,3,10),""))</f>
        <v/>
      </c>
      <c r="AT703" s="29">
        <f>IF(BB703="","",BB703&amp;IF(D703="","  (guessed from PAN)",""))</f>
        <v/>
      </c>
      <c r="AU703" s="29">
        <f>IF(AZ703="","",IFERROR(INDEX(Lists!$L$2:$L$38,MATCH(LEFT(AZ703,2),Lists!$K$2:$K$38,0)),"Unknown code"))</f>
        <v/>
      </c>
      <c r="AV703" s="29">
        <f>IF(AZ703="","",IFERROR(IF(NOT(AND(LEN(AZ703)=15,ISNUMBER(MATCH(LEFT(AZ703,2),Lists!$K$2:$K$38,0)),SUMPRODUCT(--ISERROR(FIND(MID(MID(AZ703,3,10),{1,2,3,4,5,10},1),"ABCDEFGHIJKLMNOPQRSTUVWXYZ")))=0,SUMPRODUCT(--ISERROR(FIND(MID(MID(AZ703,3,10),{6,7,8,9},1),"0123456789")))=0,ISNUMBER(FIND(MID(AZ703,13,1),"123456789ABCDEFGHIJKLMNOPQRSTUVWXYZ")),MID(AZ703,14,1)="Z")),"Wrong format",IF(MID("0123456789ABCDEFGHIJKLMNOPQRSTUVWXYZ",MOD(36-MOD(SUMPRODUCT(INT((FIND(MID(AZ703,{1,2,3,4,5,6,7,8,9,10,11,12,13,14},1),"0123456789ABCDEFGHIJKLMNOPQRSTUVWXYZ")-1)*{1,2,1,2,1,2,1,2,1,2,1,2,1,2}/36)+MOD((FIND(MID(AZ703,{1,2,3,4,5,6,7,8,9,10,11,12,13,14},1),"0123456789ABCDEFGHIJKLMNOPQRSTUVWXYZ")-1)*{1,2,1,2,1,2,1,2,1,2,1,2,1,2},36)),36),36)+1,1)=MID(AZ703,15,1),"OK","Typo? check digit wrong")),"Wrong format"))</f>
        <v/>
      </c>
      <c r="AW703" s="29">
        <f>IF(BA703="","",IF(AND(LEN(BA703)=10,SUMPRODUCT(--ISERROR(FIND(MID(BA703,{1,2,3,4,5,10},1),"ABCDEFGHIJKLMNOPQRSTUVWXYZ")))=0,SUMPRODUCT(--ISERROR(FIND(MID(BA703,{6,7,8,9},1),"0123456789")))=0),"OK","Wrong format"))</f>
        <v/>
      </c>
      <c r="AX703" s="29">
        <f>IF(TRIM(H703)="","",IF(AND(LEN(UPPER(TRIM(H703)))=10,SUMPRODUCT(--ISERROR(FIND(MID(UPPER(TRIM(H703)),{1,2,3,4,10},1),"ABCDEFGHIJKLMNOPQRSTUVWXYZ")))=0,SUMPRODUCT(--ISERROR(FIND(MID(UPPER(TRIM(H703)),{5,6,7,8,9},1),"0123456789")))=0),"OK","Wrong format"))</f>
        <v/>
      </c>
      <c r="AY703" s="30">
        <f>IF(NOT(COUNTA(A703:AE703)&gt;0),"",IF(BE703&lt;&gt;"","✖ "&amp;LEFT(BE703,LEN(BE703)-2),IF(BD703&gt;0,"✔ Ready — client + "&amp;BD703&amp;" service(s)","✔ Ready — client only")))</f>
        <v/>
      </c>
      <c r="AZ703" s="31">
        <f>UPPER(SUBSTITUTE(TRIM(F703)," ",""))</f>
        <v/>
      </c>
      <c r="BA703" s="31">
        <f>UPPER(SUBSTITUTE(TRIM(E703)," ",""))</f>
        <v/>
      </c>
      <c r="BB703" s="31">
        <f>IF(D703&lt;&gt;"",D703,IFERROR(VLOOKUP(MID(AS703,4,1),Lists!$E$2:$F$8,2,FALSE),""))</f>
        <v/>
      </c>
      <c r="BC703" s="31">
        <f>IFERROR(VLOOKUP(BB703,Lists!$A$2:$C$12,3,FALSE),"")</f>
        <v/>
      </c>
      <c r="BD703" s="31">
        <f>COUNTIF(W703:AC703,"Yes")</f>
        <v/>
      </c>
      <c r="BE703" s="31">
        <f>IF(TRIM(B703)="","Legal name missing; ","")&amp;IF(AND(AV703&lt;&gt;"",AV703&lt;&gt;"OK"),"GSTIN: "&amp;AV703&amp;"; ","")&amp;IF(AND(AW703&lt;&gt;"",AW703&lt;&gt;"OK"),"PAN wrong format; ","")&amp;IF(AND(BA703&lt;&gt;"",LEN(AZ703)=15,MID(AZ703,3,10)&lt;&gt;BA703),"PAN does not match GSTIN; ","")&amp;IF(AND(AX703&lt;&gt;"",AX703&lt;&gt;"OK"),"TAN wrong format; ","")&amp;IF(AS703="","PAN missing; ","")&amp;IF(BB703="","Entity type missing; ","")&amp;IF(AND(AZ703&lt;&gt;"",COUNTIF($AZ$6:$AZ$1005,AZ703)&gt;1),"GSTIN repeated in this sheet; ","")&amp;IF(AND(AS703&lt;&gt;"",COUNTIF($AS$6:$AS$1005,AS703)&gt;1),"PAN repeated in this sheet (same client? put extra GSTINs in Other GSTINs); ","")&amp;IF(AND(BD703&gt;0,V703=""),"Financial year missing; ","")&amp;IF(AND(BD703=0,V703&lt;&gt;""),"Financial year given but no service is Yes; ","")&amp;IF(AND(W703="Yes",AZ703=""),"GST needs a GSTIN; ","")&amp;IF(AND(W703="Yes",X703=""),"GST return frequency missing; ","")&amp;IF(AND(Y703="Yes",TRIM(H703)=""),"TDS needs a TAN; ","")&amp;IF(AND(AA703="Yes",BC703&lt;&gt;"",BC703&lt;&gt;"company",BC703&lt;&gt;"llp"),"ROC is only for a company / LLP; ","")&amp;IF(AND(AA703="Yes",OR(BC703="company",BC703="llp"),TRIM(I703)=""),"ROC needs the CIN / LLPIN; ","")&amp;IF((TRIM(AF703)="")&lt;&gt;(TRIM(AG703)=""),"GST login needs both user ID and password; ","")&amp;IF((TRIM(AH703)="")&lt;&gt;(TRIM(AI703)=""),"Income-tax login needs both user ID and password; ","")&amp;IF((TRIM(AJ703)="")&lt;&gt;(TRIM(AK703)=""),"Income-tax login needs both user ID and password; ","")&amp;IF((TRIM(AL703)="")&lt;&gt;(TRIM(AM703)=""),"TRACES login needs both user ID and password; ","")&amp;IF((TRIM(AN703)="")&lt;&gt;(TRIM(AO703)=""),"MCA login needs both user ID and password; ","")&amp;IF((TRIM(AP703)="")&lt;&gt;(TRIM(AQ703)=""),"E-way bill login needs both user ID and password; ","")</f>
        <v/>
      </c>
    </row>
    <row r="704">
      <c r="A704" s="32" t="n"/>
      <c r="B704" s="33" t="n"/>
      <c r="C704" s="33" t="n"/>
      <c r="D704" s="33" t="n"/>
      <c r="E704" s="32" t="n"/>
      <c r="F704" s="32" t="n"/>
      <c r="G704" s="32" t="n"/>
      <c r="H704" s="32" t="n"/>
      <c r="I704" s="32" t="n"/>
      <c r="J704" s="34" t="n"/>
      <c r="K704" s="33" t="n"/>
      <c r="L704" s="32" t="n"/>
      <c r="M704" s="33" t="n"/>
      <c r="N704" s="33" t="n"/>
      <c r="O704" s="33" t="n"/>
      <c r="P704" s="32" t="n"/>
      <c r="Q704" s="33" t="n"/>
      <c r="R704" s="33" t="n"/>
      <c r="S704" s="33" t="n"/>
      <c r="T704" s="33" t="n"/>
      <c r="U704" s="32" t="n"/>
      <c r="V704" s="33" t="n"/>
      <c r="W704" s="33" t="n"/>
      <c r="X704" s="33" t="n"/>
      <c r="Y704" s="33" t="n"/>
      <c r="Z704" s="33" t="n"/>
      <c r="AA704" s="33" t="n"/>
      <c r="AB704" s="33" t="n"/>
      <c r="AC704" s="33" t="n"/>
      <c r="AD704" s="33" t="n"/>
      <c r="AE704" s="33" t="n"/>
      <c r="AF704" s="32" t="n"/>
      <c r="AG704" s="32" t="n"/>
      <c r="AH704" s="32" t="n"/>
      <c r="AI704" s="32" t="n"/>
      <c r="AJ704" s="32" t="n"/>
      <c r="AK704" s="32" t="n"/>
      <c r="AL704" s="32" t="n"/>
      <c r="AM704" s="32" t="n"/>
      <c r="AN704" s="32" t="n"/>
      <c r="AO704" s="32" t="n"/>
      <c r="AP704" s="32" t="n"/>
      <c r="AQ704" s="32" t="n"/>
      <c r="AR704" s="29">
        <f>IF(NOT(COUNTA(A704:AE704)&gt;0),"",IF(A704="","New client","Update"))</f>
        <v/>
      </c>
      <c r="AS704" s="29">
        <f>IF(BA704&lt;&gt;"",BA704,IF(LEN(AZ704)=15,MID(AZ704,3,10),""))</f>
        <v/>
      </c>
      <c r="AT704" s="29">
        <f>IF(BB704="","",BB704&amp;IF(D704="","  (guessed from PAN)",""))</f>
        <v/>
      </c>
      <c r="AU704" s="29">
        <f>IF(AZ704="","",IFERROR(INDEX(Lists!$L$2:$L$38,MATCH(LEFT(AZ704,2),Lists!$K$2:$K$38,0)),"Unknown code"))</f>
        <v/>
      </c>
      <c r="AV704" s="29">
        <f>IF(AZ704="","",IFERROR(IF(NOT(AND(LEN(AZ704)=15,ISNUMBER(MATCH(LEFT(AZ704,2),Lists!$K$2:$K$38,0)),SUMPRODUCT(--ISERROR(FIND(MID(MID(AZ704,3,10),{1,2,3,4,5,10},1),"ABCDEFGHIJKLMNOPQRSTUVWXYZ")))=0,SUMPRODUCT(--ISERROR(FIND(MID(MID(AZ704,3,10),{6,7,8,9},1),"0123456789")))=0,ISNUMBER(FIND(MID(AZ704,13,1),"123456789ABCDEFGHIJKLMNOPQRSTUVWXYZ")),MID(AZ704,14,1)="Z")),"Wrong format",IF(MID("0123456789ABCDEFGHIJKLMNOPQRSTUVWXYZ",MOD(36-MOD(SUMPRODUCT(INT((FIND(MID(AZ704,{1,2,3,4,5,6,7,8,9,10,11,12,13,14},1),"0123456789ABCDEFGHIJKLMNOPQRSTUVWXYZ")-1)*{1,2,1,2,1,2,1,2,1,2,1,2,1,2}/36)+MOD((FIND(MID(AZ704,{1,2,3,4,5,6,7,8,9,10,11,12,13,14},1),"0123456789ABCDEFGHIJKLMNOPQRSTUVWXYZ")-1)*{1,2,1,2,1,2,1,2,1,2,1,2,1,2},36)),36),36)+1,1)=MID(AZ704,15,1),"OK","Typo? check digit wrong")),"Wrong format"))</f>
        <v/>
      </c>
      <c r="AW704" s="29">
        <f>IF(BA704="","",IF(AND(LEN(BA704)=10,SUMPRODUCT(--ISERROR(FIND(MID(BA704,{1,2,3,4,5,10},1),"ABCDEFGHIJKLMNOPQRSTUVWXYZ")))=0,SUMPRODUCT(--ISERROR(FIND(MID(BA704,{6,7,8,9},1),"0123456789")))=0),"OK","Wrong format"))</f>
        <v/>
      </c>
      <c r="AX704" s="29">
        <f>IF(TRIM(H704)="","",IF(AND(LEN(UPPER(TRIM(H704)))=10,SUMPRODUCT(--ISERROR(FIND(MID(UPPER(TRIM(H704)),{1,2,3,4,10},1),"ABCDEFGHIJKLMNOPQRSTUVWXYZ")))=0,SUMPRODUCT(--ISERROR(FIND(MID(UPPER(TRIM(H704)),{5,6,7,8,9},1),"0123456789")))=0),"OK","Wrong format"))</f>
        <v/>
      </c>
      <c r="AY704" s="30">
        <f>IF(NOT(COUNTA(A704:AE704)&gt;0),"",IF(BE704&lt;&gt;"","✖ "&amp;LEFT(BE704,LEN(BE704)-2),IF(BD704&gt;0,"✔ Ready — client + "&amp;BD704&amp;" service(s)","✔ Ready — client only")))</f>
        <v/>
      </c>
      <c r="AZ704" s="31">
        <f>UPPER(SUBSTITUTE(TRIM(F704)," ",""))</f>
        <v/>
      </c>
      <c r="BA704" s="31">
        <f>UPPER(SUBSTITUTE(TRIM(E704)," ",""))</f>
        <v/>
      </c>
      <c r="BB704" s="31">
        <f>IF(D704&lt;&gt;"",D704,IFERROR(VLOOKUP(MID(AS704,4,1),Lists!$E$2:$F$8,2,FALSE),""))</f>
        <v/>
      </c>
      <c r="BC704" s="31">
        <f>IFERROR(VLOOKUP(BB704,Lists!$A$2:$C$12,3,FALSE),"")</f>
        <v/>
      </c>
      <c r="BD704" s="31">
        <f>COUNTIF(W704:AC704,"Yes")</f>
        <v/>
      </c>
      <c r="BE704" s="31">
        <f>IF(TRIM(B704)="","Legal name missing; ","")&amp;IF(AND(AV704&lt;&gt;"",AV704&lt;&gt;"OK"),"GSTIN: "&amp;AV704&amp;"; ","")&amp;IF(AND(AW704&lt;&gt;"",AW704&lt;&gt;"OK"),"PAN wrong format; ","")&amp;IF(AND(BA704&lt;&gt;"",LEN(AZ704)=15,MID(AZ704,3,10)&lt;&gt;BA704),"PAN does not match GSTIN; ","")&amp;IF(AND(AX704&lt;&gt;"",AX704&lt;&gt;"OK"),"TAN wrong format; ","")&amp;IF(AS704="","PAN missing; ","")&amp;IF(BB704="","Entity type missing; ","")&amp;IF(AND(AZ704&lt;&gt;"",COUNTIF($AZ$6:$AZ$1005,AZ704)&gt;1),"GSTIN repeated in this sheet; ","")&amp;IF(AND(AS704&lt;&gt;"",COUNTIF($AS$6:$AS$1005,AS704)&gt;1),"PAN repeated in this sheet (same client? put extra GSTINs in Other GSTINs); ","")&amp;IF(AND(BD704&gt;0,V704=""),"Financial year missing; ","")&amp;IF(AND(BD704=0,V704&lt;&gt;""),"Financial year given but no service is Yes; ","")&amp;IF(AND(W704="Yes",AZ704=""),"GST needs a GSTIN; ","")&amp;IF(AND(W704="Yes",X704=""),"GST return frequency missing; ","")&amp;IF(AND(Y704="Yes",TRIM(H704)=""),"TDS needs a TAN; ","")&amp;IF(AND(AA704="Yes",BC704&lt;&gt;"",BC704&lt;&gt;"company",BC704&lt;&gt;"llp"),"ROC is only for a company / LLP; ","")&amp;IF(AND(AA704="Yes",OR(BC704="company",BC704="llp"),TRIM(I704)=""),"ROC needs the CIN / LLPIN; ","")&amp;IF((TRIM(AF704)="")&lt;&gt;(TRIM(AG704)=""),"GST login needs both user ID and password; ","")&amp;IF((TRIM(AH704)="")&lt;&gt;(TRIM(AI704)=""),"Income-tax login needs both user ID and password; ","")&amp;IF((TRIM(AJ704)="")&lt;&gt;(TRIM(AK704)=""),"Income-tax login needs both user ID and password; ","")&amp;IF((TRIM(AL704)="")&lt;&gt;(TRIM(AM704)=""),"TRACES login needs both user ID and password; ","")&amp;IF((TRIM(AN704)="")&lt;&gt;(TRIM(AO704)=""),"MCA login needs both user ID and password; ","")&amp;IF((TRIM(AP704)="")&lt;&gt;(TRIM(AQ704)=""),"E-way bill login needs both user ID and password; ","")</f>
        <v/>
      </c>
    </row>
    <row r="705">
      <c r="A705" s="32" t="n"/>
      <c r="B705" s="33" t="n"/>
      <c r="C705" s="33" t="n"/>
      <c r="D705" s="33" t="n"/>
      <c r="E705" s="32" t="n"/>
      <c r="F705" s="32" t="n"/>
      <c r="G705" s="32" t="n"/>
      <c r="H705" s="32" t="n"/>
      <c r="I705" s="32" t="n"/>
      <c r="J705" s="34" t="n"/>
      <c r="K705" s="33" t="n"/>
      <c r="L705" s="32" t="n"/>
      <c r="M705" s="33" t="n"/>
      <c r="N705" s="33" t="n"/>
      <c r="O705" s="33" t="n"/>
      <c r="P705" s="32" t="n"/>
      <c r="Q705" s="33" t="n"/>
      <c r="R705" s="33" t="n"/>
      <c r="S705" s="33" t="n"/>
      <c r="T705" s="33" t="n"/>
      <c r="U705" s="32" t="n"/>
      <c r="V705" s="33" t="n"/>
      <c r="W705" s="33" t="n"/>
      <c r="X705" s="33" t="n"/>
      <c r="Y705" s="33" t="n"/>
      <c r="Z705" s="33" t="n"/>
      <c r="AA705" s="33" t="n"/>
      <c r="AB705" s="33" t="n"/>
      <c r="AC705" s="33" t="n"/>
      <c r="AD705" s="33" t="n"/>
      <c r="AE705" s="33" t="n"/>
      <c r="AF705" s="32" t="n"/>
      <c r="AG705" s="32" t="n"/>
      <c r="AH705" s="32" t="n"/>
      <c r="AI705" s="32" t="n"/>
      <c r="AJ705" s="32" t="n"/>
      <c r="AK705" s="32" t="n"/>
      <c r="AL705" s="32" t="n"/>
      <c r="AM705" s="32" t="n"/>
      <c r="AN705" s="32" t="n"/>
      <c r="AO705" s="32" t="n"/>
      <c r="AP705" s="32" t="n"/>
      <c r="AQ705" s="32" t="n"/>
      <c r="AR705" s="29">
        <f>IF(NOT(COUNTA(A705:AE705)&gt;0),"",IF(A705="","New client","Update"))</f>
        <v/>
      </c>
      <c r="AS705" s="29">
        <f>IF(BA705&lt;&gt;"",BA705,IF(LEN(AZ705)=15,MID(AZ705,3,10),""))</f>
        <v/>
      </c>
      <c r="AT705" s="29">
        <f>IF(BB705="","",BB705&amp;IF(D705="","  (guessed from PAN)",""))</f>
        <v/>
      </c>
      <c r="AU705" s="29">
        <f>IF(AZ705="","",IFERROR(INDEX(Lists!$L$2:$L$38,MATCH(LEFT(AZ705,2),Lists!$K$2:$K$38,0)),"Unknown code"))</f>
        <v/>
      </c>
      <c r="AV705" s="29">
        <f>IF(AZ705="","",IFERROR(IF(NOT(AND(LEN(AZ705)=15,ISNUMBER(MATCH(LEFT(AZ705,2),Lists!$K$2:$K$38,0)),SUMPRODUCT(--ISERROR(FIND(MID(MID(AZ705,3,10),{1,2,3,4,5,10},1),"ABCDEFGHIJKLMNOPQRSTUVWXYZ")))=0,SUMPRODUCT(--ISERROR(FIND(MID(MID(AZ705,3,10),{6,7,8,9},1),"0123456789")))=0,ISNUMBER(FIND(MID(AZ705,13,1),"123456789ABCDEFGHIJKLMNOPQRSTUVWXYZ")),MID(AZ705,14,1)="Z")),"Wrong format",IF(MID("0123456789ABCDEFGHIJKLMNOPQRSTUVWXYZ",MOD(36-MOD(SUMPRODUCT(INT((FIND(MID(AZ705,{1,2,3,4,5,6,7,8,9,10,11,12,13,14},1),"0123456789ABCDEFGHIJKLMNOPQRSTUVWXYZ")-1)*{1,2,1,2,1,2,1,2,1,2,1,2,1,2}/36)+MOD((FIND(MID(AZ705,{1,2,3,4,5,6,7,8,9,10,11,12,13,14},1),"0123456789ABCDEFGHIJKLMNOPQRSTUVWXYZ")-1)*{1,2,1,2,1,2,1,2,1,2,1,2,1,2},36)),36),36)+1,1)=MID(AZ705,15,1),"OK","Typo? check digit wrong")),"Wrong format"))</f>
        <v/>
      </c>
      <c r="AW705" s="29">
        <f>IF(BA705="","",IF(AND(LEN(BA705)=10,SUMPRODUCT(--ISERROR(FIND(MID(BA705,{1,2,3,4,5,10},1),"ABCDEFGHIJKLMNOPQRSTUVWXYZ")))=0,SUMPRODUCT(--ISERROR(FIND(MID(BA705,{6,7,8,9},1),"0123456789")))=0),"OK","Wrong format"))</f>
        <v/>
      </c>
      <c r="AX705" s="29">
        <f>IF(TRIM(H705)="","",IF(AND(LEN(UPPER(TRIM(H705)))=10,SUMPRODUCT(--ISERROR(FIND(MID(UPPER(TRIM(H705)),{1,2,3,4,10},1),"ABCDEFGHIJKLMNOPQRSTUVWXYZ")))=0,SUMPRODUCT(--ISERROR(FIND(MID(UPPER(TRIM(H705)),{5,6,7,8,9},1),"0123456789")))=0),"OK","Wrong format"))</f>
        <v/>
      </c>
      <c r="AY705" s="30">
        <f>IF(NOT(COUNTA(A705:AE705)&gt;0),"",IF(BE705&lt;&gt;"","✖ "&amp;LEFT(BE705,LEN(BE705)-2),IF(BD705&gt;0,"✔ Ready — client + "&amp;BD705&amp;" service(s)","✔ Ready — client only")))</f>
        <v/>
      </c>
      <c r="AZ705" s="31">
        <f>UPPER(SUBSTITUTE(TRIM(F705)," ",""))</f>
        <v/>
      </c>
      <c r="BA705" s="31">
        <f>UPPER(SUBSTITUTE(TRIM(E705)," ",""))</f>
        <v/>
      </c>
      <c r="BB705" s="31">
        <f>IF(D705&lt;&gt;"",D705,IFERROR(VLOOKUP(MID(AS705,4,1),Lists!$E$2:$F$8,2,FALSE),""))</f>
        <v/>
      </c>
      <c r="BC705" s="31">
        <f>IFERROR(VLOOKUP(BB705,Lists!$A$2:$C$12,3,FALSE),"")</f>
        <v/>
      </c>
      <c r="BD705" s="31">
        <f>COUNTIF(W705:AC705,"Yes")</f>
        <v/>
      </c>
      <c r="BE705" s="31">
        <f>IF(TRIM(B705)="","Legal name missing; ","")&amp;IF(AND(AV705&lt;&gt;"",AV705&lt;&gt;"OK"),"GSTIN: "&amp;AV705&amp;"; ","")&amp;IF(AND(AW705&lt;&gt;"",AW705&lt;&gt;"OK"),"PAN wrong format; ","")&amp;IF(AND(BA705&lt;&gt;"",LEN(AZ705)=15,MID(AZ705,3,10)&lt;&gt;BA705),"PAN does not match GSTIN; ","")&amp;IF(AND(AX705&lt;&gt;"",AX705&lt;&gt;"OK"),"TAN wrong format; ","")&amp;IF(AS705="","PAN missing; ","")&amp;IF(BB705="","Entity type missing; ","")&amp;IF(AND(AZ705&lt;&gt;"",COUNTIF($AZ$6:$AZ$1005,AZ705)&gt;1),"GSTIN repeated in this sheet; ","")&amp;IF(AND(AS705&lt;&gt;"",COUNTIF($AS$6:$AS$1005,AS705)&gt;1),"PAN repeated in this sheet (same client? put extra GSTINs in Other GSTINs); ","")&amp;IF(AND(BD705&gt;0,V705=""),"Financial year missing; ","")&amp;IF(AND(BD705=0,V705&lt;&gt;""),"Financial year given but no service is Yes; ","")&amp;IF(AND(W705="Yes",AZ705=""),"GST needs a GSTIN; ","")&amp;IF(AND(W705="Yes",X705=""),"GST return frequency missing; ","")&amp;IF(AND(Y705="Yes",TRIM(H705)=""),"TDS needs a TAN; ","")&amp;IF(AND(AA705="Yes",BC705&lt;&gt;"",BC705&lt;&gt;"company",BC705&lt;&gt;"llp"),"ROC is only for a company / LLP; ","")&amp;IF(AND(AA705="Yes",OR(BC705="company",BC705="llp"),TRIM(I705)=""),"ROC needs the CIN / LLPIN; ","")&amp;IF((TRIM(AF705)="")&lt;&gt;(TRIM(AG705)=""),"GST login needs both user ID and password; ","")&amp;IF((TRIM(AH705)="")&lt;&gt;(TRIM(AI705)=""),"Income-tax login needs both user ID and password; ","")&amp;IF((TRIM(AJ705)="")&lt;&gt;(TRIM(AK705)=""),"Income-tax login needs both user ID and password; ","")&amp;IF((TRIM(AL705)="")&lt;&gt;(TRIM(AM705)=""),"TRACES login needs both user ID and password; ","")&amp;IF((TRIM(AN705)="")&lt;&gt;(TRIM(AO705)=""),"MCA login needs both user ID and password; ","")&amp;IF((TRIM(AP705)="")&lt;&gt;(TRIM(AQ705)=""),"E-way bill login needs both user ID and password; ","")</f>
        <v/>
      </c>
    </row>
    <row r="706">
      <c r="A706" s="32" t="n"/>
      <c r="B706" s="33" t="n"/>
      <c r="C706" s="33" t="n"/>
      <c r="D706" s="33" t="n"/>
      <c r="E706" s="32" t="n"/>
      <c r="F706" s="32" t="n"/>
      <c r="G706" s="32" t="n"/>
      <c r="H706" s="32" t="n"/>
      <c r="I706" s="32" t="n"/>
      <c r="J706" s="34" t="n"/>
      <c r="K706" s="33" t="n"/>
      <c r="L706" s="32" t="n"/>
      <c r="M706" s="33" t="n"/>
      <c r="N706" s="33" t="n"/>
      <c r="O706" s="33" t="n"/>
      <c r="P706" s="32" t="n"/>
      <c r="Q706" s="33" t="n"/>
      <c r="R706" s="33" t="n"/>
      <c r="S706" s="33" t="n"/>
      <c r="T706" s="33" t="n"/>
      <c r="U706" s="32" t="n"/>
      <c r="V706" s="33" t="n"/>
      <c r="W706" s="33" t="n"/>
      <c r="X706" s="33" t="n"/>
      <c r="Y706" s="33" t="n"/>
      <c r="Z706" s="33" t="n"/>
      <c r="AA706" s="33" t="n"/>
      <c r="AB706" s="33" t="n"/>
      <c r="AC706" s="33" t="n"/>
      <c r="AD706" s="33" t="n"/>
      <c r="AE706" s="33" t="n"/>
      <c r="AF706" s="32" t="n"/>
      <c r="AG706" s="32" t="n"/>
      <c r="AH706" s="32" t="n"/>
      <c r="AI706" s="32" t="n"/>
      <c r="AJ706" s="32" t="n"/>
      <c r="AK706" s="32" t="n"/>
      <c r="AL706" s="32" t="n"/>
      <c r="AM706" s="32" t="n"/>
      <c r="AN706" s="32" t="n"/>
      <c r="AO706" s="32" t="n"/>
      <c r="AP706" s="32" t="n"/>
      <c r="AQ706" s="32" t="n"/>
      <c r="AR706" s="29">
        <f>IF(NOT(COUNTA(A706:AE706)&gt;0),"",IF(A706="","New client","Update"))</f>
        <v/>
      </c>
      <c r="AS706" s="29">
        <f>IF(BA706&lt;&gt;"",BA706,IF(LEN(AZ706)=15,MID(AZ706,3,10),""))</f>
        <v/>
      </c>
      <c r="AT706" s="29">
        <f>IF(BB706="","",BB706&amp;IF(D706="","  (guessed from PAN)",""))</f>
        <v/>
      </c>
      <c r="AU706" s="29">
        <f>IF(AZ706="","",IFERROR(INDEX(Lists!$L$2:$L$38,MATCH(LEFT(AZ706,2),Lists!$K$2:$K$38,0)),"Unknown code"))</f>
        <v/>
      </c>
      <c r="AV706" s="29">
        <f>IF(AZ706="","",IFERROR(IF(NOT(AND(LEN(AZ706)=15,ISNUMBER(MATCH(LEFT(AZ706,2),Lists!$K$2:$K$38,0)),SUMPRODUCT(--ISERROR(FIND(MID(MID(AZ706,3,10),{1,2,3,4,5,10},1),"ABCDEFGHIJKLMNOPQRSTUVWXYZ")))=0,SUMPRODUCT(--ISERROR(FIND(MID(MID(AZ706,3,10),{6,7,8,9},1),"0123456789")))=0,ISNUMBER(FIND(MID(AZ706,13,1),"123456789ABCDEFGHIJKLMNOPQRSTUVWXYZ")),MID(AZ706,14,1)="Z")),"Wrong format",IF(MID("0123456789ABCDEFGHIJKLMNOPQRSTUVWXYZ",MOD(36-MOD(SUMPRODUCT(INT((FIND(MID(AZ706,{1,2,3,4,5,6,7,8,9,10,11,12,13,14},1),"0123456789ABCDEFGHIJKLMNOPQRSTUVWXYZ")-1)*{1,2,1,2,1,2,1,2,1,2,1,2,1,2}/36)+MOD((FIND(MID(AZ706,{1,2,3,4,5,6,7,8,9,10,11,12,13,14},1),"0123456789ABCDEFGHIJKLMNOPQRSTUVWXYZ")-1)*{1,2,1,2,1,2,1,2,1,2,1,2,1,2},36)),36),36)+1,1)=MID(AZ706,15,1),"OK","Typo? check digit wrong")),"Wrong format"))</f>
        <v/>
      </c>
      <c r="AW706" s="29">
        <f>IF(BA706="","",IF(AND(LEN(BA706)=10,SUMPRODUCT(--ISERROR(FIND(MID(BA706,{1,2,3,4,5,10},1),"ABCDEFGHIJKLMNOPQRSTUVWXYZ")))=0,SUMPRODUCT(--ISERROR(FIND(MID(BA706,{6,7,8,9},1),"0123456789")))=0),"OK","Wrong format"))</f>
        <v/>
      </c>
      <c r="AX706" s="29">
        <f>IF(TRIM(H706)="","",IF(AND(LEN(UPPER(TRIM(H706)))=10,SUMPRODUCT(--ISERROR(FIND(MID(UPPER(TRIM(H706)),{1,2,3,4,10},1),"ABCDEFGHIJKLMNOPQRSTUVWXYZ")))=0,SUMPRODUCT(--ISERROR(FIND(MID(UPPER(TRIM(H706)),{5,6,7,8,9},1),"0123456789")))=0),"OK","Wrong format"))</f>
        <v/>
      </c>
      <c r="AY706" s="30">
        <f>IF(NOT(COUNTA(A706:AE706)&gt;0),"",IF(BE706&lt;&gt;"","✖ "&amp;LEFT(BE706,LEN(BE706)-2),IF(BD706&gt;0,"✔ Ready — client + "&amp;BD706&amp;" service(s)","✔ Ready — client only")))</f>
        <v/>
      </c>
      <c r="AZ706" s="31">
        <f>UPPER(SUBSTITUTE(TRIM(F706)," ",""))</f>
        <v/>
      </c>
      <c r="BA706" s="31">
        <f>UPPER(SUBSTITUTE(TRIM(E706)," ",""))</f>
        <v/>
      </c>
      <c r="BB706" s="31">
        <f>IF(D706&lt;&gt;"",D706,IFERROR(VLOOKUP(MID(AS706,4,1),Lists!$E$2:$F$8,2,FALSE),""))</f>
        <v/>
      </c>
      <c r="BC706" s="31">
        <f>IFERROR(VLOOKUP(BB706,Lists!$A$2:$C$12,3,FALSE),"")</f>
        <v/>
      </c>
      <c r="BD706" s="31">
        <f>COUNTIF(W706:AC706,"Yes")</f>
        <v/>
      </c>
      <c r="BE706" s="31">
        <f>IF(TRIM(B706)="","Legal name missing; ","")&amp;IF(AND(AV706&lt;&gt;"",AV706&lt;&gt;"OK"),"GSTIN: "&amp;AV706&amp;"; ","")&amp;IF(AND(AW706&lt;&gt;"",AW706&lt;&gt;"OK"),"PAN wrong format; ","")&amp;IF(AND(BA706&lt;&gt;"",LEN(AZ706)=15,MID(AZ706,3,10)&lt;&gt;BA706),"PAN does not match GSTIN; ","")&amp;IF(AND(AX706&lt;&gt;"",AX706&lt;&gt;"OK"),"TAN wrong format; ","")&amp;IF(AS706="","PAN missing; ","")&amp;IF(BB706="","Entity type missing; ","")&amp;IF(AND(AZ706&lt;&gt;"",COUNTIF($AZ$6:$AZ$1005,AZ706)&gt;1),"GSTIN repeated in this sheet; ","")&amp;IF(AND(AS706&lt;&gt;"",COUNTIF($AS$6:$AS$1005,AS706)&gt;1),"PAN repeated in this sheet (same client? put extra GSTINs in Other GSTINs); ","")&amp;IF(AND(BD706&gt;0,V706=""),"Financial year missing; ","")&amp;IF(AND(BD706=0,V706&lt;&gt;""),"Financial year given but no service is Yes; ","")&amp;IF(AND(W706="Yes",AZ706=""),"GST needs a GSTIN; ","")&amp;IF(AND(W706="Yes",X706=""),"GST return frequency missing; ","")&amp;IF(AND(Y706="Yes",TRIM(H706)=""),"TDS needs a TAN; ","")&amp;IF(AND(AA706="Yes",BC706&lt;&gt;"",BC706&lt;&gt;"company",BC706&lt;&gt;"llp"),"ROC is only for a company / LLP; ","")&amp;IF(AND(AA706="Yes",OR(BC706="company",BC706="llp"),TRIM(I706)=""),"ROC needs the CIN / LLPIN; ","")&amp;IF((TRIM(AF706)="")&lt;&gt;(TRIM(AG706)=""),"GST login needs both user ID and password; ","")&amp;IF((TRIM(AH706)="")&lt;&gt;(TRIM(AI706)=""),"Income-tax login needs both user ID and password; ","")&amp;IF((TRIM(AJ706)="")&lt;&gt;(TRIM(AK706)=""),"Income-tax login needs both user ID and password; ","")&amp;IF((TRIM(AL706)="")&lt;&gt;(TRIM(AM706)=""),"TRACES login needs both user ID and password; ","")&amp;IF((TRIM(AN706)="")&lt;&gt;(TRIM(AO706)=""),"MCA login needs both user ID and password; ","")&amp;IF((TRIM(AP706)="")&lt;&gt;(TRIM(AQ706)=""),"E-way bill login needs both user ID and password; ","")</f>
        <v/>
      </c>
    </row>
    <row r="707">
      <c r="A707" s="32" t="n"/>
      <c r="B707" s="33" t="n"/>
      <c r="C707" s="33" t="n"/>
      <c r="D707" s="33" t="n"/>
      <c r="E707" s="32" t="n"/>
      <c r="F707" s="32" t="n"/>
      <c r="G707" s="32" t="n"/>
      <c r="H707" s="32" t="n"/>
      <c r="I707" s="32" t="n"/>
      <c r="J707" s="34" t="n"/>
      <c r="K707" s="33" t="n"/>
      <c r="L707" s="32" t="n"/>
      <c r="M707" s="33" t="n"/>
      <c r="N707" s="33" t="n"/>
      <c r="O707" s="33" t="n"/>
      <c r="P707" s="32" t="n"/>
      <c r="Q707" s="33" t="n"/>
      <c r="R707" s="33" t="n"/>
      <c r="S707" s="33" t="n"/>
      <c r="T707" s="33" t="n"/>
      <c r="U707" s="32" t="n"/>
      <c r="V707" s="33" t="n"/>
      <c r="W707" s="33" t="n"/>
      <c r="X707" s="33" t="n"/>
      <c r="Y707" s="33" t="n"/>
      <c r="Z707" s="33" t="n"/>
      <c r="AA707" s="33" t="n"/>
      <c r="AB707" s="33" t="n"/>
      <c r="AC707" s="33" t="n"/>
      <c r="AD707" s="33" t="n"/>
      <c r="AE707" s="33" t="n"/>
      <c r="AF707" s="32" t="n"/>
      <c r="AG707" s="32" t="n"/>
      <c r="AH707" s="32" t="n"/>
      <c r="AI707" s="32" t="n"/>
      <c r="AJ707" s="32" t="n"/>
      <c r="AK707" s="32" t="n"/>
      <c r="AL707" s="32" t="n"/>
      <c r="AM707" s="32" t="n"/>
      <c r="AN707" s="32" t="n"/>
      <c r="AO707" s="32" t="n"/>
      <c r="AP707" s="32" t="n"/>
      <c r="AQ707" s="32" t="n"/>
      <c r="AR707" s="29">
        <f>IF(NOT(COUNTA(A707:AE707)&gt;0),"",IF(A707="","New client","Update"))</f>
        <v/>
      </c>
      <c r="AS707" s="29">
        <f>IF(BA707&lt;&gt;"",BA707,IF(LEN(AZ707)=15,MID(AZ707,3,10),""))</f>
        <v/>
      </c>
      <c r="AT707" s="29">
        <f>IF(BB707="","",BB707&amp;IF(D707="","  (guessed from PAN)",""))</f>
        <v/>
      </c>
      <c r="AU707" s="29">
        <f>IF(AZ707="","",IFERROR(INDEX(Lists!$L$2:$L$38,MATCH(LEFT(AZ707,2),Lists!$K$2:$K$38,0)),"Unknown code"))</f>
        <v/>
      </c>
      <c r="AV707" s="29">
        <f>IF(AZ707="","",IFERROR(IF(NOT(AND(LEN(AZ707)=15,ISNUMBER(MATCH(LEFT(AZ707,2),Lists!$K$2:$K$38,0)),SUMPRODUCT(--ISERROR(FIND(MID(MID(AZ707,3,10),{1,2,3,4,5,10},1),"ABCDEFGHIJKLMNOPQRSTUVWXYZ")))=0,SUMPRODUCT(--ISERROR(FIND(MID(MID(AZ707,3,10),{6,7,8,9},1),"0123456789")))=0,ISNUMBER(FIND(MID(AZ707,13,1),"123456789ABCDEFGHIJKLMNOPQRSTUVWXYZ")),MID(AZ707,14,1)="Z")),"Wrong format",IF(MID("0123456789ABCDEFGHIJKLMNOPQRSTUVWXYZ",MOD(36-MOD(SUMPRODUCT(INT((FIND(MID(AZ707,{1,2,3,4,5,6,7,8,9,10,11,12,13,14},1),"0123456789ABCDEFGHIJKLMNOPQRSTUVWXYZ")-1)*{1,2,1,2,1,2,1,2,1,2,1,2,1,2}/36)+MOD((FIND(MID(AZ707,{1,2,3,4,5,6,7,8,9,10,11,12,13,14},1),"0123456789ABCDEFGHIJKLMNOPQRSTUVWXYZ")-1)*{1,2,1,2,1,2,1,2,1,2,1,2,1,2},36)),36),36)+1,1)=MID(AZ707,15,1),"OK","Typo? check digit wrong")),"Wrong format"))</f>
        <v/>
      </c>
      <c r="AW707" s="29">
        <f>IF(BA707="","",IF(AND(LEN(BA707)=10,SUMPRODUCT(--ISERROR(FIND(MID(BA707,{1,2,3,4,5,10},1),"ABCDEFGHIJKLMNOPQRSTUVWXYZ")))=0,SUMPRODUCT(--ISERROR(FIND(MID(BA707,{6,7,8,9},1),"0123456789")))=0),"OK","Wrong format"))</f>
        <v/>
      </c>
      <c r="AX707" s="29">
        <f>IF(TRIM(H707)="","",IF(AND(LEN(UPPER(TRIM(H707)))=10,SUMPRODUCT(--ISERROR(FIND(MID(UPPER(TRIM(H707)),{1,2,3,4,10},1),"ABCDEFGHIJKLMNOPQRSTUVWXYZ")))=0,SUMPRODUCT(--ISERROR(FIND(MID(UPPER(TRIM(H707)),{5,6,7,8,9},1),"0123456789")))=0),"OK","Wrong format"))</f>
        <v/>
      </c>
      <c r="AY707" s="30">
        <f>IF(NOT(COUNTA(A707:AE707)&gt;0),"",IF(BE707&lt;&gt;"","✖ "&amp;LEFT(BE707,LEN(BE707)-2),IF(BD707&gt;0,"✔ Ready — client + "&amp;BD707&amp;" service(s)","✔ Ready — client only")))</f>
        <v/>
      </c>
      <c r="AZ707" s="31">
        <f>UPPER(SUBSTITUTE(TRIM(F707)," ",""))</f>
        <v/>
      </c>
      <c r="BA707" s="31">
        <f>UPPER(SUBSTITUTE(TRIM(E707)," ",""))</f>
        <v/>
      </c>
      <c r="BB707" s="31">
        <f>IF(D707&lt;&gt;"",D707,IFERROR(VLOOKUP(MID(AS707,4,1),Lists!$E$2:$F$8,2,FALSE),""))</f>
        <v/>
      </c>
      <c r="BC707" s="31">
        <f>IFERROR(VLOOKUP(BB707,Lists!$A$2:$C$12,3,FALSE),"")</f>
        <v/>
      </c>
      <c r="BD707" s="31">
        <f>COUNTIF(W707:AC707,"Yes")</f>
        <v/>
      </c>
      <c r="BE707" s="31">
        <f>IF(TRIM(B707)="","Legal name missing; ","")&amp;IF(AND(AV707&lt;&gt;"",AV707&lt;&gt;"OK"),"GSTIN: "&amp;AV707&amp;"; ","")&amp;IF(AND(AW707&lt;&gt;"",AW707&lt;&gt;"OK"),"PAN wrong format; ","")&amp;IF(AND(BA707&lt;&gt;"",LEN(AZ707)=15,MID(AZ707,3,10)&lt;&gt;BA707),"PAN does not match GSTIN; ","")&amp;IF(AND(AX707&lt;&gt;"",AX707&lt;&gt;"OK"),"TAN wrong format; ","")&amp;IF(AS707="","PAN missing; ","")&amp;IF(BB707="","Entity type missing; ","")&amp;IF(AND(AZ707&lt;&gt;"",COUNTIF($AZ$6:$AZ$1005,AZ707)&gt;1),"GSTIN repeated in this sheet; ","")&amp;IF(AND(AS707&lt;&gt;"",COUNTIF($AS$6:$AS$1005,AS707)&gt;1),"PAN repeated in this sheet (same client? put extra GSTINs in Other GSTINs); ","")&amp;IF(AND(BD707&gt;0,V707=""),"Financial year missing; ","")&amp;IF(AND(BD707=0,V707&lt;&gt;""),"Financial year given but no service is Yes; ","")&amp;IF(AND(W707="Yes",AZ707=""),"GST needs a GSTIN; ","")&amp;IF(AND(W707="Yes",X707=""),"GST return frequency missing; ","")&amp;IF(AND(Y707="Yes",TRIM(H707)=""),"TDS needs a TAN; ","")&amp;IF(AND(AA707="Yes",BC707&lt;&gt;"",BC707&lt;&gt;"company",BC707&lt;&gt;"llp"),"ROC is only for a company / LLP; ","")&amp;IF(AND(AA707="Yes",OR(BC707="company",BC707="llp"),TRIM(I707)=""),"ROC needs the CIN / LLPIN; ","")&amp;IF((TRIM(AF707)="")&lt;&gt;(TRIM(AG707)=""),"GST login needs both user ID and password; ","")&amp;IF((TRIM(AH707)="")&lt;&gt;(TRIM(AI707)=""),"Income-tax login needs both user ID and password; ","")&amp;IF((TRIM(AJ707)="")&lt;&gt;(TRIM(AK707)=""),"Income-tax login needs both user ID and password; ","")&amp;IF((TRIM(AL707)="")&lt;&gt;(TRIM(AM707)=""),"TRACES login needs both user ID and password; ","")&amp;IF((TRIM(AN707)="")&lt;&gt;(TRIM(AO707)=""),"MCA login needs both user ID and password; ","")&amp;IF((TRIM(AP707)="")&lt;&gt;(TRIM(AQ707)=""),"E-way bill login needs both user ID and password; ","")</f>
        <v/>
      </c>
    </row>
    <row r="708">
      <c r="A708" s="32" t="n"/>
      <c r="B708" s="33" t="n"/>
      <c r="C708" s="33" t="n"/>
      <c r="D708" s="33" t="n"/>
      <c r="E708" s="32" t="n"/>
      <c r="F708" s="32" t="n"/>
      <c r="G708" s="32" t="n"/>
      <c r="H708" s="32" t="n"/>
      <c r="I708" s="32" t="n"/>
      <c r="J708" s="34" t="n"/>
      <c r="K708" s="33" t="n"/>
      <c r="L708" s="32" t="n"/>
      <c r="M708" s="33" t="n"/>
      <c r="N708" s="33" t="n"/>
      <c r="O708" s="33" t="n"/>
      <c r="P708" s="32" t="n"/>
      <c r="Q708" s="33" t="n"/>
      <c r="R708" s="33" t="n"/>
      <c r="S708" s="33" t="n"/>
      <c r="T708" s="33" t="n"/>
      <c r="U708" s="32" t="n"/>
      <c r="V708" s="33" t="n"/>
      <c r="W708" s="33" t="n"/>
      <c r="X708" s="33" t="n"/>
      <c r="Y708" s="33" t="n"/>
      <c r="Z708" s="33" t="n"/>
      <c r="AA708" s="33" t="n"/>
      <c r="AB708" s="33" t="n"/>
      <c r="AC708" s="33" t="n"/>
      <c r="AD708" s="33" t="n"/>
      <c r="AE708" s="33" t="n"/>
      <c r="AF708" s="32" t="n"/>
      <c r="AG708" s="32" t="n"/>
      <c r="AH708" s="32" t="n"/>
      <c r="AI708" s="32" t="n"/>
      <c r="AJ708" s="32" t="n"/>
      <c r="AK708" s="32" t="n"/>
      <c r="AL708" s="32" t="n"/>
      <c r="AM708" s="32" t="n"/>
      <c r="AN708" s="32" t="n"/>
      <c r="AO708" s="32" t="n"/>
      <c r="AP708" s="32" t="n"/>
      <c r="AQ708" s="32" t="n"/>
      <c r="AR708" s="29">
        <f>IF(NOT(COUNTA(A708:AE708)&gt;0),"",IF(A708="","New client","Update"))</f>
        <v/>
      </c>
      <c r="AS708" s="29">
        <f>IF(BA708&lt;&gt;"",BA708,IF(LEN(AZ708)=15,MID(AZ708,3,10),""))</f>
        <v/>
      </c>
      <c r="AT708" s="29">
        <f>IF(BB708="","",BB708&amp;IF(D708="","  (guessed from PAN)",""))</f>
        <v/>
      </c>
      <c r="AU708" s="29">
        <f>IF(AZ708="","",IFERROR(INDEX(Lists!$L$2:$L$38,MATCH(LEFT(AZ708,2),Lists!$K$2:$K$38,0)),"Unknown code"))</f>
        <v/>
      </c>
      <c r="AV708" s="29">
        <f>IF(AZ708="","",IFERROR(IF(NOT(AND(LEN(AZ708)=15,ISNUMBER(MATCH(LEFT(AZ708,2),Lists!$K$2:$K$38,0)),SUMPRODUCT(--ISERROR(FIND(MID(MID(AZ708,3,10),{1,2,3,4,5,10},1),"ABCDEFGHIJKLMNOPQRSTUVWXYZ")))=0,SUMPRODUCT(--ISERROR(FIND(MID(MID(AZ708,3,10),{6,7,8,9},1),"0123456789")))=0,ISNUMBER(FIND(MID(AZ708,13,1),"123456789ABCDEFGHIJKLMNOPQRSTUVWXYZ")),MID(AZ708,14,1)="Z")),"Wrong format",IF(MID("0123456789ABCDEFGHIJKLMNOPQRSTUVWXYZ",MOD(36-MOD(SUMPRODUCT(INT((FIND(MID(AZ708,{1,2,3,4,5,6,7,8,9,10,11,12,13,14},1),"0123456789ABCDEFGHIJKLMNOPQRSTUVWXYZ")-1)*{1,2,1,2,1,2,1,2,1,2,1,2,1,2}/36)+MOD((FIND(MID(AZ708,{1,2,3,4,5,6,7,8,9,10,11,12,13,14},1),"0123456789ABCDEFGHIJKLMNOPQRSTUVWXYZ")-1)*{1,2,1,2,1,2,1,2,1,2,1,2,1,2},36)),36),36)+1,1)=MID(AZ708,15,1),"OK","Typo? check digit wrong")),"Wrong format"))</f>
        <v/>
      </c>
      <c r="AW708" s="29">
        <f>IF(BA708="","",IF(AND(LEN(BA708)=10,SUMPRODUCT(--ISERROR(FIND(MID(BA708,{1,2,3,4,5,10},1),"ABCDEFGHIJKLMNOPQRSTUVWXYZ")))=0,SUMPRODUCT(--ISERROR(FIND(MID(BA708,{6,7,8,9},1),"0123456789")))=0),"OK","Wrong format"))</f>
        <v/>
      </c>
      <c r="AX708" s="29">
        <f>IF(TRIM(H708)="","",IF(AND(LEN(UPPER(TRIM(H708)))=10,SUMPRODUCT(--ISERROR(FIND(MID(UPPER(TRIM(H708)),{1,2,3,4,10},1),"ABCDEFGHIJKLMNOPQRSTUVWXYZ")))=0,SUMPRODUCT(--ISERROR(FIND(MID(UPPER(TRIM(H708)),{5,6,7,8,9},1),"0123456789")))=0),"OK","Wrong format"))</f>
        <v/>
      </c>
      <c r="AY708" s="30">
        <f>IF(NOT(COUNTA(A708:AE708)&gt;0),"",IF(BE708&lt;&gt;"","✖ "&amp;LEFT(BE708,LEN(BE708)-2),IF(BD708&gt;0,"✔ Ready — client + "&amp;BD708&amp;" service(s)","✔ Ready — client only")))</f>
        <v/>
      </c>
      <c r="AZ708" s="31">
        <f>UPPER(SUBSTITUTE(TRIM(F708)," ",""))</f>
        <v/>
      </c>
      <c r="BA708" s="31">
        <f>UPPER(SUBSTITUTE(TRIM(E708)," ",""))</f>
        <v/>
      </c>
      <c r="BB708" s="31">
        <f>IF(D708&lt;&gt;"",D708,IFERROR(VLOOKUP(MID(AS708,4,1),Lists!$E$2:$F$8,2,FALSE),""))</f>
        <v/>
      </c>
      <c r="BC708" s="31">
        <f>IFERROR(VLOOKUP(BB708,Lists!$A$2:$C$12,3,FALSE),"")</f>
        <v/>
      </c>
      <c r="BD708" s="31">
        <f>COUNTIF(W708:AC708,"Yes")</f>
        <v/>
      </c>
      <c r="BE708" s="31">
        <f>IF(TRIM(B708)="","Legal name missing; ","")&amp;IF(AND(AV708&lt;&gt;"",AV708&lt;&gt;"OK"),"GSTIN: "&amp;AV708&amp;"; ","")&amp;IF(AND(AW708&lt;&gt;"",AW708&lt;&gt;"OK"),"PAN wrong format; ","")&amp;IF(AND(BA708&lt;&gt;"",LEN(AZ708)=15,MID(AZ708,3,10)&lt;&gt;BA708),"PAN does not match GSTIN; ","")&amp;IF(AND(AX708&lt;&gt;"",AX708&lt;&gt;"OK"),"TAN wrong format; ","")&amp;IF(AS708="","PAN missing; ","")&amp;IF(BB708="","Entity type missing; ","")&amp;IF(AND(AZ708&lt;&gt;"",COUNTIF($AZ$6:$AZ$1005,AZ708)&gt;1),"GSTIN repeated in this sheet; ","")&amp;IF(AND(AS708&lt;&gt;"",COUNTIF($AS$6:$AS$1005,AS708)&gt;1),"PAN repeated in this sheet (same client? put extra GSTINs in Other GSTINs); ","")&amp;IF(AND(BD708&gt;0,V708=""),"Financial year missing; ","")&amp;IF(AND(BD708=0,V708&lt;&gt;""),"Financial year given but no service is Yes; ","")&amp;IF(AND(W708="Yes",AZ708=""),"GST needs a GSTIN; ","")&amp;IF(AND(W708="Yes",X708=""),"GST return frequency missing; ","")&amp;IF(AND(Y708="Yes",TRIM(H708)=""),"TDS needs a TAN; ","")&amp;IF(AND(AA708="Yes",BC708&lt;&gt;"",BC708&lt;&gt;"company",BC708&lt;&gt;"llp"),"ROC is only for a company / LLP; ","")&amp;IF(AND(AA708="Yes",OR(BC708="company",BC708="llp"),TRIM(I708)=""),"ROC needs the CIN / LLPIN; ","")&amp;IF((TRIM(AF708)="")&lt;&gt;(TRIM(AG708)=""),"GST login needs both user ID and password; ","")&amp;IF((TRIM(AH708)="")&lt;&gt;(TRIM(AI708)=""),"Income-tax login needs both user ID and password; ","")&amp;IF((TRIM(AJ708)="")&lt;&gt;(TRIM(AK708)=""),"Income-tax login needs both user ID and password; ","")&amp;IF((TRIM(AL708)="")&lt;&gt;(TRIM(AM708)=""),"TRACES login needs both user ID and password; ","")&amp;IF((TRIM(AN708)="")&lt;&gt;(TRIM(AO708)=""),"MCA login needs both user ID and password; ","")&amp;IF((TRIM(AP708)="")&lt;&gt;(TRIM(AQ708)=""),"E-way bill login needs both user ID and password; ","")</f>
        <v/>
      </c>
    </row>
    <row r="709">
      <c r="A709" s="32" t="n"/>
      <c r="B709" s="33" t="n"/>
      <c r="C709" s="33" t="n"/>
      <c r="D709" s="33" t="n"/>
      <c r="E709" s="32" t="n"/>
      <c r="F709" s="32" t="n"/>
      <c r="G709" s="32" t="n"/>
      <c r="H709" s="32" t="n"/>
      <c r="I709" s="32" t="n"/>
      <c r="J709" s="34" t="n"/>
      <c r="K709" s="33" t="n"/>
      <c r="L709" s="32" t="n"/>
      <c r="M709" s="33" t="n"/>
      <c r="N709" s="33" t="n"/>
      <c r="O709" s="33" t="n"/>
      <c r="P709" s="32" t="n"/>
      <c r="Q709" s="33" t="n"/>
      <c r="R709" s="33" t="n"/>
      <c r="S709" s="33" t="n"/>
      <c r="T709" s="33" t="n"/>
      <c r="U709" s="32" t="n"/>
      <c r="V709" s="33" t="n"/>
      <c r="W709" s="33" t="n"/>
      <c r="X709" s="33" t="n"/>
      <c r="Y709" s="33" t="n"/>
      <c r="Z709" s="33" t="n"/>
      <c r="AA709" s="33" t="n"/>
      <c r="AB709" s="33" t="n"/>
      <c r="AC709" s="33" t="n"/>
      <c r="AD709" s="33" t="n"/>
      <c r="AE709" s="33" t="n"/>
      <c r="AF709" s="32" t="n"/>
      <c r="AG709" s="32" t="n"/>
      <c r="AH709" s="32" t="n"/>
      <c r="AI709" s="32" t="n"/>
      <c r="AJ709" s="32" t="n"/>
      <c r="AK709" s="32" t="n"/>
      <c r="AL709" s="32" t="n"/>
      <c r="AM709" s="32" t="n"/>
      <c r="AN709" s="32" t="n"/>
      <c r="AO709" s="32" t="n"/>
      <c r="AP709" s="32" t="n"/>
      <c r="AQ709" s="32" t="n"/>
      <c r="AR709" s="29">
        <f>IF(NOT(COUNTA(A709:AE709)&gt;0),"",IF(A709="","New client","Update"))</f>
        <v/>
      </c>
      <c r="AS709" s="29">
        <f>IF(BA709&lt;&gt;"",BA709,IF(LEN(AZ709)=15,MID(AZ709,3,10),""))</f>
        <v/>
      </c>
      <c r="AT709" s="29">
        <f>IF(BB709="","",BB709&amp;IF(D709="","  (guessed from PAN)",""))</f>
        <v/>
      </c>
      <c r="AU709" s="29">
        <f>IF(AZ709="","",IFERROR(INDEX(Lists!$L$2:$L$38,MATCH(LEFT(AZ709,2),Lists!$K$2:$K$38,0)),"Unknown code"))</f>
        <v/>
      </c>
      <c r="AV709" s="29">
        <f>IF(AZ709="","",IFERROR(IF(NOT(AND(LEN(AZ709)=15,ISNUMBER(MATCH(LEFT(AZ709,2),Lists!$K$2:$K$38,0)),SUMPRODUCT(--ISERROR(FIND(MID(MID(AZ709,3,10),{1,2,3,4,5,10},1),"ABCDEFGHIJKLMNOPQRSTUVWXYZ")))=0,SUMPRODUCT(--ISERROR(FIND(MID(MID(AZ709,3,10),{6,7,8,9},1),"0123456789")))=0,ISNUMBER(FIND(MID(AZ709,13,1),"123456789ABCDEFGHIJKLMNOPQRSTUVWXYZ")),MID(AZ709,14,1)="Z")),"Wrong format",IF(MID("0123456789ABCDEFGHIJKLMNOPQRSTUVWXYZ",MOD(36-MOD(SUMPRODUCT(INT((FIND(MID(AZ709,{1,2,3,4,5,6,7,8,9,10,11,12,13,14},1),"0123456789ABCDEFGHIJKLMNOPQRSTUVWXYZ")-1)*{1,2,1,2,1,2,1,2,1,2,1,2,1,2}/36)+MOD((FIND(MID(AZ709,{1,2,3,4,5,6,7,8,9,10,11,12,13,14},1),"0123456789ABCDEFGHIJKLMNOPQRSTUVWXYZ")-1)*{1,2,1,2,1,2,1,2,1,2,1,2,1,2},36)),36),36)+1,1)=MID(AZ709,15,1),"OK","Typo? check digit wrong")),"Wrong format"))</f>
        <v/>
      </c>
      <c r="AW709" s="29">
        <f>IF(BA709="","",IF(AND(LEN(BA709)=10,SUMPRODUCT(--ISERROR(FIND(MID(BA709,{1,2,3,4,5,10},1),"ABCDEFGHIJKLMNOPQRSTUVWXYZ")))=0,SUMPRODUCT(--ISERROR(FIND(MID(BA709,{6,7,8,9},1),"0123456789")))=0),"OK","Wrong format"))</f>
        <v/>
      </c>
      <c r="AX709" s="29">
        <f>IF(TRIM(H709)="","",IF(AND(LEN(UPPER(TRIM(H709)))=10,SUMPRODUCT(--ISERROR(FIND(MID(UPPER(TRIM(H709)),{1,2,3,4,10},1),"ABCDEFGHIJKLMNOPQRSTUVWXYZ")))=0,SUMPRODUCT(--ISERROR(FIND(MID(UPPER(TRIM(H709)),{5,6,7,8,9},1),"0123456789")))=0),"OK","Wrong format"))</f>
        <v/>
      </c>
      <c r="AY709" s="30">
        <f>IF(NOT(COUNTA(A709:AE709)&gt;0),"",IF(BE709&lt;&gt;"","✖ "&amp;LEFT(BE709,LEN(BE709)-2),IF(BD709&gt;0,"✔ Ready — client + "&amp;BD709&amp;" service(s)","✔ Ready — client only")))</f>
        <v/>
      </c>
      <c r="AZ709" s="31">
        <f>UPPER(SUBSTITUTE(TRIM(F709)," ",""))</f>
        <v/>
      </c>
      <c r="BA709" s="31">
        <f>UPPER(SUBSTITUTE(TRIM(E709)," ",""))</f>
        <v/>
      </c>
      <c r="BB709" s="31">
        <f>IF(D709&lt;&gt;"",D709,IFERROR(VLOOKUP(MID(AS709,4,1),Lists!$E$2:$F$8,2,FALSE),""))</f>
        <v/>
      </c>
      <c r="BC709" s="31">
        <f>IFERROR(VLOOKUP(BB709,Lists!$A$2:$C$12,3,FALSE),"")</f>
        <v/>
      </c>
      <c r="BD709" s="31">
        <f>COUNTIF(W709:AC709,"Yes")</f>
        <v/>
      </c>
      <c r="BE709" s="31">
        <f>IF(TRIM(B709)="","Legal name missing; ","")&amp;IF(AND(AV709&lt;&gt;"",AV709&lt;&gt;"OK"),"GSTIN: "&amp;AV709&amp;"; ","")&amp;IF(AND(AW709&lt;&gt;"",AW709&lt;&gt;"OK"),"PAN wrong format; ","")&amp;IF(AND(BA709&lt;&gt;"",LEN(AZ709)=15,MID(AZ709,3,10)&lt;&gt;BA709),"PAN does not match GSTIN; ","")&amp;IF(AND(AX709&lt;&gt;"",AX709&lt;&gt;"OK"),"TAN wrong format; ","")&amp;IF(AS709="","PAN missing; ","")&amp;IF(BB709="","Entity type missing; ","")&amp;IF(AND(AZ709&lt;&gt;"",COUNTIF($AZ$6:$AZ$1005,AZ709)&gt;1),"GSTIN repeated in this sheet; ","")&amp;IF(AND(AS709&lt;&gt;"",COUNTIF($AS$6:$AS$1005,AS709)&gt;1),"PAN repeated in this sheet (same client? put extra GSTINs in Other GSTINs); ","")&amp;IF(AND(BD709&gt;0,V709=""),"Financial year missing; ","")&amp;IF(AND(BD709=0,V709&lt;&gt;""),"Financial year given but no service is Yes; ","")&amp;IF(AND(W709="Yes",AZ709=""),"GST needs a GSTIN; ","")&amp;IF(AND(W709="Yes",X709=""),"GST return frequency missing; ","")&amp;IF(AND(Y709="Yes",TRIM(H709)=""),"TDS needs a TAN; ","")&amp;IF(AND(AA709="Yes",BC709&lt;&gt;"",BC709&lt;&gt;"company",BC709&lt;&gt;"llp"),"ROC is only for a company / LLP; ","")&amp;IF(AND(AA709="Yes",OR(BC709="company",BC709="llp"),TRIM(I709)=""),"ROC needs the CIN / LLPIN; ","")&amp;IF((TRIM(AF709)="")&lt;&gt;(TRIM(AG709)=""),"GST login needs both user ID and password; ","")&amp;IF((TRIM(AH709)="")&lt;&gt;(TRIM(AI709)=""),"Income-tax login needs both user ID and password; ","")&amp;IF((TRIM(AJ709)="")&lt;&gt;(TRIM(AK709)=""),"Income-tax login needs both user ID and password; ","")&amp;IF((TRIM(AL709)="")&lt;&gt;(TRIM(AM709)=""),"TRACES login needs both user ID and password; ","")&amp;IF((TRIM(AN709)="")&lt;&gt;(TRIM(AO709)=""),"MCA login needs both user ID and password; ","")&amp;IF((TRIM(AP709)="")&lt;&gt;(TRIM(AQ709)=""),"E-way bill login needs both user ID and password; ","")</f>
        <v/>
      </c>
    </row>
    <row r="710">
      <c r="A710" s="32" t="n"/>
      <c r="B710" s="33" t="n"/>
      <c r="C710" s="33" t="n"/>
      <c r="D710" s="33" t="n"/>
      <c r="E710" s="32" t="n"/>
      <c r="F710" s="32" t="n"/>
      <c r="G710" s="32" t="n"/>
      <c r="H710" s="32" t="n"/>
      <c r="I710" s="32" t="n"/>
      <c r="J710" s="34" t="n"/>
      <c r="K710" s="33" t="n"/>
      <c r="L710" s="32" t="n"/>
      <c r="M710" s="33" t="n"/>
      <c r="N710" s="33" t="n"/>
      <c r="O710" s="33" t="n"/>
      <c r="P710" s="32" t="n"/>
      <c r="Q710" s="33" t="n"/>
      <c r="R710" s="33" t="n"/>
      <c r="S710" s="33" t="n"/>
      <c r="T710" s="33" t="n"/>
      <c r="U710" s="32" t="n"/>
      <c r="V710" s="33" t="n"/>
      <c r="W710" s="33" t="n"/>
      <c r="X710" s="33" t="n"/>
      <c r="Y710" s="33" t="n"/>
      <c r="Z710" s="33" t="n"/>
      <c r="AA710" s="33" t="n"/>
      <c r="AB710" s="33" t="n"/>
      <c r="AC710" s="33" t="n"/>
      <c r="AD710" s="33" t="n"/>
      <c r="AE710" s="33" t="n"/>
      <c r="AF710" s="32" t="n"/>
      <c r="AG710" s="32" t="n"/>
      <c r="AH710" s="32" t="n"/>
      <c r="AI710" s="32" t="n"/>
      <c r="AJ710" s="32" t="n"/>
      <c r="AK710" s="32" t="n"/>
      <c r="AL710" s="32" t="n"/>
      <c r="AM710" s="32" t="n"/>
      <c r="AN710" s="32" t="n"/>
      <c r="AO710" s="32" t="n"/>
      <c r="AP710" s="32" t="n"/>
      <c r="AQ710" s="32" t="n"/>
      <c r="AR710" s="29">
        <f>IF(NOT(COUNTA(A710:AE710)&gt;0),"",IF(A710="","New client","Update"))</f>
        <v/>
      </c>
      <c r="AS710" s="29">
        <f>IF(BA710&lt;&gt;"",BA710,IF(LEN(AZ710)=15,MID(AZ710,3,10),""))</f>
        <v/>
      </c>
      <c r="AT710" s="29">
        <f>IF(BB710="","",BB710&amp;IF(D710="","  (guessed from PAN)",""))</f>
        <v/>
      </c>
      <c r="AU710" s="29">
        <f>IF(AZ710="","",IFERROR(INDEX(Lists!$L$2:$L$38,MATCH(LEFT(AZ710,2),Lists!$K$2:$K$38,0)),"Unknown code"))</f>
        <v/>
      </c>
      <c r="AV710" s="29">
        <f>IF(AZ710="","",IFERROR(IF(NOT(AND(LEN(AZ710)=15,ISNUMBER(MATCH(LEFT(AZ710,2),Lists!$K$2:$K$38,0)),SUMPRODUCT(--ISERROR(FIND(MID(MID(AZ710,3,10),{1,2,3,4,5,10},1),"ABCDEFGHIJKLMNOPQRSTUVWXYZ")))=0,SUMPRODUCT(--ISERROR(FIND(MID(MID(AZ710,3,10),{6,7,8,9},1),"0123456789")))=0,ISNUMBER(FIND(MID(AZ710,13,1),"123456789ABCDEFGHIJKLMNOPQRSTUVWXYZ")),MID(AZ710,14,1)="Z")),"Wrong format",IF(MID("0123456789ABCDEFGHIJKLMNOPQRSTUVWXYZ",MOD(36-MOD(SUMPRODUCT(INT((FIND(MID(AZ710,{1,2,3,4,5,6,7,8,9,10,11,12,13,14},1),"0123456789ABCDEFGHIJKLMNOPQRSTUVWXYZ")-1)*{1,2,1,2,1,2,1,2,1,2,1,2,1,2}/36)+MOD((FIND(MID(AZ710,{1,2,3,4,5,6,7,8,9,10,11,12,13,14},1),"0123456789ABCDEFGHIJKLMNOPQRSTUVWXYZ")-1)*{1,2,1,2,1,2,1,2,1,2,1,2,1,2},36)),36),36)+1,1)=MID(AZ710,15,1),"OK","Typo? check digit wrong")),"Wrong format"))</f>
        <v/>
      </c>
      <c r="AW710" s="29">
        <f>IF(BA710="","",IF(AND(LEN(BA710)=10,SUMPRODUCT(--ISERROR(FIND(MID(BA710,{1,2,3,4,5,10},1),"ABCDEFGHIJKLMNOPQRSTUVWXYZ")))=0,SUMPRODUCT(--ISERROR(FIND(MID(BA710,{6,7,8,9},1),"0123456789")))=0),"OK","Wrong format"))</f>
        <v/>
      </c>
      <c r="AX710" s="29">
        <f>IF(TRIM(H710)="","",IF(AND(LEN(UPPER(TRIM(H710)))=10,SUMPRODUCT(--ISERROR(FIND(MID(UPPER(TRIM(H710)),{1,2,3,4,10},1),"ABCDEFGHIJKLMNOPQRSTUVWXYZ")))=0,SUMPRODUCT(--ISERROR(FIND(MID(UPPER(TRIM(H710)),{5,6,7,8,9},1),"0123456789")))=0),"OK","Wrong format"))</f>
        <v/>
      </c>
      <c r="AY710" s="30">
        <f>IF(NOT(COUNTA(A710:AE710)&gt;0),"",IF(BE710&lt;&gt;"","✖ "&amp;LEFT(BE710,LEN(BE710)-2),IF(BD710&gt;0,"✔ Ready — client + "&amp;BD710&amp;" service(s)","✔ Ready — client only")))</f>
        <v/>
      </c>
      <c r="AZ710" s="31">
        <f>UPPER(SUBSTITUTE(TRIM(F710)," ",""))</f>
        <v/>
      </c>
      <c r="BA710" s="31">
        <f>UPPER(SUBSTITUTE(TRIM(E710)," ",""))</f>
        <v/>
      </c>
      <c r="BB710" s="31">
        <f>IF(D710&lt;&gt;"",D710,IFERROR(VLOOKUP(MID(AS710,4,1),Lists!$E$2:$F$8,2,FALSE),""))</f>
        <v/>
      </c>
      <c r="BC710" s="31">
        <f>IFERROR(VLOOKUP(BB710,Lists!$A$2:$C$12,3,FALSE),"")</f>
        <v/>
      </c>
      <c r="BD710" s="31">
        <f>COUNTIF(W710:AC710,"Yes")</f>
        <v/>
      </c>
      <c r="BE710" s="31">
        <f>IF(TRIM(B710)="","Legal name missing; ","")&amp;IF(AND(AV710&lt;&gt;"",AV710&lt;&gt;"OK"),"GSTIN: "&amp;AV710&amp;"; ","")&amp;IF(AND(AW710&lt;&gt;"",AW710&lt;&gt;"OK"),"PAN wrong format; ","")&amp;IF(AND(BA710&lt;&gt;"",LEN(AZ710)=15,MID(AZ710,3,10)&lt;&gt;BA710),"PAN does not match GSTIN; ","")&amp;IF(AND(AX710&lt;&gt;"",AX710&lt;&gt;"OK"),"TAN wrong format; ","")&amp;IF(AS710="","PAN missing; ","")&amp;IF(BB710="","Entity type missing; ","")&amp;IF(AND(AZ710&lt;&gt;"",COUNTIF($AZ$6:$AZ$1005,AZ710)&gt;1),"GSTIN repeated in this sheet; ","")&amp;IF(AND(AS710&lt;&gt;"",COUNTIF($AS$6:$AS$1005,AS710)&gt;1),"PAN repeated in this sheet (same client? put extra GSTINs in Other GSTINs); ","")&amp;IF(AND(BD710&gt;0,V710=""),"Financial year missing; ","")&amp;IF(AND(BD710=0,V710&lt;&gt;""),"Financial year given but no service is Yes; ","")&amp;IF(AND(W710="Yes",AZ710=""),"GST needs a GSTIN; ","")&amp;IF(AND(W710="Yes",X710=""),"GST return frequency missing; ","")&amp;IF(AND(Y710="Yes",TRIM(H710)=""),"TDS needs a TAN; ","")&amp;IF(AND(AA710="Yes",BC710&lt;&gt;"",BC710&lt;&gt;"company",BC710&lt;&gt;"llp"),"ROC is only for a company / LLP; ","")&amp;IF(AND(AA710="Yes",OR(BC710="company",BC710="llp"),TRIM(I710)=""),"ROC needs the CIN / LLPIN; ","")&amp;IF((TRIM(AF710)="")&lt;&gt;(TRIM(AG710)=""),"GST login needs both user ID and password; ","")&amp;IF((TRIM(AH710)="")&lt;&gt;(TRIM(AI710)=""),"Income-tax login needs both user ID and password; ","")&amp;IF((TRIM(AJ710)="")&lt;&gt;(TRIM(AK710)=""),"Income-tax login needs both user ID and password; ","")&amp;IF((TRIM(AL710)="")&lt;&gt;(TRIM(AM710)=""),"TRACES login needs both user ID and password; ","")&amp;IF((TRIM(AN710)="")&lt;&gt;(TRIM(AO710)=""),"MCA login needs both user ID and password; ","")&amp;IF((TRIM(AP710)="")&lt;&gt;(TRIM(AQ710)=""),"E-way bill login needs both user ID and password; ","")</f>
        <v/>
      </c>
    </row>
    <row r="711">
      <c r="A711" s="32" t="n"/>
      <c r="B711" s="33" t="n"/>
      <c r="C711" s="33" t="n"/>
      <c r="D711" s="33" t="n"/>
      <c r="E711" s="32" t="n"/>
      <c r="F711" s="32" t="n"/>
      <c r="G711" s="32" t="n"/>
      <c r="H711" s="32" t="n"/>
      <c r="I711" s="32" t="n"/>
      <c r="J711" s="34" t="n"/>
      <c r="K711" s="33" t="n"/>
      <c r="L711" s="32" t="n"/>
      <c r="M711" s="33" t="n"/>
      <c r="N711" s="33" t="n"/>
      <c r="O711" s="33" t="n"/>
      <c r="P711" s="32" t="n"/>
      <c r="Q711" s="33" t="n"/>
      <c r="R711" s="33" t="n"/>
      <c r="S711" s="33" t="n"/>
      <c r="T711" s="33" t="n"/>
      <c r="U711" s="32" t="n"/>
      <c r="V711" s="33" t="n"/>
      <c r="W711" s="33" t="n"/>
      <c r="X711" s="33" t="n"/>
      <c r="Y711" s="33" t="n"/>
      <c r="Z711" s="33" t="n"/>
      <c r="AA711" s="33" t="n"/>
      <c r="AB711" s="33" t="n"/>
      <c r="AC711" s="33" t="n"/>
      <c r="AD711" s="33" t="n"/>
      <c r="AE711" s="33" t="n"/>
      <c r="AF711" s="32" t="n"/>
      <c r="AG711" s="32" t="n"/>
      <c r="AH711" s="32" t="n"/>
      <c r="AI711" s="32" t="n"/>
      <c r="AJ711" s="32" t="n"/>
      <c r="AK711" s="32" t="n"/>
      <c r="AL711" s="32" t="n"/>
      <c r="AM711" s="32" t="n"/>
      <c r="AN711" s="32" t="n"/>
      <c r="AO711" s="32" t="n"/>
      <c r="AP711" s="32" t="n"/>
      <c r="AQ711" s="32" t="n"/>
      <c r="AR711" s="29">
        <f>IF(NOT(COUNTA(A711:AE711)&gt;0),"",IF(A711="","New client","Update"))</f>
        <v/>
      </c>
      <c r="AS711" s="29">
        <f>IF(BA711&lt;&gt;"",BA711,IF(LEN(AZ711)=15,MID(AZ711,3,10),""))</f>
        <v/>
      </c>
      <c r="AT711" s="29">
        <f>IF(BB711="","",BB711&amp;IF(D711="","  (guessed from PAN)",""))</f>
        <v/>
      </c>
      <c r="AU711" s="29">
        <f>IF(AZ711="","",IFERROR(INDEX(Lists!$L$2:$L$38,MATCH(LEFT(AZ711,2),Lists!$K$2:$K$38,0)),"Unknown code"))</f>
        <v/>
      </c>
      <c r="AV711" s="29">
        <f>IF(AZ711="","",IFERROR(IF(NOT(AND(LEN(AZ711)=15,ISNUMBER(MATCH(LEFT(AZ711,2),Lists!$K$2:$K$38,0)),SUMPRODUCT(--ISERROR(FIND(MID(MID(AZ711,3,10),{1,2,3,4,5,10},1),"ABCDEFGHIJKLMNOPQRSTUVWXYZ")))=0,SUMPRODUCT(--ISERROR(FIND(MID(MID(AZ711,3,10),{6,7,8,9},1),"0123456789")))=0,ISNUMBER(FIND(MID(AZ711,13,1),"123456789ABCDEFGHIJKLMNOPQRSTUVWXYZ")),MID(AZ711,14,1)="Z")),"Wrong format",IF(MID("0123456789ABCDEFGHIJKLMNOPQRSTUVWXYZ",MOD(36-MOD(SUMPRODUCT(INT((FIND(MID(AZ711,{1,2,3,4,5,6,7,8,9,10,11,12,13,14},1),"0123456789ABCDEFGHIJKLMNOPQRSTUVWXYZ")-1)*{1,2,1,2,1,2,1,2,1,2,1,2,1,2}/36)+MOD((FIND(MID(AZ711,{1,2,3,4,5,6,7,8,9,10,11,12,13,14},1),"0123456789ABCDEFGHIJKLMNOPQRSTUVWXYZ")-1)*{1,2,1,2,1,2,1,2,1,2,1,2,1,2},36)),36),36)+1,1)=MID(AZ711,15,1),"OK","Typo? check digit wrong")),"Wrong format"))</f>
        <v/>
      </c>
      <c r="AW711" s="29">
        <f>IF(BA711="","",IF(AND(LEN(BA711)=10,SUMPRODUCT(--ISERROR(FIND(MID(BA711,{1,2,3,4,5,10},1),"ABCDEFGHIJKLMNOPQRSTUVWXYZ")))=0,SUMPRODUCT(--ISERROR(FIND(MID(BA711,{6,7,8,9},1),"0123456789")))=0),"OK","Wrong format"))</f>
        <v/>
      </c>
      <c r="AX711" s="29">
        <f>IF(TRIM(H711)="","",IF(AND(LEN(UPPER(TRIM(H711)))=10,SUMPRODUCT(--ISERROR(FIND(MID(UPPER(TRIM(H711)),{1,2,3,4,10},1),"ABCDEFGHIJKLMNOPQRSTUVWXYZ")))=0,SUMPRODUCT(--ISERROR(FIND(MID(UPPER(TRIM(H711)),{5,6,7,8,9},1),"0123456789")))=0),"OK","Wrong format"))</f>
        <v/>
      </c>
      <c r="AY711" s="30">
        <f>IF(NOT(COUNTA(A711:AE711)&gt;0),"",IF(BE711&lt;&gt;"","✖ "&amp;LEFT(BE711,LEN(BE711)-2),IF(BD711&gt;0,"✔ Ready — client + "&amp;BD711&amp;" service(s)","✔ Ready — client only")))</f>
        <v/>
      </c>
      <c r="AZ711" s="31">
        <f>UPPER(SUBSTITUTE(TRIM(F711)," ",""))</f>
        <v/>
      </c>
      <c r="BA711" s="31">
        <f>UPPER(SUBSTITUTE(TRIM(E711)," ",""))</f>
        <v/>
      </c>
      <c r="BB711" s="31">
        <f>IF(D711&lt;&gt;"",D711,IFERROR(VLOOKUP(MID(AS711,4,1),Lists!$E$2:$F$8,2,FALSE),""))</f>
        <v/>
      </c>
      <c r="BC711" s="31">
        <f>IFERROR(VLOOKUP(BB711,Lists!$A$2:$C$12,3,FALSE),"")</f>
        <v/>
      </c>
      <c r="BD711" s="31">
        <f>COUNTIF(W711:AC711,"Yes")</f>
        <v/>
      </c>
      <c r="BE711" s="31">
        <f>IF(TRIM(B711)="","Legal name missing; ","")&amp;IF(AND(AV711&lt;&gt;"",AV711&lt;&gt;"OK"),"GSTIN: "&amp;AV711&amp;"; ","")&amp;IF(AND(AW711&lt;&gt;"",AW711&lt;&gt;"OK"),"PAN wrong format; ","")&amp;IF(AND(BA711&lt;&gt;"",LEN(AZ711)=15,MID(AZ711,3,10)&lt;&gt;BA711),"PAN does not match GSTIN; ","")&amp;IF(AND(AX711&lt;&gt;"",AX711&lt;&gt;"OK"),"TAN wrong format; ","")&amp;IF(AS711="","PAN missing; ","")&amp;IF(BB711="","Entity type missing; ","")&amp;IF(AND(AZ711&lt;&gt;"",COUNTIF($AZ$6:$AZ$1005,AZ711)&gt;1),"GSTIN repeated in this sheet; ","")&amp;IF(AND(AS711&lt;&gt;"",COUNTIF($AS$6:$AS$1005,AS711)&gt;1),"PAN repeated in this sheet (same client? put extra GSTINs in Other GSTINs); ","")&amp;IF(AND(BD711&gt;0,V711=""),"Financial year missing; ","")&amp;IF(AND(BD711=0,V711&lt;&gt;""),"Financial year given but no service is Yes; ","")&amp;IF(AND(W711="Yes",AZ711=""),"GST needs a GSTIN; ","")&amp;IF(AND(W711="Yes",X711=""),"GST return frequency missing; ","")&amp;IF(AND(Y711="Yes",TRIM(H711)=""),"TDS needs a TAN; ","")&amp;IF(AND(AA711="Yes",BC711&lt;&gt;"",BC711&lt;&gt;"company",BC711&lt;&gt;"llp"),"ROC is only for a company / LLP; ","")&amp;IF(AND(AA711="Yes",OR(BC711="company",BC711="llp"),TRIM(I711)=""),"ROC needs the CIN / LLPIN; ","")&amp;IF((TRIM(AF711)="")&lt;&gt;(TRIM(AG711)=""),"GST login needs both user ID and password; ","")&amp;IF((TRIM(AH711)="")&lt;&gt;(TRIM(AI711)=""),"Income-tax login needs both user ID and password; ","")&amp;IF((TRIM(AJ711)="")&lt;&gt;(TRIM(AK711)=""),"Income-tax login needs both user ID and password; ","")&amp;IF((TRIM(AL711)="")&lt;&gt;(TRIM(AM711)=""),"TRACES login needs both user ID and password; ","")&amp;IF((TRIM(AN711)="")&lt;&gt;(TRIM(AO711)=""),"MCA login needs both user ID and password; ","")&amp;IF((TRIM(AP711)="")&lt;&gt;(TRIM(AQ711)=""),"E-way bill login needs both user ID and password; ","")</f>
        <v/>
      </c>
    </row>
    <row r="712">
      <c r="A712" s="32" t="n"/>
      <c r="B712" s="33" t="n"/>
      <c r="C712" s="33" t="n"/>
      <c r="D712" s="33" t="n"/>
      <c r="E712" s="32" t="n"/>
      <c r="F712" s="32" t="n"/>
      <c r="G712" s="32" t="n"/>
      <c r="H712" s="32" t="n"/>
      <c r="I712" s="32" t="n"/>
      <c r="J712" s="34" t="n"/>
      <c r="K712" s="33" t="n"/>
      <c r="L712" s="32" t="n"/>
      <c r="M712" s="33" t="n"/>
      <c r="N712" s="33" t="n"/>
      <c r="O712" s="33" t="n"/>
      <c r="P712" s="32" t="n"/>
      <c r="Q712" s="33" t="n"/>
      <c r="R712" s="33" t="n"/>
      <c r="S712" s="33" t="n"/>
      <c r="T712" s="33" t="n"/>
      <c r="U712" s="32" t="n"/>
      <c r="V712" s="33" t="n"/>
      <c r="W712" s="33" t="n"/>
      <c r="X712" s="33" t="n"/>
      <c r="Y712" s="33" t="n"/>
      <c r="Z712" s="33" t="n"/>
      <c r="AA712" s="33" t="n"/>
      <c r="AB712" s="33" t="n"/>
      <c r="AC712" s="33" t="n"/>
      <c r="AD712" s="33" t="n"/>
      <c r="AE712" s="33" t="n"/>
      <c r="AF712" s="32" t="n"/>
      <c r="AG712" s="32" t="n"/>
      <c r="AH712" s="32" t="n"/>
      <c r="AI712" s="32" t="n"/>
      <c r="AJ712" s="32" t="n"/>
      <c r="AK712" s="32" t="n"/>
      <c r="AL712" s="32" t="n"/>
      <c r="AM712" s="32" t="n"/>
      <c r="AN712" s="32" t="n"/>
      <c r="AO712" s="32" t="n"/>
      <c r="AP712" s="32" t="n"/>
      <c r="AQ712" s="32" t="n"/>
      <c r="AR712" s="29">
        <f>IF(NOT(COUNTA(A712:AE712)&gt;0),"",IF(A712="","New client","Update"))</f>
        <v/>
      </c>
      <c r="AS712" s="29">
        <f>IF(BA712&lt;&gt;"",BA712,IF(LEN(AZ712)=15,MID(AZ712,3,10),""))</f>
        <v/>
      </c>
      <c r="AT712" s="29">
        <f>IF(BB712="","",BB712&amp;IF(D712="","  (guessed from PAN)",""))</f>
        <v/>
      </c>
      <c r="AU712" s="29">
        <f>IF(AZ712="","",IFERROR(INDEX(Lists!$L$2:$L$38,MATCH(LEFT(AZ712,2),Lists!$K$2:$K$38,0)),"Unknown code"))</f>
        <v/>
      </c>
      <c r="AV712" s="29">
        <f>IF(AZ712="","",IFERROR(IF(NOT(AND(LEN(AZ712)=15,ISNUMBER(MATCH(LEFT(AZ712,2),Lists!$K$2:$K$38,0)),SUMPRODUCT(--ISERROR(FIND(MID(MID(AZ712,3,10),{1,2,3,4,5,10},1),"ABCDEFGHIJKLMNOPQRSTUVWXYZ")))=0,SUMPRODUCT(--ISERROR(FIND(MID(MID(AZ712,3,10),{6,7,8,9},1),"0123456789")))=0,ISNUMBER(FIND(MID(AZ712,13,1),"123456789ABCDEFGHIJKLMNOPQRSTUVWXYZ")),MID(AZ712,14,1)="Z")),"Wrong format",IF(MID("0123456789ABCDEFGHIJKLMNOPQRSTUVWXYZ",MOD(36-MOD(SUMPRODUCT(INT((FIND(MID(AZ712,{1,2,3,4,5,6,7,8,9,10,11,12,13,14},1),"0123456789ABCDEFGHIJKLMNOPQRSTUVWXYZ")-1)*{1,2,1,2,1,2,1,2,1,2,1,2,1,2}/36)+MOD((FIND(MID(AZ712,{1,2,3,4,5,6,7,8,9,10,11,12,13,14},1),"0123456789ABCDEFGHIJKLMNOPQRSTUVWXYZ")-1)*{1,2,1,2,1,2,1,2,1,2,1,2,1,2},36)),36),36)+1,1)=MID(AZ712,15,1),"OK","Typo? check digit wrong")),"Wrong format"))</f>
        <v/>
      </c>
      <c r="AW712" s="29">
        <f>IF(BA712="","",IF(AND(LEN(BA712)=10,SUMPRODUCT(--ISERROR(FIND(MID(BA712,{1,2,3,4,5,10},1),"ABCDEFGHIJKLMNOPQRSTUVWXYZ")))=0,SUMPRODUCT(--ISERROR(FIND(MID(BA712,{6,7,8,9},1),"0123456789")))=0),"OK","Wrong format"))</f>
        <v/>
      </c>
      <c r="AX712" s="29">
        <f>IF(TRIM(H712)="","",IF(AND(LEN(UPPER(TRIM(H712)))=10,SUMPRODUCT(--ISERROR(FIND(MID(UPPER(TRIM(H712)),{1,2,3,4,10},1),"ABCDEFGHIJKLMNOPQRSTUVWXYZ")))=0,SUMPRODUCT(--ISERROR(FIND(MID(UPPER(TRIM(H712)),{5,6,7,8,9},1),"0123456789")))=0),"OK","Wrong format"))</f>
        <v/>
      </c>
      <c r="AY712" s="30">
        <f>IF(NOT(COUNTA(A712:AE712)&gt;0),"",IF(BE712&lt;&gt;"","✖ "&amp;LEFT(BE712,LEN(BE712)-2),IF(BD712&gt;0,"✔ Ready — client + "&amp;BD712&amp;" service(s)","✔ Ready — client only")))</f>
        <v/>
      </c>
      <c r="AZ712" s="31">
        <f>UPPER(SUBSTITUTE(TRIM(F712)," ",""))</f>
        <v/>
      </c>
      <c r="BA712" s="31">
        <f>UPPER(SUBSTITUTE(TRIM(E712)," ",""))</f>
        <v/>
      </c>
      <c r="BB712" s="31">
        <f>IF(D712&lt;&gt;"",D712,IFERROR(VLOOKUP(MID(AS712,4,1),Lists!$E$2:$F$8,2,FALSE),""))</f>
        <v/>
      </c>
      <c r="BC712" s="31">
        <f>IFERROR(VLOOKUP(BB712,Lists!$A$2:$C$12,3,FALSE),"")</f>
        <v/>
      </c>
      <c r="BD712" s="31">
        <f>COUNTIF(W712:AC712,"Yes")</f>
        <v/>
      </c>
      <c r="BE712" s="31">
        <f>IF(TRIM(B712)="","Legal name missing; ","")&amp;IF(AND(AV712&lt;&gt;"",AV712&lt;&gt;"OK"),"GSTIN: "&amp;AV712&amp;"; ","")&amp;IF(AND(AW712&lt;&gt;"",AW712&lt;&gt;"OK"),"PAN wrong format; ","")&amp;IF(AND(BA712&lt;&gt;"",LEN(AZ712)=15,MID(AZ712,3,10)&lt;&gt;BA712),"PAN does not match GSTIN; ","")&amp;IF(AND(AX712&lt;&gt;"",AX712&lt;&gt;"OK"),"TAN wrong format; ","")&amp;IF(AS712="","PAN missing; ","")&amp;IF(BB712="","Entity type missing; ","")&amp;IF(AND(AZ712&lt;&gt;"",COUNTIF($AZ$6:$AZ$1005,AZ712)&gt;1),"GSTIN repeated in this sheet; ","")&amp;IF(AND(AS712&lt;&gt;"",COUNTIF($AS$6:$AS$1005,AS712)&gt;1),"PAN repeated in this sheet (same client? put extra GSTINs in Other GSTINs); ","")&amp;IF(AND(BD712&gt;0,V712=""),"Financial year missing; ","")&amp;IF(AND(BD712=0,V712&lt;&gt;""),"Financial year given but no service is Yes; ","")&amp;IF(AND(W712="Yes",AZ712=""),"GST needs a GSTIN; ","")&amp;IF(AND(W712="Yes",X712=""),"GST return frequency missing; ","")&amp;IF(AND(Y712="Yes",TRIM(H712)=""),"TDS needs a TAN; ","")&amp;IF(AND(AA712="Yes",BC712&lt;&gt;"",BC712&lt;&gt;"company",BC712&lt;&gt;"llp"),"ROC is only for a company / LLP; ","")&amp;IF(AND(AA712="Yes",OR(BC712="company",BC712="llp"),TRIM(I712)=""),"ROC needs the CIN / LLPIN; ","")&amp;IF((TRIM(AF712)="")&lt;&gt;(TRIM(AG712)=""),"GST login needs both user ID and password; ","")&amp;IF((TRIM(AH712)="")&lt;&gt;(TRIM(AI712)=""),"Income-tax login needs both user ID and password; ","")&amp;IF((TRIM(AJ712)="")&lt;&gt;(TRIM(AK712)=""),"Income-tax login needs both user ID and password; ","")&amp;IF((TRIM(AL712)="")&lt;&gt;(TRIM(AM712)=""),"TRACES login needs both user ID and password; ","")&amp;IF((TRIM(AN712)="")&lt;&gt;(TRIM(AO712)=""),"MCA login needs both user ID and password; ","")&amp;IF((TRIM(AP712)="")&lt;&gt;(TRIM(AQ712)=""),"E-way bill login needs both user ID and password; ","")</f>
        <v/>
      </c>
    </row>
    <row r="713">
      <c r="A713" s="32" t="n"/>
      <c r="B713" s="33" t="n"/>
      <c r="C713" s="33" t="n"/>
      <c r="D713" s="33" t="n"/>
      <c r="E713" s="32" t="n"/>
      <c r="F713" s="32" t="n"/>
      <c r="G713" s="32" t="n"/>
      <c r="H713" s="32" t="n"/>
      <c r="I713" s="32" t="n"/>
      <c r="J713" s="34" t="n"/>
      <c r="K713" s="33" t="n"/>
      <c r="L713" s="32" t="n"/>
      <c r="M713" s="33" t="n"/>
      <c r="N713" s="33" t="n"/>
      <c r="O713" s="33" t="n"/>
      <c r="P713" s="32" t="n"/>
      <c r="Q713" s="33" t="n"/>
      <c r="R713" s="33" t="n"/>
      <c r="S713" s="33" t="n"/>
      <c r="T713" s="33" t="n"/>
      <c r="U713" s="32" t="n"/>
      <c r="V713" s="33" t="n"/>
      <c r="W713" s="33" t="n"/>
      <c r="X713" s="33" t="n"/>
      <c r="Y713" s="33" t="n"/>
      <c r="Z713" s="33" t="n"/>
      <c r="AA713" s="33" t="n"/>
      <c r="AB713" s="33" t="n"/>
      <c r="AC713" s="33" t="n"/>
      <c r="AD713" s="33" t="n"/>
      <c r="AE713" s="33" t="n"/>
      <c r="AF713" s="32" t="n"/>
      <c r="AG713" s="32" t="n"/>
      <c r="AH713" s="32" t="n"/>
      <c r="AI713" s="32" t="n"/>
      <c r="AJ713" s="32" t="n"/>
      <c r="AK713" s="32" t="n"/>
      <c r="AL713" s="32" t="n"/>
      <c r="AM713" s="32" t="n"/>
      <c r="AN713" s="32" t="n"/>
      <c r="AO713" s="32" t="n"/>
      <c r="AP713" s="32" t="n"/>
      <c r="AQ713" s="32" t="n"/>
      <c r="AR713" s="29">
        <f>IF(NOT(COUNTA(A713:AE713)&gt;0),"",IF(A713="","New client","Update"))</f>
        <v/>
      </c>
      <c r="AS713" s="29">
        <f>IF(BA713&lt;&gt;"",BA713,IF(LEN(AZ713)=15,MID(AZ713,3,10),""))</f>
        <v/>
      </c>
      <c r="AT713" s="29">
        <f>IF(BB713="","",BB713&amp;IF(D713="","  (guessed from PAN)",""))</f>
        <v/>
      </c>
      <c r="AU713" s="29">
        <f>IF(AZ713="","",IFERROR(INDEX(Lists!$L$2:$L$38,MATCH(LEFT(AZ713,2),Lists!$K$2:$K$38,0)),"Unknown code"))</f>
        <v/>
      </c>
      <c r="AV713" s="29">
        <f>IF(AZ713="","",IFERROR(IF(NOT(AND(LEN(AZ713)=15,ISNUMBER(MATCH(LEFT(AZ713,2),Lists!$K$2:$K$38,0)),SUMPRODUCT(--ISERROR(FIND(MID(MID(AZ713,3,10),{1,2,3,4,5,10},1),"ABCDEFGHIJKLMNOPQRSTUVWXYZ")))=0,SUMPRODUCT(--ISERROR(FIND(MID(MID(AZ713,3,10),{6,7,8,9},1),"0123456789")))=0,ISNUMBER(FIND(MID(AZ713,13,1),"123456789ABCDEFGHIJKLMNOPQRSTUVWXYZ")),MID(AZ713,14,1)="Z")),"Wrong format",IF(MID("0123456789ABCDEFGHIJKLMNOPQRSTUVWXYZ",MOD(36-MOD(SUMPRODUCT(INT((FIND(MID(AZ713,{1,2,3,4,5,6,7,8,9,10,11,12,13,14},1),"0123456789ABCDEFGHIJKLMNOPQRSTUVWXYZ")-1)*{1,2,1,2,1,2,1,2,1,2,1,2,1,2}/36)+MOD((FIND(MID(AZ713,{1,2,3,4,5,6,7,8,9,10,11,12,13,14},1),"0123456789ABCDEFGHIJKLMNOPQRSTUVWXYZ")-1)*{1,2,1,2,1,2,1,2,1,2,1,2,1,2},36)),36),36)+1,1)=MID(AZ713,15,1),"OK","Typo? check digit wrong")),"Wrong format"))</f>
        <v/>
      </c>
      <c r="AW713" s="29">
        <f>IF(BA713="","",IF(AND(LEN(BA713)=10,SUMPRODUCT(--ISERROR(FIND(MID(BA713,{1,2,3,4,5,10},1),"ABCDEFGHIJKLMNOPQRSTUVWXYZ")))=0,SUMPRODUCT(--ISERROR(FIND(MID(BA713,{6,7,8,9},1),"0123456789")))=0),"OK","Wrong format"))</f>
        <v/>
      </c>
      <c r="AX713" s="29">
        <f>IF(TRIM(H713)="","",IF(AND(LEN(UPPER(TRIM(H713)))=10,SUMPRODUCT(--ISERROR(FIND(MID(UPPER(TRIM(H713)),{1,2,3,4,10},1),"ABCDEFGHIJKLMNOPQRSTUVWXYZ")))=0,SUMPRODUCT(--ISERROR(FIND(MID(UPPER(TRIM(H713)),{5,6,7,8,9},1),"0123456789")))=0),"OK","Wrong format"))</f>
        <v/>
      </c>
      <c r="AY713" s="30">
        <f>IF(NOT(COUNTA(A713:AE713)&gt;0),"",IF(BE713&lt;&gt;"","✖ "&amp;LEFT(BE713,LEN(BE713)-2),IF(BD713&gt;0,"✔ Ready — client + "&amp;BD713&amp;" service(s)","✔ Ready — client only")))</f>
        <v/>
      </c>
      <c r="AZ713" s="31">
        <f>UPPER(SUBSTITUTE(TRIM(F713)," ",""))</f>
        <v/>
      </c>
      <c r="BA713" s="31">
        <f>UPPER(SUBSTITUTE(TRIM(E713)," ",""))</f>
        <v/>
      </c>
      <c r="BB713" s="31">
        <f>IF(D713&lt;&gt;"",D713,IFERROR(VLOOKUP(MID(AS713,4,1),Lists!$E$2:$F$8,2,FALSE),""))</f>
        <v/>
      </c>
      <c r="BC713" s="31">
        <f>IFERROR(VLOOKUP(BB713,Lists!$A$2:$C$12,3,FALSE),"")</f>
        <v/>
      </c>
      <c r="BD713" s="31">
        <f>COUNTIF(W713:AC713,"Yes")</f>
        <v/>
      </c>
      <c r="BE713" s="31">
        <f>IF(TRIM(B713)="","Legal name missing; ","")&amp;IF(AND(AV713&lt;&gt;"",AV713&lt;&gt;"OK"),"GSTIN: "&amp;AV713&amp;"; ","")&amp;IF(AND(AW713&lt;&gt;"",AW713&lt;&gt;"OK"),"PAN wrong format; ","")&amp;IF(AND(BA713&lt;&gt;"",LEN(AZ713)=15,MID(AZ713,3,10)&lt;&gt;BA713),"PAN does not match GSTIN; ","")&amp;IF(AND(AX713&lt;&gt;"",AX713&lt;&gt;"OK"),"TAN wrong format; ","")&amp;IF(AS713="","PAN missing; ","")&amp;IF(BB713="","Entity type missing; ","")&amp;IF(AND(AZ713&lt;&gt;"",COUNTIF($AZ$6:$AZ$1005,AZ713)&gt;1),"GSTIN repeated in this sheet; ","")&amp;IF(AND(AS713&lt;&gt;"",COUNTIF($AS$6:$AS$1005,AS713)&gt;1),"PAN repeated in this sheet (same client? put extra GSTINs in Other GSTINs); ","")&amp;IF(AND(BD713&gt;0,V713=""),"Financial year missing; ","")&amp;IF(AND(BD713=0,V713&lt;&gt;""),"Financial year given but no service is Yes; ","")&amp;IF(AND(W713="Yes",AZ713=""),"GST needs a GSTIN; ","")&amp;IF(AND(W713="Yes",X713=""),"GST return frequency missing; ","")&amp;IF(AND(Y713="Yes",TRIM(H713)=""),"TDS needs a TAN; ","")&amp;IF(AND(AA713="Yes",BC713&lt;&gt;"",BC713&lt;&gt;"company",BC713&lt;&gt;"llp"),"ROC is only for a company / LLP; ","")&amp;IF(AND(AA713="Yes",OR(BC713="company",BC713="llp"),TRIM(I713)=""),"ROC needs the CIN / LLPIN; ","")&amp;IF((TRIM(AF713)="")&lt;&gt;(TRIM(AG713)=""),"GST login needs both user ID and password; ","")&amp;IF((TRIM(AH713)="")&lt;&gt;(TRIM(AI713)=""),"Income-tax login needs both user ID and password; ","")&amp;IF((TRIM(AJ713)="")&lt;&gt;(TRIM(AK713)=""),"Income-tax login needs both user ID and password; ","")&amp;IF((TRIM(AL713)="")&lt;&gt;(TRIM(AM713)=""),"TRACES login needs both user ID and password; ","")&amp;IF((TRIM(AN713)="")&lt;&gt;(TRIM(AO713)=""),"MCA login needs both user ID and password; ","")&amp;IF((TRIM(AP713)="")&lt;&gt;(TRIM(AQ713)=""),"E-way bill login needs both user ID and password; ","")</f>
        <v/>
      </c>
    </row>
    <row r="714">
      <c r="A714" s="32" t="n"/>
      <c r="B714" s="33" t="n"/>
      <c r="C714" s="33" t="n"/>
      <c r="D714" s="33" t="n"/>
      <c r="E714" s="32" t="n"/>
      <c r="F714" s="32" t="n"/>
      <c r="G714" s="32" t="n"/>
      <c r="H714" s="32" t="n"/>
      <c r="I714" s="32" t="n"/>
      <c r="J714" s="34" t="n"/>
      <c r="K714" s="33" t="n"/>
      <c r="L714" s="32" t="n"/>
      <c r="M714" s="33" t="n"/>
      <c r="N714" s="33" t="n"/>
      <c r="O714" s="33" t="n"/>
      <c r="P714" s="32" t="n"/>
      <c r="Q714" s="33" t="n"/>
      <c r="R714" s="33" t="n"/>
      <c r="S714" s="33" t="n"/>
      <c r="T714" s="33" t="n"/>
      <c r="U714" s="32" t="n"/>
      <c r="V714" s="33" t="n"/>
      <c r="W714" s="33" t="n"/>
      <c r="X714" s="33" t="n"/>
      <c r="Y714" s="33" t="n"/>
      <c r="Z714" s="33" t="n"/>
      <c r="AA714" s="33" t="n"/>
      <c r="AB714" s="33" t="n"/>
      <c r="AC714" s="33" t="n"/>
      <c r="AD714" s="33" t="n"/>
      <c r="AE714" s="33" t="n"/>
      <c r="AF714" s="32" t="n"/>
      <c r="AG714" s="32" t="n"/>
      <c r="AH714" s="32" t="n"/>
      <c r="AI714" s="32" t="n"/>
      <c r="AJ714" s="32" t="n"/>
      <c r="AK714" s="32" t="n"/>
      <c r="AL714" s="32" t="n"/>
      <c r="AM714" s="32" t="n"/>
      <c r="AN714" s="32" t="n"/>
      <c r="AO714" s="32" t="n"/>
      <c r="AP714" s="32" t="n"/>
      <c r="AQ714" s="32" t="n"/>
      <c r="AR714" s="29">
        <f>IF(NOT(COUNTA(A714:AE714)&gt;0),"",IF(A714="","New client","Update"))</f>
        <v/>
      </c>
      <c r="AS714" s="29">
        <f>IF(BA714&lt;&gt;"",BA714,IF(LEN(AZ714)=15,MID(AZ714,3,10),""))</f>
        <v/>
      </c>
      <c r="AT714" s="29">
        <f>IF(BB714="","",BB714&amp;IF(D714="","  (guessed from PAN)",""))</f>
        <v/>
      </c>
      <c r="AU714" s="29">
        <f>IF(AZ714="","",IFERROR(INDEX(Lists!$L$2:$L$38,MATCH(LEFT(AZ714,2),Lists!$K$2:$K$38,0)),"Unknown code"))</f>
        <v/>
      </c>
      <c r="AV714" s="29">
        <f>IF(AZ714="","",IFERROR(IF(NOT(AND(LEN(AZ714)=15,ISNUMBER(MATCH(LEFT(AZ714,2),Lists!$K$2:$K$38,0)),SUMPRODUCT(--ISERROR(FIND(MID(MID(AZ714,3,10),{1,2,3,4,5,10},1),"ABCDEFGHIJKLMNOPQRSTUVWXYZ")))=0,SUMPRODUCT(--ISERROR(FIND(MID(MID(AZ714,3,10),{6,7,8,9},1),"0123456789")))=0,ISNUMBER(FIND(MID(AZ714,13,1),"123456789ABCDEFGHIJKLMNOPQRSTUVWXYZ")),MID(AZ714,14,1)="Z")),"Wrong format",IF(MID("0123456789ABCDEFGHIJKLMNOPQRSTUVWXYZ",MOD(36-MOD(SUMPRODUCT(INT((FIND(MID(AZ714,{1,2,3,4,5,6,7,8,9,10,11,12,13,14},1),"0123456789ABCDEFGHIJKLMNOPQRSTUVWXYZ")-1)*{1,2,1,2,1,2,1,2,1,2,1,2,1,2}/36)+MOD((FIND(MID(AZ714,{1,2,3,4,5,6,7,8,9,10,11,12,13,14},1),"0123456789ABCDEFGHIJKLMNOPQRSTUVWXYZ")-1)*{1,2,1,2,1,2,1,2,1,2,1,2,1,2},36)),36),36)+1,1)=MID(AZ714,15,1),"OK","Typo? check digit wrong")),"Wrong format"))</f>
        <v/>
      </c>
      <c r="AW714" s="29">
        <f>IF(BA714="","",IF(AND(LEN(BA714)=10,SUMPRODUCT(--ISERROR(FIND(MID(BA714,{1,2,3,4,5,10},1),"ABCDEFGHIJKLMNOPQRSTUVWXYZ")))=0,SUMPRODUCT(--ISERROR(FIND(MID(BA714,{6,7,8,9},1),"0123456789")))=0),"OK","Wrong format"))</f>
        <v/>
      </c>
      <c r="AX714" s="29">
        <f>IF(TRIM(H714)="","",IF(AND(LEN(UPPER(TRIM(H714)))=10,SUMPRODUCT(--ISERROR(FIND(MID(UPPER(TRIM(H714)),{1,2,3,4,10},1),"ABCDEFGHIJKLMNOPQRSTUVWXYZ")))=0,SUMPRODUCT(--ISERROR(FIND(MID(UPPER(TRIM(H714)),{5,6,7,8,9},1),"0123456789")))=0),"OK","Wrong format"))</f>
        <v/>
      </c>
      <c r="AY714" s="30">
        <f>IF(NOT(COUNTA(A714:AE714)&gt;0),"",IF(BE714&lt;&gt;"","✖ "&amp;LEFT(BE714,LEN(BE714)-2),IF(BD714&gt;0,"✔ Ready — client + "&amp;BD714&amp;" service(s)","✔ Ready — client only")))</f>
        <v/>
      </c>
      <c r="AZ714" s="31">
        <f>UPPER(SUBSTITUTE(TRIM(F714)," ",""))</f>
        <v/>
      </c>
      <c r="BA714" s="31">
        <f>UPPER(SUBSTITUTE(TRIM(E714)," ",""))</f>
        <v/>
      </c>
      <c r="BB714" s="31">
        <f>IF(D714&lt;&gt;"",D714,IFERROR(VLOOKUP(MID(AS714,4,1),Lists!$E$2:$F$8,2,FALSE),""))</f>
        <v/>
      </c>
      <c r="BC714" s="31">
        <f>IFERROR(VLOOKUP(BB714,Lists!$A$2:$C$12,3,FALSE),"")</f>
        <v/>
      </c>
      <c r="BD714" s="31">
        <f>COUNTIF(W714:AC714,"Yes")</f>
        <v/>
      </c>
      <c r="BE714" s="31">
        <f>IF(TRIM(B714)="","Legal name missing; ","")&amp;IF(AND(AV714&lt;&gt;"",AV714&lt;&gt;"OK"),"GSTIN: "&amp;AV714&amp;"; ","")&amp;IF(AND(AW714&lt;&gt;"",AW714&lt;&gt;"OK"),"PAN wrong format; ","")&amp;IF(AND(BA714&lt;&gt;"",LEN(AZ714)=15,MID(AZ714,3,10)&lt;&gt;BA714),"PAN does not match GSTIN; ","")&amp;IF(AND(AX714&lt;&gt;"",AX714&lt;&gt;"OK"),"TAN wrong format; ","")&amp;IF(AS714="","PAN missing; ","")&amp;IF(BB714="","Entity type missing; ","")&amp;IF(AND(AZ714&lt;&gt;"",COUNTIF($AZ$6:$AZ$1005,AZ714)&gt;1),"GSTIN repeated in this sheet; ","")&amp;IF(AND(AS714&lt;&gt;"",COUNTIF($AS$6:$AS$1005,AS714)&gt;1),"PAN repeated in this sheet (same client? put extra GSTINs in Other GSTINs); ","")&amp;IF(AND(BD714&gt;0,V714=""),"Financial year missing; ","")&amp;IF(AND(BD714=0,V714&lt;&gt;""),"Financial year given but no service is Yes; ","")&amp;IF(AND(W714="Yes",AZ714=""),"GST needs a GSTIN; ","")&amp;IF(AND(W714="Yes",X714=""),"GST return frequency missing; ","")&amp;IF(AND(Y714="Yes",TRIM(H714)=""),"TDS needs a TAN; ","")&amp;IF(AND(AA714="Yes",BC714&lt;&gt;"",BC714&lt;&gt;"company",BC714&lt;&gt;"llp"),"ROC is only for a company / LLP; ","")&amp;IF(AND(AA714="Yes",OR(BC714="company",BC714="llp"),TRIM(I714)=""),"ROC needs the CIN / LLPIN; ","")&amp;IF((TRIM(AF714)="")&lt;&gt;(TRIM(AG714)=""),"GST login needs both user ID and password; ","")&amp;IF((TRIM(AH714)="")&lt;&gt;(TRIM(AI714)=""),"Income-tax login needs both user ID and password; ","")&amp;IF((TRIM(AJ714)="")&lt;&gt;(TRIM(AK714)=""),"Income-tax login needs both user ID and password; ","")&amp;IF((TRIM(AL714)="")&lt;&gt;(TRIM(AM714)=""),"TRACES login needs both user ID and password; ","")&amp;IF((TRIM(AN714)="")&lt;&gt;(TRIM(AO714)=""),"MCA login needs both user ID and password; ","")&amp;IF((TRIM(AP714)="")&lt;&gt;(TRIM(AQ714)=""),"E-way bill login needs both user ID and password; ","")</f>
        <v/>
      </c>
    </row>
    <row r="715">
      <c r="A715" s="32" t="n"/>
      <c r="B715" s="33" t="n"/>
      <c r="C715" s="33" t="n"/>
      <c r="D715" s="33" t="n"/>
      <c r="E715" s="32" t="n"/>
      <c r="F715" s="32" t="n"/>
      <c r="G715" s="32" t="n"/>
      <c r="H715" s="32" t="n"/>
      <c r="I715" s="32" t="n"/>
      <c r="J715" s="34" t="n"/>
      <c r="K715" s="33" t="n"/>
      <c r="L715" s="32" t="n"/>
      <c r="M715" s="33" t="n"/>
      <c r="N715" s="33" t="n"/>
      <c r="O715" s="33" t="n"/>
      <c r="P715" s="32" t="n"/>
      <c r="Q715" s="33" t="n"/>
      <c r="R715" s="33" t="n"/>
      <c r="S715" s="33" t="n"/>
      <c r="T715" s="33" t="n"/>
      <c r="U715" s="32" t="n"/>
      <c r="V715" s="33" t="n"/>
      <c r="W715" s="33" t="n"/>
      <c r="X715" s="33" t="n"/>
      <c r="Y715" s="33" t="n"/>
      <c r="Z715" s="33" t="n"/>
      <c r="AA715" s="33" t="n"/>
      <c r="AB715" s="33" t="n"/>
      <c r="AC715" s="33" t="n"/>
      <c r="AD715" s="33" t="n"/>
      <c r="AE715" s="33" t="n"/>
      <c r="AF715" s="32" t="n"/>
      <c r="AG715" s="32" t="n"/>
      <c r="AH715" s="32" t="n"/>
      <c r="AI715" s="32" t="n"/>
      <c r="AJ715" s="32" t="n"/>
      <c r="AK715" s="32" t="n"/>
      <c r="AL715" s="32" t="n"/>
      <c r="AM715" s="32" t="n"/>
      <c r="AN715" s="32" t="n"/>
      <c r="AO715" s="32" t="n"/>
      <c r="AP715" s="32" t="n"/>
      <c r="AQ715" s="32" t="n"/>
      <c r="AR715" s="29">
        <f>IF(NOT(COUNTA(A715:AE715)&gt;0),"",IF(A715="","New client","Update"))</f>
        <v/>
      </c>
      <c r="AS715" s="29">
        <f>IF(BA715&lt;&gt;"",BA715,IF(LEN(AZ715)=15,MID(AZ715,3,10),""))</f>
        <v/>
      </c>
      <c r="AT715" s="29">
        <f>IF(BB715="","",BB715&amp;IF(D715="","  (guessed from PAN)",""))</f>
        <v/>
      </c>
      <c r="AU715" s="29">
        <f>IF(AZ715="","",IFERROR(INDEX(Lists!$L$2:$L$38,MATCH(LEFT(AZ715,2),Lists!$K$2:$K$38,0)),"Unknown code"))</f>
        <v/>
      </c>
      <c r="AV715" s="29">
        <f>IF(AZ715="","",IFERROR(IF(NOT(AND(LEN(AZ715)=15,ISNUMBER(MATCH(LEFT(AZ715,2),Lists!$K$2:$K$38,0)),SUMPRODUCT(--ISERROR(FIND(MID(MID(AZ715,3,10),{1,2,3,4,5,10},1),"ABCDEFGHIJKLMNOPQRSTUVWXYZ")))=0,SUMPRODUCT(--ISERROR(FIND(MID(MID(AZ715,3,10),{6,7,8,9},1),"0123456789")))=0,ISNUMBER(FIND(MID(AZ715,13,1),"123456789ABCDEFGHIJKLMNOPQRSTUVWXYZ")),MID(AZ715,14,1)="Z")),"Wrong format",IF(MID("0123456789ABCDEFGHIJKLMNOPQRSTUVWXYZ",MOD(36-MOD(SUMPRODUCT(INT((FIND(MID(AZ715,{1,2,3,4,5,6,7,8,9,10,11,12,13,14},1),"0123456789ABCDEFGHIJKLMNOPQRSTUVWXYZ")-1)*{1,2,1,2,1,2,1,2,1,2,1,2,1,2}/36)+MOD((FIND(MID(AZ715,{1,2,3,4,5,6,7,8,9,10,11,12,13,14},1),"0123456789ABCDEFGHIJKLMNOPQRSTUVWXYZ")-1)*{1,2,1,2,1,2,1,2,1,2,1,2,1,2},36)),36),36)+1,1)=MID(AZ715,15,1),"OK","Typo? check digit wrong")),"Wrong format"))</f>
        <v/>
      </c>
      <c r="AW715" s="29">
        <f>IF(BA715="","",IF(AND(LEN(BA715)=10,SUMPRODUCT(--ISERROR(FIND(MID(BA715,{1,2,3,4,5,10},1),"ABCDEFGHIJKLMNOPQRSTUVWXYZ")))=0,SUMPRODUCT(--ISERROR(FIND(MID(BA715,{6,7,8,9},1),"0123456789")))=0),"OK","Wrong format"))</f>
        <v/>
      </c>
      <c r="AX715" s="29">
        <f>IF(TRIM(H715)="","",IF(AND(LEN(UPPER(TRIM(H715)))=10,SUMPRODUCT(--ISERROR(FIND(MID(UPPER(TRIM(H715)),{1,2,3,4,10},1),"ABCDEFGHIJKLMNOPQRSTUVWXYZ")))=0,SUMPRODUCT(--ISERROR(FIND(MID(UPPER(TRIM(H715)),{5,6,7,8,9},1),"0123456789")))=0),"OK","Wrong format"))</f>
        <v/>
      </c>
      <c r="AY715" s="30">
        <f>IF(NOT(COUNTA(A715:AE715)&gt;0),"",IF(BE715&lt;&gt;"","✖ "&amp;LEFT(BE715,LEN(BE715)-2),IF(BD715&gt;0,"✔ Ready — client + "&amp;BD715&amp;" service(s)","✔ Ready — client only")))</f>
        <v/>
      </c>
      <c r="AZ715" s="31">
        <f>UPPER(SUBSTITUTE(TRIM(F715)," ",""))</f>
        <v/>
      </c>
      <c r="BA715" s="31">
        <f>UPPER(SUBSTITUTE(TRIM(E715)," ",""))</f>
        <v/>
      </c>
      <c r="BB715" s="31">
        <f>IF(D715&lt;&gt;"",D715,IFERROR(VLOOKUP(MID(AS715,4,1),Lists!$E$2:$F$8,2,FALSE),""))</f>
        <v/>
      </c>
      <c r="BC715" s="31">
        <f>IFERROR(VLOOKUP(BB715,Lists!$A$2:$C$12,3,FALSE),"")</f>
        <v/>
      </c>
      <c r="BD715" s="31">
        <f>COUNTIF(W715:AC715,"Yes")</f>
        <v/>
      </c>
      <c r="BE715" s="31">
        <f>IF(TRIM(B715)="","Legal name missing; ","")&amp;IF(AND(AV715&lt;&gt;"",AV715&lt;&gt;"OK"),"GSTIN: "&amp;AV715&amp;"; ","")&amp;IF(AND(AW715&lt;&gt;"",AW715&lt;&gt;"OK"),"PAN wrong format; ","")&amp;IF(AND(BA715&lt;&gt;"",LEN(AZ715)=15,MID(AZ715,3,10)&lt;&gt;BA715),"PAN does not match GSTIN; ","")&amp;IF(AND(AX715&lt;&gt;"",AX715&lt;&gt;"OK"),"TAN wrong format; ","")&amp;IF(AS715="","PAN missing; ","")&amp;IF(BB715="","Entity type missing; ","")&amp;IF(AND(AZ715&lt;&gt;"",COUNTIF($AZ$6:$AZ$1005,AZ715)&gt;1),"GSTIN repeated in this sheet; ","")&amp;IF(AND(AS715&lt;&gt;"",COUNTIF($AS$6:$AS$1005,AS715)&gt;1),"PAN repeated in this sheet (same client? put extra GSTINs in Other GSTINs); ","")&amp;IF(AND(BD715&gt;0,V715=""),"Financial year missing; ","")&amp;IF(AND(BD715=0,V715&lt;&gt;""),"Financial year given but no service is Yes; ","")&amp;IF(AND(W715="Yes",AZ715=""),"GST needs a GSTIN; ","")&amp;IF(AND(W715="Yes",X715=""),"GST return frequency missing; ","")&amp;IF(AND(Y715="Yes",TRIM(H715)=""),"TDS needs a TAN; ","")&amp;IF(AND(AA715="Yes",BC715&lt;&gt;"",BC715&lt;&gt;"company",BC715&lt;&gt;"llp"),"ROC is only for a company / LLP; ","")&amp;IF(AND(AA715="Yes",OR(BC715="company",BC715="llp"),TRIM(I715)=""),"ROC needs the CIN / LLPIN; ","")&amp;IF((TRIM(AF715)="")&lt;&gt;(TRIM(AG715)=""),"GST login needs both user ID and password; ","")&amp;IF((TRIM(AH715)="")&lt;&gt;(TRIM(AI715)=""),"Income-tax login needs both user ID and password; ","")&amp;IF((TRIM(AJ715)="")&lt;&gt;(TRIM(AK715)=""),"Income-tax login needs both user ID and password; ","")&amp;IF((TRIM(AL715)="")&lt;&gt;(TRIM(AM715)=""),"TRACES login needs both user ID and password; ","")&amp;IF((TRIM(AN715)="")&lt;&gt;(TRIM(AO715)=""),"MCA login needs both user ID and password; ","")&amp;IF((TRIM(AP715)="")&lt;&gt;(TRIM(AQ715)=""),"E-way bill login needs both user ID and password; ","")</f>
        <v/>
      </c>
    </row>
    <row r="716">
      <c r="A716" s="32" t="n"/>
      <c r="B716" s="33" t="n"/>
      <c r="C716" s="33" t="n"/>
      <c r="D716" s="33" t="n"/>
      <c r="E716" s="32" t="n"/>
      <c r="F716" s="32" t="n"/>
      <c r="G716" s="32" t="n"/>
      <c r="H716" s="32" t="n"/>
      <c r="I716" s="32" t="n"/>
      <c r="J716" s="34" t="n"/>
      <c r="K716" s="33" t="n"/>
      <c r="L716" s="32" t="n"/>
      <c r="M716" s="33" t="n"/>
      <c r="N716" s="33" t="n"/>
      <c r="O716" s="33" t="n"/>
      <c r="P716" s="32" t="n"/>
      <c r="Q716" s="33" t="n"/>
      <c r="R716" s="33" t="n"/>
      <c r="S716" s="33" t="n"/>
      <c r="T716" s="33" t="n"/>
      <c r="U716" s="32" t="n"/>
      <c r="V716" s="33" t="n"/>
      <c r="W716" s="33" t="n"/>
      <c r="X716" s="33" t="n"/>
      <c r="Y716" s="33" t="n"/>
      <c r="Z716" s="33" t="n"/>
      <c r="AA716" s="33" t="n"/>
      <c r="AB716" s="33" t="n"/>
      <c r="AC716" s="33" t="n"/>
      <c r="AD716" s="33" t="n"/>
      <c r="AE716" s="33" t="n"/>
      <c r="AF716" s="32" t="n"/>
      <c r="AG716" s="32" t="n"/>
      <c r="AH716" s="32" t="n"/>
      <c r="AI716" s="32" t="n"/>
      <c r="AJ716" s="32" t="n"/>
      <c r="AK716" s="32" t="n"/>
      <c r="AL716" s="32" t="n"/>
      <c r="AM716" s="32" t="n"/>
      <c r="AN716" s="32" t="n"/>
      <c r="AO716" s="32" t="n"/>
      <c r="AP716" s="32" t="n"/>
      <c r="AQ716" s="32" t="n"/>
      <c r="AR716" s="29">
        <f>IF(NOT(COUNTA(A716:AE716)&gt;0),"",IF(A716="","New client","Update"))</f>
        <v/>
      </c>
      <c r="AS716" s="29">
        <f>IF(BA716&lt;&gt;"",BA716,IF(LEN(AZ716)=15,MID(AZ716,3,10),""))</f>
        <v/>
      </c>
      <c r="AT716" s="29">
        <f>IF(BB716="","",BB716&amp;IF(D716="","  (guessed from PAN)",""))</f>
        <v/>
      </c>
      <c r="AU716" s="29">
        <f>IF(AZ716="","",IFERROR(INDEX(Lists!$L$2:$L$38,MATCH(LEFT(AZ716,2),Lists!$K$2:$K$38,0)),"Unknown code"))</f>
        <v/>
      </c>
      <c r="AV716" s="29">
        <f>IF(AZ716="","",IFERROR(IF(NOT(AND(LEN(AZ716)=15,ISNUMBER(MATCH(LEFT(AZ716,2),Lists!$K$2:$K$38,0)),SUMPRODUCT(--ISERROR(FIND(MID(MID(AZ716,3,10),{1,2,3,4,5,10},1),"ABCDEFGHIJKLMNOPQRSTUVWXYZ")))=0,SUMPRODUCT(--ISERROR(FIND(MID(MID(AZ716,3,10),{6,7,8,9},1),"0123456789")))=0,ISNUMBER(FIND(MID(AZ716,13,1),"123456789ABCDEFGHIJKLMNOPQRSTUVWXYZ")),MID(AZ716,14,1)="Z")),"Wrong format",IF(MID("0123456789ABCDEFGHIJKLMNOPQRSTUVWXYZ",MOD(36-MOD(SUMPRODUCT(INT((FIND(MID(AZ716,{1,2,3,4,5,6,7,8,9,10,11,12,13,14},1),"0123456789ABCDEFGHIJKLMNOPQRSTUVWXYZ")-1)*{1,2,1,2,1,2,1,2,1,2,1,2,1,2}/36)+MOD((FIND(MID(AZ716,{1,2,3,4,5,6,7,8,9,10,11,12,13,14},1),"0123456789ABCDEFGHIJKLMNOPQRSTUVWXYZ")-1)*{1,2,1,2,1,2,1,2,1,2,1,2,1,2},36)),36),36)+1,1)=MID(AZ716,15,1),"OK","Typo? check digit wrong")),"Wrong format"))</f>
        <v/>
      </c>
      <c r="AW716" s="29">
        <f>IF(BA716="","",IF(AND(LEN(BA716)=10,SUMPRODUCT(--ISERROR(FIND(MID(BA716,{1,2,3,4,5,10},1),"ABCDEFGHIJKLMNOPQRSTUVWXYZ")))=0,SUMPRODUCT(--ISERROR(FIND(MID(BA716,{6,7,8,9},1),"0123456789")))=0),"OK","Wrong format"))</f>
        <v/>
      </c>
      <c r="AX716" s="29">
        <f>IF(TRIM(H716)="","",IF(AND(LEN(UPPER(TRIM(H716)))=10,SUMPRODUCT(--ISERROR(FIND(MID(UPPER(TRIM(H716)),{1,2,3,4,10},1),"ABCDEFGHIJKLMNOPQRSTUVWXYZ")))=0,SUMPRODUCT(--ISERROR(FIND(MID(UPPER(TRIM(H716)),{5,6,7,8,9},1),"0123456789")))=0),"OK","Wrong format"))</f>
        <v/>
      </c>
      <c r="AY716" s="30">
        <f>IF(NOT(COUNTA(A716:AE716)&gt;0),"",IF(BE716&lt;&gt;"","✖ "&amp;LEFT(BE716,LEN(BE716)-2),IF(BD716&gt;0,"✔ Ready — client + "&amp;BD716&amp;" service(s)","✔ Ready — client only")))</f>
        <v/>
      </c>
      <c r="AZ716" s="31">
        <f>UPPER(SUBSTITUTE(TRIM(F716)," ",""))</f>
        <v/>
      </c>
      <c r="BA716" s="31">
        <f>UPPER(SUBSTITUTE(TRIM(E716)," ",""))</f>
        <v/>
      </c>
      <c r="BB716" s="31">
        <f>IF(D716&lt;&gt;"",D716,IFERROR(VLOOKUP(MID(AS716,4,1),Lists!$E$2:$F$8,2,FALSE),""))</f>
        <v/>
      </c>
      <c r="BC716" s="31">
        <f>IFERROR(VLOOKUP(BB716,Lists!$A$2:$C$12,3,FALSE),"")</f>
        <v/>
      </c>
      <c r="BD716" s="31">
        <f>COUNTIF(W716:AC716,"Yes")</f>
        <v/>
      </c>
      <c r="BE716" s="31">
        <f>IF(TRIM(B716)="","Legal name missing; ","")&amp;IF(AND(AV716&lt;&gt;"",AV716&lt;&gt;"OK"),"GSTIN: "&amp;AV716&amp;"; ","")&amp;IF(AND(AW716&lt;&gt;"",AW716&lt;&gt;"OK"),"PAN wrong format; ","")&amp;IF(AND(BA716&lt;&gt;"",LEN(AZ716)=15,MID(AZ716,3,10)&lt;&gt;BA716),"PAN does not match GSTIN; ","")&amp;IF(AND(AX716&lt;&gt;"",AX716&lt;&gt;"OK"),"TAN wrong format; ","")&amp;IF(AS716="","PAN missing; ","")&amp;IF(BB716="","Entity type missing; ","")&amp;IF(AND(AZ716&lt;&gt;"",COUNTIF($AZ$6:$AZ$1005,AZ716)&gt;1),"GSTIN repeated in this sheet; ","")&amp;IF(AND(AS716&lt;&gt;"",COUNTIF($AS$6:$AS$1005,AS716)&gt;1),"PAN repeated in this sheet (same client? put extra GSTINs in Other GSTINs); ","")&amp;IF(AND(BD716&gt;0,V716=""),"Financial year missing; ","")&amp;IF(AND(BD716=0,V716&lt;&gt;""),"Financial year given but no service is Yes; ","")&amp;IF(AND(W716="Yes",AZ716=""),"GST needs a GSTIN; ","")&amp;IF(AND(W716="Yes",X716=""),"GST return frequency missing; ","")&amp;IF(AND(Y716="Yes",TRIM(H716)=""),"TDS needs a TAN; ","")&amp;IF(AND(AA716="Yes",BC716&lt;&gt;"",BC716&lt;&gt;"company",BC716&lt;&gt;"llp"),"ROC is only for a company / LLP; ","")&amp;IF(AND(AA716="Yes",OR(BC716="company",BC716="llp"),TRIM(I716)=""),"ROC needs the CIN / LLPIN; ","")&amp;IF((TRIM(AF716)="")&lt;&gt;(TRIM(AG716)=""),"GST login needs both user ID and password; ","")&amp;IF((TRIM(AH716)="")&lt;&gt;(TRIM(AI716)=""),"Income-tax login needs both user ID and password; ","")&amp;IF((TRIM(AJ716)="")&lt;&gt;(TRIM(AK716)=""),"Income-tax login needs both user ID and password; ","")&amp;IF((TRIM(AL716)="")&lt;&gt;(TRIM(AM716)=""),"TRACES login needs both user ID and password; ","")&amp;IF((TRIM(AN716)="")&lt;&gt;(TRIM(AO716)=""),"MCA login needs both user ID and password; ","")&amp;IF((TRIM(AP716)="")&lt;&gt;(TRIM(AQ716)=""),"E-way bill login needs both user ID and password; ","")</f>
        <v/>
      </c>
    </row>
    <row r="717">
      <c r="A717" s="32" t="n"/>
      <c r="B717" s="33" t="n"/>
      <c r="C717" s="33" t="n"/>
      <c r="D717" s="33" t="n"/>
      <c r="E717" s="32" t="n"/>
      <c r="F717" s="32" t="n"/>
      <c r="G717" s="32" t="n"/>
      <c r="H717" s="32" t="n"/>
      <c r="I717" s="32" t="n"/>
      <c r="J717" s="34" t="n"/>
      <c r="K717" s="33" t="n"/>
      <c r="L717" s="32" t="n"/>
      <c r="M717" s="33" t="n"/>
      <c r="N717" s="33" t="n"/>
      <c r="O717" s="33" t="n"/>
      <c r="P717" s="32" t="n"/>
      <c r="Q717" s="33" t="n"/>
      <c r="R717" s="33" t="n"/>
      <c r="S717" s="33" t="n"/>
      <c r="T717" s="33" t="n"/>
      <c r="U717" s="32" t="n"/>
      <c r="V717" s="33" t="n"/>
      <c r="W717" s="33" t="n"/>
      <c r="X717" s="33" t="n"/>
      <c r="Y717" s="33" t="n"/>
      <c r="Z717" s="33" t="n"/>
      <c r="AA717" s="33" t="n"/>
      <c r="AB717" s="33" t="n"/>
      <c r="AC717" s="33" t="n"/>
      <c r="AD717" s="33" t="n"/>
      <c r="AE717" s="33" t="n"/>
      <c r="AF717" s="32" t="n"/>
      <c r="AG717" s="32" t="n"/>
      <c r="AH717" s="32" t="n"/>
      <c r="AI717" s="32" t="n"/>
      <c r="AJ717" s="32" t="n"/>
      <c r="AK717" s="32" t="n"/>
      <c r="AL717" s="32" t="n"/>
      <c r="AM717" s="32" t="n"/>
      <c r="AN717" s="32" t="n"/>
      <c r="AO717" s="32" t="n"/>
      <c r="AP717" s="32" t="n"/>
      <c r="AQ717" s="32" t="n"/>
      <c r="AR717" s="29">
        <f>IF(NOT(COUNTA(A717:AE717)&gt;0),"",IF(A717="","New client","Update"))</f>
        <v/>
      </c>
      <c r="AS717" s="29">
        <f>IF(BA717&lt;&gt;"",BA717,IF(LEN(AZ717)=15,MID(AZ717,3,10),""))</f>
        <v/>
      </c>
      <c r="AT717" s="29">
        <f>IF(BB717="","",BB717&amp;IF(D717="","  (guessed from PAN)",""))</f>
        <v/>
      </c>
      <c r="AU717" s="29">
        <f>IF(AZ717="","",IFERROR(INDEX(Lists!$L$2:$L$38,MATCH(LEFT(AZ717,2),Lists!$K$2:$K$38,0)),"Unknown code"))</f>
        <v/>
      </c>
      <c r="AV717" s="29">
        <f>IF(AZ717="","",IFERROR(IF(NOT(AND(LEN(AZ717)=15,ISNUMBER(MATCH(LEFT(AZ717,2),Lists!$K$2:$K$38,0)),SUMPRODUCT(--ISERROR(FIND(MID(MID(AZ717,3,10),{1,2,3,4,5,10},1),"ABCDEFGHIJKLMNOPQRSTUVWXYZ")))=0,SUMPRODUCT(--ISERROR(FIND(MID(MID(AZ717,3,10),{6,7,8,9},1),"0123456789")))=0,ISNUMBER(FIND(MID(AZ717,13,1),"123456789ABCDEFGHIJKLMNOPQRSTUVWXYZ")),MID(AZ717,14,1)="Z")),"Wrong format",IF(MID("0123456789ABCDEFGHIJKLMNOPQRSTUVWXYZ",MOD(36-MOD(SUMPRODUCT(INT((FIND(MID(AZ717,{1,2,3,4,5,6,7,8,9,10,11,12,13,14},1),"0123456789ABCDEFGHIJKLMNOPQRSTUVWXYZ")-1)*{1,2,1,2,1,2,1,2,1,2,1,2,1,2}/36)+MOD((FIND(MID(AZ717,{1,2,3,4,5,6,7,8,9,10,11,12,13,14},1),"0123456789ABCDEFGHIJKLMNOPQRSTUVWXYZ")-1)*{1,2,1,2,1,2,1,2,1,2,1,2,1,2},36)),36),36)+1,1)=MID(AZ717,15,1),"OK","Typo? check digit wrong")),"Wrong format"))</f>
        <v/>
      </c>
      <c r="AW717" s="29">
        <f>IF(BA717="","",IF(AND(LEN(BA717)=10,SUMPRODUCT(--ISERROR(FIND(MID(BA717,{1,2,3,4,5,10},1),"ABCDEFGHIJKLMNOPQRSTUVWXYZ")))=0,SUMPRODUCT(--ISERROR(FIND(MID(BA717,{6,7,8,9},1),"0123456789")))=0),"OK","Wrong format"))</f>
        <v/>
      </c>
      <c r="AX717" s="29">
        <f>IF(TRIM(H717)="","",IF(AND(LEN(UPPER(TRIM(H717)))=10,SUMPRODUCT(--ISERROR(FIND(MID(UPPER(TRIM(H717)),{1,2,3,4,10},1),"ABCDEFGHIJKLMNOPQRSTUVWXYZ")))=0,SUMPRODUCT(--ISERROR(FIND(MID(UPPER(TRIM(H717)),{5,6,7,8,9},1),"0123456789")))=0),"OK","Wrong format"))</f>
        <v/>
      </c>
      <c r="AY717" s="30">
        <f>IF(NOT(COUNTA(A717:AE717)&gt;0),"",IF(BE717&lt;&gt;"","✖ "&amp;LEFT(BE717,LEN(BE717)-2),IF(BD717&gt;0,"✔ Ready — client + "&amp;BD717&amp;" service(s)","✔ Ready — client only")))</f>
        <v/>
      </c>
      <c r="AZ717" s="31">
        <f>UPPER(SUBSTITUTE(TRIM(F717)," ",""))</f>
        <v/>
      </c>
      <c r="BA717" s="31">
        <f>UPPER(SUBSTITUTE(TRIM(E717)," ",""))</f>
        <v/>
      </c>
      <c r="BB717" s="31">
        <f>IF(D717&lt;&gt;"",D717,IFERROR(VLOOKUP(MID(AS717,4,1),Lists!$E$2:$F$8,2,FALSE),""))</f>
        <v/>
      </c>
      <c r="BC717" s="31">
        <f>IFERROR(VLOOKUP(BB717,Lists!$A$2:$C$12,3,FALSE),"")</f>
        <v/>
      </c>
      <c r="BD717" s="31">
        <f>COUNTIF(W717:AC717,"Yes")</f>
        <v/>
      </c>
      <c r="BE717" s="31">
        <f>IF(TRIM(B717)="","Legal name missing; ","")&amp;IF(AND(AV717&lt;&gt;"",AV717&lt;&gt;"OK"),"GSTIN: "&amp;AV717&amp;"; ","")&amp;IF(AND(AW717&lt;&gt;"",AW717&lt;&gt;"OK"),"PAN wrong format; ","")&amp;IF(AND(BA717&lt;&gt;"",LEN(AZ717)=15,MID(AZ717,3,10)&lt;&gt;BA717),"PAN does not match GSTIN; ","")&amp;IF(AND(AX717&lt;&gt;"",AX717&lt;&gt;"OK"),"TAN wrong format; ","")&amp;IF(AS717="","PAN missing; ","")&amp;IF(BB717="","Entity type missing; ","")&amp;IF(AND(AZ717&lt;&gt;"",COUNTIF($AZ$6:$AZ$1005,AZ717)&gt;1),"GSTIN repeated in this sheet; ","")&amp;IF(AND(AS717&lt;&gt;"",COUNTIF($AS$6:$AS$1005,AS717)&gt;1),"PAN repeated in this sheet (same client? put extra GSTINs in Other GSTINs); ","")&amp;IF(AND(BD717&gt;0,V717=""),"Financial year missing; ","")&amp;IF(AND(BD717=0,V717&lt;&gt;""),"Financial year given but no service is Yes; ","")&amp;IF(AND(W717="Yes",AZ717=""),"GST needs a GSTIN; ","")&amp;IF(AND(W717="Yes",X717=""),"GST return frequency missing; ","")&amp;IF(AND(Y717="Yes",TRIM(H717)=""),"TDS needs a TAN; ","")&amp;IF(AND(AA717="Yes",BC717&lt;&gt;"",BC717&lt;&gt;"company",BC717&lt;&gt;"llp"),"ROC is only for a company / LLP; ","")&amp;IF(AND(AA717="Yes",OR(BC717="company",BC717="llp"),TRIM(I717)=""),"ROC needs the CIN / LLPIN; ","")&amp;IF((TRIM(AF717)="")&lt;&gt;(TRIM(AG717)=""),"GST login needs both user ID and password; ","")&amp;IF((TRIM(AH717)="")&lt;&gt;(TRIM(AI717)=""),"Income-tax login needs both user ID and password; ","")&amp;IF((TRIM(AJ717)="")&lt;&gt;(TRIM(AK717)=""),"Income-tax login needs both user ID and password; ","")&amp;IF((TRIM(AL717)="")&lt;&gt;(TRIM(AM717)=""),"TRACES login needs both user ID and password; ","")&amp;IF((TRIM(AN717)="")&lt;&gt;(TRIM(AO717)=""),"MCA login needs both user ID and password; ","")&amp;IF((TRIM(AP717)="")&lt;&gt;(TRIM(AQ717)=""),"E-way bill login needs both user ID and password; ","")</f>
        <v/>
      </c>
    </row>
    <row r="718">
      <c r="A718" s="32" t="n"/>
      <c r="B718" s="33" t="n"/>
      <c r="C718" s="33" t="n"/>
      <c r="D718" s="33" t="n"/>
      <c r="E718" s="32" t="n"/>
      <c r="F718" s="32" t="n"/>
      <c r="G718" s="32" t="n"/>
      <c r="H718" s="32" t="n"/>
      <c r="I718" s="32" t="n"/>
      <c r="J718" s="34" t="n"/>
      <c r="K718" s="33" t="n"/>
      <c r="L718" s="32" t="n"/>
      <c r="M718" s="33" t="n"/>
      <c r="N718" s="33" t="n"/>
      <c r="O718" s="33" t="n"/>
      <c r="P718" s="32" t="n"/>
      <c r="Q718" s="33" t="n"/>
      <c r="R718" s="33" t="n"/>
      <c r="S718" s="33" t="n"/>
      <c r="T718" s="33" t="n"/>
      <c r="U718" s="32" t="n"/>
      <c r="V718" s="33" t="n"/>
      <c r="W718" s="33" t="n"/>
      <c r="X718" s="33" t="n"/>
      <c r="Y718" s="33" t="n"/>
      <c r="Z718" s="33" t="n"/>
      <c r="AA718" s="33" t="n"/>
      <c r="AB718" s="33" t="n"/>
      <c r="AC718" s="33" t="n"/>
      <c r="AD718" s="33" t="n"/>
      <c r="AE718" s="33" t="n"/>
      <c r="AF718" s="32" t="n"/>
      <c r="AG718" s="32" t="n"/>
      <c r="AH718" s="32" t="n"/>
      <c r="AI718" s="32" t="n"/>
      <c r="AJ718" s="32" t="n"/>
      <c r="AK718" s="32" t="n"/>
      <c r="AL718" s="32" t="n"/>
      <c r="AM718" s="32" t="n"/>
      <c r="AN718" s="32" t="n"/>
      <c r="AO718" s="32" t="n"/>
      <c r="AP718" s="32" t="n"/>
      <c r="AQ718" s="32" t="n"/>
      <c r="AR718" s="29">
        <f>IF(NOT(COUNTA(A718:AE718)&gt;0),"",IF(A718="","New client","Update"))</f>
        <v/>
      </c>
      <c r="AS718" s="29">
        <f>IF(BA718&lt;&gt;"",BA718,IF(LEN(AZ718)=15,MID(AZ718,3,10),""))</f>
        <v/>
      </c>
      <c r="AT718" s="29">
        <f>IF(BB718="","",BB718&amp;IF(D718="","  (guessed from PAN)",""))</f>
        <v/>
      </c>
      <c r="AU718" s="29">
        <f>IF(AZ718="","",IFERROR(INDEX(Lists!$L$2:$L$38,MATCH(LEFT(AZ718,2),Lists!$K$2:$K$38,0)),"Unknown code"))</f>
        <v/>
      </c>
      <c r="AV718" s="29">
        <f>IF(AZ718="","",IFERROR(IF(NOT(AND(LEN(AZ718)=15,ISNUMBER(MATCH(LEFT(AZ718,2),Lists!$K$2:$K$38,0)),SUMPRODUCT(--ISERROR(FIND(MID(MID(AZ718,3,10),{1,2,3,4,5,10},1),"ABCDEFGHIJKLMNOPQRSTUVWXYZ")))=0,SUMPRODUCT(--ISERROR(FIND(MID(MID(AZ718,3,10),{6,7,8,9},1),"0123456789")))=0,ISNUMBER(FIND(MID(AZ718,13,1),"123456789ABCDEFGHIJKLMNOPQRSTUVWXYZ")),MID(AZ718,14,1)="Z")),"Wrong format",IF(MID("0123456789ABCDEFGHIJKLMNOPQRSTUVWXYZ",MOD(36-MOD(SUMPRODUCT(INT((FIND(MID(AZ718,{1,2,3,4,5,6,7,8,9,10,11,12,13,14},1),"0123456789ABCDEFGHIJKLMNOPQRSTUVWXYZ")-1)*{1,2,1,2,1,2,1,2,1,2,1,2,1,2}/36)+MOD((FIND(MID(AZ718,{1,2,3,4,5,6,7,8,9,10,11,12,13,14},1),"0123456789ABCDEFGHIJKLMNOPQRSTUVWXYZ")-1)*{1,2,1,2,1,2,1,2,1,2,1,2,1,2},36)),36),36)+1,1)=MID(AZ718,15,1),"OK","Typo? check digit wrong")),"Wrong format"))</f>
        <v/>
      </c>
      <c r="AW718" s="29">
        <f>IF(BA718="","",IF(AND(LEN(BA718)=10,SUMPRODUCT(--ISERROR(FIND(MID(BA718,{1,2,3,4,5,10},1),"ABCDEFGHIJKLMNOPQRSTUVWXYZ")))=0,SUMPRODUCT(--ISERROR(FIND(MID(BA718,{6,7,8,9},1),"0123456789")))=0),"OK","Wrong format"))</f>
        <v/>
      </c>
      <c r="AX718" s="29">
        <f>IF(TRIM(H718)="","",IF(AND(LEN(UPPER(TRIM(H718)))=10,SUMPRODUCT(--ISERROR(FIND(MID(UPPER(TRIM(H718)),{1,2,3,4,10},1),"ABCDEFGHIJKLMNOPQRSTUVWXYZ")))=0,SUMPRODUCT(--ISERROR(FIND(MID(UPPER(TRIM(H718)),{5,6,7,8,9},1),"0123456789")))=0),"OK","Wrong format"))</f>
        <v/>
      </c>
      <c r="AY718" s="30">
        <f>IF(NOT(COUNTA(A718:AE718)&gt;0),"",IF(BE718&lt;&gt;"","✖ "&amp;LEFT(BE718,LEN(BE718)-2),IF(BD718&gt;0,"✔ Ready — client + "&amp;BD718&amp;" service(s)","✔ Ready — client only")))</f>
        <v/>
      </c>
      <c r="AZ718" s="31">
        <f>UPPER(SUBSTITUTE(TRIM(F718)," ",""))</f>
        <v/>
      </c>
      <c r="BA718" s="31">
        <f>UPPER(SUBSTITUTE(TRIM(E718)," ",""))</f>
        <v/>
      </c>
      <c r="BB718" s="31">
        <f>IF(D718&lt;&gt;"",D718,IFERROR(VLOOKUP(MID(AS718,4,1),Lists!$E$2:$F$8,2,FALSE),""))</f>
        <v/>
      </c>
      <c r="BC718" s="31">
        <f>IFERROR(VLOOKUP(BB718,Lists!$A$2:$C$12,3,FALSE),"")</f>
        <v/>
      </c>
      <c r="BD718" s="31">
        <f>COUNTIF(W718:AC718,"Yes")</f>
        <v/>
      </c>
      <c r="BE718" s="31">
        <f>IF(TRIM(B718)="","Legal name missing; ","")&amp;IF(AND(AV718&lt;&gt;"",AV718&lt;&gt;"OK"),"GSTIN: "&amp;AV718&amp;"; ","")&amp;IF(AND(AW718&lt;&gt;"",AW718&lt;&gt;"OK"),"PAN wrong format; ","")&amp;IF(AND(BA718&lt;&gt;"",LEN(AZ718)=15,MID(AZ718,3,10)&lt;&gt;BA718),"PAN does not match GSTIN; ","")&amp;IF(AND(AX718&lt;&gt;"",AX718&lt;&gt;"OK"),"TAN wrong format; ","")&amp;IF(AS718="","PAN missing; ","")&amp;IF(BB718="","Entity type missing; ","")&amp;IF(AND(AZ718&lt;&gt;"",COUNTIF($AZ$6:$AZ$1005,AZ718)&gt;1),"GSTIN repeated in this sheet; ","")&amp;IF(AND(AS718&lt;&gt;"",COUNTIF($AS$6:$AS$1005,AS718)&gt;1),"PAN repeated in this sheet (same client? put extra GSTINs in Other GSTINs); ","")&amp;IF(AND(BD718&gt;0,V718=""),"Financial year missing; ","")&amp;IF(AND(BD718=0,V718&lt;&gt;""),"Financial year given but no service is Yes; ","")&amp;IF(AND(W718="Yes",AZ718=""),"GST needs a GSTIN; ","")&amp;IF(AND(W718="Yes",X718=""),"GST return frequency missing; ","")&amp;IF(AND(Y718="Yes",TRIM(H718)=""),"TDS needs a TAN; ","")&amp;IF(AND(AA718="Yes",BC718&lt;&gt;"",BC718&lt;&gt;"company",BC718&lt;&gt;"llp"),"ROC is only for a company / LLP; ","")&amp;IF(AND(AA718="Yes",OR(BC718="company",BC718="llp"),TRIM(I718)=""),"ROC needs the CIN / LLPIN; ","")&amp;IF((TRIM(AF718)="")&lt;&gt;(TRIM(AG718)=""),"GST login needs both user ID and password; ","")&amp;IF((TRIM(AH718)="")&lt;&gt;(TRIM(AI718)=""),"Income-tax login needs both user ID and password; ","")&amp;IF((TRIM(AJ718)="")&lt;&gt;(TRIM(AK718)=""),"Income-tax login needs both user ID and password; ","")&amp;IF((TRIM(AL718)="")&lt;&gt;(TRIM(AM718)=""),"TRACES login needs both user ID and password; ","")&amp;IF((TRIM(AN718)="")&lt;&gt;(TRIM(AO718)=""),"MCA login needs both user ID and password; ","")&amp;IF((TRIM(AP718)="")&lt;&gt;(TRIM(AQ718)=""),"E-way bill login needs both user ID and password; ","")</f>
        <v/>
      </c>
    </row>
    <row r="719">
      <c r="A719" s="32" t="n"/>
      <c r="B719" s="33" t="n"/>
      <c r="C719" s="33" t="n"/>
      <c r="D719" s="33" t="n"/>
      <c r="E719" s="32" t="n"/>
      <c r="F719" s="32" t="n"/>
      <c r="G719" s="32" t="n"/>
      <c r="H719" s="32" t="n"/>
      <c r="I719" s="32" t="n"/>
      <c r="J719" s="34" t="n"/>
      <c r="K719" s="33" t="n"/>
      <c r="L719" s="32" t="n"/>
      <c r="M719" s="33" t="n"/>
      <c r="N719" s="33" t="n"/>
      <c r="O719" s="33" t="n"/>
      <c r="P719" s="32" t="n"/>
      <c r="Q719" s="33" t="n"/>
      <c r="R719" s="33" t="n"/>
      <c r="S719" s="33" t="n"/>
      <c r="T719" s="33" t="n"/>
      <c r="U719" s="32" t="n"/>
      <c r="V719" s="33" t="n"/>
      <c r="W719" s="33" t="n"/>
      <c r="X719" s="33" t="n"/>
      <c r="Y719" s="33" t="n"/>
      <c r="Z719" s="33" t="n"/>
      <c r="AA719" s="33" t="n"/>
      <c r="AB719" s="33" t="n"/>
      <c r="AC719" s="33" t="n"/>
      <c r="AD719" s="33" t="n"/>
      <c r="AE719" s="33" t="n"/>
      <c r="AF719" s="32" t="n"/>
      <c r="AG719" s="32" t="n"/>
      <c r="AH719" s="32" t="n"/>
      <c r="AI719" s="32" t="n"/>
      <c r="AJ719" s="32" t="n"/>
      <c r="AK719" s="32" t="n"/>
      <c r="AL719" s="32" t="n"/>
      <c r="AM719" s="32" t="n"/>
      <c r="AN719" s="32" t="n"/>
      <c r="AO719" s="32" t="n"/>
      <c r="AP719" s="32" t="n"/>
      <c r="AQ719" s="32" t="n"/>
      <c r="AR719" s="29">
        <f>IF(NOT(COUNTA(A719:AE719)&gt;0),"",IF(A719="","New client","Update"))</f>
        <v/>
      </c>
      <c r="AS719" s="29">
        <f>IF(BA719&lt;&gt;"",BA719,IF(LEN(AZ719)=15,MID(AZ719,3,10),""))</f>
        <v/>
      </c>
      <c r="AT719" s="29">
        <f>IF(BB719="","",BB719&amp;IF(D719="","  (guessed from PAN)",""))</f>
        <v/>
      </c>
      <c r="AU719" s="29">
        <f>IF(AZ719="","",IFERROR(INDEX(Lists!$L$2:$L$38,MATCH(LEFT(AZ719,2),Lists!$K$2:$K$38,0)),"Unknown code"))</f>
        <v/>
      </c>
      <c r="AV719" s="29">
        <f>IF(AZ719="","",IFERROR(IF(NOT(AND(LEN(AZ719)=15,ISNUMBER(MATCH(LEFT(AZ719,2),Lists!$K$2:$K$38,0)),SUMPRODUCT(--ISERROR(FIND(MID(MID(AZ719,3,10),{1,2,3,4,5,10},1),"ABCDEFGHIJKLMNOPQRSTUVWXYZ")))=0,SUMPRODUCT(--ISERROR(FIND(MID(MID(AZ719,3,10),{6,7,8,9},1),"0123456789")))=0,ISNUMBER(FIND(MID(AZ719,13,1),"123456789ABCDEFGHIJKLMNOPQRSTUVWXYZ")),MID(AZ719,14,1)="Z")),"Wrong format",IF(MID("0123456789ABCDEFGHIJKLMNOPQRSTUVWXYZ",MOD(36-MOD(SUMPRODUCT(INT((FIND(MID(AZ719,{1,2,3,4,5,6,7,8,9,10,11,12,13,14},1),"0123456789ABCDEFGHIJKLMNOPQRSTUVWXYZ")-1)*{1,2,1,2,1,2,1,2,1,2,1,2,1,2}/36)+MOD((FIND(MID(AZ719,{1,2,3,4,5,6,7,8,9,10,11,12,13,14},1),"0123456789ABCDEFGHIJKLMNOPQRSTUVWXYZ")-1)*{1,2,1,2,1,2,1,2,1,2,1,2,1,2},36)),36),36)+1,1)=MID(AZ719,15,1),"OK","Typo? check digit wrong")),"Wrong format"))</f>
        <v/>
      </c>
      <c r="AW719" s="29">
        <f>IF(BA719="","",IF(AND(LEN(BA719)=10,SUMPRODUCT(--ISERROR(FIND(MID(BA719,{1,2,3,4,5,10},1),"ABCDEFGHIJKLMNOPQRSTUVWXYZ")))=0,SUMPRODUCT(--ISERROR(FIND(MID(BA719,{6,7,8,9},1),"0123456789")))=0),"OK","Wrong format"))</f>
        <v/>
      </c>
      <c r="AX719" s="29">
        <f>IF(TRIM(H719)="","",IF(AND(LEN(UPPER(TRIM(H719)))=10,SUMPRODUCT(--ISERROR(FIND(MID(UPPER(TRIM(H719)),{1,2,3,4,10},1),"ABCDEFGHIJKLMNOPQRSTUVWXYZ")))=0,SUMPRODUCT(--ISERROR(FIND(MID(UPPER(TRIM(H719)),{5,6,7,8,9},1),"0123456789")))=0),"OK","Wrong format"))</f>
        <v/>
      </c>
      <c r="AY719" s="30">
        <f>IF(NOT(COUNTA(A719:AE719)&gt;0),"",IF(BE719&lt;&gt;"","✖ "&amp;LEFT(BE719,LEN(BE719)-2),IF(BD719&gt;0,"✔ Ready — client + "&amp;BD719&amp;" service(s)","✔ Ready — client only")))</f>
        <v/>
      </c>
      <c r="AZ719" s="31">
        <f>UPPER(SUBSTITUTE(TRIM(F719)," ",""))</f>
        <v/>
      </c>
      <c r="BA719" s="31">
        <f>UPPER(SUBSTITUTE(TRIM(E719)," ",""))</f>
        <v/>
      </c>
      <c r="BB719" s="31">
        <f>IF(D719&lt;&gt;"",D719,IFERROR(VLOOKUP(MID(AS719,4,1),Lists!$E$2:$F$8,2,FALSE),""))</f>
        <v/>
      </c>
      <c r="BC719" s="31">
        <f>IFERROR(VLOOKUP(BB719,Lists!$A$2:$C$12,3,FALSE),"")</f>
        <v/>
      </c>
      <c r="BD719" s="31">
        <f>COUNTIF(W719:AC719,"Yes")</f>
        <v/>
      </c>
      <c r="BE719" s="31">
        <f>IF(TRIM(B719)="","Legal name missing; ","")&amp;IF(AND(AV719&lt;&gt;"",AV719&lt;&gt;"OK"),"GSTIN: "&amp;AV719&amp;"; ","")&amp;IF(AND(AW719&lt;&gt;"",AW719&lt;&gt;"OK"),"PAN wrong format; ","")&amp;IF(AND(BA719&lt;&gt;"",LEN(AZ719)=15,MID(AZ719,3,10)&lt;&gt;BA719),"PAN does not match GSTIN; ","")&amp;IF(AND(AX719&lt;&gt;"",AX719&lt;&gt;"OK"),"TAN wrong format; ","")&amp;IF(AS719="","PAN missing; ","")&amp;IF(BB719="","Entity type missing; ","")&amp;IF(AND(AZ719&lt;&gt;"",COUNTIF($AZ$6:$AZ$1005,AZ719)&gt;1),"GSTIN repeated in this sheet; ","")&amp;IF(AND(AS719&lt;&gt;"",COUNTIF($AS$6:$AS$1005,AS719)&gt;1),"PAN repeated in this sheet (same client? put extra GSTINs in Other GSTINs); ","")&amp;IF(AND(BD719&gt;0,V719=""),"Financial year missing; ","")&amp;IF(AND(BD719=0,V719&lt;&gt;""),"Financial year given but no service is Yes; ","")&amp;IF(AND(W719="Yes",AZ719=""),"GST needs a GSTIN; ","")&amp;IF(AND(W719="Yes",X719=""),"GST return frequency missing; ","")&amp;IF(AND(Y719="Yes",TRIM(H719)=""),"TDS needs a TAN; ","")&amp;IF(AND(AA719="Yes",BC719&lt;&gt;"",BC719&lt;&gt;"company",BC719&lt;&gt;"llp"),"ROC is only for a company / LLP; ","")&amp;IF(AND(AA719="Yes",OR(BC719="company",BC719="llp"),TRIM(I719)=""),"ROC needs the CIN / LLPIN; ","")&amp;IF((TRIM(AF719)="")&lt;&gt;(TRIM(AG719)=""),"GST login needs both user ID and password; ","")&amp;IF((TRIM(AH719)="")&lt;&gt;(TRIM(AI719)=""),"Income-tax login needs both user ID and password; ","")&amp;IF((TRIM(AJ719)="")&lt;&gt;(TRIM(AK719)=""),"Income-tax login needs both user ID and password; ","")&amp;IF((TRIM(AL719)="")&lt;&gt;(TRIM(AM719)=""),"TRACES login needs both user ID and password; ","")&amp;IF((TRIM(AN719)="")&lt;&gt;(TRIM(AO719)=""),"MCA login needs both user ID and password; ","")&amp;IF((TRIM(AP719)="")&lt;&gt;(TRIM(AQ719)=""),"E-way bill login needs both user ID and password; ","")</f>
        <v/>
      </c>
    </row>
    <row r="720">
      <c r="A720" s="32" t="n"/>
      <c r="B720" s="33" t="n"/>
      <c r="C720" s="33" t="n"/>
      <c r="D720" s="33" t="n"/>
      <c r="E720" s="32" t="n"/>
      <c r="F720" s="32" t="n"/>
      <c r="G720" s="32" t="n"/>
      <c r="H720" s="32" t="n"/>
      <c r="I720" s="32" t="n"/>
      <c r="J720" s="34" t="n"/>
      <c r="K720" s="33" t="n"/>
      <c r="L720" s="32" t="n"/>
      <c r="M720" s="33" t="n"/>
      <c r="N720" s="33" t="n"/>
      <c r="O720" s="33" t="n"/>
      <c r="P720" s="32" t="n"/>
      <c r="Q720" s="33" t="n"/>
      <c r="R720" s="33" t="n"/>
      <c r="S720" s="33" t="n"/>
      <c r="T720" s="33" t="n"/>
      <c r="U720" s="32" t="n"/>
      <c r="V720" s="33" t="n"/>
      <c r="W720" s="33" t="n"/>
      <c r="X720" s="33" t="n"/>
      <c r="Y720" s="33" t="n"/>
      <c r="Z720" s="33" t="n"/>
      <c r="AA720" s="33" t="n"/>
      <c r="AB720" s="33" t="n"/>
      <c r="AC720" s="33" t="n"/>
      <c r="AD720" s="33" t="n"/>
      <c r="AE720" s="33" t="n"/>
      <c r="AF720" s="32" t="n"/>
      <c r="AG720" s="32" t="n"/>
      <c r="AH720" s="32" t="n"/>
      <c r="AI720" s="32" t="n"/>
      <c r="AJ720" s="32" t="n"/>
      <c r="AK720" s="32" t="n"/>
      <c r="AL720" s="32" t="n"/>
      <c r="AM720" s="32" t="n"/>
      <c r="AN720" s="32" t="n"/>
      <c r="AO720" s="32" t="n"/>
      <c r="AP720" s="32" t="n"/>
      <c r="AQ720" s="32" t="n"/>
      <c r="AR720" s="29">
        <f>IF(NOT(COUNTA(A720:AE720)&gt;0),"",IF(A720="","New client","Update"))</f>
        <v/>
      </c>
      <c r="AS720" s="29">
        <f>IF(BA720&lt;&gt;"",BA720,IF(LEN(AZ720)=15,MID(AZ720,3,10),""))</f>
        <v/>
      </c>
      <c r="AT720" s="29">
        <f>IF(BB720="","",BB720&amp;IF(D720="","  (guessed from PAN)",""))</f>
        <v/>
      </c>
      <c r="AU720" s="29">
        <f>IF(AZ720="","",IFERROR(INDEX(Lists!$L$2:$L$38,MATCH(LEFT(AZ720,2),Lists!$K$2:$K$38,0)),"Unknown code"))</f>
        <v/>
      </c>
      <c r="AV720" s="29">
        <f>IF(AZ720="","",IFERROR(IF(NOT(AND(LEN(AZ720)=15,ISNUMBER(MATCH(LEFT(AZ720,2),Lists!$K$2:$K$38,0)),SUMPRODUCT(--ISERROR(FIND(MID(MID(AZ720,3,10),{1,2,3,4,5,10},1),"ABCDEFGHIJKLMNOPQRSTUVWXYZ")))=0,SUMPRODUCT(--ISERROR(FIND(MID(MID(AZ720,3,10),{6,7,8,9},1),"0123456789")))=0,ISNUMBER(FIND(MID(AZ720,13,1),"123456789ABCDEFGHIJKLMNOPQRSTUVWXYZ")),MID(AZ720,14,1)="Z")),"Wrong format",IF(MID("0123456789ABCDEFGHIJKLMNOPQRSTUVWXYZ",MOD(36-MOD(SUMPRODUCT(INT((FIND(MID(AZ720,{1,2,3,4,5,6,7,8,9,10,11,12,13,14},1),"0123456789ABCDEFGHIJKLMNOPQRSTUVWXYZ")-1)*{1,2,1,2,1,2,1,2,1,2,1,2,1,2}/36)+MOD((FIND(MID(AZ720,{1,2,3,4,5,6,7,8,9,10,11,12,13,14},1),"0123456789ABCDEFGHIJKLMNOPQRSTUVWXYZ")-1)*{1,2,1,2,1,2,1,2,1,2,1,2,1,2},36)),36),36)+1,1)=MID(AZ720,15,1),"OK","Typo? check digit wrong")),"Wrong format"))</f>
        <v/>
      </c>
      <c r="AW720" s="29">
        <f>IF(BA720="","",IF(AND(LEN(BA720)=10,SUMPRODUCT(--ISERROR(FIND(MID(BA720,{1,2,3,4,5,10},1),"ABCDEFGHIJKLMNOPQRSTUVWXYZ")))=0,SUMPRODUCT(--ISERROR(FIND(MID(BA720,{6,7,8,9},1),"0123456789")))=0),"OK","Wrong format"))</f>
        <v/>
      </c>
      <c r="AX720" s="29">
        <f>IF(TRIM(H720)="","",IF(AND(LEN(UPPER(TRIM(H720)))=10,SUMPRODUCT(--ISERROR(FIND(MID(UPPER(TRIM(H720)),{1,2,3,4,10},1),"ABCDEFGHIJKLMNOPQRSTUVWXYZ")))=0,SUMPRODUCT(--ISERROR(FIND(MID(UPPER(TRIM(H720)),{5,6,7,8,9},1),"0123456789")))=0),"OK","Wrong format"))</f>
        <v/>
      </c>
      <c r="AY720" s="30">
        <f>IF(NOT(COUNTA(A720:AE720)&gt;0),"",IF(BE720&lt;&gt;"","✖ "&amp;LEFT(BE720,LEN(BE720)-2),IF(BD720&gt;0,"✔ Ready — client + "&amp;BD720&amp;" service(s)","✔ Ready — client only")))</f>
        <v/>
      </c>
      <c r="AZ720" s="31">
        <f>UPPER(SUBSTITUTE(TRIM(F720)," ",""))</f>
        <v/>
      </c>
      <c r="BA720" s="31">
        <f>UPPER(SUBSTITUTE(TRIM(E720)," ",""))</f>
        <v/>
      </c>
      <c r="BB720" s="31">
        <f>IF(D720&lt;&gt;"",D720,IFERROR(VLOOKUP(MID(AS720,4,1),Lists!$E$2:$F$8,2,FALSE),""))</f>
        <v/>
      </c>
      <c r="BC720" s="31">
        <f>IFERROR(VLOOKUP(BB720,Lists!$A$2:$C$12,3,FALSE),"")</f>
        <v/>
      </c>
      <c r="BD720" s="31">
        <f>COUNTIF(W720:AC720,"Yes")</f>
        <v/>
      </c>
      <c r="BE720" s="31">
        <f>IF(TRIM(B720)="","Legal name missing; ","")&amp;IF(AND(AV720&lt;&gt;"",AV720&lt;&gt;"OK"),"GSTIN: "&amp;AV720&amp;"; ","")&amp;IF(AND(AW720&lt;&gt;"",AW720&lt;&gt;"OK"),"PAN wrong format; ","")&amp;IF(AND(BA720&lt;&gt;"",LEN(AZ720)=15,MID(AZ720,3,10)&lt;&gt;BA720),"PAN does not match GSTIN; ","")&amp;IF(AND(AX720&lt;&gt;"",AX720&lt;&gt;"OK"),"TAN wrong format; ","")&amp;IF(AS720="","PAN missing; ","")&amp;IF(BB720="","Entity type missing; ","")&amp;IF(AND(AZ720&lt;&gt;"",COUNTIF($AZ$6:$AZ$1005,AZ720)&gt;1),"GSTIN repeated in this sheet; ","")&amp;IF(AND(AS720&lt;&gt;"",COUNTIF($AS$6:$AS$1005,AS720)&gt;1),"PAN repeated in this sheet (same client? put extra GSTINs in Other GSTINs); ","")&amp;IF(AND(BD720&gt;0,V720=""),"Financial year missing; ","")&amp;IF(AND(BD720=0,V720&lt;&gt;""),"Financial year given but no service is Yes; ","")&amp;IF(AND(W720="Yes",AZ720=""),"GST needs a GSTIN; ","")&amp;IF(AND(W720="Yes",X720=""),"GST return frequency missing; ","")&amp;IF(AND(Y720="Yes",TRIM(H720)=""),"TDS needs a TAN; ","")&amp;IF(AND(AA720="Yes",BC720&lt;&gt;"",BC720&lt;&gt;"company",BC720&lt;&gt;"llp"),"ROC is only for a company / LLP; ","")&amp;IF(AND(AA720="Yes",OR(BC720="company",BC720="llp"),TRIM(I720)=""),"ROC needs the CIN / LLPIN; ","")&amp;IF((TRIM(AF720)="")&lt;&gt;(TRIM(AG720)=""),"GST login needs both user ID and password; ","")&amp;IF((TRIM(AH720)="")&lt;&gt;(TRIM(AI720)=""),"Income-tax login needs both user ID and password; ","")&amp;IF((TRIM(AJ720)="")&lt;&gt;(TRIM(AK720)=""),"Income-tax login needs both user ID and password; ","")&amp;IF((TRIM(AL720)="")&lt;&gt;(TRIM(AM720)=""),"TRACES login needs both user ID and password; ","")&amp;IF((TRIM(AN720)="")&lt;&gt;(TRIM(AO720)=""),"MCA login needs both user ID and password; ","")&amp;IF((TRIM(AP720)="")&lt;&gt;(TRIM(AQ720)=""),"E-way bill login needs both user ID and password; ","")</f>
        <v/>
      </c>
    </row>
    <row r="721">
      <c r="A721" s="32" t="n"/>
      <c r="B721" s="33" t="n"/>
      <c r="C721" s="33" t="n"/>
      <c r="D721" s="33" t="n"/>
      <c r="E721" s="32" t="n"/>
      <c r="F721" s="32" t="n"/>
      <c r="G721" s="32" t="n"/>
      <c r="H721" s="32" t="n"/>
      <c r="I721" s="32" t="n"/>
      <c r="J721" s="34" t="n"/>
      <c r="K721" s="33" t="n"/>
      <c r="L721" s="32" t="n"/>
      <c r="M721" s="33" t="n"/>
      <c r="N721" s="33" t="n"/>
      <c r="O721" s="33" t="n"/>
      <c r="P721" s="32" t="n"/>
      <c r="Q721" s="33" t="n"/>
      <c r="R721" s="33" t="n"/>
      <c r="S721" s="33" t="n"/>
      <c r="T721" s="33" t="n"/>
      <c r="U721" s="32" t="n"/>
      <c r="V721" s="33" t="n"/>
      <c r="W721" s="33" t="n"/>
      <c r="X721" s="33" t="n"/>
      <c r="Y721" s="33" t="n"/>
      <c r="Z721" s="33" t="n"/>
      <c r="AA721" s="33" t="n"/>
      <c r="AB721" s="33" t="n"/>
      <c r="AC721" s="33" t="n"/>
      <c r="AD721" s="33" t="n"/>
      <c r="AE721" s="33" t="n"/>
      <c r="AF721" s="32" t="n"/>
      <c r="AG721" s="32" t="n"/>
      <c r="AH721" s="32" t="n"/>
      <c r="AI721" s="32" t="n"/>
      <c r="AJ721" s="32" t="n"/>
      <c r="AK721" s="32" t="n"/>
      <c r="AL721" s="32" t="n"/>
      <c r="AM721" s="32" t="n"/>
      <c r="AN721" s="32" t="n"/>
      <c r="AO721" s="32" t="n"/>
      <c r="AP721" s="32" t="n"/>
      <c r="AQ721" s="32" t="n"/>
      <c r="AR721" s="29">
        <f>IF(NOT(COUNTA(A721:AE721)&gt;0),"",IF(A721="","New client","Update"))</f>
        <v/>
      </c>
      <c r="AS721" s="29">
        <f>IF(BA721&lt;&gt;"",BA721,IF(LEN(AZ721)=15,MID(AZ721,3,10),""))</f>
        <v/>
      </c>
      <c r="AT721" s="29">
        <f>IF(BB721="","",BB721&amp;IF(D721="","  (guessed from PAN)",""))</f>
        <v/>
      </c>
      <c r="AU721" s="29">
        <f>IF(AZ721="","",IFERROR(INDEX(Lists!$L$2:$L$38,MATCH(LEFT(AZ721,2),Lists!$K$2:$K$38,0)),"Unknown code"))</f>
        <v/>
      </c>
      <c r="AV721" s="29">
        <f>IF(AZ721="","",IFERROR(IF(NOT(AND(LEN(AZ721)=15,ISNUMBER(MATCH(LEFT(AZ721,2),Lists!$K$2:$K$38,0)),SUMPRODUCT(--ISERROR(FIND(MID(MID(AZ721,3,10),{1,2,3,4,5,10},1),"ABCDEFGHIJKLMNOPQRSTUVWXYZ")))=0,SUMPRODUCT(--ISERROR(FIND(MID(MID(AZ721,3,10),{6,7,8,9},1),"0123456789")))=0,ISNUMBER(FIND(MID(AZ721,13,1),"123456789ABCDEFGHIJKLMNOPQRSTUVWXYZ")),MID(AZ721,14,1)="Z")),"Wrong format",IF(MID("0123456789ABCDEFGHIJKLMNOPQRSTUVWXYZ",MOD(36-MOD(SUMPRODUCT(INT((FIND(MID(AZ721,{1,2,3,4,5,6,7,8,9,10,11,12,13,14},1),"0123456789ABCDEFGHIJKLMNOPQRSTUVWXYZ")-1)*{1,2,1,2,1,2,1,2,1,2,1,2,1,2}/36)+MOD((FIND(MID(AZ721,{1,2,3,4,5,6,7,8,9,10,11,12,13,14},1),"0123456789ABCDEFGHIJKLMNOPQRSTUVWXYZ")-1)*{1,2,1,2,1,2,1,2,1,2,1,2,1,2},36)),36),36)+1,1)=MID(AZ721,15,1),"OK","Typo? check digit wrong")),"Wrong format"))</f>
        <v/>
      </c>
      <c r="AW721" s="29">
        <f>IF(BA721="","",IF(AND(LEN(BA721)=10,SUMPRODUCT(--ISERROR(FIND(MID(BA721,{1,2,3,4,5,10},1),"ABCDEFGHIJKLMNOPQRSTUVWXYZ")))=0,SUMPRODUCT(--ISERROR(FIND(MID(BA721,{6,7,8,9},1),"0123456789")))=0),"OK","Wrong format"))</f>
        <v/>
      </c>
      <c r="AX721" s="29">
        <f>IF(TRIM(H721)="","",IF(AND(LEN(UPPER(TRIM(H721)))=10,SUMPRODUCT(--ISERROR(FIND(MID(UPPER(TRIM(H721)),{1,2,3,4,10},1),"ABCDEFGHIJKLMNOPQRSTUVWXYZ")))=0,SUMPRODUCT(--ISERROR(FIND(MID(UPPER(TRIM(H721)),{5,6,7,8,9},1),"0123456789")))=0),"OK","Wrong format"))</f>
        <v/>
      </c>
      <c r="AY721" s="30">
        <f>IF(NOT(COUNTA(A721:AE721)&gt;0),"",IF(BE721&lt;&gt;"","✖ "&amp;LEFT(BE721,LEN(BE721)-2),IF(BD721&gt;0,"✔ Ready — client + "&amp;BD721&amp;" service(s)","✔ Ready — client only")))</f>
        <v/>
      </c>
      <c r="AZ721" s="31">
        <f>UPPER(SUBSTITUTE(TRIM(F721)," ",""))</f>
        <v/>
      </c>
      <c r="BA721" s="31">
        <f>UPPER(SUBSTITUTE(TRIM(E721)," ",""))</f>
        <v/>
      </c>
      <c r="BB721" s="31">
        <f>IF(D721&lt;&gt;"",D721,IFERROR(VLOOKUP(MID(AS721,4,1),Lists!$E$2:$F$8,2,FALSE),""))</f>
        <v/>
      </c>
      <c r="BC721" s="31">
        <f>IFERROR(VLOOKUP(BB721,Lists!$A$2:$C$12,3,FALSE),"")</f>
        <v/>
      </c>
      <c r="BD721" s="31">
        <f>COUNTIF(W721:AC721,"Yes")</f>
        <v/>
      </c>
      <c r="BE721" s="31">
        <f>IF(TRIM(B721)="","Legal name missing; ","")&amp;IF(AND(AV721&lt;&gt;"",AV721&lt;&gt;"OK"),"GSTIN: "&amp;AV721&amp;"; ","")&amp;IF(AND(AW721&lt;&gt;"",AW721&lt;&gt;"OK"),"PAN wrong format; ","")&amp;IF(AND(BA721&lt;&gt;"",LEN(AZ721)=15,MID(AZ721,3,10)&lt;&gt;BA721),"PAN does not match GSTIN; ","")&amp;IF(AND(AX721&lt;&gt;"",AX721&lt;&gt;"OK"),"TAN wrong format; ","")&amp;IF(AS721="","PAN missing; ","")&amp;IF(BB721="","Entity type missing; ","")&amp;IF(AND(AZ721&lt;&gt;"",COUNTIF($AZ$6:$AZ$1005,AZ721)&gt;1),"GSTIN repeated in this sheet; ","")&amp;IF(AND(AS721&lt;&gt;"",COUNTIF($AS$6:$AS$1005,AS721)&gt;1),"PAN repeated in this sheet (same client? put extra GSTINs in Other GSTINs); ","")&amp;IF(AND(BD721&gt;0,V721=""),"Financial year missing; ","")&amp;IF(AND(BD721=0,V721&lt;&gt;""),"Financial year given but no service is Yes; ","")&amp;IF(AND(W721="Yes",AZ721=""),"GST needs a GSTIN; ","")&amp;IF(AND(W721="Yes",X721=""),"GST return frequency missing; ","")&amp;IF(AND(Y721="Yes",TRIM(H721)=""),"TDS needs a TAN; ","")&amp;IF(AND(AA721="Yes",BC721&lt;&gt;"",BC721&lt;&gt;"company",BC721&lt;&gt;"llp"),"ROC is only for a company / LLP; ","")&amp;IF(AND(AA721="Yes",OR(BC721="company",BC721="llp"),TRIM(I721)=""),"ROC needs the CIN / LLPIN; ","")&amp;IF((TRIM(AF721)="")&lt;&gt;(TRIM(AG721)=""),"GST login needs both user ID and password; ","")&amp;IF((TRIM(AH721)="")&lt;&gt;(TRIM(AI721)=""),"Income-tax login needs both user ID and password; ","")&amp;IF((TRIM(AJ721)="")&lt;&gt;(TRIM(AK721)=""),"Income-tax login needs both user ID and password; ","")&amp;IF((TRIM(AL721)="")&lt;&gt;(TRIM(AM721)=""),"TRACES login needs both user ID and password; ","")&amp;IF((TRIM(AN721)="")&lt;&gt;(TRIM(AO721)=""),"MCA login needs both user ID and password; ","")&amp;IF((TRIM(AP721)="")&lt;&gt;(TRIM(AQ721)=""),"E-way bill login needs both user ID and password; ","")</f>
        <v/>
      </c>
    </row>
    <row r="722">
      <c r="A722" s="32" t="n"/>
      <c r="B722" s="33" t="n"/>
      <c r="C722" s="33" t="n"/>
      <c r="D722" s="33" t="n"/>
      <c r="E722" s="32" t="n"/>
      <c r="F722" s="32" t="n"/>
      <c r="G722" s="32" t="n"/>
      <c r="H722" s="32" t="n"/>
      <c r="I722" s="32" t="n"/>
      <c r="J722" s="34" t="n"/>
      <c r="K722" s="33" t="n"/>
      <c r="L722" s="32" t="n"/>
      <c r="M722" s="33" t="n"/>
      <c r="N722" s="33" t="n"/>
      <c r="O722" s="33" t="n"/>
      <c r="P722" s="32" t="n"/>
      <c r="Q722" s="33" t="n"/>
      <c r="R722" s="33" t="n"/>
      <c r="S722" s="33" t="n"/>
      <c r="T722" s="33" t="n"/>
      <c r="U722" s="32" t="n"/>
      <c r="V722" s="33" t="n"/>
      <c r="W722" s="33" t="n"/>
      <c r="X722" s="33" t="n"/>
      <c r="Y722" s="33" t="n"/>
      <c r="Z722" s="33" t="n"/>
      <c r="AA722" s="33" t="n"/>
      <c r="AB722" s="33" t="n"/>
      <c r="AC722" s="33" t="n"/>
      <c r="AD722" s="33" t="n"/>
      <c r="AE722" s="33" t="n"/>
      <c r="AF722" s="32" t="n"/>
      <c r="AG722" s="32" t="n"/>
      <c r="AH722" s="32" t="n"/>
      <c r="AI722" s="32" t="n"/>
      <c r="AJ722" s="32" t="n"/>
      <c r="AK722" s="32" t="n"/>
      <c r="AL722" s="32" t="n"/>
      <c r="AM722" s="32" t="n"/>
      <c r="AN722" s="32" t="n"/>
      <c r="AO722" s="32" t="n"/>
      <c r="AP722" s="32" t="n"/>
      <c r="AQ722" s="32" t="n"/>
      <c r="AR722" s="29">
        <f>IF(NOT(COUNTA(A722:AE722)&gt;0),"",IF(A722="","New client","Update"))</f>
        <v/>
      </c>
      <c r="AS722" s="29">
        <f>IF(BA722&lt;&gt;"",BA722,IF(LEN(AZ722)=15,MID(AZ722,3,10),""))</f>
        <v/>
      </c>
      <c r="AT722" s="29">
        <f>IF(BB722="","",BB722&amp;IF(D722="","  (guessed from PAN)",""))</f>
        <v/>
      </c>
      <c r="AU722" s="29">
        <f>IF(AZ722="","",IFERROR(INDEX(Lists!$L$2:$L$38,MATCH(LEFT(AZ722,2),Lists!$K$2:$K$38,0)),"Unknown code"))</f>
        <v/>
      </c>
      <c r="AV722" s="29">
        <f>IF(AZ722="","",IFERROR(IF(NOT(AND(LEN(AZ722)=15,ISNUMBER(MATCH(LEFT(AZ722,2),Lists!$K$2:$K$38,0)),SUMPRODUCT(--ISERROR(FIND(MID(MID(AZ722,3,10),{1,2,3,4,5,10},1),"ABCDEFGHIJKLMNOPQRSTUVWXYZ")))=0,SUMPRODUCT(--ISERROR(FIND(MID(MID(AZ722,3,10),{6,7,8,9},1),"0123456789")))=0,ISNUMBER(FIND(MID(AZ722,13,1),"123456789ABCDEFGHIJKLMNOPQRSTUVWXYZ")),MID(AZ722,14,1)="Z")),"Wrong format",IF(MID("0123456789ABCDEFGHIJKLMNOPQRSTUVWXYZ",MOD(36-MOD(SUMPRODUCT(INT((FIND(MID(AZ722,{1,2,3,4,5,6,7,8,9,10,11,12,13,14},1),"0123456789ABCDEFGHIJKLMNOPQRSTUVWXYZ")-1)*{1,2,1,2,1,2,1,2,1,2,1,2,1,2}/36)+MOD((FIND(MID(AZ722,{1,2,3,4,5,6,7,8,9,10,11,12,13,14},1),"0123456789ABCDEFGHIJKLMNOPQRSTUVWXYZ")-1)*{1,2,1,2,1,2,1,2,1,2,1,2,1,2},36)),36),36)+1,1)=MID(AZ722,15,1),"OK","Typo? check digit wrong")),"Wrong format"))</f>
        <v/>
      </c>
      <c r="AW722" s="29">
        <f>IF(BA722="","",IF(AND(LEN(BA722)=10,SUMPRODUCT(--ISERROR(FIND(MID(BA722,{1,2,3,4,5,10},1),"ABCDEFGHIJKLMNOPQRSTUVWXYZ")))=0,SUMPRODUCT(--ISERROR(FIND(MID(BA722,{6,7,8,9},1),"0123456789")))=0),"OK","Wrong format"))</f>
        <v/>
      </c>
      <c r="AX722" s="29">
        <f>IF(TRIM(H722)="","",IF(AND(LEN(UPPER(TRIM(H722)))=10,SUMPRODUCT(--ISERROR(FIND(MID(UPPER(TRIM(H722)),{1,2,3,4,10},1),"ABCDEFGHIJKLMNOPQRSTUVWXYZ")))=0,SUMPRODUCT(--ISERROR(FIND(MID(UPPER(TRIM(H722)),{5,6,7,8,9},1),"0123456789")))=0),"OK","Wrong format"))</f>
        <v/>
      </c>
      <c r="AY722" s="30">
        <f>IF(NOT(COUNTA(A722:AE722)&gt;0),"",IF(BE722&lt;&gt;"","✖ "&amp;LEFT(BE722,LEN(BE722)-2),IF(BD722&gt;0,"✔ Ready — client + "&amp;BD722&amp;" service(s)","✔ Ready — client only")))</f>
        <v/>
      </c>
      <c r="AZ722" s="31">
        <f>UPPER(SUBSTITUTE(TRIM(F722)," ",""))</f>
        <v/>
      </c>
      <c r="BA722" s="31">
        <f>UPPER(SUBSTITUTE(TRIM(E722)," ",""))</f>
        <v/>
      </c>
      <c r="BB722" s="31">
        <f>IF(D722&lt;&gt;"",D722,IFERROR(VLOOKUP(MID(AS722,4,1),Lists!$E$2:$F$8,2,FALSE),""))</f>
        <v/>
      </c>
      <c r="BC722" s="31">
        <f>IFERROR(VLOOKUP(BB722,Lists!$A$2:$C$12,3,FALSE),"")</f>
        <v/>
      </c>
      <c r="BD722" s="31">
        <f>COUNTIF(W722:AC722,"Yes")</f>
        <v/>
      </c>
      <c r="BE722" s="31">
        <f>IF(TRIM(B722)="","Legal name missing; ","")&amp;IF(AND(AV722&lt;&gt;"",AV722&lt;&gt;"OK"),"GSTIN: "&amp;AV722&amp;"; ","")&amp;IF(AND(AW722&lt;&gt;"",AW722&lt;&gt;"OK"),"PAN wrong format; ","")&amp;IF(AND(BA722&lt;&gt;"",LEN(AZ722)=15,MID(AZ722,3,10)&lt;&gt;BA722),"PAN does not match GSTIN; ","")&amp;IF(AND(AX722&lt;&gt;"",AX722&lt;&gt;"OK"),"TAN wrong format; ","")&amp;IF(AS722="","PAN missing; ","")&amp;IF(BB722="","Entity type missing; ","")&amp;IF(AND(AZ722&lt;&gt;"",COUNTIF($AZ$6:$AZ$1005,AZ722)&gt;1),"GSTIN repeated in this sheet; ","")&amp;IF(AND(AS722&lt;&gt;"",COUNTIF($AS$6:$AS$1005,AS722)&gt;1),"PAN repeated in this sheet (same client? put extra GSTINs in Other GSTINs); ","")&amp;IF(AND(BD722&gt;0,V722=""),"Financial year missing; ","")&amp;IF(AND(BD722=0,V722&lt;&gt;""),"Financial year given but no service is Yes; ","")&amp;IF(AND(W722="Yes",AZ722=""),"GST needs a GSTIN; ","")&amp;IF(AND(W722="Yes",X722=""),"GST return frequency missing; ","")&amp;IF(AND(Y722="Yes",TRIM(H722)=""),"TDS needs a TAN; ","")&amp;IF(AND(AA722="Yes",BC722&lt;&gt;"",BC722&lt;&gt;"company",BC722&lt;&gt;"llp"),"ROC is only for a company / LLP; ","")&amp;IF(AND(AA722="Yes",OR(BC722="company",BC722="llp"),TRIM(I722)=""),"ROC needs the CIN / LLPIN; ","")&amp;IF((TRIM(AF722)="")&lt;&gt;(TRIM(AG722)=""),"GST login needs both user ID and password; ","")&amp;IF((TRIM(AH722)="")&lt;&gt;(TRIM(AI722)=""),"Income-tax login needs both user ID and password; ","")&amp;IF((TRIM(AJ722)="")&lt;&gt;(TRIM(AK722)=""),"Income-tax login needs both user ID and password; ","")&amp;IF((TRIM(AL722)="")&lt;&gt;(TRIM(AM722)=""),"TRACES login needs both user ID and password; ","")&amp;IF((TRIM(AN722)="")&lt;&gt;(TRIM(AO722)=""),"MCA login needs both user ID and password; ","")&amp;IF((TRIM(AP722)="")&lt;&gt;(TRIM(AQ722)=""),"E-way bill login needs both user ID and password; ","")</f>
        <v/>
      </c>
    </row>
    <row r="723">
      <c r="A723" s="32" t="n"/>
      <c r="B723" s="33" t="n"/>
      <c r="C723" s="33" t="n"/>
      <c r="D723" s="33" t="n"/>
      <c r="E723" s="32" t="n"/>
      <c r="F723" s="32" t="n"/>
      <c r="G723" s="32" t="n"/>
      <c r="H723" s="32" t="n"/>
      <c r="I723" s="32" t="n"/>
      <c r="J723" s="34" t="n"/>
      <c r="K723" s="33" t="n"/>
      <c r="L723" s="32" t="n"/>
      <c r="M723" s="33" t="n"/>
      <c r="N723" s="33" t="n"/>
      <c r="O723" s="33" t="n"/>
      <c r="P723" s="32" t="n"/>
      <c r="Q723" s="33" t="n"/>
      <c r="R723" s="33" t="n"/>
      <c r="S723" s="33" t="n"/>
      <c r="T723" s="33" t="n"/>
      <c r="U723" s="32" t="n"/>
      <c r="V723" s="33" t="n"/>
      <c r="W723" s="33" t="n"/>
      <c r="X723" s="33" t="n"/>
      <c r="Y723" s="33" t="n"/>
      <c r="Z723" s="33" t="n"/>
      <c r="AA723" s="33" t="n"/>
      <c r="AB723" s="33" t="n"/>
      <c r="AC723" s="33" t="n"/>
      <c r="AD723" s="33" t="n"/>
      <c r="AE723" s="33" t="n"/>
      <c r="AF723" s="32" t="n"/>
      <c r="AG723" s="32" t="n"/>
      <c r="AH723" s="32" t="n"/>
      <c r="AI723" s="32" t="n"/>
      <c r="AJ723" s="32" t="n"/>
      <c r="AK723" s="32" t="n"/>
      <c r="AL723" s="32" t="n"/>
      <c r="AM723" s="32" t="n"/>
      <c r="AN723" s="32" t="n"/>
      <c r="AO723" s="32" t="n"/>
      <c r="AP723" s="32" t="n"/>
      <c r="AQ723" s="32" t="n"/>
      <c r="AR723" s="29">
        <f>IF(NOT(COUNTA(A723:AE723)&gt;0),"",IF(A723="","New client","Update"))</f>
        <v/>
      </c>
      <c r="AS723" s="29">
        <f>IF(BA723&lt;&gt;"",BA723,IF(LEN(AZ723)=15,MID(AZ723,3,10),""))</f>
        <v/>
      </c>
      <c r="AT723" s="29">
        <f>IF(BB723="","",BB723&amp;IF(D723="","  (guessed from PAN)",""))</f>
        <v/>
      </c>
      <c r="AU723" s="29">
        <f>IF(AZ723="","",IFERROR(INDEX(Lists!$L$2:$L$38,MATCH(LEFT(AZ723,2),Lists!$K$2:$K$38,0)),"Unknown code"))</f>
        <v/>
      </c>
      <c r="AV723" s="29">
        <f>IF(AZ723="","",IFERROR(IF(NOT(AND(LEN(AZ723)=15,ISNUMBER(MATCH(LEFT(AZ723,2),Lists!$K$2:$K$38,0)),SUMPRODUCT(--ISERROR(FIND(MID(MID(AZ723,3,10),{1,2,3,4,5,10},1),"ABCDEFGHIJKLMNOPQRSTUVWXYZ")))=0,SUMPRODUCT(--ISERROR(FIND(MID(MID(AZ723,3,10),{6,7,8,9},1),"0123456789")))=0,ISNUMBER(FIND(MID(AZ723,13,1),"123456789ABCDEFGHIJKLMNOPQRSTUVWXYZ")),MID(AZ723,14,1)="Z")),"Wrong format",IF(MID("0123456789ABCDEFGHIJKLMNOPQRSTUVWXYZ",MOD(36-MOD(SUMPRODUCT(INT((FIND(MID(AZ723,{1,2,3,4,5,6,7,8,9,10,11,12,13,14},1),"0123456789ABCDEFGHIJKLMNOPQRSTUVWXYZ")-1)*{1,2,1,2,1,2,1,2,1,2,1,2,1,2}/36)+MOD((FIND(MID(AZ723,{1,2,3,4,5,6,7,8,9,10,11,12,13,14},1),"0123456789ABCDEFGHIJKLMNOPQRSTUVWXYZ")-1)*{1,2,1,2,1,2,1,2,1,2,1,2,1,2},36)),36),36)+1,1)=MID(AZ723,15,1),"OK","Typo? check digit wrong")),"Wrong format"))</f>
        <v/>
      </c>
      <c r="AW723" s="29">
        <f>IF(BA723="","",IF(AND(LEN(BA723)=10,SUMPRODUCT(--ISERROR(FIND(MID(BA723,{1,2,3,4,5,10},1),"ABCDEFGHIJKLMNOPQRSTUVWXYZ")))=0,SUMPRODUCT(--ISERROR(FIND(MID(BA723,{6,7,8,9},1),"0123456789")))=0),"OK","Wrong format"))</f>
        <v/>
      </c>
      <c r="AX723" s="29">
        <f>IF(TRIM(H723)="","",IF(AND(LEN(UPPER(TRIM(H723)))=10,SUMPRODUCT(--ISERROR(FIND(MID(UPPER(TRIM(H723)),{1,2,3,4,10},1),"ABCDEFGHIJKLMNOPQRSTUVWXYZ")))=0,SUMPRODUCT(--ISERROR(FIND(MID(UPPER(TRIM(H723)),{5,6,7,8,9},1),"0123456789")))=0),"OK","Wrong format"))</f>
        <v/>
      </c>
      <c r="AY723" s="30">
        <f>IF(NOT(COUNTA(A723:AE723)&gt;0),"",IF(BE723&lt;&gt;"","✖ "&amp;LEFT(BE723,LEN(BE723)-2),IF(BD723&gt;0,"✔ Ready — client + "&amp;BD723&amp;" service(s)","✔ Ready — client only")))</f>
        <v/>
      </c>
      <c r="AZ723" s="31">
        <f>UPPER(SUBSTITUTE(TRIM(F723)," ",""))</f>
        <v/>
      </c>
      <c r="BA723" s="31">
        <f>UPPER(SUBSTITUTE(TRIM(E723)," ",""))</f>
        <v/>
      </c>
      <c r="BB723" s="31">
        <f>IF(D723&lt;&gt;"",D723,IFERROR(VLOOKUP(MID(AS723,4,1),Lists!$E$2:$F$8,2,FALSE),""))</f>
        <v/>
      </c>
      <c r="BC723" s="31">
        <f>IFERROR(VLOOKUP(BB723,Lists!$A$2:$C$12,3,FALSE),"")</f>
        <v/>
      </c>
      <c r="BD723" s="31">
        <f>COUNTIF(W723:AC723,"Yes")</f>
        <v/>
      </c>
      <c r="BE723" s="31">
        <f>IF(TRIM(B723)="","Legal name missing; ","")&amp;IF(AND(AV723&lt;&gt;"",AV723&lt;&gt;"OK"),"GSTIN: "&amp;AV723&amp;"; ","")&amp;IF(AND(AW723&lt;&gt;"",AW723&lt;&gt;"OK"),"PAN wrong format; ","")&amp;IF(AND(BA723&lt;&gt;"",LEN(AZ723)=15,MID(AZ723,3,10)&lt;&gt;BA723),"PAN does not match GSTIN; ","")&amp;IF(AND(AX723&lt;&gt;"",AX723&lt;&gt;"OK"),"TAN wrong format; ","")&amp;IF(AS723="","PAN missing; ","")&amp;IF(BB723="","Entity type missing; ","")&amp;IF(AND(AZ723&lt;&gt;"",COUNTIF($AZ$6:$AZ$1005,AZ723)&gt;1),"GSTIN repeated in this sheet; ","")&amp;IF(AND(AS723&lt;&gt;"",COUNTIF($AS$6:$AS$1005,AS723)&gt;1),"PAN repeated in this sheet (same client? put extra GSTINs in Other GSTINs); ","")&amp;IF(AND(BD723&gt;0,V723=""),"Financial year missing; ","")&amp;IF(AND(BD723=0,V723&lt;&gt;""),"Financial year given but no service is Yes; ","")&amp;IF(AND(W723="Yes",AZ723=""),"GST needs a GSTIN; ","")&amp;IF(AND(W723="Yes",X723=""),"GST return frequency missing; ","")&amp;IF(AND(Y723="Yes",TRIM(H723)=""),"TDS needs a TAN; ","")&amp;IF(AND(AA723="Yes",BC723&lt;&gt;"",BC723&lt;&gt;"company",BC723&lt;&gt;"llp"),"ROC is only for a company / LLP; ","")&amp;IF(AND(AA723="Yes",OR(BC723="company",BC723="llp"),TRIM(I723)=""),"ROC needs the CIN / LLPIN; ","")&amp;IF((TRIM(AF723)="")&lt;&gt;(TRIM(AG723)=""),"GST login needs both user ID and password; ","")&amp;IF((TRIM(AH723)="")&lt;&gt;(TRIM(AI723)=""),"Income-tax login needs both user ID and password; ","")&amp;IF((TRIM(AJ723)="")&lt;&gt;(TRIM(AK723)=""),"Income-tax login needs both user ID and password; ","")&amp;IF((TRIM(AL723)="")&lt;&gt;(TRIM(AM723)=""),"TRACES login needs both user ID and password; ","")&amp;IF((TRIM(AN723)="")&lt;&gt;(TRIM(AO723)=""),"MCA login needs both user ID and password; ","")&amp;IF((TRIM(AP723)="")&lt;&gt;(TRIM(AQ723)=""),"E-way bill login needs both user ID and password; ","")</f>
        <v/>
      </c>
    </row>
    <row r="724">
      <c r="A724" s="32" t="n"/>
      <c r="B724" s="33" t="n"/>
      <c r="C724" s="33" t="n"/>
      <c r="D724" s="33" t="n"/>
      <c r="E724" s="32" t="n"/>
      <c r="F724" s="32" t="n"/>
      <c r="G724" s="32" t="n"/>
      <c r="H724" s="32" t="n"/>
      <c r="I724" s="32" t="n"/>
      <c r="J724" s="34" t="n"/>
      <c r="K724" s="33" t="n"/>
      <c r="L724" s="32" t="n"/>
      <c r="M724" s="33" t="n"/>
      <c r="N724" s="33" t="n"/>
      <c r="O724" s="33" t="n"/>
      <c r="P724" s="32" t="n"/>
      <c r="Q724" s="33" t="n"/>
      <c r="R724" s="33" t="n"/>
      <c r="S724" s="33" t="n"/>
      <c r="T724" s="33" t="n"/>
      <c r="U724" s="32" t="n"/>
      <c r="V724" s="33" t="n"/>
      <c r="W724" s="33" t="n"/>
      <c r="X724" s="33" t="n"/>
      <c r="Y724" s="33" t="n"/>
      <c r="Z724" s="33" t="n"/>
      <c r="AA724" s="33" t="n"/>
      <c r="AB724" s="33" t="n"/>
      <c r="AC724" s="33" t="n"/>
      <c r="AD724" s="33" t="n"/>
      <c r="AE724" s="33" t="n"/>
      <c r="AF724" s="32" t="n"/>
      <c r="AG724" s="32" t="n"/>
      <c r="AH724" s="32" t="n"/>
      <c r="AI724" s="32" t="n"/>
      <c r="AJ724" s="32" t="n"/>
      <c r="AK724" s="32" t="n"/>
      <c r="AL724" s="32" t="n"/>
      <c r="AM724" s="32" t="n"/>
      <c r="AN724" s="32" t="n"/>
      <c r="AO724" s="32" t="n"/>
      <c r="AP724" s="32" t="n"/>
      <c r="AQ724" s="32" t="n"/>
      <c r="AR724" s="29">
        <f>IF(NOT(COUNTA(A724:AE724)&gt;0),"",IF(A724="","New client","Update"))</f>
        <v/>
      </c>
      <c r="AS724" s="29">
        <f>IF(BA724&lt;&gt;"",BA724,IF(LEN(AZ724)=15,MID(AZ724,3,10),""))</f>
        <v/>
      </c>
      <c r="AT724" s="29">
        <f>IF(BB724="","",BB724&amp;IF(D724="","  (guessed from PAN)",""))</f>
        <v/>
      </c>
      <c r="AU724" s="29">
        <f>IF(AZ724="","",IFERROR(INDEX(Lists!$L$2:$L$38,MATCH(LEFT(AZ724,2),Lists!$K$2:$K$38,0)),"Unknown code"))</f>
        <v/>
      </c>
      <c r="AV724" s="29">
        <f>IF(AZ724="","",IFERROR(IF(NOT(AND(LEN(AZ724)=15,ISNUMBER(MATCH(LEFT(AZ724,2),Lists!$K$2:$K$38,0)),SUMPRODUCT(--ISERROR(FIND(MID(MID(AZ724,3,10),{1,2,3,4,5,10},1),"ABCDEFGHIJKLMNOPQRSTUVWXYZ")))=0,SUMPRODUCT(--ISERROR(FIND(MID(MID(AZ724,3,10),{6,7,8,9},1),"0123456789")))=0,ISNUMBER(FIND(MID(AZ724,13,1),"123456789ABCDEFGHIJKLMNOPQRSTUVWXYZ")),MID(AZ724,14,1)="Z")),"Wrong format",IF(MID("0123456789ABCDEFGHIJKLMNOPQRSTUVWXYZ",MOD(36-MOD(SUMPRODUCT(INT((FIND(MID(AZ724,{1,2,3,4,5,6,7,8,9,10,11,12,13,14},1),"0123456789ABCDEFGHIJKLMNOPQRSTUVWXYZ")-1)*{1,2,1,2,1,2,1,2,1,2,1,2,1,2}/36)+MOD((FIND(MID(AZ724,{1,2,3,4,5,6,7,8,9,10,11,12,13,14},1),"0123456789ABCDEFGHIJKLMNOPQRSTUVWXYZ")-1)*{1,2,1,2,1,2,1,2,1,2,1,2,1,2},36)),36),36)+1,1)=MID(AZ724,15,1),"OK","Typo? check digit wrong")),"Wrong format"))</f>
        <v/>
      </c>
      <c r="AW724" s="29">
        <f>IF(BA724="","",IF(AND(LEN(BA724)=10,SUMPRODUCT(--ISERROR(FIND(MID(BA724,{1,2,3,4,5,10},1),"ABCDEFGHIJKLMNOPQRSTUVWXYZ")))=0,SUMPRODUCT(--ISERROR(FIND(MID(BA724,{6,7,8,9},1),"0123456789")))=0),"OK","Wrong format"))</f>
        <v/>
      </c>
      <c r="AX724" s="29">
        <f>IF(TRIM(H724)="","",IF(AND(LEN(UPPER(TRIM(H724)))=10,SUMPRODUCT(--ISERROR(FIND(MID(UPPER(TRIM(H724)),{1,2,3,4,10},1),"ABCDEFGHIJKLMNOPQRSTUVWXYZ")))=0,SUMPRODUCT(--ISERROR(FIND(MID(UPPER(TRIM(H724)),{5,6,7,8,9},1),"0123456789")))=0),"OK","Wrong format"))</f>
        <v/>
      </c>
      <c r="AY724" s="30">
        <f>IF(NOT(COUNTA(A724:AE724)&gt;0),"",IF(BE724&lt;&gt;"","✖ "&amp;LEFT(BE724,LEN(BE724)-2),IF(BD724&gt;0,"✔ Ready — client + "&amp;BD724&amp;" service(s)","✔ Ready — client only")))</f>
        <v/>
      </c>
      <c r="AZ724" s="31">
        <f>UPPER(SUBSTITUTE(TRIM(F724)," ",""))</f>
        <v/>
      </c>
      <c r="BA724" s="31">
        <f>UPPER(SUBSTITUTE(TRIM(E724)," ",""))</f>
        <v/>
      </c>
      <c r="BB724" s="31">
        <f>IF(D724&lt;&gt;"",D724,IFERROR(VLOOKUP(MID(AS724,4,1),Lists!$E$2:$F$8,2,FALSE),""))</f>
        <v/>
      </c>
      <c r="BC724" s="31">
        <f>IFERROR(VLOOKUP(BB724,Lists!$A$2:$C$12,3,FALSE),"")</f>
        <v/>
      </c>
      <c r="BD724" s="31">
        <f>COUNTIF(W724:AC724,"Yes")</f>
        <v/>
      </c>
      <c r="BE724" s="31">
        <f>IF(TRIM(B724)="","Legal name missing; ","")&amp;IF(AND(AV724&lt;&gt;"",AV724&lt;&gt;"OK"),"GSTIN: "&amp;AV724&amp;"; ","")&amp;IF(AND(AW724&lt;&gt;"",AW724&lt;&gt;"OK"),"PAN wrong format; ","")&amp;IF(AND(BA724&lt;&gt;"",LEN(AZ724)=15,MID(AZ724,3,10)&lt;&gt;BA724),"PAN does not match GSTIN; ","")&amp;IF(AND(AX724&lt;&gt;"",AX724&lt;&gt;"OK"),"TAN wrong format; ","")&amp;IF(AS724="","PAN missing; ","")&amp;IF(BB724="","Entity type missing; ","")&amp;IF(AND(AZ724&lt;&gt;"",COUNTIF($AZ$6:$AZ$1005,AZ724)&gt;1),"GSTIN repeated in this sheet; ","")&amp;IF(AND(AS724&lt;&gt;"",COUNTIF($AS$6:$AS$1005,AS724)&gt;1),"PAN repeated in this sheet (same client? put extra GSTINs in Other GSTINs); ","")&amp;IF(AND(BD724&gt;0,V724=""),"Financial year missing; ","")&amp;IF(AND(BD724=0,V724&lt;&gt;""),"Financial year given but no service is Yes; ","")&amp;IF(AND(W724="Yes",AZ724=""),"GST needs a GSTIN; ","")&amp;IF(AND(W724="Yes",X724=""),"GST return frequency missing; ","")&amp;IF(AND(Y724="Yes",TRIM(H724)=""),"TDS needs a TAN; ","")&amp;IF(AND(AA724="Yes",BC724&lt;&gt;"",BC724&lt;&gt;"company",BC724&lt;&gt;"llp"),"ROC is only for a company / LLP; ","")&amp;IF(AND(AA724="Yes",OR(BC724="company",BC724="llp"),TRIM(I724)=""),"ROC needs the CIN / LLPIN; ","")&amp;IF((TRIM(AF724)="")&lt;&gt;(TRIM(AG724)=""),"GST login needs both user ID and password; ","")&amp;IF((TRIM(AH724)="")&lt;&gt;(TRIM(AI724)=""),"Income-tax login needs both user ID and password; ","")&amp;IF((TRIM(AJ724)="")&lt;&gt;(TRIM(AK724)=""),"Income-tax login needs both user ID and password; ","")&amp;IF((TRIM(AL724)="")&lt;&gt;(TRIM(AM724)=""),"TRACES login needs both user ID and password; ","")&amp;IF((TRIM(AN724)="")&lt;&gt;(TRIM(AO724)=""),"MCA login needs both user ID and password; ","")&amp;IF((TRIM(AP724)="")&lt;&gt;(TRIM(AQ724)=""),"E-way bill login needs both user ID and password; ","")</f>
        <v/>
      </c>
    </row>
    <row r="725">
      <c r="A725" s="32" t="n"/>
      <c r="B725" s="33" t="n"/>
      <c r="C725" s="33" t="n"/>
      <c r="D725" s="33" t="n"/>
      <c r="E725" s="32" t="n"/>
      <c r="F725" s="32" t="n"/>
      <c r="G725" s="32" t="n"/>
      <c r="H725" s="32" t="n"/>
      <c r="I725" s="32" t="n"/>
      <c r="J725" s="34" t="n"/>
      <c r="K725" s="33" t="n"/>
      <c r="L725" s="32" t="n"/>
      <c r="M725" s="33" t="n"/>
      <c r="N725" s="33" t="n"/>
      <c r="O725" s="33" t="n"/>
      <c r="P725" s="32" t="n"/>
      <c r="Q725" s="33" t="n"/>
      <c r="R725" s="33" t="n"/>
      <c r="S725" s="33" t="n"/>
      <c r="T725" s="33" t="n"/>
      <c r="U725" s="32" t="n"/>
      <c r="V725" s="33" t="n"/>
      <c r="W725" s="33" t="n"/>
      <c r="X725" s="33" t="n"/>
      <c r="Y725" s="33" t="n"/>
      <c r="Z725" s="33" t="n"/>
      <c r="AA725" s="33" t="n"/>
      <c r="AB725" s="33" t="n"/>
      <c r="AC725" s="33" t="n"/>
      <c r="AD725" s="33" t="n"/>
      <c r="AE725" s="33" t="n"/>
      <c r="AF725" s="32" t="n"/>
      <c r="AG725" s="32" t="n"/>
      <c r="AH725" s="32" t="n"/>
      <c r="AI725" s="32" t="n"/>
      <c r="AJ725" s="32" t="n"/>
      <c r="AK725" s="32" t="n"/>
      <c r="AL725" s="32" t="n"/>
      <c r="AM725" s="32" t="n"/>
      <c r="AN725" s="32" t="n"/>
      <c r="AO725" s="32" t="n"/>
      <c r="AP725" s="32" t="n"/>
      <c r="AQ725" s="32" t="n"/>
      <c r="AR725" s="29">
        <f>IF(NOT(COUNTA(A725:AE725)&gt;0),"",IF(A725="","New client","Update"))</f>
        <v/>
      </c>
      <c r="AS725" s="29">
        <f>IF(BA725&lt;&gt;"",BA725,IF(LEN(AZ725)=15,MID(AZ725,3,10),""))</f>
        <v/>
      </c>
      <c r="AT725" s="29">
        <f>IF(BB725="","",BB725&amp;IF(D725="","  (guessed from PAN)",""))</f>
        <v/>
      </c>
      <c r="AU725" s="29">
        <f>IF(AZ725="","",IFERROR(INDEX(Lists!$L$2:$L$38,MATCH(LEFT(AZ725,2),Lists!$K$2:$K$38,0)),"Unknown code"))</f>
        <v/>
      </c>
      <c r="AV725" s="29">
        <f>IF(AZ725="","",IFERROR(IF(NOT(AND(LEN(AZ725)=15,ISNUMBER(MATCH(LEFT(AZ725,2),Lists!$K$2:$K$38,0)),SUMPRODUCT(--ISERROR(FIND(MID(MID(AZ725,3,10),{1,2,3,4,5,10},1),"ABCDEFGHIJKLMNOPQRSTUVWXYZ")))=0,SUMPRODUCT(--ISERROR(FIND(MID(MID(AZ725,3,10),{6,7,8,9},1),"0123456789")))=0,ISNUMBER(FIND(MID(AZ725,13,1),"123456789ABCDEFGHIJKLMNOPQRSTUVWXYZ")),MID(AZ725,14,1)="Z")),"Wrong format",IF(MID("0123456789ABCDEFGHIJKLMNOPQRSTUVWXYZ",MOD(36-MOD(SUMPRODUCT(INT((FIND(MID(AZ725,{1,2,3,4,5,6,7,8,9,10,11,12,13,14},1),"0123456789ABCDEFGHIJKLMNOPQRSTUVWXYZ")-1)*{1,2,1,2,1,2,1,2,1,2,1,2,1,2}/36)+MOD((FIND(MID(AZ725,{1,2,3,4,5,6,7,8,9,10,11,12,13,14},1),"0123456789ABCDEFGHIJKLMNOPQRSTUVWXYZ")-1)*{1,2,1,2,1,2,1,2,1,2,1,2,1,2},36)),36),36)+1,1)=MID(AZ725,15,1),"OK","Typo? check digit wrong")),"Wrong format"))</f>
        <v/>
      </c>
      <c r="AW725" s="29">
        <f>IF(BA725="","",IF(AND(LEN(BA725)=10,SUMPRODUCT(--ISERROR(FIND(MID(BA725,{1,2,3,4,5,10},1),"ABCDEFGHIJKLMNOPQRSTUVWXYZ")))=0,SUMPRODUCT(--ISERROR(FIND(MID(BA725,{6,7,8,9},1),"0123456789")))=0),"OK","Wrong format"))</f>
        <v/>
      </c>
      <c r="AX725" s="29">
        <f>IF(TRIM(H725)="","",IF(AND(LEN(UPPER(TRIM(H725)))=10,SUMPRODUCT(--ISERROR(FIND(MID(UPPER(TRIM(H725)),{1,2,3,4,10},1),"ABCDEFGHIJKLMNOPQRSTUVWXYZ")))=0,SUMPRODUCT(--ISERROR(FIND(MID(UPPER(TRIM(H725)),{5,6,7,8,9},1),"0123456789")))=0),"OK","Wrong format"))</f>
        <v/>
      </c>
      <c r="AY725" s="30">
        <f>IF(NOT(COUNTA(A725:AE725)&gt;0),"",IF(BE725&lt;&gt;"","✖ "&amp;LEFT(BE725,LEN(BE725)-2),IF(BD725&gt;0,"✔ Ready — client + "&amp;BD725&amp;" service(s)","✔ Ready — client only")))</f>
        <v/>
      </c>
      <c r="AZ725" s="31">
        <f>UPPER(SUBSTITUTE(TRIM(F725)," ",""))</f>
        <v/>
      </c>
      <c r="BA725" s="31">
        <f>UPPER(SUBSTITUTE(TRIM(E725)," ",""))</f>
        <v/>
      </c>
      <c r="BB725" s="31">
        <f>IF(D725&lt;&gt;"",D725,IFERROR(VLOOKUP(MID(AS725,4,1),Lists!$E$2:$F$8,2,FALSE),""))</f>
        <v/>
      </c>
      <c r="BC725" s="31">
        <f>IFERROR(VLOOKUP(BB725,Lists!$A$2:$C$12,3,FALSE),"")</f>
        <v/>
      </c>
      <c r="BD725" s="31">
        <f>COUNTIF(W725:AC725,"Yes")</f>
        <v/>
      </c>
      <c r="BE725" s="31">
        <f>IF(TRIM(B725)="","Legal name missing; ","")&amp;IF(AND(AV725&lt;&gt;"",AV725&lt;&gt;"OK"),"GSTIN: "&amp;AV725&amp;"; ","")&amp;IF(AND(AW725&lt;&gt;"",AW725&lt;&gt;"OK"),"PAN wrong format; ","")&amp;IF(AND(BA725&lt;&gt;"",LEN(AZ725)=15,MID(AZ725,3,10)&lt;&gt;BA725),"PAN does not match GSTIN; ","")&amp;IF(AND(AX725&lt;&gt;"",AX725&lt;&gt;"OK"),"TAN wrong format; ","")&amp;IF(AS725="","PAN missing; ","")&amp;IF(BB725="","Entity type missing; ","")&amp;IF(AND(AZ725&lt;&gt;"",COUNTIF($AZ$6:$AZ$1005,AZ725)&gt;1),"GSTIN repeated in this sheet; ","")&amp;IF(AND(AS725&lt;&gt;"",COUNTIF($AS$6:$AS$1005,AS725)&gt;1),"PAN repeated in this sheet (same client? put extra GSTINs in Other GSTINs); ","")&amp;IF(AND(BD725&gt;0,V725=""),"Financial year missing; ","")&amp;IF(AND(BD725=0,V725&lt;&gt;""),"Financial year given but no service is Yes; ","")&amp;IF(AND(W725="Yes",AZ725=""),"GST needs a GSTIN; ","")&amp;IF(AND(W725="Yes",X725=""),"GST return frequency missing; ","")&amp;IF(AND(Y725="Yes",TRIM(H725)=""),"TDS needs a TAN; ","")&amp;IF(AND(AA725="Yes",BC725&lt;&gt;"",BC725&lt;&gt;"company",BC725&lt;&gt;"llp"),"ROC is only for a company / LLP; ","")&amp;IF(AND(AA725="Yes",OR(BC725="company",BC725="llp"),TRIM(I725)=""),"ROC needs the CIN / LLPIN; ","")&amp;IF((TRIM(AF725)="")&lt;&gt;(TRIM(AG725)=""),"GST login needs both user ID and password; ","")&amp;IF((TRIM(AH725)="")&lt;&gt;(TRIM(AI725)=""),"Income-tax login needs both user ID and password; ","")&amp;IF((TRIM(AJ725)="")&lt;&gt;(TRIM(AK725)=""),"Income-tax login needs both user ID and password; ","")&amp;IF((TRIM(AL725)="")&lt;&gt;(TRIM(AM725)=""),"TRACES login needs both user ID and password; ","")&amp;IF((TRIM(AN725)="")&lt;&gt;(TRIM(AO725)=""),"MCA login needs both user ID and password; ","")&amp;IF((TRIM(AP725)="")&lt;&gt;(TRIM(AQ725)=""),"E-way bill login needs both user ID and password; ","")</f>
        <v/>
      </c>
    </row>
    <row r="726">
      <c r="A726" s="32" t="n"/>
      <c r="B726" s="33" t="n"/>
      <c r="C726" s="33" t="n"/>
      <c r="D726" s="33" t="n"/>
      <c r="E726" s="32" t="n"/>
      <c r="F726" s="32" t="n"/>
      <c r="G726" s="32" t="n"/>
      <c r="H726" s="32" t="n"/>
      <c r="I726" s="32" t="n"/>
      <c r="J726" s="34" t="n"/>
      <c r="K726" s="33" t="n"/>
      <c r="L726" s="32" t="n"/>
      <c r="M726" s="33" t="n"/>
      <c r="N726" s="33" t="n"/>
      <c r="O726" s="33" t="n"/>
      <c r="P726" s="32" t="n"/>
      <c r="Q726" s="33" t="n"/>
      <c r="R726" s="33" t="n"/>
      <c r="S726" s="33" t="n"/>
      <c r="T726" s="33" t="n"/>
      <c r="U726" s="32" t="n"/>
      <c r="V726" s="33" t="n"/>
      <c r="W726" s="33" t="n"/>
      <c r="X726" s="33" t="n"/>
      <c r="Y726" s="33" t="n"/>
      <c r="Z726" s="33" t="n"/>
      <c r="AA726" s="33" t="n"/>
      <c r="AB726" s="33" t="n"/>
      <c r="AC726" s="33" t="n"/>
      <c r="AD726" s="33" t="n"/>
      <c r="AE726" s="33" t="n"/>
      <c r="AF726" s="32" t="n"/>
      <c r="AG726" s="32" t="n"/>
      <c r="AH726" s="32" t="n"/>
      <c r="AI726" s="32" t="n"/>
      <c r="AJ726" s="32" t="n"/>
      <c r="AK726" s="32" t="n"/>
      <c r="AL726" s="32" t="n"/>
      <c r="AM726" s="32" t="n"/>
      <c r="AN726" s="32" t="n"/>
      <c r="AO726" s="32" t="n"/>
      <c r="AP726" s="32" t="n"/>
      <c r="AQ726" s="32" t="n"/>
      <c r="AR726" s="29">
        <f>IF(NOT(COUNTA(A726:AE726)&gt;0),"",IF(A726="","New client","Update"))</f>
        <v/>
      </c>
      <c r="AS726" s="29">
        <f>IF(BA726&lt;&gt;"",BA726,IF(LEN(AZ726)=15,MID(AZ726,3,10),""))</f>
        <v/>
      </c>
      <c r="AT726" s="29">
        <f>IF(BB726="","",BB726&amp;IF(D726="","  (guessed from PAN)",""))</f>
        <v/>
      </c>
      <c r="AU726" s="29">
        <f>IF(AZ726="","",IFERROR(INDEX(Lists!$L$2:$L$38,MATCH(LEFT(AZ726,2),Lists!$K$2:$K$38,0)),"Unknown code"))</f>
        <v/>
      </c>
      <c r="AV726" s="29">
        <f>IF(AZ726="","",IFERROR(IF(NOT(AND(LEN(AZ726)=15,ISNUMBER(MATCH(LEFT(AZ726,2),Lists!$K$2:$K$38,0)),SUMPRODUCT(--ISERROR(FIND(MID(MID(AZ726,3,10),{1,2,3,4,5,10},1),"ABCDEFGHIJKLMNOPQRSTUVWXYZ")))=0,SUMPRODUCT(--ISERROR(FIND(MID(MID(AZ726,3,10),{6,7,8,9},1),"0123456789")))=0,ISNUMBER(FIND(MID(AZ726,13,1),"123456789ABCDEFGHIJKLMNOPQRSTUVWXYZ")),MID(AZ726,14,1)="Z")),"Wrong format",IF(MID("0123456789ABCDEFGHIJKLMNOPQRSTUVWXYZ",MOD(36-MOD(SUMPRODUCT(INT((FIND(MID(AZ726,{1,2,3,4,5,6,7,8,9,10,11,12,13,14},1),"0123456789ABCDEFGHIJKLMNOPQRSTUVWXYZ")-1)*{1,2,1,2,1,2,1,2,1,2,1,2,1,2}/36)+MOD((FIND(MID(AZ726,{1,2,3,4,5,6,7,8,9,10,11,12,13,14},1),"0123456789ABCDEFGHIJKLMNOPQRSTUVWXYZ")-1)*{1,2,1,2,1,2,1,2,1,2,1,2,1,2},36)),36),36)+1,1)=MID(AZ726,15,1),"OK","Typo? check digit wrong")),"Wrong format"))</f>
        <v/>
      </c>
      <c r="AW726" s="29">
        <f>IF(BA726="","",IF(AND(LEN(BA726)=10,SUMPRODUCT(--ISERROR(FIND(MID(BA726,{1,2,3,4,5,10},1),"ABCDEFGHIJKLMNOPQRSTUVWXYZ")))=0,SUMPRODUCT(--ISERROR(FIND(MID(BA726,{6,7,8,9},1),"0123456789")))=0),"OK","Wrong format"))</f>
        <v/>
      </c>
      <c r="AX726" s="29">
        <f>IF(TRIM(H726)="","",IF(AND(LEN(UPPER(TRIM(H726)))=10,SUMPRODUCT(--ISERROR(FIND(MID(UPPER(TRIM(H726)),{1,2,3,4,10},1),"ABCDEFGHIJKLMNOPQRSTUVWXYZ")))=0,SUMPRODUCT(--ISERROR(FIND(MID(UPPER(TRIM(H726)),{5,6,7,8,9},1),"0123456789")))=0),"OK","Wrong format"))</f>
        <v/>
      </c>
      <c r="AY726" s="30">
        <f>IF(NOT(COUNTA(A726:AE726)&gt;0),"",IF(BE726&lt;&gt;"","✖ "&amp;LEFT(BE726,LEN(BE726)-2),IF(BD726&gt;0,"✔ Ready — client + "&amp;BD726&amp;" service(s)","✔ Ready — client only")))</f>
        <v/>
      </c>
      <c r="AZ726" s="31">
        <f>UPPER(SUBSTITUTE(TRIM(F726)," ",""))</f>
        <v/>
      </c>
      <c r="BA726" s="31">
        <f>UPPER(SUBSTITUTE(TRIM(E726)," ",""))</f>
        <v/>
      </c>
      <c r="BB726" s="31">
        <f>IF(D726&lt;&gt;"",D726,IFERROR(VLOOKUP(MID(AS726,4,1),Lists!$E$2:$F$8,2,FALSE),""))</f>
        <v/>
      </c>
      <c r="BC726" s="31">
        <f>IFERROR(VLOOKUP(BB726,Lists!$A$2:$C$12,3,FALSE),"")</f>
        <v/>
      </c>
      <c r="BD726" s="31">
        <f>COUNTIF(W726:AC726,"Yes")</f>
        <v/>
      </c>
      <c r="BE726" s="31">
        <f>IF(TRIM(B726)="","Legal name missing; ","")&amp;IF(AND(AV726&lt;&gt;"",AV726&lt;&gt;"OK"),"GSTIN: "&amp;AV726&amp;"; ","")&amp;IF(AND(AW726&lt;&gt;"",AW726&lt;&gt;"OK"),"PAN wrong format; ","")&amp;IF(AND(BA726&lt;&gt;"",LEN(AZ726)=15,MID(AZ726,3,10)&lt;&gt;BA726),"PAN does not match GSTIN; ","")&amp;IF(AND(AX726&lt;&gt;"",AX726&lt;&gt;"OK"),"TAN wrong format; ","")&amp;IF(AS726="","PAN missing; ","")&amp;IF(BB726="","Entity type missing; ","")&amp;IF(AND(AZ726&lt;&gt;"",COUNTIF($AZ$6:$AZ$1005,AZ726)&gt;1),"GSTIN repeated in this sheet; ","")&amp;IF(AND(AS726&lt;&gt;"",COUNTIF($AS$6:$AS$1005,AS726)&gt;1),"PAN repeated in this sheet (same client? put extra GSTINs in Other GSTINs); ","")&amp;IF(AND(BD726&gt;0,V726=""),"Financial year missing; ","")&amp;IF(AND(BD726=0,V726&lt;&gt;""),"Financial year given but no service is Yes; ","")&amp;IF(AND(W726="Yes",AZ726=""),"GST needs a GSTIN; ","")&amp;IF(AND(W726="Yes",X726=""),"GST return frequency missing; ","")&amp;IF(AND(Y726="Yes",TRIM(H726)=""),"TDS needs a TAN; ","")&amp;IF(AND(AA726="Yes",BC726&lt;&gt;"",BC726&lt;&gt;"company",BC726&lt;&gt;"llp"),"ROC is only for a company / LLP; ","")&amp;IF(AND(AA726="Yes",OR(BC726="company",BC726="llp"),TRIM(I726)=""),"ROC needs the CIN / LLPIN; ","")&amp;IF((TRIM(AF726)="")&lt;&gt;(TRIM(AG726)=""),"GST login needs both user ID and password; ","")&amp;IF((TRIM(AH726)="")&lt;&gt;(TRIM(AI726)=""),"Income-tax login needs both user ID and password; ","")&amp;IF((TRIM(AJ726)="")&lt;&gt;(TRIM(AK726)=""),"Income-tax login needs both user ID and password; ","")&amp;IF((TRIM(AL726)="")&lt;&gt;(TRIM(AM726)=""),"TRACES login needs both user ID and password; ","")&amp;IF((TRIM(AN726)="")&lt;&gt;(TRIM(AO726)=""),"MCA login needs both user ID and password; ","")&amp;IF((TRIM(AP726)="")&lt;&gt;(TRIM(AQ726)=""),"E-way bill login needs both user ID and password; ","")</f>
        <v/>
      </c>
    </row>
    <row r="727">
      <c r="A727" s="32" t="n"/>
      <c r="B727" s="33" t="n"/>
      <c r="C727" s="33" t="n"/>
      <c r="D727" s="33" t="n"/>
      <c r="E727" s="32" t="n"/>
      <c r="F727" s="32" t="n"/>
      <c r="G727" s="32" t="n"/>
      <c r="H727" s="32" t="n"/>
      <c r="I727" s="32" t="n"/>
      <c r="J727" s="34" t="n"/>
      <c r="K727" s="33" t="n"/>
      <c r="L727" s="32" t="n"/>
      <c r="M727" s="33" t="n"/>
      <c r="N727" s="33" t="n"/>
      <c r="O727" s="33" t="n"/>
      <c r="P727" s="32" t="n"/>
      <c r="Q727" s="33" t="n"/>
      <c r="R727" s="33" t="n"/>
      <c r="S727" s="33" t="n"/>
      <c r="T727" s="33" t="n"/>
      <c r="U727" s="32" t="n"/>
      <c r="V727" s="33" t="n"/>
      <c r="W727" s="33" t="n"/>
      <c r="X727" s="33" t="n"/>
      <c r="Y727" s="33" t="n"/>
      <c r="Z727" s="33" t="n"/>
      <c r="AA727" s="33" t="n"/>
      <c r="AB727" s="33" t="n"/>
      <c r="AC727" s="33" t="n"/>
      <c r="AD727" s="33" t="n"/>
      <c r="AE727" s="33" t="n"/>
      <c r="AF727" s="32" t="n"/>
      <c r="AG727" s="32" t="n"/>
      <c r="AH727" s="32" t="n"/>
      <c r="AI727" s="32" t="n"/>
      <c r="AJ727" s="32" t="n"/>
      <c r="AK727" s="32" t="n"/>
      <c r="AL727" s="32" t="n"/>
      <c r="AM727" s="32" t="n"/>
      <c r="AN727" s="32" t="n"/>
      <c r="AO727" s="32" t="n"/>
      <c r="AP727" s="32" t="n"/>
      <c r="AQ727" s="32" t="n"/>
      <c r="AR727" s="29">
        <f>IF(NOT(COUNTA(A727:AE727)&gt;0),"",IF(A727="","New client","Update"))</f>
        <v/>
      </c>
      <c r="AS727" s="29">
        <f>IF(BA727&lt;&gt;"",BA727,IF(LEN(AZ727)=15,MID(AZ727,3,10),""))</f>
        <v/>
      </c>
      <c r="AT727" s="29">
        <f>IF(BB727="","",BB727&amp;IF(D727="","  (guessed from PAN)",""))</f>
        <v/>
      </c>
      <c r="AU727" s="29">
        <f>IF(AZ727="","",IFERROR(INDEX(Lists!$L$2:$L$38,MATCH(LEFT(AZ727,2),Lists!$K$2:$K$38,0)),"Unknown code"))</f>
        <v/>
      </c>
      <c r="AV727" s="29">
        <f>IF(AZ727="","",IFERROR(IF(NOT(AND(LEN(AZ727)=15,ISNUMBER(MATCH(LEFT(AZ727,2),Lists!$K$2:$K$38,0)),SUMPRODUCT(--ISERROR(FIND(MID(MID(AZ727,3,10),{1,2,3,4,5,10},1),"ABCDEFGHIJKLMNOPQRSTUVWXYZ")))=0,SUMPRODUCT(--ISERROR(FIND(MID(MID(AZ727,3,10),{6,7,8,9},1),"0123456789")))=0,ISNUMBER(FIND(MID(AZ727,13,1),"123456789ABCDEFGHIJKLMNOPQRSTUVWXYZ")),MID(AZ727,14,1)="Z")),"Wrong format",IF(MID("0123456789ABCDEFGHIJKLMNOPQRSTUVWXYZ",MOD(36-MOD(SUMPRODUCT(INT((FIND(MID(AZ727,{1,2,3,4,5,6,7,8,9,10,11,12,13,14},1),"0123456789ABCDEFGHIJKLMNOPQRSTUVWXYZ")-1)*{1,2,1,2,1,2,1,2,1,2,1,2,1,2}/36)+MOD((FIND(MID(AZ727,{1,2,3,4,5,6,7,8,9,10,11,12,13,14},1),"0123456789ABCDEFGHIJKLMNOPQRSTUVWXYZ")-1)*{1,2,1,2,1,2,1,2,1,2,1,2,1,2},36)),36),36)+1,1)=MID(AZ727,15,1),"OK","Typo? check digit wrong")),"Wrong format"))</f>
        <v/>
      </c>
      <c r="AW727" s="29">
        <f>IF(BA727="","",IF(AND(LEN(BA727)=10,SUMPRODUCT(--ISERROR(FIND(MID(BA727,{1,2,3,4,5,10},1),"ABCDEFGHIJKLMNOPQRSTUVWXYZ")))=0,SUMPRODUCT(--ISERROR(FIND(MID(BA727,{6,7,8,9},1),"0123456789")))=0),"OK","Wrong format"))</f>
        <v/>
      </c>
      <c r="AX727" s="29">
        <f>IF(TRIM(H727)="","",IF(AND(LEN(UPPER(TRIM(H727)))=10,SUMPRODUCT(--ISERROR(FIND(MID(UPPER(TRIM(H727)),{1,2,3,4,10},1),"ABCDEFGHIJKLMNOPQRSTUVWXYZ")))=0,SUMPRODUCT(--ISERROR(FIND(MID(UPPER(TRIM(H727)),{5,6,7,8,9},1),"0123456789")))=0),"OK","Wrong format"))</f>
        <v/>
      </c>
      <c r="AY727" s="30">
        <f>IF(NOT(COUNTA(A727:AE727)&gt;0),"",IF(BE727&lt;&gt;"","✖ "&amp;LEFT(BE727,LEN(BE727)-2),IF(BD727&gt;0,"✔ Ready — client + "&amp;BD727&amp;" service(s)","✔ Ready — client only")))</f>
        <v/>
      </c>
      <c r="AZ727" s="31">
        <f>UPPER(SUBSTITUTE(TRIM(F727)," ",""))</f>
        <v/>
      </c>
      <c r="BA727" s="31">
        <f>UPPER(SUBSTITUTE(TRIM(E727)," ",""))</f>
        <v/>
      </c>
      <c r="BB727" s="31">
        <f>IF(D727&lt;&gt;"",D727,IFERROR(VLOOKUP(MID(AS727,4,1),Lists!$E$2:$F$8,2,FALSE),""))</f>
        <v/>
      </c>
      <c r="BC727" s="31">
        <f>IFERROR(VLOOKUP(BB727,Lists!$A$2:$C$12,3,FALSE),"")</f>
        <v/>
      </c>
      <c r="BD727" s="31">
        <f>COUNTIF(W727:AC727,"Yes")</f>
        <v/>
      </c>
      <c r="BE727" s="31">
        <f>IF(TRIM(B727)="","Legal name missing; ","")&amp;IF(AND(AV727&lt;&gt;"",AV727&lt;&gt;"OK"),"GSTIN: "&amp;AV727&amp;"; ","")&amp;IF(AND(AW727&lt;&gt;"",AW727&lt;&gt;"OK"),"PAN wrong format; ","")&amp;IF(AND(BA727&lt;&gt;"",LEN(AZ727)=15,MID(AZ727,3,10)&lt;&gt;BA727),"PAN does not match GSTIN; ","")&amp;IF(AND(AX727&lt;&gt;"",AX727&lt;&gt;"OK"),"TAN wrong format; ","")&amp;IF(AS727="","PAN missing; ","")&amp;IF(BB727="","Entity type missing; ","")&amp;IF(AND(AZ727&lt;&gt;"",COUNTIF($AZ$6:$AZ$1005,AZ727)&gt;1),"GSTIN repeated in this sheet; ","")&amp;IF(AND(AS727&lt;&gt;"",COUNTIF($AS$6:$AS$1005,AS727)&gt;1),"PAN repeated in this sheet (same client? put extra GSTINs in Other GSTINs); ","")&amp;IF(AND(BD727&gt;0,V727=""),"Financial year missing; ","")&amp;IF(AND(BD727=0,V727&lt;&gt;""),"Financial year given but no service is Yes; ","")&amp;IF(AND(W727="Yes",AZ727=""),"GST needs a GSTIN; ","")&amp;IF(AND(W727="Yes",X727=""),"GST return frequency missing; ","")&amp;IF(AND(Y727="Yes",TRIM(H727)=""),"TDS needs a TAN; ","")&amp;IF(AND(AA727="Yes",BC727&lt;&gt;"",BC727&lt;&gt;"company",BC727&lt;&gt;"llp"),"ROC is only for a company / LLP; ","")&amp;IF(AND(AA727="Yes",OR(BC727="company",BC727="llp"),TRIM(I727)=""),"ROC needs the CIN / LLPIN; ","")&amp;IF((TRIM(AF727)="")&lt;&gt;(TRIM(AG727)=""),"GST login needs both user ID and password; ","")&amp;IF((TRIM(AH727)="")&lt;&gt;(TRIM(AI727)=""),"Income-tax login needs both user ID and password; ","")&amp;IF((TRIM(AJ727)="")&lt;&gt;(TRIM(AK727)=""),"Income-tax login needs both user ID and password; ","")&amp;IF((TRIM(AL727)="")&lt;&gt;(TRIM(AM727)=""),"TRACES login needs both user ID and password; ","")&amp;IF((TRIM(AN727)="")&lt;&gt;(TRIM(AO727)=""),"MCA login needs both user ID and password; ","")&amp;IF((TRIM(AP727)="")&lt;&gt;(TRIM(AQ727)=""),"E-way bill login needs both user ID and password; ","")</f>
        <v/>
      </c>
    </row>
    <row r="728">
      <c r="A728" s="32" t="n"/>
      <c r="B728" s="33" t="n"/>
      <c r="C728" s="33" t="n"/>
      <c r="D728" s="33" t="n"/>
      <c r="E728" s="32" t="n"/>
      <c r="F728" s="32" t="n"/>
      <c r="G728" s="32" t="n"/>
      <c r="H728" s="32" t="n"/>
      <c r="I728" s="32" t="n"/>
      <c r="J728" s="34" t="n"/>
      <c r="K728" s="33" t="n"/>
      <c r="L728" s="32" t="n"/>
      <c r="M728" s="33" t="n"/>
      <c r="N728" s="33" t="n"/>
      <c r="O728" s="33" t="n"/>
      <c r="P728" s="32" t="n"/>
      <c r="Q728" s="33" t="n"/>
      <c r="R728" s="33" t="n"/>
      <c r="S728" s="33" t="n"/>
      <c r="T728" s="33" t="n"/>
      <c r="U728" s="32" t="n"/>
      <c r="V728" s="33" t="n"/>
      <c r="W728" s="33" t="n"/>
      <c r="X728" s="33" t="n"/>
      <c r="Y728" s="33" t="n"/>
      <c r="Z728" s="33" t="n"/>
      <c r="AA728" s="33" t="n"/>
      <c r="AB728" s="33" t="n"/>
      <c r="AC728" s="33" t="n"/>
      <c r="AD728" s="33" t="n"/>
      <c r="AE728" s="33" t="n"/>
      <c r="AF728" s="32" t="n"/>
      <c r="AG728" s="32" t="n"/>
      <c r="AH728" s="32" t="n"/>
      <c r="AI728" s="32" t="n"/>
      <c r="AJ728" s="32" t="n"/>
      <c r="AK728" s="32" t="n"/>
      <c r="AL728" s="32" t="n"/>
      <c r="AM728" s="32" t="n"/>
      <c r="AN728" s="32" t="n"/>
      <c r="AO728" s="32" t="n"/>
      <c r="AP728" s="32" t="n"/>
      <c r="AQ728" s="32" t="n"/>
      <c r="AR728" s="29">
        <f>IF(NOT(COUNTA(A728:AE728)&gt;0),"",IF(A728="","New client","Update"))</f>
        <v/>
      </c>
      <c r="AS728" s="29">
        <f>IF(BA728&lt;&gt;"",BA728,IF(LEN(AZ728)=15,MID(AZ728,3,10),""))</f>
        <v/>
      </c>
      <c r="AT728" s="29">
        <f>IF(BB728="","",BB728&amp;IF(D728="","  (guessed from PAN)",""))</f>
        <v/>
      </c>
      <c r="AU728" s="29">
        <f>IF(AZ728="","",IFERROR(INDEX(Lists!$L$2:$L$38,MATCH(LEFT(AZ728,2),Lists!$K$2:$K$38,0)),"Unknown code"))</f>
        <v/>
      </c>
      <c r="AV728" s="29">
        <f>IF(AZ728="","",IFERROR(IF(NOT(AND(LEN(AZ728)=15,ISNUMBER(MATCH(LEFT(AZ728,2),Lists!$K$2:$K$38,0)),SUMPRODUCT(--ISERROR(FIND(MID(MID(AZ728,3,10),{1,2,3,4,5,10},1),"ABCDEFGHIJKLMNOPQRSTUVWXYZ")))=0,SUMPRODUCT(--ISERROR(FIND(MID(MID(AZ728,3,10),{6,7,8,9},1),"0123456789")))=0,ISNUMBER(FIND(MID(AZ728,13,1),"123456789ABCDEFGHIJKLMNOPQRSTUVWXYZ")),MID(AZ728,14,1)="Z")),"Wrong format",IF(MID("0123456789ABCDEFGHIJKLMNOPQRSTUVWXYZ",MOD(36-MOD(SUMPRODUCT(INT((FIND(MID(AZ728,{1,2,3,4,5,6,7,8,9,10,11,12,13,14},1),"0123456789ABCDEFGHIJKLMNOPQRSTUVWXYZ")-1)*{1,2,1,2,1,2,1,2,1,2,1,2,1,2}/36)+MOD((FIND(MID(AZ728,{1,2,3,4,5,6,7,8,9,10,11,12,13,14},1),"0123456789ABCDEFGHIJKLMNOPQRSTUVWXYZ")-1)*{1,2,1,2,1,2,1,2,1,2,1,2,1,2},36)),36),36)+1,1)=MID(AZ728,15,1),"OK","Typo? check digit wrong")),"Wrong format"))</f>
        <v/>
      </c>
      <c r="AW728" s="29">
        <f>IF(BA728="","",IF(AND(LEN(BA728)=10,SUMPRODUCT(--ISERROR(FIND(MID(BA728,{1,2,3,4,5,10},1),"ABCDEFGHIJKLMNOPQRSTUVWXYZ")))=0,SUMPRODUCT(--ISERROR(FIND(MID(BA728,{6,7,8,9},1),"0123456789")))=0),"OK","Wrong format"))</f>
        <v/>
      </c>
      <c r="AX728" s="29">
        <f>IF(TRIM(H728)="","",IF(AND(LEN(UPPER(TRIM(H728)))=10,SUMPRODUCT(--ISERROR(FIND(MID(UPPER(TRIM(H728)),{1,2,3,4,10},1),"ABCDEFGHIJKLMNOPQRSTUVWXYZ")))=0,SUMPRODUCT(--ISERROR(FIND(MID(UPPER(TRIM(H728)),{5,6,7,8,9},1),"0123456789")))=0),"OK","Wrong format"))</f>
        <v/>
      </c>
      <c r="AY728" s="30">
        <f>IF(NOT(COUNTA(A728:AE728)&gt;0),"",IF(BE728&lt;&gt;"","✖ "&amp;LEFT(BE728,LEN(BE728)-2),IF(BD728&gt;0,"✔ Ready — client + "&amp;BD728&amp;" service(s)","✔ Ready — client only")))</f>
        <v/>
      </c>
      <c r="AZ728" s="31">
        <f>UPPER(SUBSTITUTE(TRIM(F728)," ",""))</f>
        <v/>
      </c>
      <c r="BA728" s="31">
        <f>UPPER(SUBSTITUTE(TRIM(E728)," ",""))</f>
        <v/>
      </c>
      <c r="BB728" s="31">
        <f>IF(D728&lt;&gt;"",D728,IFERROR(VLOOKUP(MID(AS728,4,1),Lists!$E$2:$F$8,2,FALSE),""))</f>
        <v/>
      </c>
      <c r="BC728" s="31">
        <f>IFERROR(VLOOKUP(BB728,Lists!$A$2:$C$12,3,FALSE),"")</f>
        <v/>
      </c>
      <c r="BD728" s="31">
        <f>COUNTIF(W728:AC728,"Yes")</f>
        <v/>
      </c>
      <c r="BE728" s="31">
        <f>IF(TRIM(B728)="","Legal name missing; ","")&amp;IF(AND(AV728&lt;&gt;"",AV728&lt;&gt;"OK"),"GSTIN: "&amp;AV728&amp;"; ","")&amp;IF(AND(AW728&lt;&gt;"",AW728&lt;&gt;"OK"),"PAN wrong format; ","")&amp;IF(AND(BA728&lt;&gt;"",LEN(AZ728)=15,MID(AZ728,3,10)&lt;&gt;BA728),"PAN does not match GSTIN; ","")&amp;IF(AND(AX728&lt;&gt;"",AX728&lt;&gt;"OK"),"TAN wrong format; ","")&amp;IF(AS728="","PAN missing; ","")&amp;IF(BB728="","Entity type missing; ","")&amp;IF(AND(AZ728&lt;&gt;"",COUNTIF($AZ$6:$AZ$1005,AZ728)&gt;1),"GSTIN repeated in this sheet; ","")&amp;IF(AND(AS728&lt;&gt;"",COUNTIF($AS$6:$AS$1005,AS728)&gt;1),"PAN repeated in this sheet (same client? put extra GSTINs in Other GSTINs); ","")&amp;IF(AND(BD728&gt;0,V728=""),"Financial year missing; ","")&amp;IF(AND(BD728=0,V728&lt;&gt;""),"Financial year given but no service is Yes; ","")&amp;IF(AND(W728="Yes",AZ728=""),"GST needs a GSTIN; ","")&amp;IF(AND(W728="Yes",X728=""),"GST return frequency missing; ","")&amp;IF(AND(Y728="Yes",TRIM(H728)=""),"TDS needs a TAN; ","")&amp;IF(AND(AA728="Yes",BC728&lt;&gt;"",BC728&lt;&gt;"company",BC728&lt;&gt;"llp"),"ROC is only for a company / LLP; ","")&amp;IF(AND(AA728="Yes",OR(BC728="company",BC728="llp"),TRIM(I728)=""),"ROC needs the CIN / LLPIN; ","")&amp;IF((TRIM(AF728)="")&lt;&gt;(TRIM(AG728)=""),"GST login needs both user ID and password; ","")&amp;IF((TRIM(AH728)="")&lt;&gt;(TRIM(AI728)=""),"Income-tax login needs both user ID and password; ","")&amp;IF((TRIM(AJ728)="")&lt;&gt;(TRIM(AK728)=""),"Income-tax login needs both user ID and password; ","")&amp;IF((TRIM(AL728)="")&lt;&gt;(TRIM(AM728)=""),"TRACES login needs both user ID and password; ","")&amp;IF((TRIM(AN728)="")&lt;&gt;(TRIM(AO728)=""),"MCA login needs both user ID and password; ","")&amp;IF((TRIM(AP728)="")&lt;&gt;(TRIM(AQ728)=""),"E-way bill login needs both user ID and password; ","")</f>
        <v/>
      </c>
    </row>
    <row r="729">
      <c r="A729" s="32" t="n"/>
      <c r="B729" s="33" t="n"/>
      <c r="C729" s="33" t="n"/>
      <c r="D729" s="33" t="n"/>
      <c r="E729" s="32" t="n"/>
      <c r="F729" s="32" t="n"/>
      <c r="G729" s="32" t="n"/>
      <c r="H729" s="32" t="n"/>
      <c r="I729" s="32" t="n"/>
      <c r="J729" s="34" t="n"/>
      <c r="K729" s="33" t="n"/>
      <c r="L729" s="32" t="n"/>
      <c r="M729" s="33" t="n"/>
      <c r="N729" s="33" t="n"/>
      <c r="O729" s="33" t="n"/>
      <c r="P729" s="32" t="n"/>
      <c r="Q729" s="33" t="n"/>
      <c r="R729" s="33" t="n"/>
      <c r="S729" s="33" t="n"/>
      <c r="T729" s="33" t="n"/>
      <c r="U729" s="32" t="n"/>
      <c r="V729" s="33" t="n"/>
      <c r="W729" s="33" t="n"/>
      <c r="X729" s="33" t="n"/>
      <c r="Y729" s="33" t="n"/>
      <c r="Z729" s="33" t="n"/>
      <c r="AA729" s="33" t="n"/>
      <c r="AB729" s="33" t="n"/>
      <c r="AC729" s="33" t="n"/>
      <c r="AD729" s="33" t="n"/>
      <c r="AE729" s="33" t="n"/>
      <c r="AF729" s="32" t="n"/>
      <c r="AG729" s="32" t="n"/>
      <c r="AH729" s="32" t="n"/>
      <c r="AI729" s="32" t="n"/>
      <c r="AJ729" s="32" t="n"/>
      <c r="AK729" s="32" t="n"/>
      <c r="AL729" s="32" t="n"/>
      <c r="AM729" s="32" t="n"/>
      <c r="AN729" s="32" t="n"/>
      <c r="AO729" s="32" t="n"/>
      <c r="AP729" s="32" t="n"/>
      <c r="AQ729" s="32" t="n"/>
      <c r="AR729" s="29">
        <f>IF(NOT(COUNTA(A729:AE729)&gt;0),"",IF(A729="","New client","Update"))</f>
        <v/>
      </c>
      <c r="AS729" s="29">
        <f>IF(BA729&lt;&gt;"",BA729,IF(LEN(AZ729)=15,MID(AZ729,3,10),""))</f>
        <v/>
      </c>
      <c r="AT729" s="29">
        <f>IF(BB729="","",BB729&amp;IF(D729="","  (guessed from PAN)",""))</f>
        <v/>
      </c>
      <c r="AU729" s="29">
        <f>IF(AZ729="","",IFERROR(INDEX(Lists!$L$2:$L$38,MATCH(LEFT(AZ729,2),Lists!$K$2:$K$38,0)),"Unknown code"))</f>
        <v/>
      </c>
      <c r="AV729" s="29">
        <f>IF(AZ729="","",IFERROR(IF(NOT(AND(LEN(AZ729)=15,ISNUMBER(MATCH(LEFT(AZ729,2),Lists!$K$2:$K$38,0)),SUMPRODUCT(--ISERROR(FIND(MID(MID(AZ729,3,10),{1,2,3,4,5,10},1),"ABCDEFGHIJKLMNOPQRSTUVWXYZ")))=0,SUMPRODUCT(--ISERROR(FIND(MID(MID(AZ729,3,10),{6,7,8,9},1),"0123456789")))=0,ISNUMBER(FIND(MID(AZ729,13,1),"123456789ABCDEFGHIJKLMNOPQRSTUVWXYZ")),MID(AZ729,14,1)="Z")),"Wrong format",IF(MID("0123456789ABCDEFGHIJKLMNOPQRSTUVWXYZ",MOD(36-MOD(SUMPRODUCT(INT((FIND(MID(AZ729,{1,2,3,4,5,6,7,8,9,10,11,12,13,14},1),"0123456789ABCDEFGHIJKLMNOPQRSTUVWXYZ")-1)*{1,2,1,2,1,2,1,2,1,2,1,2,1,2}/36)+MOD((FIND(MID(AZ729,{1,2,3,4,5,6,7,8,9,10,11,12,13,14},1),"0123456789ABCDEFGHIJKLMNOPQRSTUVWXYZ")-1)*{1,2,1,2,1,2,1,2,1,2,1,2,1,2},36)),36),36)+1,1)=MID(AZ729,15,1),"OK","Typo? check digit wrong")),"Wrong format"))</f>
        <v/>
      </c>
      <c r="AW729" s="29">
        <f>IF(BA729="","",IF(AND(LEN(BA729)=10,SUMPRODUCT(--ISERROR(FIND(MID(BA729,{1,2,3,4,5,10},1),"ABCDEFGHIJKLMNOPQRSTUVWXYZ")))=0,SUMPRODUCT(--ISERROR(FIND(MID(BA729,{6,7,8,9},1),"0123456789")))=0),"OK","Wrong format"))</f>
        <v/>
      </c>
      <c r="AX729" s="29">
        <f>IF(TRIM(H729)="","",IF(AND(LEN(UPPER(TRIM(H729)))=10,SUMPRODUCT(--ISERROR(FIND(MID(UPPER(TRIM(H729)),{1,2,3,4,10},1),"ABCDEFGHIJKLMNOPQRSTUVWXYZ")))=0,SUMPRODUCT(--ISERROR(FIND(MID(UPPER(TRIM(H729)),{5,6,7,8,9},1),"0123456789")))=0),"OK","Wrong format"))</f>
        <v/>
      </c>
      <c r="AY729" s="30">
        <f>IF(NOT(COUNTA(A729:AE729)&gt;0),"",IF(BE729&lt;&gt;"","✖ "&amp;LEFT(BE729,LEN(BE729)-2),IF(BD729&gt;0,"✔ Ready — client + "&amp;BD729&amp;" service(s)","✔ Ready — client only")))</f>
        <v/>
      </c>
      <c r="AZ729" s="31">
        <f>UPPER(SUBSTITUTE(TRIM(F729)," ",""))</f>
        <v/>
      </c>
      <c r="BA729" s="31">
        <f>UPPER(SUBSTITUTE(TRIM(E729)," ",""))</f>
        <v/>
      </c>
      <c r="BB729" s="31">
        <f>IF(D729&lt;&gt;"",D729,IFERROR(VLOOKUP(MID(AS729,4,1),Lists!$E$2:$F$8,2,FALSE),""))</f>
        <v/>
      </c>
      <c r="BC729" s="31">
        <f>IFERROR(VLOOKUP(BB729,Lists!$A$2:$C$12,3,FALSE),"")</f>
        <v/>
      </c>
      <c r="BD729" s="31">
        <f>COUNTIF(W729:AC729,"Yes")</f>
        <v/>
      </c>
      <c r="BE729" s="31">
        <f>IF(TRIM(B729)="","Legal name missing; ","")&amp;IF(AND(AV729&lt;&gt;"",AV729&lt;&gt;"OK"),"GSTIN: "&amp;AV729&amp;"; ","")&amp;IF(AND(AW729&lt;&gt;"",AW729&lt;&gt;"OK"),"PAN wrong format; ","")&amp;IF(AND(BA729&lt;&gt;"",LEN(AZ729)=15,MID(AZ729,3,10)&lt;&gt;BA729),"PAN does not match GSTIN; ","")&amp;IF(AND(AX729&lt;&gt;"",AX729&lt;&gt;"OK"),"TAN wrong format; ","")&amp;IF(AS729="","PAN missing; ","")&amp;IF(BB729="","Entity type missing; ","")&amp;IF(AND(AZ729&lt;&gt;"",COUNTIF($AZ$6:$AZ$1005,AZ729)&gt;1),"GSTIN repeated in this sheet; ","")&amp;IF(AND(AS729&lt;&gt;"",COUNTIF($AS$6:$AS$1005,AS729)&gt;1),"PAN repeated in this sheet (same client? put extra GSTINs in Other GSTINs); ","")&amp;IF(AND(BD729&gt;0,V729=""),"Financial year missing; ","")&amp;IF(AND(BD729=0,V729&lt;&gt;""),"Financial year given but no service is Yes; ","")&amp;IF(AND(W729="Yes",AZ729=""),"GST needs a GSTIN; ","")&amp;IF(AND(W729="Yes",X729=""),"GST return frequency missing; ","")&amp;IF(AND(Y729="Yes",TRIM(H729)=""),"TDS needs a TAN; ","")&amp;IF(AND(AA729="Yes",BC729&lt;&gt;"",BC729&lt;&gt;"company",BC729&lt;&gt;"llp"),"ROC is only for a company / LLP; ","")&amp;IF(AND(AA729="Yes",OR(BC729="company",BC729="llp"),TRIM(I729)=""),"ROC needs the CIN / LLPIN; ","")&amp;IF((TRIM(AF729)="")&lt;&gt;(TRIM(AG729)=""),"GST login needs both user ID and password; ","")&amp;IF((TRIM(AH729)="")&lt;&gt;(TRIM(AI729)=""),"Income-tax login needs both user ID and password; ","")&amp;IF((TRIM(AJ729)="")&lt;&gt;(TRIM(AK729)=""),"Income-tax login needs both user ID and password; ","")&amp;IF((TRIM(AL729)="")&lt;&gt;(TRIM(AM729)=""),"TRACES login needs both user ID and password; ","")&amp;IF((TRIM(AN729)="")&lt;&gt;(TRIM(AO729)=""),"MCA login needs both user ID and password; ","")&amp;IF((TRIM(AP729)="")&lt;&gt;(TRIM(AQ729)=""),"E-way bill login needs both user ID and password; ","")</f>
        <v/>
      </c>
    </row>
    <row r="730">
      <c r="A730" s="32" t="n"/>
      <c r="B730" s="33" t="n"/>
      <c r="C730" s="33" t="n"/>
      <c r="D730" s="33" t="n"/>
      <c r="E730" s="32" t="n"/>
      <c r="F730" s="32" t="n"/>
      <c r="G730" s="32" t="n"/>
      <c r="H730" s="32" t="n"/>
      <c r="I730" s="32" t="n"/>
      <c r="J730" s="34" t="n"/>
      <c r="K730" s="33" t="n"/>
      <c r="L730" s="32" t="n"/>
      <c r="M730" s="33" t="n"/>
      <c r="N730" s="33" t="n"/>
      <c r="O730" s="33" t="n"/>
      <c r="P730" s="32" t="n"/>
      <c r="Q730" s="33" t="n"/>
      <c r="R730" s="33" t="n"/>
      <c r="S730" s="33" t="n"/>
      <c r="T730" s="33" t="n"/>
      <c r="U730" s="32" t="n"/>
      <c r="V730" s="33" t="n"/>
      <c r="W730" s="33" t="n"/>
      <c r="X730" s="33" t="n"/>
      <c r="Y730" s="33" t="n"/>
      <c r="Z730" s="33" t="n"/>
      <c r="AA730" s="33" t="n"/>
      <c r="AB730" s="33" t="n"/>
      <c r="AC730" s="33" t="n"/>
      <c r="AD730" s="33" t="n"/>
      <c r="AE730" s="33" t="n"/>
      <c r="AF730" s="32" t="n"/>
      <c r="AG730" s="32" t="n"/>
      <c r="AH730" s="32" t="n"/>
      <c r="AI730" s="32" t="n"/>
      <c r="AJ730" s="32" t="n"/>
      <c r="AK730" s="32" t="n"/>
      <c r="AL730" s="32" t="n"/>
      <c r="AM730" s="32" t="n"/>
      <c r="AN730" s="32" t="n"/>
      <c r="AO730" s="32" t="n"/>
      <c r="AP730" s="32" t="n"/>
      <c r="AQ730" s="32" t="n"/>
      <c r="AR730" s="29">
        <f>IF(NOT(COUNTA(A730:AE730)&gt;0),"",IF(A730="","New client","Update"))</f>
        <v/>
      </c>
      <c r="AS730" s="29">
        <f>IF(BA730&lt;&gt;"",BA730,IF(LEN(AZ730)=15,MID(AZ730,3,10),""))</f>
        <v/>
      </c>
      <c r="AT730" s="29">
        <f>IF(BB730="","",BB730&amp;IF(D730="","  (guessed from PAN)",""))</f>
        <v/>
      </c>
      <c r="AU730" s="29">
        <f>IF(AZ730="","",IFERROR(INDEX(Lists!$L$2:$L$38,MATCH(LEFT(AZ730,2),Lists!$K$2:$K$38,0)),"Unknown code"))</f>
        <v/>
      </c>
      <c r="AV730" s="29">
        <f>IF(AZ730="","",IFERROR(IF(NOT(AND(LEN(AZ730)=15,ISNUMBER(MATCH(LEFT(AZ730,2),Lists!$K$2:$K$38,0)),SUMPRODUCT(--ISERROR(FIND(MID(MID(AZ730,3,10),{1,2,3,4,5,10},1),"ABCDEFGHIJKLMNOPQRSTUVWXYZ")))=0,SUMPRODUCT(--ISERROR(FIND(MID(MID(AZ730,3,10),{6,7,8,9},1),"0123456789")))=0,ISNUMBER(FIND(MID(AZ730,13,1),"123456789ABCDEFGHIJKLMNOPQRSTUVWXYZ")),MID(AZ730,14,1)="Z")),"Wrong format",IF(MID("0123456789ABCDEFGHIJKLMNOPQRSTUVWXYZ",MOD(36-MOD(SUMPRODUCT(INT((FIND(MID(AZ730,{1,2,3,4,5,6,7,8,9,10,11,12,13,14},1),"0123456789ABCDEFGHIJKLMNOPQRSTUVWXYZ")-1)*{1,2,1,2,1,2,1,2,1,2,1,2,1,2}/36)+MOD((FIND(MID(AZ730,{1,2,3,4,5,6,7,8,9,10,11,12,13,14},1),"0123456789ABCDEFGHIJKLMNOPQRSTUVWXYZ")-1)*{1,2,1,2,1,2,1,2,1,2,1,2,1,2},36)),36),36)+1,1)=MID(AZ730,15,1),"OK","Typo? check digit wrong")),"Wrong format"))</f>
        <v/>
      </c>
      <c r="AW730" s="29">
        <f>IF(BA730="","",IF(AND(LEN(BA730)=10,SUMPRODUCT(--ISERROR(FIND(MID(BA730,{1,2,3,4,5,10},1),"ABCDEFGHIJKLMNOPQRSTUVWXYZ")))=0,SUMPRODUCT(--ISERROR(FIND(MID(BA730,{6,7,8,9},1),"0123456789")))=0),"OK","Wrong format"))</f>
        <v/>
      </c>
      <c r="AX730" s="29">
        <f>IF(TRIM(H730)="","",IF(AND(LEN(UPPER(TRIM(H730)))=10,SUMPRODUCT(--ISERROR(FIND(MID(UPPER(TRIM(H730)),{1,2,3,4,10},1),"ABCDEFGHIJKLMNOPQRSTUVWXYZ")))=0,SUMPRODUCT(--ISERROR(FIND(MID(UPPER(TRIM(H730)),{5,6,7,8,9},1),"0123456789")))=0),"OK","Wrong format"))</f>
        <v/>
      </c>
      <c r="AY730" s="30">
        <f>IF(NOT(COUNTA(A730:AE730)&gt;0),"",IF(BE730&lt;&gt;"","✖ "&amp;LEFT(BE730,LEN(BE730)-2),IF(BD730&gt;0,"✔ Ready — client + "&amp;BD730&amp;" service(s)","✔ Ready — client only")))</f>
        <v/>
      </c>
      <c r="AZ730" s="31">
        <f>UPPER(SUBSTITUTE(TRIM(F730)," ",""))</f>
        <v/>
      </c>
      <c r="BA730" s="31">
        <f>UPPER(SUBSTITUTE(TRIM(E730)," ",""))</f>
        <v/>
      </c>
      <c r="BB730" s="31">
        <f>IF(D730&lt;&gt;"",D730,IFERROR(VLOOKUP(MID(AS730,4,1),Lists!$E$2:$F$8,2,FALSE),""))</f>
        <v/>
      </c>
      <c r="BC730" s="31">
        <f>IFERROR(VLOOKUP(BB730,Lists!$A$2:$C$12,3,FALSE),"")</f>
        <v/>
      </c>
      <c r="BD730" s="31">
        <f>COUNTIF(W730:AC730,"Yes")</f>
        <v/>
      </c>
      <c r="BE730" s="31">
        <f>IF(TRIM(B730)="","Legal name missing; ","")&amp;IF(AND(AV730&lt;&gt;"",AV730&lt;&gt;"OK"),"GSTIN: "&amp;AV730&amp;"; ","")&amp;IF(AND(AW730&lt;&gt;"",AW730&lt;&gt;"OK"),"PAN wrong format; ","")&amp;IF(AND(BA730&lt;&gt;"",LEN(AZ730)=15,MID(AZ730,3,10)&lt;&gt;BA730),"PAN does not match GSTIN; ","")&amp;IF(AND(AX730&lt;&gt;"",AX730&lt;&gt;"OK"),"TAN wrong format; ","")&amp;IF(AS730="","PAN missing; ","")&amp;IF(BB730="","Entity type missing; ","")&amp;IF(AND(AZ730&lt;&gt;"",COUNTIF($AZ$6:$AZ$1005,AZ730)&gt;1),"GSTIN repeated in this sheet; ","")&amp;IF(AND(AS730&lt;&gt;"",COUNTIF($AS$6:$AS$1005,AS730)&gt;1),"PAN repeated in this sheet (same client? put extra GSTINs in Other GSTINs); ","")&amp;IF(AND(BD730&gt;0,V730=""),"Financial year missing; ","")&amp;IF(AND(BD730=0,V730&lt;&gt;""),"Financial year given but no service is Yes; ","")&amp;IF(AND(W730="Yes",AZ730=""),"GST needs a GSTIN; ","")&amp;IF(AND(W730="Yes",X730=""),"GST return frequency missing; ","")&amp;IF(AND(Y730="Yes",TRIM(H730)=""),"TDS needs a TAN; ","")&amp;IF(AND(AA730="Yes",BC730&lt;&gt;"",BC730&lt;&gt;"company",BC730&lt;&gt;"llp"),"ROC is only for a company / LLP; ","")&amp;IF(AND(AA730="Yes",OR(BC730="company",BC730="llp"),TRIM(I730)=""),"ROC needs the CIN / LLPIN; ","")&amp;IF((TRIM(AF730)="")&lt;&gt;(TRIM(AG730)=""),"GST login needs both user ID and password; ","")&amp;IF((TRIM(AH730)="")&lt;&gt;(TRIM(AI730)=""),"Income-tax login needs both user ID and password; ","")&amp;IF((TRIM(AJ730)="")&lt;&gt;(TRIM(AK730)=""),"Income-tax login needs both user ID and password; ","")&amp;IF((TRIM(AL730)="")&lt;&gt;(TRIM(AM730)=""),"TRACES login needs both user ID and password; ","")&amp;IF((TRIM(AN730)="")&lt;&gt;(TRIM(AO730)=""),"MCA login needs both user ID and password; ","")&amp;IF((TRIM(AP730)="")&lt;&gt;(TRIM(AQ730)=""),"E-way bill login needs both user ID and password; ","")</f>
        <v/>
      </c>
    </row>
    <row r="731">
      <c r="A731" s="32" t="n"/>
      <c r="B731" s="33" t="n"/>
      <c r="C731" s="33" t="n"/>
      <c r="D731" s="33" t="n"/>
      <c r="E731" s="32" t="n"/>
      <c r="F731" s="32" t="n"/>
      <c r="G731" s="32" t="n"/>
      <c r="H731" s="32" t="n"/>
      <c r="I731" s="32" t="n"/>
      <c r="J731" s="34" t="n"/>
      <c r="K731" s="33" t="n"/>
      <c r="L731" s="32" t="n"/>
      <c r="M731" s="33" t="n"/>
      <c r="N731" s="33" t="n"/>
      <c r="O731" s="33" t="n"/>
      <c r="P731" s="32" t="n"/>
      <c r="Q731" s="33" t="n"/>
      <c r="R731" s="33" t="n"/>
      <c r="S731" s="33" t="n"/>
      <c r="T731" s="33" t="n"/>
      <c r="U731" s="32" t="n"/>
      <c r="V731" s="33" t="n"/>
      <c r="W731" s="33" t="n"/>
      <c r="X731" s="33" t="n"/>
      <c r="Y731" s="33" t="n"/>
      <c r="Z731" s="33" t="n"/>
      <c r="AA731" s="33" t="n"/>
      <c r="AB731" s="33" t="n"/>
      <c r="AC731" s="33" t="n"/>
      <c r="AD731" s="33" t="n"/>
      <c r="AE731" s="33" t="n"/>
      <c r="AF731" s="32" t="n"/>
      <c r="AG731" s="32" t="n"/>
      <c r="AH731" s="32" t="n"/>
      <c r="AI731" s="32" t="n"/>
      <c r="AJ731" s="32" t="n"/>
      <c r="AK731" s="32" t="n"/>
      <c r="AL731" s="32" t="n"/>
      <c r="AM731" s="32" t="n"/>
      <c r="AN731" s="32" t="n"/>
      <c r="AO731" s="32" t="n"/>
      <c r="AP731" s="32" t="n"/>
      <c r="AQ731" s="32" t="n"/>
      <c r="AR731" s="29">
        <f>IF(NOT(COUNTA(A731:AE731)&gt;0),"",IF(A731="","New client","Update"))</f>
        <v/>
      </c>
      <c r="AS731" s="29">
        <f>IF(BA731&lt;&gt;"",BA731,IF(LEN(AZ731)=15,MID(AZ731,3,10),""))</f>
        <v/>
      </c>
      <c r="AT731" s="29">
        <f>IF(BB731="","",BB731&amp;IF(D731="","  (guessed from PAN)",""))</f>
        <v/>
      </c>
      <c r="AU731" s="29">
        <f>IF(AZ731="","",IFERROR(INDEX(Lists!$L$2:$L$38,MATCH(LEFT(AZ731,2),Lists!$K$2:$K$38,0)),"Unknown code"))</f>
        <v/>
      </c>
      <c r="AV731" s="29">
        <f>IF(AZ731="","",IFERROR(IF(NOT(AND(LEN(AZ731)=15,ISNUMBER(MATCH(LEFT(AZ731,2),Lists!$K$2:$K$38,0)),SUMPRODUCT(--ISERROR(FIND(MID(MID(AZ731,3,10),{1,2,3,4,5,10},1),"ABCDEFGHIJKLMNOPQRSTUVWXYZ")))=0,SUMPRODUCT(--ISERROR(FIND(MID(MID(AZ731,3,10),{6,7,8,9},1),"0123456789")))=0,ISNUMBER(FIND(MID(AZ731,13,1),"123456789ABCDEFGHIJKLMNOPQRSTUVWXYZ")),MID(AZ731,14,1)="Z")),"Wrong format",IF(MID("0123456789ABCDEFGHIJKLMNOPQRSTUVWXYZ",MOD(36-MOD(SUMPRODUCT(INT((FIND(MID(AZ731,{1,2,3,4,5,6,7,8,9,10,11,12,13,14},1),"0123456789ABCDEFGHIJKLMNOPQRSTUVWXYZ")-1)*{1,2,1,2,1,2,1,2,1,2,1,2,1,2}/36)+MOD((FIND(MID(AZ731,{1,2,3,4,5,6,7,8,9,10,11,12,13,14},1),"0123456789ABCDEFGHIJKLMNOPQRSTUVWXYZ")-1)*{1,2,1,2,1,2,1,2,1,2,1,2,1,2},36)),36),36)+1,1)=MID(AZ731,15,1),"OK","Typo? check digit wrong")),"Wrong format"))</f>
        <v/>
      </c>
      <c r="AW731" s="29">
        <f>IF(BA731="","",IF(AND(LEN(BA731)=10,SUMPRODUCT(--ISERROR(FIND(MID(BA731,{1,2,3,4,5,10},1),"ABCDEFGHIJKLMNOPQRSTUVWXYZ")))=0,SUMPRODUCT(--ISERROR(FIND(MID(BA731,{6,7,8,9},1),"0123456789")))=0),"OK","Wrong format"))</f>
        <v/>
      </c>
      <c r="AX731" s="29">
        <f>IF(TRIM(H731)="","",IF(AND(LEN(UPPER(TRIM(H731)))=10,SUMPRODUCT(--ISERROR(FIND(MID(UPPER(TRIM(H731)),{1,2,3,4,10},1),"ABCDEFGHIJKLMNOPQRSTUVWXYZ")))=0,SUMPRODUCT(--ISERROR(FIND(MID(UPPER(TRIM(H731)),{5,6,7,8,9},1),"0123456789")))=0),"OK","Wrong format"))</f>
        <v/>
      </c>
      <c r="AY731" s="30">
        <f>IF(NOT(COUNTA(A731:AE731)&gt;0),"",IF(BE731&lt;&gt;"","✖ "&amp;LEFT(BE731,LEN(BE731)-2),IF(BD731&gt;0,"✔ Ready — client + "&amp;BD731&amp;" service(s)","✔ Ready — client only")))</f>
        <v/>
      </c>
      <c r="AZ731" s="31">
        <f>UPPER(SUBSTITUTE(TRIM(F731)," ",""))</f>
        <v/>
      </c>
      <c r="BA731" s="31">
        <f>UPPER(SUBSTITUTE(TRIM(E731)," ",""))</f>
        <v/>
      </c>
      <c r="BB731" s="31">
        <f>IF(D731&lt;&gt;"",D731,IFERROR(VLOOKUP(MID(AS731,4,1),Lists!$E$2:$F$8,2,FALSE),""))</f>
        <v/>
      </c>
      <c r="BC731" s="31">
        <f>IFERROR(VLOOKUP(BB731,Lists!$A$2:$C$12,3,FALSE),"")</f>
        <v/>
      </c>
      <c r="BD731" s="31">
        <f>COUNTIF(W731:AC731,"Yes")</f>
        <v/>
      </c>
      <c r="BE731" s="31">
        <f>IF(TRIM(B731)="","Legal name missing; ","")&amp;IF(AND(AV731&lt;&gt;"",AV731&lt;&gt;"OK"),"GSTIN: "&amp;AV731&amp;"; ","")&amp;IF(AND(AW731&lt;&gt;"",AW731&lt;&gt;"OK"),"PAN wrong format; ","")&amp;IF(AND(BA731&lt;&gt;"",LEN(AZ731)=15,MID(AZ731,3,10)&lt;&gt;BA731),"PAN does not match GSTIN; ","")&amp;IF(AND(AX731&lt;&gt;"",AX731&lt;&gt;"OK"),"TAN wrong format; ","")&amp;IF(AS731="","PAN missing; ","")&amp;IF(BB731="","Entity type missing; ","")&amp;IF(AND(AZ731&lt;&gt;"",COUNTIF($AZ$6:$AZ$1005,AZ731)&gt;1),"GSTIN repeated in this sheet; ","")&amp;IF(AND(AS731&lt;&gt;"",COUNTIF($AS$6:$AS$1005,AS731)&gt;1),"PAN repeated in this sheet (same client? put extra GSTINs in Other GSTINs); ","")&amp;IF(AND(BD731&gt;0,V731=""),"Financial year missing; ","")&amp;IF(AND(BD731=0,V731&lt;&gt;""),"Financial year given but no service is Yes; ","")&amp;IF(AND(W731="Yes",AZ731=""),"GST needs a GSTIN; ","")&amp;IF(AND(W731="Yes",X731=""),"GST return frequency missing; ","")&amp;IF(AND(Y731="Yes",TRIM(H731)=""),"TDS needs a TAN; ","")&amp;IF(AND(AA731="Yes",BC731&lt;&gt;"",BC731&lt;&gt;"company",BC731&lt;&gt;"llp"),"ROC is only for a company / LLP; ","")&amp;IF(AND(AA731="Yes",OR(BC731="company",BC731="llp"),TRIM(I731)=""),"ROC needs the CIN / LLPIN; ","")&amp;IF((TRIM(AF731)="")&lt;&gt;(TRIM(AG731)=""),"GST login needs both user ID and password; ","")&amp;IF((TRIM(AH731)="")&lt;&gt;(TRIM(AI731)=""),"Income-tax login needs both user ID and password; ","")&amp;IF((TRIM(AJ731)="")&lt;&gt;(TRIM(AK731)=""),"Income-tax login needs both user ID and password; ","")&amp;IF((TRIM(AL731)="")&lt;&gt;(TRIM(AM731)=""),"TRACES login needs both user ID and password; ","")&amp;IF((TRIM(AN731)="")&lt;&gt;(TRIM(AO731)=""),"MCA login needs both user ID and password; ","")&amp;IF((TRIM(AP731)="")&lt;&gt;(TRIM(AQ731)=""),"E-way bill login needs both user ID and password; ","")</f>
        <v/>
      </c>
    </row>
    <row r="732">
      <c r="A732" s="32" t="n"/>
      <c r="B732" s="33" t="n"/>
      <c r="C732" s="33" t="n"/>
      <c r="D732" s="33" t="n"/>
      <c r="E732" s="32" t="n"/>
      <c r="F732" s="32" t="n"/>
      <c r="G732" s="32" t="n"/>
      <c r="H732" s="32" t="n"/>
      <c r="I732" s="32" t="n"/>
      <c r="J732" s="34" t="n"/>
      <c r="K732" s="33" t="n"/>
      <c r="L732" s="32" t="n"/>
      <c r="M732" s="33" t="n"/>
      <c r="N732" s="33" t="n"/>
      <c r="O732" s="33" t="n"/>
      <c r="P732" s="32" t="n"/>
      <c r="Q732" s="33" t="n"/>
      <c r="R732" s="33" t="n"/>
      <c r="S732" s="33" t="n"/>
      <c r="T732" s="33" t="n"/>
      <c r="U732" s="32" t="n"/>
      <c r="V732" s="33" t="n"/>
      <c r="W732" s="33" t="n"/>
      <c r="X732" s="33" t="n"/>
      <c r="Y732" s="33" t="n"/>
      <c r="Z732" s="33" t="n"/>
      <c r="AA732" s="33" t="n"/>
      <c r="AB732" s="33" t="n"/>
      <c r="AC732" s="33" t="n"/>
      <c r="AD732" s="33" t="n"/>
      <c r="AE732" s="33" t="n"/>
      <c r="AF732" s="32" t="n"/>
      <c r="AG732" s="32" t="n"/>
      <c r="AH732" s="32" t="n"/>
      <c r="AI732" s="32" t="n"/>
      <c r="AJ732" s="32" t="n"/>
      <c r="AK732" s="32" t="n"/>
      <c r="AL732" s="32" t="n"/>
      <c r="AM732" s="32" t="n"/>
      <c r="AN732" s="32" t="n"/>
      <c r="AO732" s="32" t="n"/>
      <c r="AP732" s="32" t="n"/>
      <c r="AQ732" s="32" t="n"/>
      <c r="AR732" s="29">
        <f>IF(NOT(COUNTA(A732:AE732)&gt;0),"",IF(A732="","New client","Update"))</f>
        <v/>
      </c>
      <c r="AS732" s="29">
        <f>IF(BA732&lt;&gt;"",BA732,IF(LEN(AZ732)=15,MID(AZ732,3,10),""))</f>
        <v/>
      </c>
      <c r="AT732" s="29">
        <f>IF(BB732="","",BB732&amp;IF(D732="","  (guessed from PAN)",""))</f>
        <v/>
      </c>
      <c r="AU732" s="29">
        <f>IF(AZ732="","",IFERROR(INDEX(Lists!$L$2:$L$38,MATCH(LEFT(AZ732,2),Lists!$K$2:$K$38,0)),"Unknown code"))</f>
        <v/>
      </c>
      <c r="AV732" s="29">
        <f>IF(AZ732="","",IFERROR(IF(NOT(AND(LEN(AZ732)=15,ISNUMBER(MATCH(LEFT(AZ732,2),Lists!$K$2:$K$38,0)),SUMPRODUCT(--ISERROR(FIND(MID(MID(AZ732,3,10),{1,2,3,4,5,10},1),"ABCDEFGHIJKLMNOPQRSTUVWXYZ")))=0,SUMPRODUCT(--ISERROR(FIND(MID(MID(AZ732,3,10),{6,7,8,9},1),"0123456789")))=0,ISNUMBER(FIND(MID(AZ732,13,1),"123456789ABCDEFGHIJKLMNOPQRSTUVWXYZ")),MID(AZ732,14,1)="Z")),"Wrong format",IF(MID("0123456789ABCDEFGHIJKLMNOPQRSTUVWXYZ",MOD(36-MOD(SUMPRODUCT(INT((FIND(MID(AZ732,{1,2,3,4,5,6,7,8,9,10,11,12,13,14},1),"0123456789ABCDEFGHIJKLMNOPQRSTUVWXYZ")-1)*{1,2,1,2,1,2,1,2,1,2,1,2,1,2}/36)+MOD((FIND(MID(AZ732,{1,2,3,4,5,6,7,8,9,10,11,12,13,14},1),"0123456789ABCDEFGHIJKLMNOPQRSTUVWXYZ")-1)*{1,2,1,2,1,2,1,2,1,2,1,2,1,2},36)),36),36)+1,1)=MID(AZ732,15,1),"OK","Typo? check digit wrong")),"Wrong format"))</f>
        <v/>
      </c>
      <c r="AW732" s="29">
        <f>IF(BA732="","",IF(AND(LEN(BA732)=10,SUMPRODUCT(--ISERROR(FIND(MID(BA732,{1,2,3,4,5,10},1),"ABCDEFGHIJKLMNOPQRSTUVWXYZ")))=0,SUMPRODUCT(--ISERROR(FIND(MID(BA732,{6,7,8,9},1),"0123456789")))=0),"OK","Wrong format"))</f>
        <v/>
      </c>
      <c r="AX732" s="29">
        <f>IF(TRIM(H732)="","",IF(AND(LEN(UPPER(TRIM(H732)))=10,SUMPRODUCT(--ISERROR(FIND(MID(UPPER(TRIM(H732)),{1,2,3,4,10},1),"ABCDEFGHIJKLMNOPQRSTUVWXYZ")))=0,SUMPRODUCT(--ISERROR(FIND(MID(UPPER(TRIM(H732)),{5,6,7,8,9},1),"0123456789")))=0),"OK","Wrong format"))</f>
        <v/>
      </c>
      <c r="AY732" s="30">
        <f>IF(NOT(COUNTA(A732:AE732)&gt;0),"",IF(BE732&lt;&gt;"","✖ "&amp;LEFT(BE732,LEN(BE732)-2),IF(BD732&gt;0,"✔ Ready — client + "&amp;BD732&amp;" service(s)","✔ Ready — client only")))</f>
        <v/>
      </c>
      <c r="AZ732" s="31">
        <f>UPPER(SUBSTITUTE(TRIM(F732)," ",""))</f>
        <v/>
      </c>
      <c r="BA732" s="31">
        <f>UPPER(SUBSTITUTE(TRIM(E732)," ",""))</f>
        <v/>
      </c>
      <c r="BB732" s="31">
        <f>IF(D732&lt;&gt;"",D732,IFERROR(VLOOKUP(MID(AS732,4,1),Lists!$E$2:$F$8,2,FALSE),""))</f>
        <v/>
      </c>
      <c r="BC732" s="31">
        <f>IFERROR(VLOOKUP(BB732,Lists!$A$2:$C$12,3,FALSE),"")</f>
        <v/>
      </c>
      <c r="BD732" s="31">
        <f>COUNTIF(W732:AC732,"Yes")</f>
        <v/>
      </c>
      <c r="BE732" s="31">
        <f>IF(TRIM(B732)="","Legal name missing; ","")&amp;IF(AND(AV732&lt;&gt;"",AV732&lt;&gt;"OK"),"GSTIN: "&amp;AV732&amp;"; ","")&amp;IF(AND(AW732&lt;&gt;"",AW732&lt;&gt;"OK"),"PAN wrong format; ","")&amp;IF(AND(BA732&lt;&gt;"",LEN(AZ732)=15,MID(AZ732,3,10)&lt;&gt;BA732),"PAN does not match GSTIN; ","")&amp;IF(AND(AX732&lt;&gt;"",AX732&lt;&gt;"OK"),"TAN wrong format; ","")&amp;IF(AS732="","PAN missing; ","")&amp;IF(BB732="","Entity type missing; ","")&amp;IF(AND(AZ732&lt;&gt;"",COUNTIF($AZ$6:$AZ$1005,AZ732)&gt;1),"GSTIN repeated in this sheet; ","")&amp;IF(AND(AS732&lt;&gt;"",COUNTIF($AS$6:$AS$1005,AS732)&gt;1),"PAN repeated in this sheet (same client? put extra GSTINs in Other GSTINs); ","")&amp;IF(AND(BD732&gt;0,V732=""),"Financial year missing; ","")&amp;IF(AND(BD732=0,V732&lt;&gt;""),"Financial year given but no service is Yes; ","")&amp;IF(AND(W732="Yes",AZ732=""),"GST needs a GSTIN; ","")&amp;IF(AND(W732="Yes",X732=""),"GST return frequency missing; ","")&amp;IF(AND(Y732="Yes",TRIM(H732)=""),"TDS needs a TAN; ","")&amp;IF(AND(AA732="Yes",BC732&lt;&gt;"",BC732&lt;&gt;"company",BC732&lt;&gt;"llp"),"ROC is only for a company / LLP; ","")&amp;IF(AND(AA732="Yes",OR(BC732="company",BC732="llp"),TRIM(I732)=""),"ROC needs the CIN / LLPIN; ","")&amp;IF((TRIM(AF732)="")&lt;&gt;(TRIM(AG732)=""),"GST login needs both user ID and password; ","")&amp;IF((TRIM(AH732)="")&lt;&gt;(TRIM(AI732)=""),"Income-tax login needs both user ID and password; ","")&amp;IF((TRIM(AJ732)="")&lt;&gt;(TRIM(AK732)=""),"Income-tax login needs both user ID and password; ","")&amp;IF((TRIM(AL732)="")&lt;&gt;(TRIM(AM732)=""),"TRACES login needs both user ID and password; ","")&amp;IF((TRIM(AN732)="")&lt;&gt;(TRIM(AO732)=""),"MCA login needs both user ID and password; ","")&amp;IF((TRIM(AP732)="")&lt;&gt;(TRIM(AQ732)=""),"E-way bill login needs both user ID and password; ","")</f>
        <v/>
      </c>
    </row>
    <row r="733">
      <c r="A733" s="32" t="n"/>
      <c r="B733" s="33" t="n"/>
      <c r="C733" s="33" t="n"/>
      <c r="D733" s="33" t="n"/>
      <c r="E733" s="32" t="n"/>
      <c r="F733" s="32" t="n"/>
      <c r="G733" s="32" t="n"/>
      <c r="H733" s="32" t="n"/>
      <c r="I733" s="32" t="n"/>
      <c r="J733" s="34" t="n"/>
      <c r="K733" s="33" t="n"/>
      <c r="L733" s="32" t="n"/>
      <c r="M733" s="33" t="n"/>
      <c r="N733" s="33" t="n"/>
      <c r="O733" s="33" t="n"/>
      <c r="P733" s="32" t="n"/>
      <c r="Q733" s="33" t="n"/>
      <c r="R733" s="33" t="n"/>
      <c r="S733" s="33" t="n"/>
      <c r="T733" s="33" t="n"/>
      <c r="U733" s="32" t="n"/>
      <c r="V733" s="33" t="n"/>
      <c r="W733" s="33" t="n"/>
      <c r="X733" s="33" t="n"/>
      <c r="Y733" s="33" t="n"/>
      <c r="Z733" s="33" t="n"/>
      <c r="AA733" s="33" t="n"/>
      <c r="AB733" s="33" t="n"/>
      <c r="AC733" s="33" t="n"/>
      <c r="AD733" s="33" t="n"/>
      <c r="AE733" s="33" t="n"/>
      <c r="AF733" s="32" t="n"/>
      <c r="AG733" s="32" t="n"/>
      <c r="AH733" s="32" t="n"/>
      <c r="AI733" s="32" t="n"/>
      <c r="AJ733" s="32" t="n"/>
      <c r="AK733" s="32" t="n"/>
      <c r="AL733" s="32" t="n"/>
      <c r="AM733" s="32" t="n"/>
      <c r="AN733" s="32" t="n"/>
      <c r="AO733" s="32" t="n"/>
      <c r="AP733" s="32" t="n"/>
      <c r="AQ733" s="32" t="n"/>
      <c r="AR733" s="29">
        <f>IF(NOT(COUNTA(A733:AE733)&gt;0),"",IF(A733="","New client","Update"))</f>
        <v/>
      </c>
      <c r="AS733" s="29">
        <f>IF(BA733&lt;&gt;"",BA733,IF(LEN(AZ733)=15,MID(AZ733,3,10),""))</f>
        <v/>
      </c>
      <c r="AT733" s="29">
        <f>IF(BB733="","",BB733&amp;IF(D733="","  (guessed from PAN)",""))</f>
        <v/>
      </c>
      <c r="AU733" s="29">
        <f>IF(AZ733="","",IFERROR(INDEX(Lists!$L$2:$L$38,MATCH(LEFT(AZ733,2),Lists!$K$2:$K$38,0)),"Unknown code"))</f>
        <v/>
      </c>
      <c r="AV733" s="29">
        <f>IF(AZ733="","",IFERROR(IF(NOT(AND(LEN(AZ733)=15,ISNUMBER(MATCH(LEFT(AZ733,2),Lists!$K$2:$K$38,0)),SUMPRODUCT(--ISERROR(FIND(MID(MID(AZ733,3,10),{1,2,3,4,5,10},1),"ABCDEFGHIJKLMNOPQRSTUVWXYZ")))=0,SUMPRODUCT(--ISERROR(FIND(MID(MID(AZ733,3,10),{6,7,8,9},1),"0123456789")))=0,ISNUMBER(FIND(MID(AZ733,13,1),"123456789ABCDEFGHIJKLMNOPQRSTUVWXYZ")),MID(AZ733,14,1)="Z")),"Wrong format",IF(MID("0123456789ABCDEFGHIJKLMNOPQRSTUVWXYZ",MOD(36-MOD(SUMPRODUCT(INT((FIND(MID(AZ733,{1,2,3,4,5,6,7,8,9,10,11,12,13,14},1),"0123456789ABCDEFGHIJKLMNOPQRSTUVWXYZ")-1)*{1,2,1,2,1,2,1,2,1,2,1,2,1,2}/36)+MOD((FIND(MID(AZ733,{1,2,3,4,5,6,7,8,9,10,11,12,13,14},1),"0123456789ABCDEFGHIJKLMNOPQRSTUVWXYZ")-1)*{1,2,1,2,1,2,1,2,1,2,1,2,1,2},36)),36),36)+1,1)=MID(AZ733,15,1),"OK","Typo? check digit wrong")),"Wrong format"))</f>
        <v/>
      </c>
      <c r="AW733" s="29">
        <f>IF(BA733="","",IF(AND(LEN(BA733)=10,SUMPRODUCT(--ISERROR(FIND(MID(BA733,{1,2,3,4,5,10},1),"ABCDEFGHIJKLMNOPQRSTUVWXYZ")))=0,SUMPRODUCT(--ISERROR(FIND(MID(BA733,{6,7,8,9},1),"0123456789")))=0),"OK","Wrong format"))</f>
        <v/>
      </c>
      <c r="AX733" s="29">
        <f>IF(TRIM(H733)="","",IF(AND(LEN(UPPER(TRIM(H733)))=10,SUMPRODUCT(--ISERROR(FIND(MID(UPPER(TRIM(H733)),{1,2,3,4,10},1),"ABCDEFGHIJKLMNOPQRSTUVWXYZ")))=0,SUMPRODUCT(--ISERROR(FIND(MID(UPPER(TRIM(H733)),{5,6,7,8,9},1),"0123456789")))=0),"OK","Wrong format"))</f>
        <v/>
      </c>
      <c r="AY733" s="30">
        <f>IF(NOT(COUNTA(A733:AE733)&gt;0),"",IF(BE733&lt;&gt;"","✖ "&amp;LEFT(BE733,LEN(BE733)-2),IF(BD733&gt;0,"✔ Ready — client + "&amp;BD733&amp;" service(s)","✔ Ready — client only")))</f>
        <v/>
      </c>
      <c r="AZ733" s="31">
        <f>UPPER(SUBSTITUTE(TRIM(F733)," ",""))</f>
        <v/>
      </c>
      <c r="BA733" s="31">
        <f>UPPER(SUBSTITUTE(TRIM(E733)," ",""))</f>
        <v/>
      </c>
      <c r="BB733" s="31">
        <f>IF(D733&lt;&gt;"",D733,IFERROR(VLOOKUP(MID(AS733,4,1),Lists!$E$2:$F$8,2,FALSE),""))</f>
        <v/>
      </c>
      <c r="BC733" s="31">
        <f>IFERROR(VLOOKUP(BB733,Lists!$A$2:$C$12,3,FALSE),"")</f>
        <v/>
      </c>
      <c r="BD733" s="31">
        <f>COUNTIF(W733:AC733,"Yes")</f>
        <v/>
      </c>
      <c r="BE733" s="31">
        <f>IF(TRIM(B733)="","Legal name missing; ","")&amp;IF(AND(AV733&lt;&gt;"",AV733&lt;&gt;"OK"),"GSTIN: "&amp;AV733&amp;"; ","")&amp;IF(AND(AW733&lt;&gt;"",AW733&lt;&gt;"OK"),"PAN wrong format; ","")&amp;IF(AND(BA733&lt;&gt;"",LEN(AZ733)=15,MID(AZ733,3,10)&lt;&gt;BA733),"PAN does not match GSTIN; ","")&amp;IF(AND(AX733&lt;&gt;"",AX733&lt;&gt;"OK"),"TAN wrong format; ","")&amp;IF(AS733="","PAN missing; ","")&amp;IF(BB733="","Entity type missing; ","")&amp;IF(AND(AZ733&lt;&gt;"",COUNTIF($AZ$6:$AZ$1005,AZ733)&gt;1),"GSTIN repeated in this sheet; ","")&amp;IF(AND(AS733&lt;&gt;"",COUNTIF($AS$6:$AS$1005,AS733)&gt;1),"PAN repeated in this sheet (same client? put extra GSTINs in Other GSTINs); ","")&amp;IF(AND(BD733&gt;0,V733=""),"Financial year missing; ","")&amp;IF(AND(BD733=0,V733&lt;&gt;""),"Financial year given but no service is Yes; ","")&amp;IF(AND(W733="Yes",AZ733=""),"GST needs a GSTIN; ","")&amp;IF(AND(W733="Yes",X733=""),"GST return frequency missing; ","")&amp;IF(AND(Y733="Yes",TRIM(H733)=""),"TDS needs a TAN; ","")&amp;IF(AND(AA733="Yes",BC733&lt;&gt;"",BC733&lt;&gt;"company",BC733&lt;&gt;"llp"),"ROC is only for a company / LLP; ","")&amp;IF(AND(AA733="Yes",OR(BC733="company",BC733="llp"),TRIM(I733)=""),"ROC needs the CIN / LLPIN; ","")&amp;IF((TRIM(AF733)="")&lt;&gt;(TRIM(AG733)=""),"GST login needs both user ID and password; ","")&amp;IF((TRIM(AH733)="")&lt;&gt;(TRIM(AI733)=""),"Income-tax login needs both user ID and password; ","")&amp;IF((TRIM(AJ733)="")&lt;&gt;(TRIM(AK733)=""),"Income-tax login needs both user ID and password; ","")&amp;IF((TRIM(AL733)="")&lt;&gt;(TRIM(AM733)=""),"TRACES login needs both user ID and password; ","")&amp;IF((TRIM(AN733)="")&lt;&gt;(TRIM(AO733)=""),"MCA login needs both user ID and password; ","")&amp;IF((TRIM(AP733)="")&lt;&gt;(TRIM(AQ733)=""),"E-way bill login needs both user ID and password; ","")</f>
        <v/>
      </c>
    </row>
    <row r="734">
      <c r="A734" s="32" t="n"/>
      <c r="B734" s="33" t="n"/>
      <c r="C734" s="33" t="n"/>
      <c r="D734" s="33" t="n"/>
      <c r="E734" s="32" t="n"/>
      <c r="F734" s="32" t="n"/>
      <c r="G734" s="32" t="n"/>
      <c r="H734" s="32" t="n"/>
      <c r="I734" s="32" t="n"/>
      <c r="J734" s="34" t="n"/>
      <c r="K734" s="33" t="n"/>
      <c r="L734" s="32" t="n"/>
      <c r="M734" s="33" t="n"/>
      <c r="N734" s="33" t="n"/>
      <c r="O734" s="33" t="n"/>
      <c r="P734" s="32" t="n"/>
      <c r="Q734" s="33" t="n"/>
      <c r="R734" s="33" t="n"/>
      <c r="S734" s="33" t="n"/>
      <c r="T734" s="33" t="n"/>
      <c r="U734" s="32" t="n"/>
      <c r="V734" s="33" t="n"/>
      <c r="W734" s="33" t="n"/>
      <c r="X734" s="33" t="n"/>
      <c r="Y734" s="33" t="n"/>
      <c r="Z734" s="33" t="n"/>
      <c r="AA734" s="33" t="n"/>
      <c r="AB734" s="33" t="n"/>
      <c r="AC734" s="33" t="n"/>
      <c r="AD734" s="33" t="n"/>
      <c r="AE734" s="33" t="n"/>
      <c r="AF734" s="32" t="n"/>
      <c r="AG734" s="32" t="n"/>
      <c r="AH734" s="32" t="n"/>
      <c r="AI734" s="32" t="n"/>
      <c r="AJ734" s="32" t="n"/>
      <c r="AK734" s="32" t="n"/>
      <c r="AL734" s="32" t="n"/>
      <c r="AM734" s="32" t="n"/>
      <c r="AN734" s="32" t="n"/>
      <c r="AO734" s="32" t="n"/>
      <c r="AP734" s="32" t="n"/>
      <c r="AQ734" s="32" t="n"/>
      <c r="AR734" s="29">
        <f>IF(NOT(COUNTA(A734:AE734)&gt;0),"",IF(A734="","New client","Update"))</f>
        <v/>
      </c>
      <c r="AS734" s="29">
        <f>IF(BA734&lt;&gt;"",BA734,IF(LEN(AZ734)=15,MID(AZ734,3,10),""))</f>
        <v/>
      </c>
      <c r="AT734" s="29">
        <f>IF(BB734="","",BB734&amp;IF(D734="","  (guessed from PAN)",""))</f>
        <v/>
      </c>
      <c r="AU734" s="29">
        <f>IF(AZ734="","",IFERROR(INDEX(Lists!$L$2:$L$38,MATCH(LEFT(AZ734,2),Lists!$K$2:$K$38,0)),"Unknown code"))</f>
        <v/>
      </c>
      <c r="AV734" s="29">
        <f>IF(AZ734="","",IFERROR(IF(NOT(AND(LEN(AZ734)=15,ISNUMBER(MATCH(LEFT(AZ734,2),Lists!$K$2:$K$38,0)),SUMPRODUCT(--ISERROR(FIND(MID(MID(AZ734,3,10),{1,2,3,4,5,10},1),"ABCDEFGHIJKLMNOPQRSTUVWXYZ")))=0,SUMPRODUCT(--ISERROR(FIND(MID(MID(AZ734,3,10),{6,7,8,9},1),"0123456789")))=0,ISNUMBER(FIND(MID(AZ734,13,1),"123456789ABCDEFGHIJKLMNOPQRSTUVWXYZ")),MID(AZ734,14,1)="Z")),"Wrong format",IF(MID("0123456789ABCDEFGHIJKLMNOPQRSTUVWXYZ",MOD(36-MOD(SUMPRODUCT(INT((FIND(MID(AZ734,{1,2,3,4,5,6,7,8,9,10,11,12,13,14},1),"0123456789ABCDEFGHIJKLMNOPQRSTUVWXYZ")-1)*{1,2,1,2,1,2,1,2,1,2,1,2,1,2}/36)+MOD((FIND(MID(AZ734,{1,2,3,4,5,6,7,8,9,10,11,12,13,14},1),"0123456789ABCDEFGHIJKLMNOPQRSTUVWXYZ")-1)*{1,2,1,2,1,2,1,2,1,2,1,2,1,2},36)),36),36)+1,1)=MID(AZ734,15,1),"OK","Typo? check digit wrong")),"Wrong format"))</f>
        <v/>
      </c>
      <c r="AW734" s="29">
        <f>IF(BA734="","",IF(AND(LEN(BA734)=10,SUMPRODUCT(--ISERROR(FIND(MID(BA734,{1,2,3,4,5,10},1),"ABCDEFGHIJKLMNOPQRSTUVWXYZ")))=0,SUMPRODUCT(--ISERROR(FIND(MID(BA734,{6,7,8,9},1),"0123456789")))=0),"OK","Wrong format"))</f>
        <v/>
      </c>
      <c r="AX734" s="29">
        <f>IF(TRIM(H734)="","",IF(AND(LEN(UPPER(TRIM(H734)))=10,SUMPRODUCT(--ISERROR(FIND(MID(UPPER(TRIM(H734)),{1,2,3,4,10},1),"ABCDEFGHIJKLMNOPQRSTUVWXYZ")))=0,SUMPRODUCT(--ISERROR(FIND(MID(UPPER(TRIM(H734)),{5,6,7,8,9},1),"0123456789")))=0),"OK","Wrong format"))</f>
        <v/>
      </c>
      <c r="AY734" s="30">
        <f>IF(NOT(COUNTA(A734:AE734)&gt;0),"",IF(BE734&lt;&gt;"","✖ "&amp;LEFT(BE734,LEN(BE734)-2),IF(BD734&gt;0,"✔ Ready — client + "&amp;BD734&amp;" service(s)","✔ Ready — client only")))</f>
        <v/>
      </c>
      <c r="AZ734" s="31">
        <f>UPPER(SUBSTITUTE(TRIM(F734)," ",""))</f>
        <v/>
      </c>
      <c r="BA734" s="31">
        <f>UPPER(SUBSTITUTE(TRIM(E734)," ",""))</f>
        <v/>
      </c>
      <c r="BB734" s="31">
        <f>IF(D734&lt;&gt;"",D734,IFERROR(VLOOKUP(MID(AS734,4,1),Lists!$E$2:$F$8,2,FALSE),""))</f>
        <v/>
      </c>
      <c r="BC734" s="31">
        <f>IFERROR(VLOOKUP(BB734,Lists!$A$2:$C$12,3,FALSE),"")</f>
        <v/>
      </c>
      <c r="BD734" s="31">
        <f>COUNTIF(W734:AC734,"Yes")</f>
        <v/>
      </c>
      <c r="BE734" s="31">
        <f>IF(TRIM(B734)="","Legal name missing; ","")&amp;IF(AND(AV734&lt;&gt;"",AV734&lt;&gt;"OK"),"GSTIN: "&amp;AV734&amp;"; ","")&amp;IF(AND(AW734&lt;&gt;"",AW734&lt;&gt;"OK"),"PAN wrong format; ","")&amp;IF(AND(BA734&lt;&gt;"",LEN(AZ734)=15,MID(AZ734,3,10)&lt;&gt;BA734),"PAN does not match GSTIN; ","")&amp;IF(AND(AX734&lt;&gt;"",AX734&lt;&gt;"OK"),"TAN wrong format; ","")&amp;IF(AS734="","PAN missing; ","")&amp;IF(BB734="","Entity type missing; ","")&amp;IF(AND(AZ734&lt;&gt;"",COUNTIF($AZ$6:$AZ$1005,AZ734)&gt;1),"GSTIN repeated in this sheet; ","")&amp;IF(AND(AS734&lt;&gt;"",COUNTIF($AS$6:$AS$1005,AS734)&gt;1),"PAN repeated in this sheet (same client? put extra GSTINs in Other GSTINs); ","")&amp;IF(AND(BD734&gt;0,V734=""),"Financial year missing; ","")&amp;IF(AND(BD734=0,V734&lt;&gt;""),"Financial year given but no service is Yes; ","")&amp;IF(AND(W734="Yes",AZ734=""),"GST needs a GSTIN; ","")&amp;IF(AND(W734="Yes",X734=""),"GST return frequency missing; ","")&amp;IF(AND(Y734="Yes",TRIM(H734)=""),"TDS needs a TAN; ","")&amp;IF(AND(AA734="Yes",BC734&lt;&gt;"",BC734&lt;&gt;"company",BC734&lt;&gt;"llp"),"ROC is only for a company / LLP; ","")&amp;IF(AND(AA734="Yes",OR(BC734="company",BC734="llp"),TRIM(I734)=""),"ROC needs the CIN / LLPIN; ","")&amp;IF((TRIM(AF734)="")&lt;&gt;(TRIM(AG734)=""),"GST login needs both user ID and password; ","")&amp;IF((TRIM(AH734)="")&lt;&gt;(TRIM(AI734)=""),"Income-tax login needs both user ID and password; ","")&amp;IF((TRIM(AJ734)="")&lt;&gt;(TRIM(AK734)=""),"Income-tax login needs both user ID and password; ","")&amp;IF((TRIM(AL734)="")&lt;&gt;(TRIM(AM734)=""),"TRACES login needs both user ID and password; ","")&amp;IF((TRIM(AN734)="")&lt;&gt;(TRIM(AO734)=""),"MCA login needs both user ID and password; ","")&amp;IF((TRIM(AP734)="")&lt;&gt;(TRIM(AQ734)=""),"E-way bill login needs both user ID and password; ","")</f>
        <v/>
      </c>
    </row>
    <row r="735">
      <c r="A735" s="32" t="n"/>
      <c r="B735" s="33" t="n"/>
      <c r="C735" s="33" t="n"/>
      <c r="D735" s="33" t="n"/>
      <c r="E735" s="32" t="n"/>
      <c r="F735" s="32" t="n"/>
      <c r="G735" s="32" t="n"/>
      <c r="H735" s="32" t="n"/>
      <c r="I735" s="32" t="n"/>
      <c r="J735" s="34" t="n"/>
      <c r="K735" s="33" t="n"/>
      <c r="L735" s="32" t="n"/>
      <c r="M735" s="33" t="n"/>
      <c r="N735" s="33" t="n"/>
      <c r="O735" s="33" t="n"/>
      <c r="P735" s="32" t="n"/>
      <c r="Q735" s="33" t="n"/>
      <c r="R735" s="33" t="n"/>
      <c r="S735" s="33" t="n"/>
      <c r="T735" s="33" t="n"/>
      <c r="U735" s="32" t="n"/>
      <c r="V735" s="33" t="n"/>
      <c r="W735" s="33" t="n"/>
      <c r="X735" s="33" t="n"/>
      <c r="Y735" s="33" t="n"/>
      <c r="Z735" s="33" t="n"/>
      <c r="AA735" s="33" t="n"/>
      <c r="AB735" s="33" t="n"/>
      <c r="AC735" s="33" t="n"/>
      <c r="AD735" s="33" t="n"/>
      <c r="AE735" s="33" t="n"/>
      <c r="AF735" s="32" t="n"/>
      <c r="AG735" s="32" t="n"/>
      <c r="AH735" s="32" t="n"/>
      <c r="AI735" s="32" t="n"/>
      <c r="AJ735" s="32" t="n"/>
      <c r="AK735" s="32" t="n"/>
      <c r="AL735" s="32" t="n"/>
      <c r="AM735" s="32" t="n"/>
      <c r="AN735" s="32" t="n"/>
      <c r="AO735" s="32" t="n"/>
      <c r="AP735" s="32" t="n"/>
      <c r="AQ735" s="32" t="n"/>
      <c r="AR735" s="29">
        <f>IF(NOT(COUNTA(A735:AE735)&gt;0),"",IF(A735="","New client","Update"))</f>
        <v/>
      </c>
      <c r="AS735" s="29">
        <f>IF(BA735&lt;&gt;"",BA735,IF(LEN(AZ735)=15,MID(AZ735,3,10),""))</f>
        <v/>
      </c>
      <c r="AT735" s="29">
        <f>IF(BB735="","",BB735&amp;IF(D735="","  (guessed from PAN)",""))</f>
        <v/>
      </c>
      <c r="AU735" s="29">
        <f>IF(AZ735="","",IFERROR(INDEX(Lists!$L$2:$L$38,MATCH(LEFT(AZ735,2),Lists!$K$2:$K$38,0)),"Unknown code"))</f>
        <v/>
      </c>
      <c r="AV735" s="29">
        <f>IF(AZ735="","",IFERROR(IF(NOT(AND(LEN(AZ735)=15,ISNUMBER(MATCH(LEFT(AZ735,2),Lists!$K$2:$K$38,0)),SUMPRODUCT(--ISERROR(FIND(MID(MID(AZ735,3,10),{1,2,3,4,5,10},1),"ABCDEFGHIJKLMNOPQRSTUVWXYZ")))=0,SUMPRODUCT(--ISERROR(FIND(MID(MID(AZ735,3,10),{6,7,8,9},1),"0123456789")))=0,ISNUMBER(FIND(MID(AZ735,13,1),"123456789ABCDEFGHIJKLMNOPQRSTUVWXYZ")),MID(AZ735,14,1)="Z")),"Wrong format",IF(MID("0123456789ABCDEFGHIJKLMNOPQRSTUVWXYZ",MOD(36-MOD(SUMPRODUCT(INT((FIND(MID(AZ735,{1,2,3,4,5,6,7,8,9,10,11,12,13,14},1),"0123456789ABCDEFGHIJKLMNOPQRSTUVWXYZ")-1)*{1,2,1,2,1,2,1,2,1,2,1,2,1,2}/36)+MOD((FIND(MID(AZ735,{1,2,3,4,5,6,7,8,9,10,11,12,13,14},1),"0123456789ABCDEFGHIJKLMNOPQRSTUVWXYZ")-1)*{1,2,1,2,1,2,1,2,1,2,1,2,1,2},36)),36),36)+1,1)=MID(AZ735,15,1),"OK","Typo? check digit wrong")),"Wrong format"))</f>
        <v/>
      </c>
      <c r="AW735" s="29">
        <f>IF(BA735="","",IF(AND(LEN(BA735)=10,SUMPRODUCT(--ISERROR(FIND(MID(BA735,{1,2,3,4,5,10},1),"ABCDEFGHIJKLMNOPQRSTUVWXYZ")))=0,SUMPRODUCT(--ISERROR(FIND(MID(BA735,{6,7,8,9},1),"0123456789")))=0),"OK","Wrong format"))</f>
        <v/>
      </c>
      <c r="AX735" s="29">
        <f>IF(TRIM(H735)="","",IF(AND(LEN(UPPER(TRIM(H735)))=10,SUMPRODUCT(--ISERROR(FIND(MID(UPPER(TRIM(H735)),{1,2,3,4,10},1),"ABCDEFGHIJKLMNOPQRSTUVWXYZ")))=0,SUMPRODUCT(--ISERROR(FIND(MID(UPPER(TRIM(H735)),{5,6,7,8,9},1),"0123456789")))=0),"OK","Wrong format"))</f>
        <v/>
      </c>
      <c r="AY735" s="30">
        <f>IF(NOT(COUNTA(A735:AE735)&gt;0),"",IF(BE735&lt;&gt;"","✖ "&amp;LEFT(BE735,LEN(BE735)-2),IF(BD735&gt;0,"✔ Ready — client + "&amp;BD735&amp;" service(s)","✔ Ready — client only")))</f>
        <v/>
      </c>
      <c r="AZ735" s="31">
        <f>UPPER(SUBSTITUTE(TRIM(F735)," ",""))</f>
        <v/>
      </c>
      <c r="BA735" s="31">
        <f>UPPER(SUBSTITUTE(TRIM(E735)," ",""))</f>
        <v/>
      </c>
      <c r="BB735" s="31">
        <f>IF(D735&lt;&gt;"",D735,IFERROR(VLOOKUP(MID(AS735,4,1),Lists!$E$2:$F$8,2,FALSE),""))</f>
        <v/>
      </c>
      <c r="BC735" s="31">
        <f>IFERROR(VLOOKUP(BB735,Lists!$A$2:$C$12,3,FALSE),"")</f>
        <v/>
      </c>
      <c r="BD735" s="31">
        <f>COUNTIF(W735:AC735,"Yes")</f>
        <v/>
      </c>
      <c r="BE735" s="31">
        <f>IF(TRIM(B735)="","Legal name missing; ","")&amp;IF(AND(AV735&lt;&gt;"",AV735&lt;&gt;"OK"),"GSTIN: "&amp;AV735&amp;"; ","")&amp;IF(AND(AW735&lt;&gt;"",AW735&lt;&gt;"OK"),"PAN wrong format; ","")&amp;IF(AND(BA735&lt;&gt;"",LEN(AZ735)=15,MID(AZ735,3,10)&lt;&gt;BA735),"PAN does not match GSTIN; ","")&amp;IF(AND(AX735&lt;&gt;"",AX735&lt;&gt;"OK"),"TAN wrong format; ","")&amp;IF(AS735="","PAN missing; ","")&amp;IF(BB735="","Entity type missing; ","")&amp;IF(AND(AZ735&lt;&gt;"",COUNTIF($AZ$6:$AZ$1005,AZ735)&gt;1),"GSTIN repeated in this sheet; ","")&amp;IF(AND(AS735&lt;&gt;"",COUNTIF($AS$6:$AS$1005,AS735)&gt;1),"PAN repeated in this sheet (same client? put extra GSTINs in Other GSTINs); ","")&amp;IF(AND(BD735&gt;0,V735=""),"Financial year missing; ","")&amp;IF(AND(BD735=0,V735&lt;&gt;""),"Financial year given but no service is Yes; ","")&amp;IF(AND(W735="Yes",AZ735=""),"GST needs a GSTIN; ","")&amp;IF(AND(W735="Yes",X735=""),"GST return frequency missing; ","")&amp;IF(AND(Y735="Yes",TRIM(H735)=""),"TDS needs a TAN; ","")&amp;IF(AND(AA735="Yes",BC735&lt;&gt;"",BC735&lt;&gt;"company",BC735&lt;&gt;"llp"),"ROC is only for a company / LLP; ","")&amp;IF(AND(AA735="Yes",OR(BC735="company",BC735="llp"),TRIM(I735)=""),"ROC needs the CIN / LLPIN; ","")&amp;IF((TRIM(AF735)="")&lt;&gt;(TRIM(AG735)=""),"GST login needs both user ID and password; ","")&amp;IF((TRIM(AH735)="")&lt;&gt;(TRIM(AI735)=""),"Income-tax login needs both user ID and password; ","")&amp;IF((TRIM(AJ735)="")&lt;&gt;(TRIM(AK735)=""),"Income-tax login needs both user ID and password; ","")&amp;IF((TRIM(AL735)="")&lt;&gt;(TRIM(AM735)=""),"TRACES login needs both user ID and password; ","")&amp;IF((TRIM(AN735)="")&lt;&gt;(TRIM(AO735)=""),"MCA login needs both user ID and password; ","")&amp;IF((TRIM(AP735)="")&lt;&gt;(TRIM(AQ735)=""),"E-way bill login needs both user ID and password; ","")</f>
        <v/>
      </c>
    </row>
    <row r="736">
      <c r="A736" s="32" t="n"/>
      <c r="B736" s="33" t="n"/>
      <c r="C736" s="33" t="n"/>
      <c r="D736" s="33" t="n"/>
      <c r="E736" s="32" t="n"/>
      <c r="F736" s="32" t="n"/>
      <c r="G736" s="32" t="n"/>
      <c r="H736" s="32" t="n"/>
      <c r="I736" s="32" t="n"/>
      <c r="J736" s="34" t="n"/>
      <c r="K736" s="33" t="n"/>
      <c r="L736" s="32" t="n"/>
      <c r="M736" s="33" t="n"/>
      <c r="N736" s="33" t="n"/>
      <c r="O736" s="33" t="n"/>
      <c r="P736" s="32" t="n"/>
      <c r="Q736" s="33" t="n"/>
      <c r="R736" s="33" t="n"/>
      <c r="S736" s="33" t="n"/>
      <c r="T736" s="33" t="n"/>
      <c r="U736" s="32" t="n"/>
      <c r="V736" s="33" t="n"/>
      <c r="W736" s="33" t="n"/>
      <c r="X736" s="33" t="n"/>
      <c r="Y736" s="33" t="n"/>
      <c r="Z736" s="33" t="n"/>
      <c r="AA736" s="33" t="n"/>
      <c r="AB736" s="33" t="n"/>
      <c r="AC736" s="33" t="n"/>
      <c r="AD736" s="33" t="n"/>
      <c r="AE736" s="33" t="n"/>
      <c r="AF736" s="32" t="n"/>
      <c r="AG736" s="32" t="n"/>
      <c r="AH736" s="32" t="n"/>
      <c r="AI736" s="32" t="n"/>
      <c r="AJ736" s="32" t="n"/>
      <c r="AK736" s="32" t="n"/>
      <c r="AL736" s="32" t="n"/>
      <c r="AM736" s="32" t="n"/>
      <c r="AN736" s="32" t="n"/>
      <c r="AO736" s="32" t="n"/>
      <c r="AP736" s="32" t="n"/>
      <c r="AQ736" s="32" t="n"/>
      <c r="AR736" s="29">
        <f>IF(NOT(COUNTA(A736:AE736)&gt;0),"",IF(A736="","New client","Update"))</f>
        <v/>
      </c>
      <c r="AS736" s="29">
        <f>IF(BA736&lt;&gt;"",BA736,IF(LEN(AZ736)=15,MID(AZ736,3,10),""))</f>
        <v/>
      </c>
      <c r="AT736" s="29">
        <f>IF(BB736="","",BB736&amp;IF(D736="","  (guessed from PAN)",""))</f>
        <v/>
      </c>
      <c r="AU736" s="29">
        <f>IF(AZ736="","",IFERROR(INDEX(Lists!$L$2:$L$38,MATCH(LEFT(AZ736,2),Lists!$K$2:$K$38,0)),"Unknown code"))</f>
        <v/>
      </c>
      <c r="AV736" s="29">
        <f>IF(AZ736="","",IFERROR(IF(NOT(AND(LEN(AZ736)=15,ISNUMBER(MATCH(LEFT(AZ736,2),Lists!$K$2:$K$38,0)),SUMPRODUCT(--ISERROR(FIND(MID(MID(AZ736,3,10),{1,2,3,4,5,10},1),"ABCDEFGHIJKLMNOPQRSTUVWXYZ")))=0,SUMPRODUCT(--ISERROR(FIND(MID(MID(AZ736,3,10),{6,7,8,9},1),"0123456789")))=0,ISNUMBER(FIND(MID(AZ736,13,1),"123456789ABCDEFGHIJKLMNOPQRSTUVWXYZ")),MID(AZ736,14,1)="Z")),"Wrong format",IF(MID("0123456789ABCDEFGHIJKLMNOPQRSTUVWXYZ",MOD(36-MOD(SUMPRODUCT(INT((FIND(MID(AZ736,{1,2,3,4,5,6,7,8,9,10,11,12,13,14},1),"0123456789ABCDEFGHIJKLMNOPQRSTUVWXYZ")-1)*{1,2,1,2,1,2,1,2,1,2,1,2,1,2}/36)+MOD((FIND(MID(AZ736,{1,2,3,4,5,6,7,8,9,10,11,12,13,14},1),"0123456789ABCDEFGHIJKLMNOPQRSTUVWXYZ")-1)*{1,2,1,2,1,2,1,2,1,2,1,2,1,2},36)),36),36)+1,1)=MID(AZ736,15,1),"OK","Typo? check digit wrong")),"Wrong format"))</f>
        <v/>
      </c>
      <c r="AW736" s="29">
        <f>IF(BA736="","",IF(AND(LEN(BA736)=10,SUMPRODUCT(--ISERROR(FIND(MID(BA736,{1,2,3,4,5,10},1),"ABCDEFGHIJKLMNOPQRSTUVWXYZ")))=0,SUMPRODUCT(--ISERROR(FIND(MID(BA736,{6,7,8,9},1),"0123456789")))=0),"OK","Wrong format"))</f>
        <v/>
      </c>
      <c r="AX736" s="29">
        <f>IF(TRIM(H736)="","",IF(AND(LEN(UPPER(TRIM(H736)))=10,SUMPRODUCT(--ISERROR(FIND(MID(UPPER(TRIM(H736)),{1,2,3,4,10},1),"ABCDEFGHIJKLMNOPQRSTUVWXYZ")))=0,SUMPRODUCT(--ISERROR(FIND(MID(UPPER(TRIM(H736)),{5,6,7,8,9},1),"0123456789")))=0),"OK","Wrong format"))</f>
        <v/>
      </c>
      <c r="AY736" s="30">
        <f>IF(NOT(COUNTA(A736:AE736)&gt;0),"",IF(BE736&lt;&gt;"","✖ "&amp;LEFT(BE736,LEN(BE736)-2),IF(BD736&gt;0,"✔ Ready — client + "&amp;BD736&amp;" service(s)","✔ Ready — client only")))</f>
        <v/>
      </c>
      <c r="AZ736" s="31">
        <f>UPPER(SUBSTITUTE(TRIM(F736)," ",""))</f>
        <v/>
      </c>
      <c r="BA736" s="31">
        <f>UPPER(SUBSTITUTE(TRIM(E736)," ",""))</f>
        <v/>
      </c>
      <c r="BB736" s="31">
        <f>IF(D736&lt;&gt;"",D736,IFERROR(VLOOKUP(MID(AS736,4,1),Lists!$E$2:$F$8,2,FALSE),""))</f>
        <v/>
      </c>
      <c r="BC736" s="31">
        <f>IFERROR(VLOOKUP(BB736,Lists!$A$2:$C$12,3,FALSE),"")</f>
        <v/>
      </c>
      <c r="BD736" s="31">
        <f>COUNTIF(W736:AC736,"Yes")</f>
        <v/>
      </c>
      <c r="BE736" s="31">
        <f>IF(TRIM(B736)="","Legal name missing; ","")&amp;IF(AND(AV736&lt;&gt;"",AV736&lt;&gt;"OK"),"GSTIN: "&amp;AV736&amp;"; ","")&amp;IF(AND(AW736&lt;&gt;"",AW736&lt;&gt;"OK"),"PAN wrong format; ","")&amp;IF(AND(BA736&lt;&gt;"",LEN(AZ736)=15,MID(AZ736,3,10)&lt;&gt;BA736),"PAN does not match GSTIN; ","")&amp;IF(AND(AX736&lt;&gt;"",AX736&lt;&gt;"OK"),"TAN wrong format; ","")&amp;IF(AS736="","PAN missing; ","")&amp;IF(BB736="","Entity type missing; ","")&amp;IF(AND(AZ736&lt;&gt;"",COUNTIF($AZ$6:$AZ$1005,AZ736)&gt;1),"GSTIN repeated in this sheet; ","")&amp;IF(AND(AS736&lt;&gt;"",COUNTIF($AS$6:$AS$1005,AS736)&gt;1),"PAN repeated in this sheet (same client? put extra GSTINs in Other GSTINs); ","")&amp;IF(AND(BD736&gt;0,V736=""),"Financial year missing; ","")&amp;IF(AND(BD736=0,V736&lt;&gt;""),"Financial year given but no service is Yes; ","")&amp;IF(AND(W736="Yes",AZ736=""),"GST needs a GSTIN; ","")&amp;IF(AND(W736="Yes",X736=""),"GST return frequency missing; ","")&amp;IF(AND(Y736="Yes",TRIM(H736)=""),"TDS needs a TAN; ","")&amp;IF(AND(AA736="Yes",BC736&lt;&gt;"",BC736&lt;&gt;"company",BC736&lt;&gt;"llp"),"ROC is only for a company / LLP; ","")&amp;IF(AND(AA736="Yes",OR(BC736="company",BC736="llp"),TRIM(I736)=""),"ROC needs the CIN / LLPIN; ","")&amp;IF((TRIM(AF736)="")&lt;&gt;(TRIM(AG736)=""),"GST login needs both user ID and password; ","")&amp;IF((TRIM(AH736)="")&lt;&gt;(TRIM(AI736)=""),"Income-tax login needs both user ID and password; ","")&amp;IF((TRIM(AJ736)="")&lt;&gt;(TRIM(AK736)=""),"Income-tax login needs both user ID and password; ","")&amp;IF((TRIM(AL736)="")&lt;&gt;(TRIM(AM736)=""),"TRACES login needs both user ID and password; ","")&amp;IF((TRIM(AN736)="")&lt;&gt;(TRIM(AO736)=""),"MCA login needs both user ID and password; ","")&amp;IF((TRIM(AP736)="")&lt;&gt;(TRIM(AQ736)=""),"E-way bill login needs both user ID and password; ","")</f>
        <v/>
      </c>
    </row>
    <row r="737">
      <c r="A737" s="32" t="n"/>
      <c r="B737" s="33" t="n"/>
      <c r="C737" s="33" t="n"/>
      <c r="D737" s="33" t="n"/>
      <c r="E737" s="32" t="n"/>
      <c r="F737" s="32" t="n"/>
      <c r="G737" s="32" t="n"/>
      <c r="H737" s="32" t="n"/>
      <c r="I737" s="32" t="n"/>
      <c r="J737" s="34" t="n"/>
      <c r="K737" s="33" t="n"/>
      <c r="L737" s="32" t="n"/>
      <c r="M737" s="33" t="n"/>
      <c r="N737" s="33" t="n"/>
      <c r="O737" s="33" t="n"/>
      <c r="P737" s="32" t="n"/>
      <c r="Q737" s="33" t="n"/>
      <c r="R737" s="33" t="n"/>
      <c r="S737" s="33" t="n"/>
      <c r="T737" s="33" t="n"/>
      <c r="U737" s="32" t="n"/>
      <c r="V737" s="33" t="n"/>
      <c r="W737" s="33" t="n"/>
      <c r="X737" s="33" t="n"/>
      <c r="Y737" s="33" t="n"/>
      <c r="Z737" s="33" t="n"/>
      <c r="AA737" s="33" t="n"/>
      <c r="AB737" s="33" t="n"/>
      <c r="AC737" s="33" t="n"/>
      <c r="AD737" s="33" t="n"/>
      <c r="AE737" s="33" t="n"/>
      <c r="AF737" s="32" t="n"/>
      <c r="AG737" s="32" t="n"/>
      <c r="AH737" s="32" t="n"/>
      <c r="AI737" s="32" t="n"/>
      <c r="AJ737" s="32" t="n"/>
      <c r="AK737" s="32" t="n"/>
      <c r="AL737" s="32" t="n"/>
      <c r="AM737" s="32" t="n"/>
      <c r="AN737" s="32" t="n"/>
      <c r="AO737" s="32" t="n"/>
      <c r="AP737" s="32" t="n"/>
      <c r="AQ737" s="32" t="n"/>
      <c r="AR737" s="29">
        <f>IF(NOT(COUNTA(A737:AE737)&gt;0),"",IF(A737="","New client","Update"))</f>
        <v/>
      </c>
      <c r="AS737" s="29">
        <f>IF(BA737&lt;&gt;"",BA737,IF(LEN(AZ737)=15,MID(AZ737,3,10),""))</f>
        <v/>
      </c>
      <c r="AT737" s="29">
        <f>IF(BB737="","",BB737&amp;IF(D737="","  (guessed from PAN)",""))</f>
        <v/>
      </c>
      <c r="AU737" s="29">
        <f>IF(AZ737="","",IFERROR(INDEX(Lists!$L$2:$L$38,MATCH(LEFT(AZ737,2),Lists!$K$2:$K$38,0)),"Unknown code"))</f>
        <v/>
      </c>
      <c r="AV737" s="29">
        <f>IF(AZ737="","",IFERROR(IF(NOT(AND(LEN(AZ737)=15,ISNUMBER(MATCH(LEFT(AZ737,2),Lists!$K$2:$K$38,0)),SUMPRODUCT(--ISERROR(FIND(MID(MID(AZ737,3,10),{1,2,3,4,5,10},1),"ABCDEFGHIJKLMNOPQRSTUVWXYZ")))=0,SUMPRODUCT(--ISERROR(FIND(MID(MID(AZ737,3,10),{6,7,8,9},1),"0123456789")))=0,ISNUMBER(FIND(MID(AZ737,13,1),"123456789ABCDEFGHIJKLMNOPQRSTUVWXYZ")),MID(AZ737,14,1)="Z")),"Wrong format",IF(MID("0123456789ABCDEFGHIJKLMNOPQRSTUVWXYZ",MOD(36-MOD(SUMPRODUCT(INT((FIND(MID(AZ737,{1,2,3,4,5,6,7,8,9,10,11,12,13,14},1),"0123456789ABCDEFGHIJKLMNOPQRSTUVWXYZ")-1)*{1,2,1,2,1,2,1,2,1,2,1,2,1,2}/36)+MOD((FIND(MID(AZ737,{1,2,3,4,5,6,7,8,9,10,11,12,13,14},1),"0123456789ABCDEFGHIJKLMNOPQRSTUVWXYZ")-1)*{1,2,1,2,1,2,1,2,1,2,1,2,1,2},36)),36),36)+1,1)=MID(AZ737,15,1),"OK","Typo? check digit wrong")),"Wrong format"))</f>
        <v/>
      </c>
      <c r="AW737" s="29">
        <f>IF(BA737="","",IF(AND(LEN(BA737)=10,SUMPRODUCT(--ISERROR(FIND(MID(BA737,{1,2,3,4,5,10},1),"ABCDEFGHIJKLMNOPQRSTUVWXYZ")))=0,SUMPRODUCT(--ISERROR(FIND(MID(BA737,{6,7,8,9},1),"0123456789")))=0),"OK","Wrong format"))</f>
        <v/>
      </c>
      <c r="AX737" s="29">
        <f>IF(TRIM(H737)="","",IF(AND(LEN(UPPER(TRIM(H737)))=10,SUMPRODUCT(--ISERROR(FIND(MID(UPPER(TRIM(H737)),{1,2,3,4,10},1),"ABCDEFGHIJKLMNOPQRSTUVWXYZ")))=0,SUMPRODUCT(--ISERROR(FIND(MID(UPPER(TRIM(H737)),{5,6,7,8,9},1),"0123456789")))=0),"OK","Wrong format"))</f>
        <v/>
      </c>
      <c r="AY737" s="30">
        <f>IF(NOT(COUNTA(A737:AE737)&gt;0),"",IF(BE737&lt;&gt;"","✖ "&amp;LEFT(BE737,LEN(BE737)-2),IF(BD737&gt;0,"✔ Ready — client + "&amp;BD737&amp;" service(s)","✔ Ready — client only")))</f>
        <v/>
      </c>
      <c r="AZ737" s="31">
        <f>UPPER(SUBSTITUTE(TRIM(F737)," ",""))</f>
        <v/>
      </c>
      <c r="BA737" s="31">
        <f>UPPER(SUBSTITUTE(TRIM(E737)," ",""))</f>
        <v/>
      </c>
      <c r="BB737" s="31">
        <f>IF(D737&lt;&gt;"",D737,IFERROR(VLOOKUP(MID(AS737,4,1),Lists!$E$2:$F$8,2,FALSE),""))</f>
        <v/>
      </c>
      <c r="BC737" s="31">
        <f>IFERROR(VLOOKUP(BB737,Lists!$A$2:$C$12,3,FALSE),"")</f>
        <v/>
      </c>
      <c r="BD737" s="31">
        <f>COUNTIF(W737:AC737,"Yes")</f>
        <v/>
      </c>
      <c r="BE737" s="31">
        <f>IF(TRIM(B737)="","Legal name missing; ","")&amp;IF(AND(AV737&lt;&gt;"",AV737&lt;&gt;"OK"),"GSTIN: "&amp;AV737&amp;"; ","")&amp;IF(AND(AW737&lt;&gt;"",AW737&lt;&gt;"OK"),"PAN wrong format; ","")&amp;IF(AND(BA737&lt;&gt;"",LEN(AZ737)=15,MID(AZ737,3,10)&lt;&gt;BA737),"PAN does not match GSTIN; ","")&amp;IF(AND(AX737&lt;&gt;"",AX737&lt;&gt;"OK"),"TAN wrong format; ","")&amp;IF(AS737="","PAN missing; ","")&amp;IF(BB737="","Entity type missing; ","")&amp;IF(AND(AZ737&lt;&gt;"",COUNTIF($AZ$6:$AZ$1005,AZ737)&gt;1),"GSTIN repeated in this sheet; ","")&amp;IF(AND(AS737&lt;&gt;"",COUNTIF($AS$6:$AS$1005,AS737)&gt;1),"PAN repeated in this sheet (same client? put extra GSTINs in Other GSTINs); ","")&amp;IF(AND(BD737&gt;0,V737=""),"Financial year missing; ","")&amp;IF(AND(BD737=0,V737&lt;&gt;""),"Financial year given but no service is Yes; ","")&amp;IF(AND(W737="Yes",AZ737=""),"GST needs a GSTIN; ","")&amp;IF(AND(W737="Yes",X737=""),"GST return frequency missing; ","")&amp;IF(AND(Y737="Yes",TRIM(H737)=""),"TDS needs a TAN; ","")&amp;IF(AND(AA737="Yes",BC737&lt;&gt;"",BC737&lt;&gt;"company",BC737&lt;&gt;"llp"),"ROC is only for a company / LLP; ","")&amp;IF(AND(AA737="Yes",OR(BC737="company",BC737="llp"),TRIM(I737)=""),"ROC needs the CIN / LLPIN; ","")&amp;IF((TRIM(AF737)="")&lt;&gt;(TRIM(AG737)=""),"GST login needs both user ID and password; ","")&amp;IF((TRIM(AH737)="")&lt;&gt;(TRIM(AI737)=""),"Income-tax login needs both user ID and password; ","")&amp;IF((TRIM(AJ737)="")&lt;&gt;(TRIM(AK737)=""),"Income-tax login needs both user ID and password; ","")&amp;IF((TRIM(AL737)="")&lt;&gt;(TRIM(AM737)=""),"TRACES login needs both user ID and password; ","")&amp;IF((TRIM(AN737)="")&lt;&gt;(TRIM(AO737)=""),"MCA login needs both user ID and password; ","")&amp;IF((TRIM(AP737)="")&lt;&gt;(TRIM(AQ737)=""),"E-way bill login needs both user ID and password; ","")</f>
        <v/>
      </c>
    </row>
    <row r="738">
      <c r="A738" s="32" t="n"/>
      <c r="B738" s="33" t="n"/>
      <c r="C738" s="33" t="n"/>
      <c r="D738" s="33" t="n"/>
      <c r="E738" s="32" t="n"/>
      <c r="F738" s="32" t="n"/>
      <c r="G738" s="32" t="n"/>
      <c r="H738" s="32" t="n"/>
      <c r="I738" s="32" t="n"/>
      <c r="J738" s="34" t="n"/>
      <c r="K738" s="33" t="n"/>
      <c r="L738" s="32" t="n"/>
      <c r="M738" s="33" t="n"/>
      <c r="N738" s="33" t="n"/>
      <c r="O738" s="33" t="n"/>
      <c r="P738" s="32" t="n"/>
      <c r="Q738" s="33" t="n"/>
      <c r="R738" s="33" t="n"/>
      <c r="S738" s="33" t="n"/>
      <c r="T738" s="33" t="n"/>
      <c r="U738" s="32" t="n"/>
      <c r="V738" s="33" t="n"/>
      <c r="W738" s="33" t="n"/>
      <c r="X738" s="33" t="n"/>
      <c r="Y738" s="33" t="n"/>
      <c r="Z738" s="33" t="n"/>
      <c r="AA738" s="33" t="n"/>
      <c r="AB738" s="33" t="n"/>
      <c r="AC738" s="33" t="n"/>
      <c r="AD738" s="33" t="n"/>
      <c r="AE738" s="33" t="n"/>
      <c r="AF738" s="32" t="n"/>
      <c r="AG738" s="32" t="n"/>
      <c r="AH738" s="32" t="n"/>
      <c r="AI738" s="32" t="n"/>
      <c r="AJ738" s="32" t="n"/>
      <c r="AK738" s="32" t="n"/>
      <c r="AL738" s="32" t="n"/>
      <c r="AM738" s="32" t="n"/>
      <c r="AN738" s="32" t="n"/>
      <c r="AO738" s="32" t="n"/>
      <c r="AP738" s="32" t="n"/>
      <c r="AQ738" s="32" t="n"/>
      <c r="AR738" s="29">
        <f>IF(NOT(COUNTA(A738:AE738)&gt;0),"",IF(A738="","New client","Update"))</f>
        <v/>
      </c>
      <c r="AS738" s="29">
        <f>IF(BA738&lt;&gt;"",BA738,IF(LEN(AZ738)=15,MID(AZ738,3,10),""))</f>
        <v/>
      </c>
      <c r="AT738" s="29">
        <f>IF(BB738="","",BB738&amp;IF(D738="","  (guessed from PAN)",""))</f>
        <v/>
      </c>
      <c r="AU738" s="29">
        <f>IF(AZ738="","",IFERROR(INDEX(Lists!$L$2:$L$38,MATCH(LEFT(AZ738,2),Lists!$K$2:$K$38,0)),"Unknown code"))</f>
        <v/>
      </c>
      <c r="AV738" s="29">
        <f>IF(AZ738="","",IFERROR(IF(NOT(AND(LEN(AZ738)=15,ISNUMBER(MATCH(LEFT(AZ738,2),Lists!$K$2:$K$38,0)),SUMPRODUCT(--ISERROR(FIND(MID(MID(AZ738,3,10),{1,2,3,4,5,10},1),"ABCDEFGHIJKLMNOPQRSTUVWXYZ")))=0,SUMPRODUCT(--ISERROR(FIND(MID(MID(AZ738,3,10),{6,7,8,9},1),"0123456789")))=0,ISNUMBER(FIND(MID(AZ738,13,1),"123456789ABCDEFGHIJKLMNOPQRSTUVWXYZ")),MID(AZ738,14,1)="Z")),"Wrong format",IF(MID("0123456789ABCDEFGHIJKLMNOPQRSTUVWXYZ",MOD(36-MOD(SUMPRODUCT(INT((FIND(MID(AZ738,{1,2,3,4,5,6,7,8,9,10,11,12,13,14},1),"0123456789ABCDEFGHIJKLMNOPQRSTUVWXYZ")-1)*{1,2,1,2,1,2,1,2,1,2,1,2,1,2}/36)+MOD((FIND(MID(AZ738,{1,2,3,4,5,6,7,8,9,10,11,12,13,14},1),"0123456789ABCDEFGHIJKLMNOPQRSTUVWXYZ")-1)*{1,2,1,2,1,2,1,2,1,2,1,2,1,2},36)),36),36)+1,1)=MID(AZ738,15,1),"OK","Typo? check digit wrong")),"Wrong format"))</f>
        <v/>
      </c>
      <c r="AW738" s="29">
        <f>IF(BA738="","",IF(AND(LEN(BA738)=10,SUMPRODUCT(--ISERROR(FIND(MID(BA738,{1,2,3,4,5,10},1),"ABCDEFGHIJKLMNOPQRSTUVWXYZ")))=0,SUMPRODUCT(--ISERROR(FIND(MID(BA738,{6,7,8,9},1),"0123456789")))=0),"OK","Wrong format"))</f>
        <v/>
      </c>
      <c r="AX738" s="29">
        <f>IF(TRIM(H738)="","",IF(AND(LEN(UPPER(TRIM(H738)))=10,SUMPRODUCT(--ISERROR(FIND(MID(UPPER(TRIM(H738)),{1,2,3,4,10},1),"ABCDEFGHIJKLMNOPQRSTUVWXYZ")))=0,SUMPRODUCT(--ISERROR(FIND(MID(UPPER(TRIM(H738)),{5,6,7,8,9},1),"0123456789")))=0),"OK","Wrong format"))</f>
        <v/>
      </c>
      <c r="AY738" s="30">
        <f>IF(NOT(COUNTA(A738:AE738)&gt;0),"",IF(BE738&lt;&gt;"","✖ "&amp;LEFT(BE738,LEN(BE738)-2),IF(BD738&gt;0,"✔ Ready — client + "&amp;BD738&amp;" service(s)","✔ Ready — client only")))</f>
        <v/>
      </c>
      <c r="AZ738" s="31">
        <f>UPPER(SUBSTITUTE(TRIM(F738)," ",""))</f>
        <v/>
      </c>
      <c r="BA738" s="31">
        <f>UPPER(SUBSTITUTE(TRIM(E738)," ",""))</f>
        <v/>
      </c>
      <c r="BB738" s="31">
        <f>IF(D738&lt;&gt;"",D738,IFERROR(VLOOKUP(MID(AS738,4,1),Lists!$E$2:$F$8,2,FALSE),""))</f>
        <v/>
      </c>
      <c r="BC738" s="31">
        <f>IFERROR(VLOOKUP(BB738,Lists!$A$2:$C$12,3,FALSE),"")</f>
        <v/>
      </c>
      <c r="BD738" s="31">
        <f>COUNTIF(W738:AC738,"Yes")</f>
        <v/>
      </c>
      <c r="BE738" s="31">
        <f>IF(TRIM(B738)="","Legal name missing; ","")&amp;IF(AND(AV738&lt;&gt;"",AV738&lt;&gt;"OK"),"GSTIN: "&amp;AV738&amp;"; ","")&amp;IF(AND(AW738&lt;&gt;"",AW738&lt;&gt;"OK"),"PAN wrong format; ","")&amp;IF(AND(BA738&lt;&gt;"",LEN(AZ738)=15,MID(AZ738,3,10)&lt;&gt;BA738),"PAN does not match GSTIN; ","")&amp;IF(AND(AX738&lt;&gt;"",AX738&lt;&gt;"OK"),"TAN wrong format; ","")&amp;IF(AS738="","PAN missing; ","")&amp;IF(BB738="","Entity type missing; ","")&amp;IF(AND(AZ738&lt;&gt;"",COUNTIF($AZ$6:$AZ$1005,AZ738)&gt;1),"GSTIN repeated in this sheet; ","")&amp;IF(AND(AS738&lt;&gt;"",COUNTIF($AS$6:$AS$1005,AS738)&gt;1),"PAN repeated in this sheet (same client? put extra GSTINs in Other GSTINs); ","")&amp;IF(AND(BD738&gt;0,V738=""),"Financial year missing; ","")&amp;IF(AND(BD738=0,V738&lt;&gt;""),"Financial year given but no service is Yes; ","")&amp;IF(AND(W738="Yes",AZ738=""),"GST needs a GSTIN; ","")&amp;IF(AND(W738="Yes",X738=""),"GST return frequency missing; ","")&amp;IF(AND(Y738="Yes",TRIM(H738)=""),"TDS needs a TAN; ","")&amp;IF(AND(AA738="Yes",BC738&lt;&gt;"",BC738&lt;&gt;"company",BC738&lt;&gt;"llp"),"ROC is only for a company / LLP; ","")&amp;IF(AND(AA738="Yes",OR(BC738="company",BC738="llp"),TRIM(I738)=""),"ROC needs the CIN / LLPIN; ","")&amp;IF((TRIM(AF738)="")&lt;&gt;(TRIM(AG738)=""),"GST login needs both user ID and password; ","")&amp;IF((TRIM(AH738)="")&lt;&gt;(TRIM(AI738)=""),"Income-tax login needs both user ID and password; ","")&amp;IF((TRIM(AJ738)="")&lt;&gt;(TRIM(AK738)=""),"Income-tax login needs both user ID and password; ","")&amp;IF((TRIM(AL738)="")&lt;&gt;(TRIM(AM738)=""),"TRACES login needs both user ID and password; ","")&amp;IF((TRIM(AN738)="")&lt;&gt;(TRIM(AO738)=""),"MCA login needs both user ID and password; ","")&amp;IF((TRIM(AP738)="")&lt;&gt;(TRIM(AQ738)=""),"E-way bill login needs both user ID and password; ","")</f>
        <v/>
      </c>
    </row>
    <row r="739">
      <c r="A739" s="32" t="n"/>
      <c r="B739" s="33" t="n"/>
      <c r="C739" s="33" t="n"/>
      <c r="D739" s="33" t="n"/>
      <c r="E739" s="32" t="n"/>
      <c r="F739" s="32" t="n"/>
      <c r="G739" s="32" t="n"/>
      <c r="H739" s="32" t="n"/>
      <c r="I739" s="32" t="n"/>
      <c r="J739" s="34" t="n"/>
      <c r="K739" s="33" t="n"/>
      <c r="L739" s="32" t="n"/>
      <c r="M739" s="33" t="n"/>
      <c r="N739" s="33" t="n"/>
      <c r="O739" s="33" t="n"/>
      <c r="P739" s="32" t="n"/>
      <c r="Q739" s="33" t="n"/>
      <c r="R739" s="33" t="n"/>
      <c r="S739" s="33" t="n"/>
      <c r="T739" s="33" t="n"/>
      <c r="U739" s="32" t="n"/>
      <c r="V739" s="33" t="n"/>
      <c r="W739" s="33" t="n"/>
      <c r="X739" s="33" t="n"/>
      <c r="Y739" s="33" t="n"/>
      <c r="Z739" s="33" t="n"/>
      <c r="AA739" s="33" t="n"/>
      <c r="AB739" s="33" t="n"/>
      <c r="AC739" s="33" t="n"/>
      <c r="AD739" s="33" t="n"/>
      <c r="AE739" s="33" t="n"/>
      <c r="AF739" s="32" t="n"/>
      <c r="AG739" s="32" t="n"/>
      <c r="AH739" s="32" t="n"/>
      <c r="AI739" s="32" t="n"/>
      <c r="AJ739" s="32" t="n"/>
      <c r="AK739" s="32" t="n"/>
      <c r="AL739" s="32" t="n"/>
      <c r="AM739" s="32" t="n"/>
      <c r="AN739" s="32" t="n"/>
      <c r="AO739" s="32" t="n"/>
      <c r="AP739" s="32" t="n"/>
      <c r="AQ739" s="32" t="n"/>
      <c r="AR739" s="29">
        <f>IF(NOT(COUNTA(A739:AE739)&gt;0),"",IF(A739="","New client","Update"))</f>
        <v/>
      </c>
      <c r="AS739" s="29">
        <f>IF(BA739&lt;&gt;"",BA739,IF(LEN(AZ739)=15,MID(AZ739,3,10),""))</f>
        <v/>
      </c>
      <c r="AT739" s="29">
        <f>IF(BB739="","",BB739&amp;IF(D739="","  (guessed from PAN)",""))</f>
        <v/>
      </c>
      <c r="AU739" s="29">
        <f>IF(AZ739="","",IFERROR(INDEX(Lists!$L$2:$L$38,MATCH(LEFT(AZ739,2),Lists!$K$2:$K$38,0)),"Unknown code"))</f>
        <v/>
      </c>
      <c r="AV739" s="29">
        <f>IF(AZ739="","",IFERROR(IF(NOT(AND(LEN(AZ739)=15,ISNUMBER(MATCH(LEFT(AZ739,2),Lists!$K$2:$K$38,0)),SUMPRODUCT(--ISERROR(FIND(MID(MID(AZ739,3,10),{1,2,3,4,5,10},1),"ABCDEFGHIJKLMNOPQRSTUVWXYZ")))=0,SUMPRODUCT(--ISERROR(FIND(MID(MID(AZ739,3,10),{6,7,8,9},1),"0123456789")))=0,ISNUMBER(FIND(MID(AZ739,13,1),"123456789ABCDEFGHIJKLMNOPQRSTUVWXYZ")),MID(AZ739,14,1)="Z")),"Wrong format",IF(MID("0123456789ABCDEFGHIJKLMNOPQRSTUVWXYZ",MOD(36-MOD(SUMPRODUCT(INT((FIND(MID(AZ739,{1,2,3,4,5,6,7,8,9,10,11,12,13,14},1),"0123456789ABCDEFGHIJKLMNOPQRSTUVWXYZ")-1)*{1,2,1,2,1,2,1,2,1,2,1,2,1,2}/36)+MOD((FIND(MID(AZ739,{1,2,3,4,5,6,7,8,9,10,11,12,13,14},1),"0123456789ABCDEFGHIJKLMNOPQRSTUVWXYZ")-1)*{1,2,1,2,1,2,1,2,1,2,1,2,1,2},36)),36),36)+1,1)=MID(AZ739,15,1),"OK","Typo? check digit wrong")),"Wrong format"))</f>
        <v/>
      </c>
      <c r="AW739" s="29">
        <f>IF(BA739="","",IF(AND(LEN(BA739)=10,SUMPRODUCT(--ISERROR(FIND(MID(BA739,{1,2,3,4,5,10},1),"ABCDEFGHIJKLMNOPQRSTUVWXYZ")))=0,SUMPRODUCT(--ISERROR(FIND(MID(BA739,{6,7,8,9},1),"0123456789")))=0),"OK","Wrong format"))</f>
        <v/>
      </c>
      <c r="AX739" s="29">
        <f>IF(TRIM(H739)="","",IF(AND(LEN(UPPER(TRIM(H739)))=10,SUMPRODUCT(--ISERROR(FIND(MID(UPPER(TRIM(H739)),{1,2,3,4,10},1),"ABCDEFGHIJKLMNOPQRSTUVWXYZ")))=0,SUMPRODUCT(--ISERROR(FIND(MID(UPPER(TRIM(H739)),{5,6,7,8,9},1),"0123456789")))=0),"OK","Wrong format"))</f>
        <v/>
      </c>
      <c r="AY739" s="30">
        <f>IF(NOT(COUNTA(A739:AE739)&gt;0),"",IF(BE739&lt;&gt;"","✖ "&amp;LEFT(BE739,LEN(BE739)-2),IF(BD739&gt;0,"✔ Ready — client + "&amp;BD739&amp;" service(s)","✔ Ready — client only")))</f>
        <v/>
      </c>
      <c r="AZ739" s="31">
        <f>UPPER(SUBSTITUTE(TRIM(F739)," ",""))</f>
        <v/>
      </c>
      <c r="BA739" s="31">
        <f>UPPER(SUBSTITUTE(TRIM(E739)," ",""))</f>
        <v/>
      </c>
      <c r="BB739" s="31">
        <f>IF(D739&lt;&gt;"",D739,IFERROR(VLOOKUP(MID(AS739,4,1),Lists!$E$2:$F$8,2,FALSE),""))</f>
        <v/>
      </c>
      <c r="BC739" s="31">
        <f>IFERROR(VLOOKUP(BB739,Lists!$A$2:$C$12,3,FALSE),"")</f>
        <v/>
      </c>
      <c r="BD739" s="31">
        <f>COUNTIF(W739:AC739,"Yes")</f>
        <v/>
      </c>
      <c r="BE739" s="31">
        <f>IF(TRIM(B739)="","Legal name missing; ","")&amp;IF(AND(AV739&lt;&gt;"",AV739&lt;&gt;"OK"),"GSTIN: "&amp;AV739&amp;"; ","")&amp;IF(AND(AW739&lt;&gt;"",AW739&lt;&gt;"OK"),"PAN wrong format; ","")&amp;IF(AND(BA739&lt;&gt;"",LEN(AZ739)=15,MID(AZ739,3,10)&lt;&gt;BA739),"PAN does not match GSTIN; ","")&amp;IF(AND(AX739&lt;&gt;"",AX739&lt;&gt;"OK"),"TAN wrong format; ","")&amp;IF(AS739="","PAN missing; ","")&amp;IF(BB739="","Entity type missing; ","")&amp;IF(AND(AZ739&lt;&gt;"",COUNTIF($AZ$6:$AZ$1005,AZ739)&gt;1),"GSTIN repeated in this sheet; ","")&amp;IF(AND(AS739&lt;&gt;"",COUNTIF($AS$6:$AS$1005,AS739)&gt;1),"PAN repeated in this sheet (same client? put extra GSTINs in Other GSTINs); ","")&amp;IF(AND(BD739&gt;0,V739=""),"Financial year missing; ","")&amp;IF(AND(BD739=0,V739&lt;&gt;""),"Financial year given but no service is Yes; ","")&amp;IF(AND(W739="Yes",AZ739=""),"GST needs a GSTIN; ","")&amp;IF(AND(W739="Yes",X739=""),"GST return frequency missing; ","")&amp;IF(AND(Y739="Yes",TRIM(H739)=""),"TDS needs a TAN; ","")&amp;IF(AND(AA739="Yes",BC739&lt;&gt;"",BC739&lt;&gt;"company",BC739&lt;&gt;"llp"),"ROC is only for a company / LLP; ","")&amp;IF(AND(AA739="Yes",OR(BC739="company",BC739="llp"),TRIM(I739)=""),"ROC needs the CIN / LLPIN; ","")&amp;IF((TRIM(AF739)="")&lt;&gt;(TRIM(AG739)=""),"GST login needs both user ID and password; ","")&amp;IF((TRIM(AH739)="")&lt;&gt;(TRIM(AI739)=""),"Income-tax login needs both user ID and password; ","")&amp;IF((TRIM(AJ739)="")&lt;&gt;(TRIM(AK739)=""),"Income-tax login needs both user ID and password; ","")&amp;IF((TRIM(AL739)="")&lt;&gt;(TRIM(AM739)=""),"TRACES login needs both user ID and password; ","")&amp;IF((TRIM(AN739)="")&lt;&gt;(TRIM(AO739)=""),"MCA login needs both user ID and password; ","")&amp;IF((TRIM(AP739)="")&lt;&gt;(TRIM(AQ739)=""),"E-way bill login needs both user ID and password; ","")</f>
        <v/>
      </c>
    </row>
    <row r="740">
      <c r="A740" s="32" t="n"/>
      <c r="B740" s="33" t="n"/>
      <c r="C740" s="33" t="n"/>
      <c r="D740" s="33" t="n"/>
      <c r="E740" s="32" t="n"/>
      <c r="F740" s="32" t="n"/>
      <c r="G740" s="32" t="n"/>
      <c r="H740" s="32" t="n"/>
      <c r="I740" s="32" t="n"/>
      <c r="J740" s="34" t="n"/>
      <c r="K740" s="33" t="n"/>
      <c r="L740" s="32" t="n"/>
      <c r="M740" s="33" t="n"/>
      <c r="N740" s="33" t="n"/>
      <c r="O740" s="33" t="n"/>
      <c r="P740" s="32" t="n"/>
      <c r="Q740" s="33" t="n"/>
      <c r="R740" s="33" t="n"/>
      <c r="S740" s="33" t="n"/>
      <c r="T740" s="33" t="n"/>
      <c r="U740" s="32" t="n"/>
      <c r="V740" s="33" t="n"/>
      <c r="W740" s="33" t="n"/>
      <c r="X740" s="33" t="n"/>
      <c r="Y740" s="33" t="n"/>
      <c r="Z740" s="33" t="n"/>
      <c r="AA740" s="33" t="n"/>
      <c r="AB740" s="33" t="n"/>
      <c r="AC740" s="33" t="n"/>
      <c r="AD740" s="33" t="n"/>
      <c r="AE740" s="33" t="n"/>
      <c r="AF740" s="32" t="n"/>
      <c r="AG740" s="32" t="n"/>
      <c r="AH740" s="32" t="n"/>
      <c r="AI740" s="32" t="n"/>
      <c r="AJ740" s="32" t="n"/>
      <c r="AK740" s="32" t="n"/>
      <c r="AL740" s="32" t="n"/>
      <c r="AM740" s="32" t="n"/>
      <c r="AN740" s="32" t="n"/>
      <c r="AO740" s="32" t="n"/>
      <c r="AP740" s="32" t="n"/>
      <c r="AQ740" s="32" t="n"/>
      <c r="AR740" s="29">
        <f>IF(NOT(COUNTA(A740:AE740)&gt;0),"",IF(A740="","New client","Update"))</f>
        <v/>
      </c>
      <c r="AS740" s="29">
        <f>IF(BA740&lt;&gt;"",BA740,IF(LEN(AZ740)=15,MID(AZ740,3,10),""))</f>
        <v/>
      </c>
      <c r="AT740" s="29">
        <f>IF(BB740="","",BB740&amp;IF(D740="","  (guessed from PAN)",""))</f>
        <v/>
      </c>
      <c r="AU740" s="29">
        <f>IF(AZ740="","",IFERROR(INDEX(Lists!$L$2:$L$38,MATCH(LEFT(AZ740,2),Lists!$K$2:$K$38,0)),"Unknown code"))</f>
        <v/>
      </c>
      <c r="AV740" s="29">
        <f>IF(AZ740="","",IFERROR(IF(NOT(AND(LEN(AZ740)=15,ISNUMBER(MATCH(LEFT(AZ740,2),Lists!$K$2:$K$38,0)),SUMPRODUCT(--ISERROR(FIND(MID(MID(AZ740,3,10),{1,2,3,4,5,10},1),"ABCDEFGHIJKLMNOPQRSTUVWXYZ")))=0,SUMPRODUCT(--ISERROR(FIND(MID(MID(AZ740,3,10),{6,7,8,9},1),"0123456789")))=0,ISNUMBER(FIND(MID(AZ740,13,1),"123456789ABCDEFGHIJKLMNOPQRSTUVWXYZ")),MID(AZ740,14,1)="Z")),"Wrong format",IF(MID("0123456789ABCDEFGHIJKLMNOPQRSTUVWXYZ",MOD(36-MOD(SUMPRODUCT(INT((FIND(MID(AZ740,{1,2,3,4,5,6,7,8,9,10,11,12,13,14},1),"0123456789ABCDEFGHIJKLMNOPQRSTUVWXYZ")-1)*{1,2,1,2,1,2,1,2,1,2,1,2,1,2}/36)+MOD((FIND(MID(AZ740,{1,2,3,4,5,6,7,8,9,10,11,12,13,14},1),"0123456789ABCDEFGHIJKLMNOPQRSTUVWXYZ")-1)*{1,2,1,2,1,2,1,2,1,2,1,2,1,2},36)),36),36)+1,1)=MID(AZ740,15,1),"OK","Typo? check digit wrong")),"Wrong format"))</f>
        <v/>
      </c>
      <c r="AW740" s="29">
        <f>IF(BA740="","",IF(AND(LEN(BA740)=10,SUMPRODUCT(--ISERROR(FIND(MID(BA740,{1,2,3,4,5,10},1),"ABCDEFGHIJKLMNOPQRSTUVWXYZ")))=0,SUMPRODUCT(--ISERROR(FIND(MID(BA740,{6,7,8,9},1),"0123456789")))=0),"OK","Wrong format"))</f>
        <v/>
      </c>
      <c r="AX740" s="29">
        <f>IF(TRIM(H740)="","",IF(AND(LEN(UPPER(TRIM(H740)))=10,SUMPRODUCT(--ISERROR(FIND(MID(UPPER(TRIM(H740)),{1,2,3,4,10},1),"ABCDEFGHIJKLMNOPQRSTUVWXYZ")))=0,SUMPRODUCT(--ISERROR(FIND(MID(UPPER(TRIM(H740)),{5,6,7,8,9},1),"0123456789")))=0),"OK","Wrong format"))</f>
        <v/>
      </c>
      <c r="AY740" s="30">
        <f>IF(NOT(COUNTA(A740:AE740)&gt;0),"",IF(BE740&lt;&gt;"","✖ "&amp;LEFT(BE740,LEN(BE740)-2),IF(BD740&gt;0,"✔ Ready — client + "&amp;BD740&amp;" service(s)","✔ Ready — client only")))</f>
        <v/>
      </c>
      <c r="AZ740" s="31">
        <f>UPPER(SUBSTITUTE(TRIM(F740)," ",""))</f>
        <v/>
      </c>
      <c r="BA740" s="31">
        <f>UPPER(SUBSTITUTE(TRIM(E740)," ",""))</f>
        <v/>
      </c>
      <c r="BB740" s="31">
        <f>IF(D740&lt;&gt;"",D740,IFERROR(VLOOKUP(MID(AS740,4,1),Lists!$E$2:$F$8,2,FALSE),""))</f>
        <v/>
      </c>
      <c r="BC740" s="31">
        <f>IFERROR(VLOOKUP(BB740,Lists!$A$2:$C$12,3,FALSE),"")</f>
        <v/>
      </c>
      <c r="BD740" s="31">
        <f>COUNTIF(W740:AC740,"Yes")</f>
        <v/>
      </c>
      <c r="BE740" s="31">
        <f>IF(TRIM(B740)="","Legal name missing; ","")&amp;IF(AND(AV740&lt;&gt;"",AV740&lt;&gt;"OK"),"GSTIN: "&amp;AV740&amp;"; ","")&amp;IF(AND(AW740&lt;&gt;"",AW740&lt;&gt;"OK"),"PAN wrong format; ","")&amp;IF(AND(BA740&lt;&gt;"",LEN(AZ740)=15,MID(AZ740,3,10)&lt;&gt;BA740),"PAN does not match GSTIN; ","")&amp;IF(AND(AX740&lt;&gt;"",AX740&lt;&gt;"OK"),"TAN wrong format; ","")&amp;IF(AS740="","PAN missing; ","")&amp;IF(BB740="","Entity type missing; ","")&amp;IF(AND(AZ740&lt;&gt;"",COUNTIF($AZ$6:$AZ$1005,AZ740)&gt;1),"GSTIN repeated in this sheet; ","")&amp;IF(AND(AS740&lt;&gt;"",COUNTIF($AS$6:$AS$1005,AS740)&gt;1),"PAN repeated in this sheet (same client? put extra GSTINs in Other GSTINs); ","")&amp;IF(AND(BD740&gt;0,V740=""),"Financial year missing; ","")&amp;IF(AND(BD740=0,V740&lt;&gt;""),"Financial year given but no service is Yes; ","")&amp;IF(AND(W740="Yes",AZ740=""),"GST needs a GSTIN; ","")&amp;IF(AND(W740="Yes",X740=""),"GST return frequency missing; ","")&amp;IF(AND(Y740="Yes",TRIM(H740)=""),"TDS needs a TAN; ","")&amp;IF(AND(AA740="Yes",BC740&lt;&gt;"",BC740&lt;&gt;"company",BC740&lt;&gt;"llp"),"ROC is only for a company / LLP; ","")&amp;IF(AND(AA740="Yes",OR(BC740="company",BC740="llp"),TRIM(I740)=""),"ROC needs the CIN / LLPIN; ","")&amp;IF((TRIM(AF740)="")&lt;&gt;(TRIM(AG740)=""),"GST login needs both user ID and password; ","")&amp;IF((TRIM(AH740)="")&lt;&gt;(TRIM(AI740)=""),"Income-tax login needs both user ID and password; ","")&amp;IF((TRIM(AJ740)="")&lt;&gt;(TRIM(AK740)=""),"Income-tax login needs both user ID and password; ","")&amp;IF((TRIM(AL740)="")&lt;&gt;(TRIM(AM740)=""),"TRACES login needs both user ID and password; ","")&amp;IF((TRIM(AN740)="")&lt;&gt;(TRIM(AO740)=""),"MCA login needs both user ID and password; ","")&amp;IF((TRIM(AP740)="")&lt;&gt;(TRIM(AQ740)=""),"E-way bill login needs both user ID and password; ","")</f>
        <v/>
      </c>
    </row>
    <row r="741">
      <c r="A741" s="32" t="n"/>
      <c r="B741" s="33" t="n"/>
      <c r="C741" s="33" t="n"/>
      <c r="D741" s="33" t="n"/>
      <c r="E741" s="32" t="n"/>
      <c r="F741" s="32" t="n"/>
      <c r="G741" s="32" t="n"/>
      <c r="H741" s="32" t="n"/>
      <c r="I741" s="32" t="n"/>
      <c r="J741" s="34" t="n"/>
      <c r="K741" s="33" t="n"/>
      <c r="L741" s="32" t="n"/>
      <c r="M741" s="33" t="n"/>
      <c r="N741" s="33" t="n"/>
      <c r="O741" s="33" t="n"/>
      <c r="P741" s="32" t="n"/>
      <c r="Q741" s="33" t="n"/>
      <c r="R741" s="33" t="n"/>
      <c r="S741" s="33" t="n"/>
      <c r="T741" s="33" t="n"/>
      <c r="U741" s="32" t="n"/>
      <c r="V741" s="33" t="n"/>
      <c r="W741" s="33" t="n"/>
      <c r="X741" s="33" t="n"/>
      <c r="Y741" s="33" t="n"/>
      <c r="Z741" s="33" t="n"/>
      <c r="AA741" s="33" t="n"/>
      <c r="AB741" s="33" t="n"/>
      <c r="AC741" s="33" t="n"/>
      <c r="AD741" s="33" t="n"/>
      <c r="AE741" s="33" t="n"/>
      <c r="AF741" s="32" t="n"/>
      <c r="AG741" s="32" t="n"/>
      <c r="AH741" s="32" t="n"/>
      <c r="AI741" s="32" t="n"/>
      <c r="AJ741" s="32" t="n"/>
      <c r="AK741" s="32" t="n"/>
      <c r="AL741" s="32" t="n"/>
      <c r="AM741" s="32" t="n"/>
      <c r="AN741" s="32" t="n"/>
      <c r="AO741" s="32" t="n"/>
      <c r="AP741" s="32" t="n"/>
      <c r="AQ741" s="32" t="n"/>
      <c r="AR741" s="29">
        <f>IF(NOT(COUNTA(A741:AE741)&gt;0),"",IF(A741="","New client","Update"))</f>
        <v/>
      </c>
      <c r="AS741" s="29">
        <f>IF(BA741&lt;&gt;"",BA741,IF(LEN(AZ741)=15,MID(AZ741,3,10),""))</f>
        <v/>
      </c>
      <c r="AT741" s="29">
        <f>IF(BB741="","",BB741&amp;IF(D741="","  (guessed from PAN)",""))</f>
        <v/>
      </c>
      <c r="AU741" s="29">
        <f>IF(AZ741="","",IFERROR(INDEX(Lists!$L$2:$L$38,MATCH(LEFT(AZ741,2),Lists!$K$2:$K$38,0)),"Unknown code"))</f>
        <v/>
      </c>
      <c r="AV741" s="29">
        <f>IF(AZ741="","",IFERROR(IF(NOT(AND(LEN(AZ741)=15,ISNUMBER(MATCH(LEFT(AZ741,2),Lists!$K$2:$K$38,0)),SUMPRODUCT(--ISERROR(FIND(MID(MID(AZ741,3,10),{1,2,3,4,5,10},1),"ABCDEFGHIJKLMNOPQRSTUVWXYZ")))=0,SUMPRODUCT(--ISERROR(FIND(MID(MID(AZ741,3,10),{6,7,8,9},1),"0123456789")))=0,ISNUMBER(FIND(MID(AZ741,13,1),"123456789ABCDEFGHIJKLMNOPQRSTUVWXYZ")),MID(AZ741,14,1)="Z")),"Wrong format",IF(MID("0123456789ABCDEFGHIJKLMNOPQRSTUVWXYZ",MOD(36-MOD(SUMPRODUCT(INT((FIND(MID(AZ741,{1,2,3,4,5,6,7,8,9,10,11,12,13,14},1),"0123456789ABCDEFGHIJKLMNOPQRSTUVWXYZ")-1)*{1,2,1,2,1,2,1,2,1,2,1,2,1,2}/36)+MOD((FIND(MID(AZ741,{1,2,3,4,5,6,7,8,9,10,11,12,13,14},1),"0123456789ABCDEFGHIJKLMNOPQRSTUVWXYZ")-1)*{1,2,1,2,1,2,1,2,1,2,1,2,1,2},36)),36),36)+1,1)=MID(AZ741,15,1),"OK","Typo? check digit wrong")),"Wrong format"))</f>
        <v/>
      </c>
      <c r="AW741" s="29">
        <f>IF(BA741="","",IF(AND(LEN(BA741)=10,SUMPRODUCT(--ISERROR(FIND(MID(BA741,{1,2,3,4,5,10},1),"ABCDEFGHIJKLMNOPQRSTUVWXYZ")))=0,SUMPRODUCT(--ISERROR(FIND(MID(BA741,{6,7,8,9},1),"0123456789")))=0),"OK","Wrong format"))</f>
        <v/>
      </c>
      <c r="AX741" s="29">
        <f>IF(TRIM(H741)="","",IF(AND(LEN(UPPER(TRIM(H741)))=10,SUMPRODUCT(--ISERROR(FIND(MID(UPPER(TRIM(H741)),{1,2,3,4,10},1),"ABCDEFGHIJKLMNOPQRSTUVWXYZ")))=0,SUMPRODUCT(--ISERROR(FIND(MID(UPPER(TRIM(H741)),{5,6,7,8,9},1),"0123456789")))=0),"OK","Wrong format"))</f>
        <v/>
      </c>
      <c r="AY741" s="30">
        <f>IF(NOT(COUNTA(A741:AE741)&gt;0),"",IF(BE741&lt;&gt;"","✖ "&amp;LEFT(BE741,LEN(BE741)-2),IF(BD741&gt;0,"✔ Ready — client + "&amp;BD741&amp;" service(s)","✔ Ready — client only")))</f>
        <v/>
      </c>
      <c r="AZ741" s="31">
        <f>UPPER(SUBSTITUTE(TRIM(F741)," ",""))</f>
        <v/>
      </c>
      <c r="BA741" s="31">
        <f>UPPER(SUBSTITUTE(TRIM(E741)," ",""))</f>
        <v/>
      </c>
      <c r="BB741" s="31">
        <f>IF(D741&lt;&gt;"",D741,IFERROR(VLOOKUP(MID(AS741,4,1),Lists!$E$2:$F$8,2,FALSE),""))</f>
        <v/>
      </c>
      <c r="BC741" s="31">
        <f>IFERROR(VLOOKUP(BB741,Lists!$A$2:$C$12,3,FALSE),"")</f>
        <v/>
      </c>
      <c r="BD741" s="31">
        <f>COUNTIF(W741:AC741,"Yes")</f>
        <v/>
      </c>
      <c r="BE741" s="31">
        <f>IF(TRIM(B741)="","Legal name missing; ","")&amp;IF(AND(AV741&lt;&gt;"",AV741&lt;&gt;"OK"),"GSTIN: "&amp;AV741&amp;"; ","")&amp;IF(AND(AW741&lt;&gt;"",AW741&lt;&gt;"OK"),"PAN wrong format; ","")&amp;IF(AND(BA741&lt;&gt;"",LEN(AZ741)=15,MID(AZ741,3,10)&lt;&gt;BA741),"PAN does not match GSTIN; ","")&amp;IF(AND(AX741&lt;&gt;"",AX741&lt;&gt;"OK"),"TAN wrong format; ","")&amp;IF(AS741="","PAN missing; ","")&amp;IF(BB741="","Entity type missing; ","")&amp;IF(AND(AZ741&lt;&gt;"",COUNTIF($AZ$6:$AZ$1005,AZ741)&gt;1),"GSTIN repeated in this sheet; ","")&amp;IF(AND(AS741&lt;&gt;"",COUNTIF($AS$6:$AS$1005,AS741)&gt;1),"PAN repeated in this sheet (same client? put extra GSTINs in Other GSTINs); ","")&amp;IF(AND(BD741&gt;0,V741=""),"Financial year missing; ","")&amp;IF(AND(BD741=0,V741&lt;&gt;""),"Financial year given but no service is Yes; ","")&amp;IF(AND(W741="Yes",AZ741=""),"GST needs a GSTIN; ","")&amp;IF(AND(W741="Yes",X741=""),"GST return frequency missing; ","")&amp;IF(AND(Y741="Yes",TRIM(H741)=""),"TDS needs a TAN; ","")&amp;IF(AND(AA741="Yes",BC741&lt;&gt;"",BC741&lt;&gt;"company",BC741&lt;&gt;"llp"),"ROC is only for a company / LLP; ","")&amp;IF(AND(AA741="Yes",OR(BC741="company",BC741="llp"),TRIM(I741)=""),"ROC needs the CIN / LLPIN; ","")&amp;IF((TRIM(AF741)="")&lt;&gt;(TRIM(AG741)=""),"GST login needs both user ID and password; ","")&amp;IF((TRIM(AH741)="")&lt;&gt;(TRIM(AI741)=""),"Income-tax login needs both user ID and password; ","")&amp;IF((TRIM(AJ741)="")&lt;&gt;(TRIM(AK741)=""),"Income-tax login needs both user ID and password; ","")&amp;IF((TRIM(AL741)="")&lt;&gt;(TRIM(AM741)=""),"TRACES login needs both user ID and password; ","")&amp;IF((TRIM(AN741)="")&lt;&gt;(TRIM(AO741)=""),"MCA login needs both user ID and password; ","")&amp;IF((TRIM(AP741)="")&lt;&gt;(TRIM(AQ741)=""),"E-way bill login needs both user ID and password; ","")</f>
        <v/>
      </c>
    </row>
    <row r="742">
      <c r="A742" s="32" t="n"/>
      <c r="B742" s="33" t="n"/>
      <c r="C742" s="33" t="n"/>
      <c r="D742" s="33" t="n"/>
      <c r="E742" s="32" t="n"/>
      <c r="F742" s="32" t="n"/>
      <c r="G742" s="32" t="n"/>
      <c r="H742" s="32" t="n"/>
      <c r="I742" s="32" t="n"/>
      <c r="J742" s="34" t="n"/>
      <c r="K742" s="33" t="n"/>
      <c r="L742" s="32" t="n"/>
      <c r="M742" s="33" t="n"/>
      <c r="N742" s="33" t="n"/>
      <c r="O742" s="33" t="n"/>
      <c r="P742" s="32" t="n"/>
      <c r="Q742" s="33" t="n"/>
      <c r="R742" s="33" t="n"/>
      <c r="S742" s="33" t="n"/>
      <c r="T742" s="33" t="n"/>
      <c r="U742" s="32" t="n"/>
      <c r="V742" s="33" t="n"/>
      <c r="W742" s="33" t="n"/>
      <c r="X742" s="33" t="n"/>
      <c r="Y742" s="33" t="n"/>
      <c r="Z742" s="33" t="n"/>
      <c r="AA742" s="33" t="n"/>
      <c r="AB742" s="33" t="n"/>
      <c r="AC742" s="33" t="n"/>
      <c r="AD742" s="33" t="n"/>
      <c r="AE742" s="33" t="n"/>
      <c r="AF742" s="32" t="n"/>
      <c r="AG742" s="32" t="n"/>
      <c r="AH742" s="32" t="n"/>
      <c r="AI742" s="32" t="n"/>
      <c r="AJ742" s="32" t="n"/>
      <c r="AK742" s="32" t="n"/>
      <c r="AL742" s="32" t="n"/>
      <c r="AM742" s="32" t="n"/>
      <c r="AN742" s="32" t="n"/>
      <c r="AO742" s="32" t="n"/>
      <c r="AP742" s="32" t="n"/>
      <c r="AQ742" s="32" t="n"/>
      <c r="AR742" s="29">
        <f>IF(NOT(COUNTA(A742:AE742)&gt;0),"",IF(A742="","New client","Update"))</f>
        <v/>
      </c>
      <c r="AS742" s="29">
        <f>IF(BA742&lt;&gt;"",BA742,IF(LEN(AZ742)=15,MID(AZ742,3,10),""))</f>
        <v/>
      </c>
      <c r="AT742" s="29">
        <f>IF(BB742="","",BB742&amp;IF(D742="","  (guessed from PAN)",""))</f>
        <v/>
      </c>
      <c r="AU742" s="29">
        <f>IF(AZ742="","",IFERROR(INDEX(Lists!$L$2:$L$38,MATCH(LEFT(AZ742,2),Lists!$K$2:$K$38,0)),"Unknown code"))</f>
        <v/>
      </c>
      <c r="AV742" s="29">
        <f>IF(AZ742="","",IFERROR(IF(NOT(AND(LEN(AZ742)=15,ISNUMBER(MATCH(LEFT(AZ742,2),Lists!$K$2:$K$38,0)),SUMPRODUCT(--ISERROR(FIND(MID(MID(AZ742,3,10),{1,2,3,4,5,10},1),"ABCDEFGHIJKLMNOPQRSTUVWXYZ")))=0,SUMPRODUCT(--ISERROR(FIND(MID(MID(AZ742,3,10),{6,7,8,9},1),"0123456789")))=0,ISNUMBER(FIND(MID(AZ742,13,1),"123456789ABCDEFGHIJKLMNOPQRSTUVWXYZ")),MID(AZ742,14,1)="Z")),"Wrong format",IF(MID("0123456789ABCDEFGHIJKLMNOPQRSTUVWXYZ",MOD(36-MOD(SUMPRODUCT(INT((FIND(MID(AZ742,{1,2,3,4,5,6,7,8,9,10,11,12,13,14},1),"0123456789ABCDEFGHIJKLMNOPQRSTUVWXYZ")-1)*{1,2,1,2,1,2,1,2,1,2,1,2,1,2}/36)+MOD((FIND(MID(AZ742,{1,2,3,4,5,6,7,8,9,10,11,12,13,14},1),"0123456789ABCDEFGHIJKLMNOPQRSTUVWXYZ")-1)*{1,2,1,2,1,2,1,2,1,2,1,2,1,2},36)),36),36)+1,1)=MID(AZ742,15,1),"OK","Typo? check digit wrong")),"Wrong format"))</f>
        <v/>
      </c>
      <c r="AW742" s="29">
        <f>IF(BA742="","",IF(AND(LEN(BA742)=10,SUMPRODUCT(--ISERROR(FIND(MID(BA742,{1,2,3,4,5,10},1),"ABCDEFGHIJKLMNOPQRSTUVWXYZ")))=0,SUMPRODUCT(--ISERROR(FIND(MID(BA742,{6,7,8,9},1),"0123456789")))=0),"OK","Wrong format"))</f>
        <v/>
      </c>
      <c r="AX742" s="29">
        <f>IF(TRIM(H742)="","",IF(AND(LEN(UPPER(TRIM(H742)))=10,SUMPRODUCT(--ISERROR(FIND(MID(UPPER(TRIM(H742)),{1,2,3,4,10},1),"ABCDEFGHIJKLMNOPQRSTUVWXYZ")))=0,SUMPRODUCT(--ISERROR(FIND(MID(UPPER(TRIM(H742)),{5,6,7,8,9},1),"0123456789")))=0),"OK","Wrong format"))</f>
        <v/>
      </c>
      <c r="AY742" s="30">
        <f>IF(NOT(COUNTA(A742:AE742)&gt;0),"",IF(BE742&lt;&gt;"","✖ "&amp;LEFT(BE742,LEN(BE742)-2),IF(BD742&gt;0,"✔ Ready — client + "&amp;BD742&amp;" service(s)","✔ Ready — client only")))</f>
        <v/>
      </c>
      <c r="AZ742" s="31">
        <f>UPPER(SUBSTITUTE(TRIM(F742)," ",""))</f>
        <v/>
      </c>
      <c r="BA742" s="31">
        <f>UPPER(SUBSTITUTE(TRIM(E742)," ",""))</f>
        <v/>
      </c>
      <c r="BB742" s="31">
        <f>IF(D742&lt;&gt;"",D742,IFERROR(VLOOKUP(MID(AS742,4,1),Lists!$E$2:$F$8,2,FALSE),""))</f>
        <v/>
      </c>
      <c r="BC742" s="31">
        <f>IFERROR(VLOOKUP(BB742,Lists!$A$2:$C$12,3,FALSE),"")</f>
        <v/>
      </c>
      <c r="BD742" s="31">
        <f>COUNTIF(W742:AC742,"Yes")</f>
        <v/>
      </c>
      <c r="BE742" s="31">
        <f>IF(TRIM(B742)="","Legal name missing; ","")&amp;IF(AND(AV742&lt;&gt;"",AV742&lt;&gt;"OK"),"GSTIN: "&amp;AV742&amp;"; ","")&amp;IF(AND(AW742&lt;&gt;"",AW742&lt;&gt;"OK"),"PAN wrong format; ","")&amp;IF(AND(BA742&lt;&gt;"",LEN(AZ742)=15,MID(AZ742,3,10)&lt;&gt;BA742),"PAN does not match GSTIN; ","")&amp;IF(AND(AX742&lt;&gt;"",AX742&lt;&gt;"OK"),"TAN wrong format; ","")&amp;IF(AS742="","PAN missing; ","")&amp;IF(BB742="","Entity type missing; ","")&amp;IF(AND(AZ742&lt;&gt;"",COUNTIF($AZ$6:$AZ$1005,AZ742)&gt;1),"GSTIN repeated in this sheet; ","")&amp;IF(AND(AS742&lt;&gt;"",COUNTIF($AS$6:$AS$1005,AS742)&gt;1),"PAN repeated in this sheet (same client? put extra GSTINs in Other GSTINs); ","")&amp;IF(AND(BD742&gt;0,V742=""),"Financial year missing; ","")&amp;IF(AND(BD742=0,V742&lt;&gt;""),"Financial year given but no service is Yes; ","")&amp;IF(AND(W742="Yes",AZ742=""),"GST needs a GSTIN; ","")&amp;IF(AND(W742="Yes",X742=""),"GST return frequency missing; ","")&amp;IF(AND(Y742="Yes",TRIM(H742)=""),"TDS needs a TAN; ","")&amp;IF(AND(AA742="Yes",BC742&lt;&gt;"",BC742&lt;&gt;"company",BC742&lt;&gt;"llp"),"ROC is only for a company / LLP; ","")&amp;IF(AND(AA742="Yes",OR(BC742="company",BC742="llp"),TRIM(I742)=""),"ROC needs the CIN / LLPIN; ","")&amp;IF((TRIM(AF742)="")&lt;&gt;(TRIM(AG742)=""),"GST login needs both user ID and password; ","")&amp;IF((TRIM(AH742)="")&lt;&gt;(TRIM(AI742)=""),"Income-tax login needs both user ID and password; ","")&amp;IF((TRIM(AJ742)="")&lt;&gt;(TRIM(AK742)=""),"Income-tax login needs both user ID and password; ","")&amp;IF((TRIM(AL742)="")&lt;&gt;(TRIM(AM742)=""),"TRACES login needs both user ID and password; ","")&amp;IF((TRIM(AN742)="")&lt;&gt;(TRIM(AO742)=""),"MCA login needs both user ID and password; ","")&amp;IF((TRIM(AP742)="")&lt;&gt;(TRIM(AQ742)=""),"E-way bill login needs both user ID and password; ","")</f>
        <v/>
      </c>
    </row>
    <row r="743">
      <c r="A743" s="32" t="n"/>
      <c r="B743" s="33" t="n"/>
      <c r="C743" s="33" t="n"/>
      <c r="D743" s="33" t="n"/>
      <c r="E743" s="32" t="n"/>
      <c r="F743" s="32" t="n"/>
      <c r="G743" s="32" t="n"/>
      <c r="H743" s="32" t="n"/>
      <c r="I743" s="32" t="n"/>
      <c r="J743" s="34" t="n"/>
      <c r="K743" s="33" t="n"/>
      <c r="L743" s="32" t="n"/>
      <c r="M743" s="33" t="n"/>
      <c r="N743" s="33" t="n"/>
      <c r="O743" s="33" t="n"/>
      <c r="P743" s="32" t="n"/>
      <c r="Q743" s="33" t="n"/>
      <c r="R743" s="33" t="n"/>
      <c r="S743" s="33" t="n"/>
      <c r="T743" s="33" t="n"/>
      <c r="U743" s="32" t="n"/>
      <c r="V743" s="33" t="n"/>
      <c r="W743" s="33" t="n"/>
      <c r="X743" s="33" t="n"/>
      <c r="Y743" s="33" t="n"/>
      <c r="Z743" s="33" t="n"/>
      <c r="AA743" s="33" t="n"/>
      <c r="AB743" s="33" t="n"/>
      <c r="AC743" s="33" t="n"/>
      <c r="AD743" s="33" t="n"/>
      <c r="AE743" s="33" t="n"/>
      <c r="AF743" s="32" t="n"/>
      <c r="AG743" s="32" t="n"/>
      <c r="AH743" s="32" t="n"/>
      <c r="AI743" s="32" t="n"/>
      <c r="AJ743" s="32" t="n"/>
      <c r="AK743" s="32" t="n"/>
      <c r="AL743" s="32" t="n"/>
      <c r="AM743" s="32" t="n"/>
      <c r="AN743" s="32" t="n"/>
      <c r="AO743" s="32" t="n"/>
      <c r="AP743" s="32" t="n"/>
      <c r="AQ743" s="32" t="n"/>
      <c r="AR743" s="29">
        <f>IF(NOT(COUNTA(A743:AE743)&gt;0),"",IF(A743="","New client","Update"))</f>
        <v/>
      </c>
      <c r="AS743" s="29">
        <f>IF(BA743&lt;&gt;"",BA743,IF(LEN(AZ743)=15,MID(AZ743,3,10),""))</f>
        <v/>
      </c>
      <c r="AT743" s="29">
        <f>IF(BB743="","",BB743&amp;IF(D743="","  (guessed from PAN)",""))</f>
        <v/>
      </c>
      <c r="AU743" s="29">
        <f>IF(AZ743="","",IFERROR(INDEX(Lists!$L$2:$L$38,MATCH(LEFT(AZ743,2),Lists!$K$2:$K$38,0)),"Unknown code"))</f>
        <v/>
      </c>
      <c r="AV743" s="29">
        <f>IF(AZ743="","",IFERROR(IF(NOT(AND(LEN(AZ743)=15,ISNUMBER(MATCH(LEFT(AZ743,2),Lists!$K$2:$K$38,0)),SUMPRODUCT(--ISERROR(FIND(MID(MID(AZ743,3,10),{1,2,3,4,5,10},1),"ABCDEFGHIJKLMNOPQRSTUVWXYZ")))=0,SUMPRODUCT(--ISERROR(FIND(MID(MID(AZ743,3,10),{6,7,8,9},1),"0123456789")))=0,ISNUMBER(FIND(MID(AZ743,13,1),"123456789ABCDEFGHIJKLMNOPQRSTUVWXYZ")),MID(AZ743,14,1)="Z")),"Wrong format",IF(MID("0123456789ABCDEFGHIJKLMNOPQRSTUVWXYZ",MOD(36-MOD(SUMPRODUCT(INT((FIND(MID(AZ743,{1,2,3,4,5,6,7,8,9,10,11,12,13,14},1),"0123456789ABCDEFGHIJKLMNOPQRSTUVWXYZ")-1)*{1,2,1,2,1,2,1,2,1,2,1,2,1,2}/36)+MOD((FIND(MID(AZ743,{1,2,3,4,5,6,7,8,9,10,11,12,13,14},1),"0123456789ABCDEFGHIJKLMNOPQRSTUVWXYZ")-1)*{1,2,1,2,1,2,1,2,1,2,1,2,1,2},36)),36),36)+1,1)=MID(AZ743,15,1),"OK","Typo? check digit wrong")),"Wrong format"))</f>
        <v/>
      </c>
      <c r="AW743" s="29">
        <f>IF(BA743="","",IF(AND(LEN(BA743)=10,SUMPRODUCT(--ISERROR(FIND(MID(BA743,{1,2,3,4,5,10},1),"ABCDEFGHIJKLMNOPQRSTUVWXYZ")))=0,SUMPRODUCT(--ISERROR(FIND(MID(BA743,{6,7,8,9},1),"0123456789")))=0),"OK","Wrong format"))</f>
        <v/>
      </c>
      <c r="AX743" s="29">
        <f>IF(TRIM(H743)="","",IF(AND(LEN(UPPER(TRIM(H743)))=10,SUMPRODUCT(--ISERROR(FIND(MID(UPPER(TRIM(H743)),{1,2,3,4,10},1),"ABCDEFGHIJKLMNOPQRSTUVWXYZ")))=0,SUMPRODUCT(--ISERROR(FIND(MID(UPPER(TRIM(H743)),{5,6,7,8,9},1),"0123456789")))=0),"OK","Wrong format"))</f>
        <v/>
      </c>
      <c r="AY743" s="30">
        <f>IF(NOT(COUNTA(A743:AE743)&gt;0),"",IF(BE743&lt;&gt;"","✖ "&amp;LEFT(BE743,LEN(BE743)-2),IF(BD743&gt;0,"✔ Ready — client + "&amp;BD743&amp;" service(s)","✔ Ready — client only")))</f>
        <v/>
      </c>
      <c r="AZ743" s="31">
        <f>UPPER(SUBSTITUTE(TRIM(F743)," ",""))</f>
        <v/>
      </c>
      <c r="BA743" s="31">
        <f>UPPER(SUBSTITUTE(TRIM(E743)," ",""))</f>
        <v/>
      </c>
      <c r="BB743" s="31">
        <f>IF(D743&lt;&gt;"",D743,IFERROR(VLOOKUP(MID(AS743,4,1),Lists!$E$2:$F$8,2,FALSE),""))</f>
        <v/>
      </c>
      <c r="BC743" s="31">
        <f>IFERROR(VLOOKUP(BB743,Lists!$A$2:$C$12,3,FALSE),"")</f>
        <v/>
      </c>
      <c r="BD743" s="31">
        <f>COUNTIF(W743:AC743,"Yes")</f>
        <v/>
      </c>
      <c r="BE743" s="31">
        <f>IF(TRIM(B743)="","Legal name missing; ","")&amp;IF(AND(AV743&lt;&gt;"",AV743&lt;&gt;"OK"),"GSTIN: "&amp;AV743&amp;"; ","")&amp;IF(AND(AW743&lt;&gt;"",AW743&lt;&gt;"OK"),"PAN wrong format; ","")&amp;IF(AND(BA743&lt;&gt;"",LEN(AZ743)=15,MID(AZ743,3,10)&lt;&gt;BA743),"PAN does not match GSTIN; ","")&amp;IF(AND(AX743&lt;&gt;"",AX743&lt;&gt;"OK"),"TAN wrong format; ","")&amp;IF(AS743="","PAN missing; ","")&amp;IF(BB743="","Entity type missing; ","")&amp;IF(AND(AZ743&lt;&gt;"",COUNTIF($AZ$6:$AZ$1005,AZ743)&gt;1),"GSTIN repeated in this sheet; ","")&amp;IF(AND(AS743&lt;&gt;"",COUNTIF($AS$6:$AS$1005,AS743)&gt;1),"PAN repeated in this sheet (same client? put extra GSTINs in Other GSTINs); ","")&amp;IF(AND(BD743&gt;0,V743=""),"Financial year missing; ","")&amp;IF(AND(BD743=0,V743&lt;&gt;""),"Financial year given but no service is Yes; ","")&amp;IF(AND(W743="Yes",AZ743=""),"GST needs a GSTIN; ","")&amp;IF(AND(W743="Yes",X743=""),"GST return frequency missing; ","")&amp;IF(AND(Y743="Yes",TRIM(H743)=""),"TDS needs a TAN; ","")&amp;IF(AND(AA743="Yes",BC743&lt;&gt;"",BC743&lt;&gt;"company",BC743&lt;&gt;"llp"),"ROC is only for a company / LLP; ","")&amp;IF(AND(AA743="Yes",OR(BC743="company",BC743="llp"),TRIM(I743)=""),"ROC needs the CIN / LLPIN; ","")&amp;IF((TRIM(AF743)="")&lt;&gt;(TRIM(AG743)=""),"GST login needs both user ID and password; ","")&amp;IF((TRIM(AH743)="")&lt;&gt;(TRIM(AI743)=""),"Income-tax login needs both user ID and password; ","")&amp;IF((TRIM(AJ743)="")&lt;&gt;(TRIM(AK743)=""),"Income-tax login needs both user ID and password; ","")&amp;IF((TRIM(AL743)="")&lt;&gt;(TRIM(AM743)=""),"TRACES login needs both user ID and password; ","")&amp;IF((TRIM(AN743)="")&lt;&gt;(TRIM(AO743)=""),"MCA login needs both user ID and password; ","")&amp;IF((TRIM(AP743)="")&lt;&gt;(TRIM(AQ743)=""),"E-way bill login needs both user ID and password; ","")</f>
        <v/>
      </c>
    </row>
    <row r="744">
      <c r="A744" s="32" t="n"/>
      <c r="B744" s="33" t="n"/>
      <c r="C744" s="33" t="n"/>
      <c r="D744" s="33" t="n"/>
      <c r="E744" s="32" t="n"/>
      <c r="F744" s="32" t="n"/>
      <c r="G744" s="32" t="n"/>
      <c r="H744" s="32" t="n"/>
      <c r="I744" s="32" t="n"/>
      <c r="J744" s="34" t="n"/>
      <c r="K744" s="33" t="n"/>
      <c r="L744" s="32" t="n"/>
      <c r="M744" s="33" t="n"/>
      <c r="N744" s="33" t="n"/>
      <c r="O744" s="33" t="n"/>
      <c r="P744" s="32" t="n"/>
      <c r="Q744" s="33" t="n"/>
      <c r="R744" s="33" t="n"/>
      <c r="S744" s="33" t="n"/>
      <c r="T744" s="33" t="n"/>
      <c r="U744" s="32" t="n"/>
      <c r="V744" s="33" t="n"/>
      <c r="W744" s="33" t="n"/>
      <c r="X744" s="33" t="n"/>
      <c r="Y744" s="33" t="n"/>
      <c r="Z744" s="33" t="n"/>
      <c r="AA744" s="33" t="n"/>
      <c r="AB744" s="33" t="n"/>
      <c r="AC744" s="33" t="n"/>
      <c r="AD744" s="33" t="n"/>
      <c r="AE744" s="33" t="n"/>
      <c r="AF744" s="32" t="n"/>
      <c r="AG744" s="32" t="n"/>
      <c r="AH744" s="32" t="n"/>
      <c r="AI744" s="32" t="n"/>
      <c r="AJ744" s="32" t="n"/>
      <c r="AK744" s="32" t="n"/>
      <c r="AL744" s="32" t="n"/>
      <c r="AM744" s="32" t="n"/>
      <c r="AN744" s="32" t="n"/>
      <c r="AO744" s="32" t="n"/>
      <c r="AP744" s="32" t="n"/>
      <c r="AQ744" s="32" t="n"/>
      <c r="AR744" s="29">
        <f>IF(NOT(COUNTA(A744:AE744)&gt;0),"",IF(A744="","New client","Update"))</f>
        <v/>
      </c>
      <c r="AS744" s="29">
        <f>IF(BA744&lt;&gt;"",BA744,IF(LEN(AZ744)=15,MID(AZ744,3,10),""))</f>
        <v/>
      </c>
      <c r="AT744" s="29">
        <f>IF(BB744="","",BB744&amp;IF(D744="","  (guessed from PAN)",""))</f>
        <v/>
      </c>
      <c r="AU744" s="29">
        <f>IF(AZ744="","",IFERROR(INDEX(Lists!$L$2:$L$38,MATCH(LEFT(AZ744,2),Lists!$K$2:$K$38,0)),"Unknown code"))</f>
        <v/>
      </c>
      <c r="AV744" s="29">
        <f>IF(AZ744="","",IFERROR(IF(NOT(AND(LEN(AZ744)=15,ISNUMBER(MATCH(LEFT(AZ744,2),Lists!$K$2:$K$38,0)),SUMPRODUCT(--ISERROR(FIND(MID(MID(AZ744,3,10),{1,2,3,4,5,10},1),"ABCDEFGHIJKLMNOPQRSTUVWXYZ")))=0,SUMPRODUCT(--ISERROR(FIND(MID(MID(AZ744,3,10),{6,7,8,9},1),"0123456789")))=0,ISNUMBER(FIND(MID(AZ744,13,1),"123456789ABCDEFGHIJKLMNOPQRSTUVWXYZ")),MID(AZ744,14,1)="Z")),"Wrong format",IF(MID("0123456789ABCDEFGHIJKLMNOPQRSTUVWXYZ",MOD(36-MOD(SUMPRODUCT(INT((FIND(MID(AZ744,{1,2,3,4,5,6,7,8,9,10,11,12,13,14},1),"0123456789ABCDEFGHIJKLMNOPQRSTUVWXYZ")-1)*{1,2,1,2,1,2,1,2,1,2,1,2,1,2}/36)+MOD((FIND(MID(AZ744,{1,2,3,4,5,6,7,8,9,10,11,12,13,14},1),"0123456789ABCDEFGHIJKLMNOPQRSTUVWXYZ")-1)*{1,2,1,2,1,2,1,2,1,2,1,2,1,2},36)),36),36)+1,1)=MID(AZ744,15,1),"OK","Typo? check digit wrong")),"Wrong format"))</f>
        <v/>
      </c>
      <c r="AW744" s="29">
        <f>IF(BA744="","",IF(AND(LEN(BA744)=10,SUMPRODUCT(--ISERROR(FIND(MID(BA744,{1,2,3,4,5,10},1),"ABCDEFGHIJKLMNOPQRSTUVWXYZ")))=0,SUMPRODUCT(--ISERROR(FIND(MID(BA744,{6,7,8,9},1),"0123456789")))=0),"OK","Wrong format"))</f>
        <v/>
      </c>
      <c r="AX744" s="29">
        <f>IF(TRIM(H744)="","",IF(AND(LEN(UPPER(TRIM(H744)))=10,SUMPRODUCT(--ISERROR(FIND(MID(UPPER(TRIM(H744)),{1,2,3,4,10},1),"ABCDEFGHIJKLMNOPQRSTUVWXYZ")))=0,SUMPRODUCT(--ISERROR(FIND(MID(UPPER(TRIM(H744)),{5,6,7,8,9},1),"0123456789")))=0),"OK","Wrong format"))</f>
        <v/>
      </c>
      <c r="AY744" s="30">
        <f>IF(NOT(COUNTA(A744:AE744)&gt;0),"",IF(BE744&lt;&gt;"","✖ "&amp;LEFT(BE744,LEN(BE744)-2),IF(BD744&gt;0,"✔ Ready — client + "&amp;BD744&amp;" service(s)","✔ Ready — client only")))</f>
        <v/>
      </c>
      <c r="AZ744" s="31">
        <f>UPPER(SUBSTITUTE(TRIM(F744)," ",""))</f>
        <v/>
      </c>
      <c r="BA744" s="31">
        <f>UPPER(SUBSTITUTE(TRIM(E744)," ",""))</f>
        <v/>
      </c>
      <c r="BB744" s="31">
        <f>IF(D744&lt;&gt;"",D744,IFERROR(VLOOKUP(MID(AS744,4,1),Lists!$E$2:$F$8,2,FALSE),""))</f>
        <v/>
      </c>
      <c r="BC744" s="31">
        <f>IFERROR(VLOOKUP(BB744,Lists!$A$2:$C$12,3,FALSE),"")</f>
        <v/>
      </c>
      <c r="BD744" s="31">
        <f>COUNTIF(W744:AC744,"Yes")</f>
        <v/>
      </c>
      <c r="BE744" s="31">
        <f>IF(TRIM(B744)="","Legal name missing; ","")&amp;IF(AND(AV744&lt;&gt;"",AV744&lt;&gt;"OK"),"GSTIN: "&amp;AV744&amp;"; ","")&amp;IF(AND(AW744&lt;&gt;"",AW744&lt;&gt;"OK"),"PAN wrong format; ","")&amp;IF(AND(BA744&lt;&gt;"",LEN(AZ744)=15,MID(AZ744,3,10)&lt;&gt;BA744),"PAN does not match GSTIN; ","")&amp;IF(AND(AX744&lt;&gt;"",AX744&lt;&gt;"OK"),"TAN wrong format; ","")&amp;IF(AS744="","PAN missing; ","")&amp;IF(BB744="","Entity type missing; ","")&amp;IF(AND(AZ744&lt;&gt;"",COUNTIF($AZ$6:$AZ$1005,AZ744)&gt;1),"GSTIN repeated in this sheet; ","")&amp;IF(AND(AS744&lt;&gt;"",COUNTIF($AS$6:$AS$1005,AS744)&gt;1),"PAN repeated in this sheet (same client? put extra GSTINs in Other GSTINs); ","")&amp;IF(AND(BD744&gt;0,V744=""),"Financial year missing; ","")&amp;IF(AND(BD744=0,V744&lt;&gt;""),"Financial year given but no service is Yes; ","")&amp;IF(AND(W744="Yes",AZ744=""),"GST needs a GSTIN; ","")&amp;IF(AND(W744="Yes",X744=""),"GST return frequency missing; ","")&amp;IF(AND(Y744="Yes",TRIM(H744)=""),"TDS needs a TAN; ","")&amp;IF(AND(AA744="Yes",BC744&lt;&gt;"",BC744&lt;&gt;"company",BC744&lt;&gt;"llp"),"ROC is only for a company / LLP; ","")&amp;IF(AND(AA744="Yes",OR(BC744="company",BC744="llp"),TRIM(I744)=""),"ROC needs the CIN / LLPIN; ","")&amp;IF((TRIM(AF744)="")&lt;&gt;(TRIM(AG744)=""),"GST login needs both user ID and password; ","")&amp;IF((TRIM(AH744)="")&lt;&gt;(TRIM(AI744)=""),"Income-tax login needs both user ID and password; ","")&amp;IF((TRIM(AJ744)="")&lt;&gt;(TRIM(AK744)=""),"Income-tax login needs both user ID and password; ","")&amp;IF((TRIM(AL744)="")&lt;&gt;(TRIM(AM744)=""),"TRACES login needs both user ID and password; ","")&amp;IF((TRIM(AN744)="")&lt;&gt;(TRIM(AO744)=""),"MCA login needs both user ID and password; ","")&amp;IF((TRIM(AP744)="")&lt;&gt;(TRIM(AQ744)=""),"E-way bill login needs both user ID and password; ","")</f>
        <v/>
      </c>
    </row>
    <row r="745">
      <c r="A745" s="32" t="n"/>
      <c r="B745" s="33" t="n"/>
      <c r="C745" s="33" t="n"/>
      <c r="D745" s="33" t="n"/>
      <c r="E745" s="32" t="n"/>
      <c r="F745" s="32" t="n"/>
      <c r="G745" s="32" t="n"/>
      <c r="H745" s="32" t="n"/>
      <c r="I745" s="32" t="n"/>
      <c r="J745" s="34" t="n"/>
      <c r="K745" s="33" t="n"/>
      <c r="L745" s="32" t="n"/>
      <c r="M745" s="33" t="n"/>
      <c r="N745" s="33" t="n"/>
      <c r="O745" s="33" t="n"/>
      <c r="P745" s="32" t="n"/>
      <c r="Q745" s="33" t="n"/>
      <c r="R745" s="33" t="n"/>
      <c r="S745" s="33" t="n"/>
      <c r="T745" s="33" t="n"/>
      <c r="U745" s="32" t="n"/>
      <c r="V745" s="33" t="n"/>
      <c r="W745" s="33" t="n"/>
      <c r="X745" s="33" t="n"/>
      <c r="Y745" s="33" t="n"/>
      <c r="Z745" s="33" t="n"/>
      <c r="AA745" s="33" t="n"/>
      <c r="AB745" s="33" t="n"/>
      <c r="AC745" s="33" t="n"/>
      <c r="AD745" s="33" t="n"/>
      <c r="AE745" s="33" t="n"/>
      <c r="AF745" s="32" t="n"/>
      <c r="AG745" s="32" t="n"/>
      <c r="AH745" s="32" t="n"/>
      <c r="AI745" s="32" t="n"/>
      <c r="AJ745" s="32" t="n"/>
      <c r="AK745" s="32" t="n"/>
      <c r="AL745" s="32" t="n"/>
      <c r="AM745" s="32" t="n"/>
      <c r="AN745" s="32" t="n"/>
      <c r="AO745" s="32" t="n"/>
      <c r="AP745" s="32" t="n"/>
      <c r="AQ745" s="32" t="n"/>
      <c r="AR745" s="29">
        <f>IF(NOT(COUNTA(A745:AE745)&gt;0),"",IF(A745="","New client","Update"))</f>
        <v/>
      </c>
      <c r="AS745" s="29">
        <f>IF(BA745&lt;&gt;"",BA745,IF(LEN(AZ745)=15,MID(AZ745,3,10),""))</f>
        <v/>
      </c>
      <c r="AT745" s="29">
        <f>IF(BB745="","",BB745&amp;IF(D745="","  (guessed from PAN)",""))</f>
        <v/>
      </c>
      <c r="AU745" s="29">
        <f>IF(AZ745="","",IFERROR(INDEX(Lists!$L$2:$L$38,MATCH(LEFT(AZ745,2),Lists!$K$2:$K$38,0)),"Unknown code"))</f>
        <v/>
      </c>
      <c r="AV745" s="29">
        <f>IF(AZ745="","",IFERROR(IF(NOT(AND(LEN(AZ745)=15,ISNUMBER(MATCH(LEFT(AZ745,2),Lists!$K$2:$K$38,0)),SUMPRODUCT(--ISERROR(FIND(MID(MID(AZ745,3,10),{1,2,3,4,5,10},1),"ABCDEFGHIJKLMNOPQRSTUVWXYZ")))=0,SUMPRODUCT(--ISERROR(FIND(MID(MID(AZ745,3,10),{6,7,8,9},1),"0123456789")))=0,ISNUMBER(FIND(MID(AZ745,13,1),"123456789ABCDEFGHIJKLMNOPQRSTUVWXYZ")),MID(AZ745,14,1)="Z")),"Wrong format",IF(MID("0123456789ABCDEFGHIJKLMNOPQRSTUVWXYZ",MOD(36-MOD(SUMPRODUCT(INT((FIND(MID(AZ745,{1,2,3,4,5,6,7,8,9,10,11,12,13,14},1),"0123456789ABCDEFGHIJKLMNOPQRSTUVWXYZ")-1)*{1,2,1,2,1,2,1,2,1,2,1,2,1,2}/36)+MOD((FIND(MID(AZ745,{1,2,3,4,5,6,7,8,9,10,11,12,13,14},1),"0123456789ABCDEFGHIJKLMNOPQRSTUVWXYZ")-1)*{1,2,1,2,1,2,1,2,1,2,1,2,1,2},36)),36),36)+1,1)=MID(AZ745,15,1),"OK","Typo? check digit wrong")),"Wrong format"))</f>
        <v/>
      </c>
      <c r="AW745" s="29">
        <f>IF(BA745="","",IF(AND(LEN(BA745)=10,SUMPRODUCT(--ISERROR(FIND(MID(BA745,{1,2,3,4,5,10},1),"ABCDEFGHIJKLMNOPQRSTUVWXYZ")))=0,SUMPRODUCT(--ISERROR(FIND(MID(BA745,{6,7,8,9},1),"0123456789")))=0),"OK","Wrong format"))</f>
        <v/>
      </c>
      <c r="AX745" s="29">
        <f>IF(TRIM(H745)="","",IF(AND(LEN(UPPER(TRIM(H745)))=10,SUMPRODUCT(--ISERROR(FIND(MID(UPPER(TRIM(H745)),{1,2,3,4,10},1),"ABCDEFGHIJKLMNOPQRSTUVWXYZ")))=0,SUMPRODUCT(--ISERROR(FIND(MID(UPPER(TRIM(H745)),{5,6,7,8,9},1),"0123456789")))=0),"OK","Wrong format"))</f>
        <v/>
      </c>
      <c r="AY745" s="30">
        <f>IF(NOT(COUNTA(A745:AE745)&gt;0),"",IF(BE745&lt;&gt;"","✖ "&amp;LEFT(BE745,LEN(BE745)-2),IF(BD745&gt;0,"✔ Ready — client + "&amp;BD745&amp;" service(s)","✔ Ready — client only")))</f>
        <v/>
      </c>
      <c r="AZ745" s="31">
        <f>UPPER(SUBSTITUTE(TRIM(F745)," ",""))</f>
        <v/>
      </c>
      <c r="BA745" s="31">
        <f>UPPER(SUBSTITUTE(TRIM(E745)," ",""))</f>
        <v/>
      </c>
      <c r="BB745" s="31">
        <f>IF(D745&lt;&gt;"",D745,IFERROR(VLOOKUP(MID(AS745,4,1),Lists!$E$2:$F$8,2,FALSE),""))</f>
        <v/>
      </c>
      <c r="BC745" s="31">
        <f>IFERROR(VLOOKUP(BB745,Lists!$A$2:$C$12,3,FALSE),"")</f>
        <v/>
      </c>
      <c r="BD745" s="31">
        <f>COUNTIF(W745:AC745,"Yes")</f>
        <v/>
      </c>
      <c r="BE745" s="31">
        <f>IF(TRIM(B745)="","Legal name missing; ","")&amp;IF(AND(AV745&lt;&gt;"",AV745&lt;&gt;"OK"),"GSTIN: "&amp;AV745&amp;"; ","")&amp;IF(AND(AW745&lt;&gt;"",AW745&lt;&gt;"OK"),"PAN wrong format; ","")&amp;IF(AND(BA745&lt;&gt;"",LEN(AZ745)=15,MID(AZ745,3,10)&lt;&gt;BA745),"PAN does not match GSTIN; ","")&amp;IF(AND(AX745&lt;&gt;"",AX745&lt;&gt;"OK"),"TAN wrong format; ","")&amp;IF(AS745="","PAN missing; ","")&amp;IF(BB745="","Entity type missing; ","")&amp;IF(AND(AZ745&lt;&gt;"",COUNTIF($AZ$6:$AZ$1005,AZ745)&gt;1),"GSTIN repeated in this sheet; ","")&amp;IF(AND(AS745&lt;&gt;"",COUNTIF($AS$6:$AS$1005,AS745)&gt;1),"PAN repeated in this sheet (same client? put extra GSTINs in Other GSTINs); ","")&amp;IF(AND(BD745&gt;0,V745=""),"Financial year missing; ","")&amp;IF(AND(BD745=0,V745&lt;&gt;""),"Financial year given but no service is Yes; ","")&amp;IF(AND(W745="Yes",AZ745=""),"GST needs a GSTIN; ","")&amp;IF(AND(W745="Yes",X745=""),"GST return frequency missing; ","")&amp;IF(AND(Y745="Yes",TRIM(H745)=""),"TDS needs a TAN; ","")&amp;IF(AND(AA745="Yes",BC745&lt;&gt;"",BC745&lt;&gt;"company",BC745&lt;&gt;"llp"),"ROC is only for a company / LLP; ","")&amp;IF(AND(AA745="Yes",OR(BC745="company",BC745="llp"),TRIM(I745)=""),"ROC needs the CIN / LLPIN; ","")&amp;IF((TRIM(AF745)="")&lt;&gt;(TRIM(AG745)=""),"GST login needs both user ID and password; ","")&amp;IF((TRIM(AH745)="")&lt;&gt;(TRIM(AI745)=""),"Income-tax login needs both user ID and password; ","")&amp;IF((TRIM(AJ745)="")&lt;&gt;(TRIM(AK745)=""),"Income-tax login needs both user ID and password; ","")&amp;IF((TRIM(AL745)="")&lt;&gt;(TRIM(AM745)=""),"TRACES login needs both user ID and password; ","")&amp;IF((TRIM(AN745)="")&lt;&gt;(TRIM(AO745)=""),"MCA login needs both user ID and password; ","")&amp;IF((TRIM(AP745)="")&lt;&gt;(TRIM(AQ745)=""),"E-way bill login needs both user ID and password; ","")</f>
        <v/>
      </c>
    </row>
    <row r="746">
      <c r="A746" s="32" t="n"/>
      <c r="B746" s="33" t="n"/>
      <c r="C746" s="33" t="n"/>
      <c r="D746" s="33" t="n"/>
      <c r="E746" s="32" t="n"/>
      <c r="F746" s="32" t="n"/>
      <c r="G746" s="32" t="n"/>
      <c r="H746" s="32" t="n"/>
      <c r="I746" s="32" t="n"/>
      <c r="J746" s="34" t="n"/>
      <c r="K746" s="33" t="n"/>
      <c r="L746" s="32" t="n"/>
      <c r="M746" s="33" t="n"/>
      <c r="N746" s="33" t="n"/>
      <c r="O746" s="33" t="n"/>
      <c r="P746" s="32" t="n"/>
      <c r="Q746" s="33" t="n"/>
      <c r="R746" s="33" t="n"/>
      <c r="S746" s="33" t="n"/>
      <c r="T746" s="33" t="n"/>
      <c r="U746" s="32" t="n"/>
      <c r="V746" s="33" t="n"/>
      <c r="W746" s="33" t="n"/>
      <c r="X746" s="33" t="n"/>
      <c r="Y746" s="33" t="n"/>
      <c r="Z746" s="33" t="n"/>
      <c r="AA746" s="33" t="n"/>
      <c r="AB746" s="33" t="n"/>
      <c r="AC746" s="33" t="n"/>
      <c r="AD746" s="33" t="n"/>
      <c r="AE746" s="33" t="n"/>
      <c r="AF746" s="32" t="n"/>
      <c r="AG746" s="32" t="n"/>
      <c r="AH746" s="32" t="n"/>
      <c r="AI746" s="32" t="n"/>
      <c r="AJ746" s="32" t="n"/>
      <c r="AK746" s="32" t="n"/>
      <c r="AL746" s="32" t="n"/>
      <c r="AM746" s="32" t="n"/>
      <c r="AN746" s="32" t="n"/>
      <c r="AO746" s="32" t="n"/>
      <c r="AP746" s="32" t="n"/>
      <c r="AQ746" s="32" t="n"/>
      <c r="AR746" s="29">
        <f>IF(NOT(COUNTA(A746:AE746)&gt;0),"",IF(A746="","New client","Update"))</f>
        <v/>
      </c>
      <c r="AS746" s="29">
        <f>IF(BA746&lt;&gt;"",BA746,IF(LEN(AZ746)=15,MID(AZ746,3,10),""))</f>
        <v/>
      </c>
      <c r="AT746" s="29">
        <f>IF(BB746="","",BB746&amp;IF(D746="","  (guessed from PAN)",""))</f>
        <v/>
      </c>
      <c r="AU746" s="29">
        <f>IF(AZ746="","",IFERROR(INDEX(Lists!$L$2:$L$38,MATCH(LEFT(AZ746,2),Lists!$K$2:$K$38,0)),"Unknown code"))</f>
        <v/>
      </c>
      <c r="AV746" s="29">
        <f>IF(AZ746="","",IFERROR(IF(NOT(AND(LEN(AZ746)=15,ISNUMBER(MATCH(LEFT(AZ746,2),Lists!$K$2:$K$38,0)),SUMPRODUCT(--ISERROR(FIND(MID(MID(AZ746,3,10),{1,2,3,4,5,10},1),"ABCDEFGHIJKLMNOPQRSTUVWXYZ")))=0,SUMPRODUCT(--ISERROR(FIND(MID(MID(AZ746,3,10),{6,7,8,9},1),"0123456789")))=0,ISNUMBER(FIND(MID(AZ746,13,1),"123456789ABCDEFGHIJKLMNOPQRSTUVWXYZ")),MID(AZ746,14,1)="Z")),"Wrong format",IF(MID("0123456789ABCDEFGHIJKLMNOPQRSTUVWXYZ",MOD(36-MOD(SUMPRODUCT(INT((FIND(MID(AZ746,{1,2,3,4,5,6,7,8,9,10,11,12,13,14},1),"0123456789ABCDEFGHIJKLMNOPQRSTUVWXYZ")-1)*{1,2,1,2,1,2,1,2,1,2,1,2,1,2}/36)+MOD((FIND(MID(AZ746,{1,2,3,4,5,6,7,8,9,10,11,12,13,14},1),"0123456789ABCDEFGHIJKLMNOPQRSTUVWXYZ")-1)*{1,2,1,2,1,2,1,2,1,2,1,2,1,2},36)),36),36)+1,1)=MID(AZ746,15,1),"OK","Typo? check digit wrong")),"Wrong format"))</f>
        <v/>
      </c>
      <c r="AW746" s="29">
        <f>IF(BA746="","",IF(AND(LEN(BA746)=10,SUMPRODUCT(--ISERROR(FIND(MID(BA746,{1,2,3,4,5,10},1),"ABCDEFGHIJKLMNOPQRSTUVWXYZ")))=0,SUMPRODUCT(--ISERROR(FIND(MID(BA746,{6,7,8,9},1),"0123456789")))=0),"OK","Wrong format"))</f>
        <v/>
      </c>
      <c r="AX746" s="29">
        <f>IF(TRIM(H746)="","",IF(AND(LEN(UPPER(TRIM(H746)))=10,SUMPRODUCT(--ISERROR(FIND(MID(UPPER(TRIM(H746)),{1,2,3,4,10},1),"ABCDEFGHIJKLMNOPQRSTUVWXYZ")))=0,SUMPRODUCT(--ISERROR(FIND(MID(UPPER(TRIM(H746)),{5,6,7,8,9},1),"0123456789")))=0),"OK","Wrong format"))</f>
        <v/>
      </c>
      <c r="AY746" s="30">
        <f>IF(NOT(COUNTA(A746:AE746)&gt;0),"",IF(BE746&lt;&gt;"","✖ "&amp;LEFT(BE746,LEN(BE746)-2),IF(BD746&gt;0,"✔ Ready — client + "&amp;BD746&amp;" service(s)","✔ Ready — client only")))</f>
        <v/>
      </c>
      <c r="AZ746" s="31">
        <f>UPPER(SUBSTITUTE(TRIM(F746)," ",""))</f>
        <v/>
      </c>
      <c r="BA746" s="31">
        <f>UPPER(SUBSTITUTE(TRIM(E746)," ",""))</f>
        <v/>
      </c>
      <c r="BB746" s="31">
        <f>IF(D746&lt;&gt;"",D746,IFERROR(VLOOKUP(MID(AS746,4,1),Lists!$E$2:$F$8,2,FALSE),""))</f>
        <v/>
      </c>
      <c r="BC746" s="31">
        <f>IFERROR(VLOOKUP(BB746,Lists!$A$2:$C$12,3,FALSE),"")</f>
        <v/>
      </c>
      <c r="BD746" s="31">
        <f>COUNTIF(W746:AC746,"Yes")</f>
        <v/>
      </c>
      <c r="BE746" s="31">
        <f>IF(TRIM(B746)="","Legal name missing; ","")&amp;IF(AND(AV746&lt;&gt;"",AV746&lt;&gt;"OK"),"GSTIN: "&amp;AV746&amp;"; ","")&amp;IF(AND(AW746&lt;&gt;"",AW746&lt;&gt;"OK"),"PAN wrong format; ","")&amp;IF(AND(BA746&lt;&gt;"",LEN(AZ746)=15,MID(AZ746,3,10)&lt;&gt;BA746),"PAN does not match GSTIN; ","")&amp;IF(AND(AX746&lt;&gt;"",AX746&lt;&gt;"OK"),"TAN wrong format; ","")&amp;IF(AS746="","PAN missing; ","")&amp;IF(BB746="","Entity type missing; ","")&amp;IF(AND(AZ746&lt;&gt;"",COUNTIF($AZ$6:$AZ$1005,AZ746)&gt;1),"GSTIN repeated in this sheet; ","")&amp;IF(AND(AS746&lt;&gt;"",COUNTIF($AS$6:$AS$1005,AS746)&gt;1),"PAN repeated in this sheet (same client? put extra GSTINs in Other GSTINs); ","")&amp;IF(AND(BD746&gt;0,V746=""),"Financial year missing; ","")&amp;IF(AND(BD746=0,V746&lt;&gt;""),"Financial year given but no service is Yes; ","")&amp;IF(AND(W746="Yes",AZ746=""),"GST needs a GSTIN; ","")&amp;IF(AND(W746="Yes",X746=""),"GST return frequency missing; ","")&amp;IF(AND(Y746="Yes",TRIM(H746)=""),"TDS needs a TAN; ","")&amp;IF(AND(AA746="Yes",BC746&lt;&gt;"",BC746&lt;&gt;"company",BC746&lt;&gt;"llp"),"ROC is only for a company / LLP; ","")&amp;IF(AND(AA746="Yes",OR(BC746="company",BC746="llp"),TRIM(I746)=""),"ROC needs the CIN / LLPIN; ","")&amp;IF((TRIM(AF746)="")&lt;&gt;(TRIM(AG746)=""),"GST login needs both user ID and password; ","")&amp;IF((TRIM(AH746)="")&lt;&gt;(TRIM(AI746)=""),"Income-tax login needs both user ID and password; ","")&amp;IF((TRIM(AJ746)="")&lt;&gt;(TRIM(AK746)=""),"Income-tax login needs both user ID and password; ","")&amp;IF((TRIM(AL746)="")&lt;&gt;(TRIM(AM746)=""),"TRACES login needs both user ID and password; ","")&amp;IF((TRIM(AN746)="")&lt;&gt;(TRIM(AO746)=""),"MCA login needs both user ID and password; ","")&amp;IF((TRIM(AP746)="")&lt;&gt;(TRIM(AQ746)=""),"E-way bill login needs both user ID and password; ","")</f>
        <v/>
      </c>
    </row>
    <row r="747">
      <c r="A747" s="32" t="n"/>
      <c r="B747" s="33" t="n"/>
      <c r="C747" s="33" t="n"/>
      <c r="D747" s="33" t="n"/>
      <c r="E747" s="32" t="n"/>
      <c r="F747" s="32" t="n"/>
      <c r="G747" s="32" t="n"/>
      <c r="H747" s="32" t="n"/>
      <c r="I747" s="32" t="n"/>
      <c r="J747" s="34" t="n"/>
      <c r="K747" s="33" t="n"/>
      <c r="L747" s="32" t="n"/>
      <c r="M747" s="33" t="n"/>
      <c r="N747" s="33" t="n"/>
      <c r="O747" s="33" t="n"/>
      <c r="P747" s="32" t="n"/>
      <c r="Q747" s="33" t="n"/>
      <c r="R747" s="33" t="n"/>
      <c r="S747" s="33" t="n"/>
      <c r="T747" s="33" t="n"/>
      <c r="U747" s="32" t="n"/>
      <c r="V747" s="33" t="n"/>
      <c r="W747" s="33" t="n"/>
      <c r="X747" s="33" t="n"/>
      <c r="Y747" s="33" t="n"/>
      <c r="Z747" s="33" t="n"/>
      <c r="AA747" s="33" t="n"/>
      <c r="AB747" s="33" t="n"/>
      <c r="AC747" s="33" t="n"/>
      <c r="AD747" s="33" t="n"/>
      <c r="AE747" s="33" t="n"/>
      <c r="AF747" s="32" t="n"/>
      <c r="AG747" s="32" t="n"/>
      <c r="AH747" s="32" t="n"/>
      <c r="AI747" s="32" t="n"/>
      <c r="AJ747" s="32" t="n"/>
      <c r="AK747" s="32" t="n"/>
      <c r="AL747" s="32" t="n"/>
      <c r="AM747" s="32" t="n"/>
      <c r="AN747" s="32" t="n"/>
      <c r="AO747" s="32" t="n"/>
      <c r="AP747" s="32" t="n"/>
      <c r="AQ747" s="32" t="n"/>
      <c r="AR747" s="29">
        <f>IF(NOT(COUNTA(A747:AE747)&gt;0),"",IF(A747="","New client","Update"))</f>
        <v/>
      </c>
      <c r="AS747" s="29">
        <f>IF(BA747&lt;&gt;"",BA747,IF(LEN(AZ747)=15,MID(AZ747,3,10),""))</f>
        <v/>
      </c>
      <c r="AT747" s="29">
        <f>IF(BB747="","",BB747&amp;IF(D747="","  (guessed from PAN)",""))</f>
        <v/>
      </c>
      <c r="AU747" s="29">
        <f>IF(AZ747="","",IFERROR(INDEX(Lists!$L$2:$L$38,MATCH(LEFT(AZ747,2),Lists!$K$2:$K$38,0)),"Unknown code"))</f>
        <v/>
      </c>
      <c r="AV747" s="29">
        <f>IF(AZ747="","",IFERROR(IF(NOT(AND(LEN(AZ747)=15,ISNUMBER(MATCH(LEFT(AZ747,2),Lists!$K$2:$K$38,0)),SUMPRODUCT(--ISERROR(FIND(MID(MID(AZ747,3,10),{1,2,3,4,5,10},1),"ABCDEFGHIJKLMNOPQRSTUVWXYZ")))=0,SUMPRODUCT(--ISERROR(FIND(MID(MID(AZ747,3,10),{6,7,8,9},1),"0123456789")))=0,ISNUMBER(FIND(MID(AZ747,13,1),"123456789ABCDEFGHIJKLMNOPQRSTUVWXYZ")),MID(AZ747,14,1)="Z")),"Wrong format",IF(MID("0123456789ABCDEFGHIJKLMNOPQRSTUVWXYZ",MOD(36-MOD(SUMPRODUCT(INT((FIND(MID(AZ747,{1,2,3,4,5,6,7,8,9,10,11,12,13,14},1),"0123456789ABCDEFGHIJKLMNOPQRSTUVWXYZ")-1)*{1,2,1,2,1,2,1,2,1,2,1,2,1,2}/36)+MOD((FIND(MID(AZ747,{1,2,3,4,5,6,7,8,9,10,11,12,13,14},1),"0123456789ABCDEFGHIJKLMNOPQRSTUVWXYZ")-1)*{1,2,1,2,1,2,1,2,1,2,1,2,1,2},36)),36),36)+1,1)=MID(AZ747,15,1),"OK","Typo? check digit wrong")),"Wrong format"))</f>
        <v/>
      </c>
      <c r="AW747" s="29">
        <f>IF(BA747="","",IF(AND(LEN(BA747)=10,SUMPRODUCT(--ISERROR(FIND(MID(BA747,{1,2,3,4,5,10},1),"ABCDEFGHIJKLMNOPQRSTUVWXYZ")))=0,SUMPRODUCT(--ISERROR(FIND(MID(BA747,{6,7,8,9},1),"0123456789")))=0),"OK","Wrong format"))</f>
        <v/>
      </c>
      <c r="AX747" s="29">
        <f>IF(TRIM(H747)="","",IF(AND(LEN(UPPER(TRIM(H747)))=10,SUMPRODUCT(--ISERROR(FIND(MID(UPPER(TRIM(H747)),{1,2,3,4,10},1),"ABCDEFGHIJKLMNOPQRSTUVWXYZ")))=0,SUMPRODUCT(--ISERROR(FIND(MID(UPPER(TRIM(H747)),{5,6,7,8,9},1),"0123456789")))=0),"OK","Wrong format"))</f>
        <v/>
      </c>
      <c r="AY747" s="30">
        <f>IF(NOT(COUNTA(A747:AE747)&gt;0),"",IF(BE747&lt;&gt;"","✖ "&amp;LEFT(BE747,LEN(BE747)-2),IF(BD747&gt;0,"✔ Ready — client + "&amp;BD747&amp;" service(s)","✔ Ready — client only")))</f>
        <v/>
      </c>
      <c r="AZ747" s="31">
        <f>UPPER(SUBSTITUTE(TRIM(F747)," ",""))</f>
        <v/>
      </c>
      <c r="BA747" s="31">
        <f>UPPER(SUBSTITUTE(TRIM(E747)," ",""))</f>
        <v/>
      </c>
      <c r="BB747" s="31">
        <f>IF(D747&lt;&gt;"",D747,IFERROR(VLOOKUP(MID(AS747,4,1),Lists!$E$2:$F$8,2,FALSE),""))</f>
        <v/>
      </c>
      <c r="BC747" s="31">
        <f>IFERROR(VLOOKUP(BB747,Lists!$A$2:$C$12,3,FALSE),"")</f>
        <v/>
      </c>
      <c r="BD747" s="31">
        <f>COUNTIF(W747:AC747,"Yes")</f>
        <v/>
      </c>
      <c r="BE747" s="31">
        <f>IF(TRIM(B747)="","Legal name missing; ","")&amp;IF(AND(AV747&lt;&gt;"",AV747&lt;&gt;"OK"),"GSTIN: "&amp;AV747&amp;"; ","")&amp;IF(AND(AW747&lt;&gt;"",AW747&lt;&gt;"OK"),"PAN wrong format; ","")&amp;IF(AND(BA747&lt;&gt;"",LEN(AZ747)=15,MID(AZ747,3,10)&lt;&gt;BA747),"PAN does not match GSTIN; ","")&amp;IF(AND(AX747&lt;&gt;"",AX747&lt;&gt;"OK"),"TAN wrong format; ","")&amp;IF(AS747="","PAN missing; ","")&amp;IF(BB747="","Entity type missing; ","")&amp;IF(AND(AZ747&lt;&gt;"",COUNTIF($AZ$6:$AZ$1005,AZ747)&gt;1),"GSTIN repeated in this sheet; ","")&amp;IF(AND(AS747&lt;&gt;"",COUNTIF($AS$6:$AS$1005,AS747)&gt;1),"PAN repeated in this sheet (same client? put extra GSTINs in Other GSTINs); ","")&amp;IF(AND(BD747&gt;0,V747=""),"Financial year missing; ","")&amp;IF(AND(BD747=0,V747&lt;&gt;""),"Financial year given but no service is Yes; ","")&amp;IF(AND(W747="Yes",AZ747=""),"GST needs a GSTIN; ","")&amp;IF(AND(W747="Yes",X747=""),"GST return frequency missing; ","")&amp;IF(AND(Y747="Yes",TRIM(H747)=""),"TDS needs a TAN; ","")&amp;IF(AND(AA747="Yes",BC747&lt;&gt;"",BC747&lt;&gt;"company",BC747&lt;&gt;"llp"),"ROC is only for a company / LLP; ","")&amp;IF(AND(AA747="Yes",OR(BC747="company",BC747="llp"),TRIM(I747)=""),"ROC needs the CIN / LLPIN; ","")&amp;IF((TRIM(AF747)="")&lt;&gt;(TRIM(AG747)=""),"GST login needs both user ID and password; ","")&amp;IF((TRIM(AH747)="")&lt;&gt;(TRIM(AI747)=""),"Income-tax login needs both user ID and password; ","")&amp;IF((TRIM(AJ747)="")&lt;&gt;(TRIM(AK747)=""),"Income-tax login needs both user ID and password; ","")&amp;IF((TRIM(AL747)="")&lt;&gt;(TRIM(AM747)=""),"TRACES login needs both user ID and password; ","")&amp;IF((TRIM(AN747)="")&lt;&gt;(TRIM(AO747)=""),"MCA login needs both user ID and password; ","")&amp;IF((TRIM(AP747)="")&lt;&gt;(TRIM(AQ747)=""),"E-way bill login needs both user ID and password; ","")</f>
        <v/>
      </c>
    </row>
    <row r="748">
      <c r="A748" s="32" t="n"/>
      <c r="B748" s="33" t="n"/>
      <c r="C748" s="33" t="n"/>
      <c r="D748" s="33" t="n"/>
      <c r="E748" s="32" t="n"/>
      <c r="F748" s="32" t="n"/>
      <c r="G748" s="32" t="n"/>
      <c r="H748" s="32" t="n"/>
      <c r="I748" s="32" t="n"/>
      <c r="J748" s="34" t="n"/>
      <c r="K748" s="33" t="n"/>
      <c r="L748" s="32" t="n"/>
      <c r="M748" s="33" t="n"/>
      <c r="N748" s="33" t="n"/>
      <c r="O748" s="33" t="n"/>
      <c r="P748" s="32" t="n"/>
      <c r="Q748" s="33" t="n"/>
      <c r="R748" s="33" t="n"/>
      <c r="S748" s="33" t="n"/>
      <c r="T748" s="33" t="n"/>
      <c r="U748" s="32" t="n"/>
      <c r="V748" s="33" t="n"/>
      <c r="W748" s="33" t="n"/>
      <c r="X748" s="33" t="n"/>
      <c r="Y748" s="33" t="n"/>
      <c r="Z748" s="33" t="n"/>
      <c r="AA748" s="33" t="n"/>
      <c r="AB748" s="33" t="n"/>
      <c r="AC748" s="33" t="n"/>
      <c r="AD748" s="33" t="n"/>
      <c r="AE748" s="33" t="n"/>
      <c r="AF748" s="32" t="n"/>
      <c r="AG748" s="32" t="n"/>
      <c r="AH748" s="32" t="n"/>
      <c r="AI748" s="32" t="n"/>
      <c r="AJ748" s="32" t="n"/>
      <c r="AK748" s="32" t="n"/>
      <c r="AL748" s="32" t="n"/>
      <c r="AM748" s="32" t="n"/>
      <c r="AN748" s="32" t="n"/>
      <c r="AO748" s="32" t="n"/>
      <c r="AP748" s="32" t="n"/>
      <c r="AQ748" s="32" t="n"/>
      <c r="AR748" s="29">
        <f>IF(NOT(COUNTA(A748:AE748)&gt;0),"",IF(A748="","New client","Update"))</f>
        <v/>
      </c>
      <c r="AS748" s="29">
        <f>IF(BA748&lt;&gt;"",BA748,IF(LEN(AZ748)=15,MID(AZ748,3,10),""))</f>
        <v/>
      </c>
      <c r="AT748" s="29">
        <f>IF(BB748="","",BB748&amp;IF(D748="","  (guessed from PAN)",""))</f>
        <v/>
      </c>
      <c r="AU748" s="29">
        <f>IF(AZ748="","",IFERROR(INDEX(Lists!$L$2:$L$38,MATCH(LEFT(AZ748,2),Lists!$K$2:$K$38,0)),"Unknown code"))</f>
        <v/>
      </c>
      <c r="AV748" s="29">
        <f>IF(AZ748="","",IFERROR(IF(NOT(AND(LEN(AZ748)=15,ISNUMBER(MATCH(LEFT(AZ748,2),Lists!$K$2:$K$38,0)),SUMPRODUCT(--ISERROR(FIND(MID(MID(AZ748,3,10),{1,2,3,4,5,10},1),"ABCDEFGHIJKLMNOPQRSTUVWXYZ")))=0,SUMPRODUCT(--ISERROR(FIND(MID(MID(AZ748,3,10),{6,7,8,9},1),"0123456789")))=0,ISNUMBER(FIND(MID(AZ748,13,1),"123456789ABCDEFGHIJKLMNOPQRSTUVWXYZ")),MID(AZ748,14,1)="Z")),"Wrong format",IF(MID("0123456789ABCDEFGHIJKLMNOPQRSTUVWXYZ",MOD(36-MOD(SUMPRODUCT(INT((FIND(MID(AZ748,{1,2,3,4,5,6,7,8,9,10,11,12,13,14},1),"0123456789ABCDEFGHIJKLMNOPQRSTUVWXYZ")-1)*{1,2,1,2,1,2,1,2,1,2,1,2,1,2}/36)+MOD((FIND(MID(AZ748,{1,2,3,4,5,6,7,8,9,10,11,12,13,14},1),"0123456789ABCDEFGHIJKLMNOPQRSTUVWXYZ")-1)*{1,2,1,2,1,2,1,2,1,2,1,2,1,2},36)),36),36)+1,1)=MID(AZ748,15,1),"OK","Typo? check digit wrong")),"Wrong format"))</f>
        <v/>
      </c>
      <c r="AW748" s="29">
        <f>IF(BA748="","",IF(AND(LEN(BA748)=10,SUMPRODUCT(--ISERROR(FIND(MID(BA748,{1,2,3,4,5,10},1),"ABCDEFGHIJKLMNOPQRSTUVWXYZ")))=0,SUMPRODUCT(--ISERROR(FIND(MID(BA748,{6,7,8,9},1),"0123456789")))=0),"OK","Wrong format"))</f>
        <v/>
      </c>
      <c r="AX748" s="29">
        <f>IF(TRIM(H748)="","",IF(AND(LEN(UPPER(TRIM(H748)))=10,SUMPRODUCT(--ISERROR(FIND(MID(UPPER(TRIM(H748)),{1,2,3,4,10},1),"ABCDEFGHIJKLMNOPQRSTUVWXYZ")))=0,SUMPRODUCT(--ISERROR(FIND(MID(UPPER(TRIM(H748)),{5,6,7,8,9},1),"0123456789")))=0),"OK","Wrong format"))</f>
        <v/>
      </c>
      <c r="AY748" s="30">
        <f>IF(NOT(COUNTA(A748:AE748)&gt;0),"",IF(BE748&lt;&gt;"","✖ "&amp;LEFT(BE748,LEN(BE748)-2),IF(BD748&gt;0,"✔ Ready — client + "&amp;BD748&amp;" service(s)","✔ Ready — client only")))</f>
        <v/>
      </c>
      <c r="AZ748" s="31">
        <f>UPPER(SUBSTITUTE(TRIM(F748)," ",""))</f>
        <v/>
      </c>
      <c r="BA748" s="31">
        <f>UPPER(SUBSTITUTE(TRIM(E748)," ",""))</f>
        <v/>
      </c>
      <c r="BB748" s="31">
        <f>IF(D748&lt;&gt;"",D748,IFERROR(VLOOKUP(MID(AS748,4,1),Lists!$E$2:$F$8,2,FALSE),""))</f>
        <v/>
      </c>
      <c r="BC748" s="31">
        <f>IFERROR(VLOOKUP(BB748,Lists!$A$2:$C$12,3,FALSE),"")</f>
        <v/>
      </c>
      <c r="BD748" s="31">
        <f>COUNTIF(W748:AC748,"Yes")</f>
        <v/>
      </c>
      <c r="BE748" s="31">
        <f>IF(TRIM(B748)="","Legal name missing; ","")&amp;IF(AND(AV748&lt;&gt;"",AV748&lt;&gt;"OK"),"GSTIN: "&amp;AV748&amp;"; ","")&amp;IF(AND(AW748&lt;&gt;"",AW748&lt;&gt;"OK"),"PAN wrong format; ","")&amp;IF(AND(BA748&lt;&gt;"",LEN(AZ748)=15,MID(AZ748,3,10)&lt;&gt;BA748),"PAN does not match GSTIN; ","")&amp;IF(AND(AX748&lt;&gt;"",AX748&lt;&gt;"OK"),"TAN wrong format; ","")&amp;IF(AS748="","PAN missing; ","")&amp;IF(BB748="","Entity type missing; ","")&amp;IF(AND(AZ748&lt;&gt;"",COUNTIF($AZ$6:$AZ$1005,AZ748)&gt;1),"GSTIN repeated in this sheet; ","")&amp;IF(AND(AS748&lt;&gt;"",COUNTIF($AS$6:$AS$1005,AS748)&gt;1),"PAN repeated in this sheet (same client? put extra GSTINs in Other GSTINs); ","")&amp;IF(AND(BD748&gt;0,V748=""),"Financial year missing; ","")&amp;IF(AND(BD748=0,V748&lt;&gt;""),"Financial year given but no service is Yes; ","")&amp;IF(AND(W748="Yes",AZ748=""),"GST needs a GSTIN; ","")&amp;IF(AND(W748="Yes",X748=""),"GST return frequency missing; ","")&amp;IF(AND(Y748="Yes",TRIM(H748)=""),"TDS needs a TAN; ","")&amp;IF(AND(AA748="Yes",BC748&lt;&gt;"",BC748&lt;&gt;"company",BC748&lt;&gt;"llp"),"ROC is only for a company / LLP; ","")&amp;IF(AND(AA748="Yes",OR(BC748="company",BC748="llp"),TRIM(I748)=""),"ROC needs the CIN / LLPIN; ","")&amp;IF((TRIM(AF748)="")&lt;&gt;(TRIM(AG748)=""),"GST login needs both user ID and password; ","")&amp;IF((TRIM(AH748)="")&lt;&gt;(TRIM(AI748)=""),"Income-tax login needs both user ID and password; ","")&amp;IF((TRIM(AJ748)="")&lt;&gt;(TRIM(AK748)=""),"Income-tax login needs both user ID and password; ","")&amp;IF((TRIM(AL748)="")&lt;&gt;(TRIM(AM748)=""),"TRACES login needs both user ID and password; ","")&amp;IF((TRIM(AN748)="")&lt;&gt;(TRIM(AO748)=""),"MCA login needs both user ID and password; ","")&amp;IF((TRIM(AP748)="")&lt;&gt;(TRIM(AQ748)=""),"E-way bill login needs both user ID and password; ","")</f>
        <v/>
      </c>
    </row>
    <row r="749">
      <c r="A749" s="32" t="n"/>
      <c r="B749" s="33" t="n"/>
      <c r="C749" s="33" t="n"/>
      <c r="D749" s="33" t="n"/>
      <c r="E749" s="32" t="n"/>
      <c r="F749" s="32" t="n"/>
      <c r="G749" s="32" t="n"/>
      <c r="H749" s="32" t="n"/>
      <c r="I749" s="32" t="n"/>
      <c r="J749" s="34" t="n"/>
      <c r="K749" s="33" t="n"/>
      <c r="L749" s="32" t="n"/>
      <c r="M749" s="33" t="n"/>
      <c r="N749" s="33" t="n"/>
      <c r="O749" s="33" t="n"/>
      <c r="P749" s="32" t="n"/>
      <c r="Q749" s="33" t="n"/>
      <c r="R749" s="33" t="n"/>
      <c r="S749" s="33" t="n"/>
      <c r="T749" s="33" t="n"/>
      <c r="U749" s="32" t="n"/>
      <c r="V749" s="33" t="n"/>
      <c r="W749" s="33" t="n"/>
      <c r="X749" s="33" t="n"/>
      <c r="Y749" s="33" t="n"/>
      <c r="Z749" s="33" t="n"/>
      <c r="AA749" s="33" t="n"/>
      <c r="AB749" s="33" t="n"/>
      <c r="AC749" s="33" t="n"/>
      <c r="AD749" s="33" t="n"/>
      <c r="AE749" s="33" t="n"/>
      <c r="AF749" s="32" t="n"/>
      <c r="AG749" s="32" t="n"/>
      <c r="AH749" s="32" t="n"/>
      <c r="AI749" s="32" t="n"/>
      <c r="AJ749" s="32" t="n"/>
      <c r="AK749" s="32" t="n"/>
      <c r="AL749" s="32" t="n"/>
      <c r="AM749" s="32" t="n"/>
      <c r="AN749" s="32" t="n"/>
      <c r="AO749" s="32" t="n"/>
      <c r="AP749" s="32" t="n"/>
      <c r="AQ749" s="32" t="n"/>
      <c r="AR749" s="29">
        <f>IF(NOT(COUNTA(A749:AE749)&gt;0),"",IF(A749="","New client","Update"))</f>
        <v/>
      </c>
      <c r="AS749" s="29">
        <f>IF(BA749&lt;&gt;"",BA749,IF(LEN(AZ749)=15,MID(AZ749,3,10),""))</f>
        <v/>
      </c>
      <c r="AT749" s="29">
        <f>IF(BB749="","",BB749&amp;IF(D749="","  (guessed from PAN)",""))</f>
        <v/>
      </c>
      <c r="AU749" s="29">
        <f>IF(AZ749="","",IFERROR(INDEX(Lists!$L$2:$L$38,MATCH(LEFT(AZ749,2),Lists!$K$2:$K$38,0)),"Unknown code"))</f>
        <v/>
      </c>
      <c r="AV749" s="29">
        <f>IF(AZ749="","",IFERROR(IF(NOT(AND(LEN(AZ749)=15,ISNUMBER(MATCH(LEFT(AZ749,2),Lists!$K$2:$K$38,0)),SUMPRODUCT(--ISERROR(FIND(MID(MID(AZ749,3,10),{1,2,3,4,5,10},1),"ABCDEFGHIJKLMNOPQRSTUVWXYZ")))=0,SUMPRODUCT(--ISERROR(FIND(MID(MID(AZ749,3,10),{6,7,8,9},1),"0123456789")))=0,ISNUMBER(FIND(MID(AZ749,13,1),"123456789ABCDEFGHIJKLMNOPQRSTUVWXYZ")),MID(AZ749,14,1)="Z")),"Wrong format",IF(MID("0123456789ABCDEFGHIJKLMNOPQRSTUVWXYZ",MOD(36-MOD(SUMPRODUCT(INT((FIND(MID(AZ749,{1,2,3,4,5,6,7,8,9,10,11,12,13,14},1),"0123456789ABCDEFGHIJKLMNOPQRSTUVWXYZ")-1)*{1,2,1,2,1,2,1,2,1,2,1,2,1,2}/36)+MOD((FIND(MID(AZ749,{1,2,3,4,5,6,7,8,9,10,11,12,13,14},1),"0123456789ABCDEFGHIJKLMNOPQRSTUVWXYZ")-1)*{1,2,1,2,1,2,1,2,1,2,1,2,1,2},36)),36),36)+1,1)=MID(AZ749,15,1),"OK","Typo? check digit wrong")),"Wrong format"))</f>
        <v/>
      </c>
      <c r="AW749" s="29">
        <f>IF(BA749="","",IF(AND(LEN(BA749)=10,SUMPRODUCT(--ISERROR(FIND(MID(BA749,{1,2,3,4,5,10},1),"ABCDEFGHIJKLMNOPQRSTUVWXYZ")))=0,SUMPRODUCT(--ISERROR(FIND(MID(BA749,{6,7,8,9},1),"0123456789")))=0),"OK","Wrong format"))</f>
        <v/>
      </c>
      <c r="AX749" s="29">
        <f>IF(TRIM(H749)="","",IF(AND(LEN(UPPER(TRIM(H749)))=10,SUMPRODUCT(--ISERROR(FIND(MID(UPPER(TRIM(H749)),{1,2,3,4,10},1),"ABCDEFGHIJKLMNOPQRSTUVWXYZ")))=0,SUMPRODUCT(--ISERROR(FIND(MID(UPPER(TRIM(H749)),{5,6,7,8,9},1),"0123456789")))=0),"OK","Wrong format"))</f>
        <v/>
      </c>
      <c r="AY749" s="30">
        <f>IF(NOT(COUNTA(A749:AE749)&gt;0),"",IF(BE749&lt;&gt;"","✖ "&amp;LEFT(BE749,LEN(BE749)-2),IF(BD749&gt;0,"✔ Ready — client + "&amp;BD749&amp;" service(s)","✔ Ready — client only")))</f>
        <v/>
      </c>
      <c r="AZ749" s="31">
        <f>UPPER(SUBSTITUTE(TRIM(F749)," ",""))</f>
        <v/>
      </c>
      <c r="BA749" s="31">
        <f>UPPER(SUBSTITUTE(TRIM(E749)," ",""))</f>
        <v/>
      </c>
      <c r="BB749" s="31">
        <f>IF(D749&lt;&gt;"",D749,IFERROR(VLOOKUP(MID(AS749,4,1),Lists!$E$2:$F$8,2,FALSE),""))</f>
        <v/>
      </c>
      <c r="BC749" s="31">
        <f>IFERROR(VLOOKUP(BB749,Lists!$A$2:$C$12,3,FALSE),"")</f>
        <v/>
      </c>
      <c r="BD749" s="31">
        <f>COUNTIF(W749:AC749,"Yes")</f>
        <v/>
      </c>
      <c r="BE749" s="31">
        <f>IF(TRIM(B749)="","Legal name missing; ","")&amp;IF(AND(AV749&lt;&gt;"",AV749&lt;&gt;"OK"),"GSTIN: "&amp;AV749&amp;"; ","")&amp;IF(AND(AW749&lt;&gt;"",AW749&lt;&gt;"OK"),"PAN wrong format; ","")&amp;IF(AND(BA749&lt;&gt;"",LEN(AZ749)=15,MID(AZ749,3,10)&lt;&gt;BA749),"PAN does not match GSTIN; ","")&amp;IF(AND(AX749&lt;&gt;"",AX749&lt;&gt;"OK"),"TAN wrong format; ","")&amp;IF(AS749="","PAN missing; ","")&amp;IF(BB749="","Entity type missing; ","")&amp;IF(AND(AZ749&lt;&gt;"",COUNTIF($AZ$6:$AZ$1005,AZ749)&gt;1),"GSTIN repeated in this sheet; ","")&amp;IF(AND(AS749&lt;&gt;"",COUNTIF($AS$6:$AS$1005,AS749)&gt;1),"PAN repeated in this sheet (same client? put extra GSTINs in Other GSTINs); ","")&amp;IF(AND(BD749&gt;0,V749=""),"Financial year missing; ","")&amp;IF(AND(BD749=0,V749&lt;&gt;""),"Financial year given but no service is Yes; ","")&amp;IF(AND(W749="Yes",AZ749=""),"GST needs a GSTIN; ","")&amp;IF(AND(W749="Yes",X749=""),"GST return frequency missing; ","")&amp;IF(AND(Y749="Yes",TRIM(H749)=""),"TDS needs a TAN; ","")&amp;IF(AND(AA749="Yes",BC749&lt;&gt;"",BC749&lt;&gt;"company",BC749&lt;&gt;"llp"),"ROC is only for a company / LLP; ","")&amp;IF(AND(AA749="Yes",OR(BC749="company",BC749="llp"),TRIM(I749)=""),"ROC needs the CIN / LLPIN; ","")&amp;IF((TRIM(AF749)="")&lt;&gt;(TRIM(AG749)=""),"GST login needs both user ID and password; ","")&amp;IF((TRIM(AH749)="")&lt;&gt;(TRIM(AI749)=""),"Income-tax login needs both user ID and password; ","")&amp;IF((TRIM(AJ749)="")&lt;&gt;(TRIM(AK749)=""),"Income-tax login needs both user ID and password; ","")&amp;IF((TRIM(AL749)="")&lt;&gt;(TRIM(AM749)=""),"TRACES login needs both user ID and password; ","")&amp;IF((TRIM(AN749)="")&lt;&gt;(TRIM(AO749)=""),"MCA login needs both user ID and password; ","")&amp;IF((TRIM(AP749)="")&lt;&gt;(TRIM(AQ749)=""),"E-way bill login needs both user ID and password; ","")</f>
        <v/>
      </c>
    </row>
    <row r="750">
      <c r="A750" s="32" t="n"/>
      <c r="B750" s="33" t="n"/>
      <c r="C750" s="33" t="n"/>
      <c r="D750" s="33" t="n"/>
      <c r="E750" s="32" t="n"/>
      <c r="F750" s="32" t="n"/>
      <c r="G750" s="32" t="n"/>
      <c r="H750" s="32" t="n"/>
      <c r="I750" s="32" t="n"/>
      <c r="J750" s="34" t="n"/>
      <c r="K750" s="33" t="n"/>
      <c r="L750" s="32" t="n"/>
      <c r="M750" s="33" t="n"/>
      <c r="N750" s="33" t="n"/>
      <c r="O750" s="33" t="n"/>
      <c r="P750" s="32" t="n"/>
      <c r="Q750" s="33" t="n"/>
      <c r="R750" s="33" t="n"/>
      <c r="S750" s="33" t="n"/>
      <c r="T750" s="33" t="n"/>
      <c r="U750" s="32" t="n"/>
      <c r="V750" s="33" t="n"/>
      <c r="W750" s="33" t="n"/>
      <c r="X750" s="33" t="n"/>
      <c r="Y750" s="33" t="n"/>
      <c r="Z750" s="33" t="n"/>
      <c r="AA750" s="33" t="n"/>
      <c r="AB750" s="33" t="n"/>
      <c r="AC750" s="33" t="n"/>
      <c r="AD750" s="33" t="n"/>
      <c r="AE750" s="33" t="n"/>
      <c r="AF750" s="32" t="n"/>
      <c r="AG750" s="32" t="n"/>
      <c r="AH750" s="32" t="n"/>
      <c r="AI750" s="32" t="n"/>
      <c r="AJ750" s="32" t="n"/>
      <c r="AK750" s="32" t="n"/>
      <c r="AL750" s="32" t="n"/>
      <c r="AM750" s="32" t="n"/>
      <c r="AN750" s="32" t="n"/>
      <c r="AO750" s="32" t="n"/>
      <c r="AP750" s="32" t="n"/>
      <c r="AQ750" s="32" t="n"/>
      <c r="AR750" s="29">
        <f>IF(NOT(COUNTA(A750:AE750)&gt;0),"",IF(A750="","New client","Update"))</f>
        <v/>
      </c>
      <c r="AS750" s="29">
        <f>IF(BA750&lt;&gt;"",BA750,IF(LEN(AZ750)=15,MID(AZ750,3,10),""))</f>
        <v/>
      </c>
      <c r="AT750" s="29">
        <f>IF(BB750="","",BB750&amp;IF(D750="","  (guessed from PAN)",""))</f>
        <v/>
      </c>
      <c r="AU750" s="29">
        <f>IF(AZ750="","",IFERROR(INDEX(Lists!$L$2:$L$38,MATCH(LEFT(AZ750,2),Lists!$K$2:$K$38,0)),"Unknown code"))</f>
        <v/>
      </c>
      <c r="AV750" s="29">
        <f>IF(AZ750="","",IFERROR(IF(NOT(AND(LEN(AZ750)=15,ISNUMBER(MATCH(LEFT(AZ750,2),Lists!$K$2:$K$38,0)),SUMPRODUCT(--ISERROR(FIND(MID(MID(AZ750,3,10),{1,2,3,4,5,10},1),"ABCDEFGHIJKLMNOPQRSTUVWXYZ")))=0,SUMPRODUCT(--ISERROR(FIND(MID(MID(AZ750,3,10),{6,7,8,9},1),"0123456789")))=0,ISNUMBER(FIND(MID(AZ750,13,1),"123456789ABCDEFGHIJKLMNOPQRSTUVWXYZ")),MID(AZ750,14,1)="Z")),"Wrong format",IF(MID("0123456789ABCDEFGHIJKLMNOPQRSTUVWXYZ",MOD(36-MOD(SUMPRODUCT(INT((FIND(MID(AZ750,{1,2,3,4,5,6,7,8,9,10,11,12,13,14},1),"0123456789ABCDEFGHIJKLMNOPQRSTUVWXYZ")-1)*{1,2,1,2,1,2,1,2,1,2,1,2,1,2}/36)+MOD((FIND(MID(AZ750,{1,2,3,4,5,6,7,8,9,10,11,12,13,14},1),"0123456789ABCDEFGHIJKLMNOPQRSTUVWXYZ")-1)*{1,2,1,2,1,2,1,2,1,2,1,2,1,2},36)),36),36)+1,1)=MID(AZ750,15,1),"OK","Typo? check digit wrong")),"Wrong format"))</f>
        <v/>
      </c>
      <c r="AW750" s="29">
        <f>IF(BA750="","",IF(AND(LEN(BA750)=10,SUMPRODUCT(--ISERROR(FIND(MID(BA750,{1,2,3,4,5,10},1),"ABCDEFGHIJKLMNOPQRSTUVWXYZ")))=0,SUMPRODUCT(--ISERROR(FIND(MID(BA750,{6,7,8,9},1),"0123456789")))=0),"OK","Wrong format"))</f>
        <v/>
      </c>
      <c r="AX750" s="29">
        <f>IF(TRIM(H750)="","",IF(AND(LEN(UPPER(TRIM(H750)))=10,SUMPRODUCT(--ISERROR(FIND(MID(UPPER(TRIM(H750)),{1,2,3,4,10},1),"ABCDEFGHIJKLMNOPQRSTUVWXYZ")))=0,SUMPRODUCT(--ISERROR(FIND(MID(UPPER(TRIM(H750)),{5,6,7,8,9},1),"0123456789")))=0),"OK","Wrong format"))</f>
        <v/>
      </c>
      <c r="AY750" s="30">
        <f>IF(NOT(COUNTA(A750:AE750)&gt;0),"",IF(BE750&lt;&gt;"","✖ "&amp;LEFT(BE750,LEN(BE750)-2),IF(BD750&gt;0,"✔ Ready — client + "&amp;BD750&amp;" service(s)","✔ Ready — client only")))</f>
        <v/>
      </c>
      <c r="AZ750" s="31">
        <f>UPPER(SUBSTITUTE(TRIM(F750)," ",""))</f>
        <v/>
      </c>
      <c r="BA750" s="31">
        <f>UPPER(SUBSTITUTE(TRIM(E750)," ",""))</f>
        <v/>
      </c>
      <c r="BB750" s="31">
        <f>IF(D750&lt;&gt;"",D750,IFERROR(VLOOKUP(MID(AS750,4,1),Lists!$E$2:$F$8,2,FALSE),""))</f>
        <v/>
      </c>
      <c r="BC750" s="31">
        <f>IFERROR(VLOOKUP(BB750,Lists!$A$2:$C$12,3,FALSE),"")</f>
        <v/>
      </c>
      <c r="BD750" s="31">
        <f>COUNTIF(W750:AC750,"Yes")</f>
        <v/>
      </c>
      <c r="BE750" s="31">
        <f>IF(TRIM(B750)="","Legal name missing; ","")&amp;IF(AND(AV750&lt;&gt;"",AV750&lt;&gt;"OK"),"GSTIN: "&amp;AV750&amp;"; ","")&amp;IF(AND(AW750&lt;&gt;"",AW750&lt;&gt;"OK"),"PAN wrong format; ","")&amp;IF(AND(BA750&lt;&gt;"",LEN(AZ750)=15,MID(AZ750,3,10)&lt;&gt;BA750),"PAN does not match GSTIN; ","")&amp;IF(AND(AX750&lt;&gt;"",AX750&lt;&gt;"OK"),"TAN wrong format; ","")&amp;IF(AS750="","PAN missing; ","")&amp;IF(BB750="","Entity type missing; ","")&amp;IF(AND(AZ750&lt;&gt;"",COUNTIF($AZ$6:$AZ$1005,AZ750)&gt;1),"GSTIN repeated in this sheet; ","")&amp;IF(AND(AS750&lt;&gt;"",COUNTIF($AS$6:$AS$1005,AS750)&gt;1),"PAN repeated in this sheet (same client? put extra GSTINs in Other GSTINs); ","")&amp;IF(AND(BD750&gt;0,V750=""),"Financial year missing; ","")&amp;IF(AND(BD750=0,V750&lt;&gt;""),"Financial year given but no service is Yes; ","")&amp;IF(AND(W750="Yes",AZ750=""),"GST needs a GSTIN; ","")&amp;IF(AND(W750="Yes",X750=""),"GST return frequency missing; ","")&amp;IF(AND(Y750="Yes",TRIM(H750)=""),"TDS needs a TAN; ","")&amp;IF(AND(AA750="Yes",BC750&lt;&gt;"",BC750&lt;&gt;"company",BC750&lt;&gt;"llp"),"ROC is only for a company / LLP; ","")&amp;IF(AND(AA750="Yes",OR(BC750="company",BC750="llp"),TRIM(I750)=""),"ROC needs the CIN / LLPIN; ","")&amp;IF((TRIM(AF750)="")&lt;&gt;(TRIM(AG750)=""),"GST login needs both user ID and password; ","")&amp;IF((TRIM(AH750)="")&lt;&gt;(TRIM(AI750)=""),"Income-tax login needs both user ID and password; ","")&amp;IF((TRIM(AJ750)="")&lt;&gt;(TRIM(AK750)=""),"Income-tax login needs both user ID and password; ","")&amp;IF((TRIM(AL750)="")&lt;&gt;(TRIM(AM750)=""),"TRACES login needs both user ID and password; ","")&amp;IF((TRIM(AN750)="")&lt;&gt;(TRIM(AO750)=""),"MCA login needs both user ID and password; ","")&amp;IF((TRIM(AP750)="")&lt;&gt;(TRIM(AQ750)=""),"E-way bill login needs both user ID and password; ","")</f>
        <v/>
      </c>
    </row>
    <row r="751">
      <c r="A751" s="32" t="n"/>
      <c r="B751" s="33" t="n"/>
      <c r="C751" s="33" t="n"/>
      <c r="D751" s="33" t="n"/>
      <c r="E751" s="32" t="n"/>
      <c r="F751" s="32" t="n"/>
      <c r="G751" s="32" t="n"/>
      <c r="H751" s="32" t="n"/>
      <c r="I751" s="32" t="n"/>
      <c r="J751" s="34" t="n"/>
      <c r="K751" s="33" t="n"/>
      <c r="L751" s="32" t="n"/>
      <c r="M751" s="33" t="n"/>
      <c r="N751" s="33" t="n"/>
      <c r="O751" s="33" t="n"/>
      <c r="P751" s="32" t="n"/>
      <c r="Q751" s="33" t="n"/>
      <c r="R751" s="33" t="n"/>
      <c r="S751" s="33" t="n"/>
      <c r="T751" s="33" t="n"/>
      <c r="U751" s="32" t="n"/>
      <c r="V751" s="33" t="n"/>
      <c r="W751" s="33" t="n"/>
      <c r="X751" s="33" t="n"/>
      <c r="Y751" s="33" t="n"/>
      <c r="Z751" s="33" t="n"/>
      <c r="AA751" s="33" t="n"/>
      <c r="AB751" s="33" t="n"/>
      <c r="AC751" s="33" t="n"/>
      <c r="AD751" s="33" t="n"/>
      <c r="AE751" s="33" t="n"/>
      <c r="AF751" s="32" t="n"/>
      <c r="AG751" s="32" t="n"/>
      <c r="AH751" s="32" t="n"/>
      <c r="AI751" s="32" t="n"/>
      <c r="AJ751" s="32" t="n"/>
      <c r="AK751" s="32" t="n"/>
      <c r="AL751" s="32" t="n"/>
      <c r="AM751" s="32" t="n"/>
      <c r="AN751" s="32" t="n"/>
      <c r="AO751" s="32" t="n"/>
      <c r="AP751" s="32" t="n"/>
      <c r="AQ751" s="32" t="n"/>
      <c r="AR751" s="29">
        <f>IF(NOT(COUNTA(A751:AE751)&gt;0),"",IF(A751="","New client","Update"))</f>
        <v/>
      </c>
      <c r="AS751" s="29">
        <f>IF(BA751&lt;&gt;"",BA751,IF(LEN(AZ751)=15,MID(AZ751,3,10),""))</f>
        <v/>
      </c>
      <c r="AT751" s="29">
        <f>IF(BB751="","",BB751&amp;IF(D751="","  (guessed from PAN)",""))</f>
        <v/>
      </c>
      <c r="AU751" s="29">
        <f>IF(AZ751="","",IFERROR(INDEX(Lists!$L$2:$L$38,MATCH(LEFT(AZ751,2),Lists!$K$2:$K$38,0)),"Unknown code"))</f>
        <v/>
      </c>
      <c r="AV751" s="29">
        <f>IF(AZ751="","",IFERROR(IF(NOT(AND(LEN(AZ751)=15,ISNUMBER(MATCH(LEFT(AZ751,2),Lists!$K$2:$K$38,0)),SUMPRODUCT(--ISERROR(FIND(MID(MID(AZ751,3,10),{1,2,3,4,5,10},1),"ABCDEFGHIJKLMNOPQRSTUVWXYZ")))=0,SUMPRODUCT(--ISERROR(FIND(MID(MID(AZ751,3,10),{6,7,8,9},1),"0123456789")))=0,ISNUMBER(FIND(MID(AZ751,13,1),"123456789ABCDEFGHIJKLMNOPQRSTUVWXYZ")),MID(AZ751,14,1)="Z")),"Wrong format",IF(MID("0123456789ABCDEFGHIJKLMNOPQRSTUVWXYZ",MOD(36-MOD(SUMPRODUCT(INT((FIND(MID(AZ751,{1,2,3,4,5,6,7,8,9,10,11,12,13,14},1),"0123456789ABCDEFGHIJKLMNOPQRSTUVWXYZ")-1)*{1,2,1,2,1,2,1,2,1,2,1,2,1,2}/36)+MOD((FIND(MID(AZ751,{1,2,3,4,5,6,7,8,9,10,11,12,13,14},1),"0123456789ABCDEFGHIJKLMNOPQRSTUVWXYZ")-1)*{1,2,1,2,1,2,1,2,1,2,1,2,1,2},36)),36),36)+1,1)=MID(AZ751,15,1),"OK","Typo? check digit wrong")),"Wrong format"))</f>
        <v/>
      </c>
      <c r="AW751" s="29">
        <f>IF(BA751="","",IF(AND(LEN(BA751)=10,SUMPRODUCT(--ISERROR(FIND(MID(BA751,{1,2,3,4,5,10},1),"ABCDEFGHIJKLMNOPQRSTUVWXYZ")))=0,SUMPRODUCT(--ISERROR(FIND(MID(BA751,{6,7,8,9},1),"0123456789")))=0),"OK","Wrong format"))</f>
        <v/>
      </c>
      <c r="AX751" s="29">
        <f>IF(TRIM(H751)="","",IF(AND(LEN(UPPER(TRIM(H751)))=10,SUMPRODUCT(--ISERROR(FIND(MID(UPPER(TRIM(H751)),{1,2,3,4,10},1),"ABCDEFGHIJKLMNOPQRSTUVWXYZ")))=0,SUMPRODUCT(--ISERROR(FIND(MID(UPPER(TRIM(H751)),{5,6,7,8,9},1),"0123456789")))=0),"OK","Wrong format"))</f>
        <v/>
      </c>
      <c r="AY751" s="30">
        <f>IF(NOT(COUNTA(A751:AE751)&gt;0),"",IF(BE751&lt;&gt;"","✖ "&amp;LEFT(BE751,LEN(BE751)-2),IF(BD751&gt;0,"✔ Ready — client + "&amp;BD751&amp;" service(s)","✔ Ready — client only")))</f>
        <v/>
      </c>
      <c r="AZ751" s="31">
        <f>UPPER(SUBSTITUTE(TRIM(F751)," ",""))</f>
        <v/>
      </c>
      <c r="BA751" s="31">
        <f>UPPER(SUBSTITUTE(TRIM(E751)," ",""))</f>
        <v/>
      </c>
      <c r="BB751" s="31">
        <f>IF(D751&lt;&gt;"",D751,IFERROR(VLOOKUP(MID(AS751,4,1),Lists!$E$2:$F$8,2,FALSE),""))</f>
        <v/>
      </c>
      <c r="BC751" s="31">
        <f>IFERROR(VLOOKUP(BB751,Lists!$A$2:$C$12,3,FALSE),"")</f>
        <v/>
      </c>
      <c r="BD751" s="31">
        <f>COUNTIF(W751:AC751,"Yes")</f>
        <v/>
      </c>
      <c r="BE751" s="31">
        <f>IF(TRIM(B751)="","Legal name missing; ","")&amp;IF(AND(AV751&lt;&gt;"",AV751&lt;&gt;"OK"),"GSTIN: "&amp;AV751&amp;"; ","")&amp;IF(AND(AW751&lt;&gt;"",AW751&lt;&gt;"OK"),"PAN wrong format; ","")&amp;IF(AND(BA751&lt;&gt;"",LEN(AZ751)=15,MID(AZ751,3,10)&lt;&gt;BA751),"PAN does not match GSTIN; ","")&amp;IF(AND(AX751&lt;&gt;"",AX751&lt;&gt;"OK"),"TAN wrong format; ","")&amp;IF(AS751="","PAN missing; ","")&amp;IF(BB751="","Entity type missing; ","")&amp;IF(AND(AZ751&lt;&gt;"",COUNTIF($AZ$6:$AZ$1005,AZ751)&gt;1),"GSTIN repeated in this sheet; ","")&amp;IF(AND(AS751&lt;&gt;"",COUNTIF($AS$6:$AS$1005,AS751)&gt;1),"PAN repeated in this sheet (same client? put extra GSTINs in Other GSTINs); ","")&amp;IF(AND(BD751&gt;0,V751=""),"Financial year missing; ","")&amp;IF(AND(BD751=0,V751&lt;&gt;""),"Financial year given but no service is Yes; ","")&amp;IF(AND(W751="Yes",AZ751=""),"GST needs a GSTIN; ","")&amp;IF(AND(W751="Yes",X751=""),"GST return frequency missing; ","")&amp;IF(AND(Y751="Yes",TRIM(H751)=""),"TDS needs a TAN; ","")&amp;IF(AND(AA751="Yes",BC751&lt;&gt;"",BC751&lt;&gt;"company",BC751&lt;&gt;"llp"),"ROC is only for a company / LLP; ","")&amp;IF(AND(AA751="Yes",OR(BC751="company",BC751="llp"),TRIM(I751)=""),"ROC needs the CIN / LLPIN; ","")&amp;IF((TRIM(AF751)="")&lt;&gt;(TRIM(AG751)=""),"GST login needs both user ID and password; ","")&amp;IF((TRIM(AH751)="")&lt;&gt;(TRIM(AI751)=""),"Income-tax login needs both user ID and password; ","")&amp;IF((TRIM(AJ751)="")&lt;&gt;(TRIM(AK751)=""),"Income-tax login needs both user ID and password; ","")&amp;IF((TRIM(AL751)="")&lt;&gt;(TRIM(AM751)=""),"TRACES login needs both user ID and password; ","")&amp;IF((TRIM(AN751)="")&lt;&gt;(TRIM(AO751)=""),"MCA login needs both user ID and password; ","")&amp;IF((TRIM(AP751)="")&lt;&gt;(TRIM(AQ751)=""),"E-way bill login needs both user ID and password; ","")</f>
        <v/>
      </c>
    </row>
    <row r="752">
      <c r="A752" s="32" t="n"/>
      <c r="B752" s="33" t="n"/>
      <c r="C752" s="33" t="n"/>
      <c r="D752" s="33" t="n"/>
      <c r="E752" s="32" t="n"/>
      <c r="F752" s="32" t="n"/>
      <c r="G752" s="32" t="n"/>
      <c r="H752" s="32" t="n"/>
      <c r="I752" s="32" t="n"/>
      <c r="J752" s="34" t="n"/>
      <c r="K752" s="33" t="n"/>
      <c r="L752" s="32" t="n"/>
      <c r="M752" s="33" t="n"/>
      <c r="N752" s="33" t="n"/>
      <c r="O752" s="33" t="n"/>
      <c r="P752" s="32" t="n"/>
      <c r="Q752" s="33" t="n"/>
      <c r="R752" s="33" t="n"/>
      <c r="S752" s="33" t="n"/>
      <c r="T752" s="33" t="n"/>
      <c r="U752" s="32" t="n"/>
      <c r="V752" s="33" t="n"/>
      <c r="W752" s="33" t="n"/>
      <c r="X752" s="33" t="n"/>
      <c r="Y752" s="33" t="n"/>
      <c r="Z752" s="33" t="n"/>
      <c r="AA752" s="33" t="n"/>
      <c r="AB752" s="33" t="n"/>
      <c r="AC752" s="33" t="n"/>
      <c r="AD752" s="33" t="n"/>
      <c r="AE752" s="33" t="n"/>
      <c r="AF752" s="32" t="n"/>
      <c r="AG752" s="32" t="n"/>
      <c r="AH752" s="32" t="n"/>
      <c r="AI752" s="32" t="n"/>
      <c r="AJ752" s="32" t="n"/>
      <c r="AK752" s="32" t="n"/>
      <c r="AL752" s="32" t="n"/>
      <c r="AM752" s="32" t="n"/>
      <c r="AN752" s="32" t="n"/>
      <c r="AO752" s="32" t="n"/>
      <c r="AP752" s="32" t="n"/>
      <c r="AQ752" s="32" t="n"/>
      <c r="AR752" s="29">
        <f>IF(NOT(COUNTA(A752:AE752)&gt;0),"",IF(A752="","New client","Update"))</f>
        <v/>
      </c>
      <c r="AS752" s="29">
        <f>IF(BA752&lt;&gt;"",BA752,IF(LEN(AZ752)=15,MID(AZ752,3,10),""))</f>
        <v/>
      </c>
      <c r="AT752" s="29">
        <f>IF(BB752="","",BB752&amp;IF(D752="","  (guessed from PAN)",""))</f>
        <v/>
      </c>
      <c r="AU752" s="29">
        <f>IF(AZ752="","",IFERROR(INDEX(Lists!$L$2:$L$38,MATCH(LEFT(AZ752,2),Lists!$K$2:$K$38,0)),"Unknown code"))</f>
        <v/>
      </c>
      <c r="AV752" s="29">
        <f>IF(AZ752="","",IFERROR(IF(NOT(AND(LEN(AZ752)=15,ISNUMBER(MATCH(LEFT(AZ752,2),Lists!$K$2:$K$38,0)),SUMPRODUCT(--ISERROR(FIND(MID(MID(AZ752,3,10),{1,2,3,4,5,10},1),"ABCDEFGHIJKLMNOPQRSTUVWXYZ")))=0,SUMPRODUCT(--ISERROR(FIND(MID(MID(AZ752,3,10),{6,7,8,9},1),"0123456789")))=0,ISNUMBER(FIND(MID(AZ752,13,1),"123456789ABCDEFGHIJKLMNOPQRSTUVWXYZ")),MID(AZ752,14,1)="Z")),"Wrong format",IF(MID("0123456789ABCDEFGHIJKLMNOPQRSTUVWXYZ",MOD(36-MOD(SUMPRODUCT(INT((FIND(MID(AZ752,{1,2,3,4,5,6,7,8,9,10,11,12,13,14},1),"0123456789ABCDEFGHIJKLMNOPQRSTUVWXYZ")-1)*{1,2,1,2,1,2,1,2,1,2,1,2,1,2}/36)+MOD((FIND(MID(AZ752,{1,2,3,4,5,6,7,8,9,10,11,12,13,14},1),"0123456789ABCDEFGHIJKLMNOPQRSTUVWXYZ")-1)*{1,2,1,2,1,2,1,2,1,2,1,2,1,2},36)),36),36)+1,1)=MID(AZ752,15,1),"OK","Typo? check digit wrong")),"Wrong format"))</f>
        <v/>
      </c>
      <c r="AW752" s="29">
        <f>IF(BA752="","",IF(AND(LEN(BA752)=10,SUMPRODUCT(--ISERROR(FIND(MID(BA752,{1,2,3,4,5,10},1),"ABCDEFGHIJKLMNOPQRSTUVWXYZ")))=0,SUMPRODUCT(--ISERROR(FIND(MID(BA752,{6,7,8,9},1),"0123456789")))=0),"OK","Wrong format"))</f>
        <v/>
      </c>
      <c r="AX752" s="29">
        <f>IF(TRIM(H752)="","",IF(AND(LEN(UPPER(TRIM(H752)))=10,SUMPRODUCT(--ISERROR(FIND(MID(UPPER(TRIM(H752)),{1,2,3,4,10},1),"ABCDEFGHIJKLMNOPQRSTUVWXYZ")))=0,SUMPRODUCT(--ISERROR(FIND(MID(UPPER(TRIM(H752)),{5,6,7,8,9},1),"0123456789")))=0),"OK","Wrong format"))</f>
        <v/>
      </c>
      <c r="AY752" s="30">
        <f>IF(NOT(COUNTA(A752:AE752)&gt;0),"",IF(BE752&lt;&gt;"","✖ "&amp;LEFT(BE752,LEN(BE752)-2),IF(BD752&gt;0,"✔ Ready — client + "&amp;BD752&amp;" service(s)","✔ Ready — client only")))</f>
        <v/>
      </c>
      <c r="AZ752" s="31">
        <f>UPPER(SUBSTITUTE(TRIM(F752)," ",""))</f>
        <v/>
      </c>
      <c r="BA752" s="31">
        <f>UPPER(SUBSTITUTE(TRIM(E752)," ",""))</f>
        <v/>
      </c>
      <c r="BB752" s="31">
        <f>IF(D752&lt;&gt;"",D752,IFERROR(VLOOKUP(MID(AS752,4,1),Lists!$E$2:$F$8,2,FALSE),""))</f>
        <v/>
      </c>
      <c r="BC752" s="31">
        <f>IFERROR(VLOOKUP(BB752,Lists!$A$2:$C$12,3,FALSE),"")</f>
        <v/>
      </c>
      <c r="BD752" s="31">
        <f>COUNTIF(W752:AC752,"Yes")</f>
        <v/>
      </c>
      <c r="BE752" s="31">
        <f>IF(TRIM(B752)="","Legal name missing; ","")&amp;IF(AND(AV752&lt;&gt;"",AV752&lt;&gt;"OK"),"GSTIN: "&amp;AV752&amp;"; ","")&amp;IF(AND(AW752&lt;&gt;"",AW752&lt;&gt;"OK"),"PAN wrong format; ","")&amp;IF(AND(BA752&lt;&gt;"",LEN(AZ752)=15,MID(AZ752,3,10)&lt;&gt;BA752),"PAN does not match GSTIN; ","")&amp;IF(AND(AX752&lt;&gt;"",AX752&lt;&gt;"OK"),"TAN wrong format; ","")&amp;IF(AS752="","PAN missing; ","")&amp;IF(BB752="","Entity type missing; ","")&amp;IF(AND(AZ752&lt;&gt;"",COUNTIF($AZ$6:$AZ$1005,AZ752)&gt;1),"GSTIN repeated in this sheet; ","")&amp;IF(AND(AS752&lt;&gt;"",COUNTIF($AS$6:$AS$1005,AS752)&gt;1),"PAN repeated in this sheet (same client? put extra GSTINs in Other GSTINs); ","")&amp;IF(AND(BD752&gt;0,V752=""),"Financial year missing; ","")&amp;IF(AND(BD752=0,V752&lt;&gt;""),"Financial year given but no service is Yes; ","")&amp;IF(AND(W752="Yes",AZ752=""),"GST needs a GSTIN; ","")&amp;IF(AND(W752="Yes",X752=""),"GST return frequency missing; ","")&amp;IF(AND(Y752="Yes",TRIM(H752)=""),"TDS needs a TAN; ","")&amp;IF(AND(AA752="Yes",BC752&lt;&gt;"",BC752&lt;&gt;"company",BC752&lt;&gt;"llp"),"ROC is only for a company / LLP; ","")&amp;IF(AND(AA752="Yes",OR(BC752="company",BC752="llp"),TRIM(I752)=""),"ROC needs the CIN / LLPIN; ","")&amp;IF((TRIM(AF752)="")&lt;&gt;(TRIM(AG752)=""),"GST login needs both user ID and password; ","")&amp;IF((TRIM(AH752)="")&lt;&gt;(TRIM(AI752)=""),"Income-tax login needs both user ID and password; ","")&amp;IF((TRIM(AJ752)="")&lt;&gt;(TRIM(AK752)=""),"Income-tax login needs both user ID and password; ","")&amp;IF((TRIM(AL752)="")&lt;&gt;(TRIM(AM752)=""),"TRACES login needs both user ID and password; ","")&amp;IF((TRIM(AN752)="")&lt;&gt;(TRIM(AO752)=""),"MCA login needs both user ID and password; ","")&amp;IF((TRIM(AP752)="")&lt;&gt;(TRIM(AQ752)=""),"E-way bill login needs both user ID and password; ","")</f>
        <v/>
      </c>
    </row>
    <row r="753">
      <c r="A753" s="32" t="n"/>
      <c r="B753" s="33" t="n"/>
      <c r="C753" s="33" t="n"/>
      <c r="D753" s="33" t="n"/>
      <c r="E753" s="32" t="n"/>
      <c r="F753" s="32" t="n"/>
      <c r="G753" s="32" t="n"/>
      <c r="H753" s="32" t="n"/>
      <c r="I753" s="32" t="n"/>
      <c r="J753" s="34" t="n"/>
      <c r="K753" s="33" t="n"/>
      <c r="L753" s="32" t="n"/>
      <c r="M753" s="33" t="n"/>
      <c r="N753" s="33" t="n"/>
      <c r="O753" s="33" t="n"/>
      <c r="P753" s="32" t="n"/>
      <c r="Q753" s="33" t="n"/>
      <c r="R753" s="33" t="n"/>
      <c r="S753" s="33" t="n"/>
      <c r="T753" s="33" t="n"/>
      <c r="U753" s="32" t="n"/>
      <c r="V753" s="33" t="n"/>
      <c r="W753" s="33" t="n"/>
      <c r="X753" s="33" t="n"/>
      <c r="Y753" s="33" t="n"/>
      <c r="Z753" s="33" t="n"/>
      <c r="AA753" s="33" t="n"/>
      <c r="AB753" s="33" t="n"/>
      <c r="AC753" s="33" t="n"/>
      <c r="AD753" s="33" t="n"/>
      <c r="AE753" s="33" t="n"/>
      <c r="AF753" s="32" t="n"/>
      <c r="AG753" s="32" t="n"/>
      <c r="AH753" s="32" t="n"/>
      <c r="AI753" s="32" t="n"/>
      <c r="AJ753" s="32" t="n"/>
      <c r="AK753" s="32" t="n"/>
      <c r="AL753" s="32" t="n"/>
      <c r="AM753" s="32" t="n"/>
      <c r="AN753" s="32" t="n"/>
      <c r="AO753" s="32" t="n"/>
      <c r="AP753" s="32" t="n"/>
      <c r="AQ753" s="32" t="n"/>
      <c r="AR753" s="29">
        <f>IF(NOT(COUNTA(A753:AE753)&gt;0),"",IF(A753="","New client","Update"))</f>
        <v/>
      </c>
      <c r="AS753" s="29">
        <f>IF(BA753&lt;&gt;"",BA753,IF(LEN(AZ753)=15,MID(AZ753,3,10),""))</f>
        <v/>
      </c>
      <c r="AT753" s="29">
        <f>IF(BB753="","",BB753&amp;IF(D753="","  (guessed from PAN)",""))</f>
        <v/>
      </c>
      <c r="AU753" s="29">
        <f>IF(AZ753="","",IFERROR(INDEX(Lists!$L$2:$L$38,MATCH(LEFT(AZ753,2),Lists!$K$2:$K$38,0)),"Unknown code"))</f>
        <v/>
      </c>
      <c r="AV753" s="29">
        <f>IF(AZ753="","",IFERROR(IF(NOT(AND(LEN(AZ753)=15,ISNUMBER(MATCH(LEFT(AZ753,2),Lists!$K$2:$K$38,0)),SUMPRODUCT(--ISERROR(FIND(MID(MID(AZ753,3,10),{1,2,3,4,5,10},1),"ABCDEFGHIJKLMNOPQRSTUVWXYZ")))=0,SUMPRODUCT(--ISERROR(FIND(MID(MID(AZ753,3,10),{6,7,8,9},1),"0123456789")))=0,ISNUMBER(FIND(MID(AZ753,13,1),"123456789ABCDEFGHIJKLMNOPQRSTUVWXYZ")),MID(AZ753,14,1)="Z")),"Wrong format",IF(MID("0123456789ABCDEFGHIJKLMNOPQRSTUVWXYZ",MOD(36-MOD(SUMPRODUCT(INT((FIND(MID(AZ753,{1,2,3,4,5,6,7,8,9,10,11,12,13,14},1),"0123456789ABCDEFGHIJKLMNOPQRSTUVWXYZ")-1)*{1,2,1,2,1,2,1,2,1,2,1,2,1,2}/36)+MOD((FIND(MID(AZ753,{1,2,3,4,5,6,7,8,9,10,11,12,13,14},1),"0123456789ABCDEFGHIJKLMNOPQRSTUVWXYZ")-1)*{1,2,1,2,1,2,1,2,1,2,1,2,1,2},36)),36),36)+1,1)=MID(AZ753,15,1),"OK","Typo? check digit wrong")),"Wrong format"))</f>
        <v/>
      </c>
      <c r="AW753" s="29">
        <f>IF(BA753="","",IF(AND(LEN(BA753)=10,SUMPRODUCT(--ISERROR(FIND(MID(BA753,{1,2,3,4,5,10},1),"ABCDEFGHIJKLMNOPQRSTUVWXYZ")))=0,SUMPRODUCT(--ISERROR(FIND(MID(BA753,{6,7,8,9},1),"0123456789")))=0),"OK","Wrong format"))</f>
        <v/>
      </c>
      <c r="AX753" s="29">
        <f>IF(TRIM(H753)="","",IF(AND(LEN(UPPER(TRIM(H753)))=10,SUMPRODUCT(--ISERROR(FIND(MID(UPPER(TRIM(H753)),{1,2,3,4,10},1),"ABCDEFGHIJKLMNOPQRSTUVWXYZ")))=0,SUMPRODUCT(--ISERROR(FIND(MID(UPPER(TRIM(H753)),{5,6,7,8,9},1),"0123456789")))=0),"OK","Wrong format"))</f>
        <v/>
      </c>
      <c r="AY753" s="30">
        <f>IF(NOT(COUNTA(A753:AE753)&gt;0),"",IF(BE753&lt;&gt;"","✖ "&amp;LEFT(BE753,LEN(BE753)-2),IF(BD753&gt;0,"✔ Ready — client + "&amp;BD753&amp;" service(s)","✔ Ready — client only")))</f>
        <v/>
      </c>
      <c r="AZ753" s="31">
        <f>UPPER(SUBSTITUTE(TRIM(F753)," ",""))</f>
        <v/>
      </c>
      <c r="BA753" s="31">
        <f>UPPER(SUBSTITUTE(TRIM(E753)," ",""))</f>
        <v/>
      </c>
      <c r="BB753" s="31">
        <f>IF(D753&lt;&gt;"",D753,IFERROR(VLOOKUP(MID(AS753,4,1),Lists!$E$2:$F$8,2,FALSE),""))</f>
        <v/>
      </c>
      <c r="BC753" s="31">
        <f>IFERROR(VLOOKUP(BB753,Lists!$A$2:$C$12,3,FALSE),"")</f>
        <v/>
      </c>
      <c r="BD753" s="31">
        <f>COUNTIF(W753:AC753,"Yes")</f>
        <v/>
      </c>
      <c r="BE753" s="31">
        <f>IF(TRIM(B753)="","Legal name missing; ","")&amp;IF(AND(AV753&lt;&gt;"",AV753&lt;&gt;"OK"),"GSTIN: "&amp;AV753&amp;"; ","")&amp;IF(AND(AW753&lt;&gt;"",AW753&lt;&gt;"OK"),"PAN wrong format; ","")&amp;IF(AND(BA753&lt;&gt;"",LEN(AZ753)=15,MID(AZ753,3,10)&lt;&gt;BA753),"PAN does not match GSTIN; ","")&amp;IF(AND(AX753&lt;&gt;"",AX753&lt;&gt;"OK"),"TAN wrong format; ","")&amp;IF(AS753="","PAN missing; ","")&amp;IF(BB753="","Entity type missing; ","")&amp;IF(AND(AZ753&lt;&gt;"",COUNTIF($AZ$6:$AZ$1005,AZ753)&gt;1),"GSTIN repeated in this sheet; ","")&amp;IF(AND(AS753&lt;&gt;"",COUNTIF($AS$6:$AS$1005,AS753)&gt;1),"PAN repeated in this sheet (same client? put extra GSTINs in Other GSTINs); ","")&amp;IF(AND(BD753&gt;0,V753=""),"Financial year missing; ","")&amp;IF(AND(BD753=0,V753&lt;&gt;""),"Financial year given but no service is Yes; ","")&amp;IF(AND(W753="Yes",AZ753=""),"GST needs a GSTIN; ","")&amp;IF(AND(W753="Yes",X753=""),"GST return frequency missing; ","")&amp;IF(AND(Y753="Yes",TRIM(H753)=""),"TDS needs a TAN; ","")&amp;IF(AND(AA753="Yes",BC753&lt;&gt;"",BC753&lt;&gt;"company",BC753&lt;&gt;"llp"),"ROC is only for a company / LLP; ","")&amp;IF(AND(AA753="Yes",OR(BC753="company",BC753="llp"),TRIM(I753)=""),"ROC needs the CIN / LLPIN; ","")&amp;IF((TRIM(AF753)="")&lt;&gt;(TRIM(AG753)=""),"GST login needs both user ID and password; ","")&amp;IF((TRIM(AH753)="")&lt;&gt;(TRIM(AI753)=""),"Income-tax login needs both user ID and password; ","")&amp;IF((TRIM(AJ753)="")&lt;&gt;(TRIM(AK753)=""),"Income-tax login needs both user ID and password; ","")&amp;IF((TRIM(AL753)="")&lt;&gt;(TRIM(AM753)=""),"TRACES login needs both user ID and password; ","")&amp;IF((TRIM(AN753)="")&lt;&gt;(TRIM(AO753)=""),"MCA login needs both user ID and password; ","")&amp;IF((TRIM(AP753)="")&lt;&gt;(TRIM(AQ753)=""),"E-way bill login needs both user ID and password; ","")</f>
        <v/>
      </c>
    </row>
    <row r="754">
      <c r="A754" s="32" t="n"/>
      <c r="B754" s="33" t="n"/>
      <c r="C754" s="33" t="n"/>
      <c r="D754" s="33" t="n"/>
      <c r="E754" s="32" t="n"/>
      <c r="F754" s="32" t="n"/>
      <c r="G754" s="32" t="n"/>
      <c r="H754" s="32" t="n"/>
      <c r="I754" s="32" t="n"/>
      <c r="J754" s="34" t="n"/>
      <c r="K754" s="33" t="n"/>
      <c r="L754" s="32" t="n"/>
      <c r="M754" s="33" t="n"/>
      <c r="N754" s="33" t="n"/>
      <c r="O754" s="33" t="n"/>
      <c r="P754" s="32" t="n"/>
      <c r="Q754" s="33" t="n"/>
      <c r="R754" s="33" t="n"/>
      <c r="S754" s="33" t="n"/>
      <c r="T754" s="33" t="n"/>
      <c r="U754" s="32" t="n"/>
      <c r="V754" s="33" t="n"/>
      <c r="W754" s="33" t="n"/>
      <c r="X754" s="33" t="n"/>
      <c r="Y754" s="33" t="n"/>
      <c r="Z754" s="33" t="n"/>
      <c r="AA754" s="33" t="n"/>
      <c r="AB754" s="33" t="n"/>
      <c r="AC754" s="33" t="n"/>
      <c r="AD754" s="33" t="n"/>
      <c r="AE754" s="33" t="n"/>
      <c r="AF754" s="32" t="n"/>
      <c r="AG754" s="32" t="n"/>
      <c r="AH754" s="32" t="n"/>
      <c r="AI754" s="32" t="n"/>
      <c r="AJ754" s="32" t="n"/>
      <c r="AK754" s="32" t="n"/>
      <c r="AL754" s="32" t="n"/>
      <c r="AM754" s="32" t="n"/>
      <c r="AN754" s="32" t="n"/>
      <c r="AO754" s="32" t="n"/>
      <c r="AP754" s="32" t="n"/>
      <c r="AQ754" s="32" t="n"/>
      <c r="AR754" s="29">
        <f>IF(NOT(COUNTA(A754:AE754)&gt;0),"",IF(A754="","New client","Update"))</f>
        <v/>
      </c>
      <c r="AS754" s="29">
        <f>IF(BA754&lt;&gt;"",BA754,IF(LEN(AZ754)=15,MID(AZ754,3,10),""))</f>
        <v/>
      </c>
      <c r="AT754" s="29">
        <f>IF(BB754="","",BB754&amp;IF(D754="","  (guessed from PAN)",""))</f>
        <v/>
      </c>
      <c r="AU754" s="29">
        <f>IF(AZ754="","",IFERROR(INDEX(Lists!$L$2:$L$38,MATCH(LEFT(AZ754,2),Lists!$K$2:$K$38,0)),"Unknown code"))</f>
        <v/>
      </c>
      <c r="AV754" s="29">
        <f>IF(AZ754="","",IFERROR(IF(NOT(AND(LEN(AZ754)=15,ISNUMBER(MATCH(LEFT(AZ754,2),Lists!$K$2:$K$38,0)),SUMPRODUCT(--ISERROR(FIND(MID(MID(AZ754,3,10),{1,2,3,4,5,10},1),"ABCDEFGHIJKLMNOPQRSTUVWXYZ")))=0,SUMPRODUCT(--ISERROR(FIND(MID(MID(AZ754,3,10),{6,7,8,9},1),"0123456789")))=0,ISNUMBER(FIND(MID(AZ754,13,1),"123456789ABCDEFGHIJKLMNOPQRSTUVWXYZ")),MID(AZ754,14,1)="Z")),"Wrong format",IF(MID("0123456789ABCDEFGHIJKLMNOPQRSTUVWXYZ",MOD(36-MOD(SUMPRODUCT(INT((FIND(MID(AZ754,{1,2,3,4,5,6,7,8,9,10,11,12,13,14},1),"0123456789ABCDEFGHIJKLMNOPQRSTUVWXYZ")-1)*{1,2,1,2,1,2,1,2,1,2,1,2,1,2}/36)+MOD((FIND(MID(AZ754,{1,2,3,4,5,6,7,8,9,10,11,12,13,14},1),"0123456789ABCDEFGHIJKLMNOPQRSTUVWXYZ")-1)*{1,2,1,2,1,2,1,2,1,2,1,2,1,2},36)),36),36)+1,1)=MID(AZ754,15,1),"OK","Typo? check digit wrong")),"Wrong format"))</f>
        <v/>
      </c>
      <c r="AW754" s="29">
        <f>IF(BA754="","",IF(AND(LEN(BA754)=10,SUMPRODUCT(--ISERROR(FIND(MID(BA754,{1,2,3,4,5,10},1),"ABCDEFGHIJKLMNOPQRSTUVWXYZ")))=0,SUMPRODUCT(--ISERROR(FIND(MID(BA754,{6,7,8,9},1),"0123456789")))=0),"OK","Wrong format"))</f>
        <v/>
      </c>
      <c r="AX754" s="29">
        <f>IF(TRIM(H754)="","",IF(AND(LEN(UPPER(TRIM(H754)))=10,SUMPRODUCT(--ISERROR(FIND(MID(UPPER(TRIM(H754)),{1,2,3,4,10},1),"ABCDEFGHIJKLMNOPQRSTUVWXYZ")))=0,SUMPRODUCT(--ISERROR(FIND(MID(UPPER(TRIM(H754)),{5,6,7,8,9},1),"0123456789")))=0),"OK","Wrong format"))</f>
        <v/>
      </c>
      <c r="AY754" s="30">
        <f>IF(NOT(COUNTA(A754:AE754)&gt;0),"",IF(BE754&lt;&gt;"","✖ "&amp;LEFT(BE754,LEN(BE754)-2),IF(BD754&gt;0,"✔ Ready — client + "&amp;BD754&amp;" service(s)","✔ Ready — client only")))</f>
        <v/>
      </c>
      <c r="AZ754" s="31">
        <f>UPPER(SUBSTITUTE(TRIM(F754)," ",""))</f>
        <v/>
      </c>
      <c r="BA754" s="31">
        <f>UPPER(SUBSTITUTE(TRIM(E754)," ",""))</f>
        <v/>
      </c>
      <c r="BB754" s="31">
        <f>IF(D754&lt;&gt;"",D754,IFERROR(VLOOKUP(MID(AS754,4,1),Lists!$E$2:$F$8,2,FALSE),""))</f>
        <v/>
      </c>
      <c r="BC754" s="31">
        <f>IFERROR(VLOOKUP(BB754,Lists!$A$2:$C$12,3,FALSE),"")</f>
        <v/>
      </c>
      <c r="BD754" s="31">
        <f>COUNTIF(W754:AC754,"Yes")</f>
        <v/>
      </c>
      <c r="BE754" s="31">
        <f>IF(TRIM(B754)="","Legal name missing; ","")&amp;IF(AND(AV754&lt;&gt;"",AV754&lt;&gt;"OK"),"GSTIN: "&amp;AV754&amp;"; ","")&amp;IF(AND(AW754&lt;&gt;"",AW754&lt;&gt;"OK"),"PAN wrong format; ","")&amp;IF(AND(BA754&lt;&gt;"",LEN(AZ754)=15,MID(AZ754,3,10)&lt;&gt;BA754),"PAN does not match GSTIN; ","")&amp;IF(AND(AX754&lt;&gt;"",AX754&lt;&gt;"OK"),"TAN wrong format; ","")&amp;IF(AS754="","PAN missing; ","")&amp;IF(BB754="","Entity type missing; ","")&amp;IF(AND(AZ754&lt;&gt;"",COUNTIF($AZ$6:$AZ$1005,AZ754)&gt;1),"GSTIN repeated in this sheet; ","")&amp;IF(AND(AS754&lt;&gt;"",COUNTIF($AS$6:$AS$1005,AS754)&gt;1),"PAN repeated in this sheet (same client? put extra GSTINs in Other GSTINs); ","")&amp;IF(AND(BD754&gt;0,V754=""),"Financial year missing; ","")&amp;IF(AND(BD754=0,V754&lt;&gt;""),"Financial year given but no service is Yes; ","")&amp;IF(AND(W754="Yes",AZ754=""),"GST needs a GSTIN; ","")&amp;IF(AND(W754="Yes",X754=""),"GST return frequency missing; ","")&amp;IF(AND(Y754="Yes",TRIM(H754)=""),"TDS needs a TAN; ","")&amp;IF(AND(AA754="Yes",BC754&lt;&gt;"",BC754&lt;&gt;"company",BC754&lt;&gt;"llp"),"ROC is only for a company / LLP; ","")&amp;IF(AND(AA754="Yes",OR(BC754="company",BC754="llp"),TRIM(I754)=""),"ROC needs the CIN / LLPIN; ","")&amp;IF((TRIM(AF754)="")&lt;&gt;(TRIM(AG754)=""),"GST login needs both user ID and password; ","")&amp;IF((TRIM(AH754)="")&lt;&gt;(TRIM(AI754)=""),"Income-tax login needs both user ID and password; ","")&amp;IF((TRIM(AJ754)="")&lt;&gt;(TRIM(AK754)=""),"Income-tax login needs both user ID and password; ","")&amp;IF((TRIM(AL754)="")&lt;&gt;(TRIM(AM754)=""),"TRACES login needs both user ID and password; ","")&amp;IF((TRIM(AN754)="")&lt;&gt;(TRIM(AO754)=""),"MCA login needs both user ID and password; ","")&amp;IF((TRIM(AP754)="")&lt;&gt;(TRIM(AQ754)=""),"E-way bill login needs both user ID and password; ","")</f>
        <v/>
      </c>
    </row>
    <row r="755">
      <c r="A755" s="32" t="n"/>
      <c r="B755" s="33" t="n"/>
      <c r="C755" s="33" t="n"/>
      <c r="D755" s="33" t="n"/>
      <c r="E755" s="32" t="n"/>
      <c r="F755" s="32" t="n"/>
      <c r="G755" s="32" t="n"/>
      <c r="H755" s="32" t="n"/>
      <c r="I755" s="32" t="n"/>
      <c r="J755" s="34" t="n"/>
      <c r="K755" s="33" t="n"/>
      <c r="L755" s="32" t="n"/>
      <c r="M755" s="33" t="n"/>
      <c r="N755" s="33" t="n"/>
      <c r="O755" s="33" t="n"/>
      <c r="P755" s="32" t="n"/>
      <c r="Q755" s="33" t="n"/>
      <c r="R755" s="33" t="n"/>
      <c r="S755" s="33" t="n"/>
      <c r="T755" s="33" t="n"/>
      <c r="U755" s="32" t="n"/>
      <c r="V755" s="33" t="n"/>
      <c r="W755" s="33" t="n"/>
      <c r="X755" s="33" t="n"/>
      <c r="Y755" s="33" t="n"/>
      <c r="Z755" s="33" t="n"/>
      <c r="AA755" s="33" t="n"/>
      <c r="AB755" s="33" t="n"/>
      <c r="AC755" s="33" t="n"/>
      <c r="AD755" s="33" t="n"/>
      <c r="AE755" s="33" t="n"/>
      <c r="AF755" s="32" t="n"/>
      <c r="AG755" s="32" t="n"/>
      <c r="AH755" s="32" t="n"/>
      <c r="AI755" s="32" t="n"/>
      <c r="AJ755" s="32" t="n"/>
      <c r="AK755" s="32" t="n"/>
      <c r="AL755" s="32" t="n"/>
      <c r="AM755" s="32" t="n"/>
      <c r="AN755" s="32" t="n"/>
      <c r="AO755" s="32" t="n"/>
      <c r="AP755" s="32" t="n"/>
      <c r="AQ755" s="32" t="n"/>
      <c r="AR755" s="29">
        <f>IF(NOT(COUNTA(A755:AE755)&gt;0),"",IF(A755="","New client","Update"))</f>
        <v/>
      </c>
      <c r="AS755" s="29">
        <f>IF(BA755&lt;&gt;"",BA755,IF(LEN(AZ755)=15,MID(AZ755,3,10),""))</f>
        <v/>
      </c>
      <c r="AT755" s="29">
        <f>IF(BB755="","",BB755&amp;IF(D755="","  (guessed from PAN)",""))</f>
        <v/>
      </c>
      <c r="AU755" s="29">
        <f>IF(AZ755="","",IFERROR(INDEX(Lists!$L$2:$L$38,MATCH(LEFT(AZ755,2),Lists!$K$2:$K$38,0)),"Unknown code"))</f>
        <v/>
      </c>
      <c r="AV755" s="29">
        <f>IF(AZ755="","",IFERROR(IF(NOT(AND(LEN(AZ755)=15,ISNUMBER(MATCH(LEFT(AZ755,2),Lists!$K$2:$K$38,0)),SUMPRODUCT(--ISERROR(FIND(MID(MID(AZ755,3,10),{1,2,3,4,5,10},1),"ABCDEFGHIJKLMNOPQRSTUVWXYZ")))=0,SUMPRODUCT(--ISERROR(FIND(MID(MID(AZ755,3,10),{6,7,8,9},1),"0123456789")))=0,ISNUMBER(FIND(MID(AZ755,13,1),"123456789ABCDEFGHIJKLMNOPQRSTUVWXYZ")),MID(AZ755,14,1)="Z")),"Wrong format",IF(MID("0123456789ABCDEFGHIJKLMNOPQRSTUVWXYZ",MOD(36-MOD(SUMPRODUCT(INT((FIND(MID(AZ755,{1,2,3,4,5,6,7,8,9,10,11,12,13,14},1),"0123456789ABCDEFGHIJKLMNOPQRSTUVWXYZ")-1)*{1,2,1,2,1,2,1,2,1,2,1,2,1,2}/36)+MOD((FIND(MID(AZ755,{1,2,3,4,5,6,7,8,9,10,11,12,13,14},1),"0123456789ABCDEFGHIJKLMNOPQRSTUVWXYZ")-1)*{1,2,1,2,1,2,1,2,1,2,1,2,1,2},36)),36),36)+1,1)=MID(AZ755,15,1),"OK","Typo? check digit wrong")),"Wrong format"))</f>
        <v/>
      </c>
      <c r="AW755" s="29">
        <f>IF(BA755="","",IF(AND(LEN(BA755)=10,SUMPRODUCT(--ISERROR(FIND(MID(BA755,{1,2,3,4,5,10},1),"ABCDEFGHIJKLMNOPQRSTUVWXYZ")))=0,SUMPRODUCT(--ISERROR(FIND(MID(BA755,{6,7,8,9},1),"0123456789")))=0),"OK","Wrong format"))</f>
        <v/>
      </c>
      <c r="AX755" s="29">
        <f>IF(TRIM(H755)="","",IF(AND(LEN(UPPER(TRIM(H755)))=10,SUMPRODUCT(--ISERROR(FIND(MID(UPPER(TRIM(H755)),{1,2,3,4,10},1),"ABCDEFGHIJKLMNOPQRSTUVWXYZ")))=0,SUMPRODUCT(--ISERROR(FIND(MID(UPPER(TRIM(H755)),{5,6,7,8,9},1),"0123456789")))=0),"OK","Wrong format"))</f>
        <v/>
      </c>
      <c r="AY755" s="30">
        <f>IF(NOT(COUNTA(A755:AE755)&gt;0),"",IF(BE755&lt;&gt;"","✖ "&amp;LEFT(BE755,LEN(BE755)-2),IF(BD755&gt;0,"✔ Ready — client + "&amp;BD755&amp;" service(s)","✔ Ready — client only")))</f>
        <v/>
      </c>
      <c r="AZ755" s="31">
        <f>UPPER(SUBSTITUTE(TRIM(F755)," ",""))</f>
        <v/>
      </c>
      <c r="BA755" s="31">
        <f>UPPER(SUBSTITUTE(TRIM(E755)," ",""))</f>
        <v/>
      </c>
      <c r="BB755" s="31">
        <f>IF(D755&lt;&gt;"",D755,IFERROR(VLOOKUP(MID(AS755,4,1),Lists!$E$2:$F$8,2,FALSE),""))</f>
        <v/>
      </c>
      <c r="BC755" s="31">
        <f>IFERROR(VLOOKUP(BB755,Lists!$A$2:$C$12,3,FALSE),"")</f>
        <v/>
      </c>
      <c r="BD755" s="31">
        <f>COUNTIF(W755:AC755,"Yes")</f>
        <v/>
      </c>
      <c r="BE755" s="31">
        <f>IF(TRIM(B755)="","Legal name missing; ","")&amp;IF(AND(AV755&lt;&gt;"",AV755&lt;&gt;"OK"),"GSTIN: "&amp;AV755&amp;"; ","")&amp;IF(AND(AW755&lt;&gt;"",AW755&lt;&gt;"OK"),"PAN wrong format; ","")&amp;IF(AND(BA755&lt;&gt;"",LEN(AZ755)=15,MID(AZ755,3,10)&lt;&gt;BA755),"PAN does not match GSTIN; ","")&amp;IF(AND(AX755&lt;&gt;"",AX755&lt;&gt;"OK"),"TAN wrong format; ","")&amp;IF(AS755="","PAN missing; ","")&amp;IF(BB755="","Entity type missing; ","")&amp;IF(AND(AZ755&lt;&gt;"",COUNTIF($AZ$6:$AZ$1005,AZ755)&gt;1),"GSTIN repeated in this sheet; ","")&amp;IF(AND(AS755&lt;&gt;"",COUNTIF($AS$6:$AS$1005,AS755)&gt;1),"PAN repeated in this sheet (same client? put extra GSTINs in Other GSTINs); ","")&amp;IF(AND(BD755&gt;0,V755=""),"Financial year missing; ","")&amp;IF(AND(BD755=0,V755&lt;&gt;""),"Financial year given but no service is Yes; ","")&amp;IF(AND(W755="Yes",AZ755=""),"GST needs a GSTIN; ","")&amp;IF(AND(W755="Yes",X755=""),"GST return frequency missing; ","")&amp;IF(AND(Y755="Yes",TRIM(H755)=""),"TDS needs a TAN; ","")&amp;IF(AND(AA755="Yes",BC755&lt;&gt;"",BC755&lt;&gt;"company",BC755&lt;&gt;"llp"),"ROC is only for a company / LLP; ","")&amp;IF(AND(AA755="Yes",OR(BC755="company",BC755="llp"),TRIM(I755)=""),"ROC needs the CIN / LLPIN; ","")&amp;IF((TRIM(AF755)="")&lt;&gt;(TRIM(AG755)=""),"GST login needs both user ID and password; ","")&amp;IF((TRIM(AH755)="")&lt;&gt;(TRIM(AI755)=""),"Income-tax login needs both user ID and password; ","")&amp;IF((TRIM(AJ755)="")&lt;&gt;(TRIM(AK755)=""),"Income-tax login needs both user ID and password; ","")&amp;IF((TRIM(AL755)="")&lt;&gt;(TRIM(AM755)=""),"TRACES login needs both user ID and password; ","")&amp;IF((TRIM(AN755)="")&lt;&gt;(TRIM(AO755)=""),"MCA login needs both user ID and password; ","")&amp;IF((TRIM(AP755)="")&lt;&gt;(TRIM(AQ755)=""),"E-way bill login needs both user ID and password; ","")</f>
        <v/>
      </c>
    </row>
    <row r="756">
      <c r="A756" s="32" t="n"/>
      <c r="B756" s="33" t="n"/>
      <c r="C756" s="33" t="n"/>
      <c r="D756" s="33" t="n"/>
      <c r="E756" s="32" t="n"/>
      <c r="F756" s="32" t="n"/>
      <c r="G756" s="32" t="n"/>
      <c r="H756" s="32" t="n"/>
      <c r="I756" s="32" t="n"/>
      <c r="J756" s="34" t="n"/>
      <c r="K756" s="33" t="n"/>
      <c r="L756" s="32" t="n"/>
      <c r="M756" s="33" t="n"/>
      <c r="N756" s="33" t="n"/>
      <c r="O756" s="33" t="n"/>
      <c r="P756" s="32" t="n"/>
      <c r="Q756" s="33" t="n"/>
      <c r="R756" s="33" t="n"/>
      <c r="S756" s="33" t="n"/>
      <c r="T756" s="33" t="n"/>
      <c r="U756" s="32" t="n"/>
      <c r="V756" s="33" t="n"/>
      <c r="W756" s="33" t="n"/>
      <c r="X756" s="33" t="n"/>
      <c r="Y756" s="33" t="n"/>
      <c r="Z756" s="33" t="n"/>
      <c r="AA756" s="33" t="n"/>
      <c r="AB756" s="33" t="n"/>
      <c r="AC756" s="33" t="n"/>
      <c r="AD756" s="33" t="n"/>
      <c r="AE756" s="33" t="n"/>
      <c r="AF756" s="32" t="n"/>
      <c r="AG756" s="32" t="n"/>
      <c r="AH756" s="32" t="n"/>
      <c r="AI756" s="32" t="n"/>
      <c r="AJ756" s="32" t="n"/>
      <c r="AK756" s="32" t="n"/>
      <c r="AL756" s="32" t="n"/>
      <c r="AM756" s="32" t="n"/>
      <c r="AN756" s="32" t="n"/>
      <c r="AO756" s="32" t="n"/>
      <c r="AP756" s="32" t="n"/>
      <c r="AQ756" s="32" t="n"/>
      <c r="AR756" s="29">
        <f>IF(NOT(COUNTA(A756:AE756)&gt;0),"",IF(A756="","New client","Update"))</f>
        <v/>
      </c>
      <c r="AS756" s="29">
        <f>IF(BA756&lt;&gt;"",BA756,IF(LEN(AZ756)=15,MID(AZ756,3,10),""))</f>
        <v/>
      </c>
      <c r="AT756" s="29">
        <f>IF(BB756="","",BB756&amp;IF(D756="","  (guessed from PAN)",""))</f>
        <v/>
      </c>
      <c r="AU756" s="29">
        <f>IF(AZ756="","",IFERROR(INDEX(Lists!$L$2:$L$38,MATCH(LEFT(AZ756,2),Lists!$K$2:$K$38,0)),"Unknown code"))</f>
        <v/>
      </c>
      <c r="AV756" s="29">
        <f>IF(AZ756="","",IFERROR(IF(NOT(AND(LEN(AZ756)=15,ISNUMBER(MATCH(LEFT(AZ756,2),Lists!$K$2:$K$38,0)),SUMPRODUCT(--ISERROR(FIND(MID(MID(AZ756,3,10),{1,2,3,4,5,10},1),"ABCDEFGHIJKLMNOPQRSTUVWXYZ")))=0,SUMPRODUCT(--ISERROR(FIND(MID(MID(AZ756,3,10),{6,7,8,9},1),"0123456789")))=0,ISNUMBER(FIND(MID(AZ756,13,1),"123456789ABCDEFGHIJKLMNOPQRSTUVWXYZ")),MID(AZ756,14,1)="Z")),"Wrong format",IF(MID("0123456789ABCDEFGHIJKLMNOPQRSTUVWXYZ",MOD(36-MOD(SUMPRODUCT(INT((FIND(MID(AZ756,{1,2,3,4,5,6,7,8,9,10,11,12,13,14},1),"0123456789ABCDEFGHIJKLMNOPQRSTUVWXYZ")-1)*{1,2,1,2,1,2,1,2,1,2,1,2,1,2}/36)+MOD((FIND(MID(AZ756,{1,2,3,4,5,6,7,8,9,10,11,12,13,14},1),"0123456789ABCDEFGHIJKLMNOPQRSTUVWXYZ")-1)*{1,2,1,2,1,2,1,2,1,2,1,2,1,2},36)),36),36)+1,1)=MID(AZ756,15,1),"OK","Typo? check digit wrong")),"Wrong format"))</f>
        <v/>
      </c>
      <c r="AW756" s="29">
        <f>IF(BA756="","",IF(AND(LEN(BA756)=10,SUMPRODUCT(--ISERROR(FIND(MID(BA756,{1,2,3,4,5,10},1),"ABCDEFGHIJKLMNOPQRSTUVWXYZ")))=0,SUMPRODUCT(--ISERROR(FIND(MID(BA756,{6,7,8,9},1),"0123456789")))=0),"OK","Wrong format"))</f>
        <v/>
      </c>
      <c r="AX756" s="29">
        <f>IF(TRIM(H756)="","",IF(AND(LEN(UPPER(TRIM(H756)))=10,SUMPRODUCT(--ISERROR(FIND(MID(UPPER(TRIM(H756)),{1,2,3,4,10},1),"ABCDEFGHIJKLMNOPQRSTUVWXYZ")))=0,SUMPRODUCT(--ISERROR(FIND(MID(UPPER(TRIM(H756)),{5,6,7,8,9},1),"0123456789")))=0),"OK","Wrong format"))</f>
        <v/>
      </c>
      <c r="AY756" s="30">
        <f>IF(NOT(COUNTA(A756:AE756)&gt;0),"",IF(BE756&lt;&gt;"","✖ "&amp;LEFT(BE756,LEN(BE756)-2),IF(BD756&gt;0,"✔ Ready — client + "&amp;BD756&amp;" service(s)","✔ Ready — client only")))</f>
        <v/>
      </c>
      <c r="AZ756" s="31">
        <f>UPPER(SUBSTITUTE(TRIM(F756)," ",""))</f>
        <v/>
      </c>
      <c r="BA756" s="31">
        <f>UPPER(SUBSTITUTE(TRIM(E756)," ",""))</f>
        <v/>
      </c>
      <c r="BB756" s="31">
        <f>IF(D756&lt;&gt;"",D756,IFERROR(VLOOKUP(MID(AS756,4,1),Lists!$E$2:$F$8,2,FALSE),""))</f>
        <v/>
      </c>
      <c r="BC756" s="31">
        <f>IFERROR(VLOOKUP(BB756,Lists!$A$2:$C$12,3,FALSE),"")</f>
        <v/>
      </c>
      <c r="BD756" s="31">
        <f>COUNTIF(W756:AC756,"Yes")</f>
        <v/>
      </c>
      <c r="BE756" s="31">
        <f>IF(TRIM(B756)="","Legal name missing; ","")&amp;IF(AND(AV756&lt;&gt;"",AV756&lt;&gt;"OK"),"GSTIN: "&amp;AV756&amp;"; ","")&amp;IF(AND(AW756&lt;&gt;"",AW756&lt;&gt;"OK"),"PAN wrong format; ","")&amp;IF(AND(BA756&lt;&gt;"",LEN(AZ756)=15,MID(AZ756,3,10)&lt;&gt;BA756),"PAN does not match GSTIN; ","")&amp;IF(AND(AX756&lt;&gt;"",AX756&lt;&gt;"OK"),"TAN wrong format; ","")&amp;IF(AS756="","PAN missing; ","")&amp;IF(BB756="","Entity type missing; ","")&amp;IF(AND(AZ756&lt;&gt;"",COUNTIF($AZ$6:$AZ$1005,AZ756)&gt;1),"GSTIN repeated in this sheet; ","")&amp;IF(AND(AS756&lt;&gt;"",COUNTIF($AS$6:$AS$1005,AS756)&gt;1),"PAN repeated in this sheet (same client? put extra GSTINs in Other GSTINs); ","")&amp;IF(AND(BD756&gt;0,V756=""),"Financial year missing; ","")&amp;IF(AND(BD756=0,V756&lt;&gt;""),"Financial year given but no service is Yes; ","")&amp;IF(AND(W756="Yes",AZ756=""),"GST needs a GSTIN; ","")&amp;IF(AND(W756="Yes",X756=""),"GST return frequency missing; ","")&amp;IF(AND(Y756="Yes",TRIM(H756)=""),"TDS needs a TAN; ","")&amp;IF(AND(AA756="Yes",BC756&lt;&gt;"",BC756&lt;&gt;"company",BC756&lt;&gt;"llp"),"ROC is only for a company / LLP; ","")&amp;IF(AND(AA756="Yes",OR(BC756="company",BC756="llp"),TRIM(I756)=""),"ROC needs the CIN / LLPIN; ","")&amp;IF((TRIM(AF756)="")&lt;&gt;(TRIM(AG756)=""),"GST login needs both user ID and password; ","")&amp;IF((TRIM(AH756)="")&lt;&gt;(TRIM(AI756)=""),"Income-tax login needs both user ID and password; ","")&amp;IF((TRIM(AJ756)="")&lt;&gt;(TRIM(AK756)=""),"Income-tax login needs both user ID and password; ","")&amp;IF((TRIM(AL756)="")&lt;&gt;(TRIM(AM756)=""),"TRACES login needs both user ID and password; ","")&amp;IF((TRIM(AN756)="")&lt;&gt;(TRIM(AO756)=""),"MCA login needs both user ID and password; ","")&amp;IF((TRIM(AP756)="")&lt;&gt;(TRIM(AQ756)=""),"E-way bill login needs both user ID and password; ","")</f>
        <v/>
      </c>
    </row>
    <row r="757">
      <c r="A757" s="32" t="n"/>
      <c r="B757" s="33" t="n"/>
      <c r="C757" s="33" t="n"/>
      <c r="D757" s="33" t="n"/>
      <c r="E757" s="32" t="n"/>
      <c r="F757" s="32" t="n"/>
      <c r="G757" s="32" t="n"/>
      <c r="H757" s="32" t="n"/>
      <c r="I757" s="32" t="n"/>
      <c r="J757" s="34" t="n"/>
      <c r="K757" s="33" t="n"/>
      <c r="L757" s="32" t="n"/>
      <c r="M757" s="33" t="n"/>
      <c r="N757" s="33" t="n"/>
      <c r="O757" s="33" t="n"/>
      <c r="P757" s="32" t="n"/>
      <c r="Q757" s="33" t="n"/>
      <c r="R757" s="33" t="n"/>
      <c r="S757" s="33" t="n"/>
      <c r="T757" s="33" t="n"/>
      <c r="U757" s="32" t="n"/>
      <c r="V757" s="33" t="n"/>
      <c r="W757" s="33" t="n"/>
      <c r="X757" s="33" t="n"/>
      <c r="Y757" s="33" t="n"/>
      <c r="Z757" s="33" t="n"/>
      <c r="AA757" s="33" t="n"/>
      <c r="AB757" s="33" t="n"/>
      <c r="AC757" s="33" t="n"/>
      <c r="AD757" s="33" t="n"/>
      <c r="AE757" s="33" t="n"/>
      <c r="AF757" s="32" t="n"/>
      <c r="AG757" s="32" t="n"/>
      <c r="AH757" s="32" t="n"/>
      <c r="AI757" s="32" t="n"/>
      <c r="AJ757" s="32" t="n"/>
      <c r="AK757" s="32" t="n"/>
      <c r="AL757" s="32" t="n"/>
      <c r="AM757" s="32" t="n"/>
      <c r="AN757" s="32" t="n"/>
      <c r="AO757" s="32" t="n"/>
      <c r="AP757" s="32" t="n"/>
      <c r="AQ757" s="32" t="n"/>
      <c r="AR757" s="29">
        <f>IF(NOT(COUNTA(A757:AE757)&gt;0),"",IF(A757="","New client","Update"))</f>
        <v/>
      </c>
      <c r="AS757" s="29">
        <f>IF(BA757&lt;&gt;"",BA757,IF(LEN(AZ757)=15,MID(AZ757,3,10),""))</f>
        <v/>
      </c>
      <c r="AT757" s="29">
        <f>IF(BB757="","",BB757&amp;IF(D757="","  (guessed from PAN)",""))</f>
        <v/>
      </c>
      <c r="AU757" s="29">
        <f>IF(AZ757="","",IFERROR(INDEX(Lists!$L$2:$L$38,MATCH(LEFT(AZ757,2),Lists!$K$2:$K$38,0)),"Unknown code"))</f>
        <v/>
      </c>
      <c r="AV757" s="29">
        <f>IF(AZ757="","",IFERROR(IF(NOT(AND(LEN(AZ757)=15,ISNUMBER(MATCH(LEFT(AZ757,2),Lists!$K$2:$K$38,0)),SUMPRODUCT(--ISERROR(FIND(MID(MID(AZ757,3,10),{1,2,3,4,5,10},1),"ABCDEFGHIJKLMNOPQRSTUVWXYZ")))=0,SUMPRODUCT(--ISERROR(FIND(MID(MID(AZ757,3,10),{6,7,8,9},1),"0123456789")))=0,ISNUMBER(FIND(MID(AZ757,13,1),"123456789ABCDEFGHIJKLMNOPQRSTUVWXYZ")),MID(AZ757,14,1)="Z")),"Wrong format",IF(MID("0123456789ABCDEFGHIJKLMNOPQRSTUVWXYZ",MOD(36-MOD(SUMPRODUCT(INT((FIND(MID(AZ757,{1,2,3,4,5,6,7,8,9,10,11,12,13,14},1),"0123456789ABCDEFGHIJKLMNOPQRSTUVWXYZ")-1)*{1,2,1,2,1,2,1,2,1,2,1,2,1,2}/36)+MOD((FIND(MID(AZ757,{1,2,3,4,5,6,7,8,9,10,11,12,13,14},1),"0123456789ABCDEFGHIJKLMNOPQRSTUVWXYZ")-1)*{1,2,1,2,1,2,1,2,1,2,1,2,1,2},36)),36),36)+1,1)=MID(AZ757,15,1),"OK","Typo? check digit wrong")),"Wrong format"))</f>
        <v/>
      </c>
      <c r="AW757" s="29">
        <f>IF(BA757="","",IF(AND(LEN(BA757)=10,SUMPRODUCT(--ISERROR(FIND(MID(BA757,{1,2,3,4,5,10},1),"ABCDEFGHIJKLMNOPQRSTUVWXYZ")))=0,SUMPRODUCT(--ISERROR(FIND(MID(BA757,{6,7,8,9},1),"0123456789")))=0),"OK","Wrong format"))</f>
        <v/>
      </c>
      <c r="AX757" s="29">
        <f>IF(TRIM(H757)="","",IF(AND(LEN(UPPER(TRIM(H757)))=10,SUMPRODUCT(--ISERROR(FIND(MID(UPPER(TRIM(H757)),{1,2,3,4,10},1),"ABCDEFGHIJKLMNOPQRSTUVWXYZ")))=0,SUMPRODUCT(--ISERROR(FIND(MID(UPPER(TRIM(H757)),{5,6,7,8,9},1),"0123456789")))=0),"OK","Wrong format"))</f>
        <v/>
      </c>
      <c r="AY757" s="30">
        <f>IF(NOT(COUNTA(A757:AE757)&gt;0),"",IF(BE757&lt;&gt;"","✖ "&amp;LEFT(BE757,LEN(BE757)-2),IF(BD757&gt;0,"✔ Ready — client + "&amp;BD757&amp;" service(s)","✔ Ready — client only")))</f>
        <v/>
      </c>
      <c r="AZ757" s="31">
        <f>UPPER(SUBSTITUTE(TRIM(F757)," ",""))</f>
        <v/>
      </c>
      <c r="BA757" s="31">
        <f>UPPER(SUBSTITUTE(TRIM(E757)," ",""))</f>
        <v/>
      </c>
      <c r="BB757" s="31">
        <f>IF(D757&lt;&gt;"",D757,IFERROR(VLOOKUP(MID(AS757,4,1),Lists!$E$2:$F$8,2,FALSE),""))</f>
        <v/>
      </c>
      <c r="BC757" s="31">
        <f>IFERROR(VLOOKUP(BB757,Lists!$A$2:$C$12,3,FALSE),"")</f>
        <v/>
      </c>
      <c r="BD757" s="31">
        <f>COUNTIF(W757:AC757,"Yes")</f>
        <v/>
      </c>
      <c r="BE757" s="31">
        <f>IF(TRIM(B757)="","Legal name missing; ","")&amp;IF(AND(AV757&lt;&gt;"",AV757&lt;&gt;"OK"),"GSTIN: "&amp;AV757&amp;"; ","")&amp;IF(AND(AW757&lt;&gt;"",AW757&lt;&gt;"OK"),"PAN wrong format; ","")&amp;IF(AND(BA757&lt;&gt;"",LEN(AZ757)=15,MID(AZ757,3,10)&lt;&gt;BA757),"PAN does not match GSTIN; ","")&amp;IF(AND(AX757&lt;&gt;"",AX757&lt;&gt;"OK"),"TAN wrong format; ","")&amp;IF(AS757="","PAN missing; ","")&amp;IF(BB757="","Entity type missing; ","")&amp;IF(AND(AZ757&lt;&gt;"",COUNTIF($AZ$6:$AZ$1005,AZ757)&gt;1),"GSTIN repeated in this sheet; ","")&amp;IF(AND(AS757&lt;&gt;"",COUNTIF($AS$6:$AS$1005,AS757)&gt;1),"PAN repeated in this sheet (same client? put extra GSTINs in Other GSTINs); ","")&amp;IF(AND(BD757&gt;0,V757=""),"Financial year missing; ","")&amp;IF(AND(BD757=0,V757&lt;&gt;""),"Financial year given but no service is Yes; ","")&amp;IF(AND(W757="Yes",AZ757=""),"GST needs a GSTIN; ","")&amp;IF(AND(W757="Yes",X757=""),"GST return frequency missing; ","")&amp;IF(AND(Y757="Yes",TRIM(H757)=""),"TDS needs a TAN; ","")&amp;IF(AND(AA757="Yes",BC757&lt;&gt;"",BC757&lt;&gt;"company",BC757&lt;&gt;"llp"),"ROC is only for a company / LLP; ","")&amp;IF(AND(AA757="Yes",OR(BC757="company",BC757="llp"),TRIM(I757)=""),"ROC needs the CIN / LLPIN; ","")&amp;IF((TRIM(AF757)="")&lt;&gt;(TRIM(AG757)=""),"GST login needs both user ID and password; ","")&amp;IF((TRIM(AH757)="")&lt;&gt;(TRIM(AI757)=""),"Income-tax login needs both user ID and password; ","")&amp;IF((TRIM(AJ757)="")&lt;&gt;(TRIM(AK757)=""),"Income-tax login needs both user ID and password; ","")&amp;IF((TRIM(AL757)="")&lt;&gt;(TRIM(AM757)=""),"TRACES login needs both user ID and password; ","")&amp;IF((TRIM(AN757)="")&lt;&gt;(TRIM(AO757)=""),"MCA login needs both user ID and password; ","")&amp;IF((TRIM(AP757)="")&lt;&gt;(TRIM(AQ757)=""),"E-way bill login needs both user ID and password; ","")</f>
        <v/>
      </c>
    </row>
    <row r="758">
      <c r="A758" s="32" t="n"/>
      <c r="B758" s="33" t="n"/>
      <c r="C758" s="33" t="n"/>
      <c r="D758" s="33" t="n"/>
      <c r="E758" s="32" t="n"/>
      <c r="F758" s="32" t="n"/>
      <c r="G758" s="32" t="n"/>
      <c r="H758" s="32" t="n"/>
      <c r="I758" s="32" t="n"/>
      <c r="J758" s="34" t="n"/>
      <c r="K758" s="33" t="n"/>
      <c r="L758" s="32" t="n"/>
      <c r="M758" s="33" t="n"/>
      <c r="N758" s="33" t="n"/>
      <c r="O758" s="33" t="n"/>
      <c r="P758" s="32" t="n"/>
      <c r="Q758" s="33" t="n"/>
      <c r="R758" s="33" t="n"/>
      <c r="S758" s="33" t="n"/>
      <c r="T758" s="33" t="n"/>
      <c r="U758" s="32" t="n"/>
      <c r="V758" s="33" t="n"/>
      <c r="W758" s="33" t="n"/>
      <c r="X758" s="33" t="n"/>
      <c r="Y758" s="33" t="n"/>
      <c r="Z758" s="33" t="n"/>
      <c r="AA758" s="33" t="n"/>
      <c r="AB758" s="33" t="n"/>
      <c r="AC758" s="33" t="n"/>
      <c r="AD758" s="33" t="n"/>
      <c r="AE758" s="33" t="n"/>
      <c r="AF758" s="32" t="n"/>
      <c r="AG758" s="32" t="n"/>
      <c r="AH758" s="32" t="n"/>
      <c r="AI758" s="32" t="n"/>
      <c r="AJ758" s="32" t="n"/>
      <c r="AK758" s="32" t="n"/>
      <c r="AL758" s="32" t="n"/>
      <c r="AM758" s="32" t="n"/>
      <c r="AN758" s="32" t="n"/>
      <c r="AO758" s="32" t="n"/>
      <c r="AP758" s="32" t="n"/>
      <c r="AQ758" s="32" t="n"/>
      <c r="AR758" s="29">
        <f>IF(NOT(COUNTA(A758:AE758)&gt;0),"",IF(A758="","New client","Update"))</f>
        <v/>
      </c>
      <c r="AS758" s="29">
        <f>IF(BA758&lt;&gt;"",BA758,IF(LEN(AZ758)=15,MID(AZ758,3,10),""))</f>
        <v/>
      </c>
      <c r="AT758" s="29">
        <f>IF(BB758="","",BB758&amp;IF(D758="","  (guessed from PAN)",""))</f>
        <v/>
      </c>
      <c r="AU758" s="29">
        <f>IF(AZ758="","",IFERROR(INDEX(Lists!$L$2:$L$38,MATCH(LEFT(AZ758,2),Lists!$K$2:$K$38,0)),"Unknown code"))</f>
        <v/>
      </c>
      <c r="AV758" s="29">
        <f>IF(AZ758="","",IFERROR(IF(NOT(AND(LEN(AZ758)=15,ISNUMBER(MATCH(LEFT(AZ758,2),Lists!$K$2:$K$38,0)),SUMPRODUCT(--ISERROR(FIND(MID(MID(AZ758,3,10),{1,2,3,4,5,10},1),"ABCDEFGHIJKLMNOPQRSTUVWXYZ")))=0,SUMPRODUCT(--ISERROR(FIND(MID(MID(AZ758,3,10),{6,7,8,9},1),"0123456789")))=0,ISNUMBER(FIND(MID(AZ758,13,1),"123456789ABCDEFGHIJKLMNOPQRSTUVWXYZ")),MID(AZ758,14,1)="Z")),"Wrong format",IF(MID("0123456789ABCDEFGHIJKLMNOPQRSTUVWXYZ",MOD(36-MOD(SUMPRODUCT(INT((FIND(MID(AZ758,{1,2,3,4,5,6,7,8,9,10,11,12,13,14},1),"0123456789ABCDEFGHIJKLMNOPQRSTUVWXYZ")-1)*{1,2,1,2,1,2,1,2,1,2,1,2,1,2}/36)+MOD((FIND(MID(AZ758,{1,2,3,4,5,6,7,8,9,10,11,12,13,14},1),"0123456789ABCDEFGHIJKLMNOPQRSTUVWXYZ")-1)*{1,2,1,2,1,2,1,2,1,2,1,2,1,2},36)),36),36)+1,1)=MID(AZ758,15,1),"OK","Typo? check digit wrong")),"Wrong format"))</f>
        <v/>
      </c>
      <c r="AW758" s="29">
        <f>IF(BA758="","",IF(AND(LEN(BA758)=10,SUMPRODUCT(--ISERROR(FIND(MID(BA758,{1,2,3,4,5,10},1),"ABCDEFGHIJKLMNOPQRSTUVWXYZ")))=0,SUMPRODUCT(--ISERROR(FIND(MID(BA758,{6,7,8,9},1),"0123456789")))=0),"OK","Wrong format"))</f>
        <v/>
      </c>
      <c r="AX758" s="29">
        <f>IF(TRIM(H758)="","",IF(AND(LEN(UPPER(TRIM(H758)))=10,SUMPRODUCT(--ISERROR(FIND(MID(UPPER(TRIM(H758)),{1,2,3,4,10},1),"ABCDEFGHIJKLMNOPQRSTUVWXYZ")))=0,SUMPRODUCT(--ISERROR(FIND(MID(UPPER(TRIM(H758)),{5,6,7,8,9},1),"0123456789")))=0),"OK","Wrong format"))</f>
        <v/>
      </c>
      <c r="AY758" s="30">
        <f>IF(NOT(COUNTA(A758:AE758)&gt;0),"",IF(BE758&lt;&gt;"","✖ "&amp;LEFT(BE758,LEN(BE758)-2),IF(BD758&gt;0,"✔ Ready — client + "&amp;BD758&amp;" service(s)","✔ Ready — client only")))</f>
        <v/>
      </c>
      <c r="AZ758" s="31">
        <f>UPPER(SUBSTITUTE(TRIM(F758)," ",""))</f>
        <v/>
      </c>
      <c r="BA758" s="31">
        <f>UPPER(SUBSTITUTE(TRIM(E758)," ",""))</f>
        <v/>
      </c>
      <c r="BB758" s="31">
        <f>IF(D758&lt;&gt;"",D758,IFERROR(VLOOKUP(MID(AS758,4,1),Lists!$E$2:$F$8,2,FALSE),""))</f>
        <v/>
      </c>
      <c r="BC758" s="31">
        <f>IFERROR(VLOOKUP(BB758,Lists!$A$2:$C$12,3,FALSE),"")</f>
        <v/>
      </c>
      <c r="BD758" s="31">
        <f>COUNTIF(W758:AC758,"Yes")</f>
        <v/>
      </c>
      <c r="BE758" s="31">
        <f>IF(TRIM(B758)="","Legal name missing; ","")&amp;IF(AND(AV758&lt;&gt;"",AV758&lt;&gt;"OK"),"GSTIN: "&amp;AV758&amp;"; ","")&amp;IF(AND(AW758&lt;&gt;"",AW758&lt;&gt;"OK"),"PAN wrong format; ","")&amp;IF(AND(BA758&lt;&gt;"",LEN(AZ758)=15,MID(AZ758,3,10)&lt;&gt;BA758),"PAN does not match GSTIN; ","")&amp;IF(AND(AX758&lt;&gt;"",AX758&lt;&gt;"OK"),"TAN wrong format; ","")&amp;IF(AS758="","PAN missing; ","")&amp;IF(BB758="","Entity type missing; ","")&amp;IF(AND(AZ758&lt;&gt;"",COUNTIF($AZ$6:$AZ$1005,AZ758)&gt;1),"GSTIN repeated in this sheet; ","")&amp;IF(AND(AS758&lt;&gt;"",COUNTIF($AS$6:$AS$1005,AS758)&gt;1),"PAN repeated in this sheet (same client? put extra GSTINs in Other GSTINs); ","")&amp;IF(AND(BD758&gt;0,V758=""),"Financial year missing; ","")&amp;IF(AND(BD758=0,V758&lt;&gt;""),"Financial year given but no service is Yes; ","")&amp;IF(AND(W758="Yes",AZ758=""),"GST needs a GSTIN; ","")&amp;IF(AND(W758="Yes",X758=""),"GST return frequency missing; ","")&amp;IF(AND(Y758="Yes",TRIM(H758)=""),"TDS needs a TAN; ","")&amp;IF(AND(AA758="Yes",BC758&lt;&gt;"",BC758&lt;&gt;"company",BC758&lt;&gt;"llp"),"ROC is only for a company / LLP; ","")&amp;IF(AND(AA758="Yes",OR(BC758="company",BC758="llp"),TRIM(I758)=""),"ROC needs the CIN / LLPIN; ","")&amp;IF((TRIM(AF758)="")&lt;&gt;(TRIM(AG758)=""),"GST login needs both user ID and password; ","")&amp;IF((TRIM(AH758)="")&lt;&gt;(TRIM(AI758)=""),"Income-tax login needs both user ID and password; ","")&amp;IF((TRIM(AJ758)="")&lt;&gt;(TRIM(AK758)=""),"Income-tax login needs both user ID and password; ","")&amp;IF((TRIM(AL758)="")&lt;&gt;(TRIM(AM758)=""),"TRACES login needs both user ID and password; ","")&amp;IF((TRIM(AN758)="")&lt;&gt;(TRIM(AO758)=""),"MCA login needs both user ID and password; ","")&amp;IF((TRIM(AP758)="")&lt;&gt;(TRIM(AQ758)=""),"E-way bill login needs both user ID and password; ","")</f>
        <v/>
      </c>
    </row>
    <row r="759">
      <c r="A759" s="32" t="n"/>
      <c r="B759" s="33" t="n"/>
      <c r="C759" s="33" t="n"/>
      <c r="D759" s="33" t="n"/>
      <c r="E759" s="32" t="n"/>
      <c r="F759" s="32" t="n"/>
      <c r="G759" s="32" t="n"/>
      <c r="H759" s="32" t="n"/>
      <c r="I759" s="32" t="n"/>
      <c r="J759" s="34" t="n"/>
      <c r="K759" s="33" t="n"/>
      <c r="L759" s="32" t="n"/>
      <c r="M759" s="33" t="n"/>
      <c r="N759" s="33" t="n"/>
      <c r="O759" s="33" t="n"/>
      <c r="P759" s="32" t="n"/>
      <c r="Q759" s="33" t="n"/>
      <c r="R759" s="33" t="n"/>
      <c r="S759" s="33" t="n"/>
      <c r="T759" s="33" t="n"/>
      <c r="U759" s="32" t="n"/>
      <c r="V759" s="33" t="n"/>
      <c r="W759" s="33" t="n"/>
      <c r="X759" s="33" t="n"/>
      <c r="Y759" s="33" t="n"/>
      <c r="Z759" s="33" t="n"/>
      <c r="AA759" s="33" t="n"/>
      <c r="AB759" s="33" t="n"/>
      <c r="AC759" s="33" t="n"/>
      <c r="AD759" s="33" t="n"/>
      <c r="AE759" s="33" t="n"/>
      <c r="AF759" s="32" t="n"/>
      <c r="AG759" s="32" t="n"/>
      <c r="AH759" s="32" t="n"/>
      <c r="AI759" s="32" t="n"/>
      <c r="AJ759" s="32" t="n"/>
      <c r="AK759" s="32" t="n"/>
      <c r="AL759" s="32" t="n"/>
      <c r="AM759" s="32" t="n"/>
      <c r="AN759" s="32" t="n"/>
      <c r="AO759" s="32" t="n"/>
      <c r="AP759" s="32" t="n"/>
      <c r="AQ759" s="32" t="n"/>
      <c r="AR759" s="29">
        <f>IF(NOT(COUNTA(A759:AE759)&gt;0),"",IF(A759="","New client","Update"))</f>
        <v/>
      </c>
      <c r="AS759" s="29">
        <f>IF(BA759&lt;&gt;"",BA759,IF(LEN(AZ759)=15,MID(AZ759,3,10),""))</f>
        <v/>
      </c>
      <c r="AT759" s="29">
        <f>IF(BB759="","",BB759&amp;IF(D759="","  (guessed from PAN)",""))</f>
        <v/>
      </c>
      <c r="AU759" s="29">
        <f>IF(AZ759="","",IFERROR(INDEX(Lists!$L$2:$L$38,MATCH(LEFT(AZ759,2),Lists!$K$2:$K$38,0)),"Unknown code"))</f>
        <v/>
      </c>
      <c r="AV759" s="29">
        <f>IF(AZ759="","",IFERROR(IF(NOT(AND(LEN(AZ759)=15,ISNUMBER(MATCH(LEFT(AZ759,2),Lists!$K$2:$K$38,0)),SUMPRODUCT(--ISERROR(FIND(MID(MID(AZ759,3,10),{1,2,3,4,5,10},1),"ABCDEFGHIJKLMNOPQRSTUVWXYZ")))=0,SUMPRODUCT(--ISERROR(FIND(MID(MID(AZ759,3,10),{6,7,8,9},1),"0123456789")))=0,ISNUMBER(FIND(MID(AZ759,13,1),"123456789ABCDEFGHIJKLMNOPQRSTUVWXYZ")),MID(AZ759,14,1)="Z")),"Wrong format",IF(MID("0123456789ABCDEFGHIJKLMNOPQRSTUVWXYZ",MOD(36-MOD(SUMPRODUCT(INT((FIND(MID(AZ759,{1,2,3,4,5,6,7,8,9,10,11,12,13,14},1),"0123456789ABCDEFGHIJKLMNOPQRSTUVWXYZ")-1)*{1,2,1,2,1,2,1,2,1,2,1,2,1,2}/36)+MOD((FIND(MID(AZ759,{1,2,3,4,5,6,7,8,9,10,11,12,13,14},1),"0123456789ABCDEFGHIJKLMNOPQRSTUVWXYZ")-1)*{1,2,1,2,1,2,1,2,1,2,1,2,1,2},36)),36),36)+1,1)=MID(AZ759,15,1),"OK","Typo? check digit wrong")),"Wrong format"))</f>
        <v/>
      </c>
      <c r="AW759" s="29">
        <f>IF(BA759="","",IF(AND(LEN(BA759)=10,SUMPRODUCT(--ISERROR(FIND(MID(BA759,{1,2,3,4,5,10},1),"ABCDEFGHIJKLMNOPQRSTUVWXYZ")))=0,SUMPRODUCT(--ISERROR(FIND(MID(BA759,{6,7,8,9},1),"0123456789")))=0),"OK","Wrong format"))</f>
        <v/>
      </c>
      <c r="AX759" s="29">
        <f>IF(TRIM(H759)="","",IF(AND(LEN(UPPER(TRIM(H759)))=10,SUMPRODUCT(--ISERROR(FIND(MID(UPPER(TRIM(H759)),{1,2,3,4,10},1),"ABCDEFGHIJKLMNOPQRSTUVWXYZ")))=0,SUMPRODUCT(--ISERROR(FIND(MID(UPPER(TRIM(H759)),{5,6,7,8,9},1),"0123456789")))=0),"OK","Wrong format"))</f>
        <v/>
      </c>
      <c r="AY759" s="30">
        <f>IF(NOT(COUNTA(A759:AE759)&gt;0),"",IF(BE759&lt;&gt;"","✖ "&amp;LEFT(BE759,LEN(BE759)-2),IF(BD759&gt;0,"✔ Ready — client + "&amp;BD759&amp;" service(s)","✔ Ready — client only")))</f>
        <v/>
      </c>
      <c r="AZ759" s="31">
        <f>UPPER(SUBSTITUTE(TRIM(F759)," ",""))</f>
        <v/>
      </c>
      <c r="BA759" s="31">
        <f>UPPER(SUBSTITUTE(TRIM(E759)," ",""))</f>
        <v/>
      </c>
      <c r="BB759" s="31">
        <f>IF(D759&lt;&gt;"",D759,IFERROR(VLOOKUP(MID(AS759,4,1),Lists!$E$2:$F$8,2,FALSE),""))</f>
        <v/>
      </c>
      <c r="BC759" s="31">
        <f>IFERROR(VLOOKUP(BB759,Lists!$A$2:$C$12,3,FALSE),"")</f>
        <v/>
      </c>
      <c r="BD759" s="31">
        <f>COUNTIF(W759:AC759,"Yes")</f>
        <v/>
      </c>
      <c r="BE759" s="31">
        <f>IF(TRIM(B759)="","Legal name missing; ","")&amp;IF(AND(AV759&lt;&gt;"",AV759&lt;&gt;"OK"),"GSTIN: "&amp;AV759&amp;"; ","")&amp;IF(AND(AW759&lt;&gt;"",AW759&lt;&gt;"OK"),"PAN wrong format; ","")&amp;IF(AND(BA759&lt;&gt;"",LEN(AZ759)=15,MID(AZ759,3,10)&lt;&gt;BA759),"PAN does not match GSTIN; ","")&amp;IF(AND(AX759&lt;&gt;"",AX759&lt;&gt;"OK"),"TAN wrong format; ","")&amp;IF(AS759="","PAN missing; ","")&amp;IF(BB759="","Entity type missing; ","")&amp;IF(AND(AZ759&lt;&gt;"",COUNTIF($AZ$6:$AZ$1005,AZ759)&gt;1),"GSTIN repeated in this sheet; ","")&amp;IF(AND(AS759&lt;&gt;"",COUNTIF($AS$6:$AS$1005,AS759)&gt;1),"PAN repeated in this sheet (same client? put extra GSTINs in Other GSTINs); ","")&amp;IF(AND(BD759&gt;0,V759=""),"Financial year missing; ","")&amp;IF(AND(BD759=0,V759&lt;&gt;""),"Financial year given but no service is Yes; ","")&amp;IF(AND(W759="Yes",AZ759=""),"GST needs a GSTIN; ","")&amp;IF(AND(W759="Yes",X759=""),"GST return frequency missing; ","")&amp;IF(AND(Y759="Yes",TRIM(H759)=""),"TDS needs a TAN; ","")&amp;IF(AND(AA759="Yes",BC759&lt;&gt;"",BC759&lt;&gt;"company",BC759&lt;&gt;"llp"),"ROC is only for a company / LLP; ","")&amp;IF(AND(AA759="Yes",OR(BC759="company",BC759="llp"),TRIM(I759)=""),"ROC needs the CIN / LLPIN; ","")&amp;IF((TRIM(AF759)="")&lt;&gt;(TRIM(AG759)=""),"GST login needs both user ID and password; ","")&amp;IF((TRIM(AH759)="")&lt;&gt;(TRIM(AI759)=""),"Income-tax login needs both user ID and password; ","")&amp;IF((TRIM(AJ759)="")&lt;&gt;(TRIM(AK759)=""),"Income-tax login needs both user ID and password; ","")&amp;IF((TRIM(AL759)="")&lt;&gt;(TRIM(AM759)=""),"TRACES login needs both user ID and password; ","")&amp;IF((TRIM(AN759)="")&lt;&gt;(TRIM(AO759)=""),"MCA login needs both user ID and password; ","")&amp;IF((TRIM(AP759)="")&lt;&gt;(TRIM(AQ759)=""),"E-way bill login needs both user ID and password; ","")</f>
        <v/>
      </c>
    </row>
    <row r="760">
      <c r="A760" s="32" t="n"/>
      <c r="B760" s="33" t="n"/>
      <c r="C760" s="33" t="n"/>
      <c r="D760" s="33" t="n"/>
      <c r="E760" s="32" t="n"/>
      <c r="F760" s="32" t="n"/>
      <c r="G760" s="32" t="n"/>
      <c r="H760" s="32" t="n"/>
      <c r="I760" s="32" t="n"/>
      <c r="J760" s="34" t="n"/>
      <c r="K760" s="33" t="n"/>
      <c r="L760" s="32" t="n"/>
      <c r="M760" s="33" t="n"/>
      <c r="N760" s="33" t="n"/>
      <c r="O760" s="33" t="n"/>
      <c r="P760" s="32" t="n"/>
      <c r="Q760" s="33" t="n"/>
      <c r="R760" s="33" t="n"/>
      <c r="S760" s="33" t="n"/>
      <c r="T760" s="33" t="n"/>
      <c r="U760" s="32" t="n"/>
      <c r="V760" s="33" t="n"/>
      <c r="W760" s="33" t="n"/>
      <c r="X760" s="33" t="n"/>
      <c r="Y760" s="33" t="n"/>
      <c r="Z760" s="33" t="n"/>
      <c r="AA760" s="33" t="n"/>
      <c r="AB760" s="33" t="n"/>
      <c r="AC760" s="33" t="n"/>
      <c r="AD760" s="33" t="n"/>
      <c r="AE760" s="33" t="n"/>
      <c r="AF760" s="32" t="n"/>
      <c r="AG760" s="32" t="n"/>
      <c r="AH760" s="32" t="n"/>
      <c r="AI760" s="32" t="n"/>
      <c r="AJ760" s="32" t="n"/>
      <c r="AK760" s="32" t="n"/>
      <c r="AL760" s="32" t="n"/>
      <c r="AM760" s="32" t="n"/>
      <c r="AN760" s="32" t="n"/>
      <c r="AO760" s="32" t="n"/>
      <c r="AP760" s="32" t="n"/>
      <c r="AQ760" s="32" t="n"/>
      <c r="AR760" s="29">
        <f>IF(NOT(COUNTA(A760:AE760)&gt;0),"",IF(A760="","New client","Update"))</f>
        <v/>
      </c>
      <c r="AS760" s="29">
        <f>IF(BA760&lt;&gt;"",BA760,IF(LEN(AZ760)=15,MID(AZ760,3,10),""))</f>
        <v/>
      </c>
      <c r="AT760" s="29">
        <f>IF(BB760="","",BB760&amp;IF(D760="","  (guessed from PAN)",""))</f>
        <v/>
      </c>
      <c r="AU760" s="29">
        <f>IF(AZ760="","",IFERROR(INDEX(Lists!$L$2:$L$38,MATCH(LEFT(AZ760,2),Lists!$K$2:$K$38,0)),"Unknown code"))</f>
        <v/>
      </c>
      <c r="AV760" s="29">
        <f>IF(AZ760="","",IFERROR(IF(NOT(AND(LEN(AZ760)=15,ISNUMBER(MATCH(LEFT(AZ760,2),Lists!$K$2:$K$38,0)),SUMPRODUCT(--ISERROR(FIND(MID(MID(AZ760,3,10),{1,2,3,4,5,10},1),"ABCDEFGHIJKLMNOPQRSTUVWXYZ")))=0,SUMPRODUCT(--ISERROR(FIND(MID(MID(AZ760,3,10),{6,7,8,9},1),"0123456789")))=0,ISNUMBER(FIND(MID(AZ760,13,1),"123456789ABCDEFGHIJKLMNOPQRSTUVWXYZ")),MID(AZ760,14,1)="Z")),"Wrong format",IF(MID("0123456789ABCDEFGHIJKLMNOPQRSTUVWXYZ",MOD(36-MOD(SUMPRODUCT(INT((FIND(MID(AZ760,{1,2,3,4,5,6,7,8,9,10,11,12,13,14},1),"0123456789ABCDEFGHIJKLMNOPQRSTUVWXYZ")-1)*{1,2,1,2,1,2,1,2,1,2,1,2,1,2}/36)+MOD((FIND(MID(AZ760,{1,2,3,4,5,6,7,8,9,10,11,12,13,14},1),"0123456789ABCDEFGHIJKLMNOPQRSTUVWXYZ")-1)*{1,2,1,2,1,2,1,2,1,2,1,2,1,2},36)),36),36)+1,1)=MID(AZ760,15,1),"OK","Typo? check digit wrong")),"Wrong format"))</f>
        <v/>
      </c>
      <c r="AW760" s="29">
        <f>IF(BA760="","",IF(AND(LEN(BA760)=10,SUMPRODUCT(--ISERROR(FIND(MID(BA760,{1,2,3,4,5,10},1),"ABCDEFGHIJKLMNOPQRSTUVWXYZ")))=0,SUMPRODUCT(--ISERROR(FIND(MID(BA760,{6,7,8,9},1),"0123456789")))=0),"OK","Wrong format"))</f>
        <v/>
      </c>
      <c r="AX760" s="29">
        <f>IF(TRIM(H760)="","",IF(AND(LEN(UPPER(TRIM(H760)))=10,SUMPRODUCT(--ISERROR(FIND(MID(UPPER(TRIM(H760)),{1,2,3,4,10},1),"ABCDEFGHIJKLMNOPQRSTUVWXYZ")))=0,SUMPRODUCT(--ISERROR(FIND(MID(UPPER(TRIM(H760)),{5,6,7,8,9},1),"0123456789")))=0),"OK","Wrong format"))</f>
        <v/>
      </c>
      <c r="AY760" s="30">
        <f>IF(NOT(COUNTA(A760:AE760)&gt;0),"",IF(BE760&lt;&gt;"","✖ "&amp;LEFT(BE760,LEN(BE760)-2),IF(BD760&gt;0,"✔ Ready — client + "&amp;BD760&amp;" service(s)","✔ Ready — client only")))</f>
        <v/>
      </c>
      <c r="AZ760" s="31">
        <f>UPPER(SUBSTITUTE(TRIM(F760)," ",""))</f>
        <v/>
      </c>
      <c r="BA760" s="31">
        <f>UPPER(SUBSTITUTE(TRIM(E760)," ",""))</f>
        <v/>
      </c>
      <c r="BB760" s="31">
        <f>IF(D760&lt;&gt;"",D760,IFERROR(VLOOKUP(MID(AS760,4,1),Lists!$E$2:$F$8,2,FALSE),""))</f>
        <v/>
      </c>
      <c r="BC760" s="31">
        <f>IFERROR(VLOOKUP(BB760,Lists!$A$2:$C$12,3,FALSE),"")</f>
        <v/>
      </c>
      <c r="BD760" s="31">
        <f>COUNTIF(W760:AC760,"Yes")</f>
        <v/>
      </c>
      <c r="BE760" s="31">
        <f>IF(TRIM(B760)="","Legal name missing; ","")&amp;IF(AND(AV760&lt;&gt;"",AV760&lt;&gt;"OK"),"GSTIN: "&amp;AV760&amp;"; ","")&amp;IF(AND(AW760&lt;&gt;"",AW760&lt;&gt;"OK"),"PAN wrong format; ","")&amp;IF(AND(BA760&lt;&gt;"",LEN(AZ760)=15,MID(AZ760,3,10)&lt;&gt;BA760),"PAN does not match GSTIN; ","")&amp;IF(AND(AX760&lt;&gt;"",AX760&lt;&gt;"OK"),"TAN wrong format; ","")&amp;IF(AS760="","PAN missing; ","")&amp;IF(BB760="","Entity type missing; ","")&amp;IF(AND(AZ760&lt;&gt;"",COUNTIF($AZ$6:$AZ$1005,AZ760)&gt;1),"GSTIN repeated in this sheet; ","")&amp;IF(AND(AS760&lt;&gt;"",COUNTIF($AS$6:$AS$1005,AS760)&gt;1),"PAN repeated in this sheet (same client? put extra GSTINs in Other GSTINs); ","")&amp;IF(AND(BD760&gt;0,V760=""),"Financial year missing; ","")&amp;IF(AND(BD760=0,V760&lt;&gt;""),"Financial year given but no service is Yes; ","")&amp;IF(AND(W760="Yes",AZ760=""),"GST needs a GSTIN; ","")&amp;IF(AND(W760="Yes",X760=""),"GST return frequency missing; ","")&amp;IF(AND(Y760="Yes",TRIM(H760)=""),"TDS needs a TAN; ","")&amp;IF(AND(AA760="Yes",BC760&lt;&gt;"",BC760&lt;&gt;"company",BC760&lt;&gt;"llp"),"ROC is only for a company / LLP; ","")&amp;IF(AND(AA760="Yes",OR(BC760="company",BC760="llp"),TRIM(I760)=""),"ROC needs the CIN / LLPIN; ","")&amp;IF((TRIM(AF760)="")&lt;&gt;(TRIM(AG760)=""),"GST login needs both user ID and password; ","")&amp;IF((TRIM(AH760)="")&lt;&gt;(TRIM(AI760)=""),"Income-tax login needs both user ID and password; ","")&amp;IF((TRIM(AJ760)="")&lt;&gt;(TRIM(AK760)=""),"Income-tax login needs both user ID and password; ","")&amp;IF((TRIM(AL760)="")&lt;&gt;(TRIM(AM760)=""),"TRACES login needs both user ID and password; ","")&amp;IF((TRIM(AN760)="")&lt;&gt;(TRIM(AO760)=""),"MCA login needs both user ID and password; ","")&amp;IF((TRIM(AP760)="")&lt;&gt;(TRIM(AQ760)=""),"E-way bill login needs both user ID and password; ","")</f>
        <v/>
      </c>
    </row>
    <row r="761">
      <c r="A761" s="32" t="n"/>
      <c r="B761" s="33" t="n"/>
      <c r="C761" s="33" t="n"/>
      <c r="D761" s="33" t="n"/>
      <c r="E761" s="32" t="n"/>
      <c r="F761" s="32" t="n"/>
      <c r="G761" s="32" t="n"/>
      <c r="H761" s="32" t="n"/>
      <c r="I761" s="32" t="n"/>
      <c r="J761" s="34" t="n"/>
      <c r="K761" s="33" t="n"/>
      <c r="L761" s="32" t="n"/>
      <c r="M761" s="33" t="n"/>
      <c r="N761" s="33" t="n"/>
      <c r="O761" s="33" t="n"/>
      <c r="P761" s="32" t="n"/>
      <c r="Q761" s="33" t="n"/>
      <c r="R761" s="33" t="n"/>
      <c r="S761" s="33" t="n"/>
      <c r="T761" s="33" t="n"/>
      <c r="U761" s="32" t="n"/>
      <c r="V761" s="33" t="n"/>
      <c r="W761" s="33" t="n"/>
      <c r="X761" s="33" t="n"/>
      <c r="Y761" s="33" t="n"/>
      <c r="Z761" s="33" t="n"/>
      <c r="AA761" s="33" t="n"/>
      <c r="AB761" s="33" t="n"/>
      <c r="AC761" s="33" t="n"/>
      <c r="AD761" s="33" t="n"/>
      <c r="AE761" s="33" t="n"/>
      <c r="AF761" s="32" t="n"/>
      <c r="AG761" s="32" t="n"/>
      <c r="AH761" s="32" t="n"/>
      <c r="AI761" s="32" t="n"/>
      <c r="AJ761" s="32" t="n"/>
      <c r="AK761" s="32" t="n"/>
      <c r="AL761" s="32" t="n"/>
      <c r="AM761" s="32" t="n"/>
      <c r="AN761" s="32" t="n"/>
      <c r="AO761" s="32" t="n"/>
      <c r="AP761" s="32" t="n"/>
      <c r="AQ761" s="32" t="n"/>
      <c r="AR761" s="29">
        <f>IF(NOT(COUNTA(A761:AE761)&gt;0),"",IF(A761="","New client","Update"))</f>
        <v/>
      </c>
      <c r="AS761" s="29">
        <f>IF(BA761&lt;&gt;"",BA761,IF(LEN(AZ761)=15,MID(AZ761,3,10),""))</f>
        <v/>
      </c>
      <c r="AT761" s="29">
        <f>IF(BB761="","",BB761&amp;IF(D761="","  (guessed from PAN)",""))</f>
        <v/>
      </c>
      <c r="AU761" s="29">
        <f>IF(AZ761="","",IFERROR(INDEX(Lists!$L$2:$L$38,MATCH(LEFT(AZ761,2),Lists!$K$2:$K$38,0)),"Unknown code"))</f>
        <v/>
      </c>
      <c r="AV761" s="29">
        <f>IF(AZ761="","",IFERROR(IF(NOT(AND(LEN(AZ761)=15,ISNUMBER(MATCH(LEFT(AZ761,2),Lists!$K$2:$K$38,0)),SUMPRODUCT(--ISERROR(FIND(MID(MID(AZ761,3,10),{1,2,3,4,5,10},1),"ABCDEFGHIJKLMNOPQRSTUVWXYZ")))=0,SUMPRODUCT(--ISERROR(FIND(MID(MID(AZ761,3,10),{6,7,8,9},1),"0123456789")))=0,ISNUMBER(FIND(MID(AZ761,13,1),"123456789ABCDEFGHIJKLMNOPQRSTUVWXYZ")),MID(AZ761,14,1)="Z")),"Wrong format",IF(MID("0123456789ABCDEFGHIJKLMNOPQRSTUVWXYZ",MOD(36-MOD(SUMPRODUCT(INT((FIND(MID(AZ761,{1,2,3,4,5,6,7,8,9,10,11,12,13,14},1),"0123456789ABCDEFGHIJKLMNOPQRSTUVWXYZ")-1)*{1,2,1,2,1,2,1,2,1,2,1,2,1,2}/36)+MOD((FIND(MID(AZ761,{1,2,3,4,5,6,7,8,9,10,11,12,13,14},1),"0123456789ABCDEFGHIJKLMNOPQRSTUVWXYZ")-1)*{1,2,1,2,1,2,1,2,1,2,1,2,1,2},36)),36),36)+1,1)=MID(AZ761,15,1),"OK","Typo? check digit wrong")),"Wrong format"))</f>
        <v/>
      </c>
      <c r="AW761" s="29">
        <f>IF(BA761="","",IF(AND(LEN(BA761)=10,SUMPRODUCT(--ISERROR(FIND(MID(BA761,{1,2,3,4,5,10},1),"ABCDEFGHIJKLMNOPQRSTUVWXYZ")))=0,SUMPRODUCT(--ISERROR(FIND(MID(BA761,{6,7,8,9},1),"0123456789")))=0),"OK","Wrong format"))</f>
        <v/>
      </c>
      <c r="AX761" s="29">
        <f>IF(TRIM(H761)="","",IF(AND(LEN(UPPER(TRIM(H761)))=10,SUMPRODUCT(--ISERROR(FIND(MID(UPPER(TRIM(H761)),{1,2,3,4,10},1),"ABCDEFGHIJKLMNOPQRSTUVWXYZ")))=0,SUMPRODUCT(--ISERROR(FIND(MID(UPPER(TRIM(H761)),{5,6,7,8,9},1),"0123456789")))=0),"OK","Wrong format"))</f>
        <v/>
      </c>
      <c r="AY761" s="30">
        <f>IF(NOT(COUNTA(A761:AE761)&gt;0),"",IF(BE761&lt;&gt;"","✖ "&amp;LEFT(BE761,LEN(BE761)-2),IF(BD761&gt;0,"✔ Ready — client + "&amp;BD761&amp;" service(s)","✔ Ready — client only")))</f>
        <v/>
      </c>
      <c r="AZ761" s="31">
        <f>UPPER(SUBSTITUTE(TRIM(F761)," ",""))</f>
        <v/>
      </c>
      <c r="BA761" s="31">
        <f>UPPER(SUBSTITUTE(TRIM(E761)," ",""))</f>
        <v/>
      </c>
      <c r="BB761" s="31">
        <f>IF(D761&lt;&gt;"",D761,IFERROR(VLOOKUP(MID(AS761,4,1),Lists!$E$2:$F$8,2,FALSE),""))</f>
        <v/>
      </c>
      <c r="BC761" s="31">
        <f>IFERROR(VLOOKUP(BB761,Lists!$A$2:$C$12,3,FALSE),"")</f>
        <v/>
      </c>
      <c r="BD761" s="31">
        <f>COUNTIF(W761:AC761,"Yes")</f>
        <v/>
      </c>
      <c r="BE761" s="31">
        <f>IF(TRIM(B761)="","Legal name missing; ","")&amp;IF(AND(AV761&lt;&gt;"",AV761&lt;&gt;"OK"),"GSTIN: "&amp;AV761&amp;"; ","")&amp;IF(AND(AW761&lt;&gt;"",AW761&lt;&gt;"OK"),"PAN wrong format; ","")&amp;IF(AND(BA761&lt;&gt;"",LEN(AZ761)=15,MID(AZ761,3,10)&lt;&gt;BA761),"PAN does not match GSTIN; ","")&amp;IF(AND(AX761&lt;&gt;"",AX761&lt;&gt;"OK"),"TAN wrong format; ","")&amp;IF(AS761="","PAN missing; ","")&amp;IF(BB761="","Entity type missing; ","")&amp;IF(AND(AZ761&lt;&gt;"",COUNTIF($AZ$6:$AZ$1005,AZ761)&gt;1),"GSTIN repeated in this sheet; ","")&amp;IF(AND(AS761&lt;&gt;"",COUNTIF($AS$6:$AS$1005,AS761)&gt;1),"PAN repeated in this sheet (same client? put extra GSTINs in Other GSTINs); ","")&amp;IF(AND(BD761&gt;0,V761=""),"Financial year missing; ","")&amp;IF(AND(BD761=0,V761&lt;&gt;""),"Financial year given but no service is Yes; ","")&amp;IF(AND(W761="Yes",AZ761=""),"GST needs a GSTIN; ","")&amp;IF(AND(W761="Yes",X761=""),"GST return frequency missing; ","")&amp;IF(AND(Y761="Yes",TRIM(H761)=""),"TDS needs a TAN; ","")&amp;IF(AND(AA761="Yes",BC761&lt;&gt;"",BC761&lt;&gt;"company",BC761&lt;&gt;"llp"),"ROC is only for a company / LLP; ","")&amp;IF(AND(AA761="Yes",OR(BC761="company",BC761="llp"),TRIM(I761)=""),"ROC needs the CIN / LLPIN; ","")&amp;IF((TRIM(AF761)="")&lt;&gt;(TRIM(AG761)=""),"GST login needs both user ID and password; ","")&amp;IF((TRIM(AH761)="")&lt;&gt;(TRIM(AI761)=""),"Income-tax login needs both user ID and password; ","")&amp;IF((TRIM(AJ761)="")&lt;&gt;(TRIM(AK761)=""),"Income-tax login needs both user ID and password; ","")&amp;IF((TRIM(AL761)="")&lt;&gt;(TRIM(AM761)=""),"TRACES login needs both user ID and password; ","")&amp;IF((TRIM(AN761)="")&lt;&gt;(TRIM(AO761)=""),"MCA login needs both user ID and password; ","")&amp;IF((TRIM(AP761)="")&lt;&gt;(TRIM(AQ761)=""),"E-way bill login needs both user ID and password; ","")</f>
        <v/>
      </c>
    </row>
    <row r="762">
      <c r="A762" s="32" t="n"/>
      <c r="B762" s="33" t="n"/>
      <c r="C762" s="33" t="n"/>
      <c r="D762" s="33" t="n"/>
      <c r="E762" s="32" t="n"/>
      <c r="F762" s="32" t="n"/>
      <c r="G762" s="32" t="n"/>
      <c r="H762" s="32" t="n"/>
      <c r="I762" s="32" t="n"/>
      <c r="J762" s="34" t="n"/>
      <c r="K762" s="33" t="n"/>
      <c r="L762" s="32" t="n"/>
      <c r="M762" s="33" t="n"/>
      <c r="N762" s="33" t="n"/>
      <c r="O762" s="33" t="n"/>
      <c r="P762" s="32" t="n"/>
      <c r="Q762" s="33" t="n"/>
      <c r="R762" s="33" t="n"/>
      <c r="S762" s="33" t="n"/>
      <c r="T762" s="33" t="n"/>
      <c r="U762" s="32" t="n"/>
      <c r="V762" s="33" t="n"/>
      <c r="W762" s="33" t="n"/>
      <c r="X762" s="33" t="n"/>
      <c r="Y762" s="33" t="n"/>
      <c r="Z762" s="33" t="n"/>
      <c r="AA762" s="33" t="n"/>
      <c r="AB762" s="33" t="n"/>
      <c r="AC762" s="33" t="n"/>
      <c r="AD762" s="33" t="n"/>
      <c r="AE762" s="33" t="n"/>
      <c r="AF762" s="32" t="n"/>
      <c r="AG762" s="32" t="n"/>
      <c r="AH762" s="32" t="n"/>
      <c r="AI762" s="32" t="n"/>
      <c r="AJ762" s="32" t="n"/>
      <c r="AK762" s="32" t="n"/>
      <c r="AL762" s="32" t="n"/>
      <c r="AM762" s="32" t="n"/>
      <c r="AN762" s="32" t="n"/>
      <c r="AO762" s="32" t="n"/>
      <c r="AP762" s="32" t="n"/>
      <c r="AQ762" s="32" t="n"/>
      <c r="AR762" s="29">
        <f>IF(NOT(COUNTA(A762:AE762)&gt;0),"",IF(A762="","New client","Update"))</f>
        <v/>
      </c>
      <c r="AS762" s="29">
        <f>IF(BA762&lt;&gt;"",BA762,IF(LEN(AZ762)=15,MID(AZ762,3,10),""))</f>
        <v/>
      </c>
      <c r="AT762" s="29">
        <f>IF(BB762="","",BB762&amp;IF(D762="","  (guessed from PAN)",""))</f>
        <v/>
      </c>
      <c r="AU762" s="29">
        <f>IF(AZ762="","",IFERROR(INDEX(Lists!$L$2:$L$38,MATCH(LEFT(AZ762,2),Lists!$K$2:$K$38,0)),"Unknown code"))</f>
        <v/>
      </c>
      <c r="AV762" s="29">
        <f>IF(AZ762="","",IFERROR(IF(NOT(AND(LEN(AZ762)=15,ISNUMBER(MATCH(LEFT(AZ762,2),Lists!$K$2:$K$38,0)),SUMPRODUCT(--ISERROR(FIND(MID(MID(AZ762,3,10),{1,2,3,4,5,10},1),"ABCDEFGHIJKLMNOPQRSTUVWXYZ")))=0,SUMPRODUCT(--ISERROR(FIND(MID(MID(AZ762,3,10),{6,7,8,9},1),"0123456789")))=0,ISNUMBER(FIND(MID(AZ762,13,1),"123456789ABCDEFGHIJKLMNOPQRSTUVWXYZ")),MID(AZ762,14,1)="Z")),"Wrong format",IF(MID("0123456789ABCDEFGHIJKLMNOPQRSTUVWXYZ",MOD(36-MOD(SUMPRODUCT(INT((FIND(MID(AZ762,{1,2,3,4,5,6,7,8,9,10,11,12,13,14},1),"0123456789ABCDEFGHIJKLMNOPQRSTUVWXYZ")-1)*{1,2,1,2,1,2,1,2,1,2,1,2,1,2}/36)+MOD((FIND(MID(AZ762,{1,2,3,4,5,6,7,8,9,10,11,12,13,14},1),"0123456789ABCDEFGHIJKLMNOPQRSTUVWXYZ")-1)*{1,2,1,2,1,2,1,2,1,2,1,2,1,2},36)),36),36)+1,1)=MID(AZ762,15,1),"OK","Typo? check digit wrong")),"Wrong format"))</f>
        <v/>
      </c>
      <c r="AW762" s="29">
        <f>IF(BA762="","",IF(AND(LEN(BA762)=10,SUMPRODUCT(--ISERROR(FIND(MID(BA762,{1,2,3,4,5,10},1),"ABCDEFGHIJKLMNOPQRSTUVWXYZ")))=0,SUMPRODUCT(--ISERROR(FIND(MID(BA762,{6,7,8,9},1),"0123456789")))=0),"OK","Wrong format"))</f>
        <v/>
      </c>
      <c r="AX762" s="29">
        <f>IF(TRIM(H762)="","",IF(AND(LEN(UPPER(TRIM(H762)))=10,SUMPRODUCT(--ISERROR(FIND(MID(UPPER(TRIM(H762)),{1,2,3,4,10},1),"ABCDEFGHIJKLMNOPQRSTUVWXYZ")))=0,SUMPRODUCT(--ISERROR(FIND(MID(UPPER(TRIM(H762)),{5,6,7,8,9},1),"0123456789")))=0),"OK","Wrong format"))</f>
        <v/>
      </c>
      <c r="AY762" s="30">
        <f>IF(NOT(COUNTA(A762:AE762)&gt;0),"",IF(BE762&lt;&gt;"","✖ "&amp;LEFT(BE762,LEN(BE762)-2),IF(BD762&gt;0,"✔ Ready — client + "&amp;BD762&amp;" service(s)","✔ Ready — client only")))</f>
        <v/>
      </c>
      <c r="AZ762" s="31">
        <f>UPPER(SUBSTITUTE(TRIM(F762)," ",""))</f>
        <v/>
      </c>
      <c r="BA762" s="31">
        <f>UPPER(SUBSTITUTE(TRIM(E762)," ",""))</f>
        <v/>
      </c>
      <c r="BB762" s="31">
        <f>IF(D762&lt;&gt;"",D762,IFERROR(VLOOKUP(MID(AS762,4,1),Lists!$E$2:$F$8,2,FALSE),""))</f>
        <v/>
      </c>
      <c r="BC762" s="31">
        <f>IFERROR(VLOOKUP(BB762,Lists!$A$2:$C$12,3,FALSE),"")</f>
        <v/>
      </c>
      <c r="BD762" s="31">
        <f>COUNTIF(W762:AC762,"Yes")</f>
        <v/>
      </c>
      <c r="BE762" s="31">
        <f>IF(TRIM(B762)="","Legal name missing; ","")&amp;IF(AND(AV762&lt;&gt;"",AV762&lt;&gt;"OK"),"GSTIN: "&amp;AV762&amp;"; ","")&amp;IF(AND(AW762&lt;&gt;"",AW762&lt;&gt;"OK"),"PAN wrong format; ","")&amp;IF(AND(BA762&lt;&gt;"",LEN(AZ762)=15,MID(AZ762,3,10)&lt;&gt;BA762),"PAN does not match GSTIN; ","")&amp;IF(AND(AX762&lt;&gt;"",AX762&lt;&gt;"OK"),"TAN wrong format; ","")&amp;IF(AS762="","PAN missing; ","")&amp;IF(BB762="","Entity type missing; ","")&amp;IF(AND(AZ762&lt;&gt;"",COUNTIF($AZ$6:$AZ$1005,AZ762)&gt;1),"GSTIN repeated in this sheet; ","")&amp;IF(AND(AS762&lt;&gt;"",COUNTIF($AS$6:$AS$1005,AS762)&gt;1),"PAN repeated in this sheet (same client? put extra GSTINs in Other GSTINs); ","")&amp;IF(AND(BD762&gt;0,V762=""),"Financial year missing; ","")&amp;IF(AND(BD762=0,V762&lt;&gt;""),"Financial year given but no service is Yes; ","")&amp;IF(AND(W762="Yes",AZ762=""),"GST needs a GSTIN; ","")&amp;IF(AND(W762="Yes",X762=""),"GST return frequency missing; ","")&amp;IF(AND(Y762="Yes",TRIM(H762)=""),"TDS needs a TAN; ","")&amp;IF(AND(AA762="Yes",BC762&lt;&gt;"",BC762&lt;&gt;"company",BC762&lt;&gt;"llp"),"ROC is only for a company / LLP; ","")&amp;IF(AND(AA762="Yes",OR(BC762="company",BC762="llp"),TRIM(I762)=""),"ROC needs the CIN / LLPIN; ","")&amp;IF((TRIM(AF762)="")&lt;&gt;(TRIM(AG762)=""),"GST login needs both user ID and password; ","")&amp;IF((TRIM(AH762)="")&lt;&gt;(TRIM(AI762)=""),"Income-tax login needs both user ID and password; ","")&amp;IF((TRIM(AJ762)="")&lt;&gt;(TRIM(AK762)=""),"Income-tax login needs both user ID and password; ","")&amp;IF((TRIM(AL762)="")&lt;&gt;(TRIM(AM762)=""),"TRACES login needs both user ID and password; ","")&amp;IF((TRIM(AN762)="")&lt;&gt;(TRIM(AO762)=""),"MCA login needs both user ID and password; ","")&amp;IF((TRIM(AP762)="")&lt;&gt;(TRIM(AQ762)=""),"E-way bill login needs both user ID and password; ","")</f>
        <v/>
      </c>
    </row>
    <row r="763">
      <c r="A763" s="32" t="n"/>
      <c r="B763" s="33" t="n"/>
      <c r="C763" s="33" t="n"/>
      <c r="D763" s="33" t="n"/>
      <c r="E763" s="32" t="n"/>
      <c r="F763" s="32" t="n"/>
      <c r="G763" s="32" t="n"/>
      <c r="H763" s="32" t="n"/>
      <c r="I763" s="32" t="n"/>
      <c r="J763" s="34" t="n"/>
      <c r="K763" s="33" t="n"/>
      <c r="L763" s="32" t="n"/>
      <c r="M763" s="33" t="n"/>
      <c r="N763" s="33" t="n"/>
      <c r="O763" s="33" t="n"/>
      <c r="P763" s="32" t="n"/>
      <c r="Q763" s="33" t="n"/>
      <c r="R763" s="33" t="n"/>
      <c r="S763" s="33" t="n"/>
      <c r="T763" s="33" t="n"/>
      <c r="U763" s="32" t="n"/>
      <c r="V763" s="33" t="n"/>
      <c r="W763" s="33" t="n"/>
      <c r="X763" s="33" t="n"/>
      <c r="Y763" s="33" t="n"/>
      <c r="Z763" s="33" t="n"/>
      <c r="AA763" s="33" t="n"/>
      <c r="AB763" s="33" t="n"/>
      <c r="AC763" s="33" t="n"/>
      <c r="AD763" s="33" t="n"/>
      <c r="AE763" s="33" t="n"/>
      <c r="AF763" s="32" t="n"/>
      <c r="AG763" s="32" t="n"/>
      <c r="AH763" s="32" t="n"/>
      <c r="AI763" s="32" t="n"/>
      <c r="AJ763" s="32" t="n"/>
      <c r="AK763" s="32" t="n"/>
      <c r="AL763" s="32" t="n"/>
      <c r="AM763" s="32" t="n"/>
      <c r="AN763" s="32" t="n"/>
      <c r="AO763" s="32" t="n"/>
      <c r="AP763" s="32" t="n"/>
      <c r="AQ763" s="32" t="n"/>
      <c r="AR763" s="29">
        <f>IF(NOT(COUNTA(A763:AE763)&gt;0),"",IF(A763="","New client","Update"))</f>
        <v/>
      </c>
      <c r="AS763" s="29">
        <f>IF(BA763&lt;&gt;"",BA763,IF(LEN(AZ763)=15,MID(AZ763,3,10),""))</f>
        <v/>
      </c>
      <c r="AT763" s="29">
        <f>IF(BB763="","",BB763&amp;IF(D763="","  (guessed from PAN)",""))</f>
        <v/>
      </c>
      <c r="AU763" s="29">
        <f>IF(AZ763="","",IFERROR(INDEX(Lists!$L$2:$L$38,MATCH(LEFT(AZ763,2),Lists!$K$2:$K$38,0)),"Unknown code"))</f>
        <v/>
      </c>
      <c r="AV763" s="29">
        <f>IF(AZ763="","",IFERROR(IF(NOT(AND(LEN(AZ763)=15,ISNUMBER(MATCH(LEFT(AZ763,2),Lists!$K$2:$K$38,0)),SUMPRODUCT(--ISERROR(FIND(MID(MID(AZ763,3,10),{1,2,3,4,5,10},1),"ABCDEFGHIJKLMNOPQRSTUVWXYZ")))=0,SUMPRODUCT(--ISERROR(FIND(MID(MID(AZ763,3,10),{6,7,8,9},1),"0123456789")))=0,ISNUMBER(FIND(MID(AZ763,13,1),"123456789ABCDEFGHIJKLMNOPQRSTUVWXYZ")),MID(AZ763,14,1)="Z")),"Wrong format",IF(MID("0123456789ABCDEFGHIJKLMNOPQRSTUVWXYZ",MOD(36-MOD(SUMPRODUCT(INT((FIND(MID(AZ763,{1,2,3,4,5,6,7,8,9,10,11,12,13,14},1),"0123456789ABCDEFGHIJKLMNOPQRSTUVWXYZ")-1)*{1,2,1,2,1,2,1,2,1,2,1,2,1,2}/36)+MOD((FIND(MID(AZ763,{1,2,3,4,5,6,7,8,9,10,11,12,13,14},1),"0123456789ABCDEFGHIJKLMNOPQRSTUVWXYZ")-1)*{1,2,1,2,1,2,1,2,1,2,1,2,1,2},36)),36),36)+1,1)=MID(AZ763,15,1),"OK","Typo? check digit wrong")),"Wrong format"))</f>
        <v/>
      </c>
      <c r="AW763" s="29">
        <f>IF(BA763="","",IF(AND(LEN(BA763)=10,SUMPRODUCT(--ISERROR(FIND(MID(BA763,{1,2,3,4,5,10},1),"ABCDEFGHIJKLMNOPQRSTUVWXYZ")))=0,SUMPRODUCT(--ISERROR(FIND(MID(BA763,{6,7,8,9},1),"0123456789")))=0),"OK","Wrong format"))</f>
        <v/>
      </c>
      <c r="AX763" s="29">
        <f>IF(TRIM(H763)="","",IF(AND(LEN(UPPER(TRIM(H763)))=10,SUMPRODUCT(--ISERROR(FIND(MID(UPPER(TRIM(H763)),{1,2,3,4,10},1),"ABCDEFGHIJKLMNOPQRSTUVWXYZ")))=0,SUMPRODUCT(--ISERROR(FIND(MID(UPPER(TRIM(H763)),{5,6,7,8,9},1),"0123456789")))=0),"OK","Wrong format"))</f>
        <v/>
      </c>
      <c r="AY763" s="30">
        <f>IF(NOT(COUNTA(A763:AE763)&gt;0),"",IF(BE763&lt;&gt;"","✖ "&amp;LEFT(BE763,LEN(BE763)-2),IF(BD763&gt;0,"✔ Ready — client + "&amp;BD763&amp;" service(s)","✔ Ready — client only")))</f>
        <v/>
      </c>
      <c r="AZ763" s="31">
        <f>UPPER(SUBSTITUTE(TRIM(F763)," ",""))</f>
        <v/>
      </c>
      <c r="BA763" s="31">
        <f>UPPER(SUBSTITUTE(TRIM(E763)," ",""))</f>
        <v/>
      </c>
      <c r="BB763" s="31">
        <f>IF(D763&lt;&gt;"",D763,IFERROR(VLOOKUP(MID(AS763,4,1),Lists!$E$2:$F$8,2,FALSE),""))</f>
        <v/>
      </c>
      <c r="BC763" s="31">
        <f>IFERROR(VLOOKUP(BB763,Lists!$A$2:$C$12,3,FALSE),"")</f>
        <v/>
      </c>
      <c r="BD763" s="31">
        <f>COUNTIF(W763:AC763,"Yes")</f>
        <v/>
      </c>
      <c r="BE763" s="31">
        <f>IF(TRIM(B763)="","Legal name missing; ","")&amp;IF(AND(AV763&lt;&gt;"",AV763&lt;&gt;"OK"),"GSTIN: "&amp;AV763&amp;"; ","")&amp;IF(AND(AW763&lt;&gt;"",AW763&lt;&gt;"OK"),"PAN wrong format; ","")&amp;IF(AND(BA763&lt;&gt;"",LEN(AZ763)=15,MID(AZ763,3,10)&lt;&gt;BA763),"PAN does not match GSTIN; ","")&amp;IF(AND(AX763&lt;&gt;"",AX763&lt;&gt;"OK"),"TAN wrong format; ","")&amp;IF(AS763="","PAN missing; ","")&amp;IF(BB763="","Entity type missing; ","")&amp;IF(AND(AZ763&lt;&gt;"",COUNTIF($AZ$6:$AZ$1005,AZ763)&gt;1),"GSTIN repeated in this sheet; ","")&amp;IF(AND(AS763&lt;&gt;"",COUNTIF($AS$6:$AS$1005,AS763)&gt;1),"PAN repeated in this sheet (same client? put extra GSTINs in Other GSTINs); ","")&amp;IF(AND(BD763&gt;0,V763=""),"Financial year missing; ","")&amp;IF(AND(BD763=0,V763&lt;&gt;""),"Financial year given but no service is Yes; ","")&amp;IF(AND(W763="Yes",AZ763=""),"GST needs a GSTIN; ","")&amp;IF(AND(W763="Yes",X763=""),"GST return frequency missing; ","")&amp;IF(AND(Y763="Yes",TRIM(H763)=""),"TDS needs a TAN; ","")&amp;IF(AND(AA763="Yes",BC763&lt;&gt;"",BC763&lt;&gt;"company",BC763&lt;&gt;"llp"),"ROC is only for a company / LLP; ","")&amp;IF(AND(AA763="Yes",OR(BC763="company",BC763="llp"),TRIM(I763)=""),"ROC needs the CIN / LLPIN; ","")&amp;IF((TRIM(AF763)="")&lt;&gt;(TRIM(AG763)=""),"GST login needs both user ID and password; ","")&amp;IF((TRIM(AH763)="")&lt;&gt;(TRIM(AI763)=""),"Income-tax login needs both user ID and password; ","")&amp;IF((TRIM(AJ763)="")&lt;&gt;(TRIM(AK763)=""),"Income-tax login needs both user ID and password; ","")&amp;IF((TRIM(AL763)="")&lt;&gt;(TRIM(AM763)=""),"TRACES login needs both user ID and password; ","")&amp;IF((TRIM(AN763)="")&lt;&gt;(TRIM(AO763)=""),"MCA login needs both user ID and password; ","")&amp;IF((TRIM(AP763)="")&lt;&gt;(TRIM(AQ763)=""),"E-way bill login needs both user ID and password; ","")</f>
        <v/>
      </c>
    </row>
    <row r="764">
      <c r="A764" s="32" t="n"/>
      <c r="B764" s="33" t="n"/>
      <c r="C764" s="33" t="n"/>
      <c r="D764" s="33" t="n"/>
      <c r="E764" s="32" t="n"/>
      <c r="F764" s="32" t="n"/>
      <c r="G764" s="32" t="n"/>
      <c r="H764" s="32" t="n"/>
      <c r="I764" s="32" t="n"/>
      <c r="J764" s="34" t="n"/>
      <c r="K764" s="33" t="n"/>
      <c r="L764" s="32" t="n"/>
      <c r="M764" s="33" t="n"/>
      <c r="N764" s="33" t="n"/>
      <c r="O764" s="33" t="n"/>
      <c r="P764" s="32" t="n"/>
      <c r="Q764" s="33" t="n"/>
      <c r="R764" s="33" t="n"/>
      <c r="S764" s="33" t="n"/>
      <c r="T764" s="33" t="n"/>
      <c r="U764" s="32" t="n"/>
      <c r="V764" s="33" t="n"/>
      <c r="W764" s="33" t="n"/>
      <c r="X764" s="33" t="n"/>
      <c r="Y764" s="33" t="n"/>
      <c r="Z764" s="33" t="n"/>
      <c r="AA764" s="33" t="n"/>
      <c r="AB764" s="33" t="n"/>
      <c r="AC764" s="33" t="n"/>
      <c r="AD764" s="33" t="n"/>
      <c r="AE764" s="33" t="n"/>
      <c r="AF764" s="32" t="n"/>
      <c r="AG764" s="32" t="n"/>
      <c r="AH764" s="32" t="n"/>
      <c r="AI764" s="32" t="n"/>
      <c r="AJ764" s="32" t="n"/>
      <c r="AK764" s="32" t="n"/>
      <c r="AL764" s="32" t="n"/>
      <c r="AM764" s="32" t="n"/>
      <c r="AN764" s="32" t="n"/>
      <c r="AO764" s="32" t="n"/>
      <c r="AP764" s="32" t="n"/>
      <c r="AQ764" s="32" t="n"/>
      <c r="AR764" s="29">
        <f>IF(NOT(COUNTA(A764:AE764)&gt;0),"",IF(A764="","New client","Update"))</f>
        <v/>
      </c>
      <c r="AS764" s="29">
        <f>IF(BA764&lt;&gt;"",BA764,IF(LEN(AZ764)=15,MID(AZ764,3,10),""))</f>
        <v/>
      </c>
      <c r="AT764" s="29">
        <f>IF(BB764="","",BB764&amp;IF(D764="","  (guessed from PAN)",""))</f>
        <v/>
      </c>
      <c r="AU764" s="29">
        <f>IF(AZ764="","",IFERROR(INDEX(Lists!$L$2:$L$38,MATCH(LEFT(AZ764,2),Lists!$K$2:$K$38,0)),"Unknown code"))</f>
        <v/>
      </c>
      <c r="AV764" s="29">
        <f>IF(AZ764="","",IFERROR(IF(NOT(AND(LEN(AZ764)=15,ISNUMBER(MATCH(LEFT(AZ764,2),Lists!$K$2:$K$38,0)),SUMPRODUCT(--ISERROR(FIND(MID(MID(AZ764,3,10),{1,2,3,4,5,10},1),"ABCDEFGHIJKLMNOPQRSTUVWXYZ")))=0,SUMPRODUCT(--ISERROR(FIND(MID(MID(AZ764,3,10),{6,7,8,9},1),"0123456789")))=0,ISNUMBER(FIND(MID(AZ764,13,1),"123456789ABCDEFGHIJKLMNOPQRSTUVWXYZ")),MID(AZ764,14,1)="Z")),"Wrong format",IF(MID("0123456789ABCDEFGHIJKLMNOPQRSTUVWXYZ",MOD(36-MOD(SUMPRODUCT(INT((FIND(MID(AZ764,{1,2,3,4,5,6,7,8,9,10,11,12,13,14},1),"0123456789ABCDEFGHIJKLMNOPQRSTUVWXYZ")-1)*{1,2,1,2,1,2,1,2,1,2,1,2,1,2}/36)+MOD((FIND(MID(AZ764,{1,2,3,4,5,6,7,8,9,10,11,12,13,14},1),"0123456789ABCDEFGHIJKLMNOPQRSTUVWXYZ")-1)*{1,2,1,2,1,2,1,2,1,2,1,2,1,2},36)),36),36)+1,1)=MID(AZ764,15,1),"OK","Typo? check digit wrong")),"Wrong format"))</f>
        <v/>
      </c>
      <c r="AW764" s="29">
        <f>IF(BA764="","",IF(AND(LEN(BA764)=10,SUMPRODUCT(--ISERROR(FIND(MID(BA764,{1,2,3,4,5,10},1),"ABCDEFGHIJKLMNOPQRSTUVWXYZ")))=0,SUMPRODUCT(--ISERROR(FIND(MID(BA764,{6,7,8,9},1),"0123456789")))=0),"OK","Wrong format"))</f>
        <v/>
      </c>
      <c r="AX764" s="29">
        <f>IF(TRIM(H764)="","",IF(AND(LEN(UPPER(TRIM(H764)))=10,SUMPRODUCT(--ISERROR(FIND(MID(UPPER(TRIM(H764)),{1,2,3,4,10},1),"ABCDEFGHIJKLMNOPQRSTUVWXYZ")))=0,SUMPRODUCT(--ISERROR(FIND(MID(UPPER(TRIM(H764)),{5,6,7,8,9},1),"0123456789")))=0),"OK","Wrong format"))</f>
        <v/>
      </c>
      <c r="AY764" s="30">
        <f>IF(NOT(COUNTA(A764:AE764)&gt;0),"",IF(BE764&lt;&gt;"","✖ "&amp;LEFT(BE764,LEN(BE764)-2),IF(BD764&gt;0,"✔ Ready — client + "&amp;BD764&amp;" service(s)","✔ Ready — client only")))</f>
        <v/>
      </c>
      <c r="AZ764" s="31">
        <f>UPPER(SUBSTITUTE(TRIM(F764)," ",""))</f>
        <v/>
      </c>
      <c r="BA764" s="31">
        <f>UPPER(SUBSTITUTE(TRIM(E764)," ",""))</f>
        <v/>
      </c>
      <c r="BB764" s="31">
        <f>IF(D764&lt;&gt;"",D764,IFERROR(VLOOKUP(MID(AS764,4,1),Lists!$E$2:$F$8,2,FALSE),""))</f>
        <v/>
      </c>
      <c r="BC764" s="31">
        <f>IFERROR(VLOOKUP(BB764,Lists!$A$2:$C$12,3,FALSE),"")</f>
        <v/>
      </c>
      <c r="BD764" s="31">
        <f>COUNTIF(W764:AC764,"Yes")</f>
        <v/>
      </c>
      <c r="BE764" s="31">
        <f>IF(TRIM(B764)="","Legal name missing; ","")&amp;IF(AND(AV764&lt;&gt;"",AV764&lt;&gt;"OK"),"GSTIN: "&amp;AV764&amp;"; ","")&amp;IF(AND(AW764&lt;&gt;"",AW764&lt;&gt;"OK"),"PAN wrong format; ","")&amp;IF(AND(BA764&lt;&gt;"",LEN(AZ764)=15,MID(AZ764,3,10)&lt;&gt;BA764),"PAN does not match GSTIN; ","")&amp;IF(AND(AX764&lt;&gt;"",AX764&lt;&gt;"OK"),"TAN wrong format; ","")&amp;IF(AS764="","PAN missing; ","")&amp;IF(BB764="","Entity type missing; ","")&amp;IF(AND(AZ764&lt;&gt;"",COUNTIF($AZ$6:$AZ$1005,AZ764)&gt;1),"GSTIN repeated in this sheet; ","")&amp;IF(AND(AS764&lt;&gt;"",COUNTIF($AS$6:$AS$1005,AS764)&gt;1),"PAN repeated in this sheet (same client? put extra GSTINs in Other GSTINs); ","")&amp;IF(AND(BD764&gt;0,V764=""),"Financial year missing; ","")&amp;IF(AND(BD764=0,V764&lt;&gt;""),"Financial year given but no service is Yes; ","")&amp;IF(AND(W764="Yes",AZ764=""),"GST needs a GSTIN; ","")&amp;IF(AND(W764="Yes",X764=""),"GST return frequency missing; ","")&amp;IF(AND(Y764="Yes",TRIM(H764)=""),"TDS needs a TAN; ","")&amp;IF(AND(AA764="Yes",BC764&lt;&gt;"",BC764&lt;&gt;"company",BC764&lt;&gt;"llp"),"ROC is only for a company / LLP; ","")&amp;IF(AND(AA764="Yes",OR(BC764="company",BC764="llp"),TRIM(I764)=""),"ROC needs the CIN / LLPIN; ","")&amp;IF((TRIM(AF764)="")&lt;&gt;(TRIM(AG764)=""),"GST login needs both user ID and password; ","")&amp;IF((TRIM(AH764)="")&lt;&gt;(TRIM(AI764)=""),"Income-tax login needs both user ID and password; ","")&amp;IF((TRIM(AJ764)="")&lt;&gt;(TRIM(AK764)=""),"Income-tax login needs both user ID and password; ","")&amp;IF((TRIM(AL764)="")&lt;&gt;(TRIM(AM764)=""),"TRACES login needs both user ID and password; ","")&amp;IF((TRIM(AN764)="")&lt;&gt;(TRIM(AO764)=""),"MCA login needs both user ID and password; ","")&amp;IF((TRIM(AP764)="")&lt;&gt;(TRIM(AQ764)=""),"E-way bill login needs both user ID and password; ","")</f>
        <v/>
      </c>
    </row>
    <row r="765">
      <c r="A765" s="32" t="n"/>
      <c r="B765" s="33" t="n"/>
      <c r="C765" s="33" t="n"/>
      <c r="D765" s="33" t="n"/>
      <c r="E765" s="32" t="n"/>
      <c r="F765" s="32" t="n"/>
      <c r="G765" s="32" t="n"/>
      <c r="H765" s="32" t="n"/>
      <c r="I765" s="32" t="n"/>
      <c r="J765" s="34" t="n"/>
      <c r="K765" s="33" t="n"/>
      <c r="L765" s="32" t="n"/>
      <c r="M765" s="33" t="n"/>
      <c r="N765" s="33" t="n"/>
      <c r="O765" s="33" t="n"/>
      <c r="P765" s="32" t="n"/>
      <c r="Q765" s="33" t="n"/>
      <c r="R765" s="33" t="n"/>
      <c r="S765" s="33" t="n"/>
      <c r="T765" s="33" t="n"/>
      <c r="U765" s="32" t="n"/>
      <c r="V765" s="33" t="n"/>
      <c r="W765" s="33" t="n"/>
      <c r="X765" s="33" t="n"/>
      <c r="Y765" s="33" t="n"/>
      <c r="Z765" s="33" t="n"/>
      <c r="AA765" s="33" t="n"/>
      <c r="AB765" s="33" t="n"/>
      <c r="AC765" s="33" t="n"/>
      <c r="AD765" s="33" t="n"/>
      <c r="AE765" s="33" t="n"/>
      <c r="AF765" s="32" t="n"/>
      <c r="AG765" s="32" t="n"/>
      <c r="AH765" s="32" t="n"/>
      <c r="AI765" s="32" t="n"/>
      <c r="AJ765" s="32" t="n"/>
      <c r="AK765" s="32" t="n"/>
      <c r="AL765" s="32" t="n"/>
      <c r="AM765" s="32" t="n"/>
      <c r="AN765" s="32" t="n"/>
      <c r="AO765" s="32" t="n"/>
      <c r="AP765" s="32" t="n"/>
      <c r="AQ765" s="32" t="n"/>
      <c r="AR765" s="29">
        <f>IF(NOT(COUNTA(A765:AE765)&gt;0),"",IF(A765="","New client","Update"))</f>
        <v/>
      </c>
      <c r="AS765" s="29">
        <f>IF(BA765&lt;&gt;"",BA765,IF(LEN(AZ765)=15,MID(AZ765,3,10),""))</f>
        <v/>
      </c>
      <c r="AT765" s="29">
        <f>IF(BB765="","",BB765&amp;IF(D765="","  (guessed from PAN)",""))</f>
        <v/>
      </c>
      <c r="AU765" s="29">
        <f>IF(AZ765="","",IFERROR(INDEX(Lists!$L$2:$L$38,MATCH(LEFT(AZ765,2),Lists!$K$2:$K$38,0)),"Unknown code"))</f>
        <v/>
      </c>
      <c r="AV765" s="29">
        <f>IF(AZ765="","",IFERROR(IF(NOT(AND(LEN(AZ765)=15,ISNUMBER(MATCH(LEFT(AZ765,2),Lists!$K$2:$K$38,0)),SUMPRODUCT(--ISERROR(FIND(MID(MID(AZ765,3,10),{1,2,3,4,5,10},1),"ABCDEFGHIJKLMNOPQRSTUVWXYZ")))=0,SUMPRODUCT(--ISERROR(FIND(MID(MID(AZ765,3,10),{6,7,8,9},1),"0123456789")))=0,ISNUMBER(FIND(MID(AZ765,13,1),"123456789ABCDEFGHIJKLMNOPQRSTUVWXYZ")),MID(AZ765,14,1)="Z")),"Wrong format",IF(MID("0123456789ABCDEFGHIJKLMNOPQRSTUVWXYZ",MOD(36-MOD(SUMPRODUCT(INT((FIND(MID(AZ765,{1,2,3,4,5,6,7,8,9,10,11,12,13,14},1),"0123456789ABCDEFGHIJKLMNOPQRSTUVWXYZ")-1)*{1,2,1,2,1,2,1,2,1,2,1,2,1,2}/36)+MOD((FIND(MID(AZ765,{1,2,3,4,5,6,7,8,9,10,11,12,13,14},1),"0123456789ABCDEFGHIJKLMNOPQRSTUVWXYZ")-1)*{1,2,1,2,1,2,1,2,1,2,1,2,1,2},36)),36),36)+1,1)=MID(AZ765,15,1),"OK","Typo? check digit wrong")),"Wrong format"))</f>
        <v/>
      </c>
      <c r="AW765" s="29">
        <f>IF(BA765="","",IF(AND(LEN(BA765)=10,SUMPRODUCT(--ISERROR(FIND(MID(BA765,{1,2,3,4,5,10},1),"ABCDEFGHIJKLMNOPQRSTUVWXYZ")))=0,SUMPRODUCT(--ISERROR(FIND(MID(BA765,{6,7,8,9},1),"0123456789")))=0),"OK","Wrong format"))</f>
        <v/>
      </c>
      <c r="AX765" s="29">
        <f>IF(TRIM(H765)="","",IF(AND(LEN(UPPER(TRIM(H765)))=10,SUMPRODUCT(--ISERROR(FIND(MID(UPPER(TRIM(H765)),{1,2,3,4,10},1),"ABCDEFGHIJKLMNOPQRSTUVWXYZ")))=0,SUMPRODUCT(--ISERROR(FIND(MID(UPPER(TRIM(H765)),{5,6,7,8,9},1),"0123456789")))=0),"OK","Wrong format"))</f>
        <v/>
      </c>
      <c r="AY765" s="30">
        <f>IF(NOT(COUNTA(A765:AE765)&gt;0),"",IF(BE765&lt;&gt;"","✖ "&amp;LEFT(BE765,LEN(BE765)-2),IF(BD765&gt;0,"✔ Ready — client + "&amp;BD765&amp;" service(s)","✔ Ready — client only")))</f>
        <v/>
      </c>
      <c r="AZ765" s="31">
        <f>UPPER(SUBSTITUTE(TRIM(F765)," ",""))</f>
        <v/>
      </c>
      <c r="BA765" s="31">
        <f>UPPER(SUBSTITUTE(TRIM(E765)," ",""))</f>
        <v/>
      </c>
      <c r="BB765" s="31">
        <f>IF(D765&lt;&gt;"",D765,IFERROR(VLOOKUP(MID(AS765,4,1),Lists!$E$2:$F$8,2,FALSE),""))</f>
        <v/>
      </c>
      <c r="BC765" s="31">
        <f>IFERROR(VLOOKUP(BB765,Lists!$A$2:$C$12,3,FALSE),"")</f>
        <v/>
      </c>
      <c r="BD765" s="31">
        <f>COUNTIF(W765:AC765,"Yes")</f>
        <v/>
      </c>
      <c r="BE765" s="31">
        <f>IF(TRIM(B765)="","Legal name missing; ","")&amp;IF(AND(AV765&lt;&gt;"",AV765&lt;&gt;"OK"),"GSTIN: "&amp;AV765&amp;"; ","")&amp;IF(AND(AW765&lt;&gt;"",AW765&lt;&gt;"OK"),"PAN wrong format; ","")&amp;IF(AND(BA765&lt;&gt;"",LEN(AZ765)=15,MID(AZ765,3,10)&lt;&gt;BA765),"PAN does not match GSTIN; ","")&amp;IF(AND(AX765&lt;&gt;"",AX765&lt;&gt;"OK"),"TAN wrong format; ","")&amp;IF(AS765="","PAN missing; ","")&amp;IF(BB765="","Entity type missing; ","")&amp;IF(AND(AZ765&lt;&gt;"",COUNTIF($AZ$6:$AZ$1005,AZ765)&gt;1),"GSTIN repeated in this sheet; ","")&amp;IF(AND(AS765&lt;&gt;"",COUNTIF($AS$6:$AS$1005,AS765)&gt;1),"PAN repeated in this sheet (same client? put extra GSTINs in Other GSTINs); ","")&amp;IF(AND(BD765&gt;0,V765=""),"Financial year missing; ","")&amp;IF(AND(BD765=0,V765&lt;&gt;""),"Financial year given but no service is Yes; ","")&amp;IF(AND(W765="Yes",AZ765=""),"GST needs a GSTIN; ","")&amp;IF(AND(W765="Yes",X765=""),"GST return frequency missing; ","")&amp;IF(AND(Y765="Yes",TRIM(H765)=""),"TDS needs a TAN; ","")&amp;IF(AND(AA765="Yes",BC765&lt;&gt;"",BC765&lt;&gt;"company",BC765&lt;&gt;"llp"),"ROC is only for a company / LLP; ","")&amp;IF(AND(AA765="Yes",OR(BC765="company",BC765="llp"),TRIM(I765)=""),"ROC needs the CIN / LLPIN; ","")&amp;IF((TRIM(AF765)="")&lt;&gt;(TRIM(AG765)=""),"GST login needs both user ID and password; ","")&amp;IF((TRIM(AH765)="")&lt;&gt;(TRIM(AI765)=""),"Income-tax login needs both user ID and password; ","")&amp;IF((TRIM(AJ765)="")&lt;&gt;(TRIM(AK765)=""),"Income-tax login needs both user ID and password; ","")&amp;IF((TRIM(AL765)="")&lt;&gt;(TRIM(AM765)=""),"TRACES login needs both user ID and password; ","")&amp;IF((TRIM(AN765)="")&lt;&gt;(TRIM(AO765)=""),"MCA login needs both user ID and password; ","")&amp;IF((TRIM(AP765)="")&lt;&gt;(TRIM(AQ765)=""),"E-way bill login needs both user ID and password; ","")</f>
        <v/>
      </c>
    </row>
    <row r="766">
      <c r="A766" s="32" t="n"/>
      <c r="B766" s="33" t="n"/>
      <c r="C766" s="33" t="n"/>
      <c r="D766" s="33" t="n"/>
      <c r="E766" s="32" t="n"/>
      <c r="F766" s="32" t="n"/>
      <c r="G766" s="32" t="n"/>
      <c r="H766" s="32" t="n"/>
      <c r="I766" s="32" t="n"/>
      <c r="J766" s="34" t="n"/>
      <c r="K766" s="33" t="n"/>
      <c r="L766" s="32" t="n"/>
      <c r="M766" s="33" t="n"/>
      <c r="N766" s="33" t="n"/>
      <c r="O766" s="33" t="n"/>
      <c r="P766" s="32" t="n"/>
      <c r="Q766" s="33" t="n"/>
      <c r="R766" s="33" t="n"/>
      <c r="S766" s="33" t="n"/>
      <c r="T766" s="33" t="n"/>
      <c r="U766" s="32" t="n"/>
      <c r="V766" s="33" t="n"/>
      <c r="W766" s="33" t="n"/>
      <c r="X766" s="33" t="n"/>
      <c r="Y766" s="33" t="n"/>
      <c r="Z766" s="33" t="n"/>
      <c r="AA766" s="33" t="n"/>
      <c r="AB766" s="33" t="n"/>
      <c r="AC766" s="33" t="n"/>
      <c r="AD766" s="33" t="n"/>
      <c r="AE766" s="33" t="n"/>
      <c r="AF766" s="32" t="n"/>
      <c r="AG766" s="32" t="n"/>
      <c r="AH766" s="32" t="n"/>
      <c r="AI766" s="32" t="n"/>
      <c r="AJ766" s="32" t="n"/>
      <c r="AK766" s="32" t="n"/>
      <c r="AL766" s="32" t="n"/>
      <c r="AM766" s="32" t="n"/>
      <c r="AN766" s="32" t="n"/>
      <c r="AO766" s="32" t="n"/>
      <c r="AP766" s="32" t="n"/>
      <c r="AQ766" s="32" t="n"/>
      <c r="AR766" s="29">
        <f>IF(NOT(COUNTA(A766:AE766)&gt;0),"",IF(A766="","New client","Update"))</f>
        <v/>
      </c>
      <c r="AS766" s="29">
        <f>IF(BA766&lt;&gt;"",BA766,IF(LEN(AZ766)=15,MID(AZ766,3,10),""))</f>
        <v/>
      </c>
      <c r="AT766" s="29">
        <f>IF(BB766="","",BB766&amp;IF(D766="","  (guessed from PAN)",""))</f>
        <v/>
      </c>
      <c r="AU766" s="29">
        <f>IF(AZ766="","",IFERROR(INDEX(Lists!$L$2:$L$38,MATCH(LEFT(AZ766,2),Lists!$K$2:$K$38,0)),"Unknown code"))</f>
        <v/>
      </c>
      <c r="AV766" s="29">
        <f>IF(AZ766="","",IFERROR(IF(NOT(AND(LEN(AZ766)=15,ISNUMBER(MATCH(LEFT(AZ766,2),Lists!$K$2:$K$38,0)),SUMPRODUCT(--ISERROR(FIND(MID(MID(AZ766,3,10),{1,2,3,4,5,10},1),"ABCDEFGHIJKLMNOPQRSTUVWXYZ")))=0,SUMPRODUCT(--ISERROR(FIND(MID(MID(AZ766,3,10),{6,7,8,9},1),"0123456789")))=0,ISNUMBER(FIND(MID(AZ766,13,1),"123456789ABCDEFGHIJKLMNOPQRSTUVWXYZ")),MID(AZ766,14,1)="Z")),"Wrong format",IF(MID("0123456789ABCDEFGHIJKLMNOPQRSTUVWXYZ",MOD(36-MOD(SUMPRODUCT(INT((FIND(MID(AZ766,{1,2,3,4,5,6,7,8,9,10,11,12,13,14},1),"0123456789ABCDEFGHIJKLMNOPQRSTUVWXYZ")-1)*{1,2,1,2,1,2,1,2,1,2,1,2,1,2}/36)+MOD((FIND(MID(AZ766,{1,2,3,4,5,6,7,8,9,10,11,12,13,14},1),"0123456789ABCDEFGHIJKLMNOPQRSTUVWXYZ")-1)*{1,2,1,2,1,2,1,2,1,2,1,2,1,2},36)),36),36)+1,1)=MID(AZ766,15,1),"OK","Typo? check digit wrong")),"Wrong format"))</f>
        <v/>
      </c>
      <c r="AW766" s="29">
        <f>IF(BA766="","",IF(AND(LEN(BA766)=10,SUMPRODUCT(--ISERROR(FIND(MID(BA766,{1,2,3,4,5,10},1),"ABCDEFGHIJKLMNOPQRSTUVWXYZ")))=0,SUMPRODUCT(--ISERROR(FIND(MID(BA766,{6,7,8,9},1),"0123456789")))=0),"OK","Wrong format"))</f>
        <v/>
      </c>
      <c r="AX766" s="29">
        <f>IF(TRIM(H766)="","",IF(AND(LEN(UPPER(TRIM(H766)))=10,SUMPRODUCT(--ISERROR(FIND(MID(UPPER(TRIM(H766)),{1,2,3,4,10},1),"ABCDEFGHIJKLMNOPQRSTUVWXYZ")))=0,SUMPRODUCT(--ISERROR(FIND(MID(UPPER(TRIM(H766)),{5,6,7,8,9},1),"0123456789")))=0),"OK","Wrong format"))</f>
        <v/>
      </c>
      <c r="AY766" s="30">
        <f>IF(NOT(COUNTA(A766:AE766)&gt;0),"",IF(BE766&lt;&gt;"","✖ "&amp;LEFT(BE766,LEN(BE766)-2),IF(BD766&gt;0,"✔ Ready — client + "&amp;BD766&amp;" service(s)","✔ Ready — client only")))</f>
        <v/>
      </c>
      <c r="AZ766" s="31">
        <f>UPPER(SUBSTITUTE(TRIM(F766)," ",""))</f>
        <v/>
      </c>
      <c r="BA766" s="31">
        <f>UPPER(SUBSTITUTE(TRIM(E766)," ",""))</f>
        <v/>
      </c>
      <c r="BB766" s="31">
        <f>IF(D766&lt;&gt;"",D766,IFERROR(VLOOKUP(MID(AS766,4,1),Lists!$E$2:$F$8,2,FALSE),""))</f>
        <v/>
      </c>
      <c r="BC766" s="31">
        <f>IFERROR(VLOOKUP(BB766,Lists!$A$2:$C$12,3,FALSE),"")</f>
        <v/>
      </c>
      <c r="BD766" s="31">
        <f>COUNTIF(W766:AC766,"Yes")</f>
        <v/>
      </c>
      <c r="BE766" s="31">
        <f>IF(TRIM(B766)="","Legal name missing; ","")&amp;IF(AND(AV766&lt;&gt;"",AV766&lt;&gt;"OK"),"GSTIN: "&amp;AV766&amp;"; ","")&amp;IF(AND(AW766&lt;&gt;"",AW766&lt;&gt;"OK"),"PAN wrong format; ","")&amp;IF(AND(BA766&lt;&gt;"",LEN(AZ766)=15,MID(AZ766,3,10)&lt;&gt;BA766),"PAN does not match GSTIN; ","")&amp;IF(AND(AX766&lt;&gt;"",AX766&lt;&gt;"OK"),"TAN wrong format; ","")&amp;IF(AS766="","PAN missing; ","")&amp;IF(BB766="","Entity type missing; ","")&amp;IF(AND(AZ766&lt;&gt;"",COUNTIF($AZ$6:$AZ$1005,AZ766)&gt;1),"GSTIN repeated in this sheet; ","")&amp;IF(AND(AS766&lt;&gt;"",COUNTIF($AS$6:$AS$1005,AS766)&gt;1),"PAN repeated in this sheet (same client? put extra GSTINs in Other GSTINs); ","")&amp;IF(AND(BD766&gt;0,V766=""),"Financial year missing; ","")&amp;IF(AND(BD766=0,V766&lt;&gt;""),"Financial year given but no service is Yes; ","")&amp;IF(AND(W766="Yes",AZ766=""),"GST needs a GSTIN; ","")&amp;IF(AND(W766="Yes",X766=""),"GST return frequency missing; ","")&amp;IF(AND(Y766="Yes",TRIM(H766)=""),"TDS needs a TAN; ","")&amp;IF(AND(AA766="Yes",BC766&lt;&gt;"",BC766&lt;&gt;"company",BC766&lt;&gt;"llp"),"ROC is only for a company / LLP; ","")&amp;IF(AND(AA766="Yes",OR(BC766="company",BC766="llp"),TRIM(I766)=""),"ROC needs the CIN / LLPIN; ","")&amp;IF((TRIM(AF766)="")&lt;&gt;(TRIM(AG766)=""),"GST login needs both user ID and password; ","")&amp;IF((TRIM(AH766)="")&lt;&gt;(TRIM(AI766)=""),"Income-tax login needs both user ID and password; ","")&amp;IF((TRIM(AJ766)="")&lt;&gt;(TRIM(AK766)=""),"Income-tax login needs both user ID and password; ","")&amp;IF((TRIM(AL766)="")&lt;&gt;(TRIM(AM766)=""),"TRACES login needs both user ID and password; ","")&amp;IF((TRIM(AN766)="")&lt;&gt;(TRIM(AO766)=""),"MCA login needs both user ID and password; ","")&amp;IF((TRIM(AP766)="")&lt;&gt;(TRIM(AQ766)=""),"E-way bill login needs both user ID and password; ","")</f>
        <v/>
      </c>
    </row>
    <row r="767">
      <c r="A767" s="32" t="n"/>
      <c r="B767" s="33" t="n"/>
      <c r="C767" s="33" t="n"/>
      <c r="D767" s="33" t="n"/>
      <c r="E767" s="32" t="n"/>
      <c r="F767" s="32" t="n"/>
      <c r="G767" s="32" t="n"/>
      <c r="H767" s="32" t="n"/>
      <c r="I767" s="32" t="n"/>
      <c r="J767" s="34" t="n"/>
      <c r="K767" s="33" t="n"/>
      <c r="L767" s="32" t="n"/>
      <c r="M767" s="33" t="n"/>
      <c r="N767" s="33" t="n"/>
      <c r="O767" s="33" t="n"/>
      <c r="P767" s="32" t="n"/>
      <c r="Q767" s="33" t="n"/>
      <c r="R767" s="33" t="n"/>
      <c r="S767" s="33" t="n"/>
      <c r="T767" s="33" t="n"/>
      <c r="U767" s="32" t="n"/>
      <c r="V767" s="33" t="n"/>
      <c r="W767" s="33" t="n"/>
      <c r="X767" s="33" t="n"/>
      <c r="Y767" s="33" t="n"/>
      <c r="Z767" s="33" t="n"/>
      <c r="AA767" s="33" t="n"/>
      <c r="AB767" s="33" t="n"/>
      <c r="AC767" s="33" t="n"/>
      <c r="AD767" s="33" t="n"/>
      <c r="AE767" s="33" t="n"/>
      <c r="AF767" s="32" t="n"/>
      <c r="AG767" s="32" t="n"/>
      <c r="AH767" s="32" t="n"/>
      <c r="AI767" s="32" t="n"/>
      <c r="AJ767" s="32" t="n"/>
      <c r="AK767" s="32" t="n"/>
      <c r="AL767" s="32" t="n"/>
      <c r="AM767" s="32" t="n"/>
      <c r="AN767" s="32" t="n"/>
      <c r="AO767" s="32" t="n"/>
      <c r="AP767" s="32" t="n"/>
      <c r="AQ767" s="32" t="n"/>
      <c r="AR767" s="29">
        <f>IF(NOT(COUNTA(A767:AE767)&gt;0),"",IF(A767="","New client","Update"))</f>
        <v/>
      </c>
      <c r="AS767" s="29">
        <f>IF(BA767&lt;&gt;"",BA767,IF(LEN(AZ767)=15,MID(AZ767,3,10),""))</f>
        <v/>
      </c>
      <c r="AT767" s="29">
        <f>IF(BB767="","",BB767&amp;IF(D767="","  (guessed from PAN)",""))</f>
        <v/>
      </c>
      <c r="AU767" s="29">
        <f>IF(AZ767="","",IFERROR(INDEX(Lists!$L$2:$L$38,MATCH(LEFT(AZ767,2),Lists!$K$2:$K$38,0)),"Unknown code"))</f>
        <v/>
      </c>
      <c r="AV767" s="29">
        <f>IF(AZ767="","",IFERROR(IF(NOT(AND(LEN(AZ767)=15,ISNUMBER(MATCH(LEFT(AZ767,2),Lists!$K$2:$K$38,0)),SUMPRODUCT(--ISERROR(FIND(MID(MID(AZ767,3,10),{1,2,3,4,5,10},1),"ABCDEFGHIJKLMNOPQRSTUVWXYZ")))=0,SUMPRODUCT(--ISERROR(FIND(MID(MID(AZ767,3,10),{6,7,8,9},1),"0123456789")))=0,ISNUMBER(FIND(MID(AZ767,13,1),"123456789ABCDEFGHIJKLMNOPQRSTUVWXYZ")),MID(AZ767,14,1)="Z")),"Wrong format",IF(MID("0123456789ABCDEFGHIJKLMNOPQRSTUVWXYZ",MOD(36-MOD(SUMPRODUCT(INT((FIND(MID(AZ767,{1,2,3,4,5,6,7,8,9,10,11,12,13,14},1),"0123456789ABCDEFGHIJKLMNOPQRSTUVWXYZ")-1)*{1,2,1,2,1,2,1,2,1,2,1,2,1,2}/36)+MOD((FIND(MID(AZ767,{1,2,3,4,5,6,7,8,9,10,11,12,13,14},1),"0123456789ABCDEFGHIJKLMNOPQRSTUVWXYZ")-1)*{1,2,1,2,1,2,1,2,1,2,1,2,1,2},36)),36),36)+1,1)=MID(AZ767,15,1),"OK","Typo? check digit wrong")),"Wrong format"))</f>
        <v/>
      </c>
      <c r="AW767" s="29">
        <f>IF(BA767="","",IF(AND(LEN(BA767)=10,SUMPRODUCT(--ISERROR(FIND(MID(BA767,{1,2,3,4,5,10},1),"ABCDEFGHIJKLMNOPQRSTUVWXYZ")))=0,SUMPRODUCT(--ISERROR(FIND(MID(BA767,{6,7,8,9},1),"0123456789")))=0),"OK","Wrong format"))</f>
        <v/>
      </c>
      <c r="AX767" s="29">
        <f>IF(TRIM(H767)="","",IF(AND(LEN(UPPER(TRIM(H767)))=10,SUMPRODUCT(--ISERROR(FIND(MID(UPPER(TRIM(H767)),{1,2,3,4,10},1),"ABCDEFGHIJKLMNOPQRSTUVWXYZ")))=0,SUMPRODUCT(--ISERROR(FIND(MID(UPPER(TRIM(H767)),{5,6,7,8,9},1),"0123456789")))=0),"OK","Wrong format"))</f>
        <v/>
      </c>
      <c r="AY767" s="30">
        <f>IF(NOT(COUNTA(A767:AE767)&gt;0),"",IF(BE767&lt;&gt;"","✖ "&amp;LEFT(BE767,LEN(BE767)-2),IF(BD767&gt;0,"✔ Ready — client + "&amp;BD767&amp;" service(s)","✔ Ready — client only")))</f>
        <v/>
      </c>
      <c r="AZ767" s="31">
        <f>UPPER(SUBSTITUTE(TRIM(F767)," ",""))</f>
        <v/>
      </c>
      <c r="BA767" s="31">
        <f>UPPER(SUBSTITUTE(TRIM(E767)," ",""))</f>
        <v/>
      </c>
      <c r="BB767" s="31">
        <f>IF(D767&lt;&gt;"",D767,IFERROR(VLOOKUP(MID(AS767,4,1),Lists!$E$2:$F$8,2,FALSE),""))</f>
        <v/>
      </c>
      <c r="BC767" s="31">
        <f>IFERROR(VLOOKUP(BB767,Lists!$A$2:$C$12,3,FALSE),"")</f>
        <v/>
      </c>
      <c r="BD767" s="31">
        <f>COUNTIF(W767:AC767,"Yes")</f>
        <v/>
      </c>
      <c r="BE767" s="31">
        <f>IF(TRIM(B767)="","Legal name missing; ","")&amp;IF(AND(AV767&lt;&gt;"",AV767&lt;&gt;"OK"),"GSTIN: "&amp;AV767&amp;"; ","")&amp;IF(AND(AW767&lt;&gt;"",AW767&lt;&gt;"OK"),"PAN wrong format; ","")&amp;IF(AND(BA767&lt;&gt;"",LEN(AZ767)=15,MID(AZ767,3,10)&lt;&gt;BA767),"PAN does not match GSTIN; ","")&amp;IF(AND(AX767&lt;&gt;"",AX767&lt;&gt;"OK"),"TAN wrong format; ","")&amp;IF(AS767="","PAN missing; ","")&amp;IF(BB767="","Entity type missing; ","")&amp;IF(AND(AZ767&lt;&gt;"",COUNTIF($AZ$6:$AZ$1005,AZ767)&gt;1),"GSTIN repeated in this sheet; ","")&amp;IF(AND(AS767&lt;&gt;"",COUNTIF($AS$6:$AS$1005,AS767)&gt;1),"PAN repeated in this sheet (same client? put extra GSTINs in Other GSTINs); ","")&amp;IF(AND(BD767&gt;0,V767=""),"Financial year missing; ","")&amp;IF(AND(BD767=0,V767&lt;&gt;""),"Financial year given but no service is Yes; ","")&amp;IF(AND(W767="Yes",AZ767=""),"GST needs a GSTIN; ","")&amp;IF(AND(W767="Yes",X767=""),"GST return frequency missing; ","")&amp;IF(AND(Y767="Yes",TRIM(H767)=""),"TDS needs a TAN; ","")&amp;IF(AND(AA767="Yes",BC767&lt;&gt;"",BC767&lt;&gt;"company",BC767&lt;&gt;"llp"),"ROC is only for a company / LLP; ","")&amp;IF(AND(AA767="Yes",OR(BC767="company",BC767="llp"),TRIM(I767)=""),"ROC needs the CIN / LLPIN; ","")&amp;IF((TRIM(AF767)="")&lt;&gt;(TRIM(AG767)=""),"GST login needs both user ID and password; ","")&amp;IF((TRIM(AH767)="")&lt;&gt;(TRIM(AI767)=""),"Income-tax login needs both user ID and password; ","")&amp;IF((TRIM(AJ767)="")&lt;&gt;(TRIM(AK767)=""),"Income-tax login needs both user ID and password; ","")&amp;IF((TRIM(AL767)="")&lt;&gt;(TRIM(AM767)=""),"TRACES login needs both user ID and password; ","")&amp;IF((TRIM(AN767)="")&lt;&gt;(TRIM(AO767)=""),"MCA login needs both user ID and password; ","")&amp;IF((TRIM(AP767)="")&lt;&gt;(TRIM(AQ767)=""),"E-way bill login needs both user ID and password; ","")</f>
        <v/>
      </c>
    </row>
    <row r="768">
      <c r="A768" s="32" t="n"/>
      <c r="B768" s="33" t="n"/>
      <c r="C768" s="33" t="n"/>
      <c r="D768" s="33" t="n"/>
      <c r="E768" s="32" t="n"/>
      <c r="F768" s="32" t="n"/>
      <c r="G768" s="32" t="n"/>
      <c r="H768" s="32" t="n"/>
      <c r="I768" s="32" t="n"/>
      <c r="J768" s="34" t="n"/>
      <c r="K768" s="33" t="n"/>
      <c r="L768" s="32" t="n"/>
      <c r="M768" s="33" t="n"/>
      <c r="N768" s="33" t="n"/>
      <c r="O768" s="33" t="n"/>
      <c r="P768" s="32" t="n"/>
      <c r="Q768" s="33" t="n"/>
      <c r="R768" s="33" t="n"/>
      <c r="S768" s="33" t="n"/>
      <c r="T768" s="33" t="n"/>
      <c r="U768" s="32" t="n"/>
      <c r="V768" s="33" t="n"/>
      <c r="W768" s="33" t="n"/>
      <c r="X768" s="33" t="n"/>
      <c r="Y768" s="33" t="n"/>
      <c r="Z768" s="33" t="n"/>
      <c r="AA768" s="33" t="n"/>
      <c r="AB768" s="33" t="n"/>
      <c r="AC768" s="33" t="n"/>
      <c r="AD768" s="33" t="n"/>
      <c r="AE768" s="33" t="n"/>
      <c r="AF768" s="32" t="n"/>
      <c r="AG768" s="32" t="n"/>
      <c r="AH768" s="32" t="n"/>
      <c r="AI768" s="32" t="n"/>
      <c r="AJ768" s="32" t="n"/>
      <c r="AK768" s="32" t="n"/>
      <c r="AL768" s="32" t="n"/>
      <c r="AM768" s="32" t="n"/>
      <c r="AN768" s="32" t="n"/>
      <c r="AO768" s="32" t="n"/>
      <c r="AP768" s="32" t="n"/>
      <c r="AQ768" s="32" t="n"/>
      <c r="AR768" s="29">
        <f>IF(NOT(COUNTA(A768:AE768)&gt;0),"",IF(A768="","New client","Update"))</f>
        <v/>
      </c>
      <c r="AS768" s="29">
        <f>IF(BA768&lt;&gt;"",BA768,IF(LEN(AZ768)=15,MID(AZ768,3,10),""))</f>
        <v/>
      </c>
      <c r="AT768" s="29">
        <f>IF(BB768="","",BB768&amp;IF(D768="","  (guessed from PAN)",""))</f>
        <v/>
      </c>
      <c r="AU768" s="29">
        <f>IF(AZ768="","",IFERROR(INDEX(Lists!$L$2:$L$38,MATCH(LEFT(AZ768,2),Lists!$K$2:$K$38,0)),"Unknown code"))</f>
        <v/>
      </c>
      <c r="AV768" s="29">
        <f>IF(AZ768="","",IFERROR(IF(NOT(AND(LEN(AZ768)=15,ISNUMBER(MATCH(LEFT(AZ768,2),Lists!$K$2:$K$38,0)),SUMPRODUCT(--ISERROR(FIND(MID(MID(AZ768,3,10),{1,2,3,4,5,10},1),"ABCDEFGHIJKLMNOPQRSTUVWXYZ")))=0,SUMPRODUCT(--ISERROR(FIND(MID(MID(AZ768,3,10),{6,7,8,9},1),"0123456789")))=0,ISNUMBER(FIND(MID(AZ768,13,1),"123456789ABCDEFGHIJKLMNOPQRSTUVWXYZ")),MID(AZ768,14,1)="Z")),"Wrong format",IF(MID("0123456789ABCDEFGHIJKLMNOPQRSTUVWXYZ",MOD(36-MOD(SUMPRODUCT(INT((FIND(MID(AZ768,{1,2,3,4,5,6,7,8,9,10,11,12,13,14},1),"0123456789ABCDEFGHIJKLMNOPQRSTUVWXYZ")-1)*{1,2,1,2,1,2,1,2,1,2,1,2,1,2}/36)+MOD((FIND(MID(AZ768,{1,2,3,4,5,6,7,8,9,10,11,12,13,14},1),"0123456789ABCDEFGHIJKLMNOPQRSTUVWXYZ")-1)*{1,2,1,2,1,2,1,2,1,2,1,2,1,2},36)),36),36)+1,1)=MID(AZ768,15,1),"OK","Typo? check digit wrong")),"Wrong format"))</f>
        <v/>
      </c>
      <c r="AW768" s="29">
        <f>IF(BA768="","",IF(AND(LEN(BA768)=10,SUMPRODUCT(--ISERROR(FIND(MID(BA768,{1,2,3,4,5,10},1),"ABCDEFGHIJKLMNOPQRSTUVWXYZ")))=0,SUMPRODUCT(--ISERROR(FIND(MID(BA768,{6,7,8,9},1),"0123456789")))=0),"OK","Wrong format"))</f>
        <v/>
      </c>
      <c r="AX768" s="29">
        <f>IF(TRIM(H768)="","",IF(AND(LEN(UPPER(TRIM(H768)))=10,SUMPRODUCT(--ISERROR(FIND(MID(UPPER(TRIM(H768)),{1,2,3,4,10},1),"ABCDEFGHIJKLMNOPQRSTUVWXYZ")))=0,SUMPRODUCT(--ISERROR(FIND(MID(UPPER(TRIM(H768)),{5,6,7,8,9},1),"0123456789")))=0),"OK","Wrong format"))</f>
        <v/>
      </c>
      <c r="AY768" s="30">
        <f>IF(NOT(COUNTA(A768:AE768)&gt;0),"",IF(BE768&lt;&gt;"","✖ "&amp;LEFT(BE768,LEN(BE768)-2),IF(BD768&gt;0,"✔ Ready — client + "&amp;BD768&amp;" service(s)","✔ Ready — client only")))</f>
        <v/>
      </c>
      <c r="AZ768" s="31">
        <f>UPPER(SUBSTITUTE(TRIM(F768)," ",""))</f>
        <v/>
      </c>
      <c r="BA768" s="31">
        <f>UPPER(SUBSTITUTE(TRIM(E768)," ",""))</f>
        <v/>
      </c>
      <c r="BB768" s="31">
        <f>IF(D768&lt;&gt;"",D768,IFERROR(VLOOKUP(MID(AS768,4,1),Lists!$E$2:$F$8,2,FALSE),""))</f>
        <v/>
      </c>
      <c r="BC768" s="31">
        <f>IFERROR(VLOOKUP(BB768,Lists!$A$2:$C$12,3,FALSE),"")</f>
        <v/>
      </c>
      <c r="BD768" s="31">
        <f>COUNTIF(W768:AC768,"Yes")</f>
        <v/>
      </c>
      <c r="BE768" s="31">
        <f>IF(TRIM(B768)="","Legal name missing; ","")&amp;IF(AND(AV768&lt;&gt;"",AV768&lt;&gt;"OK"),"GSTIN: "&amp;AV768&amp;"; ","")&amp;IF(AND(AW768&lt;&gt;"",AW768&lt;&gt;"OK"),"PAN wrong format; ","")&amp;IF(AND(BA768&lt;&gt;"",LEN(AZ768)=15,MID(AZ768,3,10)&lt;&gt;BA768),"PAN does not match GSTIN; ","")&amp;IF(AND(AX768&lt;&gt;"",AX768&lt;&gt;"OK"),"TAN wrong format; ","")&amp;IF(AS768="","PAN missing; ","")&amp;IF(BB768="","Entity type missing; ","")&amp;IF(AND(AZ768&lt;&gt;"",COUNTIF($AZ$6:$AZ$1005,AZ768)&gt;1),"GSTIN repeated in this sheet; ","")&amp;IF(AND(AS768&lt;&gt;"",COUNTIF($AS$6:$AS$1005,AS768)&gt;1),"PAN repeated in this sheet (same client? put extra GSTINs in Other GSTINs); ","")&amp;IF(AND(BD768&gt;0,V768=""),"Financial year missing; ","")&amp;IF(AND(BD768=0,V768&lt;&gt;""),"Financial year given but no service is Yes; ","")&amp;IF(AND(W768="Yes",AZ768=""),"GST needs a GSTIN; ","")&amp;IF(AND(W768="Yes",X768=""),"GST return frequency missing; ","")&amp;IF(AND(Y768="Yes",TRIM(H768)=""),"TDS needs a TAN; ","")&amp;IF(AND(AA768="Yes",BC768&lt;&gt;"",BC768&lt;&gt;"company",BC768&lt;&gt;"llp"),"ROC is only for a company / LLP; ","")&amp;IF(AND(AA768="Yes",OR(BC768="company",BC768="llp"),TRIM(I768)=""),"ROC needs the CIN / LLPIN; ","")&amp;IF((TRIM(AF768)="")&lt;&gt;(TRIM(AG768)=""),"GST login needs both user ID and password; ","")&amp;IF((TRIM(AH768)="")&lt;&gt;(TRIM(AI768)=""),"Income-tax login needs both user ID and password; ","")&amp;IF((TRIM(AJ768)="")&lt;&gt;(TRIM(AK768)=""),"Income-tax login needs both user ID and password; ","")&amp;IF((TRIM(AL768)="")&lt;&gt;(TRIM(AM768)=""),"TRACES login needs both user ID and password; ","")&amp;IF((TRIM(AN768)="")&lt;&gt;(TRIM(AO768)=""),"MCA login needs both user ID and password; ","")&amp;IF((TRIM(AP768)="")&lt;&gt;(TRIM(AQ768)=""),"E-way bill login needs both user ID and password; ","")</f>
        <v/>
      </c>
    </row>
    <row r="769">
      <c r="A769" s="32" t="n"/>
      <c r="B769" s="33" t="n"/>
      <c r="C769" s="33" t="n"/>
      <c r="D769" s="33" t="n"/>
      <c r="E769" s="32" t="n"/>
      <c r="F769" s="32" t="n"/>
      <c r="G769" s="32" t="n"/>
      <c r="H769" s="32" t="n"/>
      <c r="I769" s="32" t="n"/>
      <c r="J769" s="34" t="n"/>
      <c r="K769" s="33" t="n"/>
      <c r="L769" s="32" t="n"/>
      <c r="M769" s="33" t="n"/>
      <c r="N769" s="33" t="n"/>
      <c r="O769" s="33" t="n"/>
      <c r="P769" s="32" t="n"/>
      <c r="Q769" s="33" t="n"/>
      <c r="R769" s="33" t="n"/>
      <c r="S769" s="33" t="n"/>
      <c r="T769" s="33" t="n"/>
      <c r="U769" s="32" t="n"/>
      <c r="V769" s="33" t="n"/>
      <c r="W769" s="33" t="n"/>
      <c r="X769" s="33" t="n"/>
      <c r="Y769" s="33" t="n"/>
      <c r="Z769" s="33" t="n"/>
      <c r="AA769" s="33" t="n"/>
      <c r="AB769" s="33" t="n"/>
      <c r="AC769" s="33" t="n"/>
      <c r="AD769" s="33" t="n"/>
      <c r="AE769" s="33" t="n"/>
      <c r="AF769" s="32" t="n"/>
      <c r="AG769" s="32" t="n"/>
      <c r="AH769" s="32" t="n"/>
      <c r="AI769" s="32" t="n"/>
      <c r="AJ769" s="32" t="n"/>
      <c r="AK769" s="32" t="n"/>
      <c r="AL769" s="32" t="n"/>
      <c r="AM769" s="32" t="n"/>
      <c r="AN769" s="32" t="n"/>
      <c r="AO769" s="32" t="n"/>
      <c r="AP769" s="32" t="n"/>
      <c r="AQ769" s="32" t="n"/>
      <c r="AR769" s="29">
        <f>IF(NOT(COUNTA(A769:AE769)&gt;0),"",IF(A769="","New client","Update"))</f>
        <v/>
      </c>
      <c r="AS769" s="29">
        <f>IF(BA769&lt;&gt;"",BA769,IF(LEN(AZ769)=15,MID(AZ769,3,10),""))</f>
        <v/>
      </c>
      <c r="AT769" s="29">
        <f>IF(BB769="","",BB769&amp;IF(D769="","  (guessed from PAN)",""))</f>
        <v/>
      </c>
      <c r="AU769" s="29">
        <f>IF(AZ769="","",IFERROR(INDEX(Lists!$L$2:$L$38,MATCH(LEFT(AZ769,2),Lists!$K$2:$K$38,0)),"Unknown code"))</f>
        <v/>
      </c>
      <c r="AV769" s="29">
        <f>IF(AZ769="","",IFERROR(IF(NOT(AND(LEN(AZ769)=15,ISNUMBER(MATCH(LEFT(AZ769,2),Lists!$K$2:$K$38,0)),SUMPRODUCT(--ISERROR(FIND(MID(MID(AZ769,3,10),{1,2,3,4,5,10},1),"ABCDEFGHIJKLMNOPQRSTUVWXYZ")))=0,SUMPRODUCT(--ISERROR(FIND(MID(MID(AZ769,3,10),{6,7,8,9},1),"0123456789")))=0,ISNUMBER(FIND(MID(AZ769,13,1),"123456789ABCDEFGHIJKLMNOPQRSTUVWXYZ")),MID(AZ769,14,1)="Z")),"Wrong format",IF(MID("0123456789ABCDEFGHIJKLMNOPQRSTUVWXYZ",MOD(36-MOD(SUMPRODUCT(INT((FIND(MID(AZ769,{1,2,3,4,5,6,7,8,9,10,11,12,13,14},1),"0123456789ABCDEFGHIJKLMNOPQRSTUVWXYZ")-1)*{1,2,1,2,1,2,1,2,1,2,1,2,1,2}/36)+MOD((FIND(MID(AZ769,{1,2,3,4,5,6,7,8,9,10,11,12,13,14},1),"0123456789ABCDEFGHIJKLMNOPQRSTUVWXYZ")-1)*{1,2,1,2,1,2,1,2,1,2,1,2,1,2},36)),36),36)+1,1)=MID(AZ769,15,1),"OK","Typo? check digit wrong")),"Wrong format"))</f>
        <v/>
      </c>
      <c r="AW769" s="29">
        <f>IF(BA769="","",IF(AND(LEN(BA769)=10,SUMPRODUCT(--ISERROR(FIND(MID(BA769,{1,2,3,4,5,10},1),"ABCDEFGHIJKLMNOPQRSTUVWXYZ")))=0,SUMPRODUCT(--ISERROR(FIND(MID(BA769,{6,7,8,9},1),"0123456789")))=0),"OK","Wrong format"))</f>
        <v/>
      </c>
      <c r="AX769" s="29">
        <f>IF(TRIM(H769)="","",IF(AND(LEN(UPPER(TRIM(H769)))=10,SUMPRODUCT(--ISERROR(FIND(MID(UPPER(TRIM(H769)),{1,2,3,4,10},1),"ABCDEFGHIJKLMNOPQRSTUVWXYZ")))=0,SUMPRODUCT(--ISERROR(FIND(MID(UPPER(TRIM(H769)),{5,6,7,8,9},1),"0123456789")))=0),"OK","Wrong format"))</f>
        <v/>
      </c>
      <c r="AY769" s="30">
        <f>IF(NOT(COUNTA(A769:AE769)&gt;0),"",IF(BE769&lt;&gt;"","✖ "&amp;LEFT(BE769,LEN(BE769)-2),IF(BD769&gt;0,"✔ Ready — client + "&amp;BD769&amp;" service(s)","✔ Ready — client only")))</f>
        <v/>
      </c>
      <c r="AZ769" s="31">
        <f>UPPER(SUBSTITUTE(TRIM(F769)," ",""))</f>
        <v/>
      </c>
      <c r="BA769" s="31">
        <f>UPPER(SUBSTITUTE(TRIM(E769)," ",""))</f>
        <v/>
      </c>
      <c r="BB769" s="31">
        <f>IF(D769&lt;&gt;"",D769,IFERROR(VLOOKUP(MID(AS769,4,1),Lists!$E$2:$F$8,2,FALSE),""))</f>
        <v/>
      </c>
      <c r="BC769" s="31">
        <f>IFERROR(VLOOKUP(BB769,Lists!$A$2:$C$12,3,FALSE),"")</f>
        <v/>
      </c>
      <c r="BD769" s="31">
        <f>COUNTIF(W769:AC769,"Yes")</f>
        <v/>
      </c>
      <c r="BE769" s="31">
        <f>IF(TRIM(B769)="","Legal name missing; ","")&amp;IF(AND(AV769&lt;&gt;"",AV769&lt;&gt;"OK"),"GSTIN: "&amp;AV769&amp;"; ","")&amp;IF(AND(AW769&lt;&gt;"",AW769&lt;&gt;"OK"),"PAN wrong format; ","")&amp;IF(AND(BA769&lt;&gt;"",LEN(AZ769)=15,MID(AZ769,3,10)&lt;&gt;BA769),"PAN does not match GSTIN; ","")&amp;IF(AND(AX769&lt;&gt;"",AX769&lt;&gt;"OK"),"TAN wrong format; ","")&amp;IF(AS769="","PAN missing; ","")&amp;IF(BB769="","Entity type missing; ","")&amp;IF(AND(AZ769&lt;&gt;"",COUNTIF($AZ$6:$AZ$1005,AZ769)&gt;1),"GSTIN repeated in this sheet; ","")&amp;IF(AND(AS769&lt;&gt;"",COUNTIF($AS$6:$AS$1005,AS769)&gt;1),"PAN repeated in this sheet (same client? put extra GSTINs in Other GSTINs); ","")&amp;IF(AND(BD769&gt;0,V769=""),"Financial year missing; ","")&amp;IF(AND(BD769=0,V769&lt;&gt;""),"Financial year given but no service is Yes; ","")&amp;IF(AND(W769="Yes",AZ769=""),"GST needs a GSTIN; ","")&amp;IF(AND(W769="Yes",X769=""),"GST return frequency missing; ","")&amp;IF(AND(Y769="Yes",TRIM(H769)=""),"TDS needs a TAN; ","")&amp;IF(AND(AA769="Yes",BC769&lt;&gt;"",BC769&lt;&gt;"company",BC769&lt;&gt;"llp"),"ROC is only for a company / LLP; ","")&amp;IF(AND(AA769="Yes",OR(BC769="company",BC769="llp"),TRIM(I769)=""),"ROC needs the CIN / LLPIN; ","")&amp;IF((TRIM(AF769)="")&lt;&gt;(TRIM(AG769)=""),"GST login needs both user ID and password; ","")&amp;IF((TRIM(AH769)="")&lt;&gt;(TRIM(AI769)=""),"Income-tax login needs both user ID and password; ","")&amp;IF((TRIM(AJ769)="")&lt;&gt;(TRIM(AK769)=""),"Income-tax login needs both user ID and password; ","")&amp;IF((TRIM(AL769)="")&lt;&gt;(TRIM(AM769)=""),"TRACES login needs both user ID and password; ","")&amp;IF((TRIM(AN769)="")&lt;&gt;(TRIM(AO769)=""),"MCA login needs both user ID and password; ","")&amp;IF((TRIM(AP769)="")&lt;&gt;(TRIM(AQ769)=""),"E-way bill login needs both user ID and password; ","")</f>
        <v/>
      </c>
    </row>
    <row r="770">
      <c r="A770" s="32" t="n"/>
      <c r="B770" s="33" t="n"/>
      <c r="C770" s="33" t="n"/>
      <c r="D770" s="33" t="n"/>
      <c r="E770" s="32" t="n"/>
      <c r="F770" s="32" t="n"/>
      <c r="G770" s="32" t="n"/>
      <c r="H770" s="32" t="n"/>
      <c r="I770" s="32" t="n"/>
      <c r="J770" s="34" t="n"/>
      <c r="K770" s="33" t="n"/>
      <c r="L770" s="32" t="n"/>
      <c r="M770" s="33" t="n"/>
      <c r="N770" s="33" t="n"/>
      <c r="O770" s="33" t="n"/>
      <c r="P770" s="32" t="n"/>
      <c r="Q770" s="33" t="n"/>
      <c r="R770" s="33" t="n"/>
      <c r="S770" s="33" t="n"/>
      <c r="T770" s="33" t="n"/>
      <c r="U770" s="32" t="n"/>
      <c r="V770" s="33" t="n"/>
      <c r="W770" s="33" t="n"/>
      <c r="X770" s="33" t="n"/>
      <c r="Y770" s="33" t="n"/>
      <c r="Z770" s="33" t="n"/>
      <c r="AA770" s="33" t="n"/>
      <c r="AB770" s="33" t="n"/>
      <c r="AC770" s="33" t="n"/>
      <c r="AD770" s="33" t="n"/>
      <c r="AE770" s="33" t="n"/>
      <c r="AF770" s="32" t="n"/>
      <c r="AG770" s="32" t="n"/>
      <c r="AH770" s="32" t="n"/>
      <c r="AI770" s="32" t="n"/>
      <c r="AJ770" s="32" t="n"/>
      <c r="AK770" s="32" t="n"/>
      <c r="AL770" s="32" t="n"/>
      <c r="AM770" s="32" t="n"/>
      <c r="AN770" s="32" t="n"/>
      <c r="AO770" s="32" t="n"/>
      <c r="AP770" s="32" t="n"/>
      <c r="AQ770" s="32" t="n"/>
      <c r="AR770" s="29">
        <f>IF(NOT(COUNTA(A770:AE770)&gt;0),"",IF(A770="","New client","Update"))</f>
        <v/>
      </c>
      <c r="AS770" s="29">
        <f>IF(BA770&lt;&gt;"",BA770,IF(LEN(AZ770)=15,MID(AZ770,3,10),""))</f>
        <v/>
      </c>
      <c r="AT770" s="29">
        <f>IF(BB770="","",BB770&amp;IF(D770="","  (guessed from PAN)",""))</f>
        <v/>
      </c>
      <c r="AU770" s="29">
        <f>IF(AZ770="","",IFERROR(INDEX(Lists!$L$2:$L$38,MATCH(LEFT(AZ770,2),Lists!$K$2:$K$38,0)),"Unknown code"))</f>
        <v/>
      </c>
      <c r="AV770" s="29">
        <f>IF(AZ770="","",IFERROR(IF(NOT(AND(LEN(AZ770)=15,ISNUMBER(MATCH(LEFT(AZ770,2),Lists!$K$2:$K$38,0)),SUMPRODUCT(--ISERROR(FIND(MID(MID(AZ770,3,10),{1,2,3,4,5,10},1),"ABCDEFGHIJKLMNOPQRSTUVWXYZ")))=0,SUMPRODUCT(--ISERROR(FIND(MID(MID(AZ770,3,10),{6,7,8,9},1),"0123456789")))=0,ISNUMBER(FIND(MID(AZ770,13,1),"123456789ABCDEFGHIJKLMNOPQRSTUVWXYZ")),MID(AZ770,14,1)="Z")),"Wrong format",IF(MID("0123456789ABCDEFGHIJKLMNOPQRSTUVWXYZ",MOD(36-MOD(SUMPRODUCT(INT((FIND(MID(AZ770,{1,2,3,4,5,6,7,8,9,10,11,12,13,14},1),"0123456789ABCDEFGHIJKLMNOPQRSTUVWXYZ")-1)*{1,2,1,2,1,2,1,2,1,2,1,2,1,2}/36)+MOD((FIND(MID(AZ770,{1,2,3,4,5,6,7,8,9,10,11,12,13,14},1),"0123456789ABCDEFGHIJKLMNOPQRSTUVWXYZ")-1)*{1,2,1,2,1,2,1,2,1,2,1,2,1,2},36)),36),36)+1,1)=MID(AZ770,15,1),"OK","Typo? check digit wrong")),"Wrong format"))</f>
        <v/>
      </c>
      <c r="AW770" s="29">
        <f>IF(BA770="","",IF(AND(LEN(BA770)=10,SUMPRODUCT(--ISERROR(FIND(MID(BA770,{1,2,3,4,5,10},1),"ABCDEFGHIJKLMNOPQRSTUVWXYZ")))=0,SUMPRODUCT(--ISERROR(FIND(MID(BA770,{6,7,8,9},1),"0123456789")))=0),"OK","Wrong format"))</f>
        <v/>
      </c>
      <c r="AX770" s="29">
        <f>IF(TRIM(H770)="","",IF(AND(LEN(UPPER(TRIM(H770)))=10,SUMPRODUCT(--ISERROR(FIND(MID(UPPER(TRIM(H770)),{1,2,3,4,10},1),"ABCDEFGHIJKLMNOPQRSTUVWXYZ")))=0,SUMPRODUCT(--ISERROR(FIND(MID(UPPER(TRIM(H770)),{5,6,7,8,9},1),"0123456789")))=0),"OK","Wrong format"))</f>
        <v/>
      </c>
      <c r="AY770" s="30">
        <f>IF(NOT(COUNTA(A770:AE770)&gt;0),"",IF(BE770&lt;&gt;"","✖ "&amp;LEFT(BE770,LEN(BE770)-2),IF(BD770&gt;0,"✔ Ready — client + "&amp;BD770&amp;" service(s)","✔ Ready — client only")))</f>
        <v/>
      </c>
      <c r="AZ770" s="31">
        <f>UPPER(SUBSTITUTE(TRIM(F770)," ",""))</f>
        <v/>
      </c>
      <c r="BA770" s="31">
        <f>UPPER(SUBSTITUTE(TRIM(E770)," ",""))</f>
        <v/>
      </c>
      <c r="BB770" s="31">
        <f>IF(D770&lt;&gt;"",D770,IFERROR(VLOOKUP(MID(AS770,4,1),Lists!$E$2:$F$8,2,FALSE),""))</f>
        <v/>
      </c>
      <c r="BC770" s="31">
        <f>IFERROR(VLOOKUP(BB770,Lists!$A$2:$C$12,3,FALSE),"")</f>
        <v/>
      </c>
      <c r="BD770" s="31">
        <f>COUNTIF(W770:AC770,"Yes")</f>
        <v/>
      </c>
      <c r="BE770" s="31">
        <f>IF(TRIM(B770)="","Legal name missing; ","")&amp;IF(AND(AV770&lt;&gt;"",AV770&lt;&gt;"OK"),"GSTIN: "&amp;AV770&amp;"; ","")&amp;IF(AND(AW770&lt;&gt;"",AW770&lt;&gt;"OK"),"PAN wrong format; ","")&amp;IF(AND(BA770&lt;&gt;"",LEN(AZ770)=15,MID(AZ770,3,10)&lt;&gt;BA770),"PAN does not match GSTIN; ","")&amp;IF(AND(AX770&lt;&gt;"",AX770&lt;&gt;"OK"),"TAN wrong format; ","")&amp;IF(AS770="","PAN missing; ","")&amp;IF(BB770="","Entity type missing; ","")&amp;IF(AND(AZ770&lt;&gt;"",COUNTIF($AZ$6:$AZ$1005,AZ770)&gt;1),"GSTIN repeated in this sheet; ","")&amp;IF(AND(AS770&lt;&gt;"",COUNTIF($AS$6:$AS$1005,AS770)&gt;1),"PAN repeated in this sheet (same client? put extra GSTINs in Other GSTINs); ","")&amp;IF(AND(BD770&gt;0,V770=""),"Financial year missing; ","")&amp;IF(AND(BD770=0,V770&lt;&gt;""),"Financial year given but no service is Yes; ","")&amp;IF(AND(W770="Yes",AZ770=""),"GST needs a GSTIN; ","")&amp;IF(AND(W770="Yes",X770=""),"GST return frequency missing; ","")&amp;IF(AND(Y770="Yes",TRIM(H770)=""),"TDS needs a TAN; ","")&amp;IF(AND(AA770="Yes",BC770&lt;&gt;"",BC770&lt;&gt;"company",BC770&lt;&gt;"llp"),"ROC is only for a company / LLP; ","")&amp;IF(AND(AA770="Yes",OR(BC770="company",BC770="llp"),TRIM(I770)=""),"ROC needs the CIN / LLPIN; ","")&amp;IF((TRIM(AF770)="")&lt;&gt;(TRIM(AG770)=""),"GST login needs both user ID and password; ","")&amp;IF((TRIM(AH770)="")&lt;&gt;(TRIM(AI770)=""),"Income-tax login needs both user ID and password; ","")&amp;IF((TRIM(AJ770)="")&lt;&gt;(TRIM(AK770)=""),"Income-tax login needs both user ID and password; ","")&amp;IF((TRIM(AL770)="")&lt;&gt;(TRIM(AM770)=""),"TRACES login needs both user ID and password; ","")&amp;IF((TRIM(AN770)="")&lt;&gt;(TRIM(AO770)=""),"MCA login needs both user ID and password; ","")&amp;IF((TRIM(AP770)="")&lt;&gt;(TRIM(AQ770)=""),"E-way bill login needs both user ID and password; ","")</f>
        <v/>
      </c>
    </row>
    <row r="771">
      <c r="A771" s="32" t="n"/>
      <c r="B771" s="33" t="n"/>
      <c r="C771" s="33" t="n"/>
      <c r="D771" s="33" t="n"/>
      <c r="E771" s="32" t="n"/>
      <c r="F771" s="32" t="n"/>
      <c r="G771" s="32" t="n"/>
      <c r="H771" s="32" t="n"/>
      <c r="I771" s="32" t="n"/>
      <c r="J771" s="34" t="n"/>
      <c r="K771" s="33" t="n"/>
      <c r="L771" s="32" t="n"/>
      <c r="M771" s="33" t="n"/>
      <c r="N771" s="33" t="n"/>
      <c r="O771" s="33" t="n"/>
      <c r="P771" s="32" t="n"/>
      <c r="Q771" s="33" t="n"/>
      <c r="R771" s="33" t="n"/>
      <c r="S771" s="33" t="n"/>
      <c r="T771" s="33" t="n"/>
      <c r="U771" s="32" t="n"/>
      <c r="V771" s="33" t="n"/>
      <c r="W771" s="33" t="n"/>
      <c r="X771" s="33" t="n"/>
      <c r="Y771" s="33" t="n"/>
      <c r="Z771" s="33" t="n"/>
      <c r="AA771" s="33" t="n"/>
      <c r="AB771" s="33" t="n"/>
      <c r="AC771" s="33" t="n"/>
      <c r="AD771" s="33" t="n"/>
      <c r="AE771" s="33" t="n"/>
      <c r="AF771" s="32" t="n"/>
      <c r="AG771" s="32" t="n"/>
      <c r="AH771" s="32" t="n"/>
      <c r="AI771" s="32" t="n"/>
      <c r="AJ771" s="32" t="n"/>
      <c r="AK771" s="32" t="n"/>
      <c r="AL771" s="32" t="n"/>
      <c r="AM771" s="32" t="n"/>
      <c r="AN771" s="32" t="n"/>
      <c r="AO771" s="32" t="n"/>
      <c r="AP771" s="32" t="n"/>
      <c r="AQ771" s="32" t="n"/>
      <c r="AR771" s="29">
        <f>IF(NOT(COUNTA(A771:AE771)&gt;0),"",IF(A771="","New client","Update"))</f>
        <v/>
      </c>
      <c r="AS771" s="29">
        <f>IF(BA771&lt;&gt;"",BA771,IF(LEN(AZ771)=15,MID(AZ771,3,10),""))</f>
        <v/>
      </c>
      <c r="AT771" s="29">
        <f>IF(BB771="","",BB771&amp;IF(D771="","  (guessed from PAN)",""))</f>
        <v/>
      </c>
      <c r="AU771" s="29">
        <f>IF(AZ771="","",IFERROR(INDEX(Lists!$L$2:$L$38,MATCH(LEFT(AZ771,2),Lists!$K$2:$K$38,0)),"Unknown code"))</f>
        <v/>
      </c>
      <c r="AV771" s="29">
        <f>IF(AZ771="","",IFERROR(IF(NOT(AND(LEN(AZ771)=15,ISNUMBER(MATCH(LEFT(AZ771,2),Lists!$K$2:$K$38,0)),SUMPRODUCT(--ISERROR(FIND(MID(MID(AZ771,3,10),{1,2,3,4,5,10},1),"ABCDEFGHIJKLMNOPQRSTUVWXYZ")))=0,SUMPRODUCT(--ISERROR(FIND(MID(MID(AZ771,3,10),{6,7,8,9},1),"0123456789")))=0,ISNUMBER(FIND(MID(AZ771,13,1),"123456789ABCDEFGHIJKLMNOPQRSTUVWXYZ")),MID(AZ771,14,1)="Z")),"Wrong format",IF(MID("0123456789ABCDEFGHIJKLMNOPQRSTUVWXYZ",MOD(36-MOD(SUMPRODUCT(INT((FIND(MID(AZ771,{1,2,3,4,5,6,7,8,9,10,11,12,13,14},1),"0123456789ABCDEFGHIJKLMNOPQRSTUVWXYZ")-1)*{1,2,1,2,1,2,1,2,1,2,1,2,1,2}/36)+MOD((FIND(MID(AZ771,{1,2,3,4,5,6,7,8,9,10,11,12,13,14},1),"0123456789ABCDEFGHIJKLMNOPQRSTUVWXYZ")-1)*{1,2,1,2,1,2,1,2,1,2,1,2,1,2},36)),36),36)+1,1)=MID(AZ771,15,1),"OK","Typo? check digit wrong")),"Wrong format"))</f>
        <v/>
      </c>
      <c r="AW771" s="29">
        <f>IF(BA771="","",IF(AND(LEN(BA771)=10,SUMPRODUCT(--ISERROR(FIND(MID(BA771,{1,2,3,4,5,10},1),"ABCDEFGHIJKLMNOPQRSTUVWXYZ")))=0,SUMPRODUCT(--ISERROR(FIND(MID(BA771,{6,7,8,9},1),"0123456789")))=0),"OK","Wrong format"))</f>
        <v/>
      </c>
      <c r="AX771" s="29">
        <f>IF(TRIM(H771)="","",IF(AND(LEN(UPPER(TRIM(H771)))=10,SUMPRODUCT(--ISERROR(FIND(MID(UPPER(TRIM(H771)),{1,2,3,4,10},1),"ABCDEFGHIJKLMNOPQRSTUVWXYZ")))=0,SUMPRODUCT(--ISERROR(FIND(MID(UPPER(TRIM(H771)),{5,6,7,8,9},1),"0123456789")))=0),"OK","Wrong format"))</f>
        <v/>
      </c>
      <c r="AY771" s="30">
        <f>IF(NOT(COUNTA(A771:AE771)&gt;0),"",IF(BE771&lt;&gt;"","✖ "&amp;LEFT(BE771,LEN(BE771)-2),IF(BD771&gt;0,"✔ Ready — client + "&amp;BD771&amp;" service(s)","✔ Ready — client only")))</f>
        <v/>
      </c>
      <c r="AZ771" s="31">
        <f>UPPER(SUBSTITUTE(TRIM(F771)," ",""))</f>
        <v/>
      </c>
      <c r="BA771" s="31">
        <f>UPPER(SUBSTITUTE(TRIM(E771)," ",""))</f>
        <v/>
      </c>
      <c r="BB771" s="31">
        <f>IF(D771&lt;&gt;"",D771,IFERROR(VLOOKUP(MID(AS771,4,1),Lists!$E$2:$F$8,2,FALSE),""))</f>
        <v/>
      </c>
      <c r="BC771" s="31">
        <f>IFERROR(VLOOKUP(BB771,Lists!$A$2:$C$12,3,FALSE),"")</f>
        <v/>
      </c>
      <c r="BD771" s="31">
        <f>COUNTIF(W771:AC771,"Yes")</f>
        <v/>
      </c>
      <c r="BE771" s="31">
        <f>IF(TRIM(B771)="","Legal name missing; ","")&amp;IF(AND(AV771&lt;&gt;"",AV771&lt;&gt;"OK"),"GSTIN: "&amp;AV771&amp;"; ","")&amp;IF(AND(AW771&lt;&gt;"",AW771&lt;&gt;"OK"),"PAN wrong format; ","")&amp;IF(AND(BA771&lt;&gt;"",LEN(AZ771)=15,MID(AZ771,3,10)&lt;&gt;BA771),"PAN does not match GSTIN; ","")&amp;IF(AND(AX771&lt;&gt;"",AX771&lt;&gt;"OK"),"TAN wrong format; ","")&amp;IF(AS771="","PAN missing; ","")&amp;IF(BB771="","Entity type missing; ","")&amp;IF(AND(AZ771&lt;&gt;"",COUNTIF($AZ$6:$AZ$1005,AZ771)&gt;1),"GSTIN repeated in this sheet; ","")&amp;IF(AND(AS771&lt;&gt;"",COUNTIF($AS$6:$AS$1005,AS771)&gt;1),"PAN repeated in this sheet (same client? put extra GSTINs in Other GSTINs); ","")&amp;IF(AND(BD771&gt;0,V771=""),"Financial year missing; ","")&amp;IF(AND(BD771=0,V771&lt;&gt;""),"Financial year given but no service is Yes; ","")&amp;IF(AND(W771="Yes",AZ771=""),"GST needs a GSTIN; ","")&amp;IF(AND(W771="Yes",X771=""),"GST return frequency missing; ","")&amp;IF(AND(Y771="Yes",TRIM(H771)=""),"TDS needs a TAN; ","")&amp;IF(AND(AA771="Yes",BC771&lt;&gt;"",BC771&lt;&gt;"company",BC771&lt;&gt;"llp"),"ROC is only for a company / LLP; ","")&amp;IF(AND(AA771="Yes",OR(BC771="company",BC771="llp"),TRIM(I771)=""),"ROC needs the CIN / LLPIN; ","")&amp;IF((TRIM(AF771)="")&lt;&gt;(TRIM(AG771)=""),"GST login needs both user ID and password; ","")&amp;IF((TRIM(AH771)="")&lt;&gt;(TRIM(AI771)=""),"Income-tax login needs both user ID and password; ","")&amp;IF((TRIM(AJ771)="")&lt;&gt;(TRIM(AK771)=""),"Income-tax login needs both user ID and password; ","")&amp;IF((TRIM(AL771)="")&lt;&gt;(TRIM(AM771)=""),"TRACES login needs both user ID and password; ","")&amp;IF((TRIM(AN771)="")&lt;&gt;(TRIM(AO771)=""),"MCA login needs both user ID and password; ","")&amp;IF((TRIM(AP771)="")&lt;&gt;(TRIM(AQ771)=""),"E-way bill login needs both user ID and password; ","")</f>
        <v/>
      </c>
    </row>
    <row r="772">
      <c r="A772" s="32" t="n"/>
      <c r="B772" s="33" t="n"/>
      <c r="C772" s="33" t="n"/>
      <c r="D772" s="33" t="n"/>
      <c r="E772" s="32" t="n"/>
      <c r="F772" s="32" t="n"/>
      <c r="G772" s="32" t="n"/>
      <c r="H772" s="32" t="n"/>
      <c r="I772" s="32" t="n"/>
      <c r="J772" s="34" t="n"/>
      <c r="K772" s="33" t="n"/>
      <c r="L772" s="32" t="n"/>
      <c r="M772" s="33" t="n"/>
      <c r="N772" s="33" t="n"/>
      <c r="O772" s="33" t="n"/>
      <c r="P772" s="32" t="n"/>
      <c r="Q772" s="33" t="n"/>
      <c r="R772" s="33" t="n"/>
      <c r="S772" s="33" t="n"/>
      <c r="T772" s="33" t="n"/>
      <c r="U772" s="32" t="n"/>
      <c r="V772" s="33" t="n"/>
      <c r="W772" s="33" t="n"/>
      <c r="X772" s="33" t="n"/>
      <c r="Y772" s="33" t="n"/>
      <c r="Z772" s="33" t="n"/>
      <c r="AA772" s="33" t="n"/>
      <c r="AB772" s="33" t="n"/>
      <c r="AC772" s="33" t="n"/>
      <c r="AD772" s="33" t="n"/>
      <c r="AE772" s="33" t="n"/>
      <c r="AF772" s="32" t="n"/>
      <c r="AG772" s="32" t="n"/>
      <c r="AH772" s="32" t="n"/>
      <c r="AI772" s="32" t="n"/>
      <c r="AJ772" s="32" t="n"/>
      <c r="AK772" s="32" t="n"/>
      <c r="AL772" s="32" t="n"/>
      <c r="AM772" s="32" t="n"/>
      <c r="AN772" s="32" t="n"/>
      <c r="AO772" s="32" t="n"/>
      <c r="AP772" s="32" t="n"/>
      <c r="AQ772" s="32" t="n"/>
      <c r="AR772" s="29">
        <f>IF(NOT(COUNTA(A772:AE772)&gt;0),"",IF(A772="","New client","Update"))</f>
        <v/>
      </c>
      <c r="AS772" s="29">
        <f>IF(BA772&lt;&gt;"",BA772,IF(LEN(AZ772)=15,MID(AZ772,3,10),""))</f>
        <v/>
      </c>
      <c r="AT772" s="29">
        <f>IF(BB772="","",BB772&amp;IF(D772="","  (guessed from PAN)",""))</f>
        <v/>
      </c>
      <c r="AU772" s="29">
        <f>IF(AZ772="","",IFERROR(INDEX(Lists!$L$2:$L$38,MATCH(LEFT(AZ772,2),Lists!$K$2:$K$38,0)),"Unknown code"))</f>
        <v/>
      </c>
      <c r="AV772" s="29">
        <f>IF(AZ772="","",IFERROR(IF(NOT(AND(LEN(AZ772)=15,ISNUMBER(MATCH(LEFT(AZ772,2),Lists!$K$2:$K$38,0)),SUMPRODUCT(--ISERROR(FIND(MID(MID(AZ772,3,10),{1,2,3,4,5,10},1),"ABCDEFGHIJKLMNOPQRSTUVWXYZ")))=0,SUMPRODUCT(--ISERROR(FIND(MID(MID(AZ772,3,10),{6,7,8,9},1),"0123456789")))=0,ISNUMBER(FIND(MID(AZ772,13,1),"123456789ABCDEFGHIJKLMNOPQRSTUVWXYZ")),MID(AZ772,14,1)="Z")),"Wrong format",IF(MID("0123456789ABCDEFGHIJKLMNOPQRSTUVWXYZ",MOD(36-MOD(SUMPRODUCT(INT((FIND(MID(AZ772,{1,2,3,4,5,6,7,8,9,10,11,12,13,14},1),"0123456789ABCDEFGHIJKLMNOPQRSTUVWXYZ")-1)*{1,2,1,2,1,2,1,2,1,2,1,2,1,2}/36)+MOD((FIND(MID(AZ772,{1,2,3,4,5,6,7,8,9,10,11,12,13,14},1),"0123456789ABCDEFGHIJKLMNOPQRSTUVWXYZ")-1)*{1,2,1,2,1,2,1,2,1,2,1,2,1,2},36)),36),36)+1,1)=MID(AZ772,15,1),"OK","Typo? check digit wrong")),"Wrong format"))</f>
        <v/>
      </c>
      <c r="AW772" s="29">
        <f>IF(BA772="","",IF(AND(LEN(BA772)=10,SUMPRODUCT(--ISERROR(FIND(MID(BA772,{1,2,3,4,5,10},1),"ABCDEFGHIJKLMNOPQRSTUVWXYZ")))=0,SUMPRODUCT(--ISERROR(FIND(MID(BA772,{6,7,8,9},1),"0123456789")))=0),"OK","Wrong format"))</f>
        <v/>
      </c>
      <c r="AX772" s="29">
        <f>IF(TRIM(H772)="","",IF(AND(LEN(UPPER(TRIM(H772)))=10,SUMPRODUCT(--ISERROR(FIND(MID(UPPER(TRIM(H772)),{1,2,3,4,10},1),"ABCDEFGHIJKLMNOPQRSTUVWXYZ")))=0,SUMPRODUCT(--ISERROR(FIND(MID(UPPER(TRIM(H772)),{5,6,7,8,9},1),"0123456789")))=0),"OK","Wrong format"))</f>
        <v/>
      </c>
      <c r="AY772" s="30">
        <f>IF(NOT(COUNTA(A772:AE772)&gt;0),"",IF(BE772&lt;&gt;"","✖ "&amp;LEFT(BE772,LEN(BE772)-2),IF(BD772&gt;0,"✔ Ready — client + "&amp;BD772&amp;" service(s)","✔ Ready — client only")))</f>
        <v/>
      </c>
      <c r="AZ772" s="31">
        <f>UPPER(SUBSTITUTE(TRIM(F772)," ",""))</f>
        <v/>
      </c>
      <c r="BA772" s="31">
        <f>UPPER(SUBSTITUTE(TRIM(E772)," ",""))</f>
        <v/>
      </c>
      <c r="BB772" s="31">
        <f>IF(D772&lt;&gt;"",D772,IFERROR(VLOOKUP(MID(AS772,4,1),Lists!$E$2:$F$8,2,FALSE),""))</f>
        <v/>
      </c>
      <c r="BC772" s="31">
        <f>IFERROR(VLOOKUP(BB772,Lists!$A$2:$C$12,3,FALSE),"")</f>
        <v/>
      </c>
      <c r="BD772" s="31">
        <f>COUNTIF(W772:AC772,"Yes")</f>
        <v/>
      </c>
      <c r="BE772" s="31">
        <f>IF(TRIM(B772)="","Legal name missing; ","")&amp;IF(AND(AV772&lt;&gt;"",AV772&lt;&gt;"OK"),"GSTIN: "&amp;AV772&amp;"; ","")&amp;IF(AND(AW772&lt;&gt;"",AW772&lt;&gt;"OK"),"PAN wrong format; ","")&amp;IF(AND(BA772&lt;&gt;"",LEN(AZ772)=15,MID(AZ772,3,10)&lt;&gt;BA772),"PAN does not match GSTIN; ","")&amp;IF(AND(AX772&lt;&gt;"",AX772&lt;&gt;"OK"),"TAN wrong format; ","")&amp;IF(AS772="","PAN missing; ","")&amp;IF(BB772="","Entity type missing; ","")&amp;IF(AND(AZ772&lt;&gt;"",COUNTIF($AZ$6:$AZ$1005,AZ772)&gt;1),"GSTIN repeated in this sheet; ","")&amp;IF(AND(AS772&lt;&gt;"",COUNTIF($AS$6:$AS$1005,AS772)&gt;1),"PAN repeated in this sheet (same client? put extra GSTINs in Other GSTINs); ","")&amp;IF(AND(BD772&gt;0,V772=""),"Financial year missing; ","")&amp;IF(AND(BD772=0,V772&lt;&gt;""),"Financial year given but no service is Yes; ","")&amp;IF(AND(W772="Yes",AZ772=""),"GST needs a GSTIN; ","")&amp;IF(AND(W772="Yes",X772=""),"GST return frequency missing; ","")&amp;IF(AND(Y772="Yes",TRIM(H772)=""),"TDS needs a TAN; ","")&amp;IF(AND(AA772="Yes",BC772&lt;&gt;"",BC772&lt;&gt;"company",BC772&lt;&gt;"llp"),"ROC is only for a company / LLP; ","")&amp;IF(AND(AA772="Yes",OR(BC772="company",BC772="llp"),TRIM(I772)=""),"ROC needs the CIN / LLPIN; ","")&amp;IF((TRIM(AF772)="")&lt;&gt;(TRIM(AG772)=""),"GST login needs both user ID and password; ","")&amp;IF((TRIM(AH772)="")&lt;&gt;(TRIM(AI772)=""),"Income-tax login needs both user ID and password; ","")&amp;IF((TRIM(AJ772)="")&lt;&gt;(TRIM(AK772)=""),"Income-tax login needs both user ID and password; ","")&amp;IF((TRIM(AL772)="")&lt;&gt;(TRIM(AM772)=""),"TRACES login needs both user ID and password; ","")&amp;IF((TRIM(AN772)="")&lt;&gt;(TRIM(AO772)=""),"MCA login needs both user ID and password; ","")&amp;IF((TRIM(AP772)="")&lt;&gt;(TRIM(AQ772)=""),"E-way bill login needs both user ID and password; ","")</f>
        <v/>
      </c>
    </row>
    <row r="773">
      <c r="A773" s="32" t="n"/>
      <c r="B773" s="33" t="n"/>
      <c r="C773" s="33" t="n"/>
      <c r="D773" s="33" t="n"/>
      <c r="E773" s="32" t="n"/>
      <c r="F773" s="32" t="n"/>
      <c r="G773" s="32" t="n"/>
      <c r="H773" s="32" t="n"/>
      <c r="I773" s="32" t="n"/>
      <c r="J773" s="34" t="n"/>
      <c r="K773" s="33" t="n"/>
      <c r="L773" s="32" t="n"/>
      <c r="M773" s="33" t="n"/>
      <c r="N773" s="33" t="n"/>
      <c r="O773" s="33" t="n"/>
      <c r="P773" s="32" t="n"/>
      <c r="Q773" s="33" t="n"/>
      <c r="R773" s="33" t="n"/>
      <c r="S773" s="33" t="n"/>
      <c r="T773" s="33" t="n"/>
      <c r="U773" s="32" t="n"/>
      <c r="V773" s="33" t="n"/>
      <c r="W773" s="33" t="n"/>
      <c r="X773" s="33" t="n"/>
      <c r="Y773" s="33" t="n"/>
      <c r="Z773" s="33" t="n"/>
      <c r="AA773" s="33" t="n"/>
      <c r="AB773" s="33" t="n"/>
      <c r="AC773" s="33" t="n"/>
      <c r="AD773" s="33" t="n"/>
      <c r="AE773" s="33" t="n"/>
      <c r="AF773" s="32" t="n"/>
      <c r="AG773" s="32" t="n"/>
      <c r="AH773" s="32" t="n"/>
      <c r="AI773" s="32" t="n"/>
      <c r="AJ773" s="32" t="n"/>
      <c r="AK773" s="32" t="n"/>
      <c r="AL773" s="32" t="n"/>
      <c r="AM773" s="32" t="n"/>
      <c r="AN773" s="32" t="n"/>
      <c r="AO773" s="32" t="n"/>
      <c r="AP773" s="32" t="n"/>
      <c r="AQ773" s="32" t="n"/>
      <c r="AR773" s="29">
        <f>IF(NOT(COUNTA(A773:AE773)&gt;0),"",IF(A773="","New client","Update"))</f>
        <v/>
      </c>
      <c r="AS773" s="29">
        <f>IF(BA773&lt;&gt;"",BA773,IF(LEN(AZ773)=15,MID(AZ773,3,10),""))</f>
        <v/>
      </c>
      <c r="AT773" s="29">
        <f>IF(BB773="","",BB773&amp;IF(D773="","  (guessed from PAN)",""))</f>
        <v/>
      </c>
      <c r="AU773" s="29">
        <f>IF(AZ773="","",IFERROR(INDEX(Lists!$L$2:$L$38,MATCH(LEFT(AZ773,2),Lists!$K$2:$K$38,0)),"Unknown code"))</f>
        <v/>
      </c>
      <c r="AV773" s="29">
        <f>IF(AZ773="","",IFERROR(IF(NOT(AND(LEN(AZ773)=15,ISNUMBER(MATCH(LEFT(AZ773,2),Lists!$K$2:$K$38,0)),SUMPRODUCT(--ISERROR(FIND(MID(MID(AZ773,3,10),{1,2,3,4,5,10},1),"ABCDEFGHIJKLMNOPQRSTUVWXYZ")))=0,SUMPRODUCT(--ISERROR(FIND(MID(MID(AZ773,3,10),{6,7,8,9},1),"0123456789")))=0,ISNUMBER(FIND(MID(AZ773,13,1),"123456789ABCDEFGHIJKLMNOPQRSTUVWXYZ")),MID(AZ773,14,1)="Z")),"Wrong format",IF(MID("0123456789ABCDEFGHIJKLMNOPQRSTUVWXYZ",MOD(36-MOD(SUMPRODUCT(INT((FIND(MID(AZ773,{1,2,3,4,5,6,7,8,9,10,11,12,13,14},1),"0123456789ABCDEFGHIJKLMNOPQRSTUVWXYZ")-1)*{1,2,1,2,1,2,1,2,1,2,1,2,1,2}/36)+MOD((FIND(MID(AZ773,{1,2,3,4,5,6,7,8,9,10,11,12,13,14},1),"0123456789ABCDEFGHIJKLMNOPQRSTUVWXYZ")-1)*{1,2,1,2,1,2,1,2,1,2,1,2,1,2},36)),36),36)+1,1)=MID(AZ773,15,1),"OK","Typo? check digit wrong")),"Wrong format"))</f>
        <v/>
      </c>
      <c r="AW773" s="29">
        <f>IF(BA773="","",IF(AND(LEN(BA773)=10,SUMPRODUCT(--ISERROR(FIND(MID(BA773,{1,2,3,4,5,10},1),"ABCDEFGHIJKLMNOPQRSTUVWXYZ")))=0,SUMPRODUCT(--ISERROR(FIND(MID(BA773,{6,7,8,9},1),"0123456789")))=0),"OK","Wrong format"))</f>
        <v/>
      </c>
      <c r="AX773" s="29">
        <f>IF(TRIM(H773)="","",IF(AND(LEN(UPPER(TRIM(H773)))=10,SUMPRODUCT(--ISERROR(FIND(MID(UPPER(TRIM(H773)),{1,2,3,4,10},1),"ABCDEFGHIJKLMNOPQRSTUVWXYZ")))=0,SUMPRODUCT(--ISERROR(FIND(MID(UPPER(TRIM(H773)),{5,6,7,8,9},1),"0123456789")))=0),"OK","Wrong format"))</f>
        <v/>
      </c>
      <c r="AY773" s="30">
        <f>IF(NOT(COUNTA(A773:AE773)&gt;0),"",IF(BE773&lt;&gt;"","✖ "&amp;LEFT(BE773,LEN(BE773)-2),IF(BD773&gt;0,"✔ Ready — client + "&amp;BD773&amp;" service(s)","✔ Ready — client only")))</f>
        <v/>
      </c>
      <c r="AZ773" s="31">
        <f>UPPER(SUBSTITUTE(TRIM(F773)," ",""))</f>
        <v/>
      </c>
      <c r="BA773" s="31">
        <f>UPPER(SUBSTITUTE(TRIM(E773)," ",""))</f>
        <v/>
      </c>
      <c r="BB773" s="31">
        <f>IF(D773&lt;&gt;"",D773,IFERROR(VLOOKUP(MID(AS773,4,1),Lists!$E$2:$F$8,2,FALSE),""))</f>
        <v/>
      </c>
      <c r="BC773" s="31">
        <f>IFERROR(VLOOKUP(BB773,Lists!$A$2:$C$12,3,FALSE),"")</f>
        <v/>
      </c>
      <c r="BD773" s="31">
        <f>COUNTIF(W773:AC773,"Yes")</f>
        <v/>
      </c>
      <c r="BE773" s="31">
        <f>IF(TRIM(B773)="","Legal name missing; ","")&amp;IF(AND(AV773&lt;&gt;"",AV773&lt;&gt;"OK"),"GSTIN: "&amp;AV773&amp;"; ","")&amp;IF(AND(AW773&lt;&gt;"",AW773&lt;&gt;"OK"),"PAN wrong format; ","")&amp;IF(AND(BA773&lt;&gt;"",LEN(AZ773)=15,MID(AZ773,3,10)&lt;&gt;BA773),"PAN does not match GSTIN; ","")&amp;IF(AND(AX773&lt;&gt;"",AX773&lt;&gt;"OK"),"TAN wrong format; ","")&amp;IF(AS773="","PAN missing; ","")&amp;IF(BB773="","Entity type missing; ","")&amp;IF(AND(AZ773&lt;&gt;"",COUNTIF($AZ$6:$AZ$1005,AZ773)&gt;1),"GSTIN repeated in this sheet; ","")&amp;IF(AND(AS773&lt;&gt;"",COUNTIF($AS$6:$AS$1005,AS773)&gt;1),"PAN repeated in this sheet (same client? put extra GSTINs in Other GSTINs); ","")&amp;IF(AND(BD773&gt;0,V773=""),"Financial year missing; ","")&amp;IF(AND(BD773=0,V773&lt;&gt;""),"Financial year given but no service is Yes; ","")&amp;IF(AND(W773="Yes",AZ773=""),"GST needs a GSTIN; ","")&amp;IF(AND(W773="Yes",X773=""),"GST return frequency missing; ","")&amp;IF(AND(Y773="Yes",TRIM(H773)=""),"TDS needs a TAN; ","")&amp;IF(AND(AA773="Yes",BC773&lt;&gt;"",BC773&lt;&gt;"company",BC773&lt;&gt;"llp"),"ROC is only for a company / LLP; ","")&amp;IF(AND(AA773="Yes",OR(BC773="company",BC773="llp"),TRIM(I773)=""),"ROC needs the CIN / LLPIN; ","")&amp;IF((TRIM(AF773)="")&lt;&gt;(TRIM(AG773)=""),"GST login needs both user ID and password; ","")&amp;IF((TRIM(AH773)="")&lt;&gt;(TRIM(AI773)=""),"Income-tax login needs both user ID and password; ","")&amp;IF((TRIM(AJ773)="")&lt;&gt;(TRIM(AK773)=""),"Income-tax login needs both user ID and password; ","")&amp;IF((TRIM(AL773)="")&lt;&gt;(TRIM(AM773)=""),"TRACES login needs both user ID and password; ","")&amp;IF((TRIM(AN773)="")&lt;&gt;(TRIM(AO773)=""),"MCA login needs both user ID and password; ","")&amp;IF((TRIM(AP773)="")&lt;&gt;(TRIM(AQ773)=""),"E-way bill login needs both user ID and password; ","")</f>
        <v/>
      </c>
    </row>
    <row r="774">
      <c r="A774" s="32" t="n"/>
      <c r="B774" s="33" t="n"/>
      <c r="C774" s="33" t="n"/>
      <c r="D774" s="33" t="n"/>
      <c r="E774" s="32" t="n"/>
      <c r="F774" s="32" t="n"/>
      <c r="G774" s="32" t="n"/>
      <c r="H774" s="32" t="n"/>
      <c r="I774" s="32" t="n"/>
      <c r="J774" s="34" t="n"/>
      <c r="K774" s="33" t="n"/>
      <c r="L774" s="32" t="n"/>
      <c r="M774" s="33" t="n"/>
      <c r="N774" s="33" t="n"/>
      <c r="O774" s="33" t="n"/>
      <c r="P774" s="32" t="n"/>
      <c r="Q774" s="33" t="n"/>
      <c r="R774" s="33" t="n"/>
      <c r="S774" s="33" t="n"/>
      <c r="T774" s="33" t="n"/>
      <c r="U774" s="32" t="n"/>
      <c r="V774" s="33" t="n"/>
      <c r="W774" s="33" t="n"/>
      <c r="X774" s="33" t="n"/>
      <c r="Y774" s="33" t="n"/>
      <c r="Z774" s="33" t="n"/>
      <c r="AA774" s="33" t="n"/>
      <c r="AB774" s="33" t="n"/>
      <c r="AC774" s="33" t="n"/>
      <c r="AD774" s="33" t="n"/>
      <c r="AE774" s="33" t="n"/>
      <c r="AF774" s="32" t="n"/>
      <c r="AG774" s="32" t="n"/>
      <c r="AH774" s="32" t="n"/>
      <c r="AI774" s="32" t="n"/>
      <c r="AJ774" s="32" t="n"/>
      <c r="AK774" s="32" t="n"/>
      <c r="AL774" s="32" t="n"/>
      <c r="AM774" s="32" t="n"/>
      <c r="AN774" s="32" t="n"/>
      <c r="AO774" s="32" t="n"/>
      <c r="AP774" s="32" t="n"/>
      <c r="AQ774" s="32" t="n"/>
      <c r="AR774" s="29">
        <f>IF(NOT(COUNTA(A774:AE774)&gt;0),"",IF(A774="","New client","Update"))</f>
        <v/>
      </c>
      <c r="AS774" s="29">
        <f>IF(BA774&lt;&gt;"",BA774,IF(LEN(AZ774)=15,MID(AZ774,3,10),""))</f>
        <v/>
      </c>
      <c r="AT774" s="29">
        <f>IF(BB774="","",BB774&amp;IF(D774="","  (guessed from PAN)",""))</f>
        <v/>
      </c>
      <c r="AU774" s="29">
        <f>IF(AZ774="","",IFERROR(INDEX(Lists!$L$2:$L$38,MATCH(LEFT(AZ774,2),Lists!$K$2:$K$38,0)),"Unknown code"))</f>
        <v/>
      </c>
      <c r="AV774" s="29">
        <f>IF(AZ774="","",IFERROR(IF(NOT(AND(LEN(AZ774)=15,ISNUMBER(MATCH(LEFT(AZ774,2),Lists!$K$2:$K$38,0)),SUMPRODUCT(--ISERROR(FIND(MID(MID(AZ774,3,10),{1,2,3,4,5,10},1),"ABCDEFGHIJKLMNOPQRSTUVWXYZ")))=0,SUMPRODUCT(--ISERROR(FIND(MID(MID(AZ774,3,10),{6,7,8,9},1),"0123456789")))=0,ISNUMBER(FIND(MID(AZ774,13,1),"123456789ABCDEFGHIJKLMNOPQRSTUVWXYZ")),MID(AZ774,14,1)="Z")),"Wrong format",IF(MID("0123456789ABCDEFGHIJKLMNOPQRSTUVWXYZ",MOD(36-MOD(SUMPRODUCT(INT((FIND(MID(AZ774,{1,2,3,4,5,6,7,8,9,10,11,12,13,14},1),"0123456789ABCDEFGHIJKLMNOPQRSTUVWXYZ")-1)*{1,2,1,2,1,2,1,2,1,2,1,2,1,2}/36)+MOD((FIND(MID(AZ774,{1,2,3,4,5,6,7,8,9,10,11,12,13,14},1),"0123456789ABCDEFGHIJKLMNOPQRSTUVWXYZ")-1)*{1,2,1,2,1,2,1,2,1,2,1,2,1,2},36)),36),36)+1,1)=MID(AZ774,15,1),"OK","Typo? check digit wrong")),"Wrong format"))</f>
        <v/>
      </c>
      <c r="AW774" s="29">
        <f>IF(BA774="","",IF(AND(LEN(BA774)=10,SUMPRODUCT(--ISERROR(FIND(MID(BA774,{1,2,3,4,5,10},1),"ABCDEFGHIJKLMNOPQRSTUVWXYZ")))=0,SUMPRODUCT(--ISERROR(FIND(MID(BA774,{6,7,8,9},1),"0123456789")))=0),"OK","Wrong format"))</f>
        <v/>
      </c>
      <c r="AX774" s="29">
        <f>IF(TRIM(H774)="","",IF(AND(LEN(UPPER(TRIM(H774)))=10,SUMPRODUCT(--ISERROR(FIND(MID(UPPER(TRIM(H774)),{1,2,3,4,10},1),"ABCDEFGHIJKLMNOPQRSTUVWXYZ")))=0,SUMPRODUCT(--ISERROR(FIND(MID(UPPER(TRIM(H774)),{5,6,7,8,9},1),"0123456789")))=0),"OK","Wrong format"))</f>
        <v/>
      </c>
      <c r="AY774" s="30">
        <f>IF(NOT(COUNTA(A774:AE774)&gt;0),"",IF(BE774&lt;&gt;"","✖ "&amp;LEFT(BE774,LEN(BE774)-2),IF(BD774&gt;0,"✔ Ready — client + "&amp;BD774&amp;" service(s)","✔ Ready — client only")))</f>
        <v/>
      </c>
      <c r="AZ774" s="31">
        <f>UPPER(SUBSTITUTE(TRIM(F774)," ",""))</f>
        <v/>
      </c>
      <c r="BA774" s="31">
        <f>UPPER(SUBSTITUTE(TRIM(E774)," ",""))</f>
        <v/>
      </c>
      <c r="BB774" s="31">
        <f>IF(D774&lt;&gt;"",D774,IFERROR(VLOOKUP(MID(AS774,4,1),Lists!$E$2:$F$8,2,FALSE),""))</f>
        <v/>
      </c>
      <c r="BC774" s="31">
        <f>IFERROR(VLOOKUP(BB774,Lists!$A$2:$C$12,3,FALSE),"")</f>
        <v/>
      </c>
      <c r="BD774" s="31">
        <f>COUNTIF(W774:AC774,"Yes")</f>
        <v/>
      </c>
      <c r="BE774" s="31">
        <f>IF(TRIM(B774)="","Legal name missing; ","")&amp;IF(AND(AV774&lt;&gt;"",AV774&lt;&gt;"OK"),"GSTIN: "&amp;AV774&amp;"; ","")&amp;IF(AND(AW774&lt;&gt;"",AW774&lt;&gt;"OK"),"PAN wrong format; ","")&amp;IF(AND(BA774&lt;&gt;"",LEN(AZ774)=15,MID(AZ774,3,10)&lt;&gt;BA774),"PAN does not match GSTIN; ","")&amp;IF(AND(AX774&lt;&gt;"",AX774&lt;&gt;"OK"),"TAN wrong format; ","")&amp;IF(AS774="","PAN missing; ","")&amp;IF(BB774="","Entity type missing; ","")&amp;IF(AND(AZ774&lt;&gt;"",COUNTIF($AZ$6:$AZ$1005,AZ774)&gt;1),"GSTIN repeated in this sheet; ","")&amp;IF(AND(AS774&lt;&gt;"",COUNTIF($AS$6:$AS$1005,AS774)&gt;1),"PAN repeated in this sheet (same client? put extra GSTINs in Other GSTINs); ","")&amp;IF(AND(BD774&gt;0,V774=""),"Financial year missing; ","")&amp;IF(AND(BD774=0,V774&lt;&gt;""),"Financial year given but no service is Yes; ","")&amp;IF(AND(W774="Yes",AZ774=""),"GST needs a GSTIN; ","")&amp;IF(AND(W774="Yes",X774=""),"GST return frequency missing; ","")&amp;IF(AND(Y774="Yes",TRIM(H774)=""),"TDS needs a TAN; ","")&amp;IF(AND(AA774="Yes",BC774&lt;&gt;"",BC774&lt;&gt;"company",BC774&lt;&gt;"llp"),"ROC is only for a company / LLP; ","")&amp;IF(AND(AA774="Yes",OR(BC774="company",BC774="llp"),TRIM(I774)=""),"ROC needs the CIN / LLPIN; ","")&amp;IF((TRIM(AF774)="")&lt;&gt;(TRIM(AG774)=""),"GST login needs both user ID and password; ","")&amp;IF((TRIM(AH774)="")&lt;&gt;(TRIM(AI774)=""),"Income-tax login needs both user ID and password; ","")&amp;IF((TRIM(AJ774)="")&lt;&gt;(TRIM(AK774)=""),"Income-tax login needs both user ID and password; ","")&amp;IF((TRIM(AL774)="")&lt;&gt;(TRIM(AM774)=""),"TRACES login needs both user ID and password; ","")&amp;IF((TRIM(AN774)="")&lt;&gt;(TRIM(AO774)=""),"MCA login needs both user ID and password; ","")&amp;IF((TRIM(AP774)="")&lt;&gt;(TRIM(AQ774)=""),"E-way bill login needs both user ID and password; ","")</f>
        <v/>
      </c>
    </row>
    <row r="775">
      <c r="A775" s="32" t="n"/>
      <c r="B775" s="33" t="n"/>
      <c r="C775" s="33" t="n"/>
      <c r="D775" s="33" t="n"/>
      <c r="E775" s="32" t="n"/>
      <c r="F775" s="32" t="n"/>
      <c r="G775" s="32" t="n"/>
      <c r="H775" s="32" t="n"/>
      <c r="I775" s="32" t="n"/>
      <c r="J775" s="34" t="n"/>
      <c r="K775" s="33" t="n"/>
      <c r="L775" s="32" t="n"/>
      <c r="M775" s="33" t="n"/>
      <c r="N775" s="33" t="n"/>
      <c r="O775" s="33" t="n"/>
      <c r="P775" s="32" t="n"/>
      <c r="Q775" s="33" t="n"/>
      <c r="R775" s="33" t="n"/>
      <c r="S775" s="33" t="n"/>
      <c r="T775" s="33" t="n"/>
      <c r="U775" s="32" t="n"/>
      <c r="V775" s="33" t="n"/>
      <c r="W775" s="33" t="n"/>
      <c r="X775" s="33" t="n"/>
      <c r="Y775" s="33" t="n"/>
      <c r="Z775" s="33" t="n"/>
      <c r="AA775" s="33" t="n"/>
      <c r="AB775" s="33" t="n"/>
      <c r="AC775" s="33" t="n"/>
      <c r="AD775" s="33" t="n"/>
      <c r="AE775" s="33" t="n"/>
      <c r="AF775" s="32" t="n"/>
      <c r="AG775" s="32" t="n"/>
      <c r="AH775" s="32" t="n"/>
      <c r="AI775" s="32" t="n"/>
      <c r="AJ775" s="32" t="n"/>
      <c r="AK775" s="32" t="n"/>
      <c r="AL775" s="32" t="n"/>
      <c r="AM775" s="32" t="n"/>
      <c r="AN775" s="32" t="n"/>
      <c r="AO775" s="32" t="n"/>
      <c r="AP775" s="32" t="n"/>
      <c r="AQ775" s="32" t="n"/>
      <c r="AR775" s="29">
        <f>IF(NOT(COUNTA(A775:AE775)&gt;0),"",IF(A775="","New client","Update"))</f>
        <v/>
      </c>
      <c r="AS775" s="29">
        <f>IF(BA775&lt;&gt;"",BA775,IF(LEN(AZ775)=15,MID(AZ775,3,10),""))</f>
        <v/>
      </c>
      <c r="AT775" s="29">
        <f>IF(BB775="","",BB775&amp;IF(D775="","  (guessed from PAN)",""))</f>
        <v/>
      </c>
      <c r="AU775" s="29">
        <f>IF(AZ775="","",IFERROR(INDEX(Lists!$L$2:$L$38,MATCH(LEFT(AZ775,2),Lists!$K$2:$K$38,0)),"Unknown code"))</f>
        <v/>
      </c>
      <c r="AV775" s="29">
        <f>IF(AZ775="","",IFERROR(IF(NOT(AND(LEN(AZ775)=15,ISNUMBER(MATCH(LEFT(AZ775,2),Lists!$K$2:$K$38,0)),SUMPRODUCT(--ISERROR(FIND(MID(MID(AZ775,3,10),{1,2,3,4,5,10},1),"ABCDEFGHIJKLMNOPQRSTUVWXYZ")))=0,SUMPRODUCT(--ISERROR(FIND(MID(MID(AZ775,3,10),{6,7,8,9},1),"0123456789")))=0,ISNUMBER(FIND(MID(AZ775,13,1),"123456789ABCDEFGHIJKLMNOPQRSTUVWXYZ")),MID(AZ775,14,1)="Z")),"Wrong format",IF(MID("0123456789ABCDEFGHIJKLMNOPQRSTUVWXYZ",MOD(36-MOD(SUMPRODUCT(INT((FIND(MID(AZ775,{1,2,3,4,5,6,7,8,9,10,11,12,13,14},1),"0123456789ABCDEFGHIJKLMNOPQRSTUVWXYZ")-1)*{1,2,1,2,1,2,1,2,1,2,1,2,1,2}/36)+MOD((FIND(MID(AZ775,{1,2,3,4,5,6,7,8,9,10,11,12,13,14},1),"0123456789ABCDEFGHIJKLMNOPQRSTUVWXYZ")-1)*{1,2,1,2,1,2,1,2,1,2,1,2,1,2},36)),36),36)+1,1)=MID(AZ775,15,1),"OK","Typo? check digit wrong")),"Wrong format"))</f>
        <v/>
      </c>
      <c r="AW775" s="29">
        <f>IF(BA775="","",IF(AND(LEN(BA775)=10,SUMPRODUCT(--ISERROR(FIND(MID(BA775,{1,2,3,4,5,10},1),"ABCDEFGHIJKLMNOPQRSTUVWXYZ")))=0,SUMPRODUCT(--ISERROR(FIND(MID(BA775,{6,7,8,9},1),"0123456789")))=0),"OK","Wrong format"))</f>
        <v/>
      </c>
      <c r="AX775" s="29">
        <f>IF(TRIM(H775)="","",IF(AND(LEN(UPPER(TRIM(H775)))=10,SUMPRODUCT(--ISERROR(FIND(MID(UPPER(TRIM(H775)),{1,2,3,4,10},1),"ABCDEFGHIJKLMNOPQRSTUVWXYZ")))=0,SUMPRODUCT(--ISERROR(FIND(MID(UPPER(TRIM(H775)),{5,6,7,8,9},1),"0123456789")))=0),"OK","Wrong format"))</f>
        <v/>
      </c>
      <c r="AY775" s="30">
        <f>IF(NOT(COUNTA(A775:AE775)&gt;0),"",IF(BE775&lt;&gt;"","✖ "&amp;LEFT(BE775,LEN(BE775)-2),IF(BD775&gt;0,"✔ Ready — client + "&amp;BD775&amp;" service(s)","✔ Ready — client only")))</f>
        <v/>
      </c>
      <c r="AZ775" s="31">
        <f>UPPER(SUBSTITUTE(TRIM(F775)," ",""))</f>
        <v/>
      </c>
      <c r="BA775" s="31">
        <f>UPPER(SUBSTITUTE(TRIM(E775)," ",""))</f>
        <v/>
      </c>
      <c r="BB775" s="31">
        <f>IF(D775&lt;&gt;"",D775,IFERROR(VLOOKUP(MID(AS775,4,1),Lists!$E$2:$F$8,2,FALSE),""))</f>
        <v/>
      </c>
      <c r="BC775" s="31">
        <f>IFERROR(VLOOKUP(BB775,Lists!$A$2:$C$12,3,FALSE),"")</f>
        <v/>
      </c>
      <c r="BD775" s="31">
        <f>COUNTIF(W775:AC775,"Yes")</f>
        <v/>
      </c>
      <c r="BE775" s="31">
        <f>IF(TRIM(B775)="","Legal name missing; ","")&amp;IF(AND(AV775&lt;&gt;"",AV775&lt;&gt;"OK"),"GSTIN: "&amp;AV775&amp;"; ","")&amp;IF(AND(AW775&lt;&gt;"",AW775&lt;&gt;"OK"),"PAN wrong format; ","")&amp;IF(AND(BA775&lt;&gt;"",LEN(AZ775)=15,MID(AZ775,3,10)&lt;&gt;BA775),"PAN does not match GSTIN; ","")&amp;IF(AND(AX775&lt;&gt;"",AX775&lt;&gt;"OK"),"TAN wrong format; ","")&amp;IF(AS775="","PAN missing; ","")&amp;IF(BB775="","Entity type missing; ","")&amp;IF(AND(AZ775&lt;&gt;"",COUNTIF($AZ$6:$AZ$1005,AZ775)&gt;1),"GSTIN repeated in this sheet; ","")&amp;IF(AND(AS775&lt;&gt;"",COUNTIF($AS$6:$AS$1005,AS775)&gt;1),"PAN repeated in this sheet (same client? put extra GSTINs in Other GSTINs); ","")&amp;IF(AND(BD775&gt;0,V775=""),"Financial year missing; ","")&amp;IF(AND(BD775=0,V775&lt;&gt;""),"Financial year given but no service is Yes; ","")&amp;IF(AND(W775="Yes",AZ775=""),"GST needs a GSTIN; ","")&amp;IF(AND(W775="Yes",X775=""),"GST return frequency missing; ","")&amp;IF(AND(Y775="Yes",TRIM(H775)=""),"TDS needs a TAN; ","")&amp;IF(AND(AA775="Yes",BC775&lt;&gt;"",BC775&lt;&gt;"company",BC775&lt;&gt;"llp"),"ROC is only for a company / LLP; ","")&amp;IF(AND(AA775="Yes",OR(BC775="company",BC775="llp"),TRIM(I775)=""),"ROC needs the CIN / LLPIN; ","")&amp;IF((TRIM(AF775)="")&lt;&gt;(TRIM(AG775)=""),"GST login needs both user ID and password; ","")&amp;IF((TRIM(AH775)="")&lt;&gt;(TRIM(AI775)=""),"Income-tax login needs both user ID and password; ","")&amp;IF((TRIM(AJ775)="")&lt;&gt;(TRIM(AK775)=""),"Income-tax login needs both user ID and password; ","")&amp;IF((TRIM(AL775)="")&lt;&gt;(TRIM(AM775)=""),"TRACES login needs both user ID and password; ","")&amp;IF((TRIM(AN775)="")&lt;&gt;(TRIM(AO775)=""),"MCA login needs both user ID and password; ","")&amp;IF((TRIM(AP775)="")&lt;&gt;(TRIM(AQ775)=""),"E-way bill login needs both user ID and password; ","")</f>
        <v/>
      </c>
    </row>
    <row r="776">
      <c r="A776" s="32" t="n"/>
      <c r="B776" s="33" t="n"/>
      <c r="C776" s="33" t="n"/>
      <c r="D776" s="33" t="n"/>
      <c r="E776" s="32" t="n"/>
      <c r="F776" s="32" t="n"/>
      <c r="G776" s="32" t="n"/>
      <c r="H776" s="32" t="n"/>
      <c r="I776" s="32" t="n"/>
      <c r="J776" s="34" t="n"/>
      <c r="K776" s="33" t="n"/>
      <c r="L776" s="32" t="n"/>
      <c r="M776" s="33" t="n"/>
      <c r="N776" s="33" t="n"/>
      <c r="O776" s="33" t="n"/>
      <c r="P776" s="32" t="n"/>
      <c r="Q776" s="33" t="n"/>
      <c r="R776" s="33" t="n"/>
      <c r="S776" s="33" t="n"/>
      <c r="T776" s="33" t="n"/>
      <c r="U776" s="32" t="n"/>
      <c r="V776" s="33" t="n"/>
      <c r="W776" s="33" t="n"/>
      <c r="X776" s="33" t="n"/>
      <c r="Y776" s="33" t="n"/>
      <c r="Z776" s="33" t="n"/>
      <c r="AA776" s="33" t="n"/>
      <c r="AB776" s="33" t="n"/>
      <c r="AC776" s="33" t="n"/>
      <c r="AD776" s="33" t="n"/>
      <c r="AE776" s="33" t="n"/>
      <c r="AF776" s="32" t="n"/>
      <c r="AG776" s="32" t="n"/>
      <c r="AH776" s="32" t="n"/>
      <c r="AI776" s="32" t="n"/>
      <c r="AJ776" s="32" t="n"/>
      <c r="AK776" s="32" t="n"/>
      <c r="AL776" s="32" t="n"/>
      <c r="AM776" s="32" t="n"/>
      <c r="AN776" s="32" t="n"/>
      <c r="AO776" s="32" t="n"/>
      <c r="AP776" s="32" t="n"/>
      <c r="AQ776" s="32" t="n"/>
      <c r="AR776" s="29">
        <f>IF(NOT(COUNTA(A776:AE776)&gt;0),"",IF(A776="","New client","Update"))</f>
        <v/>
      </c>
      <c r="AS776" s="29">
        <f>IF(BA776&lt;&gt;"",BA776,IF(LEN(AZ776)=15,MID(AZ776,3,10),""))</f>
        <v/>
      </c>
      <c r="AT776" s="29">
        <f>IF(BB776="","",BB776&amp;IF(D776="","  (guessed from PAN)",""))</f>
        <v/>
      </c>
      <c r="AU776" s="29">
        <f>IF(AZ776="","",IFERROR(INDEX(Lists!$L$2:$L$38,MATCH(LEFT(AZ776,2),Lists!$K$2:$K$38,0)),"Unknown code"))</f>
        <v/>
      </c>
      <c r="AV776" s="29">
        <f>IF(AZ776="","",IFERROR(IF(NOT(AND(LEN(AZ776)=15,ISNUMBER(MATCH(LEFT(AZ776,2),Lists!$K$2:$K$38,0)),SUMPRODUCT(--ISERROR(FIND(MID(MID(AZ776,3,10),{1,2,3,4,5,10},1),"ABCDEFGHIJKLMNOPQRSTUVWXYZ")))=0,SUMPRODUCT(--ISERROR(FIND(MID(MID(AZ776,3,10),{6,7,8,9},1),"0123456789")))=0,ISNUMBER(FIND(MID(AZ776,13,1),"123456789ABCDEFGHIJKLMNOPQRSTUVWXYZ")),MID(AZ776,14,1)="Z")),"Wrong format",IF(MID("0123456789ABCDEFGHIJKLMNOPQRSTUVWXYZ",MOD(36-MOD(SUMPRODUCT(INT((FIND(MID(AZ776,{1,2,3,4,5,6,7,8,9,10,11,12,13,14},1),"0123456789ABCDEFGHIJKLMNOPQRSTUVWXYZ")-1)*{1,2,1,2,1,2,1,2,1,2,1,2,1,2}/36)+MOD((FIND(MID(AZ776,{1,2,3,4,5,6,7,8,9,10,11,12,13,14},1),"0123456789ABCDEFGHIJKLMNOPQRSTUVWXYZ")-1)*{1,2,1,2,1,2,1,2,1,2,1,2,1,2},36)),36),36)+1,1)=MID(AZ776,15,1),"OK","Typo? check digit wrong")),"Wrong format"))</f>
        <v/>
      </c>
      <c r="AW776" s="29">
        <f>IF(BA776="","",IF(AND(LEN(BA776)=10,SUMPRODUCT(--ISERROR(FIND(MID(BA776,{1,2,3,4,5,10},1),"ABCDEFGHIJKLMNOPQRSTUVWXYZ")))=0,SUMPRODUCT(--ISERROR(FIND(MID(BA776,{6,7,8,9},1),"0123456789")))=0),"OK","Wrong format"))</f>
        <v/>
      </c>
      <c r="AX776" s="29">
        <f>IF(TRIM(H776)="","",IF(AND(LEN(UPPER(TRIM(H776)))=10,SUMPRODUCT(--ISERROR(FIND(MID(UPPER(TRIM(H776)),{1,2,3,4,10},1),"ABCDEFGHIJKLMNOPQRSTUVWXYZ")))=0,SUMPRODUCT(--ISERROR(FIND(MID(UPPER(TRIM(H776)),{5,6,7,8,9},1),"0123456789")))=0),"OK","Wrong format"))</f>
        <v/>
      </c>
      <c r="AY776" s="30">
        <f>IF(NOT(COUNTA(A776:AE776)&gt;0),"",IF(BE776&lt;&gt;"","✖ "&amp;LEFT(BE776,LEN(BE776)-2),IF(BD776&gt;0,"✔ Ready — client + "&amp;BD776&amp;" service(s)","✔ Ready — client only")))</f>
        <v/>
      </c>
      <c r="AZ776" s="31">
        <f>UPPER(SUBSTITUTE(TRIM(F776)," ",""))</f>
        <v/>
      </c>
      <c r="BA776" s="31">
        <f>UPPER(SUBSTITUTE(TRIM(E776)," ",""))</f>
        <v/>
      </c>
      <c r="BB776" s="31">
        <f>IF(D776&lt;&gt;"",D776,IFERROR(VLOOKUP(MID(AS776,4,1),Lists!$E$2:$F$8,2,FALSE),""))</f>
        <v/>
      </c>
      <c r="BC776" s="31">
        <f>IFERROR(VLOOKUP(BB776,Lists!$A$2:$C$12,3,FALSE),"")</f>
        <v/>
      </c>
      <c r="BD776" s="31">
        <f>COUNTIF(W776:AC776,"Yes")</f>
        <v/>
      </c>
      <c r="BE776" s="31">
        <f>IF(TRIM(B776)="","Legal name missing; ","")&amp;IF(AND(AV776&lt;&gt;"",AV776&lt;&gt;"OK"),"GSTIN: "&amp;AV776&amp;"; ","")&amp;IF(AND(AW776&lt;&gt;"",AW776&lt;&gt;"OK"),"PAN wrong format; ","")&amp;IF(AND(BA776&lt;&gt;"",LEN(AZ776)=15,MID(AZ776,3,10)&lt;&gt;BA776),"PAN does not match GSTIN; ","")&amp;IF(AND(AX776&lt;&gt;"",AX776&lt;&gt;"OK"),"TAN wrong format; ","")&amp;IF(AS776="","PAN missing; ","")&amp;IF(BB776="","Entity type missing; ","")&amp;IF(AND(AZ776&lt;&gt;"",COUNTIF($AZ$6:$AZ$1005,AZ776)&gt;1),"GSTIN repeated in this sheet; ","")&amp;IF(AND(AS776&lt;&gt;"",COUNTIF($AS$6:$AS$1005,AS776)&gt;1),"PAN repeated in this sheet (same client? put extra GSTINs in Other GSTINs); ","")&amp;IF(AND(BD776&gt;0,V776=""),"Financial year missing; ","")&amp;IF(AND(BD776=0,V776&lt;&gt;""),"Financial year given but no service is Yes; ","")&amp;IF(AND(W776="Yes",AZ776=""),"GST needs a GSTIN; ","")&amp;IF(AND(W776="Yes",X776=""),"GST return frequency missing; ","")&amp;IF(AND(Y776="Yes",TRIM(H776)=""),"TDS needs a TAN; ","")&amp;IF(AND(AA776="Yes",BC776&lt;&gt;"",BC776&lt;&gt;"company",BC776&lt;&gt;"llp"),"ROC is only for a company / LLP; ","")&amp;IF(AND(AA776="Yes",OR(BC776="company",BC776="llp"),TRIM(I776)=""),"ROC needs the CIN / LLPIN; ","")&amp;IF((TRIM(AF776)="")&lt;&gt;(TRIM(AG776)=""),"GST login needs both user ID and password; ","")&amp;IF((TRIM(AH776)="")&lt;&gt;(TRIM(AI776)=""),"Income-tax login needs both user ID and password; ","")&amp;IF((TRIM(AJ776)="")&lt;&gt;(TRIM(AK776)=""),"Income-tax login needs both user ID and password; ","")&amp;IF((TRIM(AL776)="")&lt;&gt;(TRIM(AM776)=""),"TRACES login needs both user ID and password; ","")&amp;IF((TRIM(AN776)="")&lt;&gt;(TRIM(AO776)=""),"MCA login needs both user ID and password; ","")&amp;IF((TRIM(AP776)="")&lt;&gt;(TRIM(AQ776)=""),"E-way bill login needs both user ID and password; ","")</f>
        <v/>
      </c>
    </row>
    <row r="777">
      <c r="A777" s="32" t="n"/>
      <c r="B777" s="33" t="n"/>
      <c r="C777" s="33" t="n"/>
      <c r="D777" s="33" t="n"/>
      <c r="E777" s="32" t="n"/>
      <c r="F777" s="32" t="n"/>
      <c r="G777" s="32" t="n"/>
      <c r="H777" s="32" t="n"/>
      <c r="I777" s="32" t="n"/>
      <c r="J777" s="34" t="n"/>
      <c r="K777" s="33" t="n"/>
      <c r="L777" s="32" t="n"/>
      <c r="M777" s="33" t="n"/>
      <c r="N777" s="33" t="n"/>
      <c r="O777" s="33" t="n"/>
      <c r="P777" s="32" t="n"/>
      <c r="Q777" s="33" t="n"/>
      <c r="R777" s="33" t="n"/>
      <c r="S777" s="33" t="n"/>
      <c r="T777" s="33" t="n"/>
      <c r="U777" s="32" t="n"/>
      <c r="V777" s="33" t="n"/>
      <c r="W777" s="33" t="n"/>
      <c r="X777" s="33" t="n"/>
      <c r="Y777" s="33" t="n"/>
      <c r="Z777" s="33" t="n"/>
      <c r="AA777" s="33" t="n"/>
      <c r="AB777" s="33" t="n"/>
      <c r="AC777" s="33" t="n"/>
      <c r="AD777" s="33" t="n"/>
      <c r="AE777" s="33" t="n"/>
      <c r="AF777" s="32" t="n"/>
      <c r="AG777" s="32" t="n"/>
      <c r="AH777" s="32" t="n"/>
      <c r="AI777" s="32" t="n"/>
      <c r="AJ777" s="32" t="n"/>
      <c r="AK777" s="32" t="n"/>
      <c r="AL777" s="32" t="n"/>
      <c r="AM777" s="32" t="n"/>
      <c r="AN777" s="32" t="n"/>
      <c r="AO777" s="32" t="n"/>
      <c r="AP777" s="32" t="n"/>
      <c r="AQ777" s="32" t="n"/>
      <c r="AR777" s="29">
        <f>IF(NOT(COUNTA(A777:AE777)&gt;0),"",IF(A777="","New client","Update"))</f>
        <v/>
      </c>
      <c r="AS777" s="29">
        <f>IF(BA777&lt;&gt;"",BA777,IF(LEN(AZ777)=15,MID(AZ777,3,10),""))</f>
        <v/>
      </c>
      <c r="AT777" s="29">
        <f>IF(BB777="","",BB777&amp;IF(D777="","  (guessed from PAN)",""))</f>
        <v/>
      </c>
      <c r="AU777" s="29">
        <f>IF(AZ777="","",IFERROR(INDEX(Lists!$L$2:$L$38,MATCH(LEFT(AZ777,2),Lists!$K$2:$K$38,0)),"Unknown code"))</f>
        <v/>
      </c>
      <c r="AV777" s="29">
        <f>IF(AZ777="","",IFERROR(IF(NOT(AND(LEN(AZ777)=15,ISNUMBER(MATCH(LEFT(AZ777,2),Lists!$K$2:$K$38,0)),SUMPRODUCT(--ISERROR(FIND(MID(MID(AZ777,3,10),{1,2,3,4,5,10},1),"ABCDEFGHIJKLMNOPQRSTUVWXYZ")))=0,SUMPRODUCT(--ISERROR(FIND(MID(MID(AZ777,3,10),{6,7,8,9},1),"0123456789")))=0,ISNUMBER(FIND(MID(AZ777,13,1),"123456789ABCDEFGHIJKLMNOPQRSTUVWXYZ")),MID(AZ777,14,1)="Z")),"Wrong format",IF(MID("0123456789ABCDEFGHIJKLMNOPQRSTUVWXYZ",MOD(36-MOD(SUMPRODUCT(INT((FIND(MID(AZ777,{1,2,3,4,5,6,7,8,9,10,11,12,13,14},1),"0123456789ABCDEFGHIJKLMNOPQRSTUVWXYZ")-1)*{1,2,1,2,1,2,1,2,1,2,1,2,1,2}/36)+MOD((FIND(MID(AZ777,{1,2,3,4,5,6,7,8,9,10,11,12,13,14},1),"0123456789ABCDEFGHIJKLMNOPQRSTUVWXYZ")-1)*{1,2,1,2,1,2,1,2,1,2,1,2,1,2},36)),36),36)+1,1)=MID(AZ777,15,1),"OK","Typo? check digit wrong")),"Wrong format"))</f>
        <v/>
      </c>
      <c r="AW777" s="29">
        <f>IF(BA777="","",IF(AND(LEN(BA777)=10,SUMPRODUCT(--ISERROR(FIND(MID(BA777,{1,2,3,4,5,10},1),"ABCDEFGHIJKLMNOPQRSTUVWXYZ")))=0,SUMPRODUCT(--ISERROR(FIND(MID(BA777,{6,7,8,9},1),"0123456789")))=0),"OK","Wrong format"))</f>
        <v/>
      </c>
      <c r="AX777" s="29">
        <f>IF(TRIM(H777)="","",IF(AND(LEN(UPPER(TRIM(H777)))=10,SUMPRODUCT(--ISERROR(FIND(MID(UPPER(TRIM(H777)),{1,2,3,4,10},1),"ABCDEFGHIJKLMNOPQRSTUVWXYZ")))=0,SUMPRODUCT(--ISERROR(FIND(MID(UPPER(TRIM(H777)),{5,6,7,8,9},1),"0123456789")))=0),"OK","Wrong format"))</f>
        <v/>
      </c>
      <c r="AY777" s="30">
        <f>IF(NOT(COUNTA(A777:AE777)&gt;0),"",IF(BE777&lt;&gt;"","✖ "&amp;LEFT(BE777,LEN(BE777)-2),IF(BD777&gt;0,"✔ Ready — client + "&amp;BD777&amp;" service(s)","✔ Ready — client only")))</f>
        <v/>
      </c>
      <c r="AZ777" s="31">
        <f>UPPER(SUBSTITUTE(TRIM(F777)," ",""))</f>
        <v/>
      </c>
      <c r="BA777" s="31">
        <f>UPPER(SUBSTITUTE(TRIM(E777)," ",""))</f>
        <v/>
      </c>
      <c r="BB777" s="31">
        <f>IF(D777&lt;&gt;"",D777,IFERROR(VLOOKUP(MID(AS777,4,1),Lists!$E$2:$F$8,2,FALSE),""))</f>
        <v/>
      </c>
      <c r="BC777" s="31">
        <f>IFERROR(VLOOKUP(BB777,Lists!$A$2:$C$12,3,FALSE),"")</f>
        <v/>
      </c>
      <c r="BD777" s="31">
        <f>COUNTIF(W777:AC777,"Yes")</f>
        <v/>
      </c>
      <c r="BE777" s="31">
        <f>IF(TRIM(B777)="","Legal name missing; ","")&amp;IF(AND(AV777&lt;&gt;"",AV777&lt;&gt;"OK"),"GSTIN: "&amp;AV777&amp;"; ","")&amp;IF(AND(AW777&lt;&gt;"",AW777&lt;&gt;"OK"),"PAN wrong format; ","")&amp;IF(AND(BA777&lt;&gt;"",LEN(AZ777)=15,MID(AZ777,3,10)&lt;&gt;BA777),"PAN does not match GSTIN; ","")&amp;IF(AND(AX777&lt;&gt;"",AX777&lt;&gt;"OK"),"TAN wrong format; ","")&amp;IF(AS777="","PAN missing; ","")&amp;IF(BB777="","Entity type missing; ","")&amp;IF(AND(AZ777&lt;&gt;"",COUNTIF($AZ$6:$AZ$1005,AZ777)&gt;1),"GSTIN repeated in this sheet; ","")&amp;IF(AND(AS777&lt;&gt;"",COUNTIF($AS$6:$AS$1005,AS777)&gt;1),"PAN repeated in this sheet (same client? put extra GSTINs in Other GSTINs); ","")&amp;IF(AND(BD777&gt;0,V777=""),"Financial year missing; ","")&amp;IF(AND(BD777=0,V777&lt;&gt;""),"Financial year given but no service is Yes; ","")&amp;IF(AND(W777="Yes",AZ777=""),"GST needs a GSTIN; ","")&amp;IF(AND(W777="Yes",X777=""),"GST return frequency missing; ","")&amp;IF(AND(Y777="Yes",TRIM(H777)=""),"TDS needs a TAN; ","")&amp;IF(AND(AA777="Yes",BC777&lt;&gt;"",BC777&lt;&gt;"company",BC777&lt;&gt;"llp"),"ROC is only for a company / LLP; ","")&amp;IF(AND(AA777="Yes",OR(BC777="company",BC777="llp"),TRIM(I777)=""),"ROC needs the CIN / LLPIN; ","")&amp;IF((TRIM(AF777)="")&lt;&gt;(TRIM(AG777)=""),"GST login needs both user ID and password; ","")&amp;IF((TRIM(AH777)="")&lt;&gt;(TRIM(AI777)=""),"Income-tax login needs both user ID and password; ","")&amp;IF((TRIM(AJ777)="")&lt;&gt;(TRIM(AK777)=""),"Income-tax login needs both user ID and password; ","")&amp;IF((TRIM(AL777)="")&lt;&gt;(TRIM(AM777)=""),"TRACES login needs both user ID and password; ","")&amp;IF((TRIM(AN777)="")&lt;&gt;(TRIM(AO777)=""),"MCA login needs both user ID and password; ","")&amp;IF((TRIM(AP777)="")&lt;&gt;(TRIM(AQ777)=""),"E-way bill login needs both user ID and password; ","")</f>
        <v/>
      </c>
    </row>
    <row r="778">
      <c r="A778" s="32" t="n"/>
      <c r="B778" s="33" t="n"/>
      <c r="C778" s="33" t="n"/>
      <c r="D778" s="33" t="n"/>
      <c r="E778" s="32" t="n"/>
      <c r="F778" s="32" t="n"/>
      <c r="G778" s="32" t="n"/>
      <c r="H778" s="32" t="n"/>
      <c r="I778" s="32" t="n"/>
      <c r="J778" s="34" t="n"/>
      <c r="K778" s="33" t="n"/>
      <c r="L778" s="32" t="n"/>
      <c r="M778" s="33" t="n"/>
      <c r="N778" s="33" t="n"/>
      <c r="O778" s="33" t="n"/>
      <c r="P778" s="32" t="n"/>
      <c r="Q778" s="33" t="n"/>
      <c r="R778" s="33" t="n"/>
      <c r="S778" s="33" t="n"/>
      <c r="T778" s="33" t="n"/>
      <c r="U778" s="32" t="n"/>
      <c r="V778" s="33" t="n"/>
      <c r="W778" s="33" t="n"/>
      <c r="X778" s="33" t="n"/>
      <c r="Y778" s="33" t="n"/>
      <c r="Z778" s="33" t="n"/>
      <c r="AA778" s="33" t="n"/>
      <c r="AB778" s="33" t="n"/>
      <c r="AC778" s="33" t="n"/>
      <c r="AD778" s="33" t="n"/>
      <c r="AE778" s="33" t="n"/>
      <c r="AF778" s="32" t="n"/>
      <c r="AG778" s="32" t="n"/>
      <c r="AH778" s="32" t="n"/>
      <c r="AI778" s="32" t="n"/>
      <c r="AJ778" s="32" t="n"/>
      <c r="AK778" s="32" t="n"/>
      <c r="AL778" s="32" t="n"/>
      <c r="AM778" s="32" t="n"/>
      <c r="AN778" s="32" t="n"/>
      <c r="AO778" s="32" t="n"/>
      <c r="AP778" s="32" t="n"/>
      <c r="AQ778" s="32" t="n"/>
      <c r="AR778" s="29">
        <f>IF(NOT(COUNTA(A778:AE778)&gt;0),"",IF(A778="","New client","Update"))</f>
        <v/>
      </c>
      <c r="AS778" s="29">
        <f>IF(BA778&lt;&gt;"",BA778,IF(LEN(AZ778)=15,MID(AZ778,3,10),""))</f>
        <v/>
      </c>
      <c r="AT778" s="29">
        <f>IF(BB778="","",BB778&amp;IF(D778="","  (guessed from PAN)",""))</f>
        <v/>
      </c>
      <c r="AU778" s="29">
        <f>IF(AZ778="","",IFERROR(INDEX(Lists!$L$2:$L$38,MATCH(LEFT(AZ778,2),Lists!$K$2:$K$38,0)),"Unknown code"))</f>
        <v/>
      </c>
      <c r="AV778" s="29">
        <f>IF(AZ778="","",IFERROR(IF(NOT(AND(LEN(AZ778)=15,ISNUMBER(MATCH(LEFT(AZ778,2),Lists!$K$2:$K$38,0)),SUMPRODUCT(--ISERROR(FIND(MID(MID(AZ778,3,10),{1,2,3,4,5,10},1),"ABCDEFGHIJKLMNOPQRSTUVWXYZ")))=0,SUMPRODUCT(--ISERROR(FIND(MID(MID(AZ778,3,10),{6,7,8,9},1),"0123456789")))=0,ISNUMBER(FIND(MID(AZ778,13,1),"123456789ABCDEFGHIJKLMNOPQRSTUVWXYZ")),MID(AZ778,14,1)="Z")),"Wrong format",IF(MID("0123456789ABCDEFGHIJKLMNOPQRSTUVWXYZ",MOD(36-MOD(SUMPRODUCT(INT((FIND(MID(AZ778,{1,2,3,4,5,6,7,8,9,10,11,12,13,14},1),"0123456789ABCDEFGHIJKLMNOPQRSTUVWXYZ")-1)*{1,2,1,2,1,2,1,2,1,2,1,2,1,2}/36)+MOD((FIND(MID(AZ778,{1,2,3,4,5,6,7,8,9,10,11,12,13,14},1),"0123456789ABCDEFGHIJKLMNOPQRSTUVWXYZ")-1)*{1,2,1,2,1,2,1,2,1,2,1,2,1,2},36)),36),36)+1,1)=MID(AZ778,15,1),"OK","Typo? check digit wrong")),"Wrong format"))</f>
        <v/>
      </c>
      <c r="AW778" s="29">
        <f>IF(BA778="","",IF(AND(LEN(BA778)=10,SUMPRODUCT(--ISERROR(FIND(MID(BA778,{1,2,3,4,5,10},1),"ABCDEFGHIJKLMNOPQRSTUVWXYZ")))=0,SUMPRODUCT(--ISERROR(FIND(MID(BA778,{6,7,8,9},1),"0123456789")))=0),"OK","Wrong format"))</f>
        <v/>
      </c>
      <c r="AX778" s="29">
        <f>IF(TRIM(H778)="","",IF(AND(LEN(UPPER(TRIM(H778)))=10,SUMPRODUCT(--ISERROR(FIND(MID(UPPER(TRIM(H778)),{1,2,3,4,10},1),"ABCDEFGHIJKLMNOPQRSTUVWXYZ")))=0,SUMPRODUCT(--ISERROR(FIND(MID(UPPER(TRIM(H778)),{5,6,7,8,9},1),"0123456789")))=0),"OK","Wrong format"))</f>
        <v/>
      </c>
      <c r="AY778" s="30">
        <f>IF(NOT(COUNTA(A778:AE778)&gt;0),"",IF(BE778&lt;&gt;"","✖ "&amp;LEFT(BE778,LEN(BE778)-2),IF(BD778&gt;0,"✔ Ready — client + "&amp;BD778&amp;" service(s)","✔ Ready — client only")))</f>
        <v/>
      </c>
      <c r="AZ778" s="31">
        <f>UPPER(SUBSTITUTE(TRIM(F778)," ",""))</f>
        <v/>
      </c>
      <c r="BA778" s="31">
        <f>UPPER(SUBSTITUTE(TRIM(E778)," ",""))</f>
        <v/>
      </c>
      <c r="BB778" s="31">
        <f>IF(D778&lt;&gt;"",D778,IFERROR(VLOOKUP(MID(AS778,4,1),Lists!$E$2:$F$8,2,FALSE),""))</f>
        <v/>
      </c>
      <c r="BC778" s="31">
        <f>IFERROR(VLOOKUP(BB778,Lists!$A$2:$C$12,3,FALSE),"")</f>
        <v/>
      </c>
      <c r="BD778" s="31">
        <f>COUNTIF(W778:AC778,"Yes")</f>
        <v/>
      </c>
      <c r="BE778" s="31">
        <f>IF(TRIM(B778)="","Legal name missing; ","")&amp;IF(AND(AV778&lt;&gt;"",AV778&lt;&gt;"OK"),"GSTIN: "&amp;AV778&amp;"; ","")&amp;IF(AND(AW778&lt;&gt;"",AW778&lt;&gt;"OK"),"PAN wrong format; ","")&amp;IF(AND(BA778&lt;&gt;"",LEN(AZ778)=15,MID(AZ778,3,10)&lt;&gt;BA778),"PAN does not match GSTIN; ","")&amp;IF(AND(AX778&lt;&gt;"",AX778&lt;&gt;"OK"),"TAN wrong format; ","")&amp;IF(AS778="","PAN missing; ","")&amp;IF(BB778="","Entity type missing; ","")&amp;IF(AND(AZ778&lt;&gt;"",COUNTIF($AZ$6:$AZ$1005,AZ778)&gt;1),"GSTIN repeated in this sheet; ","")&amp;IF(AND(AS778&lt;&gt;"",COUNTIF($AS$6:$AS$1005,AS778)&gt;1),"PAN repeated in this sheet (same client? put extra GSTINs in Other GSTINs); ","")&amp;IF(AND(BD778&gt;0,V778=""),"Financial year missing; ","")&amp;IF(AND(BD778=0,V778&lt;&gt;""),"Financial year given but no service is Yes; ","")&amp;IF(AND(W778="Yes",AZ778=""),"GST needs a GSTIN; ","")&amp;IF(AND(W778="Yes",X778=""),"GST return frequency missing; ","")&amp;IF(AND(Y778="Yes",TRIM(H778)=""),"TDS needs a TAN; ","")&amp;IF(AND(AA778="Yes",BC778&lt;&gt;"",BC778&lt;&gt;"company",BC778&lt;&gt;"llp"),"ROC is only for a company / LLP; ","")&amp;IF(AND(AA778="Yes",OR(BC778="company",BC778="llp"),TRIM(I778)=""),"ROC needs the CIN / LLPIN; ","")&amp;IF((TRIM(AF778)="")&lt;&gt;(TRIM(AG778)=""),"GST login needs both user ID and password; ","")&amp;IF((TRIM(AH778)="")&lt;&gt;(TRIM(AI778)=""),"Income-tax login needs both user ID and password; ","")&amp;IF((TRIM(AJ778)="")&lt;&gt;(TRIM(AK778)=""),"Income-tax login needs both user ID and password; ","")&amp;IF((TRIM(AL778)="")&lt;&gt;(TRIM(AM778)=""),"TRACES login needs both user ID and password; ","")&amp;IF((TRIM(AN778)="")&lt;&gt;(TRIM(AO778)=""),"MCA login needs both user ID and password; ","")&amp;IF((TRIM(AP778)="")&lt;&gt;(TRIM(AQ778)=""),"E-way bill login needs both user ID and password; ","")</f>
        <v/>
      </c>
    </row>
    <row r="779">
      <c r="A779" s="32" t="n"/>
      <c r="B779" s="33" t="n"/>
      <c r="C779" s="33" t="n"/>
      <c r="D779" s="33" t="n"/>
      <c r="E779" s="32" t="n"/>
      <c r="F779" s="32" t="n"/>
      <c r="G779" s="32" t="n"/>
      <c r="H779" s="32" t="n"/>
      <c r="I779" s="32" t="n"/>
      <c r="J779" s="34" t="n"/>
      <c r="K779" s="33" t="n"/>
      <c r="L779" s="32" t="n"/>
      <c r="M779" s="33" t="n"/>
      <c r="N779" s="33" t="n"/>
      <c r="O779" s="33" t="n"/>
      <c r="P779" s="32" t="n"/>
      <c r="Q779" s="33" t="n"/>
      <c r="R779" s="33" t="n"/>
      <c r="S779" s="33" t="n"/>
      <c r="T779" s="33" t="n"/>
      <c r="U779" s="32" t="n"/>
      <c r="V779" s="33" t="n"/>
      <c r="W779" s="33" t="n"/>
      <c r="X779" s="33" t="n"/>
      <c r="Y779" s="33" t="n"/>
      <c r="Z779" s="33" t="n"/>
      <c r="AA779" s="33" t="n"/>
      <c r="AB779" s="33" t="n"/>
      <c r="AC779" s="33" t="n"/>
      <c r="AD779" s="33" t="n"/>
      <c r="AE779" s="33" t="n"/>
      <c r="AF779" s="32" t="n"/>
      <c r="AG779" s="32" t="n"/>
      <c r="AH779" s="32" t="n"/>
      <c r="AI779" s="32" t="n"/>
      <c r="AJ779" s="32" t="n"/>
      <c r="AK779" s="32" t="n"/>
      <c r="AL779" s="32" t="n"/>
      <c r="AM779" s="32" t="n"/>
      <c r="AN779" s="32" t="n"/>
      <c r="AO779" s="32" t="n"/>
      <c r="AP779" s="32" t="n"/>
      <c r="AQ779" s="32" t="n"/>
      <c r="AR779" s="29">
        <f>IF(NOT(COUNTA(A779:AE779)&gt;0),"",IF(A779="","New client","Update"))</f>
        <v/>
      </c>
      <c r="AS779" s="29">
        <f>IF(BA779&lt;&gt;"",BA779,IF(LEN(AZ779)=15,MID(AZ779,3,10),""))</f>
        <v/>
      </c>
      <c r="AT779" s="29">
        <f>IF(BB779="","",BB779&amp;IF(D779="","  (guessed from PAN)",""))</f>
        <v/>
      </c>
      <c r="AU779" s="29">
        <f>IF(AZ779="","",IFERROR(INDEX(Lists!$L$2:$L$38,MATCH(LEFT(AZ779,2),Lists!$K$2:$K$38,0)),"Unknown code"))</f>
        <v/>
      </c>
      <c r="AV779" s="29">
        <f>IF(AZ779="","",IFERROR(IF(NOT(AND(LEN(AZ779)=15,ISNUMBER(MATCH(LEFT(AZ779,2),Lists!$K$2:$K$38,0)),SUMPRODUCT(--ISERROR(FIND(MID(MID(AZ779,3,10),{1,2,3,4,5,10},1),"ABCDEFGHIJKLMNOPQRSTUVWXYZ")))=0,SUMPRODUCT(--ISERROR(FIND(MID(MID(AZ779,3,10),{6,7,8,9},1),"0123456789")))=0,ISNUMBER(FIND(MID(AZ779,13,1),"123456789ABCDEFGHIJKLMNOPQRSTUVWXYZ")),MID(AZ779,14,1)="Z")),"Wrong format",IF(MID("0123456789ABCDEFGHIJKLMNOPQRSTUVWXYZ",MOD(36-MOD(SUMPRODUCT(INT((FIND(MID(AZ779,{1,2,3,4,5,6,7,8,9,10,11,12,13,14},1),"0123456789ABCDEFGHIJKLMNOPQRSTUVWXYZ")-1)*{1,2,1,2,1,2,1,2,1,2,1,2,1,2}/36)+MOD((FIND(MID(AZ779,{1,2,3,4,5,6,7,8,9,10,11,12,13,14},1),"0123456789ABCDEFGHIJKLMNOPQRSTUVWXYZ")-1)*{1,2,1,2,1,2,1,2,1,2,1,2,1,2},36)),36),36)+1,1)=MID(AZ779,15,1),"OK","Typo? check digit wrong")),"Wrong format"))</f>
        <v/>
      </c>
      <c r="AW779" s="29">
        <f>IF(BA779="","",IF(AND(LEN(BA779)=10,SUMPRODUCT(--ISERROR(FIND(MID(BA779,{1,2,3,4,5,10},1),"ABCDEFGHIJKLMNOPQRSTUVWXYZ")))=0,SUMPRODUCT(--ISERROR(FIND(MID(BA779,{6,7,8,9},1),"0123456789")))=0),"OK","Wrong format"))</f>
        <v/>
      </c>
      <c r="AX779" s="29">
        <f>IF(TRIM(H779)="","",IF(AND(LEN(UPPER(TRIM(H779)))=10,SUMPRODUCT(--ISERROR(FIND(MID(UPPER(TRIM(H779)),{1,2,3,4,10},1),"ABCDEFGHIJKLMNOPQRSTUVWXYZ")))=0,SUMPRODUCT(--ISERROR(FIND(MID(UPPER(TRIM(H779)),{5,6,7,8,9},1),"0123456789")))=0),"OK","Wrong format"))</f>
        <v/>
      </c>
      <c r="AY779" s="30">
        <f>IF(NOT(COUNTA(A779:AE779)&gt;0),"",IF(BE779&lt;&gt;"","✖ "&amp;LEFT(BE779,LEN(BE779)-2),IF(BD779&gt;0,"✔ Ready — client + "&amp;BD779&amp;" service(s)","✔ Ready — client only")))</f>
        <v/>
      </c>
      <c r="AZ779" s="31">
        <f>UPPER(SUBSTITUTE(TRIM(F779)," ",""))</f>
        <v/>
      </c>
      <c r="BA779" s="31">
        <f>UPPER(SUBSTITUTE(TRIM(E779)," ",""))</f>
        <v/>
      </c>
      <c r="BB779" s="31">
        <f>IF(D779&lt;&gt;"",D779,IFERROR(VLOOKUP(MID(AS779,4,1),Lists!$E$2:$F$8,2,FALSE),""))</f>
        <v/>
      </c>
      <c r="BC779" s="31">
        <f>IFERROR(VLOOKUP(BB779,Lists!$A$2:$C$12,3,FALSE),"")</f>
        <v/>
      </c>
      <c r="BD779" s="31">
        <f>COUNTIF(W779:AC779,"Yes")</f>
        <v/>
      </c>
      <c r="BE779" s="31">
        <f>IF(TRIM(B779)="","Legal name missing; ","")&amp;IF(AND(AV779&lt;&gt;"",AV779&lt;&gt;"OK"),"GSTIN: "&amp;AV779&amp;"; ","")&amp;IF(AND(AW779&lt;&gt;"",AW779&lt;&gt;"OK"),"PAN wrong format; ","")&amp;IF(AND(BA779&lt;&gt;"",LEN(AZ779)=15,MID(AZ779,3,10)&lt;&gt;BA779),"PAN does not match GSTIN; ","")&amp;IF(AND(AX779&lt;&gt;"",AX779&lt;&gt;"OK"),"TAN wrong format; ","")&amp;IF(AS779="","PAN missing; ","")&amp;IF(BB779="","Entity type missing; ","")&amp;IF(AND(AZ779&lt;&gt;"",COUNTIF($AZ$6:$AZ$1005,AZ779)&gt;1),"GSTIN repeated in this sheet; ","")&amp;IF(AND(AS779&lt;&gt;"",COUNTIF($AS$6:$AS$1005,AS779)&gt;1),"PAN repeated in this sheet (same client? put extra GSTINs in Other GSTINs); ","")&amp;IF(AND(BD779&gt;0,V779=""),"Financial year missing; ","")&amp;IF(AND(BD779=0,V779&lt;&gt;""),"Financial year given but no service is Yes; ","")&amp;IF(AND(W779="Yes",AZ779=""),"GST needs a GSTIN; ","")&amp;IF(AND(W779="Yes",X779=""),"GST return frequency missing; ","")&amp;IF(AND(Y779="Yes",TRIM(H779)=""),"TDS needs a TAN; ","")&amp;IF(AND(AA779="Yes",BC779&lt;&gt;"",BC779&lt;&gt;"company",BC779&lt;&gt;"llp"),"ROC is only for a company / LLP; ","")&amp;IF(AND(AA779="Yes",OR(BC779="company",BC779="llp"),TRIM(I779)=""),"ROC needs the CIN / LLPIN; ","")&amp;IF((TRIM(AF779)="")&lt;&gt;(TRIM(AG779)=""),"GST login needs both user ID and password; ","")&amp;IF((TRIM(AH779)="")&lt;&gt;(TRIM(AI779)=""),"Income-tax login needs both user ID and password; ","")&amp;IF((TRIM(AJ779)="")&lt;&gt;(TRIM(AK779)=""),"Income-tax login needs both user ID and password; ","")&amp;IF((TRIM(AL779)="")&lt;&gt;(TRIM(AM779)=""),"TRACES login needs both user ID and password; ","")&amp;IF((TRIM(AN779)="")&lt;&gt;(TRIM(AO779)=""),"MCA login needs both user ID and password; ","")&amp;IF((TRIM(AP779)="")&lt;&gt;(TRIM(AQ779)=""),"E-way bill login needs both user ID and password; ","")</f>
        <v/>
      </c>
    </row>
    <row r="780">
      <c r="A780" s="32" t="n"/>
      <c r="B780" s="33" t="n"/>
      <c r="C780" s="33" t="n"/>
      <c r="D780" s="33" t="n"/>
      <c r="E780" s="32" t="n"/>
      <c r="F780" s="32" t="n"/>
      <c r="G780" s="32" t="n"/>
      <c r="H780" s="32" t="n"/>
      <c r="I780" s="32" t="n"/>
      <c r="J780" s="34" t="n"/>
      <c r="K780" s="33" t="n"/>
      <c r="L780" s="32" t="n"/>
      <c r="M780" s="33" t="n"/>
      <c r="N780" s="33" t="n"/>
      <c r="O780" s="33" t="n"/>
      <c r="P780" s="32" t="n"/>
      <c r="Q780" s="33" t="n"/>
      <c r="R780" s="33" t="n"/>
      <c r="S780" s="33" t="n"/>
      <c r="T780" s="33" t="n"/>
      <c r="U780" s="32" t="n"/>
      <c r="V780" s="33" t="n"/>
      <c r="W780" s="33" t="n"/>
      <c r="X780" s="33" t="n"/>
      <c r="Y780" s="33" t="n"/>
      <c r="Z780" s="33" t="n"/>
      <c r="AA780" s="33" t="n"/>
      <c r="AB780" s="33" t="n"/>
      <c r="AC780" s="33" t="n"/>
      <c r="AD780" s="33" t="n"/>
      <c r="AE780" s="33" t="n"/>
      <c r="AF780" s="32" t="n"/>
      <c r="AG780" s="32" t="n"/>
      <c r="AH780" s="32" t="n"/>
      <c r="AI780" s="32" t="n"/>
      <c r="AJ780" s="32" t="n"/>
      <c r="AK780" s="32" t="n"/>
      <c r="AL780" s="32" t="n"/>
      <c r="AM780" s="32" t="n"/>
      <c r="AN780" s="32" t="n"/>
      <c r="AO780" s="32" t="n"/>
      <c r="AP780" s="32" t="n"/>
      <c r="AQ780" s="32" t="n"/>
      <c r="AR780" s="29">
        <f>IF(NOT(COUNTA(A780:AE780)&gt;0),"",IF(A780="","New client","Update"))</f>
        <v/>
      </c>
      <c r="AS780" s="29">
        <f>IF(BA780&lt;&gt;"",BA780,IF(LEN(AZ780)=15,MID(AZ780,3,10),""))</f>
        <v/>
      </c>
      <c r="AT780" s="29">
        <f>IF(BB780="","",BB780&amp;IF(D780="","  (guessed from PAN)",""))</f>
        <v/>
      </c>
      <c r="AU780" s="29">
        <f>IF(AZ780="","",IFERROR(INDEX(Lists!$L$2:$L$38,MATCH(LEFT(AZ780,2),Lists!$K$2:$K$38,0)),"Unknown code"))</f>
        <v/>
      </c>
      <c r="AV780" s="29">
        <f>IF(AZ780="","",IFERROR(IF(NOT(AND(LEN(AZ780)=15,ISNUMBER(MATCH(LEFT(AZ780,2),Lists!$K$2:$K$38,0)),SUMPRODUCT(--ISERROR(FIND(MID(MID(AZ780,3,10),{1,2,3,4,5,10},1),"ABCDEFGHIJKLMNOPQRSTUVWXYZ")))=0,SUMPRODUCT(--ISERROR(FIND(MID(MID(AZ780,3,10),{6,7,8,9},1),"0123456789")))=0,ISNUMBER(FIND(MID(AZ780,13,1),"123456789ABCDEFGHIJKLMNOPQRSTUVWXYZ")),MID(AZ780,14,1)="Z")),"Wrong format",IF(MID("0123456789ABCDEFGHIJKLMNOPQRSTUVWXYZ",MOD(36-MOD(SUMPRODUCT(INT((FIND(MID(AZ780,{1,2,3,4,5,6,7,8,9,10,11,12,13,14},1),"0123456789ABCDEFGHIJKLMNOPQRSTUVWXYZ")-1)*{1,2,1,2,1,2,1,2,1,2,1,2,1,2}/36)+MOD((FIND(MID(AZ780,{1,2,3,4,5,6,7,8,9,10,11,12,13,14},1),"0123456789ABCDEFGHIJKLMNOPQRSTUVWXYZ")-1)*{1,2,1,2,1,2,1,2,1,2,1,2,1,2},36)),36),36)+1,1)=MID(AZ780,15,1),"OK","Typo? check digit wrong")),"Wrong format"))</f>
        <v/>
      </c>
      <c r="AW780" s="29">
        <f>IF(BA780="","",IF(AND(LEN(BA780)=10,SUMPRODUCT(--ISERROR(FIND(MID(BA780,{1,2,3,4,5,10},1),"ABCDEFGHIJKLMNOPQRSTUVWXYZ")))=0,SUMPRODUCT(--ISERROR(FIND(MID(BA780,{6,7,8,9},1),"0123456789")))=0),"OK","Wrong format"))</f>
        <v/>
      </c>
      <c r="AX780" s="29">
        <f>IF(TRIM(H780)="","",IF(AND(LEN(UPPER(TRIM(H780)))=10,SUMPRODUCT(--ISERROR(FIND(MID(UPPER(TRIM(H780)),{1,2,3,4,10},1),"ABCDEFGHIJKLMNOPQRSTUVWXYZ")))=0,SUMPRODUCT(--ISERROR(FIND(MID(UPPER(TRIM(H780)),{5,6,7,8,9},1),"0123456789")))=0),"OK","Wrong format"))</f>
        <v/>
      </c>
      <c r="AY780" s="30">
        <f>IF(NOT(COUNTA(A780:AE780)&gt;0),"",IF(BE780&lt;&gt;"","✖ "&amp;LEFT(BE780,LEN(BE780)-2),IF(BD780&gt;0,"✔ Ready — client + "&amp;BD780&amp;" service(s)","✔ Ready — client only")))</f>
        <v/>
      </c>
      <c r="AZ780" s="31">
        <f>UPPER(SUBSTITUTE(TRIM(F780)," ",""))</f>
        <v/>
      </c>
      <c r="BA780" s="31">
        <f>UPPER(SUBSTITUTE(TRIM(E780)," ",""))</f>
        <v/>
      </c>
      <c r="BB780" s="31">
        <f>IF(D780&lt;&gt;"",D780,IFERROR(VLOOKUP(MID(AS780,4,1),Lists!$E$2:$F$8,2,FALSE),""))</f>
        <v/>
      </c>
      <c r="BC780" s="31">
        <f>IFERROR(VLOOKUP(BB780,Lists!$A$2:$C$12,3,FALSE),"")</f>
        <v/>
      </c>
      <c r="BD780" s="31">
        <f>COUNTIF(W780:AC780,"Yes")</f>
        <v/>
      </c>
      <c r="BE780" s="31">
        <f>IF(TRIM(B780)="","Legal name missing; ","")&amp;IF(AND(AV780&lt;&gt;"",AV780&lt;&gt;"OK"),"GSTIN: "&amp;AV780&amp;"; ","")&amp;IF(AND(AW780&lt;&gt;"",AW780&lt;&gt;"OK"),"PAN wrong format; ","")&amp;IF(AND(BA780&lt;&gt;"",LEN(AZ780)=15,MID(AZ780,3,10)&lt;&gt;BA780),"PAN does not match GSTIN; ","")&amp;IF(AND(AX780&lt;&gt;"",AX780&lt;&gt;"OK"),"TAN wrong format; ","")&amp;IF(AS780="","PAN missing; ","")&amp;IF(BB780="","Entity type missing; ","")&amp;IF(AND(AZ780&lt;&gt;"",COUNTIF($AZ$6:$AZ$1005,AZ780)&gt;1),"GSTIN repeated in this sheet; ","")&amp;IF(AND(AS780&lt;&gt;"",COUNTIF($AS$6:$AS$1005,AS780)&gt;1),"PAN repeated in this sheet (same client? put extra GSTINs in Other GSTINs); ","")&amp;IF(AND(BD780&gt;0,V780=""),"Financial year missing; ","")&amp;IF(AND(BD780=0,V780&lt;&gt;""),"Financial year given but no service is Yes; ","")&amp;IF(AND(W780="Yes",AZ780=""),"GST needs a GSTIN; ","")&amp;IF(AND(W780="Yes",X780=""),"GST return frequency missing; ","")&amp;IF(AND(Y780="Yes",TRIM(H780)=""),"TDS needs a TAN; ","")&amp;IF(AND(AA780="Yes",BC780&lt;&gt;"",BC780&lt;&gt;"company",BC780&lt;&gt;"llp"),"ROC is only for a company / LLP; ","")&amp;IF(AND(AA780="Yes",OR(BC780="company",BC780="llp"),TRIM(I780)=""),"ROC needs the CIN / LLPIN; ","")&amp;IF((TRIM(AF780)="")&lt;&gt;(TRIM(AG780)=""),"GST login needs both user ID and password; ","")&amp;IF((TRIM(AH780)="")&lt;&gt;(TRIM(AI780)=""),"Income-tax login needs both user ID and password; ","")&amp;IF((TRIM(AJ780)="")&lt;&gt;(TRIM(AK780)=""),"Income-tax login needs both user ID and password; ","")&amp;IF((TRIM(AL780)="")&lt;&gt;(TRIM(AM780)=""),"TRACES login needs both user ID and password; ","")&amp;IF((TRIM(AN780)="")&lt;&gt;(TRIM(AO780)=""),"MCA login needs both user ID and password; ","")&amp;IF((TRIM(AP780)="")&lt;&gt;(TRIM(AQ780)=""),"E-way bill login needs both user ID and password; ","")</f>
        <v/>
      </c>
    </row>
    <row r="781">
      <c r="A781" s="32" t="n"/>
      <c r="B781" s="33" t="n"/>
      <c r="C781" s="33" t="n"/>
      <c r="D781" s="33" t="n"/>
      <c r="E781" s="32" t="n"/>
      <c r="F781" s="32" t="n"/>
      <c r="G781" s="32" t="n"/>
      <c r="H781" s="32" t="n"/>
      <c r="I781" s="32" t="n"/>
      <c r="J781" s="34" t="n"/>
      <c r="K781" s="33" t="n"/>
      <c r="L781" s="32" t="n"/>
      <c r="M781" s="33" t="n"/>
      <c r="N781" s="33" t="n"/>
      <c r="O781" s="33" t="n"/>
      <c r="P781" s="32" t="n"/>
      <c r="Q781" s="33" t="n"/>
      <c r="R781" s="33" t="n"/>
      <c r="S781" s="33" t="n"/>
      <c r="T781" s="33" t="n"/>
      <c r="U781" s="32" t="n"/>
      <c r="V781" s="33" t="n"/>
      <c r="W781" s="33" t="n"/>
      <c r="X781" s="33" t="n"/>
      <c r="Y781" s="33" t="n"/>
      <c r="Z781" s="33" t="n"/>
      <c r="AA781" s="33" t="n"/>
      <c r="AB781" s="33" t="n"/>
      <c r="AC781" s="33" t="n"/>
      <c r="AD781" s="33" t="n"/>
      <c r="AE781" s="33" t="n"/>
      <c r="AF781" s="32" t="n"/>
      <c r="AG781" s="32" t="n"/>
      <c r="AH781" s="32" t="n"/>
      <c r="AI781" s="32" t="n"/>
      <c r="AJ781" s="32" t="n"/>
      <c r="AK781" s="32" t="n"/>
      <c r="AL781" s="32" t="n"/>
      <c r="AM781" s="32" t="n"/>
      <c r="AN781" s="32" t="n"/>
      <c r="AO781" s="32" t="n"/>
      <c r="AP781" s="32" t="n"/>
      <c r="AQ781" s="32" t="n"/>
      <c r="AR781" s="29">
        <f>IF(NOT(COUNTA(A781:AE781)&gt;0),"",IF(A781="","New client","Update"))</f>
        <v/>
      </c>
      <c r="AS781" s="29">
        <f>IF(BA781&lt;&gt;"",BA781,IF(LEN(AZ781)=15,MID(AZ781,3,10),""))</f>
        <v/>
      </c>
      <c r="AT781" s="29">
        <f>IF(BB781="","",BB781&amp;IF(D781="","  (guessed from PAN)",""))</f>
        <v/>
      </c>
      <c r="AU781" s="29">
        <f>IF(AZ781="","",IFERROR(INDEX(Lists!$L$2:$L$38,MATCH(LEFT(AZ781,2),Lists!$K$2:$K$38,0)),"Unknown code"))</f>
        <v/>
      </c>
      <c r="AV781" s="29">
        <f>IF(AZ781="","",IFERROR(IF(NOT(AND(LEN(AZ781)=15,ISNUMBER(MATCH(LEFT(AZ781,2),Lists!$K$2:$K$38,0)),SUMPRODUCT(--ISERROR(FIND(MID(MID(AZ781,3,10),{1,2,3,4,5,10},1),"ABCDEFGHIJKLMNOPQRSTUVWXYZ")))=0,SUMPRODUCT(--ISERROR(FIND(MID(MID(AZ781,3,10),{6,7,8,9},1),"0123456789")))=0,ISNUMBER(FIND(MID(AZ781,13,1),"123456789ABCDEFGHIJKLMNOPQRSTUVWXYZ")),MID(AZ781,14,1)="Z")),"Wrong format",IF(MID("0123456789ABCDEFGHIJKLMNOPQRSTUVWXYZ",MOD(36-MOD(SUMPRODUCT(INT((FIND(MID(AZ781,{1,2,3,4,5,6,7,8,9,10,11,12,13,14},1),"0123456789ABCDEFGHIJKLMNOPQRSTUVWXYZ")-1)*{1,2,1,2,1,2,1,2,1,2,1,2,1,2}/36)+MOD((FIND(MID(AZ781,{1,2,3,4,5,6,7,8,9,10,11,12,13,14},1),"0123456789ABCDEFGHIJKLMNOPQRSTUVWXYZ")-1)*{1,2,1,2,1,2,1,2,1,2,1,2,1,2},36)),36),36)+1,1)=MID(AZ781,15,1),"OK","Typo? check digit wrong")),"Wrong format"))</f>
        <v/>
      </c>
      <c r="AW781" s="29">
        <f>IF(BA781="","",IF(AND(LEN(BA781)=10,SUMPRODUCT(--ISERROR(FIND(MID(BA781,{1,2,3,4,5,10},1),"ABCDEFGHIJKLMNOPQRSTUVWXYZ")))=0,SUMPRODUCT(--ISERROR(FIND(MID(BA781,{6,7,8,9},1),"0123456789")))=0),"OK","Wrong format"))</f>
        <v/>
      </c>
      <c r="AX781" s="29">
        <f>IF(TRIM(H781)="","",IF(AND(LEN(UPPER(TRIM(H781)))=10,SUMPRODUCT(--ISERROR(FIND(MID(UPPER(TRIM(H781)),{1,2,3,4,10},1),"ABCDEFGHIJKLMNOPQRSTUVWXYZ")))=0,SUMPRODUCT(--ISERROR(FIND(MID(UPPER(TRIM(H781)),{5,6,7,8,9},1),"0123456789")))=0),"OK","Wrong format"))</f>
        <v/>
      </c>
      <c r="AY781" s="30">
        <f>IF(NOT(COUNTA(A781:AE781)&gt;0),"",IF(BE781&lt;&gt;"","✖ "&amp;LEFT(BE781,LEN(BE781)-2),IF(BD781&gt;0,"✔ Ready — client + "&amp;BD781&amp;" service(s)","✔ Ready — client only")))</f>
        <v/>
      </c>
      <c r="AZ781" s="31">
        <f>UPPER(SUBSTITUTE(TRIM(F781)," ",""))</f>
        <v/>
      </c>
      <c r="BA781" s="31">
        <f>UPPER(SUBSTITUTE(TRIM(E781)," ",""))</f>
        <v/>
      </c>
      <c r="BB781" s="31">
        <f>IF(D781&lt;&gt;"",D781,IFERROR(VLOOKUP(MID(AS781,4,1),Lists!$E$2:$F$8,2,FALSE),""))</f>
        <v/>
      </c>
      <c r="BC781" s="31">
        <f>IFERROR(VLOOKUP(BB781,Lists!$A$2:$C$12,3,FALSE),"")</f>
        <v/>
      </c>
      <c r="BD781" s="31">
        <f>COUNTIF(W781:AC781,"Yes")</f>
        <v/>
      </c>
      <c r="BE781" s="31">
        <f>IF(TRIM(B781)="","Legal name missing; ","")&amp;IF(AND(AV781&lt;&gt;"",AV781&lt;&gt;"OK"),"GSTIN: "&amp;AV781&amp;"; ","")&amp;IF(AND(AW781&lt;&gt;"",AW781&lt;&gt;"OK"),"PAN wrong format; ","")&amp;IF(AND(BA781&lt;&gt;"",LEN(AZ781)=15,MID(AZ781,3,10)&lt;&gt;BA781),"PAN does not match GSTIN; ","")&amp;IF(AND(AX781&lt;&gt;"",AX781&lt;&gt;"OK"),"TAN wrong format; ","")&amp;IF(AS781="","PAN missing; ","")&amp;IF(BB781="","Entity type missing; ","")&amp;IF(AND(AZ781&lt;&gt;"",COUNTIF($AZ$6:$AZ$1005,AZ781)&gt;1),"GSTIN repeated in this sheet; ","")&amp;IF(AND(AS781&lt;&gt;"",COUNTIF($AS$6:$AS$1005,AS781)&gt;1),"PAN repeated in this sheet (same client? put extra GSTINs in Other GSTINs); ","")&amp;IF(AND(BD781&gt;0,V781=""),"Financial year missing; ","")&amp;IF(AND(BD781=0,V781&lt;&gt;""),"Financial year given but no service is Yes; ","")&amp;IF(AND(W781="Yes",AZ781=""),"GST needs a GSTIN; ","")&amp;IF(AND(W781="Yes",X781=""),"GST return frequency missing; ","")&amp;IF(AND(Y781="Yes",TRIM(H781)=""),"TDS needs a TAN; ","")&amp;IF(AND(AA781="Yes",BC781&lt;&gt;"",BC781&lt;&gt;"company",BC781&lt;&gt;"llp"),"ROC is only for a company / LLP; ","")&amp;IF(AND(AA781="Yes",OR(BC781="company",BC781="llp"),TRIM(I781)=""),"ROC needs the CIN / LLPIN; ","")&amp;IF((TRIM(AF781)="")&lt;&gt;(TRIM(AG781)=""),"GST login needs both user ID and password; ","")&amp;IF((TRIM(AH781)="")&lt;&gt;(TRIM(AI781)=""),"Income-tax login needs both user ID and password; ","")&amp;IF((TRIM(AJ781)="")&lt;&gt;(TRIM(AK781)=""),"Income-tax login needs both user ID and password; ","")&amp;IF((TRIM(AL781)="")&lt;&gt;(TRIM(AM781)=""),"TRACES login needs both user ID and password; ","")&amp;IF((TRIM(AN781)="")&lt;&gt;(TRIM(AO781)=""),"MCA login needs both user ID and password; ","")&amp;IF((TRIM(AP781)="")&lt;&gt;(TRIM(AQ781)=""),"E-way bill login needs both user ID and password; ","")</f>
        <v/>
      </c>
    </row>
    <row r="782">
      <c r="A782" s="32" t="n"/>
      <c r="B782" s="33" t="n"/>
      <c r="C782" s="33" t="n"/>
      <c r="D782" s="33" t="n"/>
      <c r="E782" s="32" t="n"/>
      <c r="F782" s="32" t="n"/>
      <c r="G782" s="32" t="n"/>
      <c r="H782" s="32" t="n"/>
      <c r="I782" s="32" t="n"/>
      <c r="J782" s="34" t="n"/>
      <c r="K782" s="33" t="n"/>
      <c r="L782" s="32" t="n"/>
      <c r="M782" s="33" t="n"/>
      <c r="N782" s="33" t="n"/>
      <c r="O782" s="33" t="n"/>
      <c r="P782" s="32" t="n"/>
      <c r="Q782" s="33" t="n"/>
      <c r="R782" s="33" t="n"/>
      <c r="S782" s="33" t="n"/>
      <c r="T782" s="33" t="n"/>
      <c r="U782" s="32" t="n"/>
      <c r="V782" s="33" t="n"/>
      <c r="W782" s="33" t="n"/>
      <c r="X782" s="33" t="n"/>
      <c r="Y782" s="33" t="n"/>
      <c r="Z782" s="33" t="n"/>
      <c r="AA782" s="33" t="n"/>
      <c r="AB782" s="33" t="n"/>
      <c r="AC782" s="33" t="n"/>
      <c r="AD782" s="33" t="n"/>
      <c r="AE782" s="33" t="n"/>
      <c r="AF782" s="32" t="n"/>
      <c r="AG782" s="32" t="n"/>
      <c r="AH782" s="32" t="n"/>
      <c r="AI782" s="32" t="n"/>
      <c r="AJ782" s="32" t="n"/>
      <c r="AK782" s="32" t="n"/>
      <c r="AL782" s="32" t="n"/>
      <c r="AM782" s="32" t="n"/>
      <c r="AN782" s="32" t="n"/>
      <c r="AO782" s="32" t="n"/>
      <c r="AP782" s="32" t="n"/>
      <c r="AQ782" s="32" t="n"/>
      <c r="AR782" s="29">
        <f>IF(NOT(COUNTA(A782:AE782)&gt;0),"",IF(A782="","New client","Update"))</f>
        <v/>
      </c>
      <c r="AS782" s="29">
        <f>IF(BA782&lt;&gt;"",BA782,IF(LEN(AZ782)=15,MID(AZ782,3,10),""))</f>
        <v/>
      </c>
      <c r="AT782" s="29">
        <f>IF(BB782="","",BB782&amp;IF(D782="","  (guessed from PAN)",""))</f>
        <v/>
      </c>
      <c r="AU782" s="29">
        <f>IF(AZ782="","",IFERROR(INDEX(Lists!$L$2:$L$38,MATCH(LEFT(AZ782,2),Lists!$K$2:$K$38,0)),"Unknown code"))</f>
        <v/>
      </c>
      <c r="AV782" s="29">
        <f>IF(AZ782="","",IFERROR(IF(NOT(AND(LEN(AZ782)=15,ISNUMBER(MATCH(LEFT(AZ782,2),Lists!$K$2:$K$38,0)),SUMPRODUCT(--ISERROR(FIND(MID(MID(AZ782,3,10),{1,2,3,4,5,10},1),"ABCDEFGHIJKLMNOPQRSTUVWXYZ")))=0,SUMPRODUCT(--ISERROR(FIND(MID(MID(AZ782,3,10),{6,7,8,9},1),"0123456789")))=0,ISNUMBER(FIND(MID(AZ782,13,1),"123456789ABCDEFGHIJKLMNOPQRSTUVWXYZ")),MID(AZ782,14,1)="Z")),"Wrong format",IF(MID("0123456789ABCDEFGHIJKLMNOPQRSTUVWXYZ",MOD(36-MOD(SUMPRODUCT(INT((FIND(MID(AZ782,{1,2,3,4,5,6,7,8,9,10,11,12,13,14},1),"0123456789ABCDEFGHIJKLMNOPQRSTUVWXYZ")-1)*{1,2,1,2,1,2,1,2,1,2,1,2,1,2}/36)+MOD((FIND(MID(AZ782,{1,2,3,4,5,6,7,8,9,10,11,12,13,14},1),"0123456789ABCDEFGHIJKLMNOPQRSTUVWXYZ")-1)*{1,2,1,2,1,2,1,2,1,2,1,2,1,2},36)),36),36)+1,1)=MID(AZ782,15,1),"OK","Typo? check digit wrong")),"Wrong format"))</f>
        <v/>
      </c>
      <c r="AW782" s="29">
        <f>IF(BA782="","",IF(AND(LEN(BA782)=10,SUMPRODUCT(--ISERROR(FIND(MID(BA782,{1,2,3,4,5,10},1),"ABCDEFGHIJKLMNOPQRSTUVWXYZ")))=0,SUMPRODUCT(--ISERROR(FIND(MID(BA782,{6,7,8,9},1),"0123456789")))=0),"OK","Wrong format"))</f>
        <v/>
      </c>
      <c r="AX782" s="29">
        <f>IF(TRIM(H782)="","",IF(AND(LEN(UPPER(TRIM(H782)))=10,SUMPRODUCT(--ISERROR(FIND(MID(UPPER(TRIM(H782)),{1,2,3,4,10},1),"ABCDEFGHIJKLMNOPQRSTUVWXYZ")))=0,SUMPRODUCT(--ISERROR(FIND(MID(UPPER(TRIM(H782)),{5,6,7,8,9},1),"0123456789")))=0),"OK","Wrong format"))</f>
        <v/>
      </c>
      <c r="AY782" s="30">
        <f>IF(NOT(COUNTA(A782:AE782)&gt;0),"",IF(BE782&lt;&gt;"","✖ "&amp;LEFT(BE782,LEN(BE782)-2),IF(BD782&gt;0,"✔ Ready — client + "&amp;BD782&amp;" service(s)","✔ Ready — client only")))</f>
        <v/>
      </c>
      <c r="AZ782" s="31">
        <f>UPPER(SUBSTITUTE(TRIM(F782)," ",""))</f>
        <v/>
      </c>
      <c r="BA782" s="31">
        <f>UPPER(SUBSTITUTE(TRIM(E782)," ",""))</f>
        <v/>
      </c>
      <c r="BB782" s="31">
        <f>IF(D782&lt;&gt;"",D782,IFERROR(VLOOKUP(MID(AS782,4,1),Lists!$E$2:$F$8,2,FALSE),""))</f>
        <v/>
      </c>
      <c r="BC782" s="31">
        <f>IFERROR(VLOOKUP(BB782,Lists!$A$2:$C$12,3,FALSE),"")</f>
        <v/>
      </c>
      <c r="BD782" s="31">
        <f>COUNTIF(W782:AC782,"Yes")</f>
        <v/>
      </c>
      <c r="BE782" s="31">
        <f>IF(TRIM(B782)="","Legal name missing; ","")&amp;IF(AND(AV782&lt;&gt;"",AV782&lt;&gt;"OK"),"GSTIN: "&amp;AV782&amp;"; ","")&amp;IF(AND(AW782&lt;&gt;"",AW782&lt;&gt;"OK"),"PAN wrong format; ","")&amp;IF(AND(BA782&lt;&gt;"",LEN(AZ782)=15,MID(AZ782,3,10)&lt;&gt;BA782),"PAN does not match GSTIN; ","")&amp;IF(AND(AX782&lt;&gt;"",AX782&lt;&gt;"OK"),"TAN wrong format; ","")&amp;IF(AS782="","PAN missing; ","")&amp;IF(BB782="","Entity type missing; ","")&amp;IF(AND(AZ782&lt;&gt;"",COUNTIF($AZ$6:$AZ$1005,AZ782)&gt;1),"GSTIN repeated in this sheet; ","")&amp;IF(AND(AS782&lt;&gt;"",COUNTIF($AS$6:$AS$1005,AS782)&gt;1),"PAN repeated in this sheet (same client? put extra GSTINs in Other GSTINs); ","")&amp;IF(AND(BD782&gt;0,V782=""),"Financial year missing; ","")&amp;IF(AND(BD782=0,V782&lt;&gt;""),"Financial year given but no service is Yes; ","")&amp;IF(AND(W782="Yes",AZ782=""),"GST needs a GSTIN; ","")&amp;IF(AND(W782="Yes",X782=""),"GST return frequency missing; ","")&amp;IF(AND(Y782="Yes",TRIM(H782)=""),"TDS needs a TAN; ","")&amp;IF(AND(AA782="Yes",BC782&lt;&gt;"",BC782&lt;&gt;"company",BC782&lt;&gt;"llp"),"ROC is only for a company / LLP; ","")&amp;IF(AND(AA782="Yes",OR(BC782="company",BC782="llp"),TRIM(I782)=""),"ROC needs the CIN / LLPIN; ","")&amp;IF((TRIM(AF782)="")&lt;&gt;(TRIM(AG782)=""),"GST login needs both user ID and password; ","")&amp;IF((TRIM(AH782)="")&lt;&gt;(TRIM(AI782)=""),"Income-tax login needs both user ID and password; ","")&amp;IF((TRIM(AJ782)="")&lt;&gt;(TRIM(AK782)=""),"Income-tax login needs both user ID and password; ","")&amp;IF((TRIM(AL782)="")&lt;&gt;(TRIM(AM782)=""),"TRACES login needs both user ID and password; ","")&amp;IF((TRIM(AN782)="")&lt;&gt;(TRIM(AO782)=""),"MCA login needs both user ID and password; ","")&amp;IF((TRIM(AP782)="")&lt;&gt;(TRIM(AQ782)=""),"E-way bill login needs both user ID and password; ","")</f>
        <v/>
      </c>
    </row>
    <row r="783">
      <c r="A783" s="32" t="n"/>
      <c r="B783" s="33" t="n"/>
      <c r="C783" s="33" t="n"/>
      <c r="D783" s="33" t="n"/>
      <c r="E783" s="32" t="n"/>
      <c r="F783" s="32" t="n"/>
      <c r="G783" s="32" t="n"/>
      <c r="H783" s="32" t="n"/>
      <c r="I783" s="32" t="n"/>
      <c r="J783" s="34" t="n"/>
      <c r="K783" s="33" t="n"/>
      <c r="L783" s="32" t="n"/>
      <c r="M783" s="33" t="n"/>
      <c r="N783" s="33" t="n"/>
      <c r="O783" s="33" t="n"/>
      <c r="P783" s="32" t="n"/>
      <c r="Q783" s="33" t="n"/>
      <c r="R783" s="33" t="n"/>
      <c r="S783" s="33" t="n"/>
      <c r="T783" s="33" t="n"/>
      <c r="U783" s="32" t="n"/>
      <c r="V783" s="33" t="n"/>
      <c r="W783" s="33" t="n"/>
      <c r="X783" s="33" t="n"/>
      <c r="Y783" s="33" t="n"/>
      <c r="Z783" s="33" t="n"/>
      <c r="AA783" s="33" t="n"/>
      <c r="AB783" s="33" t="n"/>
      <c r="AC783" s="33" t="n"/>
      <c r="AD783" s="33" t="n"/>
      <c r="AE783" s="33" t="n"/>
      <c r="AF783" s="32" t="n"/>
      <c r="AG783" s="32" t="n"/>
      <c r="AH783" s="32" t="n"/>
      <c r="AI783" s="32" t="n"/>
      <c r="AJ783" s="32" t="n"/>
      <c r="AK783" s="32" t="n"/>
      <c r="AL783" s="32" t="n"/>
      <c r="AM783" s="32" t="n"/>
      <c r="AN783" s="32" t="n"/>
      <c r="AO783" s="32" t="n"/>
      <c r="AP783" s="32" t="n"/>
      <c r="AQ783" s="32" t="n"/>
      <c r="AR783" s="29">
        <f>IF(NOT(COUNTA(A783:AE783)&gt;0),"",IF(A783="","New client","Update"))</f>
        <v/>
      </c>
      <c r="AS783" s="29">
        <f>IF(BA783&lt;&gt;"",BA783,IF(LEN(AZ783)=15,MID(AZ783,3,10),""))</f>
        <v/>
      </c>
      <c r="AT783" s="29">
        <f>IF(BB783="","",BB783&amp;IF(D783="","  (guessed from PAN)",""))</f>
        <v/>
      </c>
      <c r="AU783" s="29">
        <f>IF(AZ783="","",IFERROR(INDEX(Lists!$L$2:$L$38,MATCH(LEFT(AZ783,2),Lists!$K$2:$K$38,0)),"Unknown code"))</f>
        <v/>
      </c>
      <c r="AV783" s="29">
        <f>IF(AZ783="","",IFERROR(IF(NOT(AND(LEN(AZ783)=15,ISNUMBER(MATCH(LEFT(AZ783,2),Lists!$K$2:$K$38,0)),SUMPRODUCT(--ISERROR(FIND(MID(MID(AZ783,3,10),{1,2,3,4,5,10},1),"ABCDEFGHIJKLMNOPQRSTUVWXYZ")))=0,SUMPRODUCT(--ISERROR(FIND(MID(MID(AZ783,3,10),{6,7,8,9},1),"0123456789")))=0,ISNUMBER(FIND(MID(AZ783,13,1),"123456789ABCDEFGHIJKLMNOPQRSTUVWXYZ")),MID(AZ783,14,1)="Z")),"Wrong format",IF(MID("0123456789ABCDEFGHIJKLMNOPQRSTUVWXYZ",MOD(36-MOD(SUMPRODUCT(INT((FIND(MID(AZ783,{1,2,3,4,5,6,7,8,9,10,11,12,13,14},1),"0123456789ABCDEFGHIJKLMNOPQRSTUVWXYZ")-1)*{1,2,1,2,1,2,1,2,1,2,1,2,1,2}/36)+MOD((FIND(MID(AZ783,{1,2,3,4,5,6,7,8,9,10,11,12,13,14},1),"0123456789ABCDEFGHIJKLMNOPQRSTUVWXYZ")-1)*{1,2,1,2,1,2,1,2,1,2,1,2,1,2},36)),36),36)+1,1)=MID(AZ783,15,1),"OK","Typo? check digit wrong")),"Wrong format"))</f>
        <v/>
      </c>
      <c r="AW783" s="29">
        <f>IF(BA783="","",IF(AND(LEN(BA783)=10,SUMPRODUCT(--ISERROR(FIND(MID(BA783,{1,2,3,4,5,10},1),"ABCDEFGHIJKLMNOPQRSTUVWXYZ")))=0,SUMPRODUCT(--ISERROR(FIND(MID(BA783,{6,7,8,9},1),"0123456789")))=0),"OK","Wrong format"))</f>
        <v/>
      </c>
      <c r="AX783" s="29">
        <f>IF(TRIM(H783)="","",IF(AND(LEN(UPPER(TRIM(H783)))=10,SUMPRODUCT(--ISERROR(FIND(MID(UPPER(TRIM(H783)),{1,2,3,4,10},1),"ABCDEFGHIJKLMNOPQRSTUVWXYZ")))=0,SUMPRODUCT(--ISERROR(FIND(MID(UPPER(TRIM(H783)),{5,6,7,8,9},1),"0123456789")))=0),"OK","Wrong format"))</f>
        <v/>
      </c>
      <c r="AY783" s="30">
        <f>IF(NOT(COUNTA(A783:AE783)&gt;0),"",IF(BE783&lt;&gt;"","✖ "&amp;LEFT(BE783,LEN(BE783)-2),IF(BD783&gt;0,"✔ Ready — client + "&amp;BD783&amp;" service(s)","✔ Ready — client only")))</f>
        <v/>
      </c>
      <c r="AZ783" s="31">
        <f>UPPER(SUBSTITUTE(TRIM(F783)," ",""))</f>
        <v/>
      </c>
      <c r="BA783" s="31">
        <f>UPPER(SUBSTITUTE(TRIM(E783)," ",""))</f>
        <v/>
      </c>
      <c r="BB783" s="31">
        <f>IF(D783&lt;&gt;"",D783,IFERROR(VLOOKUP(MID(AS783,4,1),Lists!$E$2:$F$8,2,FALSE),""))</f>
        <v/>
      </c>
      <c r="BC783" s="31">
        <f>IFERROR(VLOOKUP(BB783,Lists!$A$2:$C$12,3,FALSE),"")</f>
        <v/>
      </c>
      <c r="BD783" s="31">
        <f>COUNTIF(W783:AC783,"Yes")</f>
        <v/>
      </c>
      <c r="BE783" s="31">
        <f>IF(TRIM(B783)="","Legal name missing; ","")&amp;IF(AND(AV783&lt;&gt;"",AV783&lt;&gt;"OK"),"GSTIN: "&amp;AV783&amp;"; ","")&amp;IF(AND(AW783&lt;&gt;"",AW783&lt;&gt;"OK"),"PAN wrong format; ","")&amp;IF(AND(BA783&lt;&gt;"",LEN(AZ783)=15,MID(AZ783,3,10)&lt;&gt;BA783),"PAN does not match GSTIN; ","")&amp;IF(AND(AX783&lt;&gt;"",AX783&lt;&gt;"OK"),"TAN wrong format; ","")&amp;IF(AS783="","PAN missing; ","")&amp;IF(BB783="","Entity type missing; ","")&amp;IF(AND(AZ783&lt;&gt;"",COUNTIF($AZ$6:$AZ$1005,AZ783)&gt;1),"GSTIN repeated in this sheet; ","")&amp;IF(AND(AS783&lt;&gt;"",COUNTIF($AS$6:$AS$1005,AS783)&gt;1),"PAN repeated in this sheet (same client? put extra GSTINs in Other GSTINs); ","")&amp;IF(AND(BD783&gt;0,V783=""),"Financial year missing; ","")&amp;IF(AND(BD783=0,V783&lt;&gt;""),"Financial year given but no service is Yes; ","")&amp;IF(AND(W783="Yes",AZ783=""),"GST needs a GSTIN; ","")&amp;IF(AND(W783="Yes",X783=""),"GST return frequency missing; ","")&amp;IF(AND(Y783="Yes",TRIM(H783)=""),"TDS needs a TAN; ","")&amp;IF(AND(AA783="Yes",BC783&lt;&gt;"",BC783&lt;&gt;"company",BC783&lt;&gt;"llp"),"ROC is only for a company / LLP; ","")&amp;IF(AND(AA783="Yes",OR(BC783="company",BC783="llp"),TRIM(I783)=""),"ROC needs the CIN / LLPIN; ","")&amp;IF((TRIM(AF783)="")&lt;&gt;(TRIM(AG783)=""),"GST login needs both user ID and password; ","")&amp;IF((TRIM(AH783)="")&lt;&gt;(TRIM(AI783)=""),"Income-tax login needs both user ID and password; ","")&amp;IF((TRIM(AJ783)="")&lt;&gt;(TRIM(AK783)=""),"Income-tax login needs both user ID and password; ","")&amp;IF((TRIM(AL783)="")&lt;&gt;(TRIM(AM783)=""),"TRACES login needs both user ID and password; ","")&amp;IF((TRIM(AN783)="")&lt;&gt;(TRIM(AO783)=""),"MCA login needs both user ID and password; ","")&amp;IF((TRIM(AP783)="")&lt;&gt;(TRIM(AQ783)=""),"E-way bill login needs both user ID and password; ","")</f>
        <v/>
      </c>
    </row>
    <row r="784">
      <c r="A784" s="32" t="n"/>
      <c r="B784" s="33" t="n"/>
      <c r="C784" s="33" t="n"/>
      <c r="D784" s="33" t="n"/>
      <c r="E784" s="32" t="n"/>
      <c r="F784" s="32" t="n"/>
      <c r="G784" s="32" t="n"/>
      <c r="H784" s="32" t="n"/>
      <c r="I784" s="32" t="n"/>
      <c r="J784" s="34" t="n"/>
      <c r="K784" s="33" t="n"/>
      <c r="L784" s="32" t="n"/>
      <c r="M784" s="33" t="n"/>
      <c r="N784" s="33" t="n"/>
      <c r="O784" s="33" t="n"/>
      <c r="P784" s="32" t="n"/>
      <c r="Q784" s="33" t="n"/>
      <c r="R784" s="33" t="n"/>
      <c r="S784" s="33" t="n"/>
      <c r="T784" s="33" t="n"/>
      <c r="U784" s="32" t="n"/>
      <c r="V784" s="33" t="n"/>
      <c r="W784" s="33" t="n"/>
      <c r="X784" s="33" t="n"/>
      <c r="Y784" s="33" t="n"/>
      <c r="Z784" s="33" t="n"/>
      <c r="AA784" s="33" t="n"/>
      <c r="AB784" s="33" t="n"/>
      <c r="AC784" s="33" t="n"/>
      <c r="AD784" s="33" t="n"/>
      <c r="AE784" s="33" t="n"/>
      <c r="AF784" s="32" t="n"/>
      <c r="AG784" s="32" t="n"/>
      <c r="AH784" s="32" t="n"/>
      <c r="AI784" s="32" t="n"/>
      <c r="AJ784" s="32" t="n"/>
      <c r="AK784" s="32" t="n"/>
      <c r="AL784" s="32" t="n"/>
      <c r="AM784" s="32" t="n"/>
      <c r="AN784" s="32" t="n"/>
      <c r="AO784" s="32" t="n"/>
      <c r="AP784" s="32" t="n"/>
      <c r="AQ784" s="32" t="n"/>
      <c r="AR784" s="29">
        <f>IF(NOT(COUNTA(A784:AE784)&gt;0),"",IF(A784="","New client","Update"))</f>
        <v/>
      </c>
      <c r="AS784" s="29">
        <f>IF(BA784&lt;&gt;"",BA784,IF(LEN(AZ784)=15,MID(AZ784,3,10),""))</f>
        <v/>
      </c>
      <c r="AT784" s="29">
        <f>IF(BB784="","",BB784&amp;IF(D784="","  (guessed from PAN)",""))</f>
        <v/>
      </c>
      <c r="AU784" s="29">
        <f>IF(AZ784="","",IFERROR(INDEX(Lists!$L$2:$L$38,MATCH(LEFT(AZ784,2),Lists!$K$2:$K$38,0)),"Unknown code"))</f>
        <v/>
      </c>
      <c r="AV784" s="29">
        <f>IF(AZ784="","",IFERROR(IF(NOT(AND(LEN(AZ784)=15,ISNUMBER(MATCH(LEFT(AZ784,2),Lists!$K$2:$K$38,0)),SUMPRODUCT(--ISERROR(FIND(MID(MID(AZ784,3,10),{1,2,3,4,5,10},1),"ABCDEFGHIJKLMNOPQRSTUVWXYZ")))=0,SUMPRODUCT(--ISERROR(FIND(MID(MID(AZ784,3,10),{6,7,8,9},1),"0123456789")))=0,ISNUMBER(FIND(MID(AZ784,13,1),"123456789ABCDEFGHIJKLMNOPQRSTUVWXYZ")),MID(AZ784,14,1)="Z")),"Wrong format",IF(MID("0123456789ABCDEFGHIJKLMNOPQRSTUVWXYZ",MOD(36-MOD(SUMPRODUCT(INT((FIND(MID(AZ784,{1,2,3,4,5,6,7,8,9,10,11,12,13,14},1),"0123456789ABCDEFGHIJKLMNOPQRSTUVWXYZ")-1)*{1,2,1,2,1,2,1,2,1,2,1,2,1,2}/36)+MOD((FIND(MID(AZ784,{1,2,3,4,5,6,7,8,9,10,11,12,13,14},1),"0123456789ABCDEFGHIJKLMNOPQRSTUVWXYZ")-1)*{1,2,1,2,1,2,1,2,1,2,1,2,1,2},36)),36),36)+1,1)=MID(AZ784,15,1),"OK","Typo? check digit wrong")),"Wrong format"))</f>
        <v/>
      </c>
      <c r="AW784" s="29">
        <f>IF(BA784="","",IF(AND(LEN(BA784)=10,SUMPRODUCT(--ISERROR(FIND(MID(BA784,{1,2,3,4,5,10},1),"ABCDEFGHIJKLMNOPQRSTUVWXYZ")))=0,SUMPRODUCT(--ISERROR(FIND(MID(BA784,{6,7,8,9},1),"0123456789")))=0),"OK","Wrong format"))</f>
        <v/>
      </c>
      <c r="AX784" s="29">
        <f>IF(TRIM(H784)="","",IF(AND(LEN(UPPER(TRIM(H784)))=10,SUMPRODUCT(--ISERROR(FIND(MID(UPPER(TRIM(H784)),{1,2,3,4,10},1),"ABCDEFGHIJKLMNOPQRSTUVWXYZ")))=0,SUMPRODUCT(--ISERROR(FIND(MID(UPPER(TRIM(H784)),{5,6,7,8,9},1),"0123456789")))=0),"OK","Wrong format"))</f>
        <v/>
      </c>
      <c r="AY784" s="30">
        <f>IF(NOT(COUNTA(A784:AE784)&gt;0),"",IF(BE784&lt;&gt;"","✖ "&amp;LEFT(BE784,LEN(BE784)-2),IF(BD784&gt;0,"✔ Ready — client + "&amp;BD784&amp;" service(s)","✔ Ready — client only")))</f>
        <v/>
      </c>
      <c r="AZ784" s="31">
        <f>UPPER(SUBSTITUTE(TRIM(F784)," ",""))</f>
        <v/>
      </c>
      <c r="BA784" s="31">
        <f>UPPER(SUBSTITUTE(TRIM(E784)," ",""))</f>
        <v/>
      </c>
      <c r="BB784" s="31">
        <f>IF(D784&lt;&gt;"",D784,IFERROR(VLOOKUP(MID(AS784,4,1),Lists!$E$2:$F$8,2,FALSE),""))</f>
        <v/>
      </c>
      <c r="BC784" s="31">
        <f>IFERROR(VLOOKUP(BB784,Lists!$A$2:$C$12,3,FALSE),"")</f>
        <v/>
      </c>
      <c r="BD784" s="31">
        <f>COUNTIF(W784:AC784,"Yes")</f>
        <v/>
      </c>
      <c r="BE784" s="31">
        <f>IF(TRIM(B784)="","Legal name missing; ","")&amp;IF(AND(AV784&lt;&gt;"",AV784&lt;&gt;"OK"),"GSTIN: "&amp;AV784&amp;"; ","")&amp;IF(AND(AW784&lt;&gt;"",AW784&lt;&gt;"OK"),"PAN wrong format; ","")&amp;IF(AND(BA784&lt;&gt;"",LEN(AZ784)=15,MID(AZ784,3,10)&lt;&gt;BA784),"PAN does not match GSTIN; ","")&amp;IF(AND(AX784&lt;&gt;"",AX784&lt;&gt;"OK"),"TAN wrong format; ","")&amp;IF(AS784="","PAN missing; ","")&amp;IF(BB784="","Entity type missing; ","")&amp;IF(AND(AZ784&lt;&gt;"",COUNTIF($AZ$6:$AZ$1005,AZ784)&gt;1),"GSTIN repeated in this sheet; ","")&amp;IF(AND(AS784&lt;&gt;"",COUNTIF($AS$6:$AS$1005,AS784)&gt;1),"PAN repeated in this sheet (same client? put extra GSTINs in Other GSTINs); ","")&amp;IF(AND(BD784&gt;0,V784=""),"Financial year missing; ","")&amp;IF(AND(BD784=0,V784&lt;&gt;""),"Financial year given but no service is Yes; ","")&amp;IF(AND(W784="Yes",AZ784=""),"GST needs a GSTIN; ","")&amp;IF(AND(W784="Yes",X784=""),"GST return frequency missing; ","")&amp;IF(AND(Y784="Yes",TRIM(H784)=""),"TDS needs a TAN; ","")&amp;IF(AND(AA784="Yes",BC784&lt;&gt;"",BC784&lt;&gt;"company",BC784&lt;&gt;"llp"),"ROC is only for a company / LLP; ","")&amp;IF(AND(AA784="Yes",OR(BC784="company",BC784="llp"),TRIM(I784)=""),"ROC needs the CIN / LLPIN; ","")&amp;IF((TRIM(AF784)="")&lt;&gt;(TRIM(AG784)=""),"GST login needs both user ID and password; ","")&amp;IF((TRIM(AH784)="")&lt;&gt;(TRIM(AI784)=""),"Income-tax login needs both user ID and password; ","")&amp;IF((TRIM(AJ784)="")&lt;&gt;(TRIM(AK784)=""),"Income-tax login needs both user ID and password; ","")&amp;IF((TRIM(AL784)="")&lt;&gt;(TRIM(AM784)=""),"TRACES login needs both user ID and password; ","")&amp;IF((TRIM(AN784)="")&lt;&gt;(TRIM(AO784)=""),"MCA login needs both user ID and password; ","")&amp;IF((TRIM(AP784)="")&lt;&gt;(TRIM(AQ784)=""),"E-way bill login needs both user ID and password; ","")</f>
        <v/>
      </c>
    </row>
    <row r="785">
      <c r="A785" s="32" t="n"/>
      <c r="B785" s="33" t="n"/>
      <c r="C785" s="33" t="n"/>
      <c r="D785" s="33" t="n"/>
      <c r="E785" s="32" t="n"/>
      <c r="F785" s="32" t="n"/>
      <c r="G785" s="32" t="n"/>
      <c r="H785" s="32" t="n"/>
      <c r="I785" s="32" t="n"/>
      <c r="J785" s="34" t="n"/>
      <c r="K785" s="33" t="n"/>
      <c r="L785" s="32" t="n"/>
      <c r="M785" s="33" t="n"/>
      <c r="N785" s="33" t="n"/>
      <c r="O785" s="33" t="n"/>
      <c r="P785" s="32" t="n"/>
      <c r="Q785" s="33" t="n"/>
      <c r="R785" s="33" t="n"/>
      <c r="S785" s="33" t="n"/>
      <c r="T785" s="33" t="n"/>
      <c r="U785" s="32" t="n"/>
      <c r="V785" s="33" t="n"/>
      <c r="W785" s="33" t="n"/>
      <c r="X785" s="33" t="n"/>
      <c r="Y785" s="33" t="n"/>
      <c r="Z785" s="33" t="n"/>
      <c r="AA785" s="33" t="n"/>
      <c r="AB785" s="33" t="n"/>
      <c r="AC785" s="33" t="n"/>
      <c r="AD785" s="33" t="n"/>
      <c r="AE785" s="33" t="n"/>
      <c r="AF785" s="32" t="n"/>
      <c r="AG785" s="32" t="n"/>
      <c r="AH785" s="32" t="n"/>
      <c r="AI785" s="32" t="n"/>
      <c r="AJ785" s="32" t="n"/>
      <c r="AK785" s="32" t="n"/>
      <c r="AL785" s="32" t="n"/>
      <c r="AM785" s="32" t="n"/>
      <c r="AN785" s="32" t="n"/>
      <c r="AO785" s="32" t="n"/>
      <c r="AP785" s="32" t="n"/>
      <c r="AQ785" s="32" t="n"/>
      <c r="AR785" s="29">
        <f>IF(NOT(COUNTA(A785:AE785)&gt;0),"",IF(A785="","New client","Update"))</f>
        <v/>
      </c>
      <c r="AS785" s="29">
        <f>IF(BA785&lt;&gt;"",BA785,IF(LEN(AZ785)=15,MID(AZ785,3,10),""))</f>
        <v/>
      </c>
      <c r="AT785" s="29">
        <f>IF(BB785="","",BB785&amp;IF(D785="","  (guessed from PAN)",""))</f>
        <v/>
      </c>
      <c r="AU785" s="29">
        <f>IF(AZ785="","",IFERROR(INDEX(Lists!$L$2:$L$38,MATCH(LEFT(AZ785,2),Lists!$K$2:$K$38,0)),"Unknown code"))</f>
        <v/>
      </c>
      <c r="AV785" s="29">
        <f>IF(AZ785="","",IFERROR(IF(NOT(AND(LEN(AZ785)=15,ISNUMBER(MATCH(LEFT(AZ785,2),Lists!$K$2:$K$38,0)),SUMPRODUCT(--ISERROR(FIND(MID(MID(AZ785,3,10),{1,2,3,4,5,10},1),"ABCDEFGHIJKLMNOPQRSTUVWXYZ")))=0,SUMPRODUCT(--ISERROR(FIND(MID(MID(AZ785,3,10),{6,7,8,9},1),"0123456789")))=0,ISNUMBER(FIND(MID(AZ785,13,1),"123456789ABCDEFGHIJKLMNOPQRSTUVWXYZ")),MID(AZ785,14,1)="Z")),"Wrong format",IF(MID("0123456789ABCDEFGHIJKLMNOPQRSTUVWXYZ",MOD(36-MOD(SUMPRODUCT(INT((FIND(MID(AZ785,{1,2,3,4,5,6,7,8,9,10,11,12,13,14},1),"0123456789ABCDEFGHIJKLMNOPQRSTUVWXYZ")-1)*{1,2,1,2,1,2,1,2,1,2,1,2,1,2}/36)+MOD((FIND(MID(AZ785,{1,2,3,4,5,6,7,8,9,10,11,12,13,14},1),"0123456789ABCDEFGHIJKLMNOPQRSTUVWXYZ")-1)*{1,2,1,2,1,2,1,2,1,2,1,2,1,2},36)),36),36)+1,1)=MID(AZ785,15,1),"OK","Typo? check digit wrong")),"Wrong format"))</f>
        <v/>
      </c>
      <c r="AW785" s="29">
        <f>IF(BA785="","",IF(AND(LEN(BA785)=10,SUMPRODUCT(--ISERROR(FIND(MID(BA785,{1,2,3,4,5,10},1),"ABCDEFGHIJKLMNOPQRSTUVWXYZ")))=0,SUMPRODUCT(--ISERROR(FIND(MID(BA785,{6,7,8,9},1),"0123456789")))=0),"OK","Wrong format"))</f>
        <v/>
      </c>
      <c r="AX785" s="29">
        <f>IF(TRIM(H785)="","",IF(AND(LEN(UPPER(TRIM(H785)))=10,SUMPRODUCT(--ISERROR(FIND(MID(UPPER(TRIM(H785)),{1,2,3,4,10},1),"ABCDEFGHIJKLMNOPQRSTUVWXYZ")))=0,SUMPRODUCT(--ISERROR(FIND(MID(UPPER(TRIM(H785)),{5,6,7,8,9},1),"0123456789")))=0),"OK","Wrong format"))</f>
        <v/>
      </c>
      <c r="AY785" s="30">
        <f>IF(NOT(COUNTA(A785:AE785)&gt;0),"",IF(BE785&lt;&gt;"","✖ "&amp;LEFT(BE785,LEN(BE785)-2),IF(BD785&gt;0,"✔ Ready — client + "&amp;BD785&amp;" service(s)","✔ Ready — client only")))</f>
        <v/>
      </c>
      <c r="AZ785" s="31">
        <f>UPPER(SUBSTITUTE(TRIM(F785)," ",""))</f>
        <v/>
      </c>
      <c r="BA785" s="31">
        <f>UPPER(SUBSTITUTE(TRIM(E785)," ",""))</f>
        <v/>
      </c>
      <c r="BB785" s="31">
        <f>IF(D785&lt;&gt;"",D785,IFERROR(VLOOKUP(MID(AS785,4,1),Lists!$E$2:$F$8,2,FALSE),""))</f>
        <v/>
      </c>
      <c r="BC785" s="31">
        <f>IFERROR(VLOOKUP(BB785,Lists!$A$2:$C$12,3,FALSE),"")</f>
        <v/>
      </c>
      <c r="BD785" s="31">
        <f>COUNTIF(W785:AC785,"Yes")</f>
        <v/>
      </c>
      <c r="BE785" s="31">
        <f>IF(TRIM(B785)="","Legal name missing; ","")&amp;IF(AND(AV785&lt;&gt;"",AV785&lt;&gt;"OK"),"GSTIN: "&amp;AV785&amp;"; ","")&amp;IF(AND(AW785&lt;&gt;"",AW785&lt;&gt;"OK"),"PAN wrong format; ","")&amp;IF(AND(BA785&lt;&gt;"",LEN(AZ785)=15,MID(AZ785,3,10)&lt;&gt;BA785),"PAN does not match GSTIN; ","")&amp;IF(AND(AX785&lt;&gt;"",AX785&lt;&gt;"OK"),"TAN wrong format; ","")&amp;IF(AS785="","PAN missing; ","")&amp;IF(BB785="","Entity type missing; ","")&amp;IF(AND(AZ785&lt;&gt;"",COUNTIF($AZ$6:$AZ$1005,AZ785)&gt;1),"GSTIN repeated in this sheet; ","")&amp;IF(AND(AS785&lt;&gt;"",COUNTIF($AS$6:$AS$1005,AS785)&gt;1),"PAN repeated in this sheet (same client? put extra GSTINs in Other GSTINs); ","")&amp;IF(AND(BD785&gt;0,V785=""),"Financial year missing; ","")&amp;IF(AND(BD785=0,V785&lt;&gt;""),"Financial year given but no service is Yes; ","")&amp;IF(AND(W785="Yes",AZ785=""),"GST needs a GSTIN; ","")&amp;IF(AND(W785="Yes",X785=""),"GST return frequency missing; ","")&amp;IF(AND(Y785="Yes",TRIM(H785)=""),"TDS needs a TAN; ","")&amp;IF(AND(AA785="Yes",BC785&lt;&gt;"",BC785&lt;&gt;"company",BC785&lt;&gt;"llp"),"ROC is only for a company / LLP; ","")&amp;IF(AND(AA785="Yes",OR(BC785="company",BC785="llp"),TRIM(I785)=""),"ROC needs the CIN / LLPIN; ","")&amp;IF((TRIM(AF785)="")&lt;&gt;(TRIM(AG785)=""),"GST login needs both user ID and password; ","")&amp;IF((TRIM(AH785)="")&lt;&gt;(TRIM(AI785)=""),"Income-tax login needs both user ID and password; ","")&amp;IF((TRIM(AJ785)="")&lt;&gt;(TRIM(AK785)=""),"Income-tax login needs both user ID and password; ","")&amp;IF((TRIM(AL785)="")&lt;&gt;(TRIM(AM785)=""),"TRACES login needs both user ID and password; ","")&amp;IF((TRIM(AN785)="")&lt;&gt;(TRIM(AO785)=""),"MCA login needs both user ID and password; ","")&amp;IF((TRIM(AP785)="")&lt;&gt;(TRIM(AQ785)=""),"E-way bill login needs both user ID and password; ","")</f>
        <v/>
      </c>
    </row>
    <row r="786">
      <c r="A786" s="32" t="n"/>
      <c r="B786" s="33" t="n"/>
      <c r="C786" s="33" t="n"/>
      <c r="D786" s="33" t="n"/>
      <c r="E786" s="32" t="n"/>
      <c r="F786" s="32" t="n"/>
      <c r="G786" s="32" t="n"/>
      <c r="H786" s="32" t="n"/>
      <c r="I786" s="32" t="n"/>
      <c r="J786" s="34" t="n"/>
      <c r="K786" s="33" t="n"/>
      <c r="L786" s="32" t="n"/>
      <c r="M786" s="33" t="n"/>
      <c r="N786" s="33" t="n"/>
      <c r="O786" s="33" t="n"/>
      <c r="P786" s="32" t="n"/>
      <c r="Q786" s="33" t="n"/>
      <c r="R786" s="33" t="n"/>
      <c r="S786" s="33" t="n"/>
      <c r="T786" s="33" t="n"/>
      <c r="U786" s="32" t="n"/>
      <c r="V786" s="33" t="n"/>
      <c r="W786" s="33" t="n"/>
      <c r="X786" s="33" t="n"/>
      <c r="Y786" s="33" t="n"/>
      <c r="Z786" s="33" t="n"/>
      <c r="AA786" s="33" t="n"/>
      <c r="AB786" s="33" t="n"/>
      <c r="AC786" s="33" t="n"/>
      <c r="AD786" s="33" t="n"/>
      <c r="AE786" s="33" t="n"/>
      <c r="AF786" s="32" t="n"/>
      <c r="AG786" s="32" t="n"/>
      <c r="AH786" s="32" t="n"/>
      <c r="AI786" s="32" t="n"/>
      <c r="AJ786" s="32" t="n"/>
      <c r="AK786" s="32" t="n"/>
      <c r="AL786" s="32" t="n"/>
      <c r="AM786" s="32" t="n"/>
      <c r="AN786" s="32" t="n"/>
      <c r="AO786" s="32" t="n"/>
      <c r="AP786" s="32" t="n"/>
      <c r="AQ786" s="32" t="n"/>
      <c r="AR786" s="29">
        <f>IF(NOT(COUNTA(A786:AE786)&gt;0),"",IF(A786="","New client","Update"))</f>
        <v/>
      </c>
      <c r="AS786" s="29">
        <f>IF(BA786&lt;&gt;"",BA786,IF(LEN(AZ786)=15,MID(AZ786,3,10),""))</f>
        <v/>
      </c>
      <c r="AT786" s="29">
        <f>IF(BB786="","",BB786&amp;IF(D786="","  (guessed from PAN)",""))</f>
        <v/>
      </c>
      <c r="AU786" s="29">
        <f>IF(AZ786="","",IFERROR(INDEX(Lists!$L$2:$L$38,MATCH(LEFT(AZ786,2),Lists!$K$2:$K$38,0)),"Unknown code"))</f>
        <v/>
      </c>
      <c r="AV786" s="29">
        <f>IF(AZ786="","",IFERROR(IF(NOT(AND(LEN(AZ786)=15,ISNUMBER(MATCH(LEFT(AZ786,2),Lists!$K$2:$K$38,0)),SUMPRODUCT(--ISERROR(FIND(MID(MID(AZ786,3,10),{1,2,3,4,5,10},1),"ABCDEFGHIJKLMNOPQRSTUVWXYZ")))=0,SUMPRODUCT(--ISERROR(FIND(MID(MID(AZ786,3,10),{6,7,8,9},1),"0123456789")))=0,ISNUMBER(FIND(MID(AZ786,13,1),"123456789ABCDEFGHIJKLMNOPQRSTUVWXYZ")),MID(AZ786,14,1)="Z")),"Wrong format",IF(MID("0123456789ABCDEFGHIJKLMNOPQRSTUVWXYZ",MOD(36-MOD(SUMPRODUCT(INT((FIND(MID(AZ786,{1,2,3,4,5,6,7,8,9,10,11,12,13,14},1),"0123456789ABCDEFGHIJKLMNOPQRSTUVWXYZ")-1)*{1,2,1,2,1,2,1,2,1,2,1,2,1,2}/36)+MOD((FIND(MID(AZ786,{1,2,3,4,5,6,7,8,9,10,11,12,13,14},1),"0123456789ABCDEFGHIJKLMNOPQRSTUVWXYZ")-1)*{1,2,1,2,1,2,1,2,1,2,1,2,1,2},36)),36),36)+1,1)=MID(AZ786,15,1),"OK","Typo? check digit wrong")),"Wrong format"))</f>
        <v/>
      </c>
      <c r="AW786" s="29">
        <f>IF(BA786="","",IF(AND(LEN(BA786)=10,SUMPRODUCT(--ISERROR(FIND(MID(BA786,{1,2,3,4,5,10},1),"ABCDEFGHIJKLMNOPQRSTUVWXYZ")))=0,SUMPRODUCT(--ISERROR(FIND(MID(BA786,{6,7,8,9},1),"0123456789")))=0),"OK","Wrong format"))</f>
        <v/>
      </c>
      <c r="AX786" s="29">
        <f>IF(TRIM(H786)="","",IF(AND(LEN(UPPER(TRIM(H786)))=10,SUMPRODUCT(--ISERROR(FIND(MID(UPPER(TRIM(H786)),{1,2,3,4,10},1),"ABCDEFGHIJKLMNOPQRSTUVWXYZ")))=0,SUMPRODUCT(--ISERROR(FIND(MID(UPPER(TRIM(H786)),{5,6,7,8,9},1),"0123456789")))=0),"OK","Wrong format"))</f>
        <v/>
      </c>
      <c r="AY786" s="30">
        <f>IF(NOT(COUNTA(A786:AE786)&gt;0),"",IF(BE786&lt;&gt;"","✖ "&amp;LEFT(BE786,LEN(BE786)-2),IF(BD786&gt;0,"✔ Ready — client + "&amp;BD786&amp;" service(s)","✔ Ready — client only")))</f>
        <v/>
      </c>
      <c r="AZ786" s="31">
        <f>UPPER(SUBSTITUTE(TRIM(F786)," ",""))</f>
        <v/>
      </c>
      <c r="BA786" s="31">
        <f>UPPER(SUBSTITUTE(TRIM(E786)," ",""))</f>
        <v/>
      </c>
      <c r="BB786" s="31">
        <f>IF(D786&lt;&gt;"",D786,IFERROR(VLOOKUP(MID(AS786,4,1),Lists!$E$2:$F$8,2,FALSE),""))</f>
        <v/>
      </c>
      <c r="BC786" s="31">
        <f>IFERROR(VLOOKUP(BB786,Lists!$A$2:$C$12,3,FALSE),"")</f>
        <v/>
      </c>
      <c r="BD786" s="31">
        <f>COUNTIF(W786:AC786,"Yes")</f>
        <v/>
      </c>
      <c r="BE786" s="31">
        <f>IF(TRIM(B786)="","Legal name missing; ","")&amp;IF(AND(AV786&lt;&gt;"",AV786&lt;&gt;"OK"),"GSTIN: "&amp;AV786&amp;"; ","")&amp;IF(AND(AW786&lt;&gt;"",AW786&lt;&gt;"OK"),"PAN wrong format; ","")&amp;IF(AND(BA786&lt;&gt;"",LEN(AZ786)=15,MID(AZ786,3,10)&lt;&gt;BA786),"PAN does not match GSTIN; ","")&amp;IF(AND(AX786&lt;&gt;"",AX786&lt;&gt;"OK"),"TAN wrong format; ","")&amp;IF(AS786="","PAN missing; ","")&amp;IF(BB786="","Entity type missing; ","")&amp;IF(AND(AZ786&lt;&gt;"",COUNTIF($AZ$6:$AZ$1005,AZ786)&gt;1),"GSTIN repeated in this sheet; ","")&amp;IF(AND(AS786&lt;&gt;"",COUNTIF($AS$6:$AS$1005,AS786)&gt;1),"PAN repeated in this sheet (same client? put extra GSTINs in Other GSTINs); ","")&amp;IF(AND(BD786&gt;0,V786=""),"Financial year missing; ","")&amp;IF(AND(BD786=0,V786&lt;&gt;""),"Financial year given but no service is Yes; ","")&amp;IF(AND(W786="Yes",AZ786=""),"GST needs a GSTIN; ","")&amp;IF(AND(W786="Yes",X786=""),"GST return frequency missing; ","")&amp;IF(AND(Y786="Yes",TRIM(H786)=""),"TDS needs a TAN; ","")&amp;IF(AND(AA786="Yes",BC786&lt;&gt;"",BC786&lt;&gt;"company",BC786&lt;&gt;"llp"),"ROC is only for a company / LLP; ","")&amp;IF(AND(AA786="Yes",OR(BC786="company",BC786="llp"),TRIM(I786)=""),"ROC needs the CIN / LLPIN; ","")&amp;IF((TRIM(AF786)="")&lt;&gt;(TRIM(AG786)=""),"GST login needs both user ID and password; ","")&amp;IF((TRIM(AH786)="")&lt;&gt;(TRIM(AI786)=""),"Income-tax login needs both user ID and password; ","")&amp;IF((TRIM(AJ786)="")&lt;&gt;(TRIM(AK786)=""),"Income-tax login needs both user ID and password; ","")&amp;IF((TRIM(AL786)="")&lt;&gt;(TRIM(AM786)=""),"TRACES login needs both user ID and password; ","")&amp;IF((TRIM(AN786)="")&lt;&gt;(TRIM(AO786)=""),"MCA login needs both user ID and password; ","")&amp;IF((TRIM(AP786)="")&lt;&gt;(TRIM(AQ786)=""),"E-way bill login needs both user ID and password; ","")</f>
        <v/>
      </c>
    </row>
    <row r="787">
      <c r="A787" s="32" t="n"/>
      <c r="B787" s="33" t="n"/>
      <c r="C787" s="33" t="n"/>
      <c r="D787" s="33" t="n"/>
      <c r="E787" s="32" t="n"/>
      <c r="F787" s="32" t="n"/>
      <c r="G787" s="32" t="n"/>
      <c r="H787" s="32" t="n"/>
      <c r="I787" s="32" t="n"/>
      <c r="J787" s="34" t="n"/>
      <c r="K787" s="33" t="n"/>
      <c r="L787" s="32" t="n"/>
      <c r="M787" s="33" t="n"/>
      <c r="N787" s="33" t="n"/>
      <c r="O787" s="33" t="n"/>
      <c r="P787" s="32" t="n"/>
      <c r="Q787" s="33" t="n"/>
      <c r="R787" s="33" t="n"/>
      <c r="S787" s="33" t="n"/>
      <c r="T787" s="33" t="n"/>
      <c r="U787" s="32" t="n"/>
      <c r="V787" s="33" t="n"/>
      <c r="W787" s="33" t="n"/>
      <c r="X787" s="33" t="n"/>
      <c r="Y787" s="33" t="n"/>
      <c r="Z787" s="33" t="n"/>
      <c r="AA787" s="33" t="n"/>
      <c r="AB787" s="33" t="n"/>
      <c r="AC787" s="33" t="n"/>
      <c r="AD787" s="33" t="n"/>
      <c r="AE787" s="33" t="n"/>
      <c r="AF787" s="32" t="n"/>
      <c r="AG787" s="32" t="n"/>
      <c r="AH787" s="32" t="n"/>
      <c r="AI787" s="32" t="n"/>
      <c r="AJ787" s="32" t="n"/>
      <c r="AK787" s="32" t="n"/>
      <c r="AL787" s="32" t="n"/>
      <c r="AM787" s="32" t="n"/>
      <c r="AN787" s="32" t="n"/>
      <c r="AO787" s="32" t="n"/>
      <c r="AP787" s="32" t="n"/>
      <c r="AQ787" s="32" t="n"/>
      <c r="AR787" s="29">
        <f>IF(NOT(COUNTA(A787:AE787)&gt;0),"",IF(A787="","New client","Update"))</f>
        <v/>
      </c>
      <c r="AS787" s="29">
        <f>IF(BA787&lt;&gt;"",BA787,IF(LEN(AZ787)=15,MID(AZ787,3,10),""))</f>
        <v/>
      </c>
      <c r="AT787" s="29">
        <f>IF(BB787="","",BB787&amp;IF(D787="","  (guessed from PAN)",""))</f>
        <v/>
      </c>
      <c r="AU787" s="29">
        <f>IF(AZ787="","",IFERROR(INDEX(Lists!$L$2:$L$38,MATCH(LEFT(AZ787,2),Lists!$K$2:$K$38,0)),"Unknown code"))</f>
        <v/>
      </c>
      <c r="AV787" s="29">
        <f>IF(AZ787="","",IFERROR(IF(NOT(AND(LEN(AZ787)=15,ISNUMBER(MATCH(LEFT(AZ787,2),Lists!$K$2:$K$38,0)),SUMPRODUCT(--ISERROR(FIND(MID(MID(AZ787,3,10),{1,2,3,4,5,10},1),"ABCDEFGHIJKLMNOPQRSTUVWXYZ")))=0,SUMPRODUCT(--ISERROR(FIND(MID(MID(AZ787,3,10),{6,7,8,9},1),"0123456789")))=0,ISNUMBER(FIND(MID(AZ787,13,1),"123456789ABCDEFGHIJKLMNOPQRSTUVWXYZ")),MID(AZ787,14,1)="Z")),"Wrong format",IF(MID("0123456789ABCDEFGHIJKLMNOPQRSTUVWXYZ",MOD(36-MOD(SUMPRODUCT(INT((FIND(MID(AZ787,{1,2,3,4,5,6,7,8,9,10,11,12,13,14},1),"0123456789ABCDEFGHIJKLMNOPQRSTUVWXYZ")-1)*{1,2,1,2,1,2,1,2,1,2,1,2,1,2}/36)+MOD((FIND(MID(AZ787,{1,2,3,4,5,6,7,8,9,10,11,12,13,14},1),"0123456789ABCDEFGHIJKLMNOPQRSTUVWXYZ")-1)*{1,2,1,2,1,2,1,2,1,2,1,2,1,2},36)),36),36)+1,1)=MID(AZ787,15,1),"OK","Typo? check digit wrong")),"Wrong format"))</f>
        <v/>
      </c>
      <c r="AW787" s="29">
        <f>IF(BA787="","",IF(AND(LEN(BA787)=10,SUMPRODUCT(--ISERROR(FIND(MID(BA787,{1,2,3,4,5,10},1),"ABCDEFGHIJKLMNOPQRSTUVWXYZ")))=0,SUMPRODUCT(--ISERROR(FIND(MID(BA787,{6,7,8,9},1),"0123456789")))=0),"OK","Wrong format"))</f>
        <v/>
      </c>
      <c r="AX787" s="29">
        <f>IF(TRIM(H787)="","",IF(AND(LEN(UPPER(TRIM(H787)))=10,SUMPRODUCT(--ISERROR(FIND(MID(UPPER(TRIM(H787)),{1,2,3,4,10},1),"ABCDEFGHIJKLMNOPQRSTUVWXYZ")))=0,SUMPRODUCT(--ISERROR(FIND(MID(UPPER(TRIM(H787)),{5,6,7,8,9},1),"0123456789")))=0),"OK","Wrong format"))</f>
        <v/>
      </c>
      <c r="AY787" s="30">
        <f>IF(NOT(COUNTA(A787:AE787)&gt;0),"",IF(BE787&lt;&gt;"","✖ "&amp;LEFT(BE787,LEN(BE787)-2),IF(BD787&gt;0,"✔ Ready — client + "&amp;BD787&amp;" service(s)","✔ Ready — client only")))</f>
        <v/>
      </c>
      <c r="AZ787" s="31">
        <f>UPPER(SUBSTITUTE(TRIM(F787)," ",""))</f>
        <v/>
      </c>
      <c r="BA787" s="31">
        <f>UPPER(SUBSTITUTE(TRIM(E787)," ",""))</f>
        <v/>
      </c>
      <c r="BB787" s="31">
        <f>IF(D787&lt;&gt;"",D787,IFERROR(VLOOKUP(MID(AS787,4,1),Lists!$E$2:$F$8,2,FALSE),""))</f>
        <v/>
      </c>
      <c r="BC787" s="31">
        <f>IFERROR(VLOOKUP(BB787,Lists!$A$2:$C$12,3,FALSE),"")</f>
        <v/>
      </c>
      <c r="BD787" s="31">
        <f>COUNTIF(W787:AC787,"Yes")</f>
        <v/>
      </c>
      <c r="BE787" s="31">
        <f>IF(TRIM(B787)="","Legal name missing; ","")&amp;IF(AND(AV787&lt;&gt;"",AV787&lt;&gt;"OK"),"GSTIN: "&amp;AV787&amp;"; ","")&amp;IF(AND(AW787&lt;&gt;"",AW787&lt;&gt;"OK"),"PAN wrong format; ","")&amp;IF(AND(BA787&lt;&gt;"",LEN(AZ787)=15,MID(AZ787,3,10)&lt;&gt;BA787),"PAN does not match GSTIN; ","")&amp;IF(AND(AX787&lt;&gt;"",AX787&lt;&gt;"OK"),"TAN wrong format; ","")&amp;IF(AS787="","PAN missing; ","")&amp;IF(BB787="","Entity type missing; ","")&amp;IF(AND(AZ787&lt;&gt;"",COUNTIF($AZ$6:$AZ$1005,AZ787)&gt;1),"GSTIN repeated in this sheet; ","")&amp;IF(AND(AS787&lt;&gt;"",COUNTIF($AS$6:$AS$1005,AS787)&gt;1),"PAN repeated in this sheet (same client? put extra GSTINs in Other GSTINs); ","")&amp;IF(AND(BD787&gt;0,V787=""),"Financial year missing; ","")&amp;IF(AND(BD787=0,V787&lt;&gt;""),"Financial year given but no service is Yes; ","")&amp;IF(AND(W787="Yes",AZ787=""),"GST needs a GSTIN; ","")&amp;IF(AND(W787="Yes",X787=""),"GST return frequency missing; ","")&amp;IF(AND(Y787="Yes",TRIM(H787)=""),"TDS needs a TAN; ","")&amp;IF(AND(AA787="Yes",BC787&lt;&gt;"",BC787&lt;&gt;"company",BC787&lt;&gt;"llp"),"ROC is only for a company / LLP; ","")&amp;IF(AND(AA787="Yes",OR(BC787="company",BC787="llp"),TRIM(I787)=""),"ROC needs the CIN / LLPIN; ","")&amp;IF((TRIM(AF787)="")&lt;&gt;(TRIM(AG787)=""),"GST login needs both user ID and password; ","")&amp;IF((TRIM(AH787)="")&lt;&gt;(TRIM(AI787)=""),"Income-tax login needs both user ID and password; ","")&amp;IF((TRIM(AJ787)="")&lt;&gt;(TRIM(AK787)=""),"Income-tax login needs both user ID and password; ","")&amp;IF((TRIM(AL787)="")&lt;&gt;(TRIM(AM787)=""),"TRACES login needs both user ID and password; ","")&amp;IF((TRIM(AN787)="")&lt;&gt;(TRIM(AO787)=""),"MCA login needs both user ID and password; ","")&amp;IF((TRIM(AP787)="")&lt;&gt;(TRIM(AQ787)=""),"E-way bill login needs both user ID and password; ","")</f>
        <v/>
      </c>
    </row>
    <row r="788">
      <c r="A788" s="32" t="n"/>
      <c r="B788" s="33" t="n"/>
      <c r="C788" s="33" t="n"/>
      <c r="D788" s="33" t="n"/>
      <c r="E788" s="32" t="n"/>
      <c r="F788" s="32" t="n"/>
      <c r="G788" s="32" t="n"/>
      <c r="H788" s="32" t="n"/>
      <c r="I788" s="32" t="n"/>
      <c r="J788" s="34" t="n"/>
      <c r="K788" s="33" t="n"/>
      <c r="L788" s="32" t="n"/>
      <c r="M788" s="33" t="n"/>
      <c r="N788" s="33" t="n"/>
      <c r="O788" s="33" t="n"/>
      <c r="P788" s="32" t="n"/>
      <c r="Q788" s="33" t="n"/>
      <c r="R788" s="33" t="n"/>
      <c r="S788" s="33" t="n"/>
      <c r="T788" s="33" t="n"/>
      <c r="U788" s="32" t="n"/>
      <c r="V788" s="33" t="n"/>
      <c r="W788" s="33" t="n"/>
      <c r="X788" s="33" t="n"/>
      <c r="Y788" s="33" t="n"/>
      <c r="Z788" s="33" t="n"/>
      <c r="AA788" s="33" t="n"/>
      <c r="AB788" s="33" t="n"/>
      <c r="AC788" s="33" t="n"/>
      <c r="AD788" s="33" t="n"/>
      <c r="AE788" s="33" t="n"/>
      <c r="AF788" s="32" t="n"/>
      <c r="AG788" s="32" t="n"/>
      <c r="AH788" s="32" t="n"/>
      <c r="AI788" s="32" t="n"/>
      <c r="AJ788" s="32" t="n"/>
      <c r="AK788" s="32" t="n"/>
      <c r="AL788" s="32" t="n"/>
      <c r="AM788" s="32" t="n"/>
      <c r="AN788" s="32" t="n"/>
      <c r="AO788" s="32" t="n"/>
      <c r="AP788" s="32" t="n"/>
      <c r="AQ788" s="32" t="n"/>
      <c r="AR788" s="29">
        <f>IF(NOT(COUNTA(A788:AE788)&gt;0),"",IF(A788="","New client","Update"))</f>
        <v/>
      </c>
      <c r="AS788" s="29">
        <f>IF(BA788&lt;&gt;"",BA788,IF(LEN(AZ788)=15,MID(AZ788,3,10),""))</f>
        <v/>
      </c>
      <c r="AT788" s="29">
        <f>IF(BB788="","",BB788&amp;IF(D788="","  (guessed from PAN)",""))</f>
        <v/>
      </c>
      <c r="AU788" s="29">
        <f>IF(AZ788="","",IFERROR(INDEX(Lists!$L$2:$L$38,MATCH(LEFT(AZ788,2),Lists!$K$2:$K$38,0)),"Unknown code"))</f>
        <v/>
      </c>
      <c r="AV788" s="29">
        <f>IF(AZ788="","",IFERROR(IF(NOT(AND(LEN(AZ788)=15,ISNUMBER(MATCH(LEFT(AZ788,2),Lists!$K$2:$K$38,0)),SUMPRODUCT(--ISERROR(FIND(MID(MID(AZ788,3,10),{1,2,3,4,5,10},1),"ABCDEFGHIJKLMNOPQRSTUVWXYZ")))=0,SUMPRODUCT(--ISERROR(FIND(MID(MID(AZ788,3,10),{6,7,8,9},1),"0123456789")))=0,ISNUMBER(FIND(MID(AZ788,13,1),"123456789ABCDEFGHIJKLMNOPQRSTUVWXYZ")),MID(AZ788,14,1)="Z")),"Wrong format",IF(MID("0123456789ABCDEFGHIJKLMNOPQRSTUVWXYZ",MOD(36-MOD(SUMPRODUCT(INT((FIND(MID(AZ788,{1,2,3,4,5,6,7,8,9,10,11,12,13,14},1),"0123456789ABCDEFGHIJKLMNOPQRSTUVWXYZ")-1)*{1,2,1,2,1,2,1,2,1,2,1,2,1,2}/36)+MOD((FIND(MID(AZ788,{1,2,3,4,5,6,7,8,9,10,11,12,13,14},1),"0123456789ABCDEFGHIJKLMNOPQRSTUVWXYZ")-1)*{1,2,1,2,1,2,1,2,1,2,1,2,1,2},36)),36),36)+1,1)=MID(AZ788,15,1),"OK","Typo? check digit wrong")),"Wrong format"))</f>
        <v/>
      </c>
      <c r="AW788" s="29">
        <f>IF(BA788="","",IF(AND(LEN(BA788)=10,SUMPRODUCT(--ISERROR(FIND(MID(BA788,{1,2,3,4,5,10},1),"ABCDEFGHIJKLMNOPQRSTUVWXYZ")))=0,SUMPRODUCT(--ISERROR(FIND(MID(BA788,{6,7,8,9},1),"0123456789")))=0),"OK","Wrong format"))</f>
        <v/>
      </c>
      <c r="AX788" s="29">
        <f>IF(TRIM(H788)="","",IF(AND(LEN(UPPER(TRIM(H788)))=10,SUMPRODUCT(--ISERROR(FIND(MID(UPPER(TRIM(H788)),{1,2,3,4,10},1),"ABCDEFGHIJKLMNOPQRSTUVWXYZ")))=0,SUMPRODUCT(--ISERROR(FIND(MID(UPPER(TRIM(H788)),{5,6,7,8,9},1),"0123456789")))=0),"OK","Wrong format"))</f>
        <v/>
      </c>
      <c r="AY788" s="30">
        <f>IF(NOT(COUNTA(A788:AE788)&gt;0),"",IF(BE788&lt;&gt;"","✖ "&amp;LEFT(BE788,LEN(BE788)-2),IF(BD788&gt;0,"✔ Ready — client + "&amp;BD788&amp;" service(s)","✔ Ready — client only")))</f>
        <v/>
      </c>
      <c r="AZ788" s="31">
        <f>UPPER(SUBSTITUTE(TRIM(F788)," ",""))</f>
        <v/>
      </c>
      <c r="BA788" s="31">
        <f>UPPER(SUBSTITUTE(TRIM(E788)," ",""))</f>
        <v/>
      </c>
      <c r="BB788" s="31">
        <f>IF(D788&lt;&gt;"",D788,IFERROR(VLOOKUP(MID(AS788,4,1),Lists!$E$2:$F$8,2,FALSE),""))</f>
        <v/>
      </c>
      <c r="BC788" s="31">
        <f>IFERROR(VLOOKUP(BB788,Lists!$A$2:$C$12,3,FALSE),"")</f>
        <v/>
      </c>
      <c r="BD788" s="31">
        <f>COUNTIF(W788:AC788,"Yes")</f>
        <v/>
      </c>
      <c r="BE788" s="31">
        <f>IF(TRIM(B788)="","Legal name missing; ","")&amp;IF(AND(AV788&lt;&gt;"",AV788&lt;&gt;"OK"),"GSTIN: "&amp;AV788&amp;"; ","")&amp;IF(AND(AW788&lt;&gt;"",AW788&lt;&gt;"OK"),"PAN wrong format; ","")&amp;IF(AND(BA788&lt;&gt;"",LEN(AZ788)=15,MID(AZ788,3,10)&lt;&gt;BA788),"PAN does not match GSTIN; ","")&amp;IF(AND(AX788&lt;&gt;"",AX788&lt;&gt;"OK"),"TAN wrong format; ","")&amp;IF(AS788="","PAN missing; ","")&amp;IF(BB788="","Entity type missing; ","")&amp;IF(AND(AZ788&lt;&gt;"",COUNTIF($AZ$6:$AZ$1005,AZ788)&gt;1),"GSTIN repeated in this sheet; ","")&amp;IF(AND(AS788&lt;&gt;"",COUNTIF($AS$6:$AS$1005,AS788)&gt;1),"PAN repeated in this sheet (same client? put extra GSTINs in Other GSTINs); ","")&amp;IF(AND(BD788&gt;0,V788=""),"Financial year missing; ","")&amp;IF(AND(BD788=0,V788&lt;&gt;""),"Financial year given but no service is Yes; ","")&amp;IF(AND(W788="Yes",AZ788=""),"GST needs a GSTIN; ","")&amp;IF(AND(W788="Yes",X788=""),"GST return frequency missing; ","")&amp;IF(AND(Y788="Yes",TRIM(H788)=""),"TDS needs a TAN; ","")&amp;IF(AND(AA788="Yes",BC788&lt;&gt;"",BC788&lt;&gt;"company",BC788&lt;&gt;"llp"),"ROC is only for a company / LLP; ","")&amp;IF(AND(AA788="Yes",OR(BC788="company",BC788="llp"),TRIM(I788)=""),"ROC needs the CIN / LLPIN; ","")&amp;IF((TRIM(AF788)="")&lt;&gt;(TRIM(AG788)=""),"GST login needs both user ID and password; ","")&amp;IF((TRIM(AH788)="")&lt;&gt;(TRIM(AI788)=""),"Income-tax login needs both user ID and password; ","")&amp;IF((TRIM(AJ788)="")&lt;&gt;(TRIM(AK788)=""),"Income-tax login needs both user ID and password; ","")&amp;IF((TRIM(AL788)="")&lt;&gt;(TRIM(AM788)=""),"TRACES login needs both user ID and password; ","")&amp;IF((TRIM(AN788)="")&lt;&gt;(TRIM(AO788)=""),"MCA login needs both user ID and password; ","")&amp;IF((TRIM(AP788)="")&lt;&gt;(TRIM(AQ788)=""),"E-way bill login needs both user ID and password; ","")</f>
        <v/>
      </c>
    </row>
    <row r="789">
      <c r="A789" s="32" t="n"/>
      <c r="B789" s="33" t="n"/>
      <c r="C789" s="33" t="n"/>
      <c r="D789" s="33" t="n"/>
      <c r="E789" s="32" t="n"/>
      <c r="F789" s="32" t="n"/>
      <c r="G789" s="32" t="n"/>
      <c r="H789" s="32" t="n"/>
      <c r="I789" s="32" t="n"/>
      <c r="J789" s="34" t="n"/>
      <c r="K789" s="33" t="n"/>
      <c r="L789" s="32" t="n"/>
      <c r="M789" s="33" t="n"/>
      <c r="N789" s="33" t="n"/>
      <c r="O789" s="33" t="n"/>
      <c r="P789" s="32" t="n"/>
      <c r="Q789" s="33" t="n"/>
      <c r="R789" s="33" t="n"/>
      <c r="S789" s="33" t="n"/>
      <c r="T789" s="33" t="n"/>
      <c r="U789" s="32" t="n"/>
      <c r="V789" s="33" t="n"/>
      <c r="W789" s="33" t="n"/>
      <c r="X789" s="33" t="n"/>
      <c r="Y789" s="33" t="n"/>
      <c r="Z789" s="33" t="n"/>
      <c r="AA789" s="33" t="n"/>
      <c r="AB789" s="33" t="n"/>
      <c r="AC789" s="33" t="n"/>
      <c r="AD789" s="33" t="n"/>
      <c r="AE789" s="33" t="n"/>
      <c r="AF789" s="32" t="n"/>
      <c r="AG789" s="32" t="n"/>
      <c r="AH789" s="32" t="n"/>
      <c r="AI789" s="32" t="n"/>
      <c r="AJ789" s="32" t="n"/>
      <c r="AK789" s="32" t="n"/>
      <c r="AL789" s="32" t="n"/>
      <c r="AM789" s="32" t="n"/>
      <c r="AN789" s="32" t="n"/>
      <c r="AO789" s="32" t="n"/>
      <c r="AP789" s="32" t="n"/>
      <c r="AQ789" s="32" t="n"/>
      <c r="AR789" s="29">
        <f>IF(NOT(COUNTA(A789:AE789)&gt;0),"",IF(A789="","New client","Update"))</f>
        <v/>
      </c>
      <c r="AS789" s="29">
        <f>IF(BA789&lt;&gt;"",BA789,IF(LEN(AZ789)=15,MID(AZ789,3,10),""))</f>
        <v/>
      </c>
      <c r="AT789" s="29">
        <f>IF(BB789="","",BB789&amp;IF(D789="","  (guessed from PAN)",""))</f>
        <v/>
      </c>
      <c r="AU789" s="29">
        <f>IF(AZ789="","",IFERROR(INDEX(Lists!$L$2:$L$38,MATCH(LEFT(AZ789,2),Lists!$K$2:$K$38,0)),"Unknown code"))</f>
        <v/>
      </c>
      <c r="AV789" s="29">
        <f>IF(AZ789="","",IFERROR(IF(NOT(AND(LEN(AZ789)=15,ISNUMBER(MATCH(LEFT(AZ789,2),Lists!$K$2:$K$38,0)),SUMPRODUCT(--ISERROR(FIND(MID(MID(AZ789,3,10),{1,2,3,4,5,10},1),"ABCDEFGHIJKLMNOPQRSTUVWXYZ")))=0,SUMPRODUCT(--ISERROR(FIND(MID(MID(AZ789,3,10),{6,7,8,9},1),"0123456789")))=0,ISNUMBER(FIND(MID(AZ789,13,1),"123456789ABCDEFGHIJKLMNOPQRSTUVWXYZ")),MID(AZ789,14,1)="Z")),"Wrong format",IF(MID("0123456789ABCDEFGHIJKLMNOPQRSTUVWXYZ",MOD(36-MOD(SUMPRODUCT(INT((FIND(MID(AZ789,{1,2,3,4,5,6,7,8,9,10,11,12,13,14},1),"0123456789ABCDEFGHIJKLMNOPQRSTUVWXYZ")-1)*{1,2,1,2,1,2,1,2,1,2,1,2,1,2}/36)+MOD((FIND(MID(AZ789,{1,2,3,4,5,6,7,8,9,10,11,12,13,14},1),"0123456789ABCDEFGHIJKLMNOPQRSTUVWXYZ")-1)*{1,2,1,2,1,2,1,2,1,2,1,2,1,2},36)),36),36)+1,1)=MID(AZ789,15,1),"OK","Typo? check digit wrong")),"Wrong format"))</f>
        <v/>
      </c>
      <c r="AW789" s="29">
        <f>IF(BA789="","",IF(AND(LEN(BA789)=10,SUMPRODUCT(--ISERROR(FIND(MID(BA789,{1,2,3,4,5,10},1),"ABCDEFGHIJKLMNOPQRSTUVWXYZ")))=0,SUMPRODUCT(--ISERROR(FIND(MID(BA789,{6,7,8,9},1),"0123456789")))=0),"OK","Wrong format"))</f>
        <v/>
      </c>
      <c r="AX789" s="29">
        <f>IF(TRIM(H789)="","",IF(AND(LEN(UPPER(TRIM(H789)))=10,SUMPRODUCT(--ISERROR(FIND(MID(UPPER(TRIM(H789)),{1,2,3,4,10},1),"ABCDEFGHIJKLMNOPQRSTUVWXYZ")))=0,SUMPRODUCT(--ISERROR(FIND(MID(UPPER(TRIM(H789)),{5,6,7,8,9},1),"0123456789")))=0),"OK","Wrong format"))</f>
        <v/>
      </c>
      <c r="AY789" s="30">
        <f>IF(NOT(COUNTA(A789:AE789)&gt;0),"",IF(BE789&lt;&gt;"","✖ "&amp;LEFT(BE789,LEN(BE789)-2),IF(BD789&gt;0,"✔ Ready — client + "&amp;BD789&amp;" service(s)","✔ Ready — client only")))</f>
        <v/>
      </c>
      <c r="AZ789" s="31">
        <f>UPPER(SUBSTITUTE(TRIM(F789)," ",""))</f>
        <v/>
      </c>
      <c r="BA789" s="31">
        <f>UPPER(SUBSTITUTE(TRIM(E789)," ",""))</f>
        <v/>
      </c>
      <c r="BB789" s="31">
        <f>IF(D789&lt;&gt;"",D789,IFERROR(VLOOKUP(MID(AS789,4,1),Lists!$E$2:$F$8,2,FALSE),""))</f>
        <v/>
      </c>
      <c r="BC789" s="31">
        <f>IFERROR(VLOOKUP(BB789,Lists!$A$2:$C$12,3,FALSE),"")</f>
        <v/>
      </c>
      <c r="BD789" s="31">
        <f>COUNTIF(W789:AC789,"Yes")</f>
        <v/>
      </c>
      <c r="BE789" s="31">
        <f>IF(TRIM(B789)="","Legal name missing; ","")&amp;IF(AND(AV789&lt;&gt;"",AV789&lt;&gt;"OK"),"GSTIN: "&amp;AV789&amp;"; ","")&amp;IF(AND(AW789&lt;&gt;"",AW789&lt;&gt;"OK"),"PAN wrong format; ","")&amp;IF(AND(BA789&lt;&gt;"",LEN(AZ789)=15,MID(AZ789,3,10)&lt;&gt;BA789),"PAN does not match GSTIN; ","")&amp;IF(AND(AX789&lt;&gt;"",AX789&lt;&gt;"OK"),"TAN wrong format; ","")&amp;IF(AS789="","PAN missing; ","")&amp;IF(BB789="","Entity type missing; ","")&amp;IF(AND(AZ789&lt;&gt;"",COUNTIF($AZ$6:$AZ$1005,AZ789)&gt;1),"GSTIN repeated in this sheet; ","")&amp;IF(AND(AS789&lt;&gt;"",COUNTIF($AS$6:$AS$1005,AS789)&gt;1),"PAN repeated in this sheet (same client? put extra GSTINs in Other GSTINs); ","")&amp;IF(AND(BD789&gt;0,V789=""),"Financial year missing; ","")&amp;IF(AND(BD789=0,V789&lt;&gt;""),"Financial year given but no service is Yes; ","")&amp;IF(AND(W789="Yes",AZ789=""),"GST needs a GSTIN; ","")&amp;IF(AND(W789="Yes",X789=""),"GST return frequency missing; ","")&amp;IF(AND(Y789="Yes",TRIM(H789)=""),"TDS needs a TAN; ","")&amp;IF(AND(AA789="Yes",BC789&lt;&gt;"",BC789&lt;&gt;"company",BC789&lt;&gt;"llp"),"ROC is only for a company / LLP; ","")&amp;IF(AND(AA789="Yes",OR(BC789="company",BC789="llp"),TRIM(I789)=""),"ROC needs the CIN / LLPIN; ","")&amp;IF((TRIM(AF789)="")&lt;&gt;(TRIM(AG789)=""),"GST login needs both user ID and password; ","")&amp;IF((TRIM(AH789)="")&lt;&gt;(TRIM(AI789)=""),"Income-tax login needs both user ID and password; ","")&amp;IF((TRIM(AJ789)="")&lt;&gt;(TRIM(AK789)=""),"Income-tax login needs both user ID and password; ","")&amp;IF((TRIM(AL789)="")&lt;&gt;(TRIM(AM789)=""),"TRACES login needs both user ID and password; ","")&amp;IF((TRIM(AN789)="")&lt;&gt;(TRIM(AO789)=""),"MCA login needs both user ID and password; ","")&amp;IF((TRIM(AP789)="")&lt;&gt;(TRIM(AQ789)=""),"E-way bill login needs both user ID and password; ","")</f>
        <v/>
      </c>
    </row>
    <row r="790">
      <c r="A790" s="32" t="n"/>
      <c r="B790" s="33" t="n"/>
      <c r="C790" s="33" t="n"/>
      <c r="D790" s="33" t="n"/>
      <c r="E790" s="32" t="n"/>
      <c r="F790" s="32" t="n"/>
      <c r="G790" s="32" t="n"/>
      <c r="H790" s="32" t="n"/>
      <c r="I790" s="32" t="n"/>
      <c r="J790" s="34" t="n"/>
      <c r="K790" s="33" t="n"/>
      <c r="L790" s="32" t="n"/>
      <c r="M790" s="33" t="n"/>
      <c r="N790" s="33" t="n"/>
      <c r="O790" s="33" t="n"/>
      <c r="P790" s="32" t="n"/>
      <c r="Q790" s="33" t="n"/>
      <c r="R790" s="33" t="n"/>
      <c r="S790" s="33" t="n"/>
      <c r="T790" s="33" t="n"/>
      <c r="U790" s="32" t="n"/>
      <c r="V790" s="33" t="n"/>
      <c r="W790" s="33" t="n"/>
      <c r="X790" s="33" t="n"/>
      <c r="Y790" s="33" t="n"/>
      <c r="Z790" s="33" t="n"/>
      <c r="AA790" s="33" t="n"/>
      <c r="AB790" s="33" t="n"/>
      <c r="AC790" s="33" t="n"/>
      <c r="AD790" s="33" t="n"/>
      <c r="AE790" s="33" t="n"/>
      <c r="AF790" s="32" t="n"/>
      <c r="AG790" s="32" t="n"/>
      <c r="AH790" s="32" t="n"/>
      <c r="AI790" s="32" t="n"/>
      <c r="AJ790" s="32" t="n"/>
      <c r="AK790" s="32" t="n"/>
      <c r="AL790" s="32" t="n"/>
      <c r="AM790" s="32" t="n"/>
      <c r="AN790" s="32" t="n"/>
      <c r="AO790" s="32" t="n"/>
      <c r="AP790" s="32" t="n"/>
      <c r="AQ790" s="32" t="n"/>
      <c r="AR790" s="29">
        <f>IF(NOT(COUNTA(A790:AE790)&gt;0),"",IF(A790="","New client","Update"))</f>
        <v/>
      </c>
      <c r="AS790" s="29">
        <f>IF(BA790&lt;&gt;"",BA790,IF(LEN(AZ790)=15,MID(AZ790,3,10),""))</f>
        <v/>
      </c>
      <c r="AT790" s="29">
        <f>IF(BB790="","",BB790&amp;IF(D790="","  (guessed from PAN)",""))</f>
        <v/>
      </c>
      <c r="AU790" s="29">
        <f>IF(AZ790="","",IFERROR(INDEX(Lists!$L$2:$L$38,MATCH(LEFT(AZ790,2),Lists!$K$2:$K$38,0)),"Unknown code"))</f>
        <v/>
      </c>
      <c r="AV790" s="29">
        <f>IF(AZ790="","",IFERROR(IF(NOT(AND(LEN(AZ790)=15,ISNUMBER(MATCH(LEFT(AZ790,2),Lists!$K$2:$K$38,0)),SUMPRODUCT(--ISERROR(FIND(MID(MID(AZ790,3,10),{1,2,3,4,5,10},1),"ABCDEFGHIJKLMNOPQRSTUVWXYZ")))=0,SUMPRODUCT(--ISERROR(FIND(MID(MID(AZ790,3,10),{6,7,8,9},1),"0123456789")))=0,ISNUMBER(FIND(MID(AZ790,13,1),"123456789ABCDEFGHIJKLMNOPQRSTUVWXYZ")),MID(AZ790,14,1)="Z")),"Wrong format",IF(MID("0123456789ABCDEFGHIJKLMNOPQRSTUVWXYZ",MOD(36-MOD(SUMPRODUCT(INT((FIND(MID(AZ790,{1,2,3,4,5,6,7,8,9,10,11,12,13,14},1),"0123456789ABCDEFGHIJKLMNOPQRSTUVWXYZ")-1)*{1,2,1,2,1,2,1,2,1,2,1,2,1,2}/36)+MOD((FIND(MID(AZ790,{1,2,3,4,5,6,7,8,9,10,11,12,13,14},1),"0123456789ABCDEFGHIJKLMNOPQRSTUVWXYZ")-1)*{1,2,1,2,1,2,1,2,1,2,1,2,1,2},36)),36),36)+1,1)=MID(AZ790,15,1),"OK","Typo? check digit wrong")),"Wrong format"))</f>
        <v/>
      </c>
      <c r="AW790" s="29">
        <f>IF(BA790="","",IF(AND(LEN(BA790)=10,SUMPRODUCT(--ISERROR(FIND(MID(BA790,{1,2,3,4,5,10},1),"ABCDEFGHIJKLMNOPQRSTUVWXYZ")))=0,SUMPRODUCT(--ISERROR(FIND(MID(BA790,{6,7,8,9},1),"0123456789")))=0),"OK","Wrong format"))</f>
        <v/>
      </c>
      <c r="AX790" s="29">
        <f>IF(TRIM(H790)="","",IF(AND(LEN(UPPER(TRIM(H790)))=10,SUMPRODUCT(--ISERROR(FIND(MID(UPPER(TRIM(H790)),{1,2,3,4,10},1),"ABCDEFGHIJKLMNOPQRSTUVWXYZ")))=0,SUMPRODUCT(--ISERROR(FIND(MID(UPPER(TRIM(H790)),{5,6,7,8,9},1),"0123456789")))=0),"OK","Wrong format"))</f>
        <v/>
      </c>
      <c r="AY790" s="30">
        <f>IF(NOT(COUNTA(A790:AE790)&gt;0),"",IF(BE790&lt;&gt;"","✖ "&amp;LEFT(BE790,LEN(BE790)-2),IF(BD790&gt;0,"✔ Ready — client + "&amp;BD790&amp;" service(s)","✔ Ready — client only")))</f>
        <v/>
      </c>
      <c r="AZ790" s="31">
        <f>UPPER(SUBSTITUTE(TRIM(F790)," ",""))</f>
        <v/>
      </c>
      <c r="BA790" s="31">
        <f>UPPER(SUBSTITUTE(TRIM(E790)," ",""))</f>
        <v/>
      </c>
      <c r="BB790" s="31">
        <f>IF(D790&lt;&gt;"",D790,IFERROR(VLOOKUP(MID(AS790,4,1),Lists!$E$2:$F$8,2,FALSE),""))</f>
        <v/>
      </c>
      <c r="BC790" s="31">
        <f>IFERROR(VLOOKUP(BB790,Lists!$A$2:$C$12,3,FALSE),"")</f>
        <v/>
      </c>
      <c r="BD790" s="31">
        <f>COUNTIF(W790:AC790,"Yes")</f>
        <v/>
      </c>
      <c r="BE790" s="31">
        <f>IF(TRIM(B790)="","Legal name missing; ","")&amp;IF(AND(AV790&lt;&gt;"",AV790&lt;&gt;"OK"),"GSTIN: "&amp;AV790&amp;"; ","")&amp;IF(AND(AW790&lt;&gt;"",AW790&lt;&gt;"OK"),"PAN wrong format; ","")&amp;IF(AND(BA790&lt;&gt;"",LEN(AZ790)=15,MID(AZ790,3,10)&lt;&gt;BA790),"PAN does not match GSTIN; ","")&amp;IF(AND(AX790&lt;&gt;"",AX790&lt;&gt;"OK"),"TAN wrong format; ","")&amp;IF(AS790="","PAN missing; ","")&amp;IF(BB790="","Entity type missing; ","")&amp;IF(AND(AZ790&lt;&gt;"",COUNTIF($AZ$6:$AZ$1005,AZ790)&gt;1),"GSTIN repeated in this sheet; ","")&amp;IF(AND(AS790&lt;&gt;"",COUNTIF($AS$6:$AS$1005,AS790)&gt;1),"PAN repeated in this sheet (same client? put extra GSTINs in Other GSTINs); ","")&amp;IF(AND(BD790&gt;0,V790=""),"Financial year missing; ","")&amp;IF(AND(BD790=0,V790&lt;&gt;""),"Financial year given but no service is Yes; ","")&amp;IF(AND(W790="Yes",AZ790=""),"GST needs a GSTIN; ","")&amp;IF(AND(W790="Yes",X790=""),"GST return frequency missing; ","")&amp;IF(AND(Y790="Yes",TRIM(H790)=""),"TDS needs a TAN; ","")&amp;IF(AND(AA790="Yes",BC790&lt;&gt;"",BC790&lt;&gt;"company",BC790&lt;&gt;"llp"),"ROC is only for a company / LLP; ","")&amp;IF(AND(AA790="Yes",OR(BC790="company",BC790="llp"),TRIM(I790)=""),"ROC needs the CIN / LLPIN; ","")&amp;IF((TRIM(AF790)="")&lt;&gt;(TRIM(AG790)=""),"GST login needs both user ID and password; ","")&amp;IF((TRIM(AH790)="")&lt;&gt;(TRIM(AI790)=""),"Income-tax login needs both user ID and password; ","")&amp;IF((TRIM(AJ790)="")&lt;&gt;(TRIM(AK790)=""),"Income-tax login needs both user ID and password; ","")&amp;IF((TRIM(AL790)="")&lt;&gt;(TRIM(AM790)=""),"TRACES login needs both user ID and password; ","")&amp;IF((TRIM(AN790)="")&lt;&gt;(TRIM(AO790)=""),"MCA login needs both user ID and password; ","")&amp;IF((TRIM(AP790)="")&lt;&gt;(TRIM(AQ790)=""),"E-way bill login needs both user ID and password; ","")</f>
        <v/>
      </c>
    </row>
    <row r="791">
      <c r="A791" s="32" t="n"/>
      <c r="B791" s="33" t="n"/>
      <c r="C791" s="33" t="n"/>
      <c r="D791" s="33" t="n"/>
      <c r="E791" s="32" t="n"/>
      <c r="F791" s="32" t="n"/>
      <c r="G791" s="32" t="n"/>
      <c r="H791" s="32" t="n"/>
      <c r="I791" s="32" t="n"/>
      <c r="J791" s="34" t="n"/>
      <c r="K791" s="33" t="n"/>
      <c r="L791" s="32" t="n"/>
      <c r="M791" s="33" t="n"/>
      <c r="N791" s="33" t="n"/>
      <c r="O791" s="33" t="n"/>
      <c r="P791" s="32" t="n"/>
      <c r="Q791" s="33" t="n"/>
      <c r="R791" s="33" t="n"/>
      <c r="S791" s="33" t="n"/>
      <c r="T791" s="33" t="n"/>
      <c r="U791" s="32" t="n"/>
      <c r="V791" s="33" t="n"/>
      <c r="W791" s="33" t="n"/>
      <c r="X791" s="33" t="n"/>
      <c r="Y791" s="33" t="n"/>
      <c r="Z791" s="33" t="n"/>
      <c r="AA791" s="33" t="n"/>
      <c r="AB791" s="33" t="n"/>
      <c r="AC791" s="33" t="n"/>
      <c r="AD791" s="33" t="n"/>
      <c r="AE791" s="33" t="n"/>
      <c r="AF791" s="32" t="n"/>
      <c r="AG791" s="32" t="n"/>
      <c r="AH791" s="32" t="n"/>
      <c r="AI791" s="32" t="n"/>
      <c r="AJ791" s="32" t="n"/>
      <c r="AK791" s="32" t="n"/>
      <c r="AL791" s="32" t="n"/>
      <c r="AM791" s="32" t="n"/>
      <c r="AN791" s="32" t="n"/>
      <c r="AO791" s="32" t="n"/>
      <c r="AP791" s="32" t="n"/>
      <c r="AQ791" s="32" t="n"/>
      <c r="AR791" s="29">
        <f>IF(NOT(COUNTA(A791:AE791)&gt;0),"",IF(A791="","New client","Update"))</f>
        <v/>
      </c>
      <c r="AS791" s="29">
        <f>IF(BA791&lt;&gt;"",BA791,IF(LEN(AZ791)=15,MID(AZ791,3,10),""))</f>
        <v/>
      </c>
      <c r="AT791" s="29">
        <f>IF(BB791="","",BB791&amp;IF(D791="","  (guessed from PAN)",""))</f>
        <v/>
      </c>
      <c r="AU791" s="29">
        <f>IF(AZ791="","",IFERROR(INDEX(Lists!$L$2:$L$38,MATCH(LEFT(AZ791,2),Lists!$K$2:$K$38,0)),"Unknown code"))</f>
        <v/>
      </c>
      <c r="AV791" s="29">
        <f>IF(AZ791="","",IFERROR(IF(NOT(AND(LEN(AZ791)=15,ISNUMBER(MATCH(LEFT(AZ791,2),Lists!$K$2:$K$38,0)),SUMPRODUCT(--ISERROR(FIND(MID(MID(AZ791,3,10),{1,2,3,4,5,10},1),"ABCDEFGHIJKLMNOPQRSTUVWXYZ")))=0,SUMPRODUCT(--ISERROR(FIND(MID(MID(AZ791,3,10),{6,7,8,9},1),"0123456789")))=0,ISNUMBER(FIND(MID(AZ791,13,1),"123456789ABCDEFGHIJKLMNOPQRSTUVWXYZ")),MID(AZ791,14,1)="Z")),"Wrong format",IF(MID("0123456789ABCDEFGHIJKLMNOPQRSTUVWXYZ",MOD(36-MOD(SUMPRODUCT(INT((FIND(MID(AZ791,{1,2,3,4,5,6,7,8,9,10,11,12,13,14},1),"0123456789ABCDEFGHIJKLMNOPQRSTUVWXYZ")-1)*{1,2,1,2,1,2,1,2,1,2,1,2,1,2}/36)+MOD((FIND(MID(AZ791,{1,2,3,4,5,6,7,8,9,10,11,12,13,14},1),"0123456789ABCDEFGHIJKLMNOPQRSTUVWXYZ")-1)*{1,2,1,2,1,2,1,2,1,2,1,2,1,2},36)),36),36)+1,1)=MID(AZ791,15,1),"OK","Typo? check digit wrong")),"Wrong format"))</f>
        <v/>
      </c>
      <c r="AW791" s="29">
        <f>IF(BA791="","",IF(AND(LEN(BA791)=10,SUMPRODUCT(--ISERROR(FIND(MID(BA791,{1,2,3,4,5,10},1),"ABCDEFGHIJKLMNOPQRSTUVWXYZ")))=0,SUMPRODUCT(--ISERROR(FIND(MID(BA791,{6,7,8,9},1),"0123456789")))=0),"OK","Wrong format"))</f>
        <v/>
      </c>
      <c r="AX791" s="29">
        <f>IF(TRIM(H791)="","",IF(AND(LEN(UPPER(TRIM(H791)))=10,SUMPRODUCT(--ISERROR(FIND(MID(UPPER(TRIM(H791)),{1,2,3,4,10},1),"ABCDEFGHIJKLMNOPQRSTUVWXYZ")))=0,SUMPRODUCT(--ISERROR(FIND(MID(UPPER(TRIM(H791)),{5,6,7,8,9},1),"0123456789")))=0),"OK","Wrong format"))</f>
        <v/>
      </c>
      <c r="AY791" s="30">
        <f>IF(NOT(COUNTA(A791:AE791)&gt;0),"",IF(BE791&lt;&gt;"","✖ "&amp;LEFT(BE791,LEN(BE791)-2),IF(BD791&gt;0,"✔ Ready — client + "&amp;BD791&amp;" service(s)","✔ Ready — client only")))</f>
        <v/>
      </c>
      <c r="AZ791" s="31">
        <f>UPPER(SUBSTITUTE(TRIM(F791)," ",""))</f>
        <v/>
      </c>
      <c r="BA791" s="31">
        <f>UPPER(SUBSTITUTE(TRIM(E791)," ",""))</f>
        <v/>
      </c>
      <c r="BB791" s="31">
        <f>IF(D791&lt;&gt;"",D791,IFERROR(VLOOKUP(MID(AS791,4,1),Lists!$E$2:$F$8,2,FALSE),""))</f>
        <v/>
      </c>
      <c r="BC791" s="31">
        <f>IFERROR(VLOOKUP(BB791,Lists!$A$2:$C$12,3,FALSE),"")</f>
        <v/>
      </c>
      <c r="BD791" s="31">
        <f>COUNTIF(W791:AC791,"Yes")</f>
        <v/>
      </c>
      <c r="BE791" s="31">
        <f>IF(TRIM(B791)="","Legal name missing; ","")&amp;IF(AND(AV791&lt;&gt;"",AV791&lt;&gt;"OK"),"GSTIN: "&amp;AV791&amp;"; ","")&amp;IF(AND(AW791&lt;&gt;"",AW791&lt;&gt;"OK"),"PAN wrong format; ","")&amp;IF(AND(BA791&lt;&gt;"",LEN(AZ791)=15,MID(AZ791,3,10)&lt;&gt;BA791),"PAN does not match GSTIN; ","")&amp;IF(AND(AX791&lt;&gt;"",AX791&lt;&gt;"OK"),"TAN wrong format; ","")&amp;IF(AS791="","PAN missing; ","")&amp;IF(BB791="","Entity type missing; ","")&amp;IF(AND(AZ791&lt;&gt;"",COUNTIF($AZ$6:$AZ$1005,AZ791)&gt;1),"GSTIN repeated in this sheet; ","")&amp;IF(AND(AS791&lt;&gt;"",COUNTIF($AS$6:$AS$1005,AS791)&gt;1),"PAN repeated in this sheet (same client? put extra GSTINs in Other GSTINs); ","")&amp;IF(AND(BD791&gt;0,V791=""),"Financial year missing; ","")&amp;IF(AND(BD791=0,V791&lt;&gt;""),"Financial year given but no service is Yes; ","")&amp;IF(AND(W791="Yes",AZ791=""),"GST needs a GSTIN; ","")&amp;IF(AND(W791="Yes",X791=""),"GST return frequency missing; ","")&amp;IF(AND(Y791="Yes",TRIM(H791)=""),"TDS needs a TAN; ","")&amp;IF(AND(AA791="Yes",BC791&lt;&gt;"",BC791&lt;&gt;"company",BC791&lt;&gt;"llp"),"ROC is only for a company / LLP; ","")&amp;IF(AND(AA791="Yes",OR(BC791="company",BC791="llp"),TRIM(I791)=""),"ROC needs the CIN / LLPIN; ","")&amp;IF((TRIM(AF791)="")&lt;&gt;(TRIM(AG791)=""),"GST login needs both user ID and password; ","")&amp;IF((TRIM(AH791)="")&lt;&gt;(TRIM(AI791)=""),"Income-tax login needs both user ID and password; ","")&amp;IF((TRIM(AJ791)="")&lt;&gt;(TRIM(AK791)=""),"Income-tax login needs both user ID and password; ","")&amp;IF((TRIM(AL791)="")&lt;&gt;(TRIM(AM791)=""),"TRACES login needs both user ID and password; ","")&amp;IF((TRIM(AN791)="")&lt;&gt;(TRIM(AO791)=""),"MCA login needs both user ID and password; ","")&amp;IF((TRIM(AP791)="")&lt;&gt;(TRIM(AQ791)=""),"E-way bill login needs both user ID and password; ","")</f>
        <v/>
      </c>
    </row>
    <row r="792">
      <c r="A792" s="32" t="n"/>
      <c r="B792" s="33" t="n"/>
      <c r="C792" s="33" t="n"/>
      <c r="D792" s="33" t="n"/>
      <c r="E792" s="32" t="n"/>
      <c r="F792" s="32" t="n"/>
      <c r="G792" s="32" t="n"/>
      <c r="H792" s="32" t="n"/>
      <c r="I792" s="32" t="n"/>
      <c r="J792" s="34" t="n"/>
      <c r="K792" s="33" t="n"/>
      <c r="L792" s="32" t="n"/>
      <c r="M792" s="33" t="n"/>
      <c r="N792" s="33" t="n"/>
      <c r="O792" s="33" t="n"/>
      <c r="P792" s="32" t="n"/>
      <c r="Q792" s="33" t="n"/>
      <c r="R792" s="33" t="n"/>
      <c r="S792" s="33" t="n"/>
      <c r="T792" s="33" t="n"/>
      <c r="U792" s="32" t="n"/>
      <c r="V792" s="33" t="n"/>
      <c r="W792" s="33" t="n"/>
      <c r="X792" s="33" t="n"/>
      <c r="Y792" s="33" t="n"/>
      <c r="Z792" s="33" t="n"/>
      <c r="AA792" s="33" t="n"/>
      <c r="AB792" s="33" t="n"/>
      <c r="AC792" s="33" t="n"/>
      <c r="AD792" s="33" t="n"/>
      <c r="AE792" s="33" t="n"/>
      <c r="AF792" s="32" t="n"/>
      <c r="AG792" s="32" t="n"/>
      <c r="AH792" s="32" t="n"/>
      <c r="AI792" s="32" t="n"/>
      <c r="AJ792" s="32" t="n"/>
      <c r="AK792" s="32" t="n"/>
      <c r="AL792" s="32" t="n"/>
      <c r="AM792" s="32" t="n"/>
      <c r="AN792" s="32" t="n"/>
      <c r="AO792" s="32" t="n"/>
      <c r="AP792" s="32" t="n"/>
      <c r="AQ792" s="32" t="n"/>
      <c r="AR792" s="29">
        <f>IF(NOT(COUNTA(A792:AE792)&gt;0),"",IF(A792="","New client","Update"))</f>
        <v/>
      </c>
      <c r="AS792" s="29">
        <f>IF(BA792&lt;&gt;"",BA792,IF(LEN(AZ792)=15,MID(AZ792,3,10),""))</f>
        <v/>
      </c>
      <c r="AT792" s="29">
        <f>IF(BB792="","",BB792&amp;IF(D792="","  (guessed from PAN)",""))</f>
        <v/>
      </c>
      <c r="AU792" s="29">
        <f>IF(AZ792="","",IFERROR(INDEX(Lists!$L$2:$L$38,MATCH(LEFT(AZ792,2),Lists!$K$2:$K$38,0)),"Unknown code"))</f>
        <v/>
      </c>
      <c r="AV792" s="29">
        <f>IF(AZ792="","",IFERROR(IF(NOT(AND(LEN(AZ792)=15,ISNUMBER(MATCH(LEFT(AZ792,2),Lists!$K$2:$K$38,0)),SUMPRODUCT(--ISERROR(FIND(MID(MID(AZ792,3,10),{1,2,3,4,5,10},1),"ABCDEFGHIJKLMNOPQRSTUVWXYZ")))=0,SUMPRODUCT(--ISERROR(FIND(MID(MID(AZ792,3,10),{6,7,8,9},1),"0123456789")))=0,ISNUMBER(FIND(MID(AZ792,13,1),"123456789ABCDEFGHIJKLMNOPQRSTUVWXYZ")),MID(AZ792,14,1)="Z")),"Wrong format",IF(MID("0123456789ABCDEFGHIJKLMNOPQRSTUVWXYZ",MOD(36-MOD(SUMPRODUCT(INT((FIND(MID(AZ792,{1,2,3,4,5,6,7,8,9,10,11,12,13,14},1),"0123456789ABCDEFGHIJKLMNOPQRSTUVWXYZ")-1)*{1,2,1,2,1,2,1,2,1,2,1,2,1,2}/36)+MOD((FIND(MID(AZ792,{1,2,3,4,5,6,7,8,9,10,11,12,13,14},1),"0123456789ABCDEFGHIJKLMNOPQRSTUVWXYZ")-1)*{1,2,1,2,1,2,1,2,1,2,1,2,1,2},36)),36),36)+1,1)=MID(AZ792,15,1),"OK","Typo? check digit wrong")),"Wrong format"))</f>
        <v/>
      </c>
      <c r="AW792" s="29">
        <f>IF(BA792="","",IF(AND(LEN(BA792)=10,SUMPRODUCT(--ISERROR(FIND(MID(BA792,{1,2,3,4,5,10},1),"ABCDEFGHIJKLMNOPQRSTUVWXYZ")))=0,SUMPRODUCT(--ISERROR(FIND(MID(BA792,{6,7,8,9},1),"0123456789")))=0),"OK","Wrong format"))</f>
        <v/>
      </c>
      <c r="AX792" s="29">
        <f>IF(TRIM(H792)="","",IF(AND(LEN(UPPER(TRIM(H792)))=10,SUMPRODUCT(--ISERROR(FIND(MID(UPPER(TRIM(H792)),{1,2,3,4,10},1),"ABCDEFGHIJKLMNOPQRSTUVWXYZ")))=0,SUMPRODUCT(--ISERROR(FIND(MID(UPPER(TRIM(H792)),{5,6,7,8,9},1),"0123456789")))=0),"OK","Wrong format"))</f>
        <v/>
      </c>
      <c r="AY792" s="30">
        <f>IF(NOT(COUNTA(A792:AE792)&gt;0),"",IF(BE792&lt;&gt;"","✖ "&amp;LEFT(BE792,LEN(BE792)-2),IF(BD792&gt;0,"✔ Ready — client + "&amp;BD792&amp;" service(s)","✔ Ready — client only")))</f>
        <v/>
      </c>
      <c r="AZ792" s="31">
        <f>UPPER(SUBSTITUTE(TRIM(F792)," ",""))</f>
        <v/>
      </c>
      <c r="BA792" s="31">
        <f>UPPER(SUBSTITUTE(TRIM(E792)," ",""))</f>
        <v/>
      </c>
      <c r="BB792" s="31">
        <f>IF(D792&lt;&gt;"",D792,IFERROR(VLOOKUP(MID(AS792,4,1),Lists!$E$2:$F$8,2,FALSE),""))</f>
        <v/>
      </c>
      <c r="BC792" s="31">
        <f>IFERROR(VLOOKUP(BB792,Lists!$A$2:$C$12,3,FALSE),"")</f>
        <v/>
      </c>
      <c r="BD792" s="31">
        <f>COUNTIF(W792:AC792,"Yes")</f>
        <v/>
      </c>
      <c r="BE792" s="31">
        <f>IF(TRIM(B792)="","Legal name missing; ","")&amp;IF(AND(AV792&lt;&gt;"",AV792&lt;&gt;"OK"),"GSTIN: "&amp;AV792&amp;"; ","")&amp;IF(AND(AW792&lt;&gt;"",AW792&lt;&gt;"OK"),"PAN wrong format; ","")&amp;IF(AND(BA792&lt;&gt;"",LEN(AZ792)=15,MID(AZ792,3,10)&lt;&gt;BA792),"PAN does not match GSTIN; ","")&amp;IF(AND(AX792&lt;&gt;"",AX792&lt;&gt;"OK"),"TAN wrong format; ","")&amp;IF(AS792="","PAN missing; ","")&amp;IF(BB792="","Entity type missing; ","")&amp;IF(AND(AZ792&lt;&gt;"",COUNTIF($AZ$6:$AZ$1005,AZ792)&gt;1),"GSTIN repeated in this sheet; ","")&amp;IF(AND(AS792&lt;&gt;"",COUNTIF($AS$6:$AS$1005,AS792)&gt;1),"PAN repeated in this sheet (same client? put extra GSTINs in Other GSTINs); ","")&amp;IF(AND(BD792&gt;0,V792=""),"Financial year missing; ","")&amp;IF(AND(BD792=0,V792&lt;&gt;""),"Financial year given but no service is Yes; ","")&amp;IF(AND(W792="Yes",AZ792=""),"GST needs a GSTIN; ","")&amp;IF(AND(W792="Yes",X792=""),"GST return frequency missing; ","")&amp;IF(AND(Y792="Yes",TRIM(H792)=""),"TDS needs a TAN; ","")&amp;IF(AND(AA792="Yes",BC792&lt;&gt;"",BC792&lt;&gt;"company",BC792&lt;&gt;"llp"),"ROC is only for a company / LLP; ","")&amp;IF(AND(AA792="Yes",OR(BC792="company",BC792="llp"),TRIM(I792)=""),"ROC needs the CIN / LLPIN; ","")&amp;IF((TRIM(AF792)="")&lt;&gt;(TRIM(AG792)=""),"GST login needs both user ID and password; ","")&amp;IF((TRIM(AH792)="")&lt;&gt;(TRIM(AI792)=""),"Income-tax login needs both user ID and password; ","")&amp;IF((TRIM(AJ792)="")&lt;&gt;(TRIM(AK792)=""),"Income-tax login needs both user ID and password; ","")&amp;IF((TRIM(AL792)="")&lt;&gt;(TRIM(AM792)=""),"TRACES login needs both user ID and password; ","")&amp;IF((TRIM(AN792)="")&lt;&gt;(TRIM(AO792)=""),"MCA login needs both user ID and password; ","")&amp;IF((TRIM(AP792)="")&lt;&gt;(TRIM(AQ792)=""),"E-way bill login needs both user ID and password; ","")</f>
        <v/>
      </c>
    </row>
    <row r="793">
      <c r="A793" s="32" t="n"/>
      <c r="B793" s="33" t="n"/>
      <c r="C793" s="33" t="n"/>
      <c r="D793" s="33" t="n"/>
      <c r="E793" s="32" t="n"/>
      <c r="F793" s="32" t="n"/>
      <c r="G793" s="32" t="n"/>
      <c r="H793" s="32" t="n"/>
      <c r="I793" s="32" t="n"/>
      <c r="J793" s="34" t="n"/>
      <c r="K793" s="33" t="n"/>
      <c r="L793" s="32" t="n"/>
      <c r="M793" s="33" t="n"/>
      <c r="N793" s="33" t="n"/>
      <c r="O793" s="33" t="n"/>
      <c r="P793" s="32" t="n"/>
      <c r="Q793" s="33" t="n"/>
      <c r="R793" s="33" t="n"/>
      <c r="S793" s="33" t="n"/>
      <c r="T793" s="33" t="n"/>
      <c r="U793" s="32" t="n"/>
      <c r="V793" s="33" t="n"/>
      <c r="W793" s="33" t="n"/>
      <c r="X793" s="33" t="n"/>
      <c r="Y793" s="33" t="n"/>
      <c r="Z793" s="33" t="n"/>
      <c r="AA793" s="33" t="n"/>
      <c r="AB793" s="33" t="n"/>
      <c r="AC793" s="33" t="n"/>
      <c r="AD793" s="33" t="n"/>
      <c r="AE793" s="33" t="n"/>
      <c r="AF793" s="32" t="n"/>
      <c r="AG793" s="32" t="n"/>
      <c r="AH793" s="32" t="n"/>
      <c r="AI793" s="32" t="n"/>
      <c r="AJ793" s="32" t="n"/>
      <c r="AK793" s="32" t="n"/>
      <c r="AL793" s="32" t="n"/>
      <c r="AM793" s="32" t="n"/>
      <c r="AN793" s="32" t="n"/>
      <c r="AO793" s="32" t="n"/>
      <c r="AP793" s="32" t="n"/>
      <c r="AQ793" s="32" t="n"/>
      <c r="AR793" s="29">
        <f>IF(NOT(COUNTA(A793:AE793)&gt;0),"",IF(A793="","New client","Update"))</f>
        <v/>
      </c>
      <c r="AS793" s="29">
        <f>IF(BA793&lt;&gt;"",BA793,IF(LEN(AZ793)=15,MID(AZ793,3,10),""))</f>
        <v/>
      </c>
      <c r="AT793" s="29">
        <f>IF(BB793="","",BB793&amp;IF(D793="","  (guessed from PAN)",""))</f>
        <v/>
      </c>
      <c r="AU793" s="29">
        <f>IF(AZ793="","",IFERROR(INDEX(Lists!$L$2:$L$38,MATCH(LEFT(AZ793,2),Lists!$K$2:$K$38,0)),"Unknown code"))</f>
        <v/>
      </c>
      <c r="AV793" s="29">
        <f>IF(AZ793="","",IFERROR(IF(NOT(AND(LEN(AZ793)=15,ISNUMBER(MATCH(LEFT(AZ793,2),Lists!$K$2:$K$38,0)),SUMPRODUCT(--ISERROR(FIND(MID(MID(AZ793,3,10),{1,2,3,4,5,10},1),"ABCDEFGHIJKLMNOPQRSTUVWXYZ")))=0,SUMPRODUCT(--ISERROR(FIND(MID(MID(AZ793,3,10),{6,7,8,9},1),"0123456789")))=0,ISNUMBER(FIND(MID(AZ793,13,1),"123456789ABCDEFGHIJKLMNOPQRSTUVWXYZ")),MID(AZ793,14,1)="Z")),"Wrong format",IF(MID("0123456789ABCDEFGHIJKLMNOPQRSTUVWXYZ",MOD(36-MOD(SUMPRODUCT(INT((FIND(MID(AZ793,{1,2,3,4,5,6,7,8,9,10,11,12,13,14},1),"0123456789ABCDEFGHIJKLMNOPQRSTUVWXYZ")-1)*{1,2,1,2,1,2,1,2,1,2,1,2,1,2}/36)+MOD((FIND(MID(AZ793,{1,2,3,4,5,6,7,8,9,10,11,12,13,14},1),"0123456789ABCDEFGHIJKLMNOPQRSTUVWXYZ")-1)*{1,2,1,2,1,2,1,2,1,2,1,2,1,2},36)),36),36)+1,1)=MID(AZ793,15,1),"OK","Typo? check digit wrong")),"Wrong format"))</f>
        <v/>
      </c>
      <c r="AW793" s="29">
        <f>IF(BA793="","",IF(AND(LEN(BA793)=10,SUMPRODUCT(--ISERROR(FIND(MID(BA793,{1,2,3,4,5,10},1),"ABCDEFGHIJKLMNOPQRSTUVWXYZ")))=0,SUMPRODUCT(--ISERROR(FIND(MID(BA793,{6,7,8,9},1),"0123456789")))=0),"OK","Wrong format"))</f>
        <v/>
      </c>
      <c r="AX793" s="29">
        <f>IF(TRIM(H793)="","",IF(AND(LEN(UPPER(TRIM(H793)))=10,SUMPRODUCT(--ISERROR(FIND(MID(UPPER(TRIM(H793)),{1,2,3,4,10},1),"ABCDEFGHIJKLMNOPQRSTUVWXYZ")))=0,SUMPRODUCT(--ISERROR(FIND(MID(UPPER(TRIM(H793)),{5,6,7,8,9},1),"0123456789")))=0),"OK","Wrong format"))</f>
        <v/>
      </c>
      <c r="AY793" s="30">
        <f>IF(NOT(COUNTA(A793:AE793)&gt;0),"",IF(BE793&lt;&gt;"","✖ "&amp;LEFT(BE793,LEN(BE793)-2),IF(BD793&gt;0,"✔ Ready — client + "&amp;BD793&amp;" service(s)","✔ Ready — client only")))</f>
        <v/>
      </c>
      <c r="AZ793" s="31">
        <f>UPPER(SUBSTITUTE(TRIM(F793)," ",""))</f>
        <v/>
      </c>
      <c r="BA793" s="31">
        <f>UPPER(SUBSTITUTE(TRIM(E793)," ",""))</f>
        <v/>
      </c>
      <c r="BB793" s="31">
        <f>IF(D793&lt;&gt;"",D793,IFERROR(VLOOKUP(MID(AS793,4,1),Lists!$E$2:$F$8,2,FALSE),""))</f>
        <v/>
      </c>
      <c r="BC793" s="31">
        <f>IFERROR(VLOOKUP(BB793,Lists!$A$2:$C$12,3,FALSE),"")</f>
        <v/>
      </c>
      <c r="BD793" s="31">
        <f>COUNTIF(W793:AC793,"Yes")</f>
        <v/>
      </c>
      <c r="BE793" s="31">
        <f>IF(TRIM(B793)="","Legal name missing; ","")&amp;IF(AND(AV793&lt;&gt;"",AV793&lt;&gt;"OK"),"GSTIN: "&amp;AV793&amp;"; ","")&amp;IF(AND(AW793&lt;&gt;"",AW793&lt;&gt;"OK"),"PAN wrong format; ","")&amp;IF(AND(BA793&lt;&gt;"",LEN(AZ793)=15,MID(AZ793,3,10)&lt;&gt;BA793),"PAN does not match GSTIN; ","")&amp;IF(AND(AX793&lt;&gt;"",AX793&lt;&gt;"OK"),"TAN wrong format; ","")&amp;IF(AS793="","PAN missing; ","")&amp;IF(BB793="","Entity type missing; ","")&amp;IF(AND(AZ793&lt;&gt;"",COUNTIF($AZ$6:$AZ$1005,AZ793)&gt;1),"GSTIN repeated in this sheet; ","")&amp;IF(AND(AS793&lt;&gt;"",COUNTIF($AS$6:$AS$1005,AS793)&gt;1),"PAN repeated in this sheet (same client? put extra GSTINs in Other GSTINs); ","")&amp;IF(AND(BD793&gt;0,V793=""),"Financial year missing; ","")&amp;IF(AND(BD793=0,V793&lt;&gt;""),"Financial year given but no service is Yes; ","")&amp;IF(AND(W793="Yes",AZ793=""),"GST needs a GSTIN; ","")&amp;IF(AND(W793="Yes",X793=""),"GST return frequency missing; ","")&amp;IF(AND(Y793="Yes",TRIM(H793)=""),"TDS needs a TAN; ","")&amp;IF(AND(AA793="Yes",BC793&lt;&gt;"",BC793&lt;&gt;"company",BC793&lt;&gt;"llp"),"ROC is only for a company / LLP; ","")&amp;IF(AND(AA793="Yes",OR(BC793="company",BC793="llp"),TRIM(I793)=""),"ROC needs the CIN / LLPIN; ","")&amp;IF((TRIM(AF793)="")&lt;&gt;(TRIM(AG793)=""),"GST login needs both user ID and password; ","")&amp;IF((TRIM(AH793)="")&lt;&gt;(TRIM(AI793)=""),"Income-tax login needs both user ID and password; ","")&amp;IF((TRIM(AJ793)="")&lt;&gt;(TRIM(AK793)=""),"Income-tax login needs both user ID and password; ","")&amp;IF((TRIM(AL793)="")&lt;&gt;(TRIM(AM793)=""),"TRACES login needs both user ID and password; ","")&amp;IF((TRIM(AN793)="")&lt;&gt;(TRIM(AO793)=""),"MCA login needs both user ID and password; ","")&amp;IF((TRIM(AP793)="")&lt;&gt;(TRIM(AQ793)=""),"E-way bill login needs both user ID and password; ","")</f>
        <v/>
      </c>
    </row>
    <row r="794">
      <c r="A794" s="32" t="n"/>
      <c r="B794" s="33" t="n"/>
      <c r="C794" s="33" t="n"/>
      <c r="D794" s="33" t="n"/>
      <c r="E794" s="32" t="n"/>
      <c r="F794" s="32" t="n"/>
      <c r="G794" s="32" t="n"/>
      <c r="H794" s="32" t="n"/>
      <c r="I794" s="32" t="n"/>
      <c r="J794" s="34" t="n"/>
      <c r="K794" s="33" t="n"/>
      <c r="L794" s="32" t="n"/>
      <c r="M794" s="33" t="n"/>
      <c r="N794" s="33" t="n"/>
      <c r="O794" s="33" t="n"/>
      <c r="P794" s="32" t="n"/>
      <c r="Q794" s="33" t="n"/>
      <c r="R794" s="33" t="n"/>
      <c r="S794" s="33" t="n"/>
      <c r="T794" s="33" t="n"/>
      <c r="U794" s="32" t="n"/>
      <c r="V794" s="33" t="n"/>
      <c r="W794" s="33" t="n"/>
      <c r="X794" s="33" t="n"/>
      <c r="Y794" s="33" t="n"/>
      <c r="Z794" s="33" t="n"/>
      <c r="AA794" s="33" t="n"/>
      <c r="AB794" s="33" t="n"/>
      <c r="AC794" s="33" t="n"/>
      <c r="AD794" s="33" t="n"/>
      <c r="AE794" s="33" t="n"/>
      <c r="AF794" s="32" t="n"/>
      <c r="AG794" s="32" t="n"/>
      <c r="AH794" s="32" t="n"/>
      <c r="AI794" s="32" t="n"/>
      <c r="AJ794" s="32" t="n"/>
      <c r="AK794" s="32" t="n"/>
      <c r="AL794" s="32" t="n"/>
      <c r="AM794" s="32" t="n"/>
      <c r="AN794" s="32" t="n"/>
      <c r="AO794" s="32" t="n"/>
      <c r="AP794" s="32" t="n"/>
      <c r="AQ794" s="32" t="n"/>
      <c r="AR794" s="29">
        <f>IF(NOT(COUNTA(A794:AE794)&gt;0),"",IF(A794="","New client","Update"))</f>
        <v/>
      </c>
      <c r="AS794" s="29">
        <f>IF(BA794&lt;&gt;"",BA794,IF(LEN(AZ794)=15,MID(AZ794,3,10),""))</f>
        <v/>
      </c>
      <c r="AT794" s="29">
        <f>IF(BB794="","",BB794&amp;IF(D794="","  (guessed from PAN)",""))</f>
        <v/>
      </c>
      <c r="AU794" s="29">
        <f>IF(AZ794="","",IFERROR(INDEX(Lists!$L$2:$L$38,MATCH(LEFT(AZ794,2),Lists!$K$2:$K$38,0)),"Unknown code"))</f>
        <v/>
      </c>
      <c r="AV794" s="29">
        <f>IF(AZ794="","",IFERROR(IF(NOT(AND(LEN(AZ794)=15,ISNUMBER(MATCH(LEFT(AZ794,2),Lists!$K$2:$K$38,0)),SUMPRODUCT(--ISERROR(FIND(MID(MID(AZ794,3,10),{1,2,3,4,5,10},1),"ABCDEFGHIJKLMNOPQRSTUVWXYZ")))=0,SUMPRODUCT(--ISERROR(FIND(MID(MID(AZ794,3,10),{6,7,8,9},1),"0123456789")))=0,ISNUMBER(FIND(MID(AZ794,13,1),"123456789ABCDEFGHIJKLMNOPQRSTUVWXYZ")),MID(AZ794,14,1)="Z")),"Wrong format",IF(MID("0123456789ABCDEFGHIJKLMNOPQRSTUVWXYZ",MOD(36-MOD(SUMPRODUCT(INT((FIND(MID(AZ794,{1,2,3,4,5,6,7,8,9,10,11,12,13,14},1),"0123456789ABCDEFGHIJKLMNOPQRSTUVWXYZ")-1)*{1,2,1,2,1,2,1,2,1,2,1,2,1,2}/36)+MOD((FIND(MID(AZ794,{1,2,3,4,5,6,7,8,9,10,11,12,13,14},1),"0123456789ABCDEFGHIJKLMNOPQRSTUVWXYZ")-1)*{1,2,1,2,1,2,1,2,1,2,1,2,1,2},36)),36),36)+1,1)=MID(AZ794,15,1),"OK","Typo? check digit wrong")),"Wrong format"))</f>
        <v/>
      </c>
      <c r="AW794" s="29">
        <f>IF(BA794="","",IF(AND(LEN(BA794)=10,SUMPRODUCT(--ISERROR(FIND(MID(BA794,{1,2,3,4,5,10},1),"ABCDEFGHIJKLMNOPQRSTUVWXYZ")))=0,SUMPRODUCT(--ISERROR(FIND(MID(BA794,{6,7,8,9},1),"0123456789")))=0),"OK","Wrong format"))</f>
        <v/>
      </c>
      <c r="AX794" s="29">
        <f>IF(TRIM(H794)="","",IF(AND(LEN(UPPER(TRIM(H794)))=10,SUMPRODUCT(--ISERROR(FIND(MID(UPPER(TRIM(H794)),{1,2,3,4,10},1),"ABCDEFGHIJKLMNOPQRSTUVWXYZ")))=0,SUMPRODUCT(--ISERROR(FIND(MID(UPPER(TRIM(H794)),{5,6,7,8,9},1),"0123456789")))=0),"OK","Wrong format"))</f>
        <v/>
      </c>
      <c r="AY794" s="30">
        <f>IF(NOT(COUNTA(A794:AE794)&gt;0),"",IF(BE794&lt;&gt;"","✖ "&amp;LEFT(BE794,LEN(BE794)-2),IF(BD794&gt;0,"✔ Ready — client + "&amp;BD794&amp;" service(s)","✔ Ready — client only")))</f>
        <v/>
      </c>
      <c r="AZ794" s="31">
        <f>UPPER(SUBSTITUTE(TRIM(F794)," ",""))</f>
        <v/>
      </c>
      <c r="BA794" s="31">
        <f>UPPER(SUBSTITUTE(TRIM(E794)," ",""))</f>
        <v/>
      </c>
      <c r="BB794" s="31">
        <f>IF(D794&lt;&gt;"",D794,IFERROR(VLOOKUP(MID(AS794,4,1),Lists!$E$2:$F$8,2,FALSE),""))</f>
        <v/>
      </c>
      <c r="BC794" s="31">
        <f>IFERROR(VLOOKUP(BB794,Lists!$A$2:$C$12,3,FALSE),"")</f>
        <v/>
      </c>
      <c r="BD794" s="31">
        <f>COUNTIF(W794:AC794,"Yes")</f>
        <v/>
      </c>
      <c r="BE794" s="31">
        <f>IF(TRIM(B794)="","Legal name missing; ","")&amp;IF(AND(AV794&lt;&gt;"",AV794&lt;&gt;"OK"),"GSTIN: "&amp;AV794&amp;"; ","")&amp;IF(AND(AW794&lt;&gt;"",AW794&lt;&gt;"OK"),"PAN wrong format; ","")&amp;IF(AND(BA794&lt;&gt;"",LEN(AZ794)=15,MID(AZ794,3,10)&lt;&gt;BA794),"PAN does not match GSTIN; ","")&amp;IF(AND(AX794&lt;&gt;"",AX794&lt;&gt;"OK"),"TAN wrong format; ","")&amp;IF(AS794="","PAN missing; ","")&amp;IF(BB794="","Entity type missing; ","")&amp;IF(AND(AZ794&lt;&gt;"",COUNTIF($AZ$6:$AZ$1005,AZ794)&gt;1),"GSTIN repeated in this sheet; ","")&amp;IF(AND(AS794&lt;&gt;"",COUNTIF($AS$6:$AS$1005,AS794)&gt;1),"PAN repeated in this sheet (same client? put extra GSTINs in Other GSTINs); ","")&amp;IF(AND(BD794&gt;0,V794=""),"Financial year missing; ","")&amp;IF(AND(BD794=0,V794&lt;&gt;""),"Financial year given but no service is Yes; ","")&amp;IF(AND(W794="Yes",AZ794=""),"GST needs a GSTIN; ","")&amp;IF(AND(W794="Yes",X794=""),"GST return frequency missing; ","")&amp;IF(AND(Y794="Yes",TRIM(H794)=""),"TDS needs a TAN; ","")&amp;IF(AND(AA794="Yes",BC794&lt;&gt;"",BC794&lt;&gt;"company",BC794&lt;&gt;"llp"),"ROC is only for a company / LLP; ","")&amp;IF(AND(AA794="Yes",OR(BC794="company",BC794="llp"),TRIM(I794)=""),"ROC needs the CIN / LLPIN; ","")&amp;IF((TRIM(AF794)="")&lt;&gt;(TRIM(AG794)=""),"GST login needs both user ID and password; ","")&amp;IF((TRIM(AH794)="")&lt;&gt;(TRIM(AI794)=""),"Income-tax login needs both user ID and password; ","")&amp;IF((TRIM(AJ794)="")&lt;&gt;(TRIM(AK794)=""),"Income-tax login needs both user ID and password; ","")&amp;IF((TRIM(AL794)="")&lt;&gt;(TRIM(AM794)=""),"TRACES login needs both user ID and password; ","")&amp;IF((TRIM(AN794)="")&lt;&gt;(TRIM(AO794)=""),"MCA login needs both user ID and password; ","")&amp;IF((TRIM(AP794)="")&lt;&gt;(TRIM(AQ794)=""),"E-way bill login needs both user ID and password; ","")</f>
        <v/>
      </c>
    </row>
    <row r="795">
      <c r="A795" s="32" t="n"/>
      <c r="B795" s="33" t="n"/>
      <c r="C795" s="33" t="n"/>
      <c r="D795" s="33" t="n"/>
      <c r="E795" s="32" t="n"/>
      <c r="F795" s="32" t="n"/>
      <c r="G795" s="32" t="n"/>
      <c r="H795" s="32" t="n"/>
      <c r="I795" s="32" t="n"/>
      <c r="J795" s="34" t="n"/>
      <c r="K795" s="33" t="n"/>
      <c r="L795" s="32" t="n"/>
      <c r="M795" s="33" t="n"/>
      <c r="N795" s="33" t="n"/>
      <c r="O795" s="33" t="n"/>
      <c r="P795" s="32" t="n"/>
      <c r="Q795" s="33" t="n"/>
      <c r="R795" s="33" t="n"/>
      <c r="S795" s="33" t="n"/>
      <c r="T795" s="33" t="n"/>
      <c r="U795" s="32" t="n"/>
      <c r="V795" s="33" t="n"/>
      <c r="W795" s="33" t="n"/>
      <c r="X795" s="33" t="n"/>
      <c r="Y795" s="33" t="n"/>
      <c r="Z795" s="33" t="n"/>
      <c r="AA795" s="33" t="n"/>
      <c r="AB795" s="33" t="n"/>
      <c r="AC795" s="33" t="n"/>
      <c r="AD795" s="33" t="n"/>
      <c r="AE795" s="33" t="n"/>
      <c r="AF795" s="32" t="n"/>
      <c r="AG795" s="32" t="n"/>
      <c r="AH795" s="32" t="n"/>
      <c r="AI795" s="32" t="n"/>
      <c r="AJ795" s="32" t="n"/>
      <c r="AK795" s="32" t="n"/>
      <c r="AL795" s="32" t="n"/>
      <c r="AM795" s="32" t="n"/>
      <c r="AN795" s="32" t="n"/>
      <c r="AO795" s="32" t="n"/>
      <c r="AP795" s="32" t="n"/>
      <c r="AQ795" s="32" t="n"/>
      <c r="AR795" s="29">
        <f>IF(NOT(COUNTA(A795:AE795)&gt;0),"",IF(A795="","New client","Update"))</f>
        <v/>
      </c>
      <c r="AS795" s="29">
        <f>IF(BA795&lt;&gt;"",BA795,IF(LEN(AZ795)=15,MID(AZ795,3,10),""))</f>
        <v/>
      </c>
      <c r="AT795" s="29">
        <f>IF(BB795="","",BB795&amp;IF(D795="","  (guessed from PAN)",""))</f>
        <v/>
      </c>
      <c r="AU795" s="29">
        <f>IF(AZ795="","",IFERROR(INDEX(Lists!$L$2:$L$38,MATCH(LEFT(AZ795,2),Lists!$K$2:$K$38,0)),"Unknown code"))</f>
        <v/>
      </c>
      <c r="AV795" s="29">
        <f>IF(AZ795="","",IFERROR(IF(NOT(AND(LEN(AZ795)=15,ISNUMBER(MATCH(LEFT(AZ795,2),Lists!$K$2:$K$38,0)),SUMPRODUCT(--ISERROR(FIND(MID(MID(AZ795,3,10),{1,2,3,4,5,10},1),"ABCDEFGHIJKLMNOPQRSTUVWXYZ")))=0,SUMPRODUCT(--ISERROR(FIND(MID(MID(AZ795,3,10),{6,7,8,9},1),"0123456789")))=0,ISNUMBER(FIND(MID(AZ795,13,1),"123456789ABCDEFGHIJKLMNOPQRSTUVWXYZ")),MID(AZ795,14,1)="Z")),"Wrong format",IF(MID("0123456789ABCDEFGHIJKLMNOPQRSTUVWXYZ",MOD(36-MOD(SUMPRODUCT(INT((FIND(MID(AZ795,{1,2,3,4,5,6,7,8,9,10,11,12,13,14},1),"0123456789ABCDEFGHIJKLMNOPQRSTUVWXYZ")-1)*{1,2,1,2,1,2,1,2,1,2,1,2,1,2}/36)+MOD((FIND(MID(AZ795,{1,2,3,4,5,6,7,8,9,10,11,12,13,14},1),"0123456789ABCDEFGHIJKLMNOPQRSTUVWXYZ")-1)*{1,2,1,2,1,2,1,2,1,2,1,2,1,2},36)),36),36)+1,1)=MID(AZ795,15,1),"OK","Typo? check digit wrong")),"Wrong format"))</f>
        <v/>
      </c>
      <c r="AW795" s="29">
        <f>IF(BA795="","",IF(AND(LEN(BA795)=10,SUMPRODUCT(--ISERROR(FIND(MID(BA795,{1,2,3,4,5,10},1),"ABCDEFGHIJKLMNOPQRSTUVWXYZ")))=0,SUMPRODUCT(--ISERROR(FIND(MID(BA795,{6,7,8,9},1),"0123456789")))=0),"OK","Wrong format"))</f>
        <v/>
      </c>
      <c r="AX795" s="29">
        <f>IF(TRIM(H795)="","",IF(AND(LEN(UPPER(TRIM(H795)))=10,SUMPRODUCT(--ISERROR(FIND(MID(UPPER(TRIM(H795)),{1,2,3,4,10},1),"ABCDEFGHIJKLMNOPQRSTUVWXYZ")))=0,SUMPRODUCT(--ISERROR(FIND(MID(UPPER(TRIM(H795)),{5,6,7,8,9},1),"0123456789")))=0),"OK","Wrong format"))</f>
        <v/>
      </c>
      <c r="AY795" s="30">
        <f>IF(NOT(COUNTA(A795:AE795)&gt;0),"",IF(BE795&lt;&gt;"","✖ "&amp;LEFT(BE795,LEN(BE795)-2),IF(BD795&gt;0,"✔ Ready — client + "&amp;BD795&amp;" service(s)","✔ Ready — client only")))</f>
        <v/>
      </c>
      <c r="AZ795" s="31">
        <f>UPPER(SUBSTITUTE(TRIM(F795)," ",""))</f>
        <v/>
      </c>
      <c r="BA795" s="31">
        <f>UPPER(SUBSTITUTE(TRIM(E795)," ",""))</f>
        <v/>
      </c>
      <c r="BB795" s="31">
        <f>IF(D795&lt;&gt;"",D795,IFERROR(VLOOKUP(MID(AS795,4,1),Lists!$E$2:$F$8,2,FALSE),""))</f>
        <v/>
      </c>
      <c r="BC795" s="31">
        <f>IFERROR(VLOOKUP(BB795,Lists!$A$2:$C$12,3,FALSE),"")</f>
        <v/>
      </c>
      <c r="BD795" s="31">
        <f>COUNTIF(W795:AC795,"Yes")</f>
        <v/>
      </c>
      <c r="BE795" s="31">
        <f>IF(TRIM(B795)="","Legal name missing; ","")&amp;IF(AND(AV795&lt;&gt;"",AV795&lt;&gt;"OK"),"GSTIN: "&amp;AV795&amp;"; ","")&amp;IF(AND(AW795&lt;&gt;"",AW795&lt;&gt;"OK"),"PAN wrong format; ","")&amp;IF(AND(BA795&lt;&gt;"",LEN(AZ795)=15,MID(AZ795,3,10)&lt;&gt;BA795),"PAN does not match GSTIN; ","")&amp;IF(AND(AX795&lt;&gt;"",AX795&lt;&gt;"OK"),"TAN wrong format; ","")&amp;IF(AS795="","PAN missing; ","")&amp;IF(BB795="","Entity type missing; ","")&amp;IF(AND(AZ795&lt;&gt;"",COUNTIF($AZ$6:$AZ$1005,AZ795)&gt;1),"GSTIN repeated in this sheet; ","")&amp;IF(AND(AS795&lt;&gt;"",COUNTIF($AS$6:$AS$1005,AS795)&gt;1),"PAN repeated in this sheet (same client? put extra GSTINs in Other GSTINs); ","")&amp;IF(AND(BD795&gt;0,V795=""),"Financial year missing; ","")&amp;IF(AND(BD795=0,V795&lt;&gt;""),"Financial year given but no service is Yes; ","")&amp;IF(AND(W795="Yes",AZ795=""),"GST needs a GSTIN; ","")&amp;IF(AND(W795="Yes",X795=""),"GST return frequency missing; ","")&amp;IF(AND(Y795="Yes",TRIM(H795)=""),"TDS needs a TAN; ","")&amp;IF(AND(AA795="Yes",BC795&lt;&gt;"",BC795&lt;&gt;"company",BC795&lt;&gt;"llp"),"ROC is only for a company / LLP; ","")&amp;IF(AND(AA795="Yes",OR(BC795="company",BC795="llp"),TRIM(I795)=""),"ROC needs the CIN / LLPIN; ","")&amp;IF((TRIM(AF795)="")&lt;&gt;(TRIM(AG795)=""),"GST login needs both user ID and password; ","")&amp;IF((TRIM(AH795)="")&lt;&gt;(TRIM(AI795)=""),"Income-tax login needs both user ID and password; ","")&amp;IF((TRIM(AJ795)="")&lt;&gt;(TRIM(AK795)=""),"Income-tax login needs both user ID and password; ","")&amp;IF((TRIM(AL795)="")&lt;&gt;(TRIM(AM795)=""),"TRACES login needs both user ID and password; ","")&amp;IF((TRIM(AN795)="")&lt;&gt;(TRIM(AO795)=""),"MCA login needs both user ID and password; ","")&amp;IF((TRIM(AP795)="")&lt;&gt;(TRIM(AQ795)=""),"E-way bill login needs both user ID and password; ","")</f>
        <v/>
      </c>
    </row>
    <row r="796">
      <c r="A796" s="32" t="n"/>
      <c r="B796" s="33" t="n"/>
      <c r="C796" s="33" t="n"/>
      <c r="D796" s="33" t="n"/>
      <c r="E796" s="32" t="n"/>
      <c r="F796" s="32" t="n"/>
      <c r="G796" s="32" t="n"/>
      <c r="H796" s="32" t="n"/>
      <c r="I796" s="32" t="n"/>
      <c r="J796" s="34" t="n"/>
      <c r="K796" s="33" t="n"/>
      <c r="L796" s="32" t="n"/>
      <c r="M796" s="33" t="n"/>
      <c r="N796" s="33" t="n"/>
      <c r="O796" s="33" t="n"/>
      <c r="P796" s="32" t="n"/>
      <c r="Q796" s="33" t="n"/>
      <c r="R796" s="33" t="n"/>
      <c r="S796" s="33" t="n"/>
      <c r="T796" s="33" t="n"/>
      <c r="U796" s="32" t="n"/>
      <c r="V796" s="33" t="n"/>
      <c r="W796" s="33" t="n"/>
      <c r="X796" s="33" t="n"/>
      <c r="Y796" s="33" t="n"/>
      <c r="Z796" s="33" t="n"/>
      <c r="AA796" s="33" t="n"/>
      <c r="AB796" s="33" t="n"/>
      <c r="AC796" s="33" t="n"/>
      <c r="AD796" s="33" t="n"/>
      <c r="AE796" s="33" t="n"/>
      <c r="AF796" s="32" t="n"/>
      <c r="AG796" s="32" t="n"/>
      <c r="AH796" s="32" t="n"/>
      <c r="AI796" s="32" t="n"/>
      <c r="AJ796" s="32" t="n"/>
      <c r="AK796" s="32" t="n"/>
      <c r="AL796" s="32" t="n"/>
      <c r="AM796" s="32" t="n"/>
      <c r="AN796" s="32" t="n"/>
      <c r="AO796" s="32" t="n"/>
      <c r="AP796" s="32" t="n"/>
      <c r="AQ796" s="32" t="n"/>
      <c r="AR796" s="29">
        <f>IF(NOT(COUNTA(A796:AE796)&gt;0),"",IF(A796="","New client","Update"))</f>
        <v/>
      </c>
      <c r="AS796" s="29">
        <f>IF(BA796&lt;&gt;"",BA796,IF(LEN(AZ796)=15,MID(AZ796,3,10),""))</f>
        <v/>
      </c>
      <c r="AT796" s="29">
        <f>IF(BB796="","",BB796&amp;IF(D796="","  (guessed from PAN)",""))</f>
        <v/>
      </c>
      <c r="AU796" s="29">
        <f>IF(AZ796="","",IFERROR(INDEX(Lists!$L$2:$L$38,MATCH(LEFT(AZ796,2),Lists!$K$2:$K$38,0)),"Unknown code"))</f>
        <v/>
      </c>
      <c r="AV796" s="29">
        <f>IF(AZ796="","",IFERROR(IF(NOT(AND(LEN(AZ796)=15,ISNUMBER(MATCH(LEFT(AZ796,2),Lists!$K$2:$K$38,0)),SUMPRODUCT(--ISERROR(FIND(MID(MID(AZ796,3,10),{1,2,3,4,5,10},1),"ABCDEFGHIJKLMNOPQRSTUVWXYZ")))=0,SUMPRODUCT(--ISERROR(FIND(MID(MID(AZ796,3,10),{6,7,8,9},1),"0123456789")))=0,ISNUMBER(FIND(MID(AZ796,13,1),"123456789ABCDEFGHIJKLMNOPQRSTUVWXYZ")),MID(AZ796,14,1)="Z")),"Wrong format",IF(MID("0123456789ABCDEFGHIJKLMNOPQRSTUVWXYZ",MOD(36-MOD(SUMPRODUCT(INT((FIND(MID(AZ796,{1,2,3,4,5,6,7,8,9,10,11,12,13,14},1),"0123456789ABCDEFGHIJKLMNOPQRSTUVWXYZ")-1)*{1,2,1,2,1,2,1,2,1,2,1,2,1,2}/36)+MOD((FIND(MID(AZ796,{1,2,3,4,5,6,7,8,9,10,11,12,13,14},1),"0123456789ABCDEFGHIJKLMNOPQRSTUVWXYZ")-1)*{1,2,1,2,1,2,1,2,1,2,1,2,1,2},36)),36),36)+1,1)=MID(AZ796,15,1),"OK","Typo? check digit wrong")),"Wrong format"))</f>
        <v/>
      </c>
      <c r="AW796" s="29">
        <f>IF(BA796="","",IF(AND(LEN(BA796)=10,SUMPRODUCT(--ISERROR(FIND(MID(BA796,{1,2,3,4,5,10},1),"ABCDEFGHIJKLMNOPQRSTUVWXYZ")))=0,SUMPRODUCT(--ISERROR(FIND(MID(BA796,{6,7,8,9},1),"0123456789")))=0),"OK","Wrong format"))</f>
        <v/>
      </c>
      <c r="AX796" s="29">
        <f>IF(TRIM(H796)="","",IF(AND(LEN(UPPER(TRIM(H796)))=10,SUMPRODUCT(--ISERROR(FIND(MID(UPPER(TRIM(H796)),{1,2,3,4,10},1),"ABCDEFGHIJKLMNOPQRSTUVWXYZ")))=0,SUMPRODUCT(--ISERROR(FIND(MID(UPPER(TRIM(H796)),{5,6,7,8,9},1),"0123456789")))=0),"OK","Wrong format"))</f>
        <v/>
      </c>
      <c r="AY796" s="30">
        <f>IF(NOT(COUNTA(A796:AE796)&gt;0),"",IF(BE796&lt;&gt;"","✖ "&amp;LEFT(BE796,LEN(BE796)-2),IF(BD796&gt;0,"✔ Ready — client + "&amp;BD796&amp;" service(s)","✔ Ready — client only")))</f>
        <v/>
      </c>
      <c r="AZ796" s="31">
        <f>UPPER(SUBSTITUTE(TRIM(F796)," ",""))</f>
        <v/>
      </c>
      <c r="BA796" s="31">
        <f>UPPER(SUBSTITUTE(TRIM(E796)," ",""))</f>
        <v/>
      </c>
      <c r="BB796" s="31">
        <f>IF(D796&lt;&gt;"",D796,IFERROR(VLOOKUP(MID(AS796,4,1),Lists!$E$2:$F$8,2,FALSE),""))</f>
        <v/>
      </c>
      <c r="BC796" s="31">
        <f>IFERROR(VLOOKUP(BB796,Lists!$A$2:$C$12,3,FALSE),"")</f>
        <v/>
      </c>
      <c r="BD796" s="31">
        <f>COUNTIF(W796:AC796,"Yes")</f>
        <v/>
      </c>
      <c r="BE796" s="31">
        <f>IF(TRIM(B796)="","Legal name missing; ","")&amp;IF(AND(AV796&lt;&gt;"",AV796&lt;&gt;"OK"),"GSTIN: "&amp;AV796&amp;"; ","")&amp;IF(AND(AW796&lt;&gt;"",AW796&lt;&gt;"OK"),"PAN wrong format; ","")&amp;IF(AND(BA796&lt;&gt;"",LEN(AZ796)=15,MID(AZ796,3,10)&lt;&gt;BA796),"PAN does not match GSTIN; ","")&amp;IF(AND(AX796&lt;&gt;"",AX796&lt;&gt;"OK"),"TAN wrong format; ","")&amp;IF(AS796="","PAN missing; ","")&amp;IF(BB796="","Entity type missing; ","")&amp;IF(AND(AZ796&lt;&gt;"",COUNTIF($AZ$6:$AZ$1005,AZ796)&gt;1),"GSTIN repeated in this sheet; ","")&amp;IF(AND(AS796&lt;&gt;"",COUNTIF($AS$6:$AS$1005,AS796)&gt;1),"PAN repeated in this sheet (same client? put extra GSTINs in Other GSTINs); ","")&amp;IF(AND(BD796&gt;0,V796=""),"Financial year missing; ","")&amp;IF(AND(BD796=0,V796&lt;&gt;""),"Financial year given but no service is Yes; ","")&amp;IF(AND(W796="Yes",AZ796=""),"GST needs a GSTIN; ","")&amp;IF(AND(W796="Yes",X796=""),"GST return frequency missing; ","")&amp;IF(AND(Y796="Yes",TRIM(H796)=""),"TDS needs a TAN; ","")&amp;IF(AND(AA796="Yes",BC796&lt;&gt;"",BC796&lt;&gt;"company",BC796&lt;&gt;"llp"),"ROC is only for a company / LLP; ","")&amp;IF(AND(AA796="Yes",OR(BC796="company",BC796="llp"),TRIM(I796)=""),"ROC needs the CIN / LLPIN; ","")&amp;IF((TRIM(AF796)="")&lt;&gt;(TRIM(AG796)=""),"GST login needs both user ID and password; ","")&amp;IF((TRIM(AH796)="")&lt;&gt;(TRIM(AI796)=""),"Income-tax login needs both user ID and password; ","")&amp;IF((TRIM(AJ796)="")&lt;&gt;(TRIM(AK796)=""),"Income-tax login needs both user ID and password; ","")&amp;IF((TRIM(AL796)="")&lt;&gt;(TRIM(AM796)=""),"TRACES login needs both user ID and password; ","")&amp;IF((TRIM(AN796)="")&lt;&gt;(TRIM(AO796)=""),"MCA login needs both user ID and password; ","")&amp;IF((TRIM(AP796)="")&lt;&gt;(TRIM(AQ796)=""),"E-way bill login needs both user ID and password; ","")</f>
        <v/>
      </c>
    </row>
    <row r="797">
      <c r="A797" s="32" t="n"/>
      <c r="B797" s="33" t="n"/>
      <c r="C797" s="33" t="n"/>
      <c r="D797" s="33" t="n"/>
      <c r="E797" s="32" t="n"/>
      <c r="F797" s="32" t="n"/>
      <c r="G797" s="32" t="n"/>
      <c r="H797" s="32" t="n"/>
      <c r="I797" s="32" t="n"/>
      <c r="J797" s="34" t="n"/>
      <c r="K797" s="33" t="n"/>
      <c r="L797" s="32" t="n"/>
      <c r="M797" s="33" t="n"/>
      <c r="N797" s="33" t="n"/>
      <c r="O797" s="33" t="n"/>
      <c r="P797" s="32" t="n"/>
      <c r="Q797" s="33" t="n"/>
      <c r="R797" s="33" t="n"/>
      <c r="S797" s="33" t="n"/>
      <c r="T797" s="33" t="n"/>
      <c r="U797" s="32" t="n"/>
      <c r="V797" s="33" t="n"/>
      <c r="W797" s="33" t="n"/>
      <c r="X797" s="33" t="n"/>
      <c r="Y797" s="33" t="n"/>
      <c r="Z797" s="33" t="n"/>
      <c r="AA797" s="33" t="n"/>
      <c r="AB797" s="33" t="n"/>
      <c r="AC797" s="33" t="n"/>
      <c r="AD797" s="33" t="n"/>
      <c r="AE797" s="33" t="n"/>
      <c r="AF797" s="32" t="n"/>
      <c r="AG797" s="32" t="n"/>
      <c r="AH797" s="32" t="n"/>
      <c r="AI797" s="32" t="n"/>
      <c r="AJ797" s="32" t="n"/>
      <c r="AK797" s="32" t="n"/>
      <c r="AL797" s="32" t="n"/>
      <c r="AM797" s="32" t="n"/>
      <c r="AN797" s="32" t="n"/>
      <c r="AO797" s="32" t="n"/>
      <c r="AP797" s="32" t="n"/>
      <c r="AQ797" s="32" t="n"/>
      <c r="AR797" s="29">
        <f>IF(NOT(COUNTA(A797:AE797)&gt;0),"",IF(A797="","New client","Update"))</f>
        <v/>
      </c>
      <c r="AS797" s="29">
        <f>IF(BA797&lt;&gt;"",BA797,IF(LEN(AZ797)=15,MID(AZ797,3,10),""))</f>
        <v/>
      </c>
      <c r="AT797" s="29">
        <f>IF(BB797="","",BB797&amp;IF(D797="","  (guessed from PAN)",""))</f>
        <v/>
      </c>
      <c r="AU797" s="29">
        <f>IF(AZ797="","",IFERROR(INDEX(Lists!$L$2:$L$38,MATCH(LEFT(AZ797,2),Lists!$K$2:$K$38,0)),"Unknown code"))</f>
        <v/>
      </c>
      <c r="AV797" s="29">
        <f>IF(AZ797="","",IFERROR(IF(NOT(AND(LEN(AZ797)=15,ISNUMBER(MATCH(LEFT(AZ797,2),Lists!$K$2:$K$38,0)),SUMPRODUCT(--ISERROR(FIND(MID(MID(AZ797,3,10),{1,2,3,4,5,10},1),"ABCDEFGHIJKLMNOPQRSTUVWXYZ")))=0,SUMPRODUCT(--ISERROR(FIND(MID(MID(AZ797,3,10),{6,7,8,9},1),"0123456789")))=0,ISNUMBER(FIND(MID(AZ797,13,1),"123456789ABCDEFGHIJKLMNOPQRSTUVWXYZ")),MID(AZ797,14,1)="Z")),"Wrong format",IF(MID("0123456789ABCDEFGHIJKLMNOPQRSTUVWXYZ",MOD(36-MOD(SUMPRODUCT(INT((FIND(MID(AZ797,{1,2,3,4,5,6,7,8,9,10,11,12,13,14},1),"0123456789ABCDEFGHIJKLMNOPQRSTUVWXYZ")-1)*{1,2,1,2,1,2,1,2,1,2,1,2,1,2}/36)+MOD((FIND(MID(AZ797,{1,2,3,4,5,6,7,8,9,10,11,12,13,14},1),"0123456789ABCDEFGHIJKLMNOPQRSTUVWXYZ")-1)*{1,2,1,2,1,2,1,2,1,2,1,2,1,2},36)),36),36)+1,1)=MID(AZ797,15,1),"OK","Typo? check digit wrong")),"Wrong format"))</f>
        <v/>
      </c>
      <c r="AW797" s="29">
        <f>IF(BA797="","",IF(AND(LEN(BA797)=10,SUMPRODUCT(--ISERROR(FIND(MID(BA797,{1,2,3,4,5,10},1),"ABCDEFGHIJKLMNOPQRSTUVWXYZ")))=0,SUMPRODUCT(--ISERROR(FIND(MID(BA797,{6,7,8,9},1),"0123456789")))=0),"OK","Wrong format"))</f>
        <v/>
      </c>
      <c r="AX797" s="29">
        <f>IF(TRIM(H797)="","",IF(AND(LEN(UPPER(TRIM(H797)))=10,SUMPRODUCT(--ISERROR(FIND(MID(UPPER(TRIM(H797)),{1,2,3,4,10},1),"ABCDEFGHIJKLMNOPQRSTUVWXYZ")))=0,SUMPRODUCT(--ISERROR(FIND(MID(UPPER(TRIM(H797)),{5,6,7,8,9},1),"0123456789")))=0),"OK","Wrong format"))</f>
        <v/>
      </c>
      <c r="AY797" s="30">
        <f>IF(NOT(COUNTA(A797:AE797)&gt;0),"",IF(BE797&lt;&gt;"","✖ "&amp;LEFT(BE797,LEN(BE797)-2),IF(BD797&gt;0,"✔ Ready — client + "&amp;BD797&amp;" service(s)","✔ Ready — client only")))</f>
        <v/>
      </c>
      <c r="AZ797" s="31">
        <f>UPPER(SUBSTITUTE(TRIM(F797)," ",""))</f>
        <v/>
      </c>
      <c r="BA797" s="31">
        <f>UPPER(SUBSTITUTE(TRIM(E797)," ",""))</f>
        <v/>
      </c>
      <c r="BB797" s="31">
        <f>IF(D797&lt;&gt;"",D797,IFERROR(VLOOKUP(MID(AS797,4,1),Lists!$E$2:$F$8,2,FALSE),""))</f>
        <v/>
      </c>
      <c r="BC797" s="31">
        <f>IFERROR(VLOOKUP(BB797,Lists!$A$2:$C$12,3,FALSE),"")</f>
        <v/>
      </c>
      <c r="BD797" s="31">
        <f>COUNTIF(W797:AC797,"Yes")</f>
        <v/>
      </c>
      <c r="BE797" s="31">
        <f>IF(TRIM(B797)="","Legal name missing; ","")&amp;IF(AND(AV797&lt;&gt;"",AV797&lt;&gt;"OK"),"GSTIN: "&amp;AV797&amp;"; ","")&amp;IF(AND(AW797&lt;&gt;"",AW797&lt;&gt;"OK"),"PAN wrong format; ","")&amp;IF(AND(BA797&lt;&gt;"",LEN(AZ797)=15,MID(AZ797,3,10)&lt;&gt;BA797),"PAN does not match GSTIN; ","")&amp;IF(AND(AX797&lt;&gt;"",AX797&lt;&gt;"OK"),"TAN wrong format; ","")&amp;IF(AS797="","PAN missing; ","")&amp;IF(BB797="","Entity type missing; ","")&amp;IF(AND(AZ797&lt;&gt;"",COUNTIF($AZ$6:$AZ$1005,AZ797)&gt;1),"GSTIN repeated in this sheet; ","")&amp;IF(AND(AS797&lt;&gt;"",COUNTIF($AS$6:$AS$1005,AS797)&gt;1),"PAN repeated in this sheet (same client? put extra GSTINs in Other GSTINs); ","")&amp;IF(AND(BD797&gt;0,V797=""),"Financial year missing; ","")&amp;IF(AND(BD797=0,V797&lt;&gt;""),"Financial year given but no service is Yes; ","")&amp;IF(AND(W797="Yes",AZ797=""),"GST needs a GSTIN; ","")&amp;IF(AND(W797="Yes",X797=""),"GST return frequency missing; ","")&amp;IF(AND(Y797="Yes",TRIM(H797)=""),"TDS needs a TAN; ","")&amp;IF(AND(AA797="Yes",BC797&lt;&gt;"",BC797&lt;&gt;"company",BC797&lt;&gt;"llp"),"ROC is only for a company / LLP; ","")&amp;IF(AND(AA797="Yes",OR(BC797="company",BC797="llp"),TRIM(I797)=""),"ROC needs the CIN / LLPIN; ","")&amp;IF((TRIM(AF797)="")&lt;&gt;(TRIM(AG797)=""),"GST login needs both user ID and password; ","")&amp;IF((TRIM(AH797)="")&lt;&gt;(TRIM(AI797)=""),"Income-tax login needs both user ID and password; ","")&amp;IF((TRIM(AJ797)="")&lt;&gt;(TRIM(AK797)=""),"Income-tax login needs both user ID and password; ","")&amp;IF((TRIM(AL797)="")&lt;&gt;(TRIM(AM797)=""),"TRACES login needs both user ID and password; ","")&amp;IF((TRIM(AN797)="")&lt;&gt;(TRIM(AO797)=""),"MCA login needs both user ID and password; ","")&amp;IF((TRIM(AP797)="")&lt;&gt;(TRIM(AQ797)=""),"E-way bill login needs both user ID and password; ","")</f>
        <v/>
      </c>
    </row>
    <row r="798">
      <c r="A798" s="32" t="n"/>
      <c r="B798" s="33" t="n"/>
      <c r="C798" s="33" t="n"/>
      <c r="D798" s="33" t="n"/>
      <c r="E798" s="32" t="n"/>
      <c r="F798" s="32" t="n"/>
      <c r="G798" s="32" t="n"/>
      <c r="H798" s="32" t="n"/>
      <c r="I798" s="32" t="n"/>
      <c r="J798" s="34" t="n"/>
      <c r="K798" s="33" t="n"/>
      <c r="L798" s="32" t="n"/>
      <c r="M798" s="33" t="n"/>
      <c r="N798" s="33" t="n"/>
      <c r="O798" s="33" t="n"/>
      <c r="P798" s="32" t="n"/>
      <c r="Q798" s="33" t="n"/>
      <c r="R798" s="33" t="n"/>
      <c r="S798" s="33" t="n"/>
      <c r="T798" s="33" t="n"/>
      <c r="U798" s="32" t="n"/>
      <c r="V798" s="33" t="n"/>
      <c r="W798" s="33" t="n"/>
      <c r="X798" s="33" t="n"/>
      <c r="Y798" s="33" t="n"/>
      <c r="Z798" s="33" t="n"/>
      <c r="AA798" s="33" t="n"/>
      <c r="AB798" s="33" t="n"/>
      <c r="AC798" s="33" t="n"/>
      <c r="AD798" s="33" t="n"/>
      <c r="AE798" s="33" t="n"/>
      <c r="AF798" s="32" t="n"/>
      <c r="AG798" s="32" t="n"/>
      <c r="AH798" s="32" t="n"/>
      <c r="AI798" s="32" t="n"/>
      <c r="AJ798" s="32" t="n"/>
      <c r="AK798" s="32" t="n"/>
      <c r="AL798" s="32" t="n"/>
      <c r="AM798" s="32" t="n"/>
      <c r="AN798" s="32" t="n"/>
      <c r="AO798" s="32" t="n"/>
      <c r="AP798" s="32" t="n"/>
      <c r="AQ798" s="32" t="n"/>
      <c r="AR798" s="29">
        <f>IF(NOT(COUNTA(A798:AE798)&gt;0),"",IF(A798="","New client","Update"))</f>
        <v/>
      </c>
      <c r="AS798" s="29">
        <f>IF(BA798&lt;&gt;"",BA798,IF(LEN(AZ798)=15,MID(AZ798,3,10),""))</f>
        <v/>
      </c>
      <c r="AT798" s="29">
        <f>IF(BB798="","",BB798&amp;IF(D798="","  (guessed from PAN)",""))</f>
        <v/>
      </c>
      <c r="AU798" s="29">
        <f>IF(AZ798="","",IFERROR(INDEX(Lists!$L$2:$L$38,MATCH(LEFT(AZ798,2),Lists!$K$2:$K$38,0)),"Unknown code"))</f>
        <v/>
      </c>
      <c r="AV798" s="29">
        <f>IF(AZ798="","",IFERROR(IF(NOT(AND(LEN(AZ798)=15,ISNUMBER(MATCH(LEFT(AZ798,2),Lists!$K$2:$K$38,0)),SUMPRODUCT(--ISERROR(FIND(MID(MID(AZ798,3,10),{1,2,3,4,5,10},1),"ABCDEFGHIJKLMNOPQRSTUVWXYZ")))=0,SUMPRODUCT(--ISERROR(FIND(MID(MID(AZ798,3,10),{6,7,8,9},1),"0123456789")))=0,ISNUMBER(FIND(MID(AZ798,13,1),"123456789ABCDEFGHIJKLMNOPQRSTUVWXYZ")),MID(AZ798,14,1)="Z")),"Wrong format",IF(MID("0123456789ABCDEFGHIJKLMNOPQRSTUVWXYZ",MOD(36-MOD(SUMPRODUCT(INT((FIND(MID(AZ798,{1,2,3,4,5,6,7,8,9,10,11,12,13,14},1),"0123456789ABCDEFGHIJKLMNOPQRSTUVWXYZ")-1)*{1,2,1,2,1,2,1,2,1,2,1,2,1,2}/36)+MOD((FIND(MID(AZ798,{1,2,3,4,5,6,7,8,9,10,11,12,13,14},1),"0123456789ABCDEFGHIJKLMNOPQRSTUVWXYZ")-1)*{1,2,1,2,1,2,1,2,1,2,1,2,1,2},36)),36),36)+1,1)=MID(AZ798,15,1),"OK","Typo? check digit wrong")),"Wrong format"))</f>
        <v/>
      </c>
      <c r="AW798" s="29">
        <f>IF(BA798="","",IF(AND(LEN(BA798)=10,SUMPRODUCT(--ISERROR(FIND(MID(BA798,{1,2,3,4,5,10},1),"ABCDEFGHIJKLMNOPQRSTUVWXYZ")))=0,SUMPRODUCT(--ISERROR(FIND(MID(BA798,{6,7,8,9},1),"0123456789")))=0),"OK","Wrong format"))</f>
        <v/>
      </c>
      <c r="AX798" s="29">
        <f>IF(TRIM(H798)="","",IF(AND(LEN(UPPER(TRIM(H798)))=10,SUMPRODUCT(--ISERROR(FIND(MID(UPPER(TRIM(H798)),{1,2,3,4,10},1),"ABCDEFGHIJKLMNOPQRSTUVWXYZ")))=0,SUMPRODUCT(--ISERROR(FIND(MID(UPPER(TRIM(H798)),{5,6,7,8,9},1),"0123456789")))=0),"OK","Wrong format"))</f>
        <v/>
      </c>
      <c r="AY798" s="30">
        <f>IF(NOT(COUNTA(A798:AE798)&gt;0),"",IF(BE798&lt;&gt;"","✖ "&amp;LEFT(BE798,LEN(BE798)-2),IF(BD798&gt;0,"✔ Ready — client + "&amp;BD798&amp;" service(s)","✔ Ready — client only")))</f>
        <v/>
      </c>
      <c r="AZ798" s="31">
        <f>UPPER(SUBSTITUTE(TRIM(F798)," ",""))</f>
        <v/>
      </c>
      <c r="BA798" s="31">
        <f>UPPER(SUBSTITUTE(TRIM(E798)," ",""))</f>
        <v/>
      </c>
      <c r="BB798" s="31">
        <f>IF(D798&lt;&gt;"",D798,IFERROR(VLOOKUP(MID(AS798,4,1),Lists!$E$2:$F$8,2,FALSE),""))</f>
        <v/>
      </c>
      <c r="BC798" s="31">
        <f>IFERROR(VLOOKUP(BB798,Lists!$A$2:$C$12,3,FALSE),"")</f>
        <v/>
      </c>
      <c r="BD798" s="31">
        <f>COUNTIF(W798:AC798,"Yes")</f>
        <v/>
      </c>
      <c r="BE798" s="31">
        <f>IF(TRIM(B798)="","Legal name missing; ","")&amp;IF(AND(AV798&lt;&gt;"",AV798&lt;&gt;"OK"),"GSTIN: "&amp;AV798&amp;"; ","")&amp;IF(AND(AW798&lt;&gt;"",AW798&lt;&gt;"OK"),"PAN wrong format; ","")&amp;IF(AND(BA798&lt;&gt;"",LEN(AZ798)=15,MID(AZ798,3,10)&lt;&gt;BA798),"PAN does not match GSTIN; ","")&amp;IF(AND(AX798&lt;&gt;"",AX798&lt;&gt;"OK"),"TAN wrong format; ","")&amp;IF(AS798="","PAN missing; ","")&amp;IF(BB798="","Entity type missing; ","")&amp;IF(AND(AZ798&lt;&gt;"",COUNTIF($AZ$6:$AZ$1005,AZ798)&gt;1),"GSTIN repeated in this sheet; ","")&amp;IF(AND(AS798&lt;&gt;"",COUNTIF($AS$6:$AS$1005,AS798)&gt;1),"PAN repeated in this sheet (same client? put extra GSTINs in Other GSTINs); ","")&amp;IF(AND(BD798&gt;0,V798=""),"Financial year missing; ","")&amp;IF(AND(BD798=0,V798&lt;&gt;""),"Financial year given but no service is Yes; ","")&amp;IF(AND(W798="Yes",AZ798=""),"GST needs a GSTIN; ","")&amp;IF(AND(W798="Yes",X798=""),"GST return frequency missing; ","")&amp;IF(AND(Y798="Yes",TRIM(H798)=""),"TDS needs a TAN; ","")&amp;IF(AND(AA798="Yes",BC798&lt;&gt;"",BC798&lt;&gt;"company",BC798&lt;&gt;"llp"),"ROC is only for a company / LLP; ","")&amp;IF(AND(AA798="Yes",OR(BC798="company",BC798="llp"),TRIM(I798)=""),"ROC needs the CIN / LLPIN; ","")&amp;IF((TRIM(AF798)="")&lt;&gt;(TRIM(AG798)=""),"GST login needs both user ID and password; ","")&amp;IF((TRIM(AH798)="")&lt;&gt;(TRIM(AI798)=""),"Income-tax login needs both user ID and password; ","")&amp;IF((TRIM(AJ798)="")&lt;&gt;(TRIM(AK798)=""),"Income-tax login needs both user ID and password; ","")&amp;IF((TRIM(AL798)="")&lt;&gt;(TRIM(AM798)=""),"TRACES login needs both user ID and password; ","")&amp;IF((TRIM(AN798)="")&lt;&gt;(TRIM(AO798)=""),"MCA login needs both user ID and password; ","")&amp;IF((TRIM(AP798)="")&lt;&gt;(TRIM(AQ798)=""),"E-way bill login needs both user ID and password; ","")</f>
        <v/>
      </c>
    </row>
    <row r="799">
      <c r="A799" s="32" t="n"/>
      <c r="B799" s="33" t="n"/>
      <c r="C799" s="33" t="n"/>
      <c r="D799" s="33" t="n"/>
      <c r="E799" s="32" t="n"/>
      <c r="F799" s="32" t="n"/>
      <c r="G799" s="32" t="n"/>
      <c r="H799" s="32" t="n"/>
      <c r="I799" s="32" t="n"/>
      <c r="J799" s="34" t="n"/>
      <c r="K799" s="33" t="n"/>
      <c r="L799" s="32" t="n"/>
      <c r="M799" s="33" t="n"/>
      <c r="N799" s="33" t="n"/>
      <c r="O799" s="33" t="n"/>
      <c r="P799" s="32" t="n"/>
      <c r="Q799" s="33" t="n"/>
      <c r="R799" s="33" t="n"/>
      <c r="S799" s="33" t="n"/>
      <c r="T799" s="33" t="n"/>
      <c r="U799" s="32" t="n"/>
      <c r="V799" s="33" t="n"/>
      <c r="W799" s="33" t="n"/>
      <c r="X799" s="33" t="n"/>
      <c r="Y799" s="33" t="n"/>
      <c r="Z799" s="33" t="n"/>
      <c r="AA799" s="33" t="n"/>
      <c r="AB799" s="33" t="n"/>
      <c r="AC799" s="33" t="n"/>
      <c r="AD799" s="33" t="n"/>
      <c r="AE799" s="33" t="n"/>
      <c r="AF799" s="32" t="n"/>
      <c r="AG799" s="32" t="n"/>
      <c r="AH799" s="32" t="n"/>
      <c r="AI799" s="32" t="n"/>
      <c r="AJ799" s="32" t="n"/>
      <c r="AK799" s="32" t="n"/>
      <c r="AL799" s="32" t="n"/>
      <c r="AM799" s="32" t="n"/>
      <c r="AN799" s="32" t="n"/>
      <c r="AO799" s="32" t="n"/>
      <c r="AP799" s="32" t="n"/>
      <c r="AQ799" s="32" t="n"/>
      <c r="AR799" s="29">
        <f>IF(NOT(COUNTA(A799:AE799)&gt;0),"",IF(A799="","New client","Update"))</f>
        <v/>
      </c>
      <c r="AS799" s="29">
        <f>IF(BA799&lt;&gt;"",BA799,IF(LEN(AZ799)=15,MID(AZ799,3,10),""))</f>
        <v/>
      </c>
      <c r="AT799" s="29">
        <f>IF(BB799="","",BB799&amp;IF(D799="","  (guessed from PAN)",""))</f>
        <v/>
      </c>
      <c r="AU799" s="29">
        <f>IF(AZ799="","",IFERROR(INDEX(Lists!$L$2:$L$38,MATCH(LEFT(AZ799,2),Lists!$K$2:$K$38,0)),"Unknown code"))</f>
        <v/>
      </c>
      <c r="AV799" s="29">
        <f>IF(AZ799="","",IFERROR(IF(NOT(AND(LEN(AZ799)=15,ISNUMBER(MATCH(LEFT(AZ799,2),Lists!$K$2:$K$38,0)),SUMPRODUCT(--ISERROR(FIND(MID(MID(AZ799,3,10),{1,2,3,4,5,10},1),"ABCDEFGHIJKLMNOPQRSTUVWXYZ")))=0,SUMPRODUCT(--ISERROR(FIND(MID(MID(AZ799,3,10),{6,7,8,9},1),"0123456789")))=0,ISNUMBER(FIND(MID(AZ799,13,1),"123456789ABCDEFGHIJKLMNOPQRSTUVWXYZ")),MID(AZ799,14,1)="Z")),"Wrong format",IF(MID("0123456789ABCDEFGHIJKLMNOPQRSTUVWXYZ",MOD(36-MOD(SUMPRODUCT(INT((FIND(MID(AZ799,{1,2,3,4,5,6,7,8,9,10,11,12,13,14},1),"0123456789ABCDEFGHIJKLMNOPQRSTUVWXYZ")-1)*{1,2,1,2,1,2,1,2,1,2,1,2,1,2}/36)+MOD((FIND(MID(AZ799,{1,2,3,4,5,6,7,8,9,10,11,12,13,14},1),"0123456789ABCDEFGHIJKLMNOPQRSTUVWXYZ")-1)*{1,2,1,2,1,2,1,2,1,2,1,2,1,2},36)),36),36)+1,1)=MID(AZ799,15,1),"OK","Typo? check digit wrong")),"Wrong format"))</f>
        <v/>
      </c>
      <c r="AW799" s="29">
        <f>IF(BA799="","",IF(AND(LEN(BA799)=10,SUMPRODUCT(--ISERROR(FIND(MID(BA799,{1,2,3,4,5,10},1),"ABCDEFGHIJKLMNOPQRSTUVWXYZ")))=0,SUMPRODUCT(--ISERROR(FIND(MID(BA799,{6,7,8,9},1),"0123456789")))=0),"OK","Wrong format"))</f>
        <v/>
      </c>
      <c r="AX799" s="29">
        <f>IF(TRIM(H799)="","",IF(AND(LEN(UPPER(TRIM(H799)))=10,SUMPRODUCT(--ISERROR(FIND(MID(UPPER(TRIM(H799)),{1,2,3,4,10},1),"ABCDEFGHIJKLMNOPQRSTUVWXYZ")))=0,SUMPRODUCT(--ISERROR(FIND(MID(UPPER(TRIM(H799)),{5,6,7,8,9},1),"0123456789")))=0),"OK","Wrong format"))</f>
        <v/>
      </c>
      <c r="AY799" s="30">
        <f>IF(NOT(COUNTA(A799:AE799)&gt;0),"",IF(BE799&lt;&gt;"","✖ "&amp;LEFT(BE799,LEN(BE799)-2),IF(BD799&gt;0,"✔ Ready — client + "&amp;BD799&amp;" service(s)","✔ Ready — client only")))</f>
        <v/>
      </c>
      <c r="AZ799" s="31">
        <f>UPPER(SUBSTITUTE(TRIM(F799)," ",""))</f>
        <v/>
      </c>
      <c r="BA799" s="31">
        <f>UPPER(SUBSTITUTE(TRIM(E799)," ",""))</f>
        <v/>
      </c>
      <c r="BB799" s="31">
        <f>IF(D799&lt;&gt;"",D799,IFERROR(VLOOKUP(MID(AS799,4,1),Lists!$E$2:$F$8,2,FALSE),""))</f>
        <v/>
      </c>
      <c r="BC799" s="31">
        <f>IFERROR(VLOOKUP(BB799,Lists!$A$2:$C$12,3,FALSE),"")</f>
        <v/>
      </c>
      <c r="BD799" s="31">
        <f>COUNTIF(W799:AC799,"Yes")</f>
        <v/>
      </c>
      <c r="BE799" s="31">
        <f>IF(TRIM(B799)="","Legal name missing; ","")&amp;IF(AND(AV799&lt;&gt;"",AV799&lt;&gt;"OK"),"GSTIN: "&amp;AV799&amp;"; ","")&amp;IF(AND(AW799&lt;&gt;"",AW799&lt;&gt;"OK"),"PAN wrong format; ","")&amp;IF(AND(BA799&lt;&gt;"",LEN(AZ799)=15,MID(AZ799,3,10)&lt;&gt;BA799),"PAN does not match GSTIN; ","")&amp;IF(AND(AX799&lt;&gt;"",AX799&lt;&gt;"OK"),"TAN wrong format; ","")&amp;IF(AS799="","PAN missing; ","")&amp;IF(BB799="","Entity type missing; ","")&amp;IF(AND(AZ799&lt;&gt;"",COUNTIF($AZ$6:$AZ$1005,AZ799)&gt;1),"GSTIN repeated in this sheet; ","")&amp;IF(AND(AS799&lt;&gt;"",COUNTIF($AS$6:$AS$1005,AS799)&gt;1),"PAN repeated in this sheet (same client? put extra GSTINs in Other GSTINs); ","")&amp;IF(AND(BD799&gt;0,V799=""),"Financial year missing; ","")&amp;IF(AND(BD799=0,V799&lt;&gt;""),"Financial year given but no service is Yes; ","")&amp;IF(AND(W799="Yes",AZ799=""),"GST needs a GSTIN; ","")&amp;IF(AND(W799="Yes",X799=""),"GST return frequency missing; ","")&amp;IF(AND(Y799="Yes",TRIM(H799)=""),"TDS needs a TAN; ","")&amp;IF(AND(AA799="Yes",BC799&lt;&gt;"",BC799&lt;&gt;"company",BC799&lt;&gt;"llp"),"ROC is only for a company / LLP; ","")&amp;IF(AND(AA799="Yes",OR(BC799="company",BC799="llp"),TRIM(I799)=""),"ROC needs the CIN / LLPIN; ","")&amp;IF((TRIM(AF799)="")&lt;&gt;(TRIM(AG799)=""),"GST login needs both user ID and password; ","")&amp;IF((TRIM(AH799)="")&lt;&gt;(TRIM(AI799)=""),"Income-tax login needs both user ID and password; ","")&amp;IF((TRIM(AJ799)="")&lt;&gt;(TRIM(AK799)=""),"Income-tax login needs both user ID and password; ","")&amp;IF((TRIM(AL799)="")&lt;&gt;(TRIM(AM799)=""),"TRACES login needs both user ID and password; ","")&amp;IF((TRIM(AN799)="")&lt;&gt;(TRIM(AO799)=""),"MCA login needs both user ID and password; ","")&amp;IF((TRIM(AP799)="")&lt;&gt;(TRIM(AQ799)=""),"E-way bill login needs both user ID and password; ","")</f>
        <v/>
      </c>
    </row>
    <row r="800">
      <c r="A800" s="32" t="n"/>
      <c r="B800" s="33" t="n"/>
      <c r="C800" s="33" t="n"/>
      <c r="D800" s="33" t="n"/>
      <c r="E800" s="32" t="n"/>
      <c r="F800" s="32" t="n"/>
      <c r="G800" s="32" t="n"/>
      <c r="H800" s="32" t="n"/>
      <c r="I800" s="32" t="n"/>
      <c r="J800" s="34" t="n"/>
      <c r="K800" s="33" t="n"/>
      <c r="L800" s="32" t="n"/>
      <c r="M800" s="33" t="n"/>
      <c r="N800" s="33" t="n"/>
      <c r="O800" s="33" t="n"/>
      <c r="P800" s="32" t="n"/>
      <c r="Q800" s="33" t="n"/>
      <c r="R800" s="33" t="n"/>
      <c r="S800" s="33" t="n"/>
      <c r="T800" s="33" t="n"/>
      <c r="U800" s="32" t="n"/>
      <c r="V800" s="33" t="n"/>
      <c r="W800" s="33" t="n"/>
      <c r="X800" s="33" t="n"/>
      <c r="Y800" s="33" t="n"/>
      <c r="Z800" s="33" t="n"/>
      <c r="AA800" s="33" t="n"/>
      <c r="AB800" s="33" t="n"/>
      <c r="AC800" s="33" t="n"/>
      <c r="AD800" s="33" t="n"/>
      <c r="AE800" s="33" t="n"/>
      <c r="AF800" s="32" t="n"/>
      <c r="AG800" s="32" t="n"/>
      <c r="AH800" s="32" t="n"/>
      <c r="AI800" s="32" t="n"/>
      <c r="AJ800" s="32" t="n"/>
      <c r="AK800" s="32" t="n"/>
      <c r="AL800" s="32" t="n"/>
      <c r="AM800" s="32" t="n"/>
      <c r="AN800" s="32" t="n"/>
      <c r="AO800" s="32" t="n"/>
      <c r="AP800" s="32" t="n"/>
      <c r="AQ800" s="32" t="n"/>
      <c r="AR800" s="29">
        <f>IF(NOT(COUNTA(A800:AE800)&gt;0),"",IF(A800="","New client","Update"))</f>
        <v/>
      </c>
      <c r="AS800" s="29">
        <f>IF(BA800&lt;&gt;"",BA800,IF(LEN(AZ800)=15,MID(AZ800,3,10),""))</f>
        <v/>
      </c>
      <c r="AT800" s="29">
        <f>IF(BB800="","",BB800&amp;IF(D800="","  (guessed from PAN)",""))</f>
        <v/>
      </c>
      <c r="AU800" s="29">
        <f>IF(AZ800="","",IFERROR(INDEX(Lists!$L$2:$L$38,MATCH(LEFT(AZ800,2),Lists!$K$2:$K$38,0)),"Unknown code"))</f>
        <v/>
      </c>
      <c r="AV800" s="29">
        <f>IF(AZ800="","",IFERROR(IF(NOT(AND(LEN(AZ800)=15,ISNUMBER(MATCH(LEFT(AZ800,2),Lists!$K$2:$K$38,0)),SUMPRODUCT(--ISERROR(FIND(MID(MID(AZ800,3,10),{1,2,3,4,5,10},1),"ABCDEFGHIJKLMNOPQRSTUVWXYZ")))=0,SUMPRODUCT(--ISERROR(FIND(MID(MID(AZ800,3,10),{6,7,8,9},1),"0123456789")))=0,ISNUMBER(FIND(MID(AZ800,13,1),"123456789ABCDEFGHIJKLMNOPQRSTUVWXYZ")),MID(AZ800,14,1)="Z")),"Wrong format",IF(MID("0123456789ABCDEFGHIJKLMNOPQRSTUVWXYZ",MOD(36-MOD(SUMPRODUCT(INT((FIND(MID(AZ800,{1,2,3,4,5,6,7,8,9,10,11,12,13,14},1),"0123456789ABCDEFGHIJKLMNOPQRSTUVWXYZ")-1)*{1,2,1,2,1,2,1,2,1,2,1,2,1,2}/36)+MOD((FIND(MID(AZ800,{1,2,3,4,5,6,7,8,9,10,11,12,13,14},1),"0123456789ABCDEFGHIJKLMNOPQRSTUVWXYZ")-1)*{1,2,1,2,1,2,1,2,1,2,1,2,1,2},36)),36),36)+1,1)=MID(AZ800,15,1),"OK","Typo? check digit wrong")),"Wrong format"))</f>
        <v/>
      </c>
      <c r="AW800" s="29">
        <f>IF(BA800="","",IF(AND(LEN(BA800)=10,SUMPRODUCT(--ISERROR(FIND(MID(BA800,{1,2,3,4,5,10},1),"ABCDEFGHIJKLMNOPQRSTUVWXYZ")))=0,SUMPRODUCT(--ISERROR(FIND(MID(BA800,{6,7,8,9},1),"0123456789")))=0),"OK","Wrong format"))</f>
        <v/>
      </c>
      <c r="AX800" s="29">
        <f>IF(TRIM(H800)="","",IF(AND(LEN(UPPER(TRIM(H800)))=10,SUMPRODUCT(--ISERROR(FIND(MID(UPPER(TRIM(H800)),{1,2,3,4,10},1),"ABCDEFGHIJKLMNOPQRSTUVWXYZ")))=0,SUMPRODUCT(--ISERROR(FIND(MID(UPPER(TRIM(H800)),{5,6,7,8,9},1),"0123456789")))=0),"OK","Wrong format"))</f>
        <v/>
      </c>
      <c r="AY800" s="30">
        <f>IF(NOT(COUNTA(A800:AE800)&gt;0),"",IF(BE800&lt;&gt;"","✖ "&amp;LEFT(BE800,LEN(BE800)-2),IF(BD800&gt;0,"✔ Ready — client + "&amp;BD800&amp;" service(s)","✔ Ready — client only")))</f>
        <v/>
      </c>
      <c r="AZ800" s="31">
        <f>UPPER(SUBSTITUTE(TRIM(F800)," ",""))</f>
        <v/>
      </c>
      <c r="BA800" s="31">
        <f>UPPER(SUBSTITUTE(TRIM(E800)," ",""))</f>
        <v/>
      </c>
      <c r="BB800" s="31">
        <f>IF(D800&lt;&gt;"",D800,IFERROR(VLOOKUP(MID(AS800,4,1),Lists!$E$2:$F$8,2,FALSE),""))</f>
        <v/>
      </c>
      <c r="BC800" s="31">
        <f>IFERROR(VLOOKUP(BB800,Lists!$A$2:$C$12,3,FALSE),"")</f>
        <v/>
      </c>
      <c r="BD800" s="31">
        <f>COUNTIF(W800:AC800,"Yes")</f>
        <v/>
      </c>
      <c r="BE800" s="31">
        <f>IF(TRIM(B800)="","Legal name missing; ","")&amp;IF(AND(AV800&lt;&gt;"",AV800&lt;&gt;"OK"),"GSTIN: "&amp;AV800&amp;"; ","")&amp;IF(AND(AW800&lt;&gt;"",AW800&lt;&gt;"OK"),"PAN wrong format; ","")&amp;IF(AND(BA800&lt;&gt;"",LEN(AZ800)=15,MID(AZ800,3,10)&lt;&gt;BA800),"PAN does not match GSTIN; ","")&amp;IF(AND(AX800&lt;&gt;"",AX800&lt;&gt;"OK"),"TAN wrong format; ","")&amp;IF(AS800="","PAN missing; ","")&amp;IF(BB800="","Entity type missing; ","")&amp;IF(AND(AZ800&lt;&gt;"",COUNTIF($AZ$6:$AZ$1005,AZ800)&gt;1),"GSTIN repeated in this sheet; ","")&amp;IF(AND(AS800&lt;&gt;"",COUNTIF($AS$6:$AS$1005,AS800)&gt;1),"PAN repeated in this sheet (same client? put extra GSTINs in Other GSTINs); ","")&amp;IF(AND(BD800&gt;0,V800=""),"Financial year missing; ","")&amp;IF(AND(BD800=0,V800&lt;&gt;""),"Financial year given but no service is Yes; ","")&amp;IF(AND(W800="Yes",AZ800=""),"GST needs a GSTIN; ","")&amp;IF(AND(W800="Yes",X800=""),"GST return frequency missing; ","")&amp;IF(AND(Y800="Yes",TRIM(H800)=""),"TDS needs a TAN; ","")&amp;IF(AND(AA800="Yes",BC800&lt;&gt;"",BC800&lt;&gt;"company",BC800&lt;&gt;"llp"),"ROC is only for a company / LLP; ","")&amp;IF(AND(AA800="Yes",OR(BC800="company",BC800="llp"),TRIM(I800)=""),"ROC needs the CIN / LLPIN; ","")&amp;IF((TRIM(AF800)="")&lt;&gt;(TRIM(AG800)=""),"GST login needs both user ID and password; ","")&amp;IF((TRIM(AH800)="")&lt;&gt;(TRIM(AI800)=""),"Income-tax login needs both user ID and password; ","")&amp;IF((TRIM(AJ800)="")&lt;&gt;(TRIM(AK800)=""),"Income-tax login needs both user ID and password; ","")&amp;IF((TRIM(AL800)="")&lt;&gt;(TRIM(AM800)=""),"TRACES login needs both user ID and password; ","")&amp;IF((TRIM(AN800)="")&lt;&gt;(TRIM(AO800)=""),"MCA login needs both user ID and password; ","")&amp;IF((TRIM(AP800)="")&lt;&gt;(TRIM(AQ800)=""),"E-way bill login needs both user ID and password; ","")</f>
        <v/>
      </c>
    </row>
    <row r="801">
      <c r="A801" s="32" t="n"/>
      <c r="B801" s="33" t="n"/>
      <c r="C801" s="33" t="n"/>
      <c r="D801" s="33" t="n"/>
      <c r="E801" s="32" t="n"/>
      <c r="F801" s="32" t="n"/>
      <c r="G801" s="32" t="n"/>
      <c r="H801" s="32" t="n"/>
      <c r="I801" s="32" t="n"/>
      <c r="J801" s="34" t="n"/>
      <c r="K801" s="33" t="n"/>
      <c r="L801" s="32" t="n"/>
      <c r="M801" s="33" t="n"/>
      <c r="N801" s="33" t="n"/>
      <c r="O801" s="33" t="n"/>
      <c r="P801" s="32" t="n"/>
      <c r="Q801" s="33" t="n"/>
      <c r="R801" s="33" t="n"/>
      <c r="S801" s="33" t="n"/>
      <c r="T801" s="33" t="n"/>
      <c r="U801" s="32" t="n"/>
      <c r="V801" s="33" t="n"/>
      <c r="W801" s="33" t="n"/>
      <c r="X801" s="33" t="n"/>
      <c r="Y801" s="33" t="n"/>
      <c r="Z801" s="33" t="n"/>
      <c r="AA801" s="33" t="n"/>
      <c r="AB801" s="33" t="n"/>
      <c r="AC801" s="33" t="n"/>
      <c r="AD801" s="33" t="n"/>
      <c r="AE801" s="33" t="n"/>
      <c r="AF801" s="32" t="n"/>
      <c r="AG801" s="32" t="n"/>
      <c r="AH801" s="32" t="n"/>
      <c r="AI801" s="32" t="n"/>
      <c r="AJ801" s="32" t="n"/>
      <c r="AK801" s="32" t="n"/>
      <c r="AL801" s="32" t="n"/>
      <c r="AM801" s="32" t="n"/>
      <c r="AN801" s="32" t="n"/>
      <c r="AO801" s="32" t="n"/>
      <c r="AP801" s="32" t="n"/>
      <c r="AQ801" s="32" t="n"/>
      <c r="AR801" s="29">
        <f>IF(NOT(COUNTA(A801:AE801)&gt;0),"",IF(A801="","New client","Update"))</f>
        <v/>
      </c>
      <c r="AS801" s="29">
        <f>IF(BA801&lt;&gt;"",BA801,IF(LEN(AZ801)=15,MID(AZ801,3,10),""))</f>
        <v/>
      </c>
      <c r="AT801" s="29">
        <f>IF(BB801="","",BB801&amp;IF(D801="","  (guessed from PAN)",""))</f>
        <v/>
      </c>
      <c r="AU801" s="29">
        <f>IF(AZ801="","",IFERROR(INDEX(Lists!$L$2:$L$38,MATCH(LEFT(AZ801,2),Lists!$K$2:$K$38,0)),"Unknown code"))</f>
        <v/>
      </c>
      <c r="AV801" s="29">
        <f>IF(AZ801="","",IFERROR(IF(NOT(AND(LEN(AZ801)=15,ISNUMBER(MATCH(LEFT(AZ801,2),Lists!$K$2:$K$38,0)),SUMPRODUCT(--ISERROR(FIND(MID(MID(AZ801,3,10),{1,2,3,4,5,10},1),"ABCDEFGHIJKLMNOPQRSTUVWXYZ")))=0,SUMPRODUCT(--ISERROR(FIND(MID(MID(AZ801,3,10),{6,7,8,9},1),"0123456789")))=0,ISNUMBER(FIND(MID(AZ801,13,1),"123456789ABCDEFGHIJKLMNOPQRSTUVWXYZ")),MID(AZ801,14,1)="Z")),"Wrong format",IF(MID("0123456789ABCDEFGHIJKLMNOPQRSTUVWXYZ",MOD(36-MOD(SUMPRODUCT(INT((FIND(MID(AZ801,{1,2,3,4,5,6,7,8,9,10,11,12,13,14},1),"0123456789ABCDEFGHIJKLMNOPQRSTUVWXYZ")-1)*{1,2,1,2,1,2,1,2,1,2,1,2,1,2}/36)+MOD((FIND(MID(AZ801,{1,2,3,4,5,6,7,8,9,10,11,12,13,14},1),"0123456789ABCDEFGHIJKLMNOPQRSTUVWXYZ")-1)*{1,2,1,2,1,2,1,2,1,2,1,2,1,2},36)),36),36)+1,1)=MID(AZ801,15,1),"OK","Typo? check digit wrong")),"Wrong format"))</f>
        <v/>
      </c>
      <c r="AW801" s="29">
        <f>IF(BA801="","",IF(AND(LEN(BA801)=10,SUMPRODUCT(--ISERROR(FIND(MID(BA801,{1,2,3,4,5,10},1),"ABCDEFGHIJKLMNOPQRSTUVWXYZ")))=0,SUMPRODUCT(--ISERROR(FIND(MID(BA801,{6,7,8,9},1),"0123456789")))=0),"OK","Wrong format"))</f>
        <v/>
      </c>
      <c r="AX801" s="29">
        <f>IF(TRIM(H801)="","",IF(AND(LEN(UPPER(TRIM(H801)))=10,SUMPRODUCT(--ISERROR(FIND(MID(UPPER(TRIM(H801)),{1,2,3,4,10},1),"ABCDEFGHIJKLMNOPQRSTUVWXYZ")))=0,SUMPRODUCT(--ISERROR(FIND(MID(UPPER(TRIM(H801)),{5,6,7,8,9},1),"0123456789")))=0),"OK","Wrong format"))</f>
        <v/>
      </c>
      <c r="AY801" s="30">
        <f>IF(NOT(COUNTA(A801:AE801)&gt;0),"",IF(BE801&lt;&gt;"","✖ "&amp;LEFT(BE801,LEN(BE801)-2),IF(BD801&gt;0,"✔ Ready — client + "&amp;BD801&amp;" service(s)","✔ Ready — client only")))</f>
        <v/>
      </c>
      <c r="AZ801" s="31">
        <f>UPPER(SUBSTITUTE(TRIM(F801)," ",""))</f>
        <v/>
      </c>
      <c r="BA801" s="31">
        <f>UPPER(SUBSTITUTE(TRIM(E801)," ",""))</f>
        <v/>
      </c>
      <c r="BB801" s="31">
        <f>IF(D801&lt;&gt;"",D801,IFERROR(VLOOKUP(MID(AS801,4,1),Lists!$E$2:$F$8,2,FALSE),""))</f>
        <v/>
      </c>
      <c r="BC801" s="31">
        <f>IFERROR(VLOOKUP(BB801,Lists!$A$2:$C$12,3,FALSE),"")</f>
        <v/>
      </c>
      <c r="BD801" s="31">
        <f>COUNTIF(W801:AC801,"Yes")</f>
        <v/>
      </c>
      <c r="BE801" s="31">
        <f>IF(TRIM(B801)="","Legal name missing; ","")&amp;IF(AND(AV801&lt;&gt;"",AV801&lt;&gt;"OK"),"GSTIN: "&amp;AV801&amp;"; ","")&amp;IF(AND(AW801&lt;&gt;"",AW801&lt;&gt;"OK"),"PAN wrong format; ","")&amp;IF(AND(BA801&lt;&gt;"",LEN(AZ801)=15,MID(AZ801,3,10)&lt;&gt;BA801),"PAN does not match GSTIN; ","")&amp;IF(AND(AX801&lt;&gt;"",AX801&lt;&gt;"OK"),"TAN wrong format; ","")&amp;IF(AS801="","PAN missing; ","")&amp;IF(BB801="","Entity type missing; ","")&amp;IF(AND(AZ801&lt;&gt;"",COUNTIF($AZ$6:$AZ$1005,AZ801)&gt;1),"GSTIN repeated in this sheet; ","")&amp;IF(AND(AS801&lt;&gt;"",COUNTIF($AS$6:$AS$1005,AS801)&gt;1),"PAN repeated in this sheet (same client? put extra GSTINs in Other GSTINs); ","")&amp;IF(AND(BD801&gt;0,V801=""),"Financial year missing; ","")&amp;IF(AND(BD801=0,V801&lt;&gt;""),"Financial year given but no service is Yes; ","")&amp;IF(AND(W801="Yes",AZ801=""),"GST needs a GSTIN; ","")&amp;IF(AND(W801="Yes",X801=""),"GST return frequency missing; ","")&amp;IF(AND(Y801="Yes",TRIM(H801)=""),"TDS needs a TAN; ","")&amp;IF(AND(AA801="Yes",BC801&lt;&gt;"",BC801&lt;&gt;"company",BC801&lt;&gt;"llp"),"ROC is only for a company / LLP; ","")&amp;IF(AND(AA801="Yes",OR(BC801="company",BC801="llp"),TRIM(I801)=""),"ROC needs the CIN / LLPIN; ","")&amp;IF((TRIM(AF801)="")&lt;&gt;(TRIM(AG801)=""),"GST login needs both user ID and password; ","")&amp;IF((TRIM(AH801)="")&lt;&gt;(TRIM(AI801)=""),"Income-tax login needs both user ID and password; ","")&amp;IF((TRIM(AJ801)="")&lt;&gt;(TRIM(AK801)=""),"Income-tax login needs both user ID and password; ","")&amp;IF((TRIM(AL801)="")&lt;&gt;(TRIM(AM801)=""),"TRACES login needs both user ID and password; ","")&amp;IF((TRIM(AN801)="")&lt;&gt;(TRIM(AO801)=""),"MCA login needs both user ID and password; ","")&amp;IF((TRIM(AP801)="")&lt;&gt;(TRIM(AQ801)=""),"E-way bill login needs both user ID and password; ","")</f>
        <v/>
      </c>
    </row>
    <row r="802">
      <c r="A802" s="32" t="n"/>
      <c r="B802" s="33" t="n"/>
      <c r="C802" s="33" t="n"/>
      <c r="D802" s="33" t="n"/>
      <c r="E802" s="32" t="n"/>
      <c r="F802" s="32" t="n"/>
      <c r="G802" s="32" t="n"/>
      <c r="H802" s="32" t="n"/>
      <c r="I802" s="32" t="n"/>
      <c r="J802" s="34" t="n"/>
      <c r="K802" s="33" t="n"/>
      <c r="L802" s="32" t="n"/>
      <c r="M802" s="33" t="n"/>
      <c r="N802" s="33" t="n"/>
      <c r="O802" s="33" t="n"/>
      <c r="P802" s="32" t="n"/>
      <c r="Q802" s="33" t="n"/>
      <c r="R802" s="33" t="n"/>
      <c r="S802" s="33" t="n"/>
      <c r="T802" s="33" t="n"/>
      <c r="U802" s="32" t="n"/>
      <c r="V802" s="33" t="n"/>
      <c r="W802" s="33" t="n"/>
      <c r="X802" s="33" t="n"/>
      <c r="Y802" s="33" t="n"/>
      <c r="Z802" s="33" t="n"/>
      <c r="AA802" s="33" t="n"/>
      <c r="AB802" s="33" t="n"/>
      <c r="AC802" s="33" t="n"/>
      <c r="AD802" s="33" t="n"/>
      <c r="AE802" s="33" t="n"/>
      <c r="AF802" s="32" t="n"/>
      <c r="AG802" s="32" t="n"/>
      <c r="AH802" s="32" t="n"/>
      <c r="AI802" s="32" t="n"/>
      <c r="AJ802" s="32" t="n"/>
      <c r="AK802" s="32" t="n"/>
      <c r="AL802" s="32" t="n"/>
      <c r="AM802" s="32" t="n"/>
      <c r="AN802" s="32" t="n"/>
      <c r="AO802" s="32" t="n"/>
      <c r="AP802" s="32" t="n"/>
      <c r="AQ802" s="32" t="n"/>
      <c r="AR802" s="29">
        <f>IF(NOT(COUNTA(A802:AE802)&gt;0),"",IF(A802="","New client","Update"))</f>
        <v/>
      </c>
      <c r="AS802" s="29">
        <f>IF(BA802&lt;&gt;"",BA802,IF(LEN(AZ802)=15,MID(AZ802,3,10),""))</f>
        <v/>
      </c>
      <c r="AT802" s="29">
        <f>IF(BB802="","",BB802&amp;IF(D802="","  (guessed from PAN)",""))</f>
        <v/>
      </c>
      <c r="AU802" s="29">
        <f>IF(AZ802="","",IFERROR(INDEX(Lists!$L$2:$L$38,MATCH(LEFT(AZ802,2),Lists!$K$2:$K$38,0)),"Unknown code"))</f>
        <v/>
      </c>
      <c r="AV802" s="29">
        <f>IF(AZ802="","",IFERROR(IF(NOT(AND(LEN(AZ802)=15,ISNUMBER(MATCH(LEFT(AZ802,2),Lists!$K$2:$K$38,0)),SUMPRODUCT(--ISERROR(FIND(MID(MID(AZ802,3,10),{1,2,3,4,5,10},1),"ABCDEFGHIJKLMNOPQRSTUVWXYZ")))=0,SUMPRODUCT(--ISERROR(FIND(MID(MID(AZ802,3,10),{6,7,8,9},1),"0123456789")))=0,ISNUMBER(FIND(MID(AZ802,13,1),"123456789ABCDEFGHIJKLMNOPQRSTUVWXYZ")),MID(AZ802,14,1)="Z")),"Wrong format",IF(MID("0123456789ABCDEFGHIJKLMNOPQRSTUVWXYZ",MOD(36-MOD(SUMPRODUCT(INT((FIND(MID(AZ802,{1,2,3,4,5,6,7,8,9,10,11,12,13,14},1),"0123456789ABCDEFGHIJKLMNOPQRSTUVWXYZ")-1)*{1,2,1,2,1,2,1,2,1,2,1,2,1,2}/36)+MOD((FIND(MID(AZ802,{1,2,3,4,5,6,7,8,9,10,11,12,13,14},1),"0123456789ABCDEFGHIJKLMNOPQRSTUVWXYZ")-1)*{1,2,1,2,1,2,1,2,1,2,1,2,1,2},36)),36),36)+1,1)=MID(AZ802,15,1),"OK","Typo? check digit wrong")),"Wrong format"))</f>
        <v/>
      </c>
      <c r="AW802" s="29">
        <f>IF(BA802="","",IF(AND(LEN(BA802)=10,SUMPRODUCT(--ISERROR(FIND(MID(BA802,{1,2,3,4,5,10},1),"ABCDEFGHIJKLMNOPQRSTUVWXYZ")))=0,SUMPRODUCT(--ISERROR(FIND(MID(BA802,{6,7,8,9},1),"0123456789")))=0),"OK","Wrong format"))</f>
        <v/>
      </c>
      <c r="AX802" s="29">
        <f>IF(TRIM(H802)="","",IF(AND(LEN(UPPER(TRIM(H802)))=10,SUMPRODUCT(--ISERROR(FIND(MID(UPPER(TRIM(H802)),{1,2,3,4,10},1),"ABCDEFGHIJKLMNOPQRSTUVWXYZ")))=0,SUMPRODUCT(--ISERROR(FIND(MID(UPPER(TRIM(H802)),{5,6,7,8,9},1),"0123456789")))=0),"OK","Wrong format"))</f>
        <v/>
      </c>
      <c r="AY802" s="30">
        <f>IF(NOT(COUNTA(A802:AE802)&gt;0),"",IF(BE802&lt;&gt;"","✖ "&amp;LEFT(BE802,LEN(BE802)-2),IF(BD802&gt;0,"✔ Ready — client + "&amp;BD802&amp;" service(s)","✔ Ready — client only")))</f>
        <v/>
      </c>
      <c r="AZ802" s="31">
        <f>UPPER(SUBSTITUTE(TRIM(F802)," ",""))</f>
        <v/>
      </c>
      <c r="BA802" s="31">
        <f>UPPER(SUBSTITUTE(TRIM(E802)," ",""))</f>
        <v/>
      </c>
      <c r="BB802" s="31">
        <f>IF(D802&lt;&gt;"",D802,IFERROR(VLOOKUP(MID(AS802,4,1),Lists!$E$2:$F$8,2,FALSE),""))</f>
        <v/>
      </c>
      <c r="BC802" s="31">
        <f>IFERROR(VLOOKUP(BB802,Lists!$A$2:$C$12,3,FALSE),"")</f>
        <v/>
      </c>
      <c r="BD802" s="31">
        <f>COUNTIF(W802:AC802,"Yes")</f>
        <v/>
      </c>
      <c r="BE802" s="31">
        <f>IF(TRIM(B802)="","Legal name missing; ","")&amp;IF(AND(AV802&lt;&gt;"",AV802&lt;&gt;"OK"),"GSTIN: "&amp;AV802&amp;"; ","")&amp;IF(AND(AW802&lt;&gt;"",AW802&lt;&gt;"OK"),"PAN wrong format; ","")&amp;IF(AND(BA802&lt;&gt;"",LEN(AZ802)=15,MID(AZ802,3,10)&lt;&gt;BA802),"PAN does not match GSTIN; ","")&amp;IF(AND(AX802&lt;&gt;"",AX802&lt;&gt;"OK"),"TAN wrong format; ","")&amp;IF(AS802="","PAN missing; ","")&amp;IF(BB802="","Entity type missing; ","")&amp;IF(AND(AZ802&lt;&gt;"",COUNTIF($AZ$6:$AZ$1005,AZ802)&gt;1),"GSTIN repeated in this sheet; ","")&amp;IF(AND(AS802&lt;&gt;"",COUNTIF($AS$6:$AS$1005,AS802)&gt;1),"PAN repeated in this sheet (same client? put extra GSTINs in Other GSTINs); ","")&amp;IF(AND(BD802&gt;0,V802=""),"Financial year missing; ","")&amp;IF(AND(BD802=0,V802&lt;&gt;""),"Financial year given but no service is Yes; ","")&amp;IF(AND(W802="Yes",AZ802=""),"GST needs a GSTIN; ","")&amp;IF(AND(W802="Yes",X802=""),"GST return frequency missing; ","")&amp;IF(AND(Y802="Yes",TRIM(H802)=""),"TDS needs a TAN; ","")&amp;IF(AND(AA802="Yes",BC802&lt;&gt;"",BC802&lt;&gt;"company",BC802&lt;&gt;"llp"),"ROC is only for a company / LLP; ","")&amp;IF(AND(AA802="Yes",OR(BC802="company",BC802="llp"),TRIM(I802)=""),"ROC needs the CIN / LLPIN; ","")&amp;IF((TRIM(AF802)="")&lt;&gt;(TRIM(AG802)=""),"GST login needs both user ID and password; ","")&amp;IF((TRIM(AH802)="")&lt;&gt;(TRIM(AI802)=""),"Income-tax login needs both user ID and password; ","")&amp;IF((TRIM(AJ802)="")&lt;&gt;(TRIM(AK802)=""),"Income-tax login needs both user ID and password; ","")&amp;IF((TRIM(AL802)="")&lt;&gt;(TRIM(AM802)=""),"TRACES login needs both user ID and password; ","")&amp;IF((TRIM(AN802)="")&lt;&gt;(TRIM(AO802)=""),"MCA login needs both user ID and password; ","")&amp;IF((TRIM(AP802)="")&lt;&gt;(TRIM(AQ802)=""),"E-way bill login needs both user ID and password; ","")</f>
        <v/>
      </c>
    </row>
    <row r="803">
      <c r="A803" s="32" t="n"/>
      <c r="B803" s="33" t="n"/>
      <c r="C803" s="33" t="n"/>
      <c r="D803" s="33" t="n"/>
      <c r="E803" s="32" t="n"/>
      <c r="F803" s="32" t="n"/>
      <c r="G803" s="32" t="n"/>
      <c r="H803" s="32" t="n"/>
      <c r="I803" s="32" t="n"/>
      <c r="J803" s="34" t="n"/>
      <c r="K803" s="33" t="n"/>
      <c r="L803" s="32" t="n"/>
      <c r="M803" s="33" t="n"/>
      <c r="N803" s="33" t="n"/>
      <c r="O803" s="33" t="n"/>
      <c r="P803" s="32" t="n"/>
      <c r="Q803" s="33" t="n"/>
      <c r="R803" s="33" t="n"/>
      <c r="S803" s="33" t="n"/>
      <c r="T803" s="33" t="n"/>
      <c r="U803" s="32" t="n"/>
      <c r="V803" s="33" t="n"/>
      <c r="W803" s="33" t="n"/>
      <c r="X803" s="33" t="n"/>
      <c r="Y803" s="33" t="n"/>
      <c r="Z803" s="33" t="n"/>
      <c r="AA803" s="33" t="n"/>
      <c r="AB803" s="33" t="n"/>
      <c r="AC803" s="33" t="n"/>
      <c r="AD803" s="33" t="n"/>
      <c r="AE803" s="33" t="n"/>
      <c r="AF803" s="32" t="n"/>
      <c r="AG803" s="32" t="n"/>
      <c r="AH803" s="32" t="n"/>
      <c r="AI803" s="32" t="n"/>
      <c r="AJ803" s="32" t="n"/>
      <c r="AK803" s="32" t="n"/>
      <c r="AL803" s="32" t="n"/>
      <c r="AM803" s="32" t="n"/>
      <c r="AN803" s="32" t="n"/>
      <c r="AO803" s="32" t="n"/>
      <c r="AP803" s="32" t="n"/>
      <c r="AQ803" s="32" t="n"/>
      <c r="AR803" s="29">
        <f>IF(NOT(COUNTA(A803:AE803)&gt;0),"",IF(A803="","New client","Update"))</f>
        <v/>
      </c>
      <c r="AS803" s="29">
        <f>IF(BA803&lt;&gt;"",BA803,IF(LEN(AZ803)=15,MID(AZ803,3,10),""))</f>
        <v/>
      </c>
      <c r="AT803" s="29">
        <f>IF(BB803="","",BB803&amp;IF(D803="","  (guessed from PAN)",""))</f>
        <v/>
      </c>
      <c r="AU803" s="29">
        <f>IF(AZ803="","",IFERROR(INDEX(Lists!$L$2:$L$38,MATCH(LEFT(AZ803,2),Lists!$K$2:$K$38,0)),"Unknown code"))</f>
        <v/>
      </c>
      <c r="AV803" s="29">
        <f>IF(AZ803="","",IFERROR(IF(NOT(AND(LEN(AZ803)=15,ISNUMBER(MATCH(LEFT(AZ803,2),Lists!$K$2:$K$38,0)),SUMPRODUCT(--ISERROR(FIND(MID(MID(AZ803,3,10),{1,2,3,4,5,10},1),"ABCDEFGHIJKLMNOPQRSTUVWXYZ")))=0,SUMPRODUCT(--ISERROR(FIND(MID(MID(AZ803,3,10),{6,7,8,9},1),"0123456789")))=0,ISNUMBER(FIND(MID(AZ803,13,1),"123456789ABCDEFGHIJKLMNOPQRSTUVWXYZ")),MID(AZ803,14,1)="Z")),"Wrong format",IF(MID("0123456789ABCDEFGHIJKLMNOPQRSTUVWXYZ",MOD(36-MOD(SUMPRODUCT(INT((FIND(MID(AZ803,{1,2,3,4,5,6,7,8,9,10,11,12,13,14},1),"0123456789ABCDEFGHIJKLMNOPQRSTUVWXYZ")-1)*{1,2,1,2,1,2,1,2,1,2,1,2,1,2}/36)+MOD((FIND(MID(AZ803,{1,2,3,4,5,6,7,8,9,10,11,12,13,14},1),"0123456789ABCDEFGHIJKLMNOPQRSTUVWXYZ")-1)*{1,2,1,2,1,2,1,2,1,2,1,2,1,2},36)),36),36)+1,1)=MID(AZ803,15,1),"OK","Typo? check digit wrong")),"Wrong format"))</f>
        <v/>
      </c>
      <c r="AW803" s="29">
        <f>IF(BA803="","",IF(AND(LEN(BA803)=10,SUMPRODUCT(--ISERROR(FIND(MID(BA803,{1,2,3,4,5,10},1),"ABCDEFGHIJKLMNOPQRSTUVWXYZ")))=0,SUMPRODUCT(--ISERROR(FIND(MID(BA803,{6,7,8,9},1),"0123456789")))=0),"OK","Wrong format"))</f>
        <v/>
      </c>
      <c r="AX803" s="29">
        <f>IF(TRIM(H803)="","",IF(AND(LEN(UPPER(TRIM(H803)))=10,SUMPRODUCT(--ISERROR(FIND(MID(UPPER(TRIM(H803)),{1,2,3,4,10},1),"ABCDEFGHIJKLMNOPQRSTUVWXYZ")))=0,SUMPRODUCT(--ISERROR(FIND(MID(UPPER(TRIM(H803)),{5,6,7,8,9},1),"0123456789")))=0),"OK","Wrong format"))</f>
        <v/>
      </c>
      <c r="AY803" s="30">
        <f>IF(NOT(COUNTA(A803:AE803)&gt;0),"",IF(BE803&lt;&gt;"","✖ "&amp;LEFT(BE803,LEN(BE803)-2),IF(BD803&gt;0,"✔ Ready — client + "&amp;BD803&amp;" service(s)","✔ Ready — client only")))</f>
        <v/>
      </c>
      <c r="AZ803" s="31">
        <f>UPPER(SUBSTITUTE(TRIM(F803)," ",""))</f>
        <v/>
      </c>
      <c r="BA803" s="31">
        <f>UPPER(SUBSTITUTE(TRIM(E803)," ",""))</f>
        <v/>
      </c>
      <c r="BB803" s="31">
        <f>IF(D803&lt;&gt;"",D803,IFERROR(VLOOKUP(MID(AS803,4,1),Lists!$E$2:$F$8,2,FALSE),""))</f>
        <v/>
      </c>
      <c r="BC803" s="31">
        <f>IFERROR(VLOOKUP(BB803,Lists!$A$2:$C$12,3,FALSE),"")</f>
        <v/>
      </c>
      <c r="BD803" s="31">
        <f>COUNTIF(W803:AC803,"Yes")</f>
        <v/>
      </c>
      <c r="BE803" s="31">
        <f>IF(TRIM(B803)="","Legal name missing; ","")&amp;IF(AND(AV803&lt;&gt;"",AV803&lt;&gt;"OK"),"GSTIN: "&amp;AV803&amp;"; ","")&amp;IF(AND(AW803&lt;&gt;"",AW803&lt;&gt;"OK"),"PAN wrong format; ","")&amp;IF(AND(BA803&lt;&gt;"",LEN(AZ803)=15,MID(AZ803,3,10)&lt;&gt;BA803),"PAN does not match GSTIN; ","")&amp;IF(AND(AX803&lt;&gt;"",AX803&lt;&gt;"OK"),"TAN wrong format; ","")&amp;IF(AS803="","PAN missing; ","")&amp;IF(BB803="","Entity type missing; ","")&amp;IF(AND(AZ803&lt;&gt;"",COUNTIF($AZ$6:$AZ$1005,AZ803)&gt;1),"GSTIN repeated in this sheet; ","")&amp;IF(AND(AS803&lt;&gt;"",COUNTIF($AS$6:$AS$1005,AS803)&gt;1),"PAN repeated in this sheet (same client? put extra GSTINs in Other GSTINs); ","")&amp;IF(AND(BD803&gt;0,V803=""),"Financial year missing; ","")&amp;IF(AND(BD803=0,V803&lt;&gt;""),"Financial year given but no service is Yes; ","")&amp;IF(AND(W803="Yes",AZ803=""),"GST needs a GSTIN; ","")&amp;IF(AND(W803="Yes",X803=""),"GST return frequency missing; ","")&amp;IF(AND(Y803="Yes",TRIM(H803)=""),"TDS needs a TAN; ","")&amp;IF(AND(AA803="Yes",BC803&lt;&gt;"",BC803&lt;&gt;"company",BC803&lt;&gt;"llp"),"ROC is only for a company / LLP; ","")&amp;IF(AND(AA803="Yes",OR(BC803="company",BC803="llp"),TRIM(I803)=""),"ROC needs the CIN / LLPIN; ","")&amp;IF((TRIM(AF803)="")&lt;&gt;(TRIM(AG803)=""),"GST login needs both user ID and password; ","")&amp;IF((TRIM(AH803)="")&lt;&gt;(TRIM(AI803)=""),"Income-tax login needs both user ID and password; ","")&amp;IF((TRIM(AJ803)="")&lt;&gt;(TRIM(AK803)=""),"Income-tax login needs both user ID and password; ","")&amp;IF((TRIM(AL803)="")&lt;&gt;(TRIM(AM803)=""),"TRACES login needs both user ID and password; ","")&amp;IF((TRIM(AN803)="")&lt;&gt;(TRIM(AO803)=""),"MCA login needs both user ID and password; ","")&amp;IF((TRIM(AP803)="")&lt;&gt;(TRIM(AQ803)=""),"E-way bill login needs both user ID and password; ","")</f>
        <v/>
      </c>
    </row>
    <row r="804">
      <c r="A804" s="32" t="n"/>
      <c r="B804" s="33" t="n"/>
      <c r="C804" s="33" t="n"/>
      <c r="D804" s="33" t="n"/>
      <c r="E804" s="32" t="n"/>
      <c r="F804" s="32" t="n"/>
      <c r="G804" s="32" t="n"/>
      <c r="H804" s="32" t="n"/>
      <c r="I804" s="32" t="n"/>
      <c r="J804" s="34" t="n"/>
      <c r="K804" s="33" t="n"/>
      <c r="L804" s="32" t="n"/>
      <c r="M804" s="33" t="n"/>
      <c r="N804" s="33" t="n"/>
      <c r="O804" s="33" t="n"/>
      <c r="P804" s="32" t="n"/>
      <c r="Q804" s="33" t="n"/>
      <c r="R804" s="33" t="n"/>
      <c r="S804" s="33" t="n"/>
      <c r="T804" s="33" t="n"/>
      <c r="U804" s="32" t="n"/>
      <c r="V804" s="33" t="n"/>
      <c r="W804" s="33" t="n"/>
      <c r="X804" s="33" t="n"/>
      <c r="Y804" s="33" t="n"/>
      <c r="Z804" s="33" t="n"/>
      <c r="AA804" s="33" t="n"/>
      <c r="AB804" s="33" t="n"/>
      <c r="AC804" s="33" t="n"/>
      <c r="AD804" s="33" t="n"/>
      <c r="AE804" s="33" t="n"/>
      <c r="AF804" s="32" t="n"/>
      <c r="AG804" s="32" t="n"/>
      <c r="AH804" s="32" t="n"/>
      <c r="AI804" s="32" t="n"/>
      <c r="AJ804" s="32" t="n"/>
      <c r="AK804" s="32" t="n"/>
      <c r="AL804" s="32" t="n"/>
      <c r="AM804" s="32" t="n"/>
      <c r="AN804" s="32" t="n"/>
      <c r="AO804" s="32" t="n"/>
      <c r="AP804" s="32" t="n"/>
      <c r="AQ804" s="32" t="n"/>
      <c r="AR804" s="29">
        <f>IF(NOT(COUNTA(A804:AE804)&gt;0),"",IF(A804="","New client","Update"))</f>
        <v/>
      </c>
      <c r="AS804" s="29">
        <f>IF(BA804&lt;&gt;"",BA804,IF(LEN(AZ804)=15,MID(AZ804,3,10),""))</f>
        <v/>
      </c>
      <c r="AT804" s="29">
        <f>IF(BB804="","",BB804&amp;IF(D804="","  (guessed from PAN)",""))</f>
        <v/>
      </c>
      <c r="AU804" s="29">
        <f>IF(AZ804="","",IFERROR(INDEX(Lists!$L$2:$L$38,MATCH(LEFT(AZ804,2),Lists!$K$2:$K$38,0)),"Unknown code"))</f>
        <v/>
      </c>
      <c r="AV804" s="29">
        <f>IF(AZ804="","",IFERROR(IF(NOT(AND(LEN(AZ804)=15,ISNUMBER(MATCH(LEFT(AZ804,2),Lists!$K$2:$K$38,0)),SUMPRODUCT(--ISERROR(FIND(MID(MID(AZ804,3,10),{1,2,3,4,5,10},1),"ABCDEFGHIJKLMNOPQRSTUVWXYZ")))=0,SUMPRODUCT(--ISERROR(FIND(MID(MID(AZ804,3,10),{6,7,8,9},1),"0123456789")))=0,ISNUMBER(FIND(MID(AZ804,13,1),"123456789ABCDEFGHIJKLMNOPQRSTUVWXYZ")),MID(AZ804,14,1)="Z")),"Wrong format",IF(MID("0123456789ABCDEFGHIJKLMNOPQRSTUVWXYZ",MOD(36-MOD(SUMPRODUCT(INT((FIND(MID(AZ804,{1,2,3,4,5,6,7,8,9,10,11,12,13,14},1),"0123456789ABCDEFGHIJKLMNOPQRSTUVWXYZ")-1)*{1,2,1,2,1,2,1,2,1,2,1,2,1,2}/36)+MOD((FIND(MID(AZ804,{1,2,3,4,5,6,7,8,9,10,11,12,13,14},1),"0123456789ABCDEFGHIJKLMNOPQRSTUVWXYZ")-1)*{1,2,1,2,1,2,1,2,1,2,1,2,1,2},36)),36),36)+1,1)=MID(AZ804,15,1),"OK","Typo? check digit wrong")),"Wrong format"))</f>
        <v/>
      </c>
      <c r="AW804" s="29">
        <f>IF(BA804="","",IF(AND(LEN(BA804)=10,SUMPRODUCT(--ISERROR(FIND(MID(BA804,{1,2,3,4,5,10},1),"ABCDEFGHIJKLMNOPQRSTUVWXYZ")))=0,SUMPRODUCT(--ISERROR(FIND(MID(BA804,{6,7,8,9},1),"0123456789")))=0),"OK","Wrong format"))</f>
        <v/>
      </c>
      <c r="AX804" s="29">
        <f>IF(TRIM(H804)="","",IF(AND(LEN(UPPER(TRIM(H804)))=10,SUMPRODUCT(--ISERROR(FIND(MID(UPPER(TRIM(H804)),{1,2,3,4,10},1),"ABCDEFGHIJKLMNOPQRSTUVWXYZ")))=0,SUMPRODUCT(--ISERROR(FIND(MID(UPPER(TRIM(H804)),{5,6,7,8,9},1),"0123456789")))=0),"OK","Wrong format"))</f>
        <v/>
      </c>
      <c r="AY804" s="30">
        <f>IF(NOT(COUNTA(A804:AE804)&gt;0),"",IF(BE804&lt;&gt;"","✖ "&amp;LEFT(BE804,LEN(BE804)-2),IF(BD804&gt;0,"✔ Ready — client + "&amp;BD804&amp;" service(s)","✔ Ready — client only")))</f>
        <v/>
      </c>
      <c r="AZ804" s="31">
        <f>UPPER(SUBSTITUTE(TRIM(F804)," ",""))</f>
        <v/>
      </c>
      <c r="BA804" s="31">
        <f>UPPER(SUBSTITUTE(TRIM(E804)," ",""))</f>
        <v/>
      </c>
      <c r="BB804" s="31">
        <f>IF(D804&lt;&gt;"",D804,IFERROR(VLOOKUP(MID(AS804,4,1),Lists!$E$2:$F$8,2,FALSE),""))</f>
        <v/>
      </c>
      <c r="BC804" s="31">
        <f>IFERROR(VLOOKUP(BB804,Lists!$A$2:$C$12,3,FALSE),"")</f>
        <v/>
      </c>
      <c r="BD804" s="31">
        <f>COUNTIF(W804:AC804,"Yes")</f>
        <v/>
      </c>
      <c r="BE804" s="31">
        <f>IF(TRIM(B804)="","Legal name missing; ","")&amp;IF(AND(AV804&lt;&gt;"",AV804&lt;&gt;"OK"),"GSTIN: "&amp;AV804&amp;"; ","")&amp;IF(AND(AW804&lt;&gt;"",AW804&lt;&gt;"OK"),"PAN wrong format; ","")&amp;IF(AND(BA804&lt;&gt;"",LEN(AZ804)=15,MID(AZ804,3,10)&lt;&gt;BA804),"PAN does not match GSTIN; ","")&amp;IF(AND(AX804&lt;&gt;"",AX804&lt;&gt;"OK"),"TAN wrong format; ","")&amp;IF(AS804="","PAN missing; ","")&amp;IF(BB804="","Entity type missing; ","")&amp;IF(AND(AZ804&lt;&gt;"",COUNTIF($AZ$6:$AZ$1005,AZ804)&gt;1),"GSTIN repeated in this sheet; ","")&amp;IF(AND(AS804&lt;&gt;"",COUNTIF($AS$6:$AS$1005,AS804)&gt;1),"PAN repeated in this sheet (same client? put extra GSTINs in Other GSTINs); ","")&amp;IF(AND(BD804&gt;0,V804=""),"Financial year missing; ","")&amp;IF(AND(BD804=0,V804&lt;&gt;""),"Financial year given but no service is Yes; ","")&amp;IF(AND(W804="Yes",AZ804=""),"GST needs a GSTIN; ","")&amp;IF(AND(W804="Yes",X804=""),"GST return frequency missing; ","")&amp;IF(AND(Y804="Yes",TRIM(H804)=""),"TDS needs a TAN; ","")&amp;IF(AND(AA804="Yes",BC804&lt;&gt;"",BC804&lt;&gt;"company",BC804&lt;&gt;"llp"),"ROC is only for a company / LLP; ","")&amp;IF(AND(AA804="Yes",OR(BC804="company",BC804="llp"),TRIM(I804)=""),"ROC needs the CIN / LLPIN; ","")&amp;IF((TRIM(AF804)="")&lt;&gt;(TRIM(AG804)=""),"GST login needs both user ID and password; ","")&amp;IF((TRIM(AH804)="")&lt;&gt;(TRIM(AI804)=""),"Income-tax login needs both user ID and password; ","")&amp;IF((TRIM(AJ804)="")&lt;&gt;(TRIM(AK804)=""),"Income-tax login needs both user ID and password; ","")&amp;IF((TRIM(AL804)="")&lt;&gt;(TRIM(AM804)=""),"TRACES login needs both user ID and password; ","")&amp;IF((TRIM(AN804)="")&lt;&gt;(TRIM(AO804)=""),"MCA login needs both user ID and password; ","")&amp;IF((TRIM(AP804)="")&lt;&gt;(TRIM(AQ804)=""),"E-way bill login needs both user ID and password; ","")</f>
        <v/>
      </c>
    </row>
    <row r="805">
      <c r="A805" s="32" t="n"/>
      <c r="B805" s="33" t="n"/>
      <c r="C805" s="33" t="n"/>
      <c r="D805" s="33" t="n"/>
      <c r="E805" s="32" t="n"/>
      <c r="F805" s="32" t="n"/>
      <c r="G805" s="32" t="n"/>
      <c r="H805" s="32" t="n"/>
      <c r="I805" s="32" t="n"/>
      <c r="J805" s="34" t="n"/>
      <c r="K805" s="33" t="n"/>
      <c r="L805" s="32" t="n"/>
      <c r="M805" s="33" t="n"/>
      <c r="N805" s="33" t="n"/>
      <c r="O805" s="33" t="n"/>
      <c r="P805" s="32" t="n"/>
      <c r="Q805" s="33" t="n"/>
      <c r="R805" s="33" t="n"/>
      <c r="S805" s="33" t="n"/>
      <c r="T805" s="33" t="n"/>
      <c r="U805" s="32" t="n"/>
      <c r="V805" s="33" t="n"/>
      <c r="W805" s="33" t="n"/>
      <c r="X805" s="33" t="n"/>
      <c r="Y805" s="33" t="n"/>
      <c r="Z805" s="33" t="n"/>
      <c r="AA805" s="33" t="n"/>
      <c r="AB805" s="33" t="n"/>
      <c r="AC805" s="33" t="n"/>
      <c r="AD805" s="33" t="n"/>
      <c r="AE805" s="33" t="n"/>
      <c r="AF805" s="32" t="n"/>
      <c r="AG805" s="32" t="n"/>
      <c r="AH805" s="32" t="n"/>
      <c r="AI805" s="32" t="n"/>
      <c r="AJ805" s="32" t="n"/>
      <c r="AK805" s="32" t="n"/>
      <c r="AL805" s="32" t="n"/>
      <c r="AM805" s="32" t="n"/>
      <c r="AN805" s="32" t="n"/>
      <c r="AO805" s="32" t="n"/>
      <c r="AP805" s="32" t="n"/>
      <c r="AQ805" s="32" t="n"/>
      <c r="AR805" s="29">
        <f>IF(NOT(COUNTA(A805:AE805)&gt;0),"",IF(A805="","New client","Update"))</f>
        <v/>
      </c>
      <c r="AS805" s="29">
        <f>IF(BA805&lt;&gt;"",BA805,IF(LEN(AZ805)=15,MID(AZ805,3,10),""))</f>
        <v/>
      </c>
      <c r="AT805" s="29">
        <f>IF(BB805="","",BB805&amp;IF(D805="","  (guessed from PAN)",""))</f>
        <v/>
      </c>
      <c r="AU805" s="29">
        <f>IF(AZ805="","",IFERROR(INDEX(Lists!$L$2:$L$38,MATCH(LEFT(AZ805,2),Lists!$K$2:$K$38,0)),"Unknown code"))</f>
        <v/>
      </c>
      <c r="AV805" s="29">
        <f>IF(AZ805="","",IFERROR(IF(NOT(AND(LEN(AZ805)=15,ISNUMBER(MATCH(LEFT(AZ805,2),Lists!$K$2:$K$38,0)),SUMPRODUCT(--ISERROR(FIND(MID(MID(AZ805,3,10),{1,2,3,4,5,10},1),"ABCDEFGHIJKLMNOPQRSTUVWXYZ")))=0,SUMPRODUCT(--ISERROR(FIND(MID(MID(AZ805,3,10),{6,7,8,9},1),"0123456789")))=0,ISNUMBER(FIND(MID(AZ805,13,1),"123456789ABCDEFGHIJKLMNOPQRSTUVWXYZ")),MID(AZ805,14,1)="Z")),"Wrong format",IF(MID("0123456789ABCDEFGHIJKLMNOPQRSTUVWXYZ",MOD(36-MOD(SUMPRODUCT(INT((FIND(MID(AZ805,{1,2,3,4,5,6,7,8,9,10,11,12,13,14},1),"0123456789ABCDEFGHIJKLMNOPQRSTUVWXYZ")-1)*{1,2,1,2,1,2,1,2,1,2,1,2,1,2}/36)+MOD((FIND(MID(AZ805,{1,2,3,4,5,6,7,8,9,10,11,12,13,14},1),"0123456789ABCDEFGHIJKLMNOPQRSTUVWXYZ")-1)*{1,2,1,2,1,2,1,2,1,2,1,2,1,2},36)),36),36)+1,1)=MID(AZ805,15,1),"OK","Typo? check digit wrong")),"Wrong format"))</f>
        <v/>
      </c>
      <c r="AW805" s="29">
        <f>IF(BA805="","",IF(AND(LEN(BA805)=10,SUMPRODUCT(--ISERROR(FIND(MID(BA805,{1,2,3,4,5,10},1),"ABCDEFGHIJKLMNOPQRSTUVWXYZ")))=0,SUMPRODUCT(--ISERROR(FIND(MID(BA805,{6,7,8,9},1),"0123456789")))=0),"OK","Wrong format"))</f>
        <v/>
      </c>
      <c r="AX805" s="29">
        <f>IF(TRIM(H805)="","",IF(AND(LEN(UPPER(TRIM(H805)))=10,SUMPRODUCT(--ISERROR(FIND(MID(UPPER(TRIM(H805)),{1,2,3,4,10},1),"ABCDEFGHIJKLMNOPQRSTUVWXYZ")))=0,SUMPRODUCT(--ISERROR(FIND(MID(UPPER(TRIM(H805)),{5,6,7,8,9},1),"0123456789")))=0),"OK","Wrong format"))</f>
        <v/>
      </c>
      <c r="AY805" s="30">
        <f>IF(NOT(COUNTA(A805:AE805)&gt;0),"",IF(BE805&lt;&gt;"","✖ "&amp;LEFT(BE805,LEN(BE805)-2),IF(BD805&gt;0,"✔ Ready — client + "&amp;BD805&amp;" service(s)","✔ Ready — client only")))</f>
        <v/>
      </c>
      <c r="AZ805" s="31">
        <f>UPPER(SUBSTITUTE(TRIM(F805)," ",""))</f>
        <v/>
      </c>
      <c r="BA805" s="31">
        <f>UPPER(SUBSTITUTE(TRIM(E805)," ",""))</f>
        <v/>
      </c>
      <c r="BB805" s="31">
        <f>IF(D805&lt;&gt;"",D805,IFERROR(VLOOKUP(MID(AS805,4,1),Lists!$E$2:$F$8,2,FALSE),""))</f>
        <v/>
      </c>
      <c r="BC805" s="31">
        <f>IFERROR(VLOOKUP(BB805,Lists!$A$2:$C$12,3,FALSE),"")</f>
        <v/>
      </c>
      <c r="BD805" s="31">
        <f>COUNTIF(W805:AC805,"Yes")</f>
        <v/>
      </c>
      <c r="BE805" s="31">
        <f>IF(TRIM(B805)="","Legal name missing; ","")&amp;IF(AND(AV805&lt;&gt;"",AV805&lt;&gt;"OK"),"GSTIN: "&amp;AV805&amp;"; ","")&amp;IF(AND(AW805&lt;&gt;"",AW805&lt;&gt;"OK"),"PAN wrong format; ","")&amp;IF(AND(BA805&lt;&gt;"",LEN(AZ805)=15,MID(AZ805,3,10)&lt;&gt;BA805),"PAN does not match GSTIN; ","")&amp;IF(AND(AX805&lt;&gt;"",AX805&lt;&gt;"OK"),"TAN wrong format; ","")&amp;IF(AS805="","PAN missing; ","")&amp;IF(BB805="","Entity type missing; ","")&amp;IF(AND(AZ805&lt;&gt;"",COUNTIF($AZ$6:$AZ$1005,AZ805)&gt;1),"GSTIN repeated in this sheet; ","")&amp;IF(AND(AS805&lt;&gt;"",COUNTIF($AS$6:$AS$1005,AS805)&gt;1),"PAN repeated in this sheet (same client? put extra GSTINs in Other GSTINs); ","")&amp;IF(AND(BD805&gt;0,V805=""),"Financial year missing; ","")&amp;IF(AND(BD805=0,V805&lt;&gt;""),"Financial year given but no service is Yes; ","")&amp;IF(AND(W805="Yes",AZ805=""),"GST needs a GSTIN; ","")&amp;IF(AND(W805="Yes",X805=""),"GST return frequency missing; ","")&amp;IF(AND(Y805="Yes",TRIM(H805)=""),"TDS needs a TAN; ","")&amp;IF(AND(AA805="Yes",BC805&lt;&gt;"",BC805&lt;&gt;"company",BC805&lt;&gt;"llp"),"ROC is only for a company / LLP; ","")&amp;IF(AND(AA805="Yes",OR(BC805="company",BC805="llp"),TRIM(I805)=""),"ROC needs the CIN / LLPIN; ","")&amp;IF((TRIM(AF805)="")&lt;&gt;(TRIM(AG805)=""),"GST login needs both user ID and password; ","")&amp;IF((TRIM(AH805)="")&lt;&gt;(TRIM(AI805)=""),"Income-tax login needs both user ID and password; ","")&amp;IF((TRIM(AJ805)="")&lt;&gt;(TRIM(AK805)=""),"Income-tax login needs both user ID and password; ","")&amp;IF((TRIM(AL805)="")&lt;&gt;(TRIM(AM805)=""),"TRACES login needs both user ID and password; ","")&amp;IF((TRIM(AN805)="")&lt;&gt;(TRIM(AO805)=""),"MCA login needs both user ID and password; ","")&amp;IF((TRIM(AP805)="")&lt;&gt;(TRIM(AQ805)=""),"E-way bill login needs both user ID and password; ","")</f>
        <v/>
      </c>
    </row>
    <row r="806">
      <c r="A806" s="32" t="n"/>
      <c r="B806" s="33" t="n"/>
      <c r="C806" s="33" t="n"/>
      <c r="D806" s="33" t="n"/>
      <c r="E806" s="32" t="n"/>
      <c r="F806" s="32" t="n"/>
      <c r="G806" s="32" t="n"/>
      <c r="H806" s="32" t="n"/>
      <c r="I806" s="32" t="n"/>
      <c r="J806" s="34" t="n"/>
      <c r="K806" s="33" t="n"/>
      <c r="L806" s="32" t="n"/>
      <c r="M806" s="33" t="n"/>
      <c r="N806" s="33" t="n"/>
      <c r="O806" s="33" t="n"/>
      <c r="P806" s="32" t="n"/>
      <c r="Q806" s="33" t="n"/>
      <c r="R806" s="33" t="n"/>
      <c r="S806" s="33" t="n"/>
      <c r="T806" s="33" t="n"/>
      <c r="U806" s="32" t="n"/>
      <c r="V806" s="33" t="n"/>
      <c r="W806" s="33" t="n"/>
      <c r="X806" s="33" t="n"/>
      <c r="Y806" s="33" t="n"/>
      <c r="Z806" s="33" t="n"/>
      <c r="AA806" s="33" t="n"/>
      <c r="AB806" s="33" t="n"/>
      <c r="AC806" s="33" t="n"/>
      <c r="AD806" s="33" t="n"/>
      <c r="AE806" s="33" t="n"/>
      <c r="AF806" s="32" t="n"/>
      <c r="AG806" s="32" t="n"/>
      <c r="AH806" s="32" t="n"/>
      <c r="AI806" s="32" t="n"/>
      <c r="AJ806" s="32" t="n"/>
      <c r="AK806" s="32" t="n"/>
      <c r="AL806" s="32" t="n"/>
      <c r="AM806" s="32" t="n"/>
      <c r="AN806" s="32" t="n"/>
      <c r="AO806" s="32" t="n"/>
      <c r="AP806" s="32" t="n"/>
      <c r="AQ806" s="32" t="n"/>
      <c r="AR806" s="29">
        <f>IF(NOT(COUNTA(A806:AE806)&gt;0),"",IF(A806="","New client","Update"))</f>
        <v/>
      </c>
      <c r="AS806" s="29">
        <f>IF(BA806&lt;&gt;"",BA806,IF(LEN(AZ806)=15,MID(AZ806,3,10),""))</f>
        <v/>
      </c>
      <c r="AT806" s="29">
        <f>IF(BB806="","",BB806&amp;IF(D806="","  (guessed from PAN)",""))</f>
        <v/>
      </c>
      <c r="AU806" s="29">
        <f>IF(AZ806="","",IFERROR(INDEX(Lists!$L$2:$L$38,MATCH(LEFT(AZ806,2),Lists!$K$2:$K$38,0)),"Unknown code"))</f>
        <v/>
      </c>
      <c r="AV806" s="29">
        <f>IF(AZ806="","",IFERROR(IF(NOT(AND(LEN(AZ806)=15,ISNUMBER(MATCH(LEFT(AZ806,2),Lists!$K$2:$K$38,0)),SUMPRODUCT(--ISERROR(FIND(MID(MID(AZ806,3,10),{1,2,3,4,5,10},1),"ABCDEFGHIJKLMNOPQRSTUVWXYZ")))=0,SUMPRODUCT(--ISERROR(FIND(MID(MID(AZ806,3,10),{6,7,8,9},1),"0123456789")))=0,ISNUMBER(FIND(MID(AZ806,13,1),"123456789ABCDEFGHIJKLMNOPQRSTUVWXYZ")),MID(AZ806,14,1)="Z")),"Wrong format",IF(MID("0123456789ABCDEFGHIJKLMNOPQRSTUVWXYZ",MOD(36-MOD(SUMPRODUCT(INT((FIND(MID(AZ806,{1,2,3,4,5,6,7,8,9,10,11,12,13,14},1),"0123456789ABCDEFGHIJKLMNOPQRSTUVWXYZ")-1)*{1,2,1,2,1,2,1,2,1,2,1,2,1,2}/36)+MOD((FIND(MID(AZ806,{1,2,3,4,5,6,7,8,9,10,11,12,13,14},1),"0123456789ABCDEFGHIJKLMNOPQRSTUVWXYZ")-1)*{1,2,1,2,1,2,1,2,1,2,1,2,1,2},36)),36),36)+1,1)=MID(AZ806,15,1),"OK","Typo? check digit wrong")),"Wrong format"))</f>
        <v/>
      </c>
      <c r="AW806" s="29">
        <f>IF(BA806="","",IF(AND(LEN(BA806)=10,SUMPRODUCT(--ISERROR(FIND(MID(BA806,{1,2,3,4,5,10},1),"ABCDEFGHIJKLMNOPQRSTUVWXYZ")))=0,SUMPRODUCT(--ISERROR(FIND(MID(BA806,{6,7,8,9},1),"0123456789")))=0),"OK","Wrong format"))</f>
        <v/>
      </c>
      <c r="AX806" s="29">
        <f>IF(TRIM(H806)="","",IF(AND(LEN(UPPER(TRIM(H806)))=10,SUMPRODUCT(--ISERROR(FIND(MID(UPPER(TRIM(H806)),{1,2,3,4,10},1),"ABCDEFGHIJKLMNOPQRSTUVWXYZ")))=0,SUMPRODUCT(--ISERROR(FIND(MID(UPPER(TRIM(H806)),{5,6,7,8,9},1),"0123456789")))=0),"OK","Wrong format"))</f>
        <v/>
      </c>
      <c r="AY806" s="30">
        <f>IF(NOT(COUNTA(A806:AE806)&gt;0),"",IF(BE806&lt;&gt;"","✖ "&amp;LEFT(BE806,LEN(BE806)-2),IF(BD806&gt;0,"✔ Ready — client + "&amp;BD806&amp;" service(s)","✔ Ready — client only")))</f>
        <v/>
      </c>
      <c r="AZ806" s="31">
        <f>UPPER(SUBSTITUTE(TRIM(F806)," ",""))</f>
        <v/>
      </c>
      <c r="BA806" s="31">
        <f>UPPER(SUBSTITUTE(TRIM(E806)," ",""))</f>
        <v/>
      </c>
      <c r="BB806" s="31">
        <f>IF(D806&lt;&gt;"",D806,IFERROR(VLOOKUP(MID(AS806,4,1),Lists!$E$2:$F$8,2,FALSE),""))</f>
        <v/>
      </c>
      <c r="BC806" s="31">
        <f>IFERROR(VLOOKUP(BB806,Lists!$A$2:$C$12,3,FALSE),"")</f>
        <v/>
      </c>
      <c r="BD806" s="31">
        <f>COUNTIF(W806:AC806,"Yes")</f>
        <v/>
      </c>
      <c r="BE806" s="31">
        <f>IF(TRIM(B806)="","Legal name missing; ","")&amp;IF(AND(AV806&lt;&gt;"",AV806&lt;&gt;"OK"),"GSTIN: "&amp;AV806&amp;"; ","")&amp;IF(AND(AW806&lt;&gt;"",AW806&lt;&gt;"OK"),"PAN wrong format; ","")&amp;IF(AND(BA806&lt;&gt;"",LEN(AZ806)=15,MID(AZ806,3,10)&lt;&gt;BA806),"PAN does not match GSTIN; ","")&amp;IF(AND(AX806&lt;&gt;"",AX806&lt;&gt;"OK"),"TAN wrong format; ","")&amp;IF(AS806="","PAN missing; ","")&amp;IF(BB806="","Entity type missing; ","")&amp;IF(AND(AZ806&lt;&gt;"",COUNTIF($AZ$6:$AZ$1005,AZ806)&gt;1),"GSTIN repeated in this sheet; ","")&amp;IF(AND(AS806&lt;&gt;"",COUNTIF($AS$6:$AS$1005,AS806)&gt;1),"PAN repeated in this sheet (same client? put extra GSTINs in Other GSTINs); ","")&amp;IF(AND(BD806&gt;0,V806=""),"Financial year missing; ","")&amp;IF(AND(BD806=0,V806&lt;&gt;""),"Financial year given but no service is Yes; ","")&amp;IF(AND(W806="Yes",AZ806=""),"GST needs a GSTIN; ","")&amp;IF(AND(W806="Yes",X806=""),"GST return frequency missing; ","")&amp;IF(AND(Y806="Yes",TRIM(H806)=""),"TDS needs a TAN; ","")&amp;IF(AND(AA806="Yes",BC806&lt;&gt;"",BC806&lt;&gt;"company",BC806&lt;&gt;"llp"),"ROC is only for a company / LLP; ","")&amp;IF(AND(AA806="Yes",OR(BC806="company",BC806="llp"),TRIM(I806)=""),"ROC needs the CIN / LLPIN; ","")&amp;IF((TRIM(AF806)="")&lt;&gt;(TRIM(AG806)=""),"GST login needs both user ID and password; ","")&amp;IF((TRIM(AH806)="")&lt;&gt;(TRIM(AI806)=""),"Income-tax login needs both user ID and password; ","")&amp;IF((TRIM(AJ806)="")&lt;&gt;(TRIM(AK806)=""),"Income-tax login needs both user ID and password; ","")&amp;IF((TRIM(AL806)="")&lt;&gt;(TRIM(AM806)=""),"TRACES login needs both user ID and password; ","")&amp;IF((TRIM(AN806)="")&lt;&gt;(TRIM(AO806)=""),"MCA login needs both user ID and password; ","")&amp;IF((TRIM(AP806)="")&lt;&gt;(TRIM(AQ806)=""),"E-way bill login needs both user ID and password; ","")</f>
        <v/>
      </c>
    </row>
    <row r="807">
      <c r="A807" s="32" t="n"/>
      <c r="B807" s="33" t="n"/>
      <c r="C807" s="33" t="n"/>
      <c r="D807" s="33" t="n"/>
      <c r="E807" s="32" t="n"/>
      <c r="F807" s="32" t="n"/>
      <c r="G807" s="32" t="n"/>
      <c r="H807" s="32" t="n"/>
      <c r="I807" s="32" t="n"/>
      <c r="J807" s="34" t="n"/>
      <c r="K807" s="33" t="n"/>
      <c r="L807" s="32" t="n"/>
      <c r="M807" s="33" t="n"/>
      <c r="N807" s="33" t="n"/>
      <c r="O807" s="33" t="n"/>
      <c r="P807" s="32" t="n"/>
      <c r="Q807" s="33" t="n"/>
      <c r="R807" s="33" t="n"/>
      <c r="S807" s="33" t="n"/>
      <c r="T807" s="33" t="n"/>
      <c r="U807" s="32" t="n"/>
      <c r="V807" s="33" t="n"/>
      <c r="W807" s="33" t="n"/>
      <c r="X807" s="33" t="n"/>
      <c r="Y807" s="33" t="n"/>
      <c r="Z807" s="33" t="n"/>
      <c r="AA807" s="33" t="n"/>
      <c r="AB807" s="33" t="n"/>
      <c r="AC807" s="33" t="n"/>
      <c r="AD807" s="33" t="n"/>
      <c r="AE807" s="33" t="n"/>
      <c r="AF807" s="32" t="n"/>
      <c r="AG807" s="32" t="n"/>
      <c r="AH807" s="32" t="n"/>
      <c r="AI807" s="32" t="n"/>
      <c r="AJ807" s="32" t="n"/>
      <c r="AK807" s="32" t="n"/>
      <c r="AL807" s="32" t="n"/>
      <c r="AM807" s="32" t="n"/>
      <c r="AN807" s="32" t="n"/>
      <c r="AO807" s="32" t="n"/>
      <c r="AP807" s="32" t="n"/>
      <c r="AQ807" s="32" t="n"/>
      <c r="AR807" s="29">
        <f>IF(NOT(COUNTA(A807:AE807)&gt;0),"",IF(A807="","New client","Update"))</f>
        <v/>
      </c>
      <c r="AS807" s="29">
        <f>IF(BA807&lt;&gt;"",BA807,IF(LEN(AZ807)=15,MID(AZ807,3,10),""))</f>
        <v/>
      </c>
      <c r="AT807" s="29">
        <f>IF(BB807="","",BB807&amp;IF(D807="","  (guessed from PAN)",""))</f>
        <v/>
      </c>
      <c r="AU807" s="29">
        <f>IF(AZ807="","",IFERROR(INDEX(Lists!$L$2:$L$38,MATCH(LEFT(AZ807,2),Lists!$K$2:$K$38,0)),"Unknown code"))</f>
        <v/>
      </c>
      <c r="AV807" s="29">
        <f>IF(AZ807="","",IFERROR(IF(NOT(AND(LEN(AZ807)=15,ISNUMBER(MATCH(LEFT(AZ807,2),Lists!$K$2:$K$38,0)),SUMPRODUCT(--ISERROR(FIND(MID(MID(AZ807,3,10),{1,2,3,4,5,10},1),"ABCDEFGHIJKLMNOPQRSTUVWXYZ")))=0,SUMPRODUCT(--ISERROR(FIND(MID(MID(AZ807,3,10),{6,7,8,9},1),"0123456789")))=0,ISNUMBER(FIND(MID(AZ807,13,1),"123456789ABCDEFGHIJKLMNOPQRSTUVWXYZ")),MID(AZ807,14,1)="Z")),"Wrong format",IF(MID("0123456789ABCDEFGHIJKLMNOPQRSTUVWXYZ",MOD(36-MOD(SUMPRODUCT(INT((FIND(MID(AZ807,{1,2,3,4,5,6,7,8,9,10,11,12,13,14},1),"0123456789ABCDEFGHIJKLMNOPQRSTUVWXYZ")-1)*{1,2,1,2,1,2,1,2,1,2,1,2,1,2}/36)+MOD((FIND(MID(AZ807,{1,2,3,4,5,6,7,8,9,10,11,12,13,14},1),"0123456789ABCDEFGHIJKLMNOPQRSTUVWXYZ")-1)*{1,2,1,2,1,2,1,2,1,2,1,2,1,2},36)),36),36)+1,1)=MID(AZ807,15,1),"OK","Typo? check digit wrong")),"Wrong format"))</f>
        <v/>
      </c>
      <c r="AW807" s="29">
        <f>IF(BA807="","",IF(AND(LEN(BA807)=10,SUMPRODUCT(--ISERROR(FIND(MID(BA807,{1,2,3,4,5,10},1),"ABCDEFGHIJKLMNOPQRSTUVWXYZ")))=0,SUMPRODUCT(--ISERROR(FIND(MID(BA807,{6,7,8,9},1),"0123456789")))=0),"OK","Wrong format"))</f>
        <v/>
      </c>
      <c r="AX807" s="29">
        <f>IF(TRIM(H807)="","",IF(AND(LEN(UPPER(TRIM(H807)))=10,SUMPRODUCT(--ISERROR(FIND(MID(UPPER(TRIM(H807)),{1,2,3,4,10},1),"ABCDEFGHIJKLMNOPQRSTUVWXYZ")))=0,SUMPRODUCT(--ISERROR(FIND(MID(UPPER(TRIM(H807)),{5,6,7,8,9},1),"0123456789")))=0),"OK","Wrong format"))</f>
        <v/>
      </c>
      <c r="AY807" s="30">
        <f>IF(NOT(COUNTA(A807:AE807)&gt;0),"",IF(BE807&lt;&gt;"","✖ "&amp;LEFT(BE807,LEN(BE807)-2),IF(BD807&gt;0,"✔ Ready — client + "&amp;BD807&amp;" service(s)","✔ Ready — client only")))</f>
        <v/>
      </c>
      <c r="AZ807" s="31">
        <f>UPPER(SUBSTITUTE(TRIM(F807)," ",""))</f>
        <v/>
      </c>
      <c r="BA807" s="31">
        <f>UPPER(SUBSTITUTE(TRIM(E807)," ",""))</f>
        <v/>
      </c>
      <c r="BB807" s="31">
        <f>IF(D807&lt;&gt;"",D807,IFERROR(VLOOKUP(MID(AS807,4,1),Lists!$E$2:$F$8,2,FALSE),""))</f>
        <v/>
      </c>
      <c r="BC807" s="31">
        <f>IFERROR(VLOOKUP(BB807,Lists!$A$2:$C$12,3,FALSE),"")</f>
        <v/>
      </c>
      <c r="BD807" s="31">
        <f>COUNTIF(W807:AC807,"Yes")</f>
        <v/>
      </c>
      <c r="BE807" s="31">
        <f>IF(TRIM(B807)="","Legal name missing; ","")&amp;IF(AND(AV807&lt;&gt;"",AV807&lt;&gt;"OK"),"GSTIN: "&amp;AV807&amp;"; ","")&amp;IF(AND(AW807&lt;&gt;"",AW807&lt;&gt;"OK"),"PAN wrong format; ","")&amp;IF(AND(BA807&lt;&gt;"",LEN(AZ807)=15,MID(AZ807,3,10)&lt;&gt;BA807),"PAN does not match GSTIN; ","")&amp;IF(AND(AX807&lt;&gt;"",AX807&lt;&gt;"OK"),"TAN wrong format; ","")&amp;IF(AS807="","PAN missing; ","")&amp;IF(BB807="","Entity type missing; ","")&amp;IF(AND(AZ807&lt;&gt;"",COUNTIF($AZ$6:$AZ$1005,AZ807)&gt;1),"GSTIN repeated in this sheet; ","")&amp;IF(AND(AS807&lt;&gt;"",COUNTIF($AS$6:$AS$1005,AS807)&gt;1),"PAN repeated in this sheet (same client? put extra GSTINs in Other GSTINs); ","")&amp;IF(AND(BD807&gt;0,V807=""),"Financial year missing; ","")&amp;IF(AND(BD807=0,V807&lt;&gt;""),"Financial year given but no service is Yes; ","")&amp;IF(AND(W807="Yes",AZ807=""),"GST needs a GSTIN; ","")&amp;IF(AND(W807="Yes",X807=""),"GST return frequency missing; ","")&amp;IF(AND(Y807="Yes",TRIM(H807)=""),"TDS needs a TAN; ","")&amp;IF(AND(AA807="Yes",BC807&lt;&gt;"",BC807&lt;&gt;"company",BC807&lt;&gt;"llp"),"ROC is only for a company / LLP; ","")&amp;IF(AND(AA807="Yes",OR(BC807="company",BC807="llp"),TRIM(I807)=""),"ROC needs the CIN / LLPIN; ","")&amp;IF((TRIM(AF807)="")&lt;&gt;(TRIM(AG807)=""),"GST login needs both user ID and password; ","")&amp;IF((TRIM(AH807)="")&lt;&gt;(TRIM(AI807)=""),"Income-tax login needs both user ID and password; ","")&amp;IF((TRIM(AJ807)="")&lt;&gt;(TRIM(AK807)=""),"Income-tax login needs both user ID and password; ","")&amp;IF((TRIM(AL807)="")&lt;&gt;(TRIM(AM807)=""),"TRACES login needs both user ID and password; ","")&amp;IF((TRIM(AN807)="")&lt;&gt;(TRIM(AO807)=""),"MCA login needs both user ID and password; ","")&amp;IF((TRIM(AP807)="")&lt;&gt;(TRIM(AQ807)=""),"E-way bill login needs both user ID and password; ","")</f>
        <v/>
      </c>
    </row>
    <row r="808">
      <c r="A808" s="32" t="n"/>
      <c r="B808" s="33" t="n"/>
      <c r="C808" s="33" t="n"/>
      <c r="D808" s="33" t="n"/>
      <c r="E808" s="32" t="n"/>
      <c r="F808" s="32" t="n"/>
      <c r="G808" s="32" t="n"/>
      <c r="H808" s="32" t="n"/>
      <c r="I808" s="32" t="n"/>
      <c r="J808" s="34" t="n"/>
      <c r="K808" s="33" t="n"/>
      <c r="L808" s="32" t="n"/>
      <c r="M808" s="33" t="n"/>
      <c r="N808" s="33" t="n"/>
      <c r="O808" s="33" t="n"/>
      <c r="P808" s="32" t="n"/>
      <c r="Q808" s="33" t="n"/>
      <c r="R808" s="33" t="n"/>
      <c r="S808" s="33" t="n"/>
      <c r="T808" s="33" t="n"/>
      <c r="U808" s="32" t="n"/>
      <c r="V808" s="33" t="n"/>
      <c r="W808" s="33" t="n"/>
      <c r="X808" s="33" t="n"/>
      <c r="Y808" s="33" t="n"/>
      <c r="Z808" s="33" t="n"/>
      <c r="AA808" s="33" t="n"/>
      <c r="AB808" s="33" t="n"/>
      <c r="AC808" s="33" t="n"/>
      <c r="AD808" s="33" t="n"/>
      <c r="AE808" s="33" t="n"/>
      <c r="AF808" s="32" t="n"/>
      <c r="AG808" s="32" t="n"/>
      <c r="AH808" s="32" t="n"/>
      <c r="AI808" s="32" t="n"/>
      <c r="AJ808" s="32" t="n"/>
      <c r="AK808" s="32" t="n"/>
      <c r="AL808" s="32" t="n"/>
      <c r="AM808" s="32" t="n"/>
      <c r="AN808" s="32" t="n"/>
      <c r="AO808" s="32" t="n"/>
      <c r="AP808" s="32" t="n"/>
      <c r="AQ808" s="32" t="n"/>
      <c r="AR808" s="29">
        <f>IF(NOT(COUNTA(A808:AE808)&gt;0),"",IF(A808="","New client","Update"))</f>
        <v/>
      </c>
      <c r="AS808" s="29">
        <f>IF(BA808&lt;&gt;"",BA808,IF(LEN(AZ808)=15,MID(AZ808,3,10),""))</f>
        <v/>
      </c>
      <c r="AT808" s="29">
        <f>IF(BB808="","",BB808&amp;IF(D808="","  (guessed from PAN)",""))</f>
        <v/>
      </c>
      <c r="AU808" s="29">
        <f>IF(AZ808="","",IFERROR(INDEX(Lists!$L$2:$L$38,MATCH(LEFT(AZ808,2),Lists!$K$2:$K$38,0)),"Unknown code"))</f>
        <v/>
      </c>
      <c r="AV808" s="29">
        <f>IF(AZ808="","",IFERROR(IF(NOT(AND(LEN(AZ808)=15,ISNUMBER(MATCH(LEFT(AZ808,2),Lists!$K$2:$K$38,0)),SUMPRODUCT(--ISERROR(FIND(MID(MID(AZ808,3,10),{1,2,3,4,5,10},1),"ABCDEFGHIJKLMNOPQRSTUVWXYZ")))=0,SUMPRODUCT(--ISERROR(FIND(MID(MID(AZ808,3,10),{6,7,8,9},1),"0123456789")))=0,ISNUMBER(FIND(MID(AZ808,13,1),"123456789ABCDEFGHIJKLMNOPQRSTUVWXYZ")),MID(AZ808,14,1)="Z")),"Wrong format",IF(MID("0123456789ABCDEFGHIJKLMNOPQRSTUVWXYZ",MOD(36-MOD(SUMPRODUCT(INT((FIND(MID(AZ808,{1,2,3,4,5,6,7,8,9,10,11,12,13,14},1),"0123456789ABCDEFGHIJKLMNOPQRSTUVWXYZ")-1)*{1,2,1,2,1,2,1,2,1,2,1,2,1,2}/36)+MOD((FIND(MID(AZ808,{1,2,3,4,5,6,7,8,9,10,11,12,13,14},1),"0123456789ABCDEFGHIJKLMNOPQRSTUVWXYZ")-1)*{1,2,1,2,1,2,1,2,1,2,1,2,1,2},36)),36),36)+1,1)=MID(AZ808,15,1),"OK","Typo? check digit wrong")),"Wrong format"))</f>
        <v/>
      </c>
      <c r="AW808" s="29">
        <f>IF(BA808="","",IF(AND(LEN(BA808)=10,SUMPRODUCT(--ISERROR(FIND(MID(BA808,{1,2,3,4,5,10},1),"ABCDEFGHIJKLMNOPQRSTUVWXYZ")))=0,SUMPRODUCT(--ISERROR(FIND(MID(BA808,{6,7,8,9},1),"0123456789")))=0),"OK","Wrong format"))</f>
        <v/>
      </c>
      <c r="AX808" s="29">
        <f>IF(TRIM(H808)="","",IF(AND(LEN(UPPER(TRIM(H808)))=10,SUMPRODUCT(--ISERROR(FIND(MID(UPPER(TRIM(H808)),{1,2,3,4,10},1),"ABCDEFGHIJKLMNOPQRSTUVWXYZ")))=0,SUMPRODUCT(--ISERROR(FIND(MID(UPPER(TRIM(H808)),{5,6,7,8,9},1),"0123456789")))=0),"OK","Wrong format"))</f>
        <v/>
      </c>
      <c r="AY808" s="30">
        <f>IF(NOT(COUNTA(A808:AE808)&gt;0),"",IF(BE808&lt;&gt;"","✖ "&amp;LEFT(BE808,LEN(BE808)-2),IF(BD808&gt;0,"✔ Ready — client + "&amp;BD808&amp;" service(s)","✔ Ready — client only")))</f>
        <v/>
      </c>
      <c r="AZ808" s="31">
        <f>UPPER(SUBSTITUTE(TRIM(F808)," ",""))</f>
        <v/>
      </c>
      <c r="BA808" s="31">
        <f>UPPER(SUBSTITUTE(TRIM(E808)," ",""))</f>
        <v/>
      </c>
      <c r="BB808" s="31">
        <f>IF(D808&lt;&gt;"",D808,IFERROR(VLOOKUP(MID(AS808,4,1),Lists!$E$2:$F$8,2,FALSE),""))</f>
        <v/>
      </c>
      <c r="BC808" s="31">
        <f>IFERROR(VLOOKUP(BB808,Lists!$A$2:$C$12,3,FALSE),"")</f>
        <v/>
      </c>
      <c r="BD808" s="31">
        <f>COUNTIF(W808:AC808,"Yes")</f>
        <v/>
      </c>
      <c r="BE808" s="31">
        <f>IF(TRIM(B808)="","Legal name missing; ","")&amp;IF(AND(AV808&lt;&gt;"",AV808&lt;&gt;"OK"),"GSTIN: "&amp;AV808&amp;"; ","")&amp;IF(AND(AW808&lt;&gt;"",AW808&lt;&gt;"OK"),"PAN wrong format; ","")&amp;IF(AND(BA808&lt;&gt;"",LEN(AZ808)=15,MID(AZ808,3,10)&lt;&gt;BA808),"PAN does not match GSTIN; ","")&amp;IF(AND(AX808&lt;&gt;"",AX808&lt;&gt;"OK"),"TAN wrong format; ","")&amp;IF(AS808="","PAN missing; ","")&amp;IF(BB808="","Entity type missing; ","")&amp;IF(AND(AZ808&lt;&gt;"",COUNTIF($AZ$6:$AZ$1005,AZ808)&gt;1),"GSTIN repeated in this sheet; ","")&amp;IF(AND(AS808&lt;&gt;"",COUNTIF($AS$6:$AS$1005,AS808)&gt;1),"PAN repeated in this sheet (same client? put extra GSTINs in Other GSTINs); ","")&amp;IF(AND(BD808&gt;0,V808=""),"Financial year missing; ","")&amp;IF(AND(BD808=0,V808&lt;&gt;""),"Financial year given but no service is Yes; ","")&amp;IF(AND(W808="Yes",AZ808=""),"GST needs a GSTIN; ","")&amp;IF(AND(W808="Yes",X808=""),"GST return frequency missing; ","")&amp;IF(AND(Y808="Yes",TRIM(H808)=""),"TDS needs a TAN; ","")&amp;IF(AND(AA808="Yes",BC808&lt;&gt;"",BC808&lt;&gt;"company",BC808&lt;&gt;"llp"),"ROC is only for a company / LLP; ","")&amp;IF(AND(AA808="Yes",OR(BC808="company",BC808="llp"),TRIM(I808)=""),"ROC needs the CIN / LLPIN; ","")&amp;IF((TRIM(AF808)="")&lt;&gt;(TRIM(AG808)=""),"GST login needs both user ID and password; ","")&amp;IF((TRIM(AH808)="")&lt;&gt;(TRIM(AI808)=""),"Income-tax login needs both user ID and password; ","")&amp;IF((TRIM(AJ808)="")&lt;&gt;(TRIM(AK808)=""),"Income-tax login needs both user ID and password; ","")&amp;IF((TRIM(AL808)="")&lt;&gt;(TRIM(AM808)=""),"TRACES login needs both user ID and password; ","")&amp;IF((TRIM(AN808)="")&lt;&gt;(TRIM(AO808)=""),"MCA login needs both user ID and password; ","")&amp;IF((TRIM(AP808)="")&lt;&gt;(TRIM(AQ808)=""),"E-way bill login needs both user ID and password; ","")</f>
        <v/>
      </c>
    </row>
    <row r="809">
      <c r="A809" s="32" t="n"/>
      <c r="B809" s="33" t="n"/>
      <c r="C809" s="33" t="n"/>
      <c r="D809" s="33" t="n"/>
      <c r="E809" s="32" t="n"/>
      <c r="F809" s="32" t="n"/>
      <c r="G809" s="32" t="n"/>
      <c r="H809" s="32" t="n"/>
      <c r="I809" s="32" t="n"/>
      <c r="J809" s="34" t="n"/>
      <c r="K809" s="33" t="n"/>
      <c r="L809" s="32" t="n"/>
      <c r="M809" s="33" t="n"/>
      <c r="N809" s="33" t="n"/>
      <c r="O809" s="33" t="n"/>
      <c r="P809" s="32" t="n"/>
      <c r="Q809" s="33" t="n"/>
      <c r="R809" s="33" t="n"/>
      <c r="S809" s="33" t="n"/>
      <c r="T809" s="33" t="n"/>
      <c r="U809" s="32" t="n"/>
      <c r="V809" s="33" t="n"/>
      <c r="W809" s="33" t="n"/>
      <c r="X809" s="33" t="n"/>
      <c r="Y809" s="33" t="n"/>
      <c r="Z809" s="33" t="n"/>
      <c r="AA809" s="33" t="n"/>
      <c r="AB809" s="33" t="n"/>
      <c r="AC809" s="33" t="n"/>
      <c r="AD809" s="33" t="n"/>
      <c r="AE809" s="33" t="n"/>
      <c r="AF809" s="32" t="n"/>
      <c r="AG809" s="32" t="n"/>
      <c r="AH809" s="32" t="n"/>
      <c r="AI809" s="32" t="n"/>
      <c r="AJ809" s="32" t="n"/>
      <c r="AK809" s="32" t="n"/>
      <c r="AL809" s="32" t="n"/>
      <c r="AM809" s="32" t="n"/>
      <c r="AN809" s="32" t="n"/>
      <c r="AO809" s="32" t="n"/>
      <c r="AP809" s="32" t="n"/>
      <c r="AQ809" s="32" t="n"/>
      <c r="AR809" s="29">
        <f>IF(NOT(COUNTA(A809:AE809)&gt;0),"",IF(A809="","New client","Update"))</f>
        <v/>
      </c>
      <c r="AS809" s="29">
        <f>IF(BA809&lt;&gt;"",BA809,IF(LEN(AZ809)=15,MID(AZ809,3,10),""))</f>
        <v/>
      </c>
      <c r="AT809" s="29">
        <f>IF(BB809="","",BB809&amp;IF(D809="","  (guessed from PAN)",""))</f>
        <v/>
      </c>
      <c r="AU809" s="29">
        <f>IF(AZ809="","",IFERROR(INDEX(Lists!$L$2:$L$38,MATCH(LEFT(AZ809,2),Lists!$K$2:$K$38,0)),"Unknown code"))</f>
        <v/>
      </c>
      <c r="AV809" s="29">
        <f>IF(AZ809="","",IFERROR(IF(NOT(AND(LEN(AZ809)=15,ISNUMBER(MATCH(LEFT(AZ809,2),Lists!$K$2:$K$38,0)),SUMPRODUCT(--ISERROR(FIND(MID(MID(AZ809,3,10),{1,2,3,4,5,10},1),"ABCDEFGHIJKLMNOPQRSTUVWXYZ")))=0,SUMPRODUCT(--ISERROR(FIND(MID(MID(AZ809,3,10),{6,7,8,9},1),"0123456789")))=0,ISNUMBER(FIND(MID(AZ809,13,1),"123456789ABCDEFGHIJKLMNOPQRSTUVWXYZ")),MID(AZ809,14,1)="Z")),"Wrong format",IF(MID("0123456789ABCDEFGHIJKLMNOPQRSTUVWXYZ",MOD(36-MOD(SUMPRODUCT(INT((FIND(MID(AZ809,{1,2,3,4,5,6,7,8,9,10,11,12,13,14},1),"0123456789ABCDEFGHIJKLMNOPQRSTUVWXYZ")-1)*{1,2,1,2,1,2,1,2,1,2,1,2,1,2}/36)+MOD((FIND(MID(AZ809,{1,2,3,4,5,6,7,8,9,10,11,12,13,14},1),"0123456789ABCDEFGHIJKLMNOPQRSTUVWXYZ")-1)*{1,2,1,2,1,2,1,2,1,2,1,2,1,2},36)),36),36)+1,1)=MID(AZ809,15,1),"OK","Typo? check digit wrong")),"Wrong format"))</f>
        <v/>
      </c>
      <c r="AW809" s="29">
        <f>IF(BA809="","",IF(AND(LEN(BA809)=10,SUMPRODUCT(--ISERROR(FIND(MID(BA809,{1,2,3,4,5,10},1),"ABCDEFGHIJKLMNOPQRSTUVWXYZ")))=0,SUMPRODUCT(--ISERROR(FIND(MID(BA809,{6,7,8,9},1),"0123456789")))=0),"OK","Wrong format"))</f>
        <v/>
      </c>
      <c r="AX809" s="29">
        <f>IF(TRIM(H809)="","",IF(AND(LEN(UPPER(TRIM(H809)))=10,SUMPRODUCT(--ISERROR(FIND(MID(UPPER(TRIM(H809)),{1,2,3,4,10},1),"ABCDEFGHIJKLMNOPQRSTUVWXYZ")))=0,SUMPRODUCT(--ISERROR(FIND(MID(UPPER(TRIM(H809)),{5,6,7,8,9},1),"0123456789")))=0),"OK","Wrong format"))</f>
        <v/>
      </c>
      <c r="AY809" s="30">
        <f>IF(NOT(COUNTA(A809:AE809)&gt;0),"",IF(BE809&lt;&gt;"","✖ "&amp;LEFT(BE809,LEN(BE809)-2),IF(BD809&gt;0,"✔ Ready — client + "&amp;BD809&amp;" service(s)","✔ Ready — client only")))</f>
        <v/>
      </c>
      <c r="AZ809" s="31">
        <f>UPPER(SUBSTITUTE(TRIM(F809)," ",""))</f>
        <v/>
      </c>
      <c r="BA809" s="31">
        <f>UPPER(SUBSTITUTE(TRIM(E809)," ",""))</f>
        <v/>
      </c>
      <c r="BB809" s="31">
        <f>IF(D809&lt;&gt;"",D809,IFERROR(VLOOKUP(MID(AS809,4,1),Lists!$E$2:$F$8,2,FALSE),""))</f>
        <v/>
      </c>
      <c r="BC809" s="31">
        <f>IFERROR(VLOOKUP(BB809,Lists!$A$2:$C$12,3,FALSE),"")</f>
        <v/>
      </c>
      <c r="BD809" s="31">
        <f>COUNTIF(W809:AC809,"Yes")</f>
        <v/>
      </c>
      <c r="BE809" s="31">
        <f>IF(TRIM(B809)="","Legal name missing; ","")&amp;IF(AND(AV809&lt;&gt;"",AV809&lt;&gt;"OK"),"GSTIN: "&amp;AV809&amp;"; ","")&amp;IF(AND(AW809&lt;&gt;"",AW809&lt;&gt;"OK"),"PAN wrong format; ","")&amp;IF(AND(BA809&lt;&gt;"",LEN(AZ809)=15,MID(AZ809,3,10)&lt;&gt;BA809),"PAN does not match GSTIN; ","")&amp;IF(AND(AX809&lt;&gt;"",AX809&lt;&gt;"OK"),"TAN wrong format; ","")&amp;IF(AS809="","PAN missing; ","")&amp;IF(BB809="","Entity type missing; ","")&amp;IF(AND(AZ809&lt;&gt;"",COUNTIF($AZ$6:$AZ$1005,AZ809)&gt;1),"GSTIN repeated in this sheet; ","")&amp;IF(AND(AS809&lt;&gt;"",COUNTIF($AS$6:$AS$1005,AS809)&gt;1),"PAN repeated in this sheet (same client? put extra GSTINs in Other GSTINs); ","")&amp;IF(AND(BD809&gt;0,V809=""),"Financial year missing; ","")&amp;IF(AND(BD809=0,V809&lt;&gt;""),"Financial year given but no service is Yes; ","")&amp;IF(AND(W809="Yes",AZ809=""),"GST needs a GSTIN; ","")&amp;IF(AND(W809="Yes",X809=""),"GST return frequency missing; ","")&amp;IF(AND(Y809="Yes",TRIM(H809)=""),"TDS needs a TAN; ","")&amp;IF(AND(AA809="Yes",BC809&lt;&gt;"",BC809&lt;&gt;"company",BC809&lt;&gt;"llp"),"ROC is only for a company / LLP; ","")&amp;IF(AND(AA809="Yes",OR(BC809="company",BC809="llp"),TRIM(I809)=""),"ROC needs the CIN / LLPIN; ","")&amp;IF((TRIM(AF809)="")&lt;&gt;(TRIM(AG809)=""),"GST login needs both user ID and password; ","")&amp;IF((TRIM(AH809)="")&lt;&gt;(TRIM(AI809)=""),"Income-tax login needs both user ID and password; ","")&amp;IF((TRIM(AJ809)="")&lt;&gt;(TRIM(AK809)=""),"Income-tax login needs both user ID and password; ","")&amp;IF((TRIM(AL809)="")&lt;&gt;(TRIM(AM809)=""),"TRACES login needs both user ID and password; ","")&amp;IF((TRIM(AN809)="")&lt;&gt;(TRIM(AO809)=""),"MCA login needs both user ID and password; ","")&amp;IF((TRIM(AP809)="")&lt;&gt;(TRIM(AQ809)=""),"E-way bill login needs both user ID and password; ","")</f>
        <v/>
      </c>
    </row>
    <row r="810">
      <c r="A810" s="32" t="n"/>
      <c r="B810" s="33" t="n"/>
      <c r="C810" s="33" t="n"/>
      <c r="D810" s="33" t="n"/>
      <c r="E810" s="32" t="n"/>
      <c r="F810" s="32" t="n"/>
      <c r="G810" s="32" t="n"/>
      <c r="H810" s="32" t="n"/>
      <c r="I810" s="32" t="n"/>
      <c r="J810" s="34" t="n"/>
      <c r="K810" s="33" t="n"/>
      <c r="L810" s="32" t="n"/>
      <c r="M810" s="33" t="n"/>
      <c r="N810" s="33" t="n"/>
      <c r="O810" s="33" t="n"/>
      <c r="P810" s="32" t="n"/>
      <c r="Q810" s="33" t="n"/>
      <c r="R810" s="33" t="n"/>
      <c r="S810" s="33" t="n"/>
      <c r="T810" s="33" t="n"/>
      <c r="U810" s="32" t="n"/>
      <c r="V810" s="33" t="n"/>
      <c r="W810" s="33" t="n"/>
      <c r="X810" s="33" t="n"/>
      <c r="Y810" s="33" t="n"/>
      <c r="Z810" s="33" t="n"/>
      <c r="AA810" s="33" t="n"/>
      <c r="AB810" s="33" t="n"/>
      <c r="AC810" s="33" t="n"/>
      <c r="AD810" s="33" t="n"/>
      <c r="AE810" s="33" t="n"/>
      <c r="AF810" s="32" t="n"/>
      <c r="AG810" s="32" t="n"/>
      <c r="AH810" s="32" t="n"/>
      <c r="AI810" s="32" t="n"/>
      <c r="AJ810" s="32" t="n"/>
      <c r="AK810" s="32" t="n"/>
      <c r="AL810" s="32" t="n"/>
      <c r="AM810" s="32" t="n"/>
      <c r="AN810" s="32" t="n"/>
      <c r="AO810" s="32" t="n"/>
      <c r="AP810" s="32" t="n"/>
      <c r="AQ810" s="32" t="n"/>
      <c r="AR810" s="29">
        <f>IF(NOT(COUNTA(A810:AE810)&gt;0),"",IF(A810="","New client","Update"))</f>
        <v/>
      </c>
      <c r="AS810" s="29">
        <f>IF(BA810&lt;&gt;"",BA810,IF(LEN(AZ810)=15,MID(AZ810,3,10),""))</f>
        <v/>
      </c>
      <c r="AT810" s="29">
        <f>IF(BB810="","",BB810&amp;IF(D810="","  (guessed from PAN)",""))</f>
        <v/>
      </c>
      <c r="AU810" s="29">
        <f>IF(AZ810="","",IFERROR(INDEX(Lists!$L$2:$L$38,MATCH(LEFT(AZ810,2),Lists!$K$2:$K$38,0)),"Unknown code"))</f>
        <v/>
      </c>
      <c r="AV810" s="29">
        <f>IF(AZ810="","",IFERROR(IF(NOT(AND(LEN(AZ810)=15,ISNUMBER(MATCH(LEFT(AZ810,2),Lists!$K$2:$K$38,0)),SUMPRODUCT(--ISERROR(FIND(MID(MID(AZ810,3,10),{1,2,3,4,5,10},1),"ABCDEFGHIJKLMNOPQRSTUVWXYZ")))=0,SUMPRODUCT(--ISERROR(FIND(MID(MID(AZ810,3,10),{6,7,8,9},1),"0123456789")))=0,ISNUMBER(FIND(MID(AZ810,13,1),"123456789ABCDEFGHIJKLMNOPQRSTUVWXYZ")),MID(AZ810,14,1)="Z")),"Wrong format",IF(MID("0123456789ABCDEFGHIJKLMNOPQRSTUVWXYZ",MOD(36-MOD(SUMPRODUCT(INT((FIND(MID(AZ810,{1,2,3,4,5,6,7,8,9,10,11,12,13,14},1),"0123456789ABCDEFGHIJKLMNOPQRSTUVWXYZ")-1)*{1,2,1,2,1,2,1,2,1,2,1,2,1,2}/36)+MOD((FIND(MID(AZ810,{1,2,3,4,5,6,7,8,9,10,11,12,13,14},1),"0123456789ABCDEFGHIJKLMNOPQRSTUVWXYZ")-1)*{1,2,1,2,1,2,1,2,1,2,1,2,1,2},36)),36),36)+1,1)=MID(AZ810,15,1),"OK","Typo? check digit wrong")),"Wrong format"))</f>
        <v/>
      </c>
      <c r="AW810" s="29">
        <f>IF(BA810="","",IF(AND(LEN(BA810)=10,SUMPRODUCT(--ISERROR(FIND(MID(BA810,{1,2,3,4,5,10},1),"ABCDEFGHIJKLMNOPQRSTUVWXYZ")))=0,SUMPRODUCT(--ISERROR(FIND(MID(BA810,{6,7,8,9},1),"0123456789")))=0),"OK","Wrong format"))</f>
        <v/>
      </c>
      <c r="AX810" s="29">
        <f>IF(TRIM(H810)="","",IF(AND(LEN(UPPER(TRIM(H810)))=10,SUMPRODUCT(--ISERROR(FIND(MID(UPPER(TRIM(H810)),{1,2,3,4,10},1),"ABCDEFGHIJKLMNOPQRSTUVWXYZ")))=0,SUMPRODUCT(--ISERROR(FIND(MID(UPPER(TRIM(H810)),{5,6,7,8,9},1),"0123456789")))=0),"OK","Wrong format"))</f>
        <v/>
      </c>
      <c r="AY810" s="30">
        <f>IF(NOT(COUNTA(A810:AE810)&gt;0),"",IF(BE810&lt;&gt;"","✖ "&amp;LEFT(BE810,LEN(BE810)-2),IF(BD810&gt;0,"✔ Ready — client + "&amp;BD810&amp;" service(s)","✔ Ready — client only")))</f>
        <v/>
      </c>
      <c r="AZ810" s="31">
        <f>UPPER(SUBSTITUTE(TRIM(F810)," ",""))</f>
        <v/>
      </c>
      <c r="BA810" s="31">
        <f>UPPER(SUBSTITUTE(TRIM(E810)," ",""))</f>
        <v/>
      </c>
      <c r="BB810" s="31">
        <f>IF(D810&lt;&gt;"",D810,IFERROR(VLOOKUP(MID(AS810,4,1),Lists!$E$2:$F$8,2,FALSE),""))</f>
        <v/>
      </c>
      <c r="BC810" s="31">
        <f>IFERROR(VLOOKUP(BB810,Lists!$A$2:$C$12,3,FALSE),"")</f>
        <v/>
      </c>
      <c r="BD810" s="31">
        <f>COUNTIF(W810:AC810,"Yes")</f>
        <v/>
      </c>
      <c r="BE810" s="31">
        <f>IF(TRIM(B810)="","Legal name missing; ","")&amp;IF(AND(AV810&lt;&gt;"",AV810&lt;&gt;"OK"),"GSTIN: "&amp;AV810&amp;"; ","")&amp;IF(AND(AW810&lt;&gt;"",AW810&lt;&gt;"OK"),"PAN wrong format; ","")&amp;IF(AND(BA810&lt;&gt;"",LEN(AZ810)=15,MID(AZ810,3,10)&lt;&gt;BA810),"PAN does not match GSTIN; ","")&amp;IF(AND(AX810&lt;&gt;"",AX810&lt;&gt;"OK"),"TAN wrong format; ","")&amp;IF(AS810="","PAN missing; ","")&amp;IF(BB810="","Entity type missing; ","")&amp;IF(AND(AZ810&lt;&gt;"",COUNTIF($AZ$6:$AZ$1005,AZ810)&gt;1),"GSTIN repeated in this sheet; ","")&amp;IF(AND(AS810&lt;&gt;"",COUNTIF($AS$6:$AS$1005,AS810)&gt;1),"PAN repeated in this sheet (same client? put extra GSTINs in Other GSTINs); ","")&amp;IF(AND(BD810&gt;0,V810=""),"Financial year missing; ","")&amp;IF(AND(BD810=0,V810&lt;&gt;""),"Financial year given but no service is Yes; ","")&amp;IF(AND(W810="Yes",AZ810=""),"GST needs a GSTIN; ","")&amp;IF(AND(W810="Yes",X810=""),"GST return frequency missing; ","")&amp;IF(AND(Y810="Yes",TRIM(H810)=""),"TDS needs a TAN; ","")&amp;IF(AND(AA810="Yes",BC810&lt;&gt;"",BC810&lt;&gt;"company",BC810&lt;&gt;"llp"),"ROC is only for a company / LLP; ","")&amp;IF(AND(AA810="Yes",OR(BC810="company",BC810="llp"),TRIM(I810)=""),"ROC needs the CIN / LLPIN; ","")&amp;IF((TRIM(AF810)="")&lt;&gt;(TRIM(AG810)=""),"GST login needs both user ID and password; ","")&amp;IF((TRIM(AH810)="")&lt;&gt;(TRIM(AI810)=""),"Income-tax login needs both user ID and password; ","")&amp;IF((TRIM(AJ810)="")&lt;&gt;(TRIM(AK810)=""),"Income-tax login needs both user ID and password; ","")&amp;IF((TRIM(AL810)="")&lt;&gt;(TRIM(AM810)=""),"TRACES login needs both user ID and password; ","")&amp;IF((TRIM(AN810)="")&lt;&gt;(TRIM(AO810)=""),"MCA login needs both user ID and password; ","")&amp;IF((TRIM(AP810)="")&lt;&gt;(TRIM(AQ810)=""),"E-way bill login needs both user ID and password; ","")</f>
        <v/>
      </c>
    </row>
    <row r="811">
      <c r="A811" s="32" t="n"/>
      <c r="B811" s="33" t="n"/>
      <c r="C811" s="33" t="n"/>
      <c r="D811" s="33" t="n"/>
      <c r="E811" s="32" t="n"/>
      <c r="F811" s="32" t="n"/>
      <c r="G811" s="32" t="n"/>
      <c r="H811" s="32" t="n"/>
      <c r="I811" s="32" t="n"/>
      <c r="J811" s="34" t="n"/>
      <c r="K811" s="33" t="n"/>
      <c r="L811" s="32" t="n"/>
      <c r="M811" s="33" t="n"/>
      <c r="N811" s="33" t="n"/>
      <c r="O811" s="33" t="n"/>
      <c r="P811" s="32" t="n"/>
      <c r="Q811" s="33" t="n"/>
      <c r="R811" s="33" t="n"/>
      <c r="S811" s="33" t="n"/>
      <c r="T811" s="33" t="n"/>
      <c r="U811" s="32" t="n"/>
      <c r="V811" s="33" t="n"/>
      <c r="W811" s="33" t="n"/>
      <c r="X811" s="33" t="n"/>
      <c r="Y811" s="33" t="n"/>
      <c r="Z811" s="33" t="n"/>
      <c r="AA811" s="33" t="n"/>
      <c r="AB811" s="33" t="n"/>
      <c r="AC811" s="33" t="n"/>
      <c r="AD811" s="33" t="n"/>
      <c r="AE811" s="33" t="n"/>
      <c r="AF811" s="32" t="n"/>
      <c r="AG811" s="32" t="n"/>
      <c r="AH811" s="32" t="n"/>
      <c r="AI811" s="32" t="n"/>
      <c r="AJ811" s="32" t="n"/>
      <c r="AK811" s="32" t="n"/>
      <c r="AL811" s="32" t="n"/>
      <c r="AM811" s="32" t="n"/>
      <c r="AN811" s="32" t="n"/>
      <c r="AO811" s="32" t="n"/>
      <c r="AP811" s="32" t="n"/>
      <c r="AQ811" s="32" t="n"/>
      <c r="AR811" s="29">
        <f>IF(NOT(COUNTA(A811:AE811)&gt;0),"",IF(A811="","New client","Update"))</f>
        <v/>
      </c>
      <c r="AS811" s="29">
        <f>IF(BA811&lt;&gt;"",BA811,IF(LEN(AZ811)=15,MID(AZ811,3,10),""))</f>
        <v/>
      </c>
      <c r="AT811" s="29">
        <f>IF(BB811="","",BB811&amp;IF(D811="","  (guessed from PAN)",""))</f>
        <v/>
      </c>
      <c r="AU811" s="29">
        <f>IF(AZ811="","",IFERROR(INDEX(Lists!$L$2:$L$38,MATCH(LEFT(AZ811,2),Lists!$K$2:$K$38,0)),"Unknown code"))</f>
        <v/>
      </c>
      <c r="AV811" s="29">
        <f>IF(AZ811="","",IFERROR(IF(NOT(AND(LEN(AZ811)=15,ISNUMBER(MATCH(LEFT(AZ811,2),Lists!$K$2:$K$38,0)),SUMPRODUCT(--ISERROR(FIND(MID(MID(AZ811,3,10),{1,2,3,4,5,10},1),"ABCDEFGHIJKLMNOPQRSTUVWXYZ")))=0,SUMPRODUCT(--ISERROR(FIND(MID(MID(AZ811,3,10),{6,7,8,9},1),"0123456789")))=0,ISNUMBER(FIND(MID(AZ811,13,1),"123456789ABCDEFGHIJKLMNOPQRSTUVWXYZ")),MID(AZ811,14,1)="Z")),"Wrong format",IF(MID("0123456789ABCDEFGHIJKLMNOPQRSTUVWXYZ",MOD(36-MOD(SUMPRODUCT(INT((FIND(MID(AZ811,{1,2,3,4,5,6,7,8,9,10,11,12,13,14},1),"0123456789ABCDEFGHIJKLMNOPQRSTUVWXYZ")-1)*{1,2,1,2,1,2,1,2,1,2,1,2,1,2}/36)+MOD((FIND(MID(AZ811,{1,2,3,4,5,6,7,8,9,10,11,12,13,14},1),"0123456789ABCDEFGHIJKLMNOPQRSTUVWXYZ")-1)*{1,2,1,2,1,2,1,2,1,2,1,2,1,2},36)),36),36)+1,1)=MID(AZ811,15,1),"OK","Typo? check digit wrong")),"Wrong format"))</f>
        <v/>
      </c>
      <c r="AW811" s="29">
        <f>IF(BA811="","",IF(AND(LEN(BA811)=10,SUMPRODUCT(--ISERROR(FIND(MID(BA811,{1,2,3,4,5,10},1),"ABCDEFGHIJKLMNOPQRSTUVWXYZ")))=0,SUMPRODUCT(--ISERROR(FIND(MID(BA811,{6,7,8,9},1),"0123456789")))=0),"OK","Wrong format"))</f>
        <v/>
      </c>
      <c r="AX811" s="29">
        <f>IF(TRIM(H811)="","",IF(AND(LEN(UPPER(TRIM(H811)))=10,SUMPRODUCT(--ISERROR(FIND(MID(UPPER(TRIM(H811)),{1,2,3,4,10},1),"ABCDEFGHIJKLMNOPQRSTUVWXYZ")))=0,SUMPRODUCT(--ISERROR(FIND(MID(UPPER(TRIM(H811)),{5,6,7,8,9},1),"0123456789")))=0),"OK","Wrong format"))</f>
        <v/>
      </c>
      <c r="AY811" s="30">
        <f>IF(NOT(COUNTA(A811:AE811)&gt;0),"",IF(BE811&lt;&gt;"","✖ "&amp;LEFT(BE811,LEN(BE811)-2),IF(BD811&gt;0,"✔ Ready — client + "&amp;BD811&amp;" service(s)","✔ Ready — client only")))</f>
        <v/>
      </c>
      <c r="AZ811" s="31">
        <f>UPPER(SUBSTITUTE(TRIM(F811)," ",""))</f>
        <v/>
      </c>
      <c r="BA811" s="31">
        <f>UPPER(SUBSTITUTE(TRIM(E811)," ",""))</f>
        <v/>
      </c>
      <c r="BB811" s="31">
        <f>IF(D811&lt;&gt;"",D811,IFERROR(VLOOKUP(MID(AS811,4,1),Lists!$E$2:$F$8,2,FALSE),""))</f>
        <v/>
      </c>
      <c r="BC811" s="31">
        <f>IFERROR(VLOOKUP(BB811,Lists!$A$2:$C$12,3,FALSE),"")</f>
        <v/>
      </c>
      <c r="BD811" s="31">
        <f>COUNTIF(W811:AC811,"Yes")</f>
        <v/>
      </c>
      <c r="BE811" s="31">
        <f>IF(TRIM(B811)="","Legal name missing; ","")&amp;IF(AND(AV811&lt;&gt;"",AV811&lt;&gt;"OK"),"GSTIN: "&amp;AV811&amp;"; ","")&amp;IF(AND(AW811&lt;&gt;"",AW811&lt;&gt;"OK"),"PAN wrong format; ","")&amp;IF(AND(BA811&lt;&gt;"",LEN(AZ811)=15,MID(AZ811,3,10)&lt;&gt;BA811),"PAN does not match GSTIN; ","")&amp;IF(AND(AX811&lt;&gt;"",AX811&lt;&gt;"OK"),"TAN wrong format; ","")&amp;IF(AS811="","PAN missing; ","")&amp;IF(BB811="","Entity type missing; ","")&amp;IF(AND(AZ811&lt;&gt;"",COUNTIF($AZ$6:$AZ$1005,AZ811)&gt;1),"GSTIN repeated in this sheet; ","")&amp;IF(AND(AS811&lt;&gt;"",COUNTIF($AS$6:$AS$1005,AS811)&gt;1),"PAN repeated in this sheet (same client? put extra GSTINs in Other GSTINs); ","")&amp;IF(AND(BD811&gt;0,V811=""),"Financial year missing; ","")&amp;IF(AND(BD811=0,V811&lt;&gt;""),"Financial year given but no service is Yes; ","")&amp;IF(AND(W811="Yes",AZ811=""),"GST needs a GSTIN; ","")&amp;IF(AND(W811="Yes",X811=""),"GST return frequency missing; ","")&amp;IF(AND(Y811="Yes",TRIM(H811)=""),"TDS needs a TAN; ","")&amp;IF(AND(AA811="Yes",BC811&lt;&gt;"",BC811&lt;&gt;"company",BC811&lt;&gt;"llp"),"ROC is only for a company / LLP; ","")&amp;IF(AND(AA811="Yes",OR(BC811="company",BC811="llp"),TRIM(I811)=""),"ROC needs the CIN / LLPIN; ","")&amp;IF((TRIM(AF811)="")&lt;&gt;(TRIM(AG811)=""),"GST login needs both user ID and password; ","")&amp;IF((TRIM(AH811)="")&lt;&gt;(TRIM(AI811)=""),"Income-tax login needs both user ID and password; ","")&amp;IF((TRIM(AJ811)="")&lt;&gt;(TRIM(AK811)=""),"Income-tax login needs both user ID and password; ","")&amp;IF((TRIM(AL811)="")&lt;&gt;(TRIM(AM811)=""),"TRACES login needs both user ID and password; ","")&amp;IF((TRIM(AN811)="")&lt;&gt;(TRIM(AO811)=""),"MCA login needs both user ID and password; ","")&amp;IF((TRIM(AP811)="")&lt;&gt;(TRIM(AQ811)=""),"E-way bill login needs both user ID and password; ","")</f>
        <v/>
      </c>
    </row>
    <row r="812">
      <c r="A812" s="32" t="n"/>
      <c r="B812" s="33" t="n"/>
      <c r="C812" s="33" t="n"/>
      <c r="D812" s="33" t="n"/>
      <c r="E812" s="32" t="n"/>
      <c r="F812" s="32" t="n"/>
      <c r="G812" s="32" t="n"/>
      <c r="H812" s="32" t="n"/>
      <c r="I812" s="32" t="n"/>
      <c r="J812" s="34" t="n"/>
      <c r="K812" s="33" t="n"/>
      <c r="L812" s="32" t="n"/>
      <c r="M812" s="33" t="n"/>
      <c r="N812" s="33" t="n"/>
      <c r="O812" s="33" t="n"/>
      <c r="P812" s="32" t="n"/>
      <c r="Q812" s="33" t="n"/>
      <c r="R812" s="33" t="n"/>
      <c r="S812" s="33" t="n"/>
      <c r="T812" s="33" t="n"/>
      <c r="U812" s="32" t="n"/>
      <c r="V812" s="33" t="n"/>
      <c r="W812" s="33" t="n"/>
      <c r="X812" s="33" t="n"/>
      <c r="Y812" s="33" t="n"/>
      <c r="Z812" s="33" t="n"/>
      <c r="AA812" s="33" t="n"/>
      <c r="AB812" s="33" t="n"/>
      <c r="AC812" s="33" t="n"/>
      <c r="AD812" s="33" t="n"/>
      <c r="AE812" s="33" t="n"/>
      <c r="AF812" s="32" t="n"/>
      <c r="AG812" s="32" t="n"/>
      <c r="AH812" s="32" t="n"/>
      <c r="AI812" s="32" t="n"/>
      <c r="AJ812" s="32" t="n"/>
      <c r="AK812" s="32" t="n"/>
      <c r="AL812" s="32" t="n"/>
      <c r="AM812" s="32" t="n"/>
      <c r="AN812" s="32" t="n"/>
      <c r="AO812" s="32" t="n"/>
      <c r="AP812" s="32" t="n"/>
      <c r="AQ812" s="32" t="n"/>
      <c r="AR812" s="29">
        <f>IF(NOT(COUNTA(A812:AE812)&gt;0),"",IF(A812="","New client","Update"))</f>
        <v/>
      </c>
      <c r="AS812" s="29">
        <f>IF(BA812&lt;&gt;"",BA812,IF(LEN(AZ812)=15,MID(AZ812,3,10),""))</f>
        <v/>
      </c>
      <c r="AT812" s="29">
        <f>IF(BB812="","",BB812&amp;IF(D812="","  (guessed from PAN)",""))</f>
        <v/>
      </c>
      <c r="AU812" s="29">
        <f>IF(AZ812="","",IFERROR(INDEX(Lists!$L$2:$L$38,MATCH(LEFT(AZ812,2),Lists!$K$2:$K$38,0)),"Unknown code"))</f>
        <v/>
      </c>
      <c r="AV812" s="29">
        <f>IF(AZ812="","",IFERROR(IF(NOT(AND(LEN(AZ812)=15,ISNUMBER(MATCH(LEFT(AZ812,2),Lists!$K$2:$K$38,0)),SUMPRODUCT(--ISERROR(FIND(MID(MID(AZ812,3,10),{1,2,3,4,5,10},1),"ABCDEFGHIJKLMNOPQRSTUVWXYZ")))=0,SUMPRODUCT(--ISERROR(FIND(MID(MID(AZ812,3,10),{6,7,8,9},1),"0123456789")))=0,ISNUMBER(FIND(MID(AZ812,13,1),"123456789ABCDEFGHIJKLMNOPQRSTUVWXYZ")),MID(AZ812,14,1)="Z")),"Wrong format",IF(MID("0123456789ABCDEFGHIJKLMNOPQRSTUVWXYZ",MOD(36-MOD(SUMPRODUCT(INT((FIND(MID(AZ812,{1,2,3,4,5,6,7,8,9,10,11,12,13,14},1),"0123456789ABCDEFGHIJKLMNOPQRSTUVWXYZ")-1)*{1,2,1,2,1,2,1,2,1,2,1,2,1,2}/36)+MOD((FIND(MID(AZ812,{1,2,3,4,5,6,7,8,9,10,11,12,13,14},1),"0123456789ABCDEFGHIJKLMNOPQRSTUVWXYZ")-1)*{1,2,1,2,1,2,1,2,1,2,1,2,1,2},36)),36),36)+1,1)=MID(AZ812,15,1),"OK","Typo? check digit wrong")),"Wrong format"))</f>
        <v/>
      </c>
      <c r="AW812" s="29">
        <f>IF(BA812="","",IF(AND(LEN(BA812)=10,SUMPRODUCT(--ISERROR(FIND(MID(BA812,{1,2,3,4,5,10},1),"ABCDEFGHIJKLMNOPQRSTUVWXYZ")))=0,SUMPRODUCT(--ISERROR(FIND(MID(BA812,{6,7,8,9},1),"0123456789")))=0),"OK","Wrong format"))</f>
        <v/>
      </c>
      <c r="AX812" s="29">
        <f>IF(TRIM(H812)="","",IF(AND(LEN(UPPER(TRIM(H812)))=10,SUMPRODUCT(--ISERROR(FIND(MID(UPPER(TRIM(H812)),{1,2,3,4,10},1),"ABCDEFGHIJKLMNOPQRSTUVWXYZ")))=0,SUMPRODUCT(--ISERROR(FIND(MID(UPPER(TRIM(H812)),{5,6,7,8,9},1),"0123456789")))=0),"OK","Wrong format"))</f>
        <v/>
      </c>
      <c r="AY812" s="30">
        <f>IF(NOT(COUNTA(A812:AE812)&gt;0),"",IF(BE812&lt;&gt;"","✖ "&amp;LEFT(BE812,LEN(BE812)-2),IF(BD812&gt;0,"✔ Ready — client + "&amp;BD812&amp;" service(s)","✔ Ready — client only")))</f>
        <v/>
      </c>
      <c r="AZ812" s="31">
        <f>UPPER(SUBSTITUTE(TRIM(F812)," ",""))</f>
        <v/>
      </c>
      <c r="BA812" s="31">
        <f>UPPER(SUBSTITUTE(TRIM(E812)," ",""))</f>
        <v/>
      </c>
      <c r="BB812" s="31">
        <f>IF(D812&lt;&gt;"",D812,IFERROR(VLOOKUP(MID(AS812,4,1),Lists!$E$2:$F$8,2,FALSE),""))</f>
        <v/>
      </c>
      <c r="BC812" s="31">
        <f>IFERROR(VLOOKUP(BB812,Lists!$A$2:$C$12,3,FALSE),"")</f>
        <v/>
      </c>
      <c r="BD812" s="31">
        <f>COUNTIF(W812:AC812,"Yes")</f>
        <v/>
      </c>
      <c r="BE812" s="31">
        <f>IF(TRIM(B812)="","Legal name missing; ","")&amp;IF(AND(AV812&lt;&gt;"",AV812&lt;&gt;"OK"),"GSTIN: "&amp;AV812&amp;"; ","")&amp;IF(AND(AW812&lt;&gt;"",AW812&lt;&gt;"OK"),"PAN wrong format; ","")&amp;IF(AND(BA812&lt;&gt;"",LEN(AZ812)=15,MID(AZ812,3,10)&lt;&gt;BA812),"PAN does not match GSTIN; ","")&amp;IF(AND(AX812&lt;&gt;"",AX812&lt;&gt;"OK"),"TAN wrong format; ","")&amp;IF(AS812="","PAN missing; ","")&amp;IF(BB812="","Entity type missing; ","")&amp;IF(AND(AZ812&lt;&gt;"",COUNTIF($AZ$6:$AZ$1005,AZ812)&gt;1),"GSTIN repeated in this sheet; ","")&amp;IF(AND(AS812&lt;&gt;"",COUNTIF($AS$6:$AS$1005,AS812)&gt;1),"PAN repeated in this sheet (same client? put extra GSTINs in Other GSTINs); ","")&amp;IF(AND(BD812&gt;0,V812=""),"Financial year missing; ","")&amp;IF(AND(BD812=0,V812&lt;&gt;""),"Financial year given but no service is Yes; ","")&amp;IF(AND(W812="Yes",AZ812=""),"GST needs a GSTIN; ","")&amp;IF(AND(W812="Yes",X812=""),"GST return frequency missing; ","")&amp;IF(AND(Y812="Yes",TRIM(H812)=""),"TDS needs a TAN; ","")&amp;IF(AND(AA812="Yes",BC812&lt;&gt;"",BC812&lt;&gt;"company",BC812&lt;&gt;"llp"),"ROC is only for a company / LLP; ","")&amp;IF(AND(AA812="Yes",OR(BC812="company",BC812="llp"),TRIM(I812)=""),"ROC needs the CIN / LLPIN; ","")&amp;IF((TRIM(AF812)="")&lt;&gt;(TRIM(AG812)=""),"GST login needs both user ID and password; ","")&amp;IF((TRIM(AH812)="")&lt;&gt;(TRIM(AI812)=""),"Income-tax login needs both user ID and password; ","")&amp;IF((TRIM(AJ812)="")&lt;&gt;(TRIM(AK812)=""),"Income-tax login needs both user ID and password; ","")&amp;IF((TRIM(AL812)="")&lt;&gt;(TRIM(AM812)=""),"TRACES login needs both user ID and password; ","")&amp;IF((TRIM(AN812)="")&lt;&gt;(TRIM(AO812)=""),"MCA login needs both user ID and password; ","")&amp;IF((TRIM(AP812)="")&lt;&gt;(TRIM(AQ812)=""),"E-way bill login needs both user ID and password; ","")</f>
        <v/>
      </c>
    </row>
    <row r="813">
      <c r="A813" s="32" t="n"/>
      <c r="B813" s="33" t="n"/>
      <c r="C813" s="33" t="n"/>
      <c r="D813" s="33" t="n"/>
      <c r="E813" s="32" t="n"/>
      <c r="F813" s="32" t="n"/>
      <c r="G813" s="32" t="n"/>
      <c r="H813" s="32" t="n"/>
      <c r="I813" s="32" t="n"/>
      <c r="J813" s="34" t="n"/>
      <c r="K813" s="33" t="n"/>
      <c r="L813" s="32" t="n"/>
      <c r="M813" s="33" t="n"/>
      <c r="N813" s="33" t="n"/>
      <c r="O813" s="33" t="n"/>
      <c r="P813" s="32" t="n"/>
      <c r="Q813" s="33" t="n"/>
      <c r="R813" s="33" t="n"/>
      <c r="S813" s="33" t="n"/>
      <c r="T813" s="33" t="n"/>
      <c r="U813" s="32" t="n"/>
      <c r="V813" s="33" t="n"/>
      <c r="W813" s="33" t="n"/>
      <c r="X813" s="33" t="n"/>
      <c r="Y813" s="33" t="n"/>
      <c r="Z813" s="33" t="n"/>
      <c r="AA813" s="33" t="n"/>
      <c r="AB813" s="33" t="n"/>
      <c r="AC813" s="33" t="n"/>
      <c r="AD813" s="33" t="n"/>
      <c r="AE813" s="33" t="n"/>
      <c r="AF813" s="32" t="n"/>
      <c r="AG813" s="32" t="n"/>
      <c r="AH813" s="32" t="n"/>
      <c r="AI813" s="32" t="n"/>
      <c r="AJ813" s="32" t="n"/>
      <c r="AK813" s="32" t="n"/>
      <c r="AL813" s="32" t="n"/>
      <c r="AM813" s="32" t="n"/>
      <c r="AN813" s="32" t="n"/>
      <c r="AO813" s="32" t="n"/>
      <c r="AP813" s="32" t="n"/>
      <c r="AQ813" s="32" t="n"/>
      <c r="AR813" s="29">
        <f>IF(NOT(COUNTA(A813:AE813)&gt;0),"",IF(A813="","New client","Update"))</f>
        <v/>
      </c>
      <c r="AS813" s="29">
        <f>IF(BA813&lt;&gt;"",BA813,IF(LEN(AZ813)=15,MID(AZ813,3,10),""))</f>
        <v/>
      </c>
      <c r="AT813" s="29">
        <f>IF(BB813="","",BB813&amp;IF(D813="","  (guessed from PAN)",""))</f>
        <v/>
      </c>
      <c r="AU813" s="29">
        <f>IF(AZ813="","",IFERROR(INDEX(Lists!$L$2:$L$38,MATCH(LEFT(AZ813,2),Lists!$K$2:$K$38,0)),"Unknown code"))</f>
        <v/>
      </c>
      <c r="AV813" s="29">
        <f>IF(AZ813="","",IFERROR(IF(NOT(AND(LEN(AZ813)=15,ISNUMBER(MATCH(LEFT(AZ813,2),Lists!$K$2:$K$38,0)),SUMPRODUCT(--ISERROR(FIND(MID(MID(AZ813,3,10),{1,2,3,4,5,10},1),"ABCDEFGHIJKLMNOPQRSTUVWXYZ")))=0,SUMPRODUCT(--ISERROR(FIND(MID(MID(AZ813,3,10),{6,7,8,9},1),"0123456789")))=0,ISNUMBER(FIND(MID(AZ813,13,1),"123456789ABCDEFGHIJKLMNOPQRSTUVWXYZ")),MID(AZ813,14,1)="Z")),"Wrong format",IF(MID("0123456789ABCDEFGHIJKLMNOPQRSTUVWXYZ",MOD(36-MOD(SUMPRODUCT(INT((FIND(MID(AZ813,{1,2,3,4,5,6,7,8,9,10,11,12,13,14},1),"0123456789ABCDEFGHIJKLMNOPQRSTUVWXYZ")-1)*{1,2,1,2,1,2,1,2,1,2,1,2,1,2}/36)+MOD((FIND(MID(AZ813,{1,2,3,4,5,6,7,8,9,10,11,12,13,14},1),"0123456789ABCDEFGHIJKLMNOPQRSTUVWXYZ")-1)*{1,2,1,2,1,2,1,2,1,2,1,2,1,2},36)),36),36)+1,1)=MID(AZ813,15,1),"OK","Typo? check digit wrong")),"Wrong format"))</f>
        <v/>
      </c>
      <c r="AW813" s="29">
        <f>IF(BA813="","",IF(AND(LEN(BA813)=10,SUMPRODUCT(--ISERROR(FIND(MID(BA813,{1,2,3,4,5,10},1),"ABCDEFGHIJKLMNOPQRSTUVWXYZ")))=0,SUMPRODUCT(--ISERROR(FIND(MID(BA813,{6,7,8,9},1),"0123456789")))=0),"OK","Wrong format"))</f>
        <v/>
      </c>
      <c r="AX813" s="29">
        <f>IF(TRIM(H813)="","",IF(AND(LEN(UPPER(TRIM(H813)))=10,SUMPRODUCT(--ISERROR(FIND(MID(UPPER(TRIM(H813)),{1,2,3,4,10},1),"ABCDEFGHIJKLMNOPQRSTUVWXYZ")))=0,SUMPRODUCT(--ISERROR(FIND(MID(UPPER(TRIM(H813)),{5,6,7,8,9},1),"0123456789")))=0),"OK","Wrong format"))</f>
        <v/>
      </c>
      <c r="AY813" s="30">
        <f>IF(NOT(COUNTA(A813:AE813)&gt;0),"",IF(BE813&lt;&gt;"","✖ "&amp;LEFT(BE813,LEN(BE813)-2),IF(BD813&gt;0,"✔ Ready — client + "&amp;BD813&amp;" service(s)","✔ Ready — client only")))</f>
        <v/>
      </c>
      <c r="AZ813" s="31">
        <f>UPPER(SUBSTITUTE(TRIM(F813)," ",""))</f>
        <v/>
      </c>
      <c r="BA813" s="31">
        <f>UPPER(SUBSTITUTE(TRIM(E813)," ",""))</f>
        <v/>
      </c>
      <c r="BB813" s="31">
        <f>IF(D813&lt;&gt;"",D813,IFERROR(VLOOKUP(MID(AS813,4,1),Lists!$E$2:$F$8,2,FALSE),""))</f>
        <v/>
      </c>
      <c r="BC813" s="31">
        <f>IFERROR(VLOOKUP(BB813,Lists!$A$2:$C$12,3,FALSE),"")</f>
        <v/>
      </c>
      <c r="BD813" s="31">
        <f>COUNTIF(W813:AC813,"Yes")</f>
        <v/>
      </c>
      <c r="BE813" s="31">
        <f>IF(TRIM(B813)="","Legal name missing; ","")&amp;IF(AND(AV813&lt;&gt;"",AV813&lt;&gt;"OK"),"GSTIN: "&amp;AV813&amp;"; ","")&amp;IF(AND(AW813&lt;&gt;"",AW813&lt;&gt;"OK"),"PAN wrong format; ","")&amp;IF(AND(BA813&lt;&gt;"",LEN(AZ813)=15,MID(AZ813,3,10)&lt;&gt;BA813),"PAN does not match GSTIN; ","")&amp;IF(AND(AX813&lt;&gt;"",AX813&lt;&gt;"OK"),"TAN wrong format; ","")&amp;IF(AS813="","PAN missing; ","")&amp;IF(BB813="","Entity type missing; ","")&amp;IF(AND(AZ813&lt;&gt;"",COUNTIF($AZ$6:$AZ$1005,AZ813)&gt;1),"GSTIN repeated in this sheet; ","")&amp;IF(AND(AS813&lt;&gt;"",COUNTIF($AS$6:$AS$1005,AS813)&gt;1),"PAN repeated in this sheet (same client? put extra GSTINs in Other GSTINs); ","")&amp;IF(AND(BD813&gt;0,V813=""),"Financial year missing; ","")&amp;IF(AND(BD813=0,V813&lt;&gt;""),"Financial year given but no service is Yes; ","")&amp;IF(AND(W813="Yes",AZ813=""),"GST needs a GSTIN; ","")&amp;IF(AND(W813="Yes",X813=""),"GST return frequency missing; ","")&amp;IF(AND(Y813="Yes",TRIM(H813)=""),"TDS needs a TAN; ","")&amp;IF(AND(AA813="Yes",BC813&lt;&gt;"",BC813&lt;&gt;"company",BC813&lt;&gt;"llp"),"ROC is only for a company / LLP; ","")&amp;IF(AND(AA813="Yes",OR(BC813="company",BC813="llp"),TRIM(I813)=""),"ROC needs the CIN / LLPIN; ","")&amp;IF((TRIM(AF813)="")&lt;&gt;(TRIM(AG813)=""),"GST login needs both user ID and password; ","")&amp;IF((TRIM(AH813)="")&lt;&gt;(TRIM(AI813)=""),"Income-tax login needs both user ID and password; ","")&amp;IF((TRIM(AJ813)="")&lt;&gt;(TRIM(AK813)=""),"Income-tax login needs both user ID and password; ","")&amp;IF((TRIM(AL813)="")&lt;&gt;(TRIM(AM813)=""),"TRACES login needs both user ID and password; ","")&amp;IF((TRIM(AN813)="")&lt;&gt;(TRIM(AO813)=""),"MCA login needs both user ID and password; ","")&amp;IF((TRIM(AP813)="")&lt;&gt;(TRIM(AQ813)=""),"E-way bill login needs both user ID and password; ","")</f>
        <v/>
      </c>
    </row>
    <row r="814">
      <c r="A814" s="32" t="n"/>
      <c r="B814" s="33" t="n"/>
      <c r="C814" s="33" t="n"/>
      <c r="D814" s="33" t="n"/>
      <c r="E814" s="32" t="n"/>
      <c r="F814" s="32" t="n"/>
      <c r="G814" s="32" t="n"/>
      <c r="H814" s="32" t="n"/>
      <c r="I814" s="32" t="n"/>
      <c r="J814" s="34" t="n"/>
      <c r="K814" s="33" t="n"/>
      <c r="L814" s="32" t="n"/>
      <c r="M814" s="33" t="n"/>
      <c r="N814" s="33" t="n"/>
      <c r="O814" s="33" t="n"/>
      <c r="P814" s="32" t="n"/>
      <c r="Q814" s="33" t="n"/>
      <c r="R814" s="33" t="n"/>
      <c r="S814" s="33" t="n"/>
      <c r="T814" s="33" t="n"/>
      <c r="U814" s="32" t="n"/>
      <c r="V814" s="33" t="n"/>
      <c r="W814" s="33" t="n"/>
      <c r="X814" s="33" t="n"/>
      <c r="Y814" s="33" t="n"/>
      <c r="Z814" s="33" t="n"/>
      <c r="AA814" s="33" t="n"/>
      <c r="AB814" s="33" t="n"/>
      <c r="AC814" s="33" t="n"/>
      <c r="AD814" s="33" t="n"/>
      <c r="AE814" s="33" t="n"/>
      <c r="AF814" s="32" t="n"/>
      <c r="AG814" s="32" t="n"/>
      <c r="AH814" s="32" t="n"/>
      <c r="AI814" s="32" t="n"/>
      <c r="AJ814" s="32" t="n"/>
      <c r="AK814" s="32" t="n"/>
      <c r="AL814" s="32" t="n"/>
      <c r="AM814" s="32" t="n"/>
      <c r="AN814" s="32" t="n"/>
      <c r="AO814" s="32" t="n"/>
      <c r="AP814" s="32" t="n"/>
      <c r="AQ814" s="32" t="n"/>
      <c r="AR814" s="29">
        <f>IF(NOT(COUNTA(A814:AE814)&gt;0),"",IF(A814="","New client","Update"))</f>
        <v/>
      </c>
      <c r="AS814" s="29">
        <f>IF(BA814&lt;&gt;"",BA814,IF(LEN(AZ814)=15,MID(AZ814,3,10),""))</f>
        <v/>
      </c>
      <c r="AT814" s="29">
        <f>IF(BB814="","",BB814&amp;IF(D814="","  (guessed from PAN)",""))</f>
        <v/>
      </c>
      <c r="AU814" s="29">
        <f>IF(AZ814="","",IFERROR(INDEX(Lists!$L$2:$L$38,MATCH(LEFT(AZ814,2),Lists!$K$2:$K$38,0)),"Unknown code"))</f>
        <v/>
      </c>
      <c r="AV814" s="29">
        <f>IF(AZ814="","",IFERROR(IF(NOT(AND(LEN(AZ814)=15,ISNUMBER(MATCH(LEFT(AZ814,2),Lists!$K$2:$K$38,0)),SUMPRODUCT(--ISERROR(FIND(MID(MID(AZ814,3,10),{1,2,3,4,5,10},1),"ABCDEFGHIJKLMNOPQRSTUVWXYZ")))=0,SUMPRODUCT(--ISERROR(FIND(MID(MID(AZ814,3,10),{6,7,8,9},1),"0123456789")))=0,ISNUMBER(FIND(MID(AZ814,13,1),"123456789ABCDEFGHIJKLMNOPQRSTUVWXYZ")),MID(AZ814,14,1)="Z")),"Wrong format",IF(MID("0123456789ABCDEFGHIJKLMNOPQRSTUVWXYZ",MOD(36-MOD(SUMPRODUCT(INT((FIND(MID(AZ814,{1,2,3,4,5,6,7,8,9,10,11,12,13,14},1),"0123456789ABCDEFGHIJKLMNOPQRSTUVWXYZ")-1)*{1,2,1,2,1,2,1,2,1,2,1,2,1,2}/36)+MOD((FIND(MID(AZ814,{1,2,3,4,5,6,7,8,9,10,11,12,13,14},1),"0123456789ABCDEFGHIJKLMNOPQRSTUVWXYZ")-1)*{1,2,1,2,1,2,1,2,1,2,1,2,1,2},36)),36),36)+1,1)=MID(AZ814,15,1),"OK","Typo? check digit wrong")),"Wrong format"))</f>
        <v/>
      </c>
      <c r="AW814" s="29">
        <f>IF(BA814="","",IF(AND(LEN(BA814)=10,SUMPRODUCT(--ISERROR(FIND(MID(BA814,{1,2,3,4,5,10},1),"ABCDEFGHIJKLMNOPQRSTUVWXYZ")))=0,SUMPRODUCT(--ISERROR(FIND(MID(BA814,{6,7,8,9},1),"0123456789")))=0),"OK","Wrong format"))</f>
        <v/>
      </c>
      <c r="AX814" s="29">
        <f>IF(TRIM(H814)="","",IF(AND(LEN(UPPER(TRIM(H814)))=10,SUMPRODUCT(--ISERROR(FIND(MID(UPPER(TRIM(H814)),{1,2,3,4,10},1),"ABCDEFGHIJKLMNOPQRSTUVWXYZ")))=0,SUMPRODUCT(--ISERROR(FIND(MID(UPPER(TRIM(H814)),{5,6,7,8,9},1),"0123456789")))=0),"OK","Wrong format"))</f>
        <v/>
      </c>
      <c r="AY814" s="30">
        <f>IF(NOT(COUNTA(A814:AE814)&gt;0),"",IF(BE814&lt;&gt;"","✖ "&amp;LEFT(BE814,LEN(BE814)-2),IF(BD814&gt;0,"✔ Ready — client + "&amp;BD814&amp;" service(s)","✔ Ready — client only")))</f>
        <v/>
      </c>
      <c r="AZ814" s="31">
        <f>UPPER(SUBSTITUTE(TRIM(F814)," ",""))</f>
        <v/>
      </c>
      <c r="BA814" s="31">
        <f>UPPER(SUBSTITUTE(TRIM(E814)," ",""))</f>
        <v/>
      </c>
      <c r="BB814" s="31">
        <f>IF(D814&lt;&gt;"",D814,IFERROR(VLOOKUP(MID(AS814,4,1),Lists!$E$2:$F$8,2,FALSE),""))</f>
        <v/>
      </c>
      <c r="BC814" s="31">
        <f>IFERROR(VLOOKUP(BB814,Lists!$A$2:$C$12,3,FALSE),"")</f>
        <v/>
      </c>
      <c r="BD814" s="31">
        <f>COUNTIF(W814:AC814,"Yes")</f>
        <v/>
      </c>
      <c r="BE814" s="31">
        <f>IF(TRIM(B814)="","Legal name missing; ","")&amp;IF(AND(AV814&lt;&gt;"",AV814&lt;&gt;"OK"),"GSTIN: "&amp;AV814&amp;"; ","")&amp;IF(AND(AW814&lt;&gt;"",AW814&lt;&gt;"OK"),"PAN wrong format; ","")&amp;IF(AND(BA814&lt;&gt;"",LEN(AZ814)=15,MID(AZ814,3,10)&lt;&gt;BA814),"PAN does not match GSTIN; ","")&amp;IF(AND(AX814&lt;&gt;"",AX814&lt;&gt;"OK"),"TAN wrong format; ","")&amp;IF(AS814="","PAN missing; ","")&amp;IF(BB814="","Entity type missing; ","")&amp;IF(AND(AZ814&lt;&gt;"",COUNTIF($AZ$6:$AZ$1005,AZ814)&gt;1),"GSTIN repeated in this sheet; ","")&amp;IF(AND(AS814&lt;&gt;"",COUNTIF($AS$6:$AS$1005,AS814)&gt;1),"PAN repeated in this sheet (same client? put extra GSTINs in Other GSTINs); ","")&amp;IF(AND(BD814&gt;0,V814=""),"Financial year missing; ","")&amp;IF(AND(BD814=0,V814&lt;&gt;""),"Financial year given but no service is Yes; ","")&amp;IF(AND(W814="Yes",AZ814=""),"GST needs a GSTIN; ","")&amp;IF(AND(W814="Yes",X814=""),"GST return frequency missing; ","")&amp;IF(AND(Y814="Yes",TRIM(H814)=""),"TDS needs a TAN; ","")&amp;IF(AND(AA814="Yes",BC814&lt;&gt;"",BC814&lt;&gt;"company",BC814&lt;&gt;"llp"),"ROC is only for a company / LLP; ","")&amp;IF(AND(AA814="Yes",OR(BC814="company",BC814="llp"),TRIM(I814)=""),"ROC needs the CIN / LLPIN; ","")&amp;IF((TRIM(AF814)="")&lt;&gt;(TRIM(AG814)=""),"GST login needs both user ID and password; ","")&amp;IF((TRIM(AH814)="")&lt;&gt;(TRIM(AI814)=""),"Income-tax login needs both user ID and password; ","")&amp;IF((TRIM(AJ814)="")&lt;&gt;(TRIM(AK814)=""),"Income-tax login needs both user ID and password; ","")&amp;IF((TRIM(AL814)="")&lt;&gt;(TRIM(AM814)=""),"TRACES login needs both user ID and password; ","")&amp;IF((TRIM(AN814)="")&lt;&gt;(TRIM(AO814)=""),"MCA login needs both user ID and password; ","")&amp;IF((TRIM(AP814)="")&lt;&gt;(TRIM(AQ814)=""),"E-way bill login needs both user ID and password; ","")</f>
        <v/>
      </c>
    </row>
    <row r="815">
      <c r="A815" s="32" t="n"/>
      <c r="B815" s="33" t="n"/>
      <c r="C815" s="33" t="n"/>
      <c r="D815" s="33" t="n"/>
      <c r="E815" s="32" t="n"/>
      <c r="F815" s="32" t="n"/>
      <c r="G815" s="32" t="n"/>
      <c r="H815" s="32" t="n"/>
      <c r="I815" s="32" t="n"/>
      <c r="J815" s="34" t="n"/>
      <c r="K815" s="33" t="n"/>
      <c r="L815" s="32" t="n"/>
      <c r="M815" s="33" t="n"/>
      <c r="N815" s="33" t="n"/>
      <c r="O815" s="33" t="n"/>
      <c r="P815" s="32" t="n"/>
      <c r="Q815" s="33" t="n"/>
      <c r="R815" s="33" t="n"/>
      <c r="S815" s="33" t="n"/>
      <c r="T815" s="33" t="n"/>
      <c r="U815" s="32" t="n"/>
      <c r="V815" s="33" t="n"/>
      <c r="W815" s="33" t="n"/>
      <c r="X815" s="33" t="n"/>
      <c r="Y815" s="33" t="n"/>
      <c r="Z815" s="33" t="n"/>
      <c r="AA815" s="33" t="n"/>
      <c r="AB815" s="33" t="n"/>
      <c r="AC815" s="33" t="n"/>
      <c r="AD815" s="33" t="n"/>
      <c r="AE815" s="33" t="n"/>
      <c r="AF815" s="32" t="n"/>
      <c r="AG815" s="32" t="n"/>
      <c r="AH815" s="32" t="n"/>
      <c r="AI815" s="32" t="n"/>
      <c r="AJ815" s="32" t="n"/>
      <c r="AK815" s="32" t="n"/>
      <c r="AL815" s="32" t="n"/>
      <c r="AM815" s="32" t="n"/>
      <c r="AN815" s="32" t="n"/>
      <c r="AO815" s="32" t="n"/>
      <c r="AP815" s="32" t="n"/>
      <c r="AQ815" s="32" t="n"/>
      <c r="AR815" s="29">
        <f>IF(NOT(COUNTA(A815:AE815)&gt;0),"",IF(A815="","New client","Update"))</f>
        <v/>
      </c>
      <c r="AS815" s="29">
        <f>IF(BA815&lt;&gt;"",BA815,IF(LEN(AZ815)=15,MID(AZ815,3,10),""))</f>
        <v/>
      </c>
      <c r="AT815" s="29">
        <f>IF(BB815="","",BB815&amp;IF(D815="","  (guessed from PAN)",""))</f>
        <v/>
      </c>
      <c r="AU815" s="29">
        <f>IF(AZ815="","",IFERROR(INDEX(Lists!$L$2:$L$38,MATCH(LEFT(AZ815,2),Lists!$K$2:$K$38,0)),"Unknown code"))</f>
        <v/>
      </c>
      <c r="AV815" s="29">
        <f>IF(AZ815="","",IFERROR(IF(NOT(AND(LEN(AZ815)=15,ISNUMBER(MATCH(LEFT(AZ815,2),Lists!$K$2:$K$38,0)),SUMPRODUCT(--ISERROR(FIND(MID(MID(AZ815,3,10),{1,2,3,4,5,10},1),"ABCDEFGHIJKLMNOPQRSTUVWXYZ")))=0,SUMPRODUCT(--ISERROR(FIND(MID(MID(AZ815,3,10),{6,7,8,9},1),"0123456789")))=0,ISNUMBER(FIND(MID(AZ815,13,1),"123456789ABCDEFGHIJKLMNOPQRSTUVWXYZ")),MID(AZ815,14,1)="Z")),"Wrong format",IF(MID("0123456789ABCDEFGHIJKLMNOPQRSTUVWXYZ",MOD(36-MOD(SUMPRODUCT(INT((FIND(MID(AZ815,{1,2,3,4,5,6,7,8,9,10,11,12,13,14},1),"0123456789ABCDEFGHIJKLMNOPQRSTUVWXYZ")-1)*{1,2,1,2,1,2,1,2,1,2,1,2,1,2}/36)+MOD((FIND(MID(AZ815,{1,2,3,4,5,6,7,8,9,10,11,12,13,14},1),"0123456789ABCDEFGHIJKLMNOPQRSTUVWXYZ")-1)*{1,2,1,2,1,2,1,2,1,2,1,2,1,2},36)),36),36)+1,1)=MID(AZ815,15,1),"OK","Typo? check digit wrong")),"Wrong format"))</f>
        <v/>
      </c>
      <c r="AW815" s="29">
        <f>IF(BA815="","",IF(AND(LEN(BA815)=10,SUMPRODUCT(--ISERROR(FIND(MID(BA815,{1,2,3,4,5,10},1),"ABCDEFGHIJKLMNOPQRSTUVWXYZ")))=0,SUMPRODUCT(--ISERROR(FIND(MID(BA815,{6,7,8,9},1),"0123456789")))=0),"OK","Wrong format"))</f>
        <v/>
      </c>
      <c r="AX815" s="29">
        <f>IF(TRIM(H815)="","",IF(AND(LEN(UPPER(TRIM(H815)))=10,SUMPRODUCT(--ISERROR(FIND(MID(UPPER(TRIM(H815)),{1,2,3,4,10},1),"ABCDEFGHIJKLMNOPQRSTUVWXYZ")))=0,SUMPRODUCT(--ISERROR(FIND(MID(UPPER(TRIM(H815)),{5,6,7,8,9},1),"0123456789")))=0),"OK","Wrong format"))</f>
        <v/>
      </c>
      <c r="AY815" s="30">
        <f>IF(NOT(COUNTA(A815:AE815)&gt;0),"",IF(BE815&lt;&gt;"","✖ "&amp;LEFT(BE815,LEN(BE815)-2),IF(BD815&gt;0,"✔ Ready — client + "&amp;BD815&amp;" service(s)","✔ Ready — client only")))</f>
        <v/>
      </c>
      <c r="AZ815" s="31">
        <f>UPPER(SUBSTITUTE(TRIM(F815)," ",""))</f>
        <v/>
      </c>
      <c r="BA815" s="31">
        <f>UPPER(SUBSTITUTE(TRIM(E815)," ",""))</f>
        <v/>
      </c>
      <c r="BB815" s="31">
        <f>IF(D815&lt;&gt;"",D815,IFERROR(VLOOKUP(MID(AS815,4,1),Lists!$E$2:$F$8,2,FALSE),""))</f>
        <v/>
      </c>
      <c r="BC815" s="31">
        <f>IFERROR(VLOOKUP(BB815,Lists!$A$2:$C$12,3,FALSE),"")</f>
        <v/>
      </c>
      <c r="BD815" s="31">
        <f>COUNTIF(W815:AC815,"Yes")</f>
        <v/>
      </c>
      <c r="BE815" s="31">
        <f>IF(TRIM(B815)="","Legal name missing; ","")&amp;IF(AND(AV815&lt;&gt;"",AV815&lt;&gt;"OK"),"GSTIN: "&amp;AV815&amp;"; ","")&amp;IF(AND(AW815&lt;&gt;"",AW815&lt;&gt;"OK"),"PAN wrong format; ","")&amp;IF(AND(BA815&lt;&gt;"",LEN(AZ815)=15,MID(AZ815,3,10)&lt;&gt;BA815),"PAN does not match GSTIN; ","")&amp;IF(AND(AX815&lt;&gt;"",AX815&lt;&gt;"OK"),"TAN wrong format; ","")&amp;IF(AS815="","PAN missing; ","")&amp;IF(BB815="","Entity type missing; ","")&amp;IF(AND(AZ815&lt;&gt;"",COUNTIF($AZ$6:$AZ$1005,AZ815)&gt;1),"GSTIN repeated in this sheet; ","")&amp;IF(AND(AS815&lt;&gt;"",COUNTIF($AS$6:$AS$1005,AS815)&gt;1),"PAN repeated in this sheet (same client? put extra GSTINs in Other GSTINs); ","")&amp;IF(AND(BD815&gt;0,V815=""),"Financial year missing; ","")&amp;IF(AND(BD815=0,V815&lt;&gt;""),"Financial year given but no service is Yes; ","")&amp;IF(AND(W815="Yes",AZ815=""),"GST needs a GSTIN; ","")&amp;IF(AND(W815="Yes",X815=""),"GST return frequency missing; ","")&amp;IF(AND(Y815="Yes",TRIM(H815)=""),"TDS needs a TAN; ","")&amp;IF(AND(AA815="Yes",BC815&lt;&gt;"",BC815&lt;&gt;"company",BC815&lt;&gt;"llp"),"ROC is only for a company / LLP; ","")&amp;IF(AND(AA815="Yes",OR(BC815="company",BC815="llp"),TRIM(I815)=""),"ROC needs the CIN / LLPIN; ","")&amp;IF((TRIM(AF815)="")&lt;&gt;(TRIM(AG815)=""),"GST login needs both user ID and password; ","")&amp;IF((TRIM(AH815)="")&lt;&gt;(TRIM(AI815)=""),"Income-tax login needs both user ID and password; ","")&amp;IF((TRIM(AJ815)="")&lt;&gt;(TRIM(AK815)=""),"Income-tax login needs both user ID and password; ","")&amp;IF((TRIM(AL815)="")&lt;&gt;(TRIM(AM815)=""),"TRACES login needs both user ID and password; ","")&amp;IF((TRIM(AN815)="")&lt;&gt;(TRIM(AO815)=""),"MCA login needs both user ID and password; ","")&amp;IF((TRIM(AP815)="")&lt;&gt;(TRIM(AQ815)=""),"E-way bill login needs both user ID and password; ","")</f>
        <v/>
      </c>
    </row>
    <row r="816">
      <c r="A816" s="32" t="n"/>
      <c r="B816" s="33" t="n"/>
      <c r="C816" s="33" t="n"/>
      <c r="D816" s="33" t="n"/>
      <c r="E816" s="32" t="n"/>
      <c r="F816" s="32" t="n"/>
      <c r="G816" s="32" t="n"/>
      <c r="H816" s="32" t="n"/>
      <c r="I816" s="32" t="n"/>
      <c r="J816" s="34" t="n"/>
      <c r="K816" s="33" t="n"/>
      <c r="L816" s="32" t="n"/>
      <c r="M816" s="33" t="n"/>
      <c r="N816" s="33" t="n"/>
      <c r="O816" s="33" t="n"/>
      <c r="P816" s="32" t="n"/>
      <c r="Q816" s="33" t="n"/>
      <c r="R816" s="33" t="n"/>
      <c r="S816" s="33" t="n"/>
      <c r="T816" s="33" t="n"/>
      <c r="U816" s="32" t="n"/>
      <c r="V816" s="33" t="n"/>
      <c r="W816" s="33" t="n"/>
      <c r="X816" s="33" t="n"/>
      <c r="Y816" s="33" t="n"/>
      <c r="Z816" s="33" t="n"/>
      <c r="AA816" s="33" t="n"/>
      <c r="AB816" s="33" t="n"/>
      <c r="AC816" s="33" t="n"/>
      <c r="AD816" s="33" t="n"/>
      <c r="AE816" s="33" t="n"/>
      <c r="AF816" s="32" t="n"/>
      <c r="AG816" s="32" t="n"/>
      <c r="AH816" s="32" t="n"/>
      <c r="AI816" s="32" t="n"/>
      <c r="AJ816" s="32" t="n"/>
      <c r="AK816" s="32" t="n"/>
      <c r="AL816" s="32" t="n"/>
      <c r="AM816" s="32" t="n"/>
      <c r="AN816" s="32" t="n"/>
      <c r="AO816" s="32" t="n"/>
      <c r="AP816" s="32" t="n"/>
      <c r="AQ816" s="32" t="n"/>
      <c r="AR816" s="29">
        <f>IF(NOT(COUNTA(A816:AE816)&gt;0),"",IF(A816="","New client","Update"))</f>
        <v/>
      </c>
      <c r="AS816" s="29">
        <f>IF(BA816&lt;&gt;"",BA816,IF(LEN(AZ816)=15,MID(AZ816,3,10),""))</f>
        <v/>
      </c>
      <c r="AT816" s="29">
        <f>IF(BB816="","",BB816&amp;IF(D816="","  (guessed from PAN)",""))</f>
        <v/>
      </c>
      <c r="AU816" s="29">
        <f>IF(AZ816="","",IFERROR(INDEX(Lists!$L$2:$L$38,MATCH(LEFT(AZ816,2),Lists!$K$2:$K$38,0)),"Unknown code"))</f>
        <v/>
      </c>
      <c r="AV816" s="29">
        <f>IF(AZ816="","",IFERROR(IF(NOT(AND(LEN(AZ816)=15,ISNUMBER(MATCH(LEFT(AZ816,2),Lists!$K$2:$K$38,0)),SUMPRODUCT(--ISERROR(FIND(MID(MID(AZ816,3,10),{1,2,3,4,5,10},1),"ABCDEFGHIJKLMNOPQRSTUVWXYZ")))=0,SUMPRODUCT(--ISERROR(FIND(MID(MID(AZ816,3,10),{6,7,8,9},1),"0123456789")))=0,ISNUMBER(FIND(MID(AZ816,13,1),"123456789ABCDEFGHIJKLMNOPQRSTUVWXYZ")),MID(AZ816,14,1)="Z")),"Wrong format",IF(MID("0123456789ABCDEFGHIJKLMNOPQRSTUVWXYZ",MOD(36-MOD(SUMPRODUCT(INT((FIND(MID(AZ816,{1,2,3,4,5,6,7,8,9,10,11,12,13,14},1),"0123456789ABCDEFGHIJKLMNOPQRSTUVWXYZ")-1)*{1,2,1,2,1,2,1,2,1,2,1,2,1,2}/36)+MOD((FIND(MID(AZ816,{1,2,3,4,5,6,7,8,9,10,11,12,13,14},1),"0123456789ABCDEFGHIJKLMNOPQRSTUVWXYZ")-1)*{1,2,1,2,1,2,1,2,1,2,1,2,1,2},36)),36),36)+1,1)=MID(AZ816,15,1),"OK","Typo? check digit wrong")),"Wrong format"))</f>
        <v/>
      </c>
      <c r="AW816" s="29">
        <f>IF(BA816="","",IF(AND(LEN(BA816)=10,SUMPRODUCT(--ISERROR(FIND(MID(BA816,{1,2,3,4,5,10},1),"ABCDEFGHIJKLMNOPQRSTUVWXYZ")))=0,SUMPRODUCT(--ISERROR(FIND(MID(BA816,{6,7,8,9},1),"0123456789")))=0),"OK","Wrong format"))</f>
        <v/>
      </c>
      <c r="AX816" s="29">
        <f>IF(TRIM(H816)="","",IF(AND(LEN(UPPER(TRIM(H816)))=10,SUMPRODUCT(--ISERROR(FIND(MID(UPPER(TRIM(H816)),{1,2,3,4,10},1),"ABCDEFGHIJKLMNOPQRSTUVWXYZ")))=0,SUMPRODUCT(--ISERROR(FIND(MID(UPPER(TRIM(H816)),{5,6,7,8,9},1),"0123456789")))=0),"OK","Wrong format"))</f>
        <v/>
      </c>
      <c r="AY816" s="30">
        <f>IF(NOT(COUNTA(A816:AE816)&gt;0),"",IF(BE816&lt;&gt;"","✖ "&amp;LEFT(BE816,LEN(BE816)-2),IF(BD816&gt;0,"✔ Ready — client + "&amp;BD816&amp;" service(s)","✔ Ready — client only")))</f>
        <v/>
      </c>
      <c r="AZ816" s="31">
        <f>UPPER(SUBSTITUTE(TRIM(F816)," ",""))</f>
        <v/>
      </c>
      <c r="BA816" s="31">
        <f>UPPER(SUBSTITUTE(TRIM(E816)," ",""))</f>
        <v/>
      </c>
      <c r="BB816" s="31">
        <f>IF(D816&lt;&gt;"",D816,IFERROR(VLOOKUP(MID(AS816,4,1),Lists!$E$2:$F$8,2,FALSE),""))</f>
        <v/>
      </c>
      <c r="BC816" s="31">
        <f>IFERROR(VLOOKUP(BB816,Lists!$A$2:$C$12,3,FALSE),"")</f>
        <v/>
      </c>
      <c r="BD816" s="31">
        <f>COUNTIF(W816:AC816,"Yes")</f>
        <v/>
      </c>
      <c r="BE816" s="31">
        <f>IF(TRIM(B816)="","Legal name missing; ","")&amp;IF(AND(AV816&lt;&gt;"",AV816&lt;&gt;"OK"),"GSTIN: "&amp;AV816&amp;"; ","")&amp;IF(AND(AW816&lt;&gt;"",AW816&lt;&gt;"OK"),"PAN wrong format; ","")&amp;IF(AND(BA816&lt;&gt;"",LEN(AZ816)=15,MID(AZ816,3,10)&lt;&gt;BA816),"PAN does not match GSTIN; ","")&amp;IF(AND(AX816&lt;&gt;"",AX816&lt;&gt;"OK"),"TAN wrong format; ","")&amp;IF(AS816="","PAN missing; ","")&amp;IF(BB816="","Entity type missing; ","")&amp;IF(AND(AZ816&lt;&gt;"",COUNTIF($AZ$6:$AZ$1005,AZ816)&gt;1),"GSTIN repeated in this sheet; ","")&amp;IF(AND(AS816&lt;&gt;"",COUNTIF($AS$6:$AS$1005,AS816)&gt;1),"PAN repeated in this sheet (same client? put extra GSTINs in Other GSTINs); ","")&amp;IF(AND(BD816&gt;0,V816=""),"Financial year missing; ","")&amp;IF(AND(BD816=0,V816&lt;&gt;""),"Financial year given but no service is Yes; ","")&amp;IF(AND(W816="Yes",AZ816=""),"GST needs a GSTIN; ","")&amp;IF(AND(W816="Yes",X816=""),"GST return frequency missing; ","")&amp;IF(AND(Y816="Yes",TRIM(H816)=""),"TDS needs a TAN; ","")&amp;IF(AND(AA816="Yes",BC816&lt;&gt;"",BC816&lt;&gt;"company",BC816&lt;&gt;"llp"),"ROC is only for a company / LLP; ","")&amp;IF(AND(AA816="Yes",OR(BC816="company",BC816="llp"),TRIM(I816)=""),"ROC needs the CIN / LLPIN; ","")&amp;IF((TRIM(AF816)="")&lt;&gt;(TRIM(AG816)=""),"GST login needs both user ID and password; ","")&amp;IF((TRIM(AH816)="")&lt;&gt;(TRIM(AI816)=""),"Income-tax login needs both user ID and password; ","")&amp;IF((TRIM(AJ816)="")&lt;&gt;(TRIM(AK816)=""),"Income-tax login needs both user ID and password; ","")&amp;IF((TRIM(AL816)="")&lt;&gt;(TRIM(AM816)=""),"TRACES login needs both user ID and password; ","")&amp;IF((TRIM(AN816)="")&lt;&gt;(TRIM(AO816)=""),"MCA login needs both user ID and password; ","")&amp;IF((TRIM(AP816)="")&lt;&gt;(TRIM(AQ816)=""),"E-way bill login needs both user ID and password; ","")</f>
        <v/>
      </c>
    </row>
    <row r="817">
      <c r="A817" s="32" t="n"/>
      <c r="B817" s="33" t="n"/>
      <c r="C817" s="33" t="n"/>
      <c r="D817" s="33" t="n"/>
      <c r="E817" s="32" t="n"/>
      <c r="F817" s="32" t="n"/>
      <c r="G817" s="32" t="n"/>
      <c r="H817" s="32" t="n"/>
      <c r="I817" s="32" t="n"/>
      <c r="J817" s="34" t="n"/>
      <c r="K817" s="33" t="n"/>
      <c r="L817" s="32" t="n"/>
      <c r="M817" s="33" t="n"/>
      <c r="N817" s="33" t="n"/>
      <c r="O817" s="33" t="n"/>
      <c r="P817" s="32" t="n"/>
      <c r="Q817" s="33" t="n"/>
      <c r="R817" s="33" t="n"/>
      <c r="S817" s="33" t="n"/>
      <c r="T817" s="33" t="n"/>
      <c r="U817" s="32" t="n"/>
      <c r="V817" s="33" t="n"/>
      <c r="W817" s="33" t="n"/>
      <c r="X817" s="33" t="n"/>
      <c r="Y817" s="33" t="n"/>
      <c r="Z817" s="33" t="n"/>
      <c r="AA817" s="33" t="n"/>
      <c r="AB817" s="33" t="n"/>
      <c r="AC817" s="33" t="n"/>
      <c r="AD817" s="33" t="n"/>
      <c r="AE817" s="33" t="n"/>
      <c r="AF817" s="32" t="n"/>
      <c r="AG817" s="32" t="n"/>
      <c r="AH817" s="32" t="n"/>
      <c r="AI817" s="32" t="n"/>
      <c r="AJ817" s="32" t="n"/>
      <c r="AK817" s="32" t="n"/>
      <c r="AL817" s="32" t="n"/>
      <c r="AM817" s="32" t="n"/>
      <c r="AN817" s="32" t="n"/>
      <c r="AO817" s="32" t="n"/>
      <c r="AP817" s="32" t="n"/>
      <c r="AQ817" s="32" t="n"/>
      <c r="AR817" s="29">
        <f>IF(NOT(COUNTA(A817:AE817)&gt;0),"",IF(A817="","New client","Update"))</f>
        <v/>
      </c>
      <c r="AS817" s="29">
        <f>IF(BA817&lt;&gt;"",BA817,IF(LEN(AZ817)=15,MID(AZ817,3,10),""))</f>
        <v/>
      </c>
      <c r="AT817" s="29">
        <f>IF(BB817="","",BB817&amp;IF(D817="","  (guessed from PAN)",""))</f>
        <v/>
      </c>
      <c r="AU817" s="29">
        <f>IF(AZ817="","",IFERROR(INDEX(Lists!$L$2:$L$38,MATCH(LEFT(AZ817,2),Lists!$K$2:$K$38,0)),"Unknown code"))</f>
        <v/>
      </c>
      <c r="AV817" s="29">
        <f>IF(AZ817="","",IFERROR(IF(NOT(AND(LEN(AZ817)=15,ISNUMBER(MATCH(LEFT(AZ817,2),Lists!$K$2:$K$38,0)),SUMPRODUCT(--ISERROR(FIND(MID(MID(AZ817,3,10),{1,2,3,4,5,10},1),"ABCDEFGHIJKLMNOPQRSTUVWXYZ")))=0,SUMPRODUCT(--ISERROR(FIND(MID(MID(AZ817,3,10),{6,7,8,9},1),"0123456789")))=0,ISNUMBER(FIND(MID(AZ817,13,1),"123456789ABCDEFGHIJKLMNOPQRSTUVWXYZ")),MID(AZ817,14,1)="Z")),"Wrong format",IF(MID("0123456789ABCDEFGHIJKLMNOPQRSTUVWXYZ",MOD(36-MOD(SUMPRODUCT(INT((FIND(MID(AZ817,{1,2,3,4,5,6,7,8,9,10,11,12,13,14},1),"0123456789ABCDEFGHIJKLMNOPQRSTUVWXYZ")-1)*{1,2,1,2,1,2,1,2,1,2,1,2,1,2}/36)+MOD((FIND(MID(AZ817,{1,2,3,4,5,6,7,8,9,10,11,12,13,14},1),"0123456789ABCDEFGHIJKLMNOPQRSTUVWXYZ")-1)*{1,2,1,2,1,2,1,2,1,2,1,2,1,2},36)),36),36)+1,1)=MID(AZ817,15,1),"OK","Typo? check digit wrong")),"Wrong format"))</f>
        <v/>
      </c>
      <c r="AW817" s="29">
        <f>IF(BA817="","",IF(AND(LEN(BA817)=10,SUMPRODUCT(--ISERROR(FIND(MID(BA817,{1,2,3,4,5,10},1),"ABCDEFGHIJKLMNOPQRSTUVWXYZ")))=0,SUMPRODUCT(--ISERROR(FIND(MID(BA817,{6,7,8,9},1),"0123456789")))=0),"OK","Wrong format"))</f>
        <v/>
      </c>
      <c r="AX817" s="29">
        <f>IF(TRIM(H817)="","",IF(AND(LEN(UPPER(TRIM(H817)))=10,SUMPRODUCT(--ISERROR(FIND(MID(UPPER(TRIM(H817)),{1,2,3,4,10},1),"ABCDEFGHIJKLMNOPQRSTUVWXYZ")))=0,SUMPRODUCT(--ISERROR(FIND(MID(UPPER(TRIM(H817)),{5,6,7,8,9},1),"0123456789")))=0),"OK","Wrong format"))</f>
        <v/>
      </c>
      <c r="AY817" s="30">
        <f>IF(NOT(COUNTA(A817:AE817)&gt;0),"",IF(BE817&lt;&gt;"","✖ "&amp;LEFT(BE817,LEN(BE817)-2),IF(BD817&gt;0,"✔ Ready — client + "&amp;BD817&amp;" service(s)","✔ Ready — client only")))</f>
        <v/>
      </c>
      <c r="AZ817" s="31">
        <f>UPPER(SUBSTITUTE(TRIM(F817)," ",""))</f>
        <v/>
      </c>
      <c r="BA817" s="31">
        <f>UPPER(SUBSTITUTE(TRIM(E817)," ",""))</f>
        <v/>
      </c>
      <c r="BB817" s="31">
        <f>IF(D817&lt;&gt;"",D817,IFERROR(VLOOKUP(MID(AS817,4,1),Lists!$E$2:$F$8,2,FALSE),""))</f>
        <v/>
      </c>
      <c r="BC817" s="31">
        <f>IFERROR(VLOOKUP(BB817,Lists!$A$2:$C$12,3,FALSE),"")</f>
        <v/>
      </c>
      <c r="BD817" s="31">
        <f>COUNTIF(W817:AC817,"Yes")</f>
        <v/>
      </c>
      <c r="BE817" s="31">
        <f>IF(TRIM(B817)="","Legal name missing; ","")&amp;IF(AND(AV817&lt;&gt;"",AV817&lt;&gt;"OK"),"GSTIN: "&amp;AV817&amp;"; ","")&amp;IF(AND(AW817&lt;&gt;"",AW817&lt;&gt;"OK"),"PAN wrong format; ","")&amp;IF(AND(BA817&lt;&gt;"",LEN(AZ817)=15,MID(AZ817,3,10)&lt;&gt;BA817),"PAN does not match GSTIN; ","")&amp;IF(AND(AX817&lt;&gt;"",AX817&lt;&gt;"OK"),"TAN wrong format; ","")&amp;IF(AS817="","PAN missing; ","")&amp;IF(BB817="","Entity type missing; ","")&amp;IF(AND(AZ817&lt;&gt;"",COUNTIF($AZ$6:$AZ$1005,AZ817)&gt;1),"GSTIN repeated in this sheet; ","")&amp;IF(AND(AS817&lt;&gt;"",COUNTIF($AS$6:$AS$1005,AS817)&gt;1),"PAN repeated in this sheet (same client? put extra GSTINs in Other GSTINs); ","")&amp;IF(AND(BD817&gt;0,V817=""),"Financial year missing; ","")&amp;IF(AND(BD817=0,V817&lt;&gt;""),"Financial year given but no service is Yes; ","")&amp;IF(AND(W817="Yes",AZ817=""),"GST needs a GSTIN; ","")&amp;IF(AND(W817="Yes",X817=""),"GST return frequency missing; ","")&amp;IF(AND(Y817="Yes",TRIM(H817)=""),"TDS needs a TAN; ","")&amp;IF(AND(AA817="Yes",BC817&lt;&gt;"",BC817&lt;&gt;"company",BC817&lt;&gt;"llp"),"ROC is only for a company / LLP; ","")&amp;IF(AND(AA817="Yes",OR(BC817="company",BC817="llp"),TRIM(I817)=""),"ROC needs the CIN / LLPIN; ","")&amp;IF((TRIM(AF817)="")&lt;&gt;(TRIM(AG817)=""),"GST login needs both user ID and password; ","")&amp;IF((TRIM(AH817)="")&lt;&gt;(TRIM(AI817)=""),"Income-tax login needs both user ID and password; ","")&amp;IF((TRIM(AJ817)="")&lt;&gt;(TRIM(AK817)=""),"Income-tax login needs both user ID and password; ","")&amp;IF((TRIM(AL817)="")&lt;&gt;(TRIM(AM817)=""),"TRACES login needs both user ID and password; ","")&amp;IF((TRIM(AN817)="")&lt;&gt;(TRIM(AO817)=""),"MCA login needs both user ID and password; ","")&amp;IF((TRIM(AP817)="")&lt;&gt;(TRIM(AQ817)=""),"E-way bill login needs both user ID and password; ","")</f>
        <v/>
      </c>
    </row>
    <row r="818">
      <c r="A818" s="32" t="n"/>
      <c r="B818" s="33" t="n"/>
      <c r="C818" s="33" t="n"/>
      <c r="D818" s="33" t="n"/>
      <c r="E818" s="32" t="n"/>
      <c r="F818" s="32" t="n"/>
      <c r="G818" s="32" t="n"/>
      <c r="H818" s="32" t="n"/>
      <c r="I818" s="32" t="n"/>
      <c r="J818" s="34" t="n"/>
      <c r="K818" s="33" t="n"/>
      <c r="L818" s="32" t="n"/>
      <c r="M818" s="33" t="n"/>
      <c r="N818" s="33" t="n"/>
      <c r="O818" s="33" t="n"/>
      <c r="P818" s="32" t="n"/>
      <c r="Q818" s="33" t="n"/>
      <c r="R818" s="33" t="n"/>
      <c r="S818" s="33" t="n"/>
      <c r="T818" s="33" t="n"/>
      <c r="U818" s="32" t="n"/>
      <c r="V818" s="33" t="n"/>
      <c r="W818" s="33" t="n"/>
      <c r="X818" s="33" t="n"/>
      <c r="Y818" s="33" t="n"/>
      <c r="Z818" s="33" t="n"/>
      <c r="AA818" s="33" t="n"/>
      <c r="AB818" s="33" t="n"/>
      <c r="AC818" s="33" t="n"/>
      <c r="AD818" s="33" t="n"/>
      <c r="AE818" s="33" t="n"/>
      <c r="AF818" s="32" t="n"/>
      <c r="AG818" s="32" t="n"/>
      <c r="AH818" s="32" t="n"/>
      <c r="AI818" s="32" t="n"/>
      <c r="AJ818" s="32" t="n"/>
      <c r="AK818" s="32" t="n"/>
      <c r="AL818" s="32" t="n"/>
      <c r="AM818" s="32" t="n"/>
      <c r="AN818" s="32" t="n"/>
      <c r="AO818" s="32" t="n"/>
      <c r="AP818" s="32" t="n"/>
      <c r="AQ818" s="32" t="n"/>
      <c r="AR818" s="29">
        <f>IF(NOT(COUNTA(A818:AE818)&gt;0),"",IF(A818="","New client","Update"))</f>
        <v/>
      </c>
      <c r="AS818" s="29">
        <f>IF(BA818&lt;&gt;"",BA818,IF(LEN(AZ818)=15,MID(AZ818,3,10),""))</f>
        <v/>
      </c>
      <c r="AT818" s="29">
        <f>IF(BB818="","",BB818&amp;IF(D818="","  (guessed from PAN)",""))</f>
        <v/>
      </c>
      <c r="AU818" s="29">
        <f>IF(AZ818="","",IFERROR(INDEX(Lists!$L$2:$L$38,MATCH(LEFT(AZ818,2),Lists!$K$2:$K$38,0)),"Unknown code"))</f>
        <v/>
      </c>
      <c r="AV818" s="29">
        <f>IF(AZ818="","",IFERROR(IF(NOT(AND(LEN(AZ818)=15,ISNUMBER(MATCH(LEFT(AZ818,2),Lists!$K$2:$K$38,0)),SUMPRODUCT(--ISERROR(FIND(MID(MID(AZ818,3,10),{1,2,3,4,5,10},1),"ABCDEFGHIJKLMNOPQRSTUVWXYZ")))=0,SUMPRODUCT(--ISERROR(FIND(MID(MID(AZ818,3,10),{6,7,8,9},1),"0123456789")))=0,ISNUMBER(FIND(MID(AZ818,13,1),"123456789ABCDEFGHIJKLMNOPQRSTUVWXYZ")),MID(AZ818,14,1)="Z")),"Wrong format",IF(MID("0123456789ABCDEFGHIJKLMNOPQRSTUVWXYZ",MOD(36-MOD(SUMPRODUCT(INT((FIND(MID(AZ818,{1,2,3,4,5,6,7,8,9,10,11,12,13,14},1),"0123456789ABCDEFGHIJKLMNOPQRSTUVWXYZ")-1)*{1,2,1,2,1,2,1,2,1,2,1,2,1,2}/36)+MOD((FIND(MID(AZ818,{1,2,3,4,5,6,7,8,9,10,11,12,13,14},1),"0123456789ABCDEFGHIJKLMNOPQRSTUVWXYZ")-1)*{1,2,1,2,1,2,1,2,1,2,1,2,1,2},36)),36),36)+1,1)=MID(AZ818,15,1),"OK","Typo? check digit wrong")),"Wrong format"))</f>
        <v/>
      </c>
      <c r="AW818" s="29">
        <f>IF(BA818="","",IF(AND(LEN(BA818)=10,SUMPRODUCT(--ISERROR(FIND(MID(BA818,{1,2,3,4,5,10},1),"ABCDEFGHIJKLMNOPQRSTUVWXYZ")))=0,SUMPRODUCT(--ISERROR(FIND(MID(BA818,{6,7,8,9},1),"0123456789")))=0),"OK","Wrong format"))</f>
        <v/>
      </c>
      <c r="AX818" s="29">
        <f>IF(TRIM(H818)="","",IF(AND(LEN(UPPER(TRIM(H818)))=10,SUMPRODUCT(--ISERROR(FIND(MID(UPPER(TRIM(H818)),{1,2,3,4,10},1),"ABCDEFGHIJKLMNOPQRSTUVWXYZ")))=0,SUMPRODUCT(--ISERROR(FIND(MID(UPPER(TRIM(H818)),{5,6,7,8,9},1),"0123456789")))=0),"OK","Wrong format"))</f>
        <v/>
      </c>
      <c r="AY818" s="30">
        <f>IF(NOT(COUNTA(A818:AE818)&gt;0),"",IF(BE818&lt;&gt;"","✖ "&amp;LEFT(BE818,LEN(BE818)-2),IF(BD818&gt;0,"✔ Ready — client + "&amp;BD818&amp;" service(s)","✔ Ready — client only")))</f>
        <v/>
      </c>
      <c r="AZ818" s="31">
        <f>UPPER(SUBSTITUTE(TRIM(F818)," ",""))</f>
        <v/>
      </c>
      <c r="BA818" s="31">
        <f>UPPER(SUBSTITUTE(TRIM(E818)," ",""))</f>
        <v/>
      </c>
      <c r="BB818" s="31">
        <f>IF(D818&lt;&gt;"",D818,IFERROR(VLOOKUP(MID(AS818,4,1),Lists!$E$2:$F$8,2,FALSE),""))</f>
        <v/>
      </c>
      <c r="BC818" s="31">
        <f>IFERROR(VLOOKUP(BB818,Lists!$A$2:$C$12,3,FALSE),"")</f>
        <v/>
      </c>
      <c r="BD818" s="31">
        <f>COUNTIF(W818:AC818,"Yes")</f>
        <v/>
      </c>
      <c r="BE818" s="31">
        <f>IF(TRIM(B818)="","Legal name missing; ","")&amp;IF(AND(AV818&lt;&gt;"",AV818&lt;&gt;"OK"),"GSTIN: "&amp;AV818&amp;"; ","")&amp;IF(AND(AW818&lt;&gt;"",AW818&lt;&gt;"OK"),"PAN wrong format; ","")&amp;IF(AND(BA818&lt;&gt;"",LEN(AZ818)=15,MID(AZ818,3,10)&lt;&gt;BA818),"PAN does not match GSTIN; ","")&amp;IF(AND(AX818&lt;&gt;"",AX818&lt;&gt;"OK"),"TAN wrong format; ","")&amp;IF(AS818="","PAN missing; ","")&amp;IF(BB818="","Entity type missing; ","")&amp;IF(AND(AZ818&lt;&gt;"",COUNTIF($AZ$6:$AZ$1005,AZ818)&gt;1),"GSTIN repeated in this sheet; ","")&amp;IF(AND(AS818&lt;&gt;"",COUNTIF($AS$6:$AS$1005,AS818)&gt;1),"PAN repeated in this sheet (same client? put extra GSTINs in Other GSTINs); ","")&amp;IF(AND(BD818&gt;0,V818=""),"Financial year missing; ","")&amp;IF(AND(BD818=0,V818&lt;&gt;""),"Financial year given but no service is Yes; ","")&amp;IF(AND(W818="Yes",AZ818=""),"GST needs a GSTIN; ","")&amp;IF(AND(W818="Yes",X818=""),"GST return frequency missing; ","")&amp;IF(AND(Y818="Yes",TRIM(H818)=""),"TDS needs a TAN; ","")&amp;IF(AND(AA818="Yes",BC818&lt;&gt;"",BC818&lt;&gt;"company",BC818&lt;&gt;"llp"),"ROC is only for a company / LLP; ","")&amp;IF(AND(AA818="Yes",OR(BC818="company",BC818="llp"),TRIM(I818)=""),"ROC needs the CIN / LLPIN; ","")&amp;IF((TRIM(AF818)="")&lt;&gt;(TRIM(AG818)=""),"GST login needs both user ID and password; ","")&amp;IF((TRIM(AH818)="")&lt;&gt;(TRIM(AI818)=""),"Income-tax login needs both user ID and password; ","")&amp;IF((TRIM(AJ818)="")&lt;&gt;(TRIM(AK818)=""),"Income-tax login needs both user ID and password; ","")&amp;IF((TRIM(AL818)="")&lt;&gt;(TRIM(AM818)=""),"TRACES login needs both user ID and password; ","")&amp;IF((TRIM(AN818)="")&lt;&gt;(TRIM(AO818)=""),"MCA login needs both user ID and password; ","")&amp;IF((TRIM(AP818)="")&lt;&gt;(TRIM(AQ818)=""),"E-way bill login needs both user ID and password; ","")</f>
        <v/>
      </c>
    </row>
    <row r="819">
      <c r="A819" s="32" t="n"/>
      <c r="B819" s="33" t="n"/>
      <c r="C819" s="33" t="n"/>
      <c r="D819" s="33" t="n"/>
      <c r="E819" s="32" t="n"/>
      <c r="F819" s="32" t="n"/>
      <c r="G819" s="32" t="n"/>
      <c r="H819" s="32" t="n"/>
      <c r="I819" s="32" t="n"/>
      <c r="J819" s="34" t="n"/>
      <c r="K819" s="33" t="n"/>
      <c r="L819" s="32" t="n"/>
      <c r="M819" s="33" t="n"/>
      <c r="N819" s="33" t="n"/>
      <c r="O819" s="33" t="n"/>
      <c r="P819" s="32" t="n"/>
      <c r="Q819" s="33" t="n"/>
      <c r="R819" s="33" t="n"/>
      <c r="S819" s="33" t="n"/>
      <c r="T819" s="33" t="n"/>
      <c r="U819" s="32" t="n"/>
      <c r="V819" s="33" t="n"/>
      <c r="W819" s="33" t="n"/>
      <c r="X819" s="33" t="n"/>
      <c r="Y819" s="33" t="n"/>
      <c r="Z819" s="33" t="n"/>
      <c r="AA819" s="33" t="n"/>
      <c r="AB819" s="33" t="n"/>
      <c r="AC819" s="33" t="n"/>
      <c r="AD819" s="33" t="n"/>
      <c r="AE819" s="33" t="n"/>
      <c r="AF819" s="32" t="n"/>
      <c r="AG819" s="32" t="n"/>
      <c r="AH819" s="32" t="n"/>
      <c r="AI819" s="32" t="n"/>
      <c r="AJ819" s="32" t="n"/>
      <c r="AK819" s="32" t="n"/>
      <c r="AL819" s="32" t="n"/>
      <c r="AM819" s="32" t="n"/>
      <c r="AN819" s="32" t="n"/>
      <c r="AO819" s="32" t="n"/>
      <c r="AP819" s="32" t="n"/>
      <c r="AQ819" s="32" t="n"/>
      <c r="AR819" s="29">
        <f>IF(NOT(COUNTA(A819:AE819)&gt;0),"",IF(A819="","New client","Update"))</f>
        <v/>
      </c>
      <c r="AS819" s="29">
        <f>IF(BA819&lt;&gt;"",BA819,IF(LEN(AZ819)=15,MID(AZ819,3,10),""))</f>
        <v/>
      </c>
      <c r="AT819" s="29">
        <f>IF(BB819="","",BB819&amp;IF(D819="","  (guessed from PAN)",""))</f>
        <v/>
      </c>
      <c r="AU819" s="29">
        <f>IF(AZ819="","",IFERROR(INDEX(Lists!$L$2:$L$38,MATCH(LEFT(AZ819,2),Lists!$K$2:$K$38,0)),"Unknown code"))</f>
        <v/>
      </c>
      <c r="AV819" s="29">
        <f>IF(AZ819="","",IFERROR(IF(NOT(AND(LEN(AZ819)=15,ISNUMBER(MATCH(LEFT(AZ819,2),Lists!$K$2:$K$38,0)),SUMPRODUCT(--ISERROR(FIND(MID(MID(AZ819,3,10),{1,2,3,4,5,10},1),"ABCDEFGHIJKLMNOPQRSTUVWXYZ")))=0,SUMPRODUCT(--ISERROR(FIND(MID(MID(AZ819,3,10),{6,7,8,9},1),"0123456789")))=0,ISNUMBER(FIND(MID(AZ819,13,1),"123456789ABCDEFGHIJKLMNOPQRSTUVWXYZ")),MID(AZ819,14,1)="Z")),"Wrong format",IF(MID("0123456789ABCDEFGHIJKLMNOPQRSTUVWXYZ",MOD(36-MOD(SUMPRODUCT(INT((FIND(MID(AZ819,{1,2,3,4,5,6,7,8,9,10,11,12,13,14},1),"0123456789ABCDEFGHIJKLMNOPQRSTUVWXYZ")-1)*{1,2,1,2,1,2,1,2,1,2,1,2,1,2}/36)+MOD((FIND(MID(AZ819,{1,2,3,4,5,6,7,8,9,10,11,12,13,14},1),"0123456789ABCDEFGHIJKLMNOPQRSTUVWXYZ")-1)*{1,2,1,2,1,2,1,2,1,2,1,2,1,2},36)),36),36)+1,1)=MID(AZ819,15,1),"OK","Typo? check digit wrong")),"Wrong format"))</f>
        <v/>
      </c>
      <c r="AW819" s="29">
        <f>IF(BA819="","",IF(AND(LEN(BA819)=10,SUMPRODUCT(--ISERROR(FIND(MID(BA819,{1,2,3,4,5,10},1),"ABCDEFGHIJKLMNOPQRSTUVWXYZ")))=0,SUMPRODUCT(--ISERROR(FIND(MID(BA819,{6,7,8,9},1),"0123456789")))=0),"OK","Wrong format"))</f>
        <v/>
      </c>
      <c r="AX819" s="29">
        <f>IF(TRIM(H819)="","",IF(AND(LEN(UPPER(TRIM(H819)))=10,SUMPRODUCT(--ISERROR(FIND(MID(UPPER(TRIM(H819)),{1,2,3,4,10},1),"ABCDEFGHIJKLMNOPQRSTUVWXYZ")))=0,SUMPRODUCT(--ISERROR(FIND(MID(UPPER(TRIM(H819)),{5,6,7,8,9},1),"0123456789")))=0),"OK","Wrong format"))</f>
        <v/>
      </c>
      <c r="AY819" s="30">
        <f>IF(NOT(COUNTA(A819:AE819)&gt;0),"",IF(BE819&lt;&gt;"","✖ "&amp;LEFT(BE819,LEN(BE819)-2),IF(BD819&gt;0,"✔ Ready — client + "&amp;BD819&amp;" service(s)","✔ Ready — client only")))</f>
        <v/>
      </c>
      <c r="AZ819" s="31">
        <f>UPPER(SUBSTITUTE(TRIM(F819)," ",""))</f>
        <v/>
      </c>
      <c r="BA819" s="31">
        <f>UPPER(SUBSTITUTE(TRIM(E819)," ",""))</f>
        <v/>
      </c>
      <c r="BB819" s="31">
        <f>IF(D819&lt;&gt;"",D819,IFERROR(VLOOKUP(MID(AS819,4,1),Lists!$E$2:$F$8,2,FALSE),""))</f>
        <v/>
      </c>
      <c r="BC819" s="31">
        <f>IFERROR(VLOOKUP(BB819,Lists!$A$2:$C$12,3,FALSE),"")</f>
        <v/>
      </c>
      <c r="BD819" s="31">
        <f>COUNTIF(W819:AC819,"Yes")</f>
        <v/>
      </c>
      <c r="BE819" s="31">
        <f>IF(TRIM(B819)="","Legal name missing; ","")&amp;IF(AND(AV819&lt;&gt;"",AV819&lt;&gt;"OK"),"GSTIN: "&amp;AV819&amp;"; ","")&amp;IF(AND(AW819&lt;&gt;"",AW819&lt;&gt;"OK"),"PAN wrong format; ","")&amp;IF(AND(BA819&lt;&gt;"",LEN(AZ819)=15,MID(AZ819,3,10)&lt;&gt;BA819),"PAN does not match GSTIN; ","")&amp;IF(AND(AX819&lt;&gt;"",AX819&lt;&gt;"OK"),"TAN wrong format; ","")&amp;IF(AS819="","PAN missing; ","")&amp;IF(BB819="","Entity type missing; ","")&amp;IF(AND(AZ819&lt;&gt;"",COUNTIF($AZ$6:$AZ$1005,AZ819)&gt;1),"GSTIN repeated in this sheet; ","")&amp;IF(AND(AS819&lt;&gt;"",COUNTIF($AS$6:$AS$1005,AS819)&gt;1),"PAN repeated in this sheet (same client? put extra GSTINs in Other GSTINs); ","")&amp;IF(AND(BD819&gt;0,V819=""),"Financial year missing; ","")&amp;IF(AND(BD819=0,V819&lt;&gt;""),"Financial year given but no service is Yes; ","")&amp;IF(AND(W819="Yes",AZ819=""),"GST needs a GSTIN; ","")&amp;IF(AND(W819="Yes",X819=""),"GST return frequency missing; ","")&amp;IF(AND(Y819="Yes",TRIM(H819)=""),"TDS needs a TAN; ","")&amp;IF(AND(AA819="Yes",BC819&lt;&gt;"",BC819&lt;&gt;"company",BC819&lt;&gt;"llp"),"ROC is only for a company / LLP; ","")&amp;IF(AND(AA819="Yes",OR(BC819="company",BC819="llp"),TRIM(I819)=""),"ROC needs the CIN / LLPIN; ","")&amp;IF((TRIM(AF819)="")&lt;&gt;(TRIM(AG819)=""),"GST login needs both user ID and password; ","")&amp;IF((TRIM(AH819)="")&lt;&gt;(TRIM(AI819)=""),"Income-tax login needs both user ID and password; ","")&amp;IF((TRIM(AJ819)="")&lt;&gt;(TRIM(AK819)=""),"Income-tax login needs both user ID and password; ","")&amp;IF((TRIM(AL819)="")&lt;&gt;(TRIM(AM819)=""),"TRACES login needs both user ID and password; ","")&amp;IF((TRIM(AN819)="")&lt;&gt;(TRIM(AO819)=""),"MCA login needs both user ID and password; ","")&amp;IF((TRIM(AP819)="")&lt;&gt;(TRIM(AQ819)=""),"E-way bill login needs both user ID and password; ","")</f>
        <v/>
      </c>
    </row>
    <row r="820">
      <c r="A820" s="32" t="n"/>
      <c r="B820" s="33" t="n"/>
      <c r="C820" s="33" t="n"/>
      <c r="D820" s="33" t="n"/>
      <c r="E820" s="32" t="n"/>
      <c r="F820" s="32" t="n"/>
      <c r="G820" s="32" t="n"/>
      <c r="H820" s="32" t="n"/>
      <c r="I820" s="32" t="n"/>
      <c r="J820" s="34" t="n"/>
      <c r="K820" s="33" t="n"/>
      <c r="L820" s="32" t="n"/>
      <c r="M820" s="33" t="n"/>
      <c r="N820" s="33" t="n"/>
      <c r="O820" s="33" t="n"/>
      <c r="P820" s="32" t="n"/>
      <c r="Q820" s="33" t="n"/>
      <c r="R820" s="33" t="n"/>
      <c r="S820" s="33" t="n"/>
      <c r="T820" s="33" t="n"/>
      <c r="U820" s="32" t="n"/>
      <c r="V820" s="33" t="n"/>
      <c r="W820" s="33" t="n"/>
      <c r="X820" s="33" t="n"/>
      <c r="Y820" s="33" t="n"/>
      <c r="Z820" s="33" t="n"/>
      <c r="AA820" s="33" t="n"/>
      <c r="AB820" s="33" t="n"/>
      <c r="AC820" s="33" t="n"/>
      <c r="AD820" s="33" t="n"/>
      <c r="AE820" s="33" t="n"/>
      <c r="AF820" s="32" t="n"/>
      <c r="AG820" s="32" t="n"/>
      <c r="AH820" s="32" t="n"/>
      <c r="AI820" s="32" t="n"/>
      <c r="AJ820" s="32" t="n"/>
      <c r="AK820" s="32" t="n"/>
      <c r="AL820" s="32" t="n"/>
      <c r="AM820" s="32" t="n"/>
      <c r="AN820" s="32" t="n"/>
      <c r="AO820" s="32" t="n"/>
      <c r="AP820" s="32" t="n"/>
      <c r="AQ820" s="32" t="n"/>
      <c r="AR820" s="29">
        <f>IF(NOT(COUNTA(A820:AE820)&gt;0),"",IF(A820="","New client","Update"))</f>
        <v/>
      </c>
      <c r="AS820" s="29">
        <f>IF(BA820&lt;&gt;"",BA820,IF(LEN(AZ820)=15,MID(AZ820,3,10),""))</f>
        <v/>
      </c>
      <c r="AT820" s="29">
        <f>IF(BB820="","",BB820&amp;IF(D820="","  (guessed from PAN)",""))</f>
        <v/>
      </c>
      <c r="AU820" s="29">
        <f>IF(AZ820="","",IFERROR(INDEX(Lists!$L$2:$L$38,MATCH(LEFT(AZ820,2),Lists!$K$2:$K$38,0)),"Unknown code"))</f>
        <v/>
      </c>
      <c r="AV820" s="29">
        <f>IF(AZ820="","",IFERROR(IF(NOT(AND(LEN(AZ820)=15,ISNUMBER(MATCH(LEFT(AZ820,2),Lists!$K$2:$K$38,0)),SUMPRODUCT(--ISERROR(FIND(MID(MID(AZ820,3,10),{1,2,3,4,5,10},1),"ABCDEFGHIJKLMNOPQRSTUVWXYZ")))=0,SUMPRODUCT(--ISERROR(FIND(MID(MID(AZ820,3,10),{6,7,8,9},1),"0123456789")))=0,ISNUMBER(FIND(MID(AZ820,13,1),"123456789ABCDEFGHIJKLMNOPQRSTUVWXYZ")),MID(AZ820,14,1)="Z")),"Wrong format",IF(MID("0123456789ABCDEFGHIJKLMNOPQRSTUVWXYZ",MOD(36-MOD(SUMPRODUCT(INT((FIND(MID(AZ820,{1,2,3,4,5,6,7,8,9,10,11,12,13,14},1),"0123456789ABCDEFGHIJKLMNOPQRSTUVWXYZ")-1)*{1,2,1,2,1,2,1,2,1,2,1,2,1,2}/36)+MOD((FIND(MID(AZ820,{1,2,3,4,5,6,7,8,9,10,11,12,13,14},1),"0123456789ABCDEFGHIJKLMNOPQRSTUVWXYZ")-1)*{1,2,1,2,1,2,1,2,1,2,1,2,1,2},36)),36),36)+1,1)=MID(AZ820,15,1),"OK","Typo? check digit wrong")),"Wrong format"))</f>
        <v/>
      </c>
      <c r="AW820" s="29">
        <f>IF(BA820="","",IF(AND(LEN(BA820)=10,SUMPRODUCT(--ISERROR(FIND(MID(BA820,{1,2,3,4,5,10},1),"ABCDEFGHIJKLMNOPQRSTUVWXYZ")))=0,SUMPRODUCT(--ISERROR(FIND(MID(BA820,{6,7,8,9},1),"0123456789")))=0),"OK","Wrong format"))</f>
        <v/>
      </c>
      <c r="AX820" s="29">
        <f>IF(TRIM(H820)="","",IF(AND(LEN(UPPER(TRIM(H820)))=10,SUMPRODUCT(--ISERROR(FIND(MID(UPPER(TRIM(H820)),{1,2,3,4,10},1),"ABCDEFGHIJKLMNOPQRSTUVWXYZ")))=0,SUMPRODUCT(--ISERROR(FIND(MID(UPPER(TRIM(H820)),{5,6,7,8,9},1),"0123456789")))=0),"OK","Wrong format"))</f>
        <v/>
      </c>
      <c r="AY820" s="30">
        <f>IF(NOT(COUNTA(A820:AE820)&gt;0),"",IF(BE820&lt;&gt;"","✖ "&amp;LEFT(BE820,LEN(BE820)-2),IF(BD820&gt;0,"✔ Ready — client + "&amp;BD820&amp;" service(s)","✔ Ready — client only")))</f>
        <v/>
      </c>
      <c r="AZ820" s="31">
        <f>UPPER(SUBSTITUTE(TRIM(F820)," ",""))</f>
        <v/>
      </c>
      <c r="BA820" s="31">
        <f>UPPER(SUBSTITUTE(TRIM(E820)," ",""))</f>
        <v/>
      </c>
      <c r="BB820" s="31">
        <f>IF(D820&lt;&gt;"",D820,IFERROR(VLOOKUP(MID(AS820,4,1),Lists!$E$2:$F$8,2,FALSE),""))</f>
        <v/>
      </c>
      <c r="BC820" s="31">
        <f>IFERROR(VLOOKUP(BB820,Lists!$A$2:$C$12,3,FALSE),"")</f>
        <v/>
      </c>
      <c r="BD820" s="31">
        <f>COUNTIF(W820:AC820,"Yes")</f>
        <v/>
      </c>
      <c r="BE820" s="31">
        <f>IF(TRIM(B820)="","Legal name missing; ","")&amp;IF(AND(AV820&lt;&gt;"",AV820&lt;&gt;"OK"),"GSTIN: "&amp;AV820&amp;"; ","")&amp;IF(AND(AW820&lt;&gt;"",AW820&lt;&gt;"OK"),"PAN wrong format; ","")&amp;IF(AND(BA820&lt;&gt;"",LEN(AZ820)=15,MID(AZ820,3,10)&lt;&gt;BA820),"PAN does not match GSTIN; ","")&amp;IF(AND(AX820&lt;&gt;"",AX820&lt;&gt;"OK"),"TAN wrong format; ","")&amp;IF(AS820="","PAN missing; ","")&amp;IF(BB820="","Entity type missing; ","")&amp;IF(AND(AZ820&lt;&gt;"",COUNTIF($AZ$6:$AZ$1005,AZ820)&gt;1),"GSTIN repeated in this sheet; ","")&amp;IF(AND(AS820&lt;&gt;"",COUNTIF($AS$6:$AS$1005,AS820)&gt;1),"PAN repeated in this sheet (same client? put extra GSTINs in Other GSTINs); ","")&amp;IF(AND(BD820&gt;0,V820=""),"Financial year missing; ","")&amp;IF(AND(BD820=0,V820&lt;&gt;""),"Financial year given but no service is Yes; ","")&amp;IF(AND(W820="Yes",AZ820=""),"GST needs a GSTIN; ","")&amp;IF(AND(W820="Yes",X820=""),"GST return frequency missing; ","")&amp;IF(AND(Y820="Yes",TRIM(H820)=""),"TDS needs a TAN; ","")&amp;IF(AND(AA820="Yes",BC820&lt;&gt;"",BC820&lt;&gt;"company",BC820&lt;&gt;"llp"),"ROC is only for a company / LLP; ","")&amp;IF(AND(AA820="Yes",OR(BC820="company",BC820="llp"),TRIM(I820)=""),"ROC needs the CIN / LLPIN; ","")&amp;IF((TRIM(AF820)="")&lt;&gt;(TRIM(AG820)=""),"GST login needs both user ID and password; ","")&amp;IF((TRIM(AH820)="")&lt;&gt;(TRIM(AI820)=""),"Income-tax login needs both user ID and password; ","")&amp;IF((TRIM(AJ820)="")&lt;&gt;(TRIM(AK820)=""),"Income-tax login needs both user ID and password; ","")&amp;IF((TRIM(AL820)="")&lt;&gt;(TRIM(AM820)=""),"TRACES login needs both user ID and password; ","")&amp;IF((TRIM(AN820)="")&lt;&gt;(TRIM(AO820)=""),"MCA login needs both user ID and password; ","")&amp;IF((TRIM(AP820)="")&lt;&gt;(TRIM(AQ820)=""),"E-way bill login needs both user ID and password; ","")</f>
        <v/>
      </c>
    </row>
    <row r="821">
      <c r="A821" s="32" t="n"/>
      <c r="B821" s="33" t="n"/>
      <c r="C821" s="33" t="n"/>
      <c r="D821" s="33" t="n"/>
      <c r="E821" s="32" t="n"/>
      <c r="F821" s="32" t="n"/>
      <c r="G821" s="32" t="n"/>
      <c r="H821" s="32" t="n"/>
      <c r="I821" s="32" t="n"/>
      <c r="J821" s="34" t="n"/>
      <c r="K821" s="33" t="n"/>
      <c r="L821" s="32" t="n"/>
      <c r="M821" s="33" t="n"/>
      <c r="N821" s="33" t="n"/>
      <c r="O821" s="33" t="n"/>
      <c r="P821" s="32" t="n"/>
      <c r="Q821" s="33" t="n"/>
      <c r="R821" s="33" t="n"/>
      <c r="S821" s="33" t="n"/>
      <c r="T821" s="33" t="n"/>
      <c r="U821" s="32" t="n"/>
      <c r="V821" s="33" t="n"/>
      <c r="W821" s="33" t="n"/>
      <c r="X821" s="33" t="n"/>
      <c r="Y821" s="33" t="n"/>
      <c r="Z821" s="33" t="n"/>
      <c r="AA821" s="33" t="n"/>
      <c r="AB821" s="33" t="n"/>
      <c r="AC821" s="33" t="n"/>
      <c r="AD821" s="33" t="n"/>
      <c r="AE821" s="33" t="n"/>
      <c r="AF821" s="32" t="n"/>
      <c r="AG821" s="32" t="n"/>
      <c r="AH821" s="32" t="n"/>
      <c r="AI821" s="32" t="n"/>
      <c r="AJ821" s="32" t="n"/>
      <c r="AK821" s="32" t="n"/>
      <c r="AL821" s="32" t="n"/>
      <c r="AM821" s="32" t="n"/>
      <c r="AN821" s="32" t="n"/>
      <c r="AO821" s="32" t="n"/>
      <c r="AP821" s="32" t="n"/>
      <c r="AQ821" s="32" t="n"/>
      <c r="AR821" s="29">
        <f>IF(NOT(COUNTA(A821:AE821)&gt;0),"",IF(A821="","New client","Update"))</f>
        <v/>
      </c>
      <c r="AS821" s="29">
        <f>IF(BA821&lt;&gt;"",BA821,IF(LEN(AZ821)=15,MID(AZ821,3,10),""))</f>
        <v/>
      </c>
      <c r="AT821" s="29">
        <f>IF(BB821="","",BB821&amp;IF(D821="","  (guessed from PAN)",""))</f>
        <v/>
      </c>
      <c r="AU821" s="29">
        <f>IF(AZ821="","",IFERROR(INDEX(Lists!$L$2:$L$38,MATCH(LEFT(AZ821,2),Lists!$K$2:$K$38,0)),"Unknown code"))</f>
        <v/>
      </c>
      <c r="AV821" s="29">
        <f>IF(AZ821="","",IFERROR(IF(NOT(AND(LEN(AZ821)=15,ISNUMBER(MATCH(LEFT(AZ821,2),Lists!$K$2:$K$38,0)),SUMPRODUCT(--ISERROR(FIND(MID(MID(AZ821,3,10),{1,2,3,4,5,10},1),"ABCDEFGHIJKLMNOPQRSTUVWXYZ")))=0,SUMPRODUCT(--ISERROR(FIND(MID(MID(AZ821,3,10),{6,7,8,9},1),"0123456789")))=0,ISNUMBER(FIND(MID(AZ821,13,1),"123456789ABCDEFGHIJKLMNOPQRSTUVWXYZ")),MID(AZ821,14,1)="Z")),"Wrong format",IF(MID("0123456789ABCDEFGHIJKLMNOPQRSTUVWXYZ",MOD(36-MOD(SUMPRODUCT(INT((FIND(MID(AZ821,{1,2,3,4,5,6,7,8,9,10,11,12,13,14},1),"0123456789ABCDEFGHIJKLMNOPQRSTUVWXYZ")-1)*{1,2,1,2,1,2,1,2,1,2,1,2,1,2}/36)+MOD((FIND(MID(AZ821,{1,2,3,4,5,6,7,8,9,10,11,12,13,14},1),"0123456789ABCDEFGHIJKLMNOPQRSTUVWXYZ")-1)*{1,2,1,2,1,2,1,2,1,2,1,2,1,2},36)),36),36)+1,1)=MID(AZ821,15,1),"OK","Typo? check digit wrong")),"Wrong format"))</f>
        <v/>
      </c>
      <c r="AW821" s="29">
        <f>IF(BA821="","",IF(AND(LEN(BA821)=10,SUMPRODUCT(--ISERROR(FIND(MID(BA821,{1,2,3,4,5,10},1),"ABCDEFGHIJKLMNOPQRSTUVWXYZ")))=0,SUMPRODUCT(--ISERROR(FIND(MID(BA821,{6,7,8,9},1),"0123456789")))=0),"OK","Wrong format"))</f>
        <v/>
      </c>
      <c r="AX821" s="29">
        <f>IF(TRIM(H821)="","",IF(AND(LEN(UPPER(TRIM(H821)))=10,SUMPRODUCT(--ISERROR(FIND(MID(UPPER(TRIM(H821)),{1,2,3,4,10},1),"ABCDEFGHIJKLMNOPQRSTUVWXYZ")))=0,SUMPRODUCT(--ISERROR(FIND(MID(UPPER(TRIM(H821)),{5,6,7,8,9},1),"0123456789")))=0),"OK","Wrong format"))</f>
        <v/>
      </c>
      <c r="AY821" s="30">
        <f>IF(NOT(COUNTA(A821:AE821)&gt;0),"",IF(BE821&lt;&gt;"","✖ "&amp;LEFT(BE821,LEN(BE821)-2),IF(BD821&gt;0,"✔ Ready — client + "&amp;BD821&amp;" service(s)","✔ Ready — client only")))</f>
        <v/>
      </c>
      <c r="AZ821" s="31">
        <f>UPPER(SUBSTITUTE(TRIM(F821)," ",""))</f>
        <v/>
      </c>
      <c r="BA821" s="31">
        <f>UPPER(SUBSTITUTE(TRIM(E821)," ",""))</f>
        <v/>
      </c>
      <c r="BB821" s="31">
        <f>IF(D821&lt;&gt;"",D821,IFERROR(VLOOKUP(MID(AS821,4,1),Lists!$E$2:$F$8,2,FALSE),""))</f>
        <v/>
      </c>
      <c r="BC821" s="31">
        <f>IFERROR(VLOOKUP(BB821,Lists!$A$2:$C$12,3,FALSE),"")</f>
        <v/>
      </c>
      <c r="BD821" s="31">
        <f>COUNTIF(W821:AC821,"Yes")</f>
        <v/>
      </c>
      <c r="BE821" s="31">
        <f>IF(TRIM(B821)="","Legal name missing; ","")&amp;IF(AND(AV821&lt;&gt;"",AV821&lt;&gt;"OK"),"GSTIN: "&amp;AV821&amp;"; ","")&amp;IF(AND(AW821&lt;&gt;"",AW821&lt;&gt;"OK"),"PAN wrong format; ","")&amp;IF(AND(BA821&lt;&gt;"",LEN(AZ821)=15,MID(AZ821,3,10)&lt;&gt;BA821),"PAN does not match GSTIN; ","")&amp;IF(AND(AX821&lt;&gt;"",AX821&lt;&gt;"OK"),"TAN wrong format; ","")&amp;IF(AS821="","PAN missing; ","")&amp;IF(BB821="","Entity type missing; ","")&amp;IF(AND(AZ821&lt;&gt;"",COUNTIF($AZ$6:$AZ$1005,AZ821)&gt;1),"GSTIN repeated in this sheet; ","")&amp;IF(AND(AS821&lt;&gt;"",COUNTIF($AS$6:$AS$1005,AS821)&gt;1),"PAN repeated in this sheet (same client? put extra GSTINs in Other GSTINs); ","")&amp;IF(AND(BD821&gt;0,V821=""),"Financial year missing; ","")&amp;IF(AND(BD821=0,V821&lt;&gt;""),"Financial year given but no service is Yes; ","")&amp;IF(AND(W821="Yes",AZ821=""),"GST needs a GSTIN; ","")&amp;IF(AND(W821="Yes",X821=""),"GST return frequency missing; ","")&amp;IF(AND(Y821="Yes",TRIM(H821)=""),"TDS needs a TAN; ","")&amp;IF(AND(AA821="Yes",BC821&lt;&gt;"",BC821&lt;&gt;"company",BC821&lt;&gt;"llp"),"ROC is only for a company / LLP; ","")&amp;IF(AND(AA821="Yes",OR(BC821="company",BC821="llp"),TRIM(I821)=""),"ROC needs the CIN / LLPIN; ","")&amp;IF((TRIM(AF821)="")&lt;&gt;(TRIM(AG821)=""),"GST login needs both user ID and password; ","")&amp;IF((TRIM(AH821)="")&lt;&gt;(TRIM(AI821)=""),"Income-tax login needs both user ID and password; ","")&amp;IF((TRIM(AJ821)="")&lt;&gt;(TRIM(AK821)=""),"Income-tax login needs both user ID and password; ","")&amp;IF((TRIM(AL821)="")&lt;&gt;(TRIM(AM821)=""),"TRACES login needs both user ID and password; ","")&amp;IF((TRIM(AN821)="")&lt;&gt;(TRIM(AO821)=""),"MCA login needs both user ID and password; ","")&amp;IF((TRIM(AP821)="")&lt;&gt;(TRIM(AQ821)=""),"E-way bill login needs both user ID and password; ","")</f>
        <v/>
      </c>
    </row>
    <row r="822">
      <c r="A822" s="32" t="n"/>
      <c r="B822" s="33" t="n"/>
      <c r="C822" s="33" t="n"/>
      <c r="D822" s="33" t="n"/>
      <c r="E822" s="32" t="n"/>
      <c r="F822" s="32" t="n"/>
      <c r="G822" s="32" t="n"/>
      <c r="H822" s="32" t="n"/>
      <c r="I822" s="32" t="n"/>
      <c r="J822" s="34" t="n"/>
      <c r="K822" s="33" t="n"/>
      <c r="L822" s="32" t="n"/>
      <c r="M822" s="33" t="n"/>
      <c r="N822" s="33" t="n"/>
      <c r="O822" s="33" t="n"/>
      <c r="P822" s="32" t="n"/>
      <c r="Q822" s="33" t="n"/>
      <c r="R822" s="33" t="n"/>
      <c r="S822" s="33" t="n"/>
      <c r="T822" s="33" t="n"/>
      <c r="U822" s="32" t="n"/>
      <c r="V822" s="33" t="n"/>
      <c r="W822" s="33" t="n"/>
      <c r="X822" s="33" t="n"/>
      <c r="Y822" s="33" t="n"/>
      <c r="Z822" s="33" t="n"/>
      <c r="AA822" s="33" t="n"/>
      <c r="AB822" s="33" t="n"/>
      <c r="AC822" s="33" t="n"/>
      <c r="AD822" s="33" t="n"/>
      <c r="AE822" s="33" t="n"/>
      <c r="AF822" s="32" t="n"/>
      <c r="AG822" s="32" t="n"/>
      <c r="AH822" s="32" t="n"/>
      <c r="AI822" s="32" t="n"/>
      <c r="AJ822" s="32" t="n"/>
      <c r="AK822" s="32" t="n"/>
      <c r="AL822" s="32" t="n"/>
      <c r="AM822" s="32" t="n"/>
      <c r="AN822" s="32" t="n"/>
      <c r="AO822" s="32" t="n"/>
      <c r="AP822" s="32" t="n"/>
      <c r="AQ822" s="32" t="n"/>
      <c r="AR822" s="29">
        <f>IF(NOT(COUNTA(A822:AE822)&gt;0),"",IF(A822="","New client","Update"))</f>
        <v/>
      </c>
      <c r="AS822" s="29">
        <f>IF(BA822&lt;&gt;"",BA822,IF(LEN(AZ822)=15,MID(AZ822,3,10),""))</f>
        <v/>
      </c>
      <c r="AT822" s="29">
        <f>IF(BB822="","",BB822&amp;IF(D822="","  (guessed from PAN)",""))</f>
        <v/>
      </c>
      <c r="AU822" s="29">
        <f>IF(AZ822="","",IFERROR(INDEX(Lists!$L$2:$L$38,MATCH(LEFT(AZ822,2),Lists!$K$2:$K$38,0)),"Unknown code"))</f>
        <v/>
      </c>
      <c r="AV822" s="29">
        <f>IF(AZ822="","",IFERROR(IF(NOT(AND(LEN(AZ822)=15,ISNUMBER(MATCH(LEFT(AZ822,2),Lists!$K$2:$K$38,0)),SUMPRODUCT(--ISERROR(FIND(MID(MID(AZ822,3,10),{1,2,3,4,5,10},1),"ABCDEFGHIJKLMNOPQRSTUVWXYZ")))=0,SUMPRODUCT(--ISERROR(FIND(MID(MID(AZ822,3,10),{6,7,8,9},1),"0123456789")))=0,ISNUMBER(FIND(MID(AZ822,13,1),"123456789ABCDEFGHIJKLMNOPQRSTUVWXYZ")),MID(AZ822,14,1)="Z")),"Wrong format",IF(MID("0123456789ABCDEFGHIJKLMNOPQRSTUVWXYZ",MOD(36-MOD(SUMPRODUCT(INT((FIND(MID(AZ822,{1,2,3,4,5,6,7,8,9,10,11,12,13,14},1),"0123456789ABCDEFGHIJKLMNOPQRSTUVWXYZ")-1)*{1,2,1,2,1,2,1,2,1,2,1,2,1,2}/36)+MOD((FIND(MID(AZ822,{1,2,3,4,5,6,7,8,9,10,11,12,13,14},1),"0123456789ABCDEFGHIJKLMNOPQRSTUVWXYZ")-1)*{1,2,1,2,1,2,1,2,1,2,1,2,1,2},36)),36),36)+1,1)=MID(AZ822,15,1),"OK","Typo? check digit wrong")),"Wrong format"))</f>
        <v/>
      </c>
      <c r="AW822" s="29">
        <f>IF(BA822="","",IF(AND(LEN(BA822)=10,SUMPRODUCT(--ISERROR(FIND(MID(BA822,{1,2,3,4,5,10},1),"ABCDEFGHIJKLMNOPQRSTUVWXYZ")))=0,SUMPRODUCT(--ISERROR(FIND(MID(BA822,{6,7,8,9},1),"0123456789")))=0),"OK","Wrong format"))</f>
        <v/>
      </c>
      <c r="AX822" s="29">
        <f>IF(TRIM(H822)="","",IF(AND(LEN(UPPER(TRIM(H822)))=10,SUMPRODUCT(--ISERROR(FIND(MID(UPPER(TRIM(H822)),{1,2,3,4,10},1),"ABCDEFGHIJKLMNOPQRSTUVWXYZ")))=0,SUMPRODUCT(--ISERROR(FIND(MID(UPPER(TRIM(H822)),{5,6,7,8,9},1),"0123456789")))=0),"OK","Wrong format"))</f>
        <v/>
      </c>
      <c r="AY822" s="30">
        <f>IF(NOT(COUNTA(A822:AE822)&gt;0),"",IF(BE822&lt;&gt;"","✖ "&amp;LEFT(BE822,LEN(BE822)-2),IF(BD822&gt;0,"✔ Ready — client + "&amp;BD822&amp;" service(s)","✔ Ready — client only")))</f>
        <v/>
      </c>
      <c r="AZ822" s="31">
        <f>UPPER(SUBSTITUTE(TRIM(F822)," ",""))</f>
        <v/>
      </c>
      <c r="BA822" s="31">
        <f>UPPER(SUBSTITUTE(TRIM(E822)," ",""))</f>
        <v/>
      </c>
      <c r="BB822" s="31">
        <f>IF(D822&lt;&gt;"",D822,IFERROR(VLOOKUP(MID(AS822,4,1),Lists!$E$2:$F$8,2,FALSE),""))</f>
        <v/>
      </c>
      <c r="BC822" s="31">
        <f>IFERROR(VLOOKUP(BB822,Lists!$A$2:$C$12,3,FALSE),"")</f>
        <v/>
      </c>
      <c r="BD822" s="31">
        <f>COUNTIF(W822:AC822,"Yes")</f>
        <v/>
      </c>
      <c r="BE822" s="31">
        <f>IF(TRIM(B822)="","Legal name missing; ","")&amp;IF(AND(AV822&lt;&gt;"",AV822&lt;&gt;"OK"),"GSTIN: "&amp;AV822&amp;"; ","")&amp;IF(AND(AW822&lt;&gt;"",AW822&lt;&gt;"OK"),"PAN wrong format; ","")&amp;IF(AND(BA822&lt;&gt;"",LEN(AZ822)=15,MID(AZ822,3,10)&lt;&gt;BA822),"PAN does not match GSTIN; ","")&amp;IF(AND(AX822&lt;&gt;"",AX822&lt;&gt;"OK"),"TAN wrong format; ","")&amp;IF(AS822="","PAN missing; ","")&amp;IF(BB822="","Entity type missing; ","")&amp;IF(AND(AZ822&lt;&gt;"",COUNTIF($AZ$6:$AZ$1005,AZ822)&gt;1),"GSTIN repeated in this sheet; ","")&amp;IF(AND(AS822&lt;&gt;"",COUNTIF($AS$6:$AS$1005,AS822)&gt;1),"PAN repeated in this sheet (same client? put extra GSTINs in Other GSTINs); ","")&amp;IF(AND(BD822&gt;0,V822=""),"Financial year missing; ","")&amp;IF(AND(BD822=0,V822&lt;&gt;""),"Financial year given but no service is Yes; ","")&amp;IF(AND(W822="Yes",AZ822=""),"GST needs a GSTIN; ","")&amp;IF(AND(W822="Yes",X822=""),"GST return frequency missing; ","")&amp;IF(AND(Y822="Yes",TRIM(H822)=""),"TDS needs a TAN; ","")&amp;IF(AND(AA822="Yes",BC822&lt;&gt;"",BC822&lt;&gt;"company",BC822&lt;&gt;"llp"),"ROC is only for a company / LLP; ","")&amp;IF(AND(AA822="Yes",OR(BC822="company",BC822="llp"),TRIM(I822)=""),"ROC needs the CIN / LLPIN; ","")&amp;IF((TRIM(AF822)="")&lt;&gt;(TRIM(AG822)=""),"GST login needs both user ID and password; ","")&amp;IF((TRIM(AH822)="")&lt;&gt;(TRIM(AI822)=""),"Income-tax login needs both user ID and password; ","")&amp;IF((TRIM(AJ822)="")&lt;&gt;(TRIM(AK822)=""),"Income-tax login needs both user ID and password; ","")&amp;IF((TRIM(AL822)="")&lt;&gt;(TRIM(AM822)=""),"TRACES login needs both user ID and password; ","")&amp;IF((TRIM(AN822)="")&lt;&gt;(TRIM(AO822)=""),"MCA login needs both user ID and password; ","")&amp;IF((TRIM(AP822)="")&lt;&gt;(TRIM(AQ822)=""),"E-way bill login needs both user ID and password; ","")</f>
        <v/>
      </c>
    </row>
    <row r="823">
      <c r="A823" s="32" t="n"/>
      <c r="B823" s="33" t="n"/>
      <c r="C823" s="33" t="n"/>
      <c r="D823" s="33" t="n"/>
      <c r="E823" s="32" t="n"/>
      <c r="F823" s="32" t="n"/>
      <c r="G823" s="32" t="n"/>
      <c r="H823" s="32" t="n"/>
      <c r="I823" s="32" t="n"/>
      <c r="J823" s="34" t="n"/>
      <c r="K823" s="33" t="n"/>
      <c r="L823" s="32" t="n"/>
      <c r="M823" s="33" t="n"/>
      <c r="N823" s="33" t="n"/>
      <c r="O823" s="33" t="n"/>
      <c r="P823" s="32" t="n"/>
      <c r="Q823" s="33" t="n"/>
      <c r="R823" s="33" t="n"/>
      <c r="S823" s="33" t="n"/>
      <c r="T823" s="33" t="n"/>
      <c r="U823" s="32" t="n"/>
      <c r="V823" s="33" t="n"/>
      <c r="W823" s="33" t="n"/>
      <c r="X823" s="33" t="n"/>
      <c r="Y823" s="33" t="n"/>
      <c r="Z823" s="33" t="n"/>
      <c r="AA823" s="33" t="n"/>
      <c r="AB823" s="33" t="n"/>
      <c r="AC823" s="33" t="n"/>
      <c r="AD823" s="33" t="n"/>
      <c r="AE823" s="33" t="n"/>
      <c r="AF823" s="32" t="n"/>
      <c r="AG823" s="32" t="n"/>
      <c r="AH823" s="32" t="n"/>
      <c r="AI823" s="32" t="n"/>
      <c r="AJ823" s="32" t="n"/>
      <c r="AK823" s="32" t="n"/>
      <c r="AL823" s="32" t="n"/>
      <c r="AM823" s="32" t="n"/>
      <c r="AN823" s="32" t="n"/>
      <c r="AO823" s="32" t="n"/>
      <c r="AP823" s="32" t="n"/>
      <c r="AQ823" s="32" t="n"/>
      <c r="AR823" s="29">
        <f>IF(NOT(COUNTA(A823:AE823)&gt;0),"",IF(A823="","New client","Update"))</f>
        <v/>
      </c>
      <c r="AS823" s="29">
        <f>IF(BA823&lt;&gt;"",BA823,IF(LEN(AZ823)=15,MID(AZ823,3,10),""))</f>
        <v/>
      </c>
      <c r="AT823" s="29">
        <f>IF(BB823="","",BB823&amp;IF(D823="","  (guessed from PAN)",""))</f>
        <v/>
      </c>
      <c r="AU823" s="29">
        <f>IF(AZ823="","",IFERROR(INDEX(Lists!$L$2:$L$38,MATCH(LEFT(AZ823,2),Lists!$K$2:$K$38,0)),"Unknown code"))</f>
        <v/>
      </c>
      <c r="AV823" s="29">
        <f>IF(AZ823="","",IFERROR(IF(NOT(AND(LEN(AZ823)=15,ISNUMBER(MATCH(LEFT(AZ823,2),Lists!$K$2:$K$38,0)),SUMPRODUCT(--ISERROR(FIND(MID(MID(AZ823,3,10),{1,2,3,4,5,10},1),"ABCDEFGHIJKLMNOPQRSTUVWXYZ")))=0,SUMPRODUCT(--ISERROR(FIND(MID(MID(AZ823,3,10),{6,7,8,9},1),"0123456789")))=0,ISNUMBER(FIND(MID(AZ823,13,1),"123456789ABCDEFGHIJKLMNOPQRSTUVWXYZ")),MID(AZ823,14,1)="Z")),"Wrong format",IF(MID("0123456789ABCDEFGHIJKLMNOPQRSTUVWXYZ",MOD(36-MOD(SUMPRODUCT(INT((FIND(MID(AZ823,{1,2,3,4,5,6,7,8,9,10,11,12,13,14},1),"0123456789ABCDEFGHIJKLMNOPQRSTUVWXYZ")-1)*{1,2,1,2,1,2,1,2,1,2,1,2,1,2}/36)+MOD((FIND(MID(AZ823,{1,2,3,4,5,6,7,8,9,10,11,12,13,14},1),"0123456789ABCDEFGHIJKLMNOPQRSTUVWXYZ")-1)*{1,2,1,2,1,2,1,2,1,2,1,2,1,2},36)),36),36)+1,1)=MID(AZ823,15,1),"OK","Typo? check digit wrong")),"Wrong format"))</f>
        <v/>
      </c>
      <c r="AW823" s="29">
        <f>IF(BA823="","",IF(AND(LEN(BA823)=10,SUMPRODUCT(--ISERROR(FIND(MID(BA823,{1,2,3,4,5,10},1),"ABCDEFGHIJKLMNOPQRSTUVWXYZ")))=0,SUMPRODUCT(--ISERROR(FIND(MID(BA823,{6,7,8,9},1),"0123456789")))=0),"OK","Wrong format"))</f>
        <v/>
      </c>
      <c r="AX823" s="29">
        <f>IF(TRIM(H823)="","",IF(AND(LEN(UPPER(TRIM(H823)))=10,SUMPRODUCT(--ISERROR(FIND(MID(UPPER(TRIM(H823)),{1,2,3,4,10},1),"ABCDEFGHIJKLMNOPQRSTUVWXYZ")))=0,SUMPRODUCT(--ISERROR(FIND(MID(UPPER(TRIM(H823)),{5,6,7,8,9},1),"0123456789")))=0),"OK","Wrong format"))</f>
        <v/>
      </c>
      <c r="AY823" s="30">
        <f>IF(NOT(COUNTA(A823:AE823)&gt;0),"",IF(BE823&lt;&gt;"","✖ "&amp;LEFT(BE823,LEN(BE823)-2),IF(BD823&gt;0,"✔ Ready — client + "&amp;BD823&amp;" service(s)","✔ Ready — client only")))</f>
        <v/>
      </c>
      <c r="AZ823" s="31">
        <f>UPPER(SUBSTITUTE(TRIM(F823)," ",""))</f>
        <v/>
      </c>
      <c r="BA823" s="31">
        <f>UPPER(SUBSTITUTE(TRIM(E823)," ",""))</f>
        <v/>
      </c>
      <c r="BB823" s="31">
        <f>IF(D823&lt;&gt;"",D823,IFERROR(VLOOKUP(MID(AS823,4,1),Lists!$E$2:$F$8,2,FALSE),""))</f>
        <v/>
      </c>
      <c r="BC823" s="31">
        <f>IFERROR(VLOOKUP(BB823,Lists!$A$2:$C$12,3,FALSE),"")</f>
        <v/>
      </c>
      <c r="BD823" s="31">
        <f>COUNTIF(W823:AC823,"Yes")</f>
        <v/>
      </c>
      <c r="BE823" s="31">
        <f>IF(TRIM(B823)="","Legal name missing; ","")&amp;IF(AND(AV823&lt;&gt;"",AV823&lt;&gt;"OK"),"GSTIN: "&amp;AV823&amp;"; ","")&amp;IF(AND(AW823&lt;&gt;"",AW823&lt;&gt;"OK"),"PAN wrong format; ","")&amp;IF(AND(BA823&lt;&gt;"",LEN(AZ823)=15,MID(AZ823,3,10)&lt;&gt;BA823),"PAN does not match GSTIN; ","")&amp;IF(AND(AX823&lt;&gt;"",AX823&lt;&gt;"OK"),"TAN wrong format; ","")&amp;IF(AS823="","PAN missing; ","")&amp;IF(BB823="","Entity type missing; ","")&amp;IF(AND(AZ823&lt;&gt;"",COUNTIF($AZ$6:$AZ$1005,AZ823)&gt;1),"GSTIN repeated in this sheet; ","")&amp;IF(AND(AS823&lt;&gt;"",COUNTIF($AS$6:$AS$1005,AS823)&gt;1),"PAN repeated in this sheet (same client? put extra GSTINs in Other GSTINs); ","")&amp;IF(AND(BD823&gt;0,V823=""),"Financial year missing; ","")&amp;IF(AND(BD823=0,V823&lt;&gt;""),"Financial year given but no service is Yes; ","")&amp;IF(AND(W823="Yes",AZ823=""),"GST needs a GSTIN; ","")&amp;IF(AND(W823="Yes",X823=""),"GST return frequency missing; ","")&amp;IF(AND(Y823="Yes",TRIM(H823)=""),"TDS needs a TAN; ","")&amp;IF(AND(AA823="Yes",BC823&lt;&gt;"",BC823&lt;&gt;"company",BC823&lt;&gt;"llp"),"ROC is only for a company / LLP; ","")&amp;IF(AND(AA823="Yes",OR(BC823="company",BC823="llp"),TRIM(I823)=""),"ROC needs the CIN / LLPIN; ","")&amp;IF((TRIM(AF823)="")&lt;&gt;(TRIM(AG823)=""),"GST login needs both user ID and password; ","")&amp;IF((TRIM(AH823)="")&lt;&gt;(TRIM(AI823)=""),"Income-tax login needs both user ID and password; ","")&amp;IF((TRIM(AJ823)="")&lt;&gt;(TRIM(AK823)=""),"Income-tax login needs both user ID and password; ","")&amp;IF((TRIM(AL823)="")&lt;&gt;(TRIM(AM823)=""),"TRACES login needs both user ID and password; ","")&amp;IF((TRIM(AN823)="")&lt;&gt;(TRIM(AO823)=""),"MCA login needs both user ID and password; ","")&amp;IF((TRIM(AP823)="")&lt;&gt;(TRIM(AQ823)=""),"E-way bill login needs both user ID and password; ","")</f>
        <v/>
      </c>
    </row>
    <row r="824">
      <c r="A824" s="32" t="n"/>
      <c r="B824" s="33" t="n"/>
      <c r="C824" s="33" t="n"/>
      <c r="D824" s="33" t="n"/>
      <c r="E824" s="32" t="n"/>
      <c r="F824" s="32" t="n"/>
      <c r="G824" s="32" t="n"/>
      <c r="H824" s="32" t="n"/>
      <c r="I824" s="32" t="n"/>
      <c r="J824" s="34" t="n"/>
      <c r="K824" s="33" t="n"/>
      <c r="L824" s="32" t="n"/>
      <c r="M824" s="33" t="n"/>
      <c r="N824" s="33" t="n"/>
      <c r="O824" s="33" t="n"/>
      <c r="P824" s="32" t="n"/>
      <c r="Q824" s="33" t="n"/>
      <c r="R824" s="33" t="n"/>
      <c r="S824" s="33" t="n"/>
      <c r="T824" s="33" t="n"/>
      <c r="U824" s="32" t="n"/>
      <c r="V824" s="33" t="n"/>
      <c r="W824" s="33" t="n"/>
      <c r="X824" s="33" t="n"/>
      <c r="Y824" s="33" t="n"/>
      <c r="Z824" s="33" t="n"/>
      <c r="AA824" s="33" t="n"/>
      <c r="AB824" s="33" t="n"/>
      <c r="AC824" s="33" t="n"/>
      <c r="AD824" s="33" t="n"/>
      <c r="AE824" s="33" t="n"/>
      <c r="AF824" s="32" t="n"/>
      <c r="AG824" s="32" t="n"/>
      <c r="AH824" s="32" t="n"/>
      <c r="AI824" s="32" t="n"/>
      <c r="AJ824" s="32" t="n"/>
      <c r="AK824" s="32" t="n"/>
      <c r="AL824" s="32" t="n"/>
      <c r="AM824" s="32" t="n"/>
      <c r="AN824" s="32" t="n"/>
      <c r="AO824" s="32" t="n"/>
      <c r="AP824" s="32" t="n"/>
      <c r="AQ824" s="32" t="n"/>
      <c r="AR824" s="29">
        <f>IF(NOT(COUNTA(A824:AE824)&gt;0),"",IF(A824="","New client","Update"))</f>
        <v/>
      </c>
      <c r="AS824" s="29">
        <f>IF(BA824&lt;&gt;"",BA824,IF(LEN(AZ824)=15,MID(AZ824,3,10),""))</f>
        <v/>
      </c>
      <c r="AT824" s="29">
        <f>IF(BB824="","",BB824&amp;IF(D824="","  (guessed from PAN)",""))</f>
        <v/>
      </c>
      <c r="AU824" s="29">
        <f>IF(AZ824="","",IFERROR(INDEX(Lists!$L$2:$L$38,MATCH(LEFT(AZ824,2),Lists!$K$2:$K$38,0)),"Unknown code"))</f>
        <v/>
      </c>
      <c r="AV824" s="29">
        <f>IF(AZ824="","",IFERROR(IF(NOT(AND(LEN(AZ824)=15,ISNUMBER(MATCH(LEFT(AZ824,2),Lists!$K$2:$K$38,0)),SUMPRODUCT(--ISERROR(FIND(MID(MID(AZ824,3,10),{1,2,3,4,5,10},1),"ABCDEFGHIJKLMNOPQRSTUVWXYZ")))=0,SUMPRODUCT(--ISERROR(FIND(MID(MID(AZ824,3,10),{6,7,8,9},1),"0123456789")))=0,ISNUMBER(FIND(MID(AZ824,13,1),"123456789ABCDEFGHIJKLMNOPQRSTUVWXYZ")),MID(AZ824,14,1)="Z")),"Wrong format",IF(MID("0123456789ABCDEFGHIJKLMNOPQRSTUVWXYZ",MOD(36-MOD(SUMPRODUCT(INT((FIND(MID(AZ824,{1,2,3,4,5,6,7,8,9,10,11,12,13,14},1),"0123456789ABCDEFGHIJKLMNOPQRSTUVWXYZ")-1)*{1,2,1,2,1,2,1,2,1,2,1,2,1,2}/36)+MOD((FIND(MID(AZ824,{1,2,3,4,5,6,7,8,9,10,11,12,13,14},1),"0123456789ABCDEFGHIJKLMNOPQRSTUVWXYZ")-1)*{1,2,1,2,1,2,1,2,1,2,1,2,1,2},36)),36),36)+1,1)=MID(AZ824,15,1),"OK","Typo? check digit wrong")),"Wrong format"))</f>
        <v/>
      </c>
      <c r="AW824" s="29">
        <f>IF(BA824="","",IF(AND(LEN(BA824)=10,SUMPRODUCT(--ISERROR(FIND(MID(BA824,{1,2,3,4,5,10},1),"ABCDEFGHIJKLMNOPQRSTUVWXYZ")))=0,SUMPRODUCT(--ISERROR(FIND(MID(BA824,{6,7,8,9},1),"0123456789")))=0),"OK","Wrong format"))</f>
        <v/>
      </c>
      <c r="AX824" s="29">
        <f>IF(TRIM(H824)="","",IF(AND(LEN(UPPER(TRIM(H824)))=10,SUMPRODUCT(--ISERROR(FIND(MID(UPPER(TRIM(H824)),{1,2,3,4,10},1),"ABCDEFGHIJKLMNOPQRSTUVWXYZ")))=0,SUMPRODUCT(--ISERROR(FIND(MID(UPPER(TRIM(H824)),{5,6,7,8,9},1),"0123456789")))=0),"OK","Wrong format"))</f>
        <v/>
      </c>
      <c r="AY824" s="30">
        <f>IF(NOT(COUNTA(A824:AE824)&gt;0),"",IF(BE824&lt;&gt;"","✖ "&amp;LEFT(BE824,LEN(BE824)-2),IF(BD824&gt;0,"✔ Ready — client + "&amp;BD824&amp;" service(s)","✔ Ready — client only")))</f>
        <v/>
      </c>
      <c r="AZ824" s="31">
        <f>UPPER(SUBSTITUTE(TRIM(F824)," ",""))</f>
        <v/>
      </c>
      <c r="BA824" s="31">
        <f>UPPER(SUBSTITUTE(TRIM(E824)," ",""))</f>
        <v/>
      </c>
      <c r="BB824" s="31">
        <f>IF(D824&lt;&gt;"",D824,IFERROR(VLOOKUP(MID(AS824,4,1),Lists!$E$2:$F$8,2,FALSE),""))</f>
        <v/>
      </c>
      <c r="BC824" s="31">
        <f>IFERROR(VLOOKUP(BB824,Lists!$A$2:$C$12,3,FALSE),"")</f>
        <v/>
      </c>
      <c r="BD824" s="31">
        <f>COUNTIF(W824:AC824,"Yes")</f>
        <v/>
      </c>
      <c r="BE824" s="31">
        <f>IF(TRIM(B824)="","Legal name missing; ","")&amp;IF(AND(AV824&lt;&gt;"",AV824&lt;&gt;"OK"),"GSTIN: "&amp;AV824&amp;"; ","")&amp;IF(AND(AW824&lt;&gt;"",AW824&lt;&gt;"OK"),"PAN wrong format; ","")&amp;IF(AND(BA824&lt;&gt;"",LEN(AZ824)=15,MID(AZ824,3,10)&lt;&gt;BA824),"PAN does not match GSTIN; ","")&amp;IF(AND(AX824&lt;&gt;"",AX824&lt;&gt;"OK"),"TAN wrong format; ","")&amp;IF(AS824="","PAN missing; ","")&amp;IF(BB824="","Entity type missing; ","")&amp;IF(AND(AZ824&lt;&gt;"",COUNTIF($AZ$6:$AZ$1005,AZ824)&gt;1),"GSTIN repeated in this sheet; ","")&amp;IF(AND(AS824&lt;&gt;"",COUNTIF($AS$6:$AS$1005,AS824)&gt;1),"PAN repeated in this sheet (same client? put extra GSTINs in Other GSTINs); ","")&amp;IF(AND(BD824&gt;0,V824=""),"Financial year missing; ","")&amp;IF(AND(BD824=0,V824&lt;&gt;""),"Financial year given but no service is Yes; ","")&amp;IF(AND(W824="Yes",AZ824=""),"GST needs a GSTIN; ","")&amp;IF(AND(W824="Yes",X824=""),"GST return frequency missing; ","")&amp;IF(AND(Y824="Yes",TRIM(H824)=""),"TDS needs a TAN; ","")&amp;IF(AND(AA824="Yes",BC824&lt;&gt;"",BC824&lt;&gt;"company",BC824&lt;&gt;"llp"),"ROC is only for a company / LLP; ","")&amp;IF(AND(AA824="Yes",OR(BC824="company",BC824="llp"),TRIM(I824)=""),"ROC needs the CIN / LLPIN; ","")&amp;IF((TRIM(AF824)="")&lt;&gt;(TRIM(AG824)=""),"GST login needs both user ID and password; ","")&amp;IF((TRIM(AH824)="")&lt;&gt;(TRIM(AI824)=""),"Income-tax login needs both user ID and password; ","")&amp;IF((TRIM(AJ824)="")&lt;&gt;(TRIM(AK824)=""),"Income-tax login needs both user ID and password; ","")&amp;IF((TRIM(AL824)="")&lt;&gt;(TRIM(AM824)=""),"TRACES login needs both user ID and password; ","")&amp;IF((TRIM(AN824)="")&lt;&gt;(TRIM(AO824)=""),"MCA login needs both user ID and password; ","")&amp;IF((TRIM(AP824)="")&lt;&gt;(TRIM(AQ824)=""),"E-way bill login needs both user ID and password; ","")</f>
        <v/>
      </c>
    </row>
    <row r="825">
      <c r="A825" s="32" t="n"/>
      <c r="B825" s="33" t="n"/>
      <c r="C825" s="33" t="n"/>
      <c r="D825" s="33" t="n"/>
      <c r="E825" s="32" t="n"/>
      <c r="F825" s="32" t="n"/>
      <c r="G825" s="32" t="n"/>
      <c r="H825" s="32" t="n"/>
      <c r="I825" s="32" t="n"/>
      <c r="J825" s="34" t="n"/>
      <c r="K825" s="33" t="n"/>
      <c r="L825" s="32" t="n"/>
      <c r="M825" s="33" t="n"/>
      <c r="N825" s="33" t="n"/>
      <c r="O825" s="33" t="n"/>
      <c r="P825" s="32" t="n"/>
      <c r="Q825" s="33" t="n"/>
      <c r="R825" s="33" t="n"/>
      <c r="S825" s="33" t="n"/>
      <c r="T825" s="33" t="n"/>
      <c r="U825" s="32" t="n"/>
      <c r="V825" s="33" t="n"/>
      <c r="W825" s="33" t="n"/>
      <c r="X825" s="33" t="n"/>
      <c r="Y825" s="33" t="n"/>
      <c r="Z825" s="33" t="n"/>
      <c r="AA825" s="33" t="n"/>
      <c r="AB825" s="33" t="n"/>
      <c r="AC825" s="33" t="n"/>
      <c r="AD825" s="33" t="n"/>
      <c r="AE825" s="33" t="n"/>
      <c r="AF825" s="32" t="n"/>
      <c r="AG825" s="32" t="n"/>
      <c r="AH825" s="32" t="n"/>
      <c r="AI825" s="32" t="n"/>
      <c r="AJ825" s="32" t="n"/>
      <c r="AK825" s="32" t="n"/>
      <c r="AL825" s="32" t="n"/>
      <c r="AM825" s="32" t="n"/>
      <c r="AN825" s="32" t="n"/>
      <c r="AO825" s="32" t="n"/>
      <c r="AP825" s="32" t="n"/>
      <c r="AQ825" s="32" t="n"/>
      <c r="AR825" s="29">
        <f>IF(NOT(COUNTA(A825:AE825)&gt;0),"",IF(A825="","New client","Update"))</f>
        <v/>
      </c>
      <c r="AS825" s="29">
        <f>IF(BA825&lt;&gt;"",BA825,IF(LEN(AZ825)=15,MID(AZ825,3,10),""))</f>
        <v/>
      </c>
      <c r="AT825" s="29">
        <f>IF(BB825="","",BB825&amp;IF(D825="","  (guessed from PAN)",""))</f>
        <v/>
      </c>
      <c r="AU825" s="29">
        <f>IF(AZ825="","",IFERROR(INDEX(Lists!$L$2:$L$38,MATCH(LEFT(AZ825,2),Lists!$K$2:$K$38,0)),"Unknown code"))</f>
        <v/>
      </c>
      <c r="AV825" s="29">
        <f>IF(AZ825="","",IFERROR(IF(NOT(AND(LEN(AZ825)=15,ISNUMBER(MATCH(LEFT(AZ825,2),Lists!$K$2:$K$38,0)),SUMPRODUCT(--ISERROR(FIND(MID(MID(AZ825,3,10),{1,2,3,4,5,10},1),"ABCDEFGHIJKLMNOPQRSTUVWXYZ")))=0,SUMPRODUCT(--ISERROR(FIND(MID(MID(AZ825,3,10),{6,7,8,9},1),"0123456789")))=0,ISNUMBER(FIND(MID(AZ825,13,1),"123456789ABCDEFGHIJKLMNOPQRSTUVWXYZ")),MID(AZ825,14,1)="Z")),"Wrong format",IF(MID("0123456789ABCDEFGHIJKLMNOPQRSTUVWXYZ",MOD(36-MOD(SUMPRODUCT(INT((FIND(MID(AZ825,{1,2,3,4,5,6,7,8,9,10,11,12,13,14},1),"0123456789ABCDEFGHIJKLMNOPQRSTUVWXYZ")-1)*{1,2,1,2,1,2,1,2,1,2,1,2,1,2}/36)+MOD((FIND(MID(AZ825,{1,2,3,4,5,6,7,8,9,10,11,12,13,14},1),"0123456789ABCDEFGHIJKLMNOPQRSTUVWXYZ")-1)*{1,2,1,2,1,2,1,2,1,2,1,2,1,2},36)),36),36)+1,1)=MID(AZ825,15,1),"OK","Typo? check digit wrong")),"Wrong format"))</f>
        <v/>
      </c>
      <c r="AW825" s="29">
        <f>IF(BA825="","",IF(AND(LEN(BA825)=10,SUMPRODUCT(--ISERROR(FIND(MID(BA825,{1,2,3,4,5,10},1),"ABCDEFGHIJKLMNOPQRSTUVWXYZ")))=0,SUMPRODUCT(--ISERROR(FIND(MID(BA825,{6,7,8,9},1),"0123456789")))=0),"OK","Wrong format"))</f>
        <v/>
      </c>
      <c r="AX825" s="29">
        <f>IF(TRIM(H825)="","",IF(AND(LEN(UPPER(TRIM(H825)))=10,SUMPRODUCT(--ISERROR(FIND(MID(UPPER(TRIM(H825)),{1,2,3,4,10},1),"ABCDEFGHIJKLMNOPQRSTUVWXYZ")))=0,SUMPRODUCT(--ISERROR(FIND(MID(UPPER(TRIM(H825)),{5,6,7,8,9},1),"0123456789")))=0),"OK","Wrong format"))</f>
        <v/>
      </c>
      <c r="AY825" s="30">
        <f>IF(NOT(COUNTA(A825:AE825)&gt;0),"",IF(BE825&lt;&gt;"","✖ "&amp;LEFT(BE825,LEN(BE825)-2),IF(BD825&gt;0,"✔ Ready — client + "&amp;BD825&amp;" service(s)","✔ Ready — client only")))</f>
        <v/>
      </c>
      <c r="AZ825" s="31">
        <f>UPPER(SUBSTITUTE(TRIM(F825)," ",""))</f>
        <v/>
      </c>
      <c r="BA825" s="31">
        <f>UPPER(SUBSTITUTE(TRIM(E825)," ",""))</f>
        <v/>
      </c>
      <c r="BB825" s="31">
        <f>IF(D825&lt;&gt;"",D825,IFERROR(VLOOKUP(MID(AS825,4,1),Lists!$E$2:$F$8,2,FALSE),""))</f>
        <v/>
      </c>
      <c r="BC825" s="31">
        <f>IFERROR(VLOOKUP(BB825,Lists!$A$2:$C$12,3,FALSE),"")</f>
        <v/>
      </c>
      <c r="BD825" s="31">
        <f>COUNTIF(W825:AC825,"Yes")</f>
        <v/>
      </c>
      <c r="BE825" s="31">
        <f>IF(TRIM(B825)="","Legal name missing; ","")&amp;IF(AND(AV825&lt;&gt;"",AV825&lt;&gt;"OK"),"GSTIN: "&amp;AV825&amp;"; ","")&amp;IF(AND(AW825&lt;&gt;"",AW825&lt;&gt;"OK"),"PAN wrong format; ","")&amp;IF(AND(BA825&lt;&gt;"",LEN(AZ825)=15,MID(AZ825,3,10)&lt;&gt;BA825),"PAN does not match GSTIN; ","")&amp;IF(AND(AX825&lt;&gt;"",AX825&lt;&gt;"OK"),"TAN wrong format; ","")&amp;IF(AS825="","PAN missing; ","")&amp;IF(BB825="","Entity type missing; ","")&amp;IF(AND(AZ825&lt;&gt;"",COUNTIF($AZ$6:$AZ$1005,AZ825)&gt;1),"GSTIN repeated in this sheet; ","")&amp;IF(AND(AS825&lt;&gt;"",COUNTIF($AS$6:$AS$1005,AS825)&gt;1),"PAN repeated in this sheet (same client? put extra GSTINs in Other GSTINs); ","")&amp;IF(AND(BD825&gt;0,V825=""),"Financial year missing; ","")&amp;IF(AND(BD825=0,V825&lt;&gt;""),"Financial year given but no service is Yes; ","")&amp;IF(AND(W825="Yes",AZ825=""),"GST needs a GSTIN; ","")&amp;IF(AND(W825="Yes",X825=""),"GST return frequency missing; ","")&amp;IF(AND(Y825="Yes",TRIM(H825)=""),"TDS needs a TAN; ","")&amp;IF(AND(AA825="Yes",BC825&lt;&gt;"",BC825&lt;&gt;"company",BC825&lt;&gt;"llp"),"ROC is only for a company / LLP; ","")&amp;IF(AND(AA825="Yes",OR(BC825="company",BC825="llp"),TRIM(I825)=""),"ROC needs the CIN / LLPIN; ","")&amp;IF((TRIM(AF825)="")&lt;&gt;(TRIM(AG825)=""),"GST login needs both user ID and password; ","")&amp;IF((TRIM(AH825)="")&lt;&gt;(TRIM(AI825)=""),"Income-tax login needs both user ID and password; ","")&amp;IF((TRIM(AJ825)="")&lt;&gt;(TRIM(AK825)=""),"Income-tax login needs both user ID and password; ","")&amp;IF((TRIM(AL825)="")&lt;&gt;(TRIM(AM825)=""),"TRACES login needs both user ID and password; ","")&amp;IF((TRIM(AN825)="")&lt;&gt;(TRIM(AO825)=""),"MCA login needs both user ID and password; ","")&amp;IF((TRIM(AP825)="")&lt;&gt;(TRIM(AQ825)=""),"E-way bill login needs both user ID and password; ","")</f>
        <v/>
      </c>
    </row>
    <row r="826">
      <c r="A826" s="32" t="n"/>
      <c r="B826" s="33" t="n"/>
      <c r="C826" s="33" t="n"/>
      <c r="D826" s="33" t="n"/>
      <c r="E826" s="32" t="n"/>
      <c r="F826" s="32" t="n"/>
      <c r="G826" s="32" t="n"/>
      <c r="H826" s="32" t="n"/>
      <c r="I826" s="32" t="n"/>
      <c r="J826" s="34" t="n"/>
      <c r="K826" s="33" t="n"/>
      <c r="L826" s="32" t="n"/>
      <c r="M826" s="33" t="n"/>
      <c r="N826" s="33" t="n"/>
      <c r="O826" s="33" t="n"/>
      <c r="P826" s="32" t="n"/>
      <c r="Q826" s="33" t="n"/>
      <c r="R826" s="33" t="n"/>
      <c r="S826" s="33" t="n"/>
      <c r="T826" s="33" t="n"/>
      <c r="U826" s="32" t="n"/>
      <c r="V826" s="33" t="n"/>
      <c r="W826" s="33" t="n"/>
      <c r="X826" s="33" t="n"/>
      <c r="Y826" s="33" t="n"/>
      <c r="Z826" s="33" t="n"/>
      <c r="AA826" s="33" t="n"/>
      <c r="AB826" s="33" t="n"/>
      <c r="AC826" s="33" t="n"/>
      <c r="AD826" s="33" t="n"/>
      <c r="AE826" s="33" t="n"/>
      <c r="AF826" s="32" t="n"/>
      <c r="AG826" s="32" t="n"/>
      <c r="AH826" s="32" t="n"/>
      <c r="AI826" s="32" t="n"/>
      <c r="AJ826" s="32" t="n"/>
      <c r="AK826" s="32" t="n"/>
      <c r="AL826" s="32" t="n"/>
      <c r="AM826" s="32" t="n"/>
      <c r="AN826" s="32" t="n"/>
      <c r="AO826" s="32" t="n"/>
      <c r="AP826" s="32" t="n"/>
      <c r="AQ826" s="32" t="n"/>
      <c r="AR826" s="29">
        <f>IF(NOT(COUNTA(A826:AE826)&gt;0),"",IF(A826="","New client","Update"))</f>
        <v/>
      </c>
      <c r="AS826" s="29">
        <f>IF(BA826&lt;&gt;"",BA826,IF(LEN(AZ826)=15,MID(AZ826,3,10),""))</f>
        <v/>
      </c>
      <c r="AT826" s="29">
        <f>IF(BB826="","",BB826&amp;IF(D826="","  (guessed from PAN)",""))</f>
        <v/>
      </c>
      <c r="AU826" s="29">
        <f>IF(AZ826="","",IFERROR(INDEX(Lists!$L$2:$L$38,MATCH(LEFT(AZ826,2),Lists!$K$2:$K$38,0)),"Unknown code"))</f>
        <v/>
      </c>
      <c r="AV826" s="29">
        <f>IF(AZ826="","",IFERROR(IF(NOT(AND(LEN(AZ826)=15,ISNUMBER(MATCH(LEFT(AZ826,2),Lists!$K$2:$K$38,0)),SUMPRODUCT(--ISERROR(FIND(MID(MID(AZ826,3,10),{1,2,3,4,5,10},1),"ABCDEFGHIJKLMNOPQRSTUVWXYZ")))=0,SUMPRODUCT(--ISERROR(FIND(MID(MID(AZ826,3,10),{6,7,8,9},1),"0123456789")))=0,ISNUMBER(FIND(MID(AZ826,13,1),"123456789ABCDEFGHIJKLMNOPQRSTUVWXYZ")),MID(AZ826,14,1)="Z")),"Wrong format",IF(MID("0123456789ABCDEFGHIJKLMNOPQRSTUVWXYZ",MOD(36-MOD(SUMPRODUCT(INT((FIND(MID(AZ826,{1,2,3,4,5,6,7,8,9,10,11,12,13,14},1),"0123456789ABCDEFGHIJKLMNOPQRSTUVWXYZ")-1)*{1,2,1,2,1,2,1,2,1,2,1,2,1,2}/36)+MOD((FIND(MID(AZ826,{1,2,3,4,5,6,7,8,9,10,11,12,13,14},1),"0123456789ABCDEFGHIJKLMNOPQRSTUVWXYZ")-1)*{1,2,1,2,1,2,1,2,1,2,1,2,1,2},36)),36),36)+1,1)=MID(AZ826,15,1),"OK","Typo? check digit wrong")),"Wrong format"))</f>
        <v/>
      </c>
      <c r="AW826" s="29">
        <f>IF(BA826="","",IF(AND(LEN(BA826)=10,SUMPRODUCT(--ISERROR(FIND(MID(BA826,{1,2,3,4,5,10},1),"ABCDEFGHIJKLMNOPQRSTUVWXYZ")))=0,SUMPRODUCT(--ISERROR(FIND(MID(BA826,{6,7,8,9},1),"0123456789")))=0),"OK","Wrong format"))</f>
        <v/>
      </c>
      <c r="AX826" s="29">
        <f>IF(TRIM(H826)="","",IF(AND(LEN(UPPER(TRIM(H826)))=10,SUMPRODUCT(--ISERROR(FIND(MID(UPPER(TRIM(H826)),{1,2,3,4,10},1),"ABCDEFGHIJKLMNOPQRSTUVWXYZ")))=0,SUMPRODUCT(--ISERROR(FIND(MID(UPPER(TRIM(H826)),{5,6,7,8,9},1),"0123456789")))=0),"OK","Wrong format"))</f>
        <v/>
      </c>
      <c r="AY826" s="30">
        <f>IF(NOT(COUNTA(A826:AE826)&gt;0),"",IF(BE826&lt;&gt;"","✖ "&amp;LEFT(BE826,LEN(BE826)-2),IF(BD826&gt;0,"✔ Ready — client + "&amp;BD826&amp;" service(s)","✔ Ready — client only")))</f>
        <v/>
      </c>
      <c r="AZ826" s="31">
        <f>UPPER(SUBSTITUTE(TRIM(F826)," ",""))</f>
        <v/>
      </c>
      <c r="BA826" s="31">
        <f>UPPER(SUBSTITUTE(TRIM(E826)," ",""))</f>
        <v/>
      </c>
      <c r="BB826" s="31">
        <f>IF(D826&lt;&gt;"",D826,IFERROR(VLOOKUP(MID(AS826,4,1),Lists!$E$2:$F$8,2,FALSE),""))</f>
        <v/>
      </c>
      <c r="BC826" s="31">
        <f>IFERROR(VLOOKUP(BB826,Lists!$A$2:$C$12,3,FALSE),"")</f>
        <v/>
      </c>
      <c r="BD826" s="31">
        <f>COUNTIF(W826:AC826,"Yes")</f>
        <v/>
      </c>
      <c r="BE826" s="31">
        <f>IF(TRIM(B826)="","Legal name missing; ","")&amp;IF(AND(AV826&lt;&gt;"",AV826&lt;&gt;"OK"),"GSTIN: "&amp;AV826&amp;"; ","")&amp;IF(AND(AW826&lt;&gt;"",AW826&lt;&gt;"OK"),"PAN wrong format; ","")&amp;IF(AND(BA826&lt;&gt;"",LEN(AZ826)=15,MID(AZ826,3,10)&lt;&gt;BA826),"PAN does not match GSTIN; ","")&amp;IF(AND(AX826&lt;&gt;"",AX826&lt;&gt;"OK"),"TAN wrong format; ","")&amp;IF(AS826="","PAN missing; ","")&amp;IF(BB826="","Entity type missing; ","")&amp;IF(AND(AZ826&lt;&gt;"",COUNTIF($AZ$6:$AZ$1005,AZ826)&gt;1),"GSTIN repeated in this sheet; ","")&amp;IF(AND(AS826&lt;&gt;"",COUNTIF($AS$6:$AS$1005,AS826)&gt;1),"PAN repeated in this sheet (same client? put extra GSTINs in Other GSTINs); ","")&amp;IF(AND(BD826&gt;0,V826=""),"Financial year missing; ","")&amp;IF(AND(BD826=0,V826&lt;&gt;""),"Financial year given but no service is Yes; ","")&amp;IF(AND(W826="Yes",AZ826=""),"GST needs a GSTIN; ","")&amp;IF(AND(W826="Yes",X826=""),"GST return frequency missing; ","")&amp;IF(AND(Y826="Yes",TRIM(H826)=""),"TDS needs a TAN; ","")&amp;IF(AND(AA826="Yes",BC826&lt;&gt;"",BC826&lt;&gt;"company",BC826&lt;&gt;"llp"),"ROC is only for a company / LLP; ","")&amp;IF(AND(AA826="Yes",OR(BC826="company",BC826="llp"),TRIM(I826)=""),"ROC needs the CIN / LLPIN; ","")&amp;IF((TRIM(AF826)="")&lt;&gt;(TRIM(AG826)=""),"GST login needs both user ID and password; ","")&amp;IF((TRIM(AH826)="")&lt;&gt;(TRIM(AI826)=""),"Income-tax login needs both user ID and password; ","")&amp;IF((TRIM(AJ826)="")&lt;&gt;(TRIM(AK826)=""),"Income-tax login needs both user ID and password; ","")&amp;IF((TRIM(AL826)="")&lt;&gt;(TRIM(AM826)=""),"TRACES login needs both user ID and password; ","")&amp;IF((TRIM(AN826)="")&lt;&gt;(TRIM(AO826)=""),"MCA login needs both user ID and password; ","")&amp;IF((TRIM(AP826)="")&lt;&gt;(TRIM(AQ826)=""),"E-way bill login needs both user ID and password; ","")</f>
        <v/>
      </c>
    </row>
    <row r="827">
      <c r="A827" s="32" t="n"/>
      <c r="B827" s="33" t="n"/>
      <c r="C827" s="33" t="n"/>
      <c r="D827" s="33" t="n"/>
      <c r="E827" s="32" t="n"/>
      <c r="F827" s="32" t="n"/>
      <c r="G827" s="32" t="n"/>
      <c r="H827" s="32" t="n"/>
      <c r="I827" s="32" t="n"/>
      <c r="J827" s="34" t="n"/>
      <c r="K827" s="33" t="n"/>
      <c r="L827" s="32" t="n"/>
      <c r="M827" s="33" t="n"/>
      <c r="N827" s="33" t="n"/>
      <c r="O827" s="33" t="n"/>
      <c r="P827" s="32" t="n"/>
      <c r="Q827" s="33" t="n"/>
      <c r="R827" s="33" t="n"/>
      <c r="S827" s="33" t="n"/>
      <c r="T827" s="33" t="n"/>
      <c r="U827" s="32" t="n"/>
      <c r="V827" s="33" t="n"/>
      <c r="W827" s="33" t="n"/>
      <c r="X827" s="33" t="n"/>
      <c r="Y827" s="33" t="n"/>
      <c r="Z827" s="33" t="n"/>
      <c r="AA827" s="33" t="n"/>
      <c r="AB827" s="33" t="n"/>
      <c r="AC827" s="33" t="n"/>
      <c r="AD827" s="33" t="n"/>
      <c r="AE827" s="33" t="n"/>
      <c r="AF827" s="32" t="n"/>
      <c r="AG827" s="32" t="n"/>
      <c r="AH827" s="32" t="n"/>
      <c r="AI827" s="32" t="n"/>
      <c r="AJ827" s="32" t="n"/>
      <c r="AK827" s="32" t="n"/>
      <c r="AL827" s="32" t="n"/>
      <c r="AM827" s="32" t="n"/>
      <c r="AN827" s="32" t="n"/>
      <c r="AO827" s="32" t="n"/>
      <c r="AP827" s="32" t="n"/>
      <c r="AQ827" s="32" t="n"/>
      <c r="AR827" s="29">
        <f>IF(NOT(COUNTA(A827:AE827)&gt;0),"",IF(A827="","New client","Update"))</f>
        <v/>
      </c>
      <c r="AS827" s="29">
        <f>IF(BA827&lt;&gt;"",BA827,IF(LEN(AZ827)=15,MID(AZ827,3,10),""))</f>
        <v/>
      </c>
      <c r="AT827" s="29">
        <f>IF(BB827="","",BB827&amp;IF(D827="","  (guessed from PAN)",""))</f>
        <v/>
      </c>
      <c r="AU827" s="29">
        <f>IF(AZ827="","",IFERROR(INDEX(Lists!$L$2:$L$38,MATCH(LEFT(AZ827,2),Lists!$K$2:$K$38,0)),"Unknown code"))</f>
        <v/>
      </c>
      <c r="AV827" s="29">
        <f>IF(AZ827="","",IFERROR(IF(NOT(AND(LEN(AZ827)=15,ISNUMBER(MATCH(LEFT(AZ827,2),Lists!$K$2:$K$38,0)),SUMPRODUCT(--ISERROR(FIND(MID(MID(AZ827,3,10),{1,2,3,4,5,10},1),"ABCDEFGHIJKLMNOPQRSTUVWXYZ")))=0,SUMPRODUCT(--ISERROR(FIND(MID(MID(AZ827,3,10),{6,7,8,9},1),"0123456789")))=0,ISNUMBER(FIND(MID(AZ827,13,1),"123456789ABCDEFGHIJKLMNOPQRSTUVWXYZ")),MID(AZ827,14,1)="Z")),"Wrong format",IF(MID("0123456789ABCDEFGHIJKLMNOPQRSTUVWXYZ",MOD(36-MOD(SUMPRODUCT(INT((FIND(MID(AZ827,{1,2,3,4,5,6,7,8,9,10,11,12,13,14},1),"0123456789ABCDEFGHIJKLMNOPQRSTUVWXYZ")-1)*{1,2,1,2,1,2,1,2,1,2,1,2,1,2}/36)+MOD((FIND(MID(AZ827,{1,2,3,4,5,6,7,8,9,10,11,12,13,14},1),"0123456789ABCDEFGHIJKLMNOPQRSTUVWXYZ")-1)*{1,2,1,2,1,2,1,2,1,2,1,2,1,2},36)),36),36)+1,1)=MID(AZ827,15,1),"OK","Typo? check digit wrong")),"Wrong format"))</f>
        <v/>
      </c>
      <c r="AW827" s="29">
        <f>IF(BA827="","",IF(AND(LEN(BA827)=10,SUMPRODUCT(--ISERROR(FIND(MID(BA827,{1,2,3,4,5,10},1),"ABCDEFGHIJKLMNOPQRSTUVWXYZ")))=0,SUMPRODUCT(--ISERROR(FIND(MID(BA827,{6,7,8,9},1),"0123456789")))=0),"OK","Wrong format"))</f>
        <v/>
      </c>
      <c r="AX827" s="29">
        <f>IF(TRIM(H827)="","",IF(AND(LEN(UPPER(TRIM(H827)))=10,SUMPRODUCT(--ISERROR(FIND(MID(UPPER(TRIM(H827)),{1,2,3,4,10},1),"ABCDEFGHIJKLMNOPQRSTUVWXYZ")))=0,SUMPRODUCT(--ISERROR(FIND(MID(UPPER(TRIM(H827)),{5,6,7,8,9},1),"0123456789")))=0),"OK","Wrong format"))</f>
        <v/>
      </c>
      <c r="AY827" s="30">
        <f>IF(NOT(COUNTA(A827:AE827)&gt;0),"",IF(BE827&lt;&gt;"","✖ "&amp;LEFT(BE827,LEN(BE827)-2),IF(BD827&gt;0,"✔ Ready — client + "&amp;BD827&amp;" service(s)","✔ Ready — client only")))</f>
        <v/>
      </c>
      <c r="AZ827" s="31">
        <f>UPPER(SUBSTITUTE(TRIM(F827)," ",""))</f>
        <v/>
      </c>
      <c r="BA827" s="31">
        <f>UPPER(SUBSTITUTE(TRIM(E827)," ",""))</f>
        <v/>
      </c>
      <c r="BB827" s="31">
        <f>IF(D827&lt;&gt;"",D827,IFERROR(VLOOKUP(MID(AS827,4,1),Lists!$E$2:$F$8,2,FALSE),""))</f>
        <v/>
      </c>
      <c r="BC827" s="31">
        <f>IFERROR(VLOOKUP(BB827,Lists!$A$2:$C$12,3,FALSE),"")</f>
        <v/>
      </c>
      <c r="BD827" s="31">
        <f>COUNTIF(W827:AC827,"Yes")</f>
        <v/>
      </c>
      <c r="BE827" s="31">
        <f>IF(TRIM(B827)="","Legal name missing; ","")&amp;IF(AND(AV827&lt;&gt;"",AV827&lt;&gt;"OK"),"GSTIN: "&amp;AV827&amp;"; ","")&amp;IF(AND(AW827&lt;&gt;"",AW827&lt;&gt;"OK"),"PAN wrong format; ","")&amp;IF(AND(BA827&lt;&gt;"",LEN(AZ827)=15,MID(AZ827,3,10)&lt;&gt;BA827),"PAN does not match GSTIN; ","")&amp;IF(AND(AX827&lt;&gt;"",AX827&lt;&gt;"OK"),"TAN wrong format; ","")&amp;IF(AS827="","PAN missing; ","")&amp;IF(BB827="","Entity type missing; ","")&amp;IF(AND(AZ827&lt;&gt;"",COUNTIF($AZ$6:$AZ$1005,AZ827)&gt;1),"GSTIN repeated in this sheet; ","")&amp;IF(AND(AS827&lt;&gt;"",COUNTIF($AS$6:$AS$1005,AS827)&gt;1),"PAN repeated in this sheet (same client? put extra GSTINs in Other GSTINs); ","")&amp;IF(AND(BD827&gt;0,V827=""),"Financial year missing; ","")&amp;IF(AND(BD827=0,V827&lt;&gt;""),"Financial year given but no service is Yes; ","")&amp;IF(AND(W827="Yes",AZ827=""),"GST needs a GSTIN; ","")&amp;IF(AND(W827="Yes",X827=""),"GST return frequency missing; ","")&amp;IF(AND(Y827="Yes",TRIM(H827)=""),"TDS needs a TAN; ","")&amp;IF(AND(AA827="Yes",BC827&lt;&gt;"",BC827&lt;&gt;"company",BC827&lt;&gt;"llp"),"ROC is only for a company / LLP; ","")&amp;IF(AND(AA827="Yes",OR(BC827="company",BC827="llp"),TRIM(I827)=""),"ROC needs the CIN / LLPIN; ","")&amp;IF((TRIM(AF827)="")&lt;&gt;(TRIM(AG827)=""),"GST login needs both user ID and password; ","")&amp;IF((TRIM(AH827)="")&lt;&gt;(TRIM(AI827)=""),"Income-tax login needs both user ID and password; ","")&amp;IF((TRIM(AJ827)="")&lt;&gt;(TRIM(AK827)=""),"Income-tax login needs both user ID and password; ","")&amp;IF((TRIM(AL827)="")&lt;&gt;(TRIM(AM827)=""),"TRACES login needs both user ID and password; ","")&amp;IF((TRIM(AN827)="")&lt;&gt;(TRIM(AO827)=""),"MCA login needs both user ID and password; ","")&amp;IF((TRIM(AP827)="")&lt;&gt;(TRIM(AQ827)=""),"E-way bill login needs both user ID and password; ","")</f>
        <v/>
      </c>
    </row>
    <row r="828">
      <c r="A828" s="32" t="n"/>
      <c r="B828" s="33" t="n"/>
      <c r="C828" s="33" t="n"/>
      <c r="D828" s="33" t="n"/>
      <c r="E828" s="32" t="n"/>
      <c r="F828" s="32" t="n"/>
      <c r="G828" s="32" t="n"/>
      <c r="H828" s="32" t="n"/>
      <c r="I828" s="32" t="n"/>
      <c r="J828" s="34" t="n"/>
      <c r="K828" s="33" t="n"/>
      <c r="L828" s="32" t="n"/>
      <c r="M828" s="33" t="n"/>
      <c r="N828" s="33" t="n"/>
      <c r="O828" s="33" t="n"/>
      <c r="P828" s="32" t="n"/>
      <c r="Q828" s="33" t="n"/>
      <c r="R828" s="33" t="n"/>
      <c r="S828" s="33" t="n"/>
      <c r="T828" s="33" t="n"/>
      <c r="U828" s="32" t="n"/>
      <c r="V828" s="33" t="n"/>
      <c r="W828" s="33" t="n"/>
      <c r="X828" s="33" t="n"/>
      <c r="Y828" s="33" t="n"/>
      <c r="Z828" s="33" t="n"/>
      <c r="AA828" s="33" t="n"/>
      <c r="AB828" s="33" t="n"/>
      <c r="AC828" s="33" t="n"/>
      <c r="AD828" s="33" t="n"/>
      <c r="AE828" s="33" t="n"/>
      <c r="AF828" s="32" t="n"/>
      <c r="AG828" s="32" t="n"/>
      <c r="AH828" s="32" t="n"/>
      <c r="AI828" s="32" t="n"/>
      <c r="AJ828" s="32" t="n"/>
      <c r="AK828" s="32" t="n"/>
      <c r="AL828" s="32" t="n"/>
      <c r="AM828" s="32" t="n"/>
      <c r="AN828" s="32" t="n"/>
      <c r="AO828" s="32" t="n"/>
      <c r="AP828" s="32" t="n"/>
      <c r="AQ828" s="32" t="n"/>
      <c r="AR828" s="29">
        <f>IF(NOT(COUNTA(A828:AE828)&gt;0),"",IF(A828="","New client","Update"))</f>
        <v/>
      </c>
      <c r="AS828" s="29">
        <f>IF(BA828&lt;&gt;"",BA828,IF(LEN(AZ828)=15,MID(AZ828,3,10),""))</f>
        <v/>
      </c>
      <c r="AT828" s="29">
        <f>IF(BB828="","",BB828&amp;IF(D828="","  (guessed from PAN)",""))</f>
        <v/>
      </c>
      <c r="AU828" s="29">
        <f>IF(AZ828="","",IFERROR(INDEX(Lists!$L$2:$L$38,MATCH(LEFT(AZ828,2),Lists!$K$2:$K$38,0)),"Unknown code"))</f>
        <v/>
      </c>
      <c r="AV828" s="29">
        <f>IF(AZ828="","",IFERROR(IF(NOT(AND(LEN(AZ828)=15,ISNUMBER(MATCH(LEFT(AZ828,2),Lists!$K$2:$K$38,0)),SUMPRODUCT(--ISERROR(FIND(MID(MID(AZ828,3,10),{1,2,3,4,5,10},1),"ABCDEFGHIJKLMNOPQRSTUVWXYZ")))=0,SUMPRODUCT(--ISERROR(FIND(MID(MID(AZ828,3,10),{6,7,8,9},1),"0123456789")))=0,ISNUMBER(FIND(MID(AZ828,13,1),"123456789ABCDEFGHIJKLMNOPQRSTUVWXYZ")),MID(AZ828,14,1)="Z")),"Wrong format",IF(MID("0123456789ABCDEFGHIJKLMNOPQRSTUVWXYZ",MOD(36-MOD(SUMPRODUCT(INT((FIND(MID(AZ828,{1,2,3,4,5,6,7,8,9,10,11,12,13,14},1),"0123456789ABCDEFGHIJKLMNOPQRSTUVWXYZ")-1)*{1,2,1,2,1,2,1,2,1,2,1,2,1,2}/36)+MOD((FIND(MID(AZ828,{1,2,3,4,5,6,7,8,9,10,11,12,13,14},1),"0123456789ABCDEFGHIJKLMNOPQRSTUVWXYZ")-1)*{1,2,1,2,1,2,1,2,1,2,1,2,1,2},36)),36),36)+1,1)=MID(AZ828,15,1),"OK","Typo? check digit wrong")),"Wrong format"))</f>
        <v/>
      </c>
      <c r="AW828" s="29">
        <f>IF(BA828="","",IF(AND(LEN(BA828)=10,SUMPRODUCT(--ISERROR(FIND(MID(BA828,{1,2,3,4,5,10},1),"ABCDEFGHIJKLMNOPQRSTUVWXYZ")))=0,SUMPRODUCT(--ISERROR(FIND(MID(BA828,{6,7,8,9},1),"0123456789")))=0),"OK","Wrong format"))</f>
        <v/>
      </c>
      <c r="AX828" s="29">
        <f>IF(TRIM(H828)="","",IF(AND(LEN(UPPER(TRIM(H828)))=10,SUMPRODUCT(--ISERROR(FIND(MID(UPPER(TRIM(H828)),{1,2,3,4,10},1),"ABCDEFGHIJKLMNOPQRSTUVWXYZ")))=0,SUMPRODUCT(--ISERROR(FIND(MID(UPPER(TRIM(H828)),{5,6,7,8,9},1),"0123456789")))=0),"OK","Wrong format"))</f>
        <v/>
      </c>
      <c r="AY828" s="30">
        <f>IF(NOT(COUNTA(A828:AE828)&gt;0),"",IF(BE828&lt;&gt;"","✖ "&amp;LEFT(BE828,LEN(BE828)-2),IF(BD828&gt;0,"✔ Ready — client + "&amp;BD828&amp;" service(s)","✔ Ready — client only")))</f>
        <v/>
      </c>
      <c r="AZ828" s="31">
        <f>UPPER(SUBSTITUTE(TRIM(F828)," ",""))</f>
        <v/>
      </c>
      <c r="BA828" s="31">
        <f>UPPER(SUBSTITUTE(TRIM(E828)," ",""))</f>
        <v/>
      </c>
      <c r="BB828" s="31">
        <f>IF(D828&lt;&gt;"",D828,IFERROR(VLOOKUP(MID(AS828,4,1),Lists!$E$2:$F$8,2,FALSE),""))</f>
        <v/>
      </c>
      <c r="BC828" s="31">
        <f>IFERROR(VLOOKUP(BB828,Lists!$A$2:$C$12,3,FALSE),"")</f>
        <v/>
      </c>
      <c r="BD828" s="31">
        <f>COUNTIF(W828:AC828,"Yes")</f>
        <v/>
      </c>
      <c r="BE828" s="31">
        <f>IF(TRIM(B828)="","Legal name missing; ","")&amp;IF(AND(AV828&lt;&gt;"",AV828&lt;&gt;"OK"),"GSTIN: "&amp;AV828&amp;"; ","")&amp;IF(AND(AW828&lt;&gt;"",AW828&lt;&gt;"OK"),"PAN wrong format; ","")&amp;IF(AND(BA828&lt;&gt;"",LEN(AZ828)=15,MID(AZ828,3,10)&lt;&gt;BA828),"PAN does not match GSTIN; ","")&amp;IF(AND(AX828&lt;&gt;"",AX828&lt;&gt;"OK"),"TAN wrong format; ","")&amp;IF(AS828="","PAN missing; ","")&amp;IF(BB828="","Entity type missing; ","")&amp;IF(AND(AZ828&lt;&gt;"",COUNTIF($AZ$6:$AZ$1005,AZ828)&gt;1),"GSTIN repeated in this sheet; ","")&amp;IF(AND(AS828&lt;&gt;"",COUNTIF($AS$6:$AS$1005,AS828)&gt;1),"PAN repeated in this sheet (same client? put extra GSTINs in Other GSTINs); ","")&amp;IF(AND(BD828&gt;0,V828=""),"Financial year missing; ","")&amp;IF(AND(BD828=0,V828&lt;&gt;""),"Financial year given but no service is Yes; ","")&amp;IF(AND(W828="Yes",AZ828=""),"GST needs a GSTIN; ","")&amp;IF(AND(W828="Yes",X828=""),"GST return frequency missing; ","")&amp;IF(AND(Y828="Yes",TRIM(H828)=""),"TDS needs a TAN; ","")&amp;IF(AND(AA828="Yes",BC828&lt;&gt;"",BC828&lt;&gt;"company",BC828&lt;&gt;"llp"),"ROC is only for a company / LLP; ","")&amp;IF(AND(AA828="Yes",OR(BC828="company",BC828="llp"),TRIM(I828)=""),"ROC needs the CIN / LLPIN; ","")&amp;IF((TRIM(AF828)="")&lt;&gt;(TRIM(AG828)=""),"GST login needs both user ID and password; ","")&amp;IF((TRIM(AH828)="")&lt;&gt;(TRIM(AI828)=""),"Income-tax login needs both user ID and password; ","")&amp;IF((TRIM(AJ828)="")&lt;&gt;(TRIM(AK828)=""),"Income-tax login needs both user ID and password; ","")&amp;IF((TRIM(AL828)="")&lt;&gt;(TRIM(AM828)=""),"TRACES login needs both user ID and password; ","")&amp;IF((TRIM(AN828)="")&lt;&gt;(TRIM(AO828)=""),"MCA login needs both user ID and password; ","")&amp;IF((TRIM(AP828)="")&lt;&gt;(TRIM(AQ828)=""),"E-way bill login needs both user ID and password; ","")</f>
        <v/>
      </c>
    </row>
    <row r="829">
      <c r="A829" s="32" t="n"/>
      <c r="B829" s="33" t="n"/>
      <c r="C829" s="33" t="n"/>
      <c r="D829" s="33" t="n"/>
      <c r="E829" s="32" t="n"/>
      <c r="F829" s="32" t="n"/>
      <c r="G829" s="32" t="n"/>
      <c r="H829" s="32" t="n"/>
      <c r="I829" s="32" t="n"/>
      <c r="J829" s="34" t="n"/>
      <c r="K829" s="33" t="n"/>
      <c r="L829" s="32" t="n"/>
      <c r="M829" s="33" t="n"/>
      <c r="N829" s="33" t="n"/>
      <c r="O829" s="33" t="n"/>
      <c r="P829" s="32" t="n"/>
      <c r="Q829" s="33" t="n"/>
      <c r="R829" s="33" t="n"/>
      <c r="S829" s="33" t="n"/>
      <c r="T829" s="33" t="n"/>
      <c r="U829" s="32" t="n"/>
      <c r="V829" s="33" t="n"/>
      <c r="W829" s="33" t="n"/>
      <c r="X829" s="33" t="n"/>
      <c r="Y829" s="33" t="n"/>
      <c r="Z829" s="33" t="n"/>
      <c r="AA829" s="33" t="n"/>
      <c r="AB829" s="33" t="n"/>
      <c r="AC829" s="33" t="n"/>
      <c r="AD829" s="33" t="n"/>
      <c r="AE829" s="33" t="n"/>
      <c r="AF829" s="32" t="n"/>
      <c r="AG829" s="32" t="n"/>
      <c r="AH829" s="32" t="n"/>
      <c r="AI829" s="32" t="n"/>
      <c r="AJ829" s="32" t="n"/>
      <c r="AK829" s="32" t="n"/>
      <c r="AL829" s="32" t="n"/>
      <c r="AM829" s="32" t="n"/>
      <c r="AN829" s="32" t="n"/>
      <c r="AO829" s="32" t="n"/>
      <c r="AP829" s="32" t="n"/>
      <c r="AQ829" s="32" t="n"/>
      <c r="AR829" s="29">
        <f>IF(NOT(COUNTA(A829:AE829)&gt;0),"",IF(A829="","New client","Update"))</f>
        <v/>
      </c>
      <c r="AS829" s="29">
        <f>IF(BA829&lt;&gt;"",BA829,IF(LEN(AZ829)=15,MID(AZ829,3,10),""))</f>
        <v/>
      </c>
      <c r="AT829" s="29">
        <f>IF(BB829="","",BB829&amp;IF(D829="","  (guessed from PAN)",""))</f>
        <v/>
      </c>
      <c r="AU829" s="29">
        <f>IF(AZ829="","",IFERROR(INDEX(Lists!$L$2:$L$38,MATCH(LEFT(AZ829,2),Lists!$K$2:$K$38,0)),"Unknown code"))</f>
        <v/>
      </c>
      <c r="AV829" s="29">
        <f>IF(AZ829="","",IFERROR(IF(NOT(AND(LEN(AZ829)=15,ISNUMBER(MATCH(LEFT(AZ829,2),Lists!$K$2:$K$38,0)),SUMPRODUCT(--ISERROR(FIND(MID(MID(AZ829,3,10),{1,2,3,4,5,10},1),"ABCDEFGHIJKLMNOPQRSTUVWXYZ")))=0,SUMPRODUCT(--ISERROR(FIND(MID(MID(AZ829,3,10),{6,7,8,9},1),"0123456789")))=0,ISNUMBER(FIND(MID(AZ829,13,1),"123456789ABCDEFGHIJKLMNOPQRSTUVWXYZ")),MID(AZ829,14,1)="Z")),"Wrong format",IF(MID("0123456789ABCDEFGHIJKLMNOPQRSTUVWXYZ",MOD(36-MOD(SUMPRODUCT(INT((FIND(MID(AZ829,{1,2,3,4,5,6,7,8,9,10,11,12,13,14},1),"0123456789ABCDEFGHIJKLMNOPQRSTUVWXYZ")-1)*{1,2,1,2,1,2,1,2,1,2,1,2,1,2}/36)+MOD((FIND(MID(AZ829,{1,2,3,4,5,6,7,8,9,10,11,12,13,14},1),"0123456789ABCDEFGHIJKLMNOPQRSTUVWXYZ")-1)*{1,2,1,2,1,2,1,2,1,2,1,2,1,2},36)),36),36)+1,1)=MID(AZ829,15,1),"OK","Typo? check digit wrong")),"Wrong format"))</f>
        <v/>
      </c>
      <c r="AW829" s="29">
        <f>IF(BA829="","",IF(AND(LEN(BA829)=10,SUMPRODUCT(--ISERROR(FIND(MID(BA829,{1,2,3,4,5,10},1),"ABCDEFGHIJKLMNOPQRSTUVWXYZ")))=0,SUMPRODUCT(--ISERROR(FIND(MID(BA829,{6,7,8,9},1),"0123456789")))=0),"OK","Wrong format"))</f>
        <v/>
      </c>
      <c r="AX829" s="29">
        <f>IF(TRIM(H829)="","",IF(AND(LEN(UPPER(TRIM(H829)))=10,SUMPRODUCT(--ISERROR(FIND(MID(UPPER(TRIM(H829)),{1,2,3,4,10},1),"ABCDEFGHIJKLMNOPQRSTUVWXYZ")))=0,SUMPRODUCT(--ISERROR(FIND(MID(UPPER(TRIM(H829)),{5,6,7,8,9},1),"0123456789")))=0),"OK","Wrong format"))</f>
        <v/>
      </c>
      <c r="AY829" s="30">
        <f>IF(NOT(COUNTA(A829:AE829)&gt;0),"",IF(BE829&lt;&gt;"","✖ "&amp;LEFT(BE829,LEN(BE829)-2),IF(BD829&gt;0,"✔ Ready — client + "&amp;BD829&amp;" service(s)","✔ Ready — client only")))</f>
        <v/>
      </c>
      <c r="AZ829" s="31">
        <f>UPPER(SUBSTITUTE(TRIM(F829)," ",""))</f>
        <v/>
      </c>
      <c r="BA829" s="31">
        <f>UPPER(SUBSTITUTE(TRIM(E829)," ",""))</f>
        <v/>
      </c>
      <c r="BB829" s="31">
        <f>IF(D829&lt;&gt;"",D829,IFERROR(VLOOKUP(MID(AS829,4,1),Lists!$E$2:$F$8,2,FALSE),""))</f>
        <v/>
      </c>
      <c r="BC829" s="31">
        <f>IFERROR(VLOOKUP(BB829,Lists!$A$2:$C$12,3,FALSE),"")</f>
        <v/>
      </c>
      <c r="BD829" s="31">
        <f>COUNTIF(W829:AC829,"Yes")</f>
        <v/>
      </c>
      <c r="BE829" s="31">
        <f>IF(TRIM(B829)="","Legal name missing; ","")&amp;IF(AND(AV829&lt;&gt;"",AV829&lt;&gt;"OK"),"GSTIN: "&amp;AV829&amp;"; ","")&amp;IF(AND(AW829&lt;&gt;"",AW829&lt;&gt;"OK"),"PAN wrong format; ","")&amp;IF(AND(BA829&lt;&gt;"",LEN(AZ829)=15,MID(AZ829,3,10)&lt;&gt;BA829),"PAN does not match GSTIN; ","")&amp;IF(AND(AX829&lt;&gt;"",AX829&lt;&gt;"OK"),"TAN wrong format; ","")&amp;IF(AS829="","PAN missing; ","")&amp;IF(BB829="","Entity type missing; ","")&amp;IF(AND(AZ829&lt;&gt;"",COUNTIF($AZ$6:$AZ$1005,AZ829)&gt;1),"GSTIN repeated in this sheet; ","")&amp;IF(AND(AS829&lt;&gt;"",COUNTIF($AS$6:$AS$1005,AS829)&gt;1),"PAN repeated in this sheet (same client? put extra GSTINs in Other GSTINs); ","")&amp;IF(AND(BD829&gt;0,V829=""),"Financial year missing; ","")&amp;IF(AND(BD829=0,V829&lt;&gt;""),"Financial year given but no service is Yes; ","")&amp;IF(AND(W829="Yes",AZ829=""),"GST needs a GSTIN; ","")&amp;IF(AND(W829="Yes",X829=""),"GST return frequency missing; ","")&amp;IF(AND(Y829="Yes",TRIM(H829)=""),"TDS needs a TAN; ","")&amp;IF(AND(AA829="Yes",BC829&lt;&gt;"",BC829&lt;&gt;"company",BC829&lt;&gt;"llp"),"ROC is only for a company / LLP; ","")&amp;IF(AND(AA829="Yes",OR(BC829="company",BC829="llp"),TRIM(I829)=""),"ROC needs the CIN / LLPIN; ","")&amp;IF((TRIM(AF829)="")&lt;&gt;(TRIM(AG829)=""),"GST login needs both user ID and password; ","")&amp;IF((TRIM(AH829)="")&lt;&gt;(TRIM(AI829)=""),"Income-tax login needs both user ID and password; ","")&amp;IF((TRIM(AJ829)="")&lt;&gt;(TRIM(AK829)=""),"Income-tax login needs both user ID and password; ","")&amp;IF((TRIM(AL829)="")&lt;&gt;(TRIM(AM829)=""),"TRACES login needs both user ID and password; ","")&amp;IF((TRIM(AN829)="")&lt;&gt;(TRIM(AO829)=""),"MCA login needs both user ID and password; ","")&amp;IF((TRIM(AP829)="")&lt;&gt;(TRIM(AQ829)=""),"E-way bill login needs both user ID and password; ","")</f>
        <v/>
      </c>
    </row>
    <row r="830">
      <c r="A830" s="32" t="n"/>
      <c r="B830" s="33" t="n"/>
      <c r="C830" s="33" t="n"/>
      <c r="D830" s="33" t="n"/>
      <c r="E830" s="32" t="n"/>
      <c r="F830" s="32" t="n"/>
      <c r="G830" s="32" t="n"/>
      <c r="H830" s="32" t="n"/>
      <c r="I830" s="32" t="n"/>
      <c r="J830" s="34" t="n"/>
      <c r="K830" s="33" t="n"/>
      <c r="L830" s="32" t="n"/>
      <c r="M830" s="33" t="n"/>
      <c r="N830" s="33" t="n"/>
      <c r="O830" s="33" t="n"/>
      <c r="P830" s="32" t="n"/>
      <c r="Q830" s="33" t="n"/>
      <c r="R830" s="33" t="n"/>
      <c r="S830" s="33" t="n"/>
      <c r="T830" s="33" t="n"/>
      <c r="U830" s="32" t="n"/>
      <c r="V830" s="33" t="n"/>
      <c r="W830" s="33" t="n"/>
      <c r="X830" s="33" t="n"/>
      <c r="Y830" s="33" t="n"/>
      <c r="Z830" s="33" t="n"/>
      <c r="AA830" s="33" t="n"/>
      <c r="AB830" s="33" t="n"/>
      <c r="AC830" s="33" t="n"/>
      <c r="AD830" s="33" t="n"/>
      <c r="AE830" s="33" t="n"/>
      <c r="AF830" s="32" t="n"/>
      <c r="AG830" s="32" t="n"/>
      <c r="AH830" s="32" t="n"/>
      <c r="AI830" s="32" t="n"/>
      <c r="AJ830" s="32" t="n"/>
      <c r="AK830" s="32" t="n"/>
      <c r="AL830" s="32" t="n"/>
      <c r="AM830" s="32" t="n"/>
      <c r="AN830" s="32" t="n"/>
      <c r="AO830" s="32" t="n"/>
      <c r="AP830" s="32" t="n"/>
      <c r="AQ830" s="32" t="n"/>
      <c r="AR830" s="29">
        <f>IF(NOT(COUNTA(A830:AE830)&gt;0),"",IF(A830="","New client","Update"))</f>
        <v/>
      </c>
      <c r="AS830" s="29">
        <f>IF(BA830&lt;&gt;"",BA830,IF(LEN(AZ830)=15,MID(AZ830,3,10),""))</f>
        <v/>
      </c>
      <c r="AT830" s="29">
        <f>IF(BB830="","",BB830&amp;IF(D830="","  (guessed from PAN)",""))</f>
        <v/>
      </c>
      <c r="AU830" s="29">
        <f>IF(AZ830="","",IFERROR(INDEX(Lists!$L$2:$L$38,MATCH(LEFT(AZ830,2),Lists!$K$2:$K$38,0)),"Unknown code"))</f>
        <v/>
      </c>
      <c r="AV830" s="29">
        <f>IF(AZ830="","",IFERROR(IF(NOT(AND(LEN(AZ830)=15,ISNUMBER(MATCH(LEFT(AZ830,2),Lists!$K$2:$K$38,0)),SUMPRODUCT(--ISERROR(FIND(MID(MID(AZ830,3,10),{1,2,3,4,5,10},1),"ABCDEFGHIJKLMNOPQRSTUVWXYZ")))=0,SUMPRODUCT(--ISERROR(FIND(MID(MID(AZ830,3,10),{6,7,8,9},1),"0123456789")))=0,ISNUMBER(FIND(MID(AZ830,13,1),"123456789ABCDEFGHIJKLMNOPQRSTUVWXYZ")),MID(AZ830,14,1)="Z")),"Wrong format",IF(MID("0123456789ABCDEFGHIJKLMNOPQRSTUVWXYZ",MOD(36-MOD(SUMPRODUCT(INT((FIND(MID(AZ830,{1,2,3,4,5,6,7,8,9,10,11,12,13,14},1),"0123456789ABCDEFGHIJKLMNOPQRSTUVWXYZ")-1)*{1,2,1,2,1,2,1,2,1,2,1,2,1,2}/36)+MOD((FIND(MID(AZ830,{1,2,3,4,5,6,7,8,9,10,11,12,13,14},1),"0123456789ABCDEFGHIJKLMNOPQRSTUVWXYZ")-1)*{1,2,1,2,1,2,1,2,1,2,1,2,1,2},36)),36),36)+1,1)=MID(AZ830,15,1),"OK","Typo? check digit wrong")),"Wrong format"))</f>
        <v/>
      </c>
      <c r="AW830" s="29">
        <f>IF(BA830="","",IF(AND(LEN(BA830)=10,SUMPRODUCT(--ISERROR(FIND(MID(BA830,{1,2,3,4,5,10},1),"ABCDEFGHIJKLMNOPQRSTUVWXYZ")))=0,SUMPRODUCT(--ISERROR(FIND(MID(BA830,{6,7,8,9},1),"0123456789")))=0),"OK","Wrong format"))</f>
        <v/>
      </c>
      <c r="AX830" s="29">
        <f>IF(TRIM(H830)="","",IF(AND(LEN(UPPER(TRIM(H830)))=10,SUMPRODUCT(--ISERROR(FIND(MID(UPPER(TRIM(H830)),{1,2,3,4,10},1),"ABCDEFGHIJKLMNOPQRSTUVWXYZ")))=0,SUMPRODUCT(--ISERROR(FIND(MID(UPPER(TRIM(H830)),{5,6,7,8,9},1),"0123456789")))=0),"OK","Wrong format"))</f>
        <v/>
      </c>
      <c r="AY830" s="30">
        <f>IF(NOT(COUNTA(A830:AE830)&gt;0),"",IF(BE830&lt;&gt;"","✖ "&amp;LEFT(BE830,LEN(BE830)-2),IF(BD830&gt;0,"✔ Ready — client + "&amp;BD830&amp;" service(s)","✔ Ready — client only")))</f>
        <v/>
      </c>
      <c r="AZ830" s="31">
        <f>UPPER(SUBSTITUTE(TRIM(F830)," ",""))</f>
        <v/>
      </c>
      <c r="BA830" s="31">
        <f>UPPER(SUBSTITUTE(TRIM(E830)," ",""))</f>
        <v/>
      </c>
      <c r="BB830" s="31">
        <f>IF(D830&lt;&gt;"",D830,IFERROR(VLOOKUP(MID(AS830,4,1),Lists!$E$2:$F$8,2,FALSE),""))</f>
        <v/>
      </c>
      <c r="BC830" s="31">
        <f>IFERROR(VLOOKUP(BB830,Lists!$A$2:$C$12,3,FALSE),"")</f>
        <v/>
      </c>
      <c r="BD830" s="31">
        <f>COUNTIF(W830:AC830,"Yes")</f>
        <v/>
      </c>
      <c r="BE830" s="31">
        <f>IF(TRIM(B830)="","Legal name missing; ","")&amp;IF(AND(AV830&lt;&gt;"",AV830&lt;&gt;"OK"),"GSTIN: "&amp;AV830&amp;"; ","")&amp;IF(AND(AW830&lt;&gt;"",AW830&lt;&gt;"OK"),"PAN wrong format; ","")&amp;IF(AND(BA830&lt;&gt;"",LEN(AZ830)=15,MID(AZ830,3,10)&lt;&gt;BA830),"PAN does not match GSTIN; ","")&amp;IF(AND(AX830&lt;&gt;"",AX830&lt;&gt;"OK"),"TAN wrong format; ","")&amp;IF(AS830="","PAN missing; ","")&amp;IF(BB830="","Entity type missing; ","")&amp;IF(AND(AZ830&lt;&gt;"",COUNTIF($AZ$6:$AZ$1005,AZ830)&gt;1),"GSTIN repeated in this sheet; ","")&amp;IF(AND(AS830&lt;&gt;"",COUNTIF($AS$6:$AS$1005,AS830)&gt;1),"PAN repeated in this sheet (same client? put extra GSTINs in Other GSTINs); ","")&amp;IF(AND(BD830&gt;0,V830=""),"Financial year missing; ","")&amp;IF(AND(BD830=0,V830&lt;&gt;""),"Financial year given but no service is Yes; ","")&amp;IF(AND(W830="Yes",AZ830=""),"GST needs a GSTIN; ","")&amp;IF(AND(W830="Yes",X830=""),"GST return frequency missing; ","")&amp;IF(AND(Y830="Yes",TRIM(H830)=""),"TDS needs a TAN; ","")&amp;IF(AND(AA830="Yes",BC830&lt;&gt;"",BC830&lt;&gt;"company",BC830&lt;&gt;"llp"),"ROC is only for a company / LLP; ","")&amp;IF(AND(AA830="Yes",OR(BC830="company",BC830="llp"),TRIM(I830)=""),"ROC needs the CIN / LLPIN; ","")&amp;IF((TRIM(AF830)="")&lt;&gt;(TRIM(AG830)=""),"GST login needs both user ID and password; ","")&amp;IF((TRIM(AH830)="")&lt;&gt;(TRIM(AI830)=""),"Income-tax login needs both user ID and password; ","")&amp;IF((TRIM(AJ830)="")&lt;&gt;(TRIM(AK830)=""),"Income-tax login needs both user ID and password; ","")&amp;IF((TRIM(AL830)="")&lt;&gt;(TRIM(AM830)=""),"TRACES login needs both user ID and password; ","")&amp;IF((TRIM(AN830)="")&lt;&gt;(TRIM(AO830)=""),"MCA login needs both user ID and password; ","")&amp;IF((TRIM(AP830)="")&lt;&gt;(TRIM(AQ830)=""),"E-way bill login needs both user ID and password; ","")</f>
        <v/>
      </c>
    </row>
    <row r="831">
      <c r="A831" s="32" t="n"/>
      <c r="B831" s="33" t="n"/>
      <c r="C831" s="33" t="n"/>
      <c r="D831" s="33" t="n"/>
      <c r="E831" s="32" t="n"/>
      <c r="F831" s="32" t="n"/>
      <c r="G831" s="32" t="n"/>
      <c r="H831" s="32" t="n"/>
      <c r="I831" s="32" t="n"/>
      <c r="J831" s="34" t="n"/>
      <c r="K831" s="33" t="n"/>
      <c r="L831" s="32" t="n"/>
      <c r="M831" s="33" t="n"/>
      <c r="N831" s="33" t="n"/>
      <c r="O831" s="33" t="n"/>
      <c r="P831" s="32" t="n"/>
      <c r="Q831" s="33" t="n"/>
      <c r="R831" s="33" t="n"/>
      <c r="S831" s="33" t="n"/>
      <c r="T831" s="33" t="n"/>
      <c r="U831" s="32" t="n"/>
      <c r="V831" s="33" t="n"/>
      <c r="W831" s="33" t="n"/>
      <c r="X831" s="33" t="n"/>
      <c r="Y831" s="33" t="n"/>
      <c r="Z831" s="33" t="n"/>
      <c r="AA831" s="33" t="n"/>
      <c r="AB831" s="33" t="n"/>
      <c r="AC831" s="33" t="n"/>
      <c r="AD831" s="33" t="n"/>
      <c r="AE831" s="33" t="n"/>
      <c r="AF831" s="32" t="n"/>
      <c r="AG831" s="32" t="n"/>
      <c r="AH831" s="32" t="n"/>
      <c r="AI831" s="32" t="n"/>
      <c r="AJ831" s="32" t="n"/>
      <c r="AK831" s="32" t="n"/>
      <c r="AL831" s="32" t="n"/>
      <c r="AM831" s="32" t="n"/>
      <c r="AN831" s="32" t="n"/>
      <c r="AO831" s="32" t="n"/>
      <c r="AP831" s="32" t="n"/>
      <c r="AQ831" s="32" t="n"/>
      <c r="AR831" s="29">
        <f>IF(NOT(COUNTA(A831:AE831)&gt;0),"",IF(A831="","New client","Update"))</f>
        <v/>
      </c>
      <c r="AS831" s="29">
        <f>IF(BA831&lt;&gt;"",BA831,IF(LEN(AZ831)=15,MID(AZ831,3,10),""))</f>
        <v/>
      </c>
      <c r="AT831" s="29">
        <f>IF(BB831="","",BB831&amp;IF(D831="","  (guessed from PAN)",""))</f>
        <v/>
      </c>
      <c r="AU831" s="29">
        <f>IF(AZ831="","",IFERROR(INDEX(Lists!$L$2:$L$38,MATCH(LEFT(AZ831,2),Lists!$K$2:$K$38,0)),"Unknown code"))</f>
        <v/>
      </c>
      <c r="AV831" s="29">
        <f>IF(AZ831="","",IFERROR(IF(NOT(AND(LEN(AZ831)=15,ISNUMBER(MATCH(LEFT(AZ831,2),Lists!$K$2:$K$38,0)),SUMPRODUCT(--ISERROR(FIND(MID(MID(AZ831,3,10),{1,2,3,4,5,10},1),"ABCDEFGHIJKLMNOPQRSTUVWXYZ")))=0,SUMPRODUCT(--ISERROR(FIND(MID(MID(AZ831,3,10),{6,7,8,9},1),"0123456789")))=0,ISNUMBER(FIND(MID(AZ831,13,1),"123456789ABCDEFGHIJKLMNOPQRSTUVWXYZ")),MID(AZ831,14,1)="Z")),"Wrong format",IF(MID("0123456789ABCDEFGHIJKLMNOPQRSTUVWXYZ",MOD(36-MOD(SUMPRODUCT(INT((FIND(MID(AZ831,{1,2,3,4,5,6,7,8,9,10,11,12,13,14},1),"0123456789ABCDEFGHIJKLMNOPQRSTUVWXYZ")-1)*{1,2,1,2,1,2,1,2,1,2,1,2,1,2}/36)+MOD((FIND(MID(AZ831,{1,2,3,4,5,6,7,8,9,10,11,12,13,14},1),"0123456789ABCDEFGHIJKLMNOPQRSTUVWXYZ")-1)*{1,2,1,2,1,2,1,2,1,2,1,2,1,2},36)),36),36)+1,1)=MID(AZ831,15,1),"OK","Typo? check digit wrong")),"Wrong format"))</f>
        <v/>
      </c>
      <c r="AW831" s="29">
        <f>IF(BA831="","",IF(AND(LEN(BA831)=10,SUMPRODUCT(--ISERROR(FIND(MID(BA831,{1,2,3,4,5,10},1),"ABCDEFGHIJKLMNOPQRSTUVWXYZ")))=0,SUMPRODUCT(--ISERROR(FIND(MID(BA831,{6,7,8,9},1),"0123456789")))=0),"OK","Wrong format"))</f>
        <v/>
      </c>
      <c r="AX831" s="29">
        <f>IF(TRIM(H831)="","",IF(AND(LEN(UPPER(TRIM(H831)))=10,SUMPRODUCT(--ISERROR(FIND(MID(UPPER(TRIM(H831)),{1,2,3,4,10},1),"ABCDEFGHIJKLMNOPQRSTUVWXYZ")))=0,SUMPRODUCT(--ISERROR(FIND(MID(UPPER(TRIM(H831)),{5,6,7,8,9},1),"0123456789")))=0),"OK","Wrong format"))</f>
        <v/>
      </c>
      <c r="AY831" s="30">
        <f>IF(NOT(COUNTA(A831:AE831)&gt;0),"",IF(BE831&lt;&gt;"","✖ "&amp;LEFT(BE831,LEN(BE831)-2),IF(BD831&gt;0,"✔ Ready — client + "&amp;BD831&amp;" service(s)","✔ Ready — client only")))</f>
        <v/>
      </c>
      <c r="AZ831" s="31">
        <f>UPPER(SUBSTITUTE(TRIM(F831)," ",""))</f>
        <v/>
      </c>
      <c r="BA831" s="31">
        <f>UPPER(SUBSTITUTE(TRIM(E831)," ",""))</f>
        <v/>
      </c>
      <c r="BB831" s="31">
        <f>IF(D831&lt;&gt;"",D831,IFERROR(VLOOKUP(MID(AS831,4,1),Lists!$E$2:$F$8,2,FALSE),""))</f>
        <v/>
      </c>
      <c r="BC831" s="31">
        <f>IFERROR(VLOOKUP(BB831,Lists!$A$2:$C$12,3,FALSE),"")</f>
        <v/>
      </c>
      <c r="BD831" s="31">
        <f>COUNTIF(W831:AC831,"Yes")</f>
        <v/>
      </c>
      <c r="BE831" s="31">
        <f>IF(TRIM(B831)="","Legal name missing; ","")&amp;IF(AND(AV831&lt;&gt;"",AV831&lt;&gt;"OK"),"GSTIN: "&amp;AV831&amp;"; ","")&amp;IF(AND(AW831&lt;&gt;"",AW831&lt;&gt;"OK"),"PAN wrong format; ","")&amp;IF(AND(BA831&lt;&gt;"",LEN(AZ831)=15,MID(AZ831,3,10)&lt;&gt;BA831),"PAN does not match GSTIN; ","")&amp;IF(AND(AX831&lt;&gt;"",AX831&lt;&gt;"OK"),"TAN wrong format; ","")&amp;IF(AS831="","PAN missing; ","")&amp;IF(BB831="","Entity type missing; ","")&amp;IF(AND(AZ831&lt;&gt;"",COUNTIF($AZ$6:$AZ$1005,AZ831)&gt;1),"GSTIN repeated in this sheet; ","")&amp;IF(AND(AS831&lt;&gt;"",COUNTIF($AS$6:$AS$1005,AS831)&gt;1),"PAN repeated in this sheet (same client? put extra GSTINs in Other GSTINs); ","")&amp;IF(AND(BD831&gt;0,V831=""),"Financial year missing; ","")&amp;IF(AND(BD831=0,V831&lt;&gt;""),"Financial year given but no service is Yes; ","")&amp;IF(AND(W831="Yes",AZ831=""),"GST needs a GSTIN; ","")&amp;IF(AND(W831="Yes",X831=""),"GST return frequency missing; ","")&amp;IF(AND(Y831="Yes",TRIM(H831)=""),"TDS needs a TAN; ","")&amp;IF(AND(AA831="Yes",BC831&lt;&gt;"",BC831&lt;&gt;"company",BC831&lt;&gt;"llp"),"ROC is only for a company / LLP; ","")&amp;IF(AND(AA831="Yes",OR(BC831="company",BC831="llp"),TRIM(I831)=""),"ROC needs the CIN / LLPIN; ","")&amp;IF((TRIM(AF831)="")&lt;&gt;(TRIM(AG831)=""),"GST login needs both user ID and password; ","")&amp;IF((TRIM(AH831)="")&lt;&gt;(TRIM(AI831)=""),"Income-tax login needs both user ID and password; ","")&amp;IF((TRIM(AJ831)="")&lt;&gt;(TRIM(AK831)=""),"Income-tax login needs both user ID and password; ","")&amp;IF((TRIM(AL831)="")&lt;&gt;(TRIM(AM831)=""),"TRACES login needs both user ID and password; ","")&amp;IF((TRIM(AN831)="")&lt;&gt;(TRIM(AO831)=""),"MCA login needs both user ID and password; ","")&amp;IF((TRIM(AP831)="")&lt;&gt;(TRIM(AQ831)=""),"E-way bill login needs both user ID and password; ","")</f>
        <v/>
      </c>
    </row>
    <row r="832">
      <c r="A832" s="32" t="n"/>
      <c r="B832" s="33" t="n"/>
      <c r="C832" s="33" t="n"/>
      <c r="D832" s="33" t="n"/>
      <c r="E832" s="32" t="n"/>
      <c r="F832" s="32" t="n"/>
      <c r="G832" s="32" t="n"/>
      <c r="H832" s="32" t="n"/>
      <c r="I832" s="32" t="n"/>
      <c r="J832" s="34" t="n"/>
      <c r="K832" s="33" t="n"/>
      <c r="L832" s="32" t="n"/>
      <c r="M832" s="33" t="n"/>
      <c r="N832" s="33" t="n"/>
      <c r="O832" s="33" t="n"/>
      <c r="P832" s="32" t="n"/>
      <c r="Q832" s="33" t="n"/>
      <c r="R832" s="33" t="n"/>
      <c r="S832" s="33" t="n"/>
      <c r="T832" s="33" t="n"/>
      <c r="U832" s="32" t="n"/>
      <c r="V832" s="33" t="n"/>
      <c r="W832" s="33" t="n"/>
      <c r="X832" s="33" t="n"/>
      <c r="Y832" s="33" t="n"/>
      <c r="Z832" s="33" t="n"/>
      <c r="AA832" s="33" t="n"/>
      <c r="AB832" s="33" t="n"/>
      <c r="AC832" s="33" t="n"/>
      <c r="AD832" s="33" t="n"/>
      <c r="AE832" s="33" t="n"/>
      <c r="AF832" s="32" t="n"/>
      <c r="AG832" s="32" t="n"/>
      <c r="AH832" s="32" t="n"/>
      <c r="AI832" s="32" t="n"/>
      <c r="AJ832" s="32" t="n"/>
      <c r="AK832" s="32" t="n"/>
      <c r="AL832" s="32" t="n"/>
      <c r="AM832" s="32" t="n"/>
      <c r="AN832" s="32" t="n"/>
      <c r="AO832" s="32" t="n"/>
      <c r="AP832" s="32" t="n"/>
      <c r="AQ832" s="32" t="n"/>
      <c r="AR832" s="29">
        <f>IF(NOT(COUNTA(A832:AE832)&gt;0),"",IF(A832="","New client","Update"))</f>
        <v/>
      </c>
      <c r="AS832" s="29">
        <f>IF(BA832&lt;&gt;"",BA832,IF(LEN(AZ832)=15,MID(AZ832,3,10),""))</f>
        <v/>
      </c>
      <c r="AT832" s="29">
        <f>IF(BB832="","",BB832&amp;IF(D832="","  (guessed from PAN)",""))</f>
        <v/>
      </c>
      <c r="AU832" s="29">
        <f>IF(AZ832="","",IFERROR(INDEX(Lists!$L$2:$L$38,MATCH(LEFT(AZ832,2),Lists!$K$2:$K$38,0)),"Unknown code"))</f>
        <v/>
      </c>
      <c r="AV832" s="29">
        <f>IF(AZ832="","",IFERROR(IF(NOT(AND(LEN(AZ832)=15,ISNUMBER(MATCH(LEFT(AZ832,2),Lists!$K$2:$K$38,0)),SUMPRODUCT(--ISERROR(FIND(MID(MID(AZ832,3,10),{1,2,3,4,5,10},1),"ABCDEFGHIJKLMNOPQRSTUVWXYZ")))=0,SUMPRODUCT(--ISERROR(FIND(MID(MID(AZ832,3,10),{6,7,8,9},1),"0123456789")))=0,ISNUMBER(FIND(MID(AZ832,13,1),"123456789ABCDEFGHIJKLMNOPQRSTUVWXYZ")),MID(AZ832,14,1)="Z")),"Wrong format",IF(MID("0123456789ABCDEFGHIJKLMNOPQRSTUVWXYZ",MOD(36-MOD(SUMPRODUCT(INT((FIND(MID(AZ832,{1,2,3,4,5,6,7,8,9,10,11,12,13,14},1),"0123456789ABCDEFGHIJKLMNOPQRSTUVWXYZ")-1)*{1,2,1,2,1,2,1,2,1,2,1,2,1,2}/36)+MOD((FIND(MID(AZ832,{1,2,3,4,5,6,7,8,9,10,11,12,13,14},1),"0123456789ABCDEFGHIJKLMNOPQRSTUVWXYZ")-1)*{1,2,1,2,1,2,1,2,1,2,1,2,1,2},36)),36),36)+1,1)=MID(AZ832,15,1),"OK","Typo? check digit wrong")),"Wrong format"))</f>
        <v/>
      </c>
      <c r="AW832" s="29">
        <f>IF(BA832="","",IF(AND(LEN(BA832)=10,SUMPRODUCT(--ISERROR(FIND(MID(BA832,{1,2,3,4,5,10},1),"ABCDEFGHIJKLMNOPQRSTUVWXYZ")))=0,SUMPRODUCT(--ISERROR(FIND(MID(BA832,{6,7,8,9},1),"0123456789")))=0),"OK","Wrong format"))</f>
        <v/>
      </c>
      <c r="AX832" s="29">
        <f>IF(TRIM(H832)="","",IF(AND(LEN(UPPER(TRIM(H832)))=10,SUMPRODUCT(--ISERROR(FIND(MID(UPPER(TRIM(H832)),{1,2,3,4,10},1),"ABCDEFGHIJKLMNOPQRSTUVWXYZ")))=0,SUMPRODUCT(--ISERROR(FIND(MID(UPPER(TRIM(H832)),{5,6,7,8,9},1),"0123456789")))=0),"OK","Wrong format"))</f>
        <v/>
      </c>
      <c r="AY832" s="30">
        <f>IF(NOT(COUNTA(A832:AE832)&gt;0),"",IF(BE832&lt;&gt;"","✖ "&amp;LEFT(BE832,LEN(BE832)-2),IF(BD832&gt;0,"✔ Ready — client + "&amp;BD832&amp;" service(s)","✔ Ready — client only")))</f>
        <v/>
      </c>
      <c r="AZ832" s="31">
        <f>UPPER(SUBSTITUTE(TRIM(F832)," ",""))</f>
        <v/>
      </c>
      <c r="BA832" s="31">
        <f>UPPER(SUBSTITUTE(TRIM(E832)," ",""))</f>
        <v/>
      </c>
      <c r="BB832" s="31">
        <f>IF(D832&lt;&gt;"",D832,IFERROR(VLOOKUP(MID(AS832,4,1),Lists!$E$2:$F$8,2,FALSE),""))</f>
        <v/>
      </c>
      <c r="BC832" s="31">
        <f>IFERROR(VLOOKUP(BB832,Lists!$A$2:$C$12,3,FALSE),"")</f>
        <v/>
      </c>
      <c r="BD832" s="31">
        <f>COUNTIF(W832:AC832,"Yes")</f>
        <v/>
      </c>
      <c r="BE832" s="31">
        <f>IF(TRIM(B832)="","Legal name missing; ","")&amp;IF(AND(AV832&lt;&gt;"",AV832&lt;&gt;"OK"),"GSTIN: "&amp;AV832&amp;"; ","")&amp;IF(AND(AW832&lt;&gt;"",AW832&lt;&gt;"OK"),"PAN wrong format; ","")&amp;IF(AND(BA832&lt;&gt;"",LEN(AZ832)=15,MID(AZ832,3,10)&lt;&gt;BA832),"PAN does not match GSTIN; ","")&amp;IF(AND(AX832&lt;&gt;"",AX832&lt;&gt;"OK"),"TAN wrong format; ","")&amp;IF(AS832="","PAN missing; ","")&amp;IF(BB832="","Entity type missing; ","")&amp;IF(AND(AZ832&lt;&gt;"",COUNTIF($AZ$6:$AZ$1005,AZ832)&gt;1),"GSTIN repeated in this sheet; ","")&amp;IF(AND(AS832&lt;&gt;"",COUNTIF($AS$6:$AS$1005,AS832)&gt;1),"PAN repeated in this sheet (same client? put extra GSTINs in Other GSTINs); ","")&amp;IF(AND(BD832&gt;0,V832=""),"Financial year missing; ","")&amp;IF(AND(BD832=0,V832&lt;&gt;""),"Financial year given but no service is Yes; ","")&amp;IF(AND(W832="Yes",AZ832=""),"GST needs a GSTIN; ","")&amp;IF(AND(W832="Yes",X832=""),"GST return frequency missing; ","")&amp;IF(AND(Y832="Yes",TRIM(H832)=""),"TDS needs a TAN; ","")&amp;IF(AND(AA832="Yes",BC832&lt;&gt;"",BC832&lt;&gt;"company",BC832&lt;&gt;"llp"),"ROC is only for a company / LLP; ","")&amp;IF(AND(AA832="Yes",OR(BC832="company",BC832="llp"),TRIM(I832)=""),"ROC needs the CIN / LLPIN; ","")&amp;IF((TRIM(AF832)="")&lt;&gt;(TRIM(AG832)=""),"GST login needs both user ID and password; ","")&amp;IF((TRIM(AH832)="")&lt;&gt;(TRIM(AI832)=""),"Income-tax login needs both user ID and password; ","")&amp;IF((TRIM(AJ832)="")&lt;&gt;(TRIM(AK832)=""),"Income-tax login needs both user ID and password; ","")&amp;IF((TRIM(AL832)="")&lt;&gt;(TRIM(AM832)=""),"TRACES login needs both user ID and password; ","")&amp;IF((TRIM(AN832)="")&lt;&gt;(TRIM(AO832)=""),"MCA login needs both user ID and password; ","")&amp;IF((TRIM(AP832)="")&lt;&gt;(TRIM(AQ832)=""),"E-way bill login needs both user ID and password; ","")</f>
        <v/>
      </c>
    </row>
    <row r="833">
      <c r="A833" s="32" t="n"/>
      <c r="B833" s="33" t="n"/>
      <c r="C833" s="33" t="n"/>
      <c r="D833" s="33" t="n"/>
      <c r="E833" s="32" t="n"/>
      <c r="F833" s="32" t="n"/>
      <c r="G833" s="32" t="n"/>
      <c r="H833" s="32" t="n"/>
      <c r="I833" s="32" t="n"/>
      <c r="J833" s="34" t="n"/>
      <c r="K833" s="33" t="n"/>
      <c r="L833" s="32" t="n"/>
      <c r="M833" s="33" t="n"/>
      <c r="N833" s="33" t="n"/>
      <c r="O833" s="33" t="n"/>
      <c r="P833" s="32" t="n"/>
      <c r="Q833" s="33" t="n"/>
      <c r="R833" s="33" t="n"/>
      <c r="S833" s="33" t="n"/>
      <c r="T833" s="33" t="n"/>
      <c r="U833" s="32" t="n"/>
      <c r="V833" s="33" t="n"/>
      <c r="W833" s="33" t="n"/>
      <c r="X833" s="33" t="n"/>
      <c r="Y833" s="33" t="n"/>
      <c r="Z833" s="33" t="n"/>
      <c r="AA833" s="33" t="n"/>
      <c r="AB833" s="33" t="n"/>
      <c r="AC833" s="33" t="n"/>
      <c r="AD833" s="33" t="n"/>
      <c r="AE833" s="33" t="n"/>
      <c r="AF833" s="32" t="n"/>
      <c r="AG833" s="32" t="n"/>
      <c r="AH833" s="32" t="n"/>
      <c r="AI833" s="32" t="n"/>
      <c r="AJ833" s="32" t="n"/>
      <c r="AK833" s="32" t="n"/>
      <c r="AL833" s="32" t="n"/>
      <c r="AM833" s="32" t="n"/>
      <c r="AN833" s="32" t="n"/>
      <c r="AO833" s="32" t="n"/>
      <c r="AP833" s="32" t="n"/>
      <c r="AQ833" s="32" t="n"/>
      <c r="AR833" s="29">
        <f>IF(NOT(COUNTA(A833:AE833)&gt;0),"",IF(A833="","New client","Update"))</f>
        <v/>
      </c>
      <c r="AS833" s="29">
        <f>IF(BA833&lt;&gt;"",BA833,IF(LEN(AZ833)=15,MID(AZ833,3,10),""))</f>
        <v/>
      </c>
      <c r="AT833" s="29">
        <f>IF(BB833="","",BB833&amp;IF(D833="","  (guessed from PAN)",""))</f>
        <v/>
      </c>
      <c r="AU833" s="29">
        <f>IF(AZ833="","",IFERROR(INDEX(Lists!$L$2:$L$38,MATCH(LEFT(AZ833,2),Lists!$K$2:$K$38,0)),"Unknown code"))</f>
        <v/>
      </c>
      <c r="AV833" s="29">
        <f>IF(AZ833="","",IFERROR(IF(NOT(AND(LEN(AZ833)=15,ISNUMBER(MATCH(LEFT(AZ833,2),Lists!$K$2:$K$38,0)),SUMPRODUCT(--ISERROR(FIND(MID(MID(AZ833,3,10),{1,2,3,4,5,10},1),"ABCDEFGHIJKLMNOPQRSTUVWXYZ")))=0,SUMPRODUCT(--ISERROR(FIND(MID(MID(AZ833,3,10),{6,7,8,9},1),"0123456789")))=0,ISNUMBER(FIND(MID(AZ833,13,1),"123456789ABCDEFGHIJKLMNOPQRSTUVWXYZ")),MID(AZ833,14,1)="Z")),"Wrong format",IF(MID("0123456789ABCDEFGHIJKLMNOPQRSTUVWXYZ",MOD(36-MOD(SUMPRODUCT(INT((FIND(MID(AZ833,{1,2,3,4,5,6,7,8,9,10,11,12,13,14},1),"0123456789ABCDEFGHIJKLMNOPQRSTUVWXYZ")-1)*{1,2,1,2,1,2,1,2,1,2,1,2,1,2}/36)+MOD((FIND(MID(AZ833,{1,2,3,4,5,6,7,8,9,10,11,12,13,14},1),"0123456789ABCDEFGHIJKLMNOPQRSTUVWXYZ")-1)*{1,2,1,2,1,2,1,2,1,2,1,2,1,2},36)),36),36)+1,1)=MID(AZ833,15,1),"OK","Typo? check digit wrong")),"Wrong format"))</f>
        <v/>
      </c>
      <c r="AW833" s="29">
        <f>IF(BA833="","",IF(AND(LEN(BA833)=10,SUMPRODUCT(--ISERROR(FIND(MID(BA833,{1,2,3,4,5,10},1),"ABCDEFGHIJKLMNOPQRSTUVWXYZ")))=0,SUMPRODUCT(--ISERROR(FIND(MID(BA833,{6,7,8,9},1),"0123456789")))=0),"OK","Wrong format"))</f>
        <v/>
      </c>
      <c r="AX833" s="29">
        <f>IF(TRIM(H833)="","",IF(AND(LEN(UPPER(TRIM(H833)))=10,SUMPRODUCT(--ISERROR(FIND(MID(UPPER(TRIM(H833)),{1,2,3,4,10},1),"ABCDEFGHIJKLMNOPQRSTUVWXYZ")))=0,SUMPRODUCT(--ISERROR(FIND(MID(UPPER(TRIM(H833)),{5,6,7,8,9},1),"0123456789")))=0),"OK","Wrong format"))</f>
        <v/>
      </c>
      <c r="AY833" s="30">
        <f>IF(NOT(COUNTA(A833:AE833)&gt;0),"",IF(BE833&lt;&gt;"","✖ "&amp;LEFT(BE833,LEN(BE833)-2),IF(BD833&gt;0,"✔ Ready — client + "&amp;BD833&amp;" service(s)","✔ Ready — client only")))</f>
        <v/>
      </c>
      <c r="AZ833" s="31">
        <f>UPPER(SUBSTITUTE(TRIM(F833)," ",""))</f>
        <v/>
      </c>
      <c r="BA833" s="31">
        <f>UPPER(SUBSTITUTE(TRIM(E833)," ",""))</f>
        <v/>
      </c>
      <c r="BB833" s="31">
        <f>IF(D833&lt;&gt;"",D833,IFERROR(VLOOKUP(MID(AS833,4,1),Lists!$E$2:$F$8,2,FALSE),""))</f>
        <v/>
      </c>
      <c r="BC833" s="31">
        <f>IFERROR(VLOOKUP(BB833,Lists!$A$2:$C$12,3,FALSE),"")</f>
        <v/>
      </c>
      <c r="BD833" s="31">
        <f>COUNTIF(W833:AC833,"Yes")</f>
        <v/>
      </c>
      <c r="BE833" s="31">
        <f>IF(TRIM(B833)="","Legal name missing; ","")&amp;IF(AND(AV833&lt;&gt;"",AV833&lt;&gt;"OK"),"GSTIN: "&amp;AV833&amp;"; ","")&amp;IF(AND(AW833&lt;&gt;"",AW833&lt;&gt;"OK"),"PAN wrong format; ","")&amp;IF(AND(BA833&lt;&gt;"",LEN(AZ833)=15,MID(AZ833,3,10)&lt;&gt;BA833),"PAN does not match GSTIN; ","")&amp;IF(AND(AX833&lt;&gt;"",AX833&lt;&gt;"OK"),"TAN wrong format; ","")&amp;IF(AS833="","PAN missing; ","")&amp;IF(BB833="","Entity type missing; ","")&amp;IF(AND(AZ833&lt;&gt;"",COUNTIF($AZ$6:$AZ$1005,AZ833)&gt;1),"GSTIN repeated in this sheet; ","")&amp;IF(AND(AS833&lt;&gt;"",COUNTIF($AS$6:$AS$1005,AS833)&gt;1),"PAN repeated in this sheet (same client? put extra GSTINs in Other GSTINs); ","")&amp;IF(AND(BD833&gt;0,V833=""),"Financial year missing; ","")&amp;IF(AND(BD833=0,V833&lt;&gt;""),"Financial year given but no service is Yes; ","")&amp;IF(AND(W833="Yes",AZ833=""),"GST needs a GSTIN; ","")&amp;IF(AND(W833="Yes",X833=""),"GST return frequency missing; ","")&amp;IF(AND(Y833="Yes",TRIM(H833)=""),"TDS needs a TAN; ","")&amp;IF(AND(AA833="Yes",BC833&lt;&gt;"",BC833&lt;&gt;"company",BC833&lt;&gt;"llp"),"ROC is only for a company / LLP; ","")&amp;IF(AND(AA833="Yes",OR(BC833="company",BC833="llp"),TRIM(I833)=""),"ROC needs the CIN / LLPIN; ","")&amp;IF((TRIM(AF833)="")&lt;&gt;(TRIM(AG833)=""),"GST login needs both user ID and password; ","")&amp;IF((TRIM(AH833)="")&lt;&gt;(TRIM(AI833)=""),"Income-tax login needs both user ID and password; ","")&amp;IF((TRIM(AJ833)="")&lt;&gt;(TRIM(AK833)=""),"Income-tax login needs both user ID and password; ","")&amp;IF((TRIM(AL833)="")&lt;&gt;(TRIM(AM833)=""),"TRACES login needs both user ID and password; ","")&amp;IF((TRIM(AN833)="")&lt;&gt;(TRIM(AO833)=""),"MCA login needs both user ID and password; ","")&amp;IF((TRIM(AP833)="")&lt;&gt;(TRIM(AQ833)=""),"E-way bill login needs both user ID and password; ","")</f>
        <v/>
      </c>
    </row>
    <row r="834">
      <c r="A834" s="32" t="n"/>
      <c r="B834" s="33" t="n"/>
      <c r="C834" s="33" t="n"/>
      <c r="D834" s="33" t="n"/>
      <c r="E834" s="32" t="n"/>
      <c r="F834" s="32" t="n"/>
      <c r="G834" s="32" t="n"/>
      <c r="H834" s="32" t="n"/>
      <c r="I834" s="32" t="n"/>
      <c r="J834" s="34" t="n"/>
      <c r="K834" s="33" t="n"/>
      <c r="L834" s="32" t="n"/>
      <c r="M834" s="33" t="n"/>
      <c r="N834" s="33" t="n"/>
      <c r="O834" s="33" t="n"/>
      <c r="P834" s="32" t="n"/>
      <c r="Q834" s="33" t="n"/>
      <c r="R834" s="33" t="n"/>
      <c r="S834" s="33" t="n"/>
      <c r="T834" s="33" t="n"/>
      <c r="U834" s="32" t="n"/>
      <c r="V834" s="33" t="n"/>
      <c r="W834" s="33" t="n"/>
      <c r="X834" s="33" t="n"/>
      <c r="Y834" s="33" t="n"/>
      <c r="Z834" s="33" t="n"/>
      <c r="AA834" s="33" t="n"/>
      <c r="AB834" s="33" t="n"/>
      <c r="AC834" s="33" t="n"/>
      <c r="AD834" s="33" t="n"/>
      <c r="AE834" s="33" t="n"/>
      <c r="AF834" s="32" t="n"/>
      <c r="AG834" s="32" t="n"/>
      <c r="AH834" s="32" t="n"/>
      <c r="AI834" s="32" t="n"/>
      <c r="AJ834" s="32" t="n"/>
      <c r="AK834" s="32" t="n"/>
      <c r="AL834" s="32" t="n"/>
      <c r="AM834" s="32" t="n"/>
      <c r="AN834" s="32" t="n"/>
      <c r="AO834" s="32" t="n"/>
      <c r="AP834" s="32" t="n"/>
      <c r="AQ834" s="32" t="n"/>
      <c r="AR834" s="29">
        <f>IF(NOT(COUNTA(A834:AE834)&gt;0),"",IF(A834="","New client","Update"))</f>
        <v/>
      </c>
      <c r="AS834" s="29">
        <f>IF(BA834&lt;&gt;"",BA834,IF(LEN(AZ834)=15,MID(AZ834,3,10),""))</f>
        <v/>
      </c>
      <c r="AT834" s="29">
        <f>IF(BB834="","",BB834&amp;IF(D834="","  (guessed from PAN)",""))</f>
        <v/>
      </c>
      <c r="AU834" s="29">
        <f>IF(AZ834="","",IFERROR(INDEX(Lists!$L$2:$L$38,MATCH(LEFT(AZ834,2),Lists!$K$2:$K$38,0)),"Unknown code"))</f>
        <v/>
      </c>
      <c r="AV834" s="29">
        <f>IF(AZ834="","",IFERROR(IF(NOT(AND(LEN(AZ834)=15,ISNUMBER(MATCH(LEFT(AZ834,2),Lists!$K$2:$K$38,0)),SUMPRODUCT(--ISERROR(FIND(MID(MID(AZ834,3,10),{1,2,3,4,5,10},1),"ABCDEFGHIJKLMNOPQRSTUVWXYZ")))=0,SUMPRODUCT(--ISERROR(FIND(MID(MID(AZ834,3,10),{6,7,8,9},1),"0123456789")))=0,ISNUMBER(FIND(MID(AZ834,13,1),"123456789ABCDEFGHIJKLMNOPQRSTUVWXYZ")),MID(AZ834,14,1)="Z")),"Wrong format",IF(MID("0123456789ABCDEFGHIJKLMNOPQRSTUVWXYZ",MOD(36-MOD(SUMPRODUCT(INT((FIND(MID(AZ834,{1,2,3,4,5,6,7,8,9,10,11,12,13,14},1),"0123456789ABCDEFGHIJKLMNOPQRSTUVWXYZ")-1)*{1,2,1,2,1,2,1,2,1,2,1,2,1,2}/36)+MOD((FIND(MID(AZ834,{1,2,3,4,5,6,7,8,9,10,11,12,13,14},1),"0123456789ABCDEFGHIJKLMNOPQRSTUVWXYZ")-1)*{1,2,1,2,1,2,1,2,1,2,1,2,1,2},36)),36),36)+1,1)=MID(AZ834,15,1),"OK","Typo? check digit wrong")),"Wrong format"))</f>
        <v/>
      </c>
      <c r="AW834" s="29">
        <f>IF(BA834="","",IF(AND(LEN(BA834)=10,SUMPRODUCT(--ISERROR(FIND(MID(BA834,{1,2,3,4,5,10},1),"ABCDEFGHIJKLMNOPQRSTUVWXYZ")))=0,SUMPRODUCT(--ISERROR(FIND(MID(BA834,{6,7,8,9},1),"0123456789")))=0),"OK","Wrong format"))</f>
        <v/>
      </c>
      <c r="AX834" s="29">
        <f>IF(TRIM(H834)="","",IF(AND(LEN(UPPER(TRIM(H834)))=10,SUMPRODUCT(--ISERROR(FIND(MID(UPPER(TRIM(H834)),{1,2,3,4,10},1),"ABCDEFGHIJKLMNOPQRSTUVWXYZ")))=0,SUMPRODUCT(--ISERROR(FIND(MID(UPPER(TRIM(H834)),{5,6,7,8,9},1),"0123456789")))=0),"OK","Wrong format"))</f>
        <v/>
      </c>
      <c r="AY834" s="30">
        <f>IF(NOT(COUNTA(A834:AE834)&gt;0),"",IF(BE834&lt;&gt;"","✖ "&amp;LEFT(BE834,LEN(BE834)-2),IF(BD834&gt;0,"✔ Ready — client + "&amp;BD834&amp;" service(s)","✔ Ready — client only")))</f>
        <v/>
      </c>
      <c r="AZ834" s="31">
        <f>UPPER(SUBSTITUTE(TRIM(F834)," ",""))</f>
        <v/>
      </c>
      <c r="BA834" s="31">
        <f>UPPER(SUBSTITUTE(TRIM(E834)," ",""))</f>
        <v/>
      </c>
      <c r="BB834" s="31">
        <f>IF(D834&lt;&gt;"",D834,IFERROR(VLOOKUP(MID(AS834,4,1),Lists!$E$2:$F$8,2,FALSE),""))</f>
        <v/>
      </c>
      <c r="BC834" s="31">
        <f>IFERROR(VLOOKUP(BB834,Lists!$A$2:$C$12,3,FALSE),"")</f>
        <v/>
      </c>
      <c r="BD834" s="31">
        <f>COUNTIF(W834:AC834,"Yes")</f>
        <v/>
      </c>
      <c r="BE834" s="31">
        <f>IF(TRIM(B834)="","Legal name missing; ","")&amp;IF(AND(AV834&lt;&gt;"",AV834&lt;&gt;"OK"),"GSTIN: "&amp;AV834&amp;"; ","")&amp;IF(AND(AW834&lt;&gt;"",AW834&lt;&gt;"OK"),"PAN wrong format; ","")&amp;IF(AND(BA834&lt;&gt;"",LEN(AZ834)=15,MID(AZ834,3,10)&lt;&gt;BA834),"PAN does not match GSTIN; ","")&amp;IF(AND(AX834&lt;&gt;"",AX834&lt;&gt;"OK"),"TAN wrong format; ","")&amp;IF(AS834="","PAN missing; ","")&amp;IF(BB834="","Entity type missing; ","")&amp;IF(AND(AZ834&lt;&gt;"",COUNTIF($AZ$6:$AZ$1005,AZ834)&gt;1),"GSTIN repeated in this sheet; ","")&amp;IF(AND(AS834&lt;&gt;"",COUNTIF($AS$6:$AS$1005,AS834)&gt;1),"PAN repeated in this sheet (same client? put extra GSTINs in Other GSTINs); ","")&amp;IF(AND(BD834&gt;0,V834=""),"Financial year missing; ","")&amp;IF(AND(BD834=0,V834&lt;&gt;""),"Financial year given but no service is Yes; ","")&amp;IF(AND(W834="Yes",AZ834=""),"GST needs a GSTIN; ","")&amp;IF(AND(W834="Yes",X834=""),"GST return frequency missing; ","")&amp;IF(AND(Y834="Yes",TRIM(H834)=""),"TDS needs a TAN; ","")&amp;IF(AND(AA834="Yes",BC834&lt;&gt;"",BC834&lt;&gt;"company",BC834&lt;&gt;"llp"),"ROC is only for a company / LLP; ","")&amp;IF(AND(AA834="Yes",OR(BC834="company",BC834="llp"),TRIM(I834)=""),"ROC needs the CIN / LLPIN; ","")&amp;IF((TRIM(AF834)="")&lt;&gt;(TRIM(AG834)=""),"GST login needs both user ID and password; ","")&amp;IF((TRIM(AH834)="")&lt;&gt;(TRIM(AI834)=""),"Income-tax login needs both user ID and password; ","")&amp;IF((TRIM(AJ834)="")&lt;&gt;(TRIM(AK834)=""),"Income-tax login needs both user ID and password; ","")&amp;IF((TRIM(AL834)="")&lt;&gt;(TRIM(AM834)=""),"TRACES login needs both user ID and password; ","")&amp;IF((TRIM(AN834)="")&lt;&gt;(TRIM(AO834)=""),"MCA login needs both user ID and password; ","")&amp;IF((TRIM(AP834)="")&lt;&gt;(TRIM(AQ834)=""),"E-way bill login needs both user ID and password; ","")</f>
        <v/>
      </c>
    </row>
    <row r="835">
      <c r="A835" s="32" t="n"/>
      <c r="B835" s="33" t="n"/>
      <c r="C835" s="33" t="n"/>
      <c r="D835" s="33" t="n"/>
      <c r="E835" s="32" t="n"/>
      <c r="F835" s="32" t="n"/>
      <c r="G835" s="32" t="n"/>
      <c r="H835" s="32" t="n"/>
      <c r="I835" s="32" t="n"/>
      <c r="J835" s="34" t="n"/>
      <c r="K835" s="33" t="n"/>
      <c r="L835" s="32" t="n"/>
      <c r="M835" s="33" t="n"/>
      <c r="N835" s="33" t="n"/>
      <c r="O835" s="33" t="n"/>
      <c r="P835" s="32" t="n"/>
      <c r="Q835" s="33" t="n"/>
      <c r="R835" s="33" t="n"/>
      <c r="S835" s="33" t="n"/>
      <c r="T835" s="33" t="n"/>
      <c r="U835" s="32" t="n"/>
      <c r="V835" s="33" t="n"/>
      <c r="W835" s="33" t="n"/>
      <c r="X835" s="33" t="n"/>
      <c r="Y835" s="33" t="n"/>
      <c r="Z835" s="33" t="n"/>
      <c r="AA835" s="33" t="n"/>
      <c r="AB835" s="33" t="n"/>
      <c r="AC835" s="33" t="n"/>
      <c r="AD835" s="33" t="n"/>
      <c r="AE835" s="33" t="n"/>
      <c r="AF835" s="32" t="n"/>
      <c r="AG835" s="32" t="n"/>
      <c r="AH835" s="32" t="n"/>
      <c r="AI835" s="32" t="n"/>
      <c r="AJ835" s="32" t="n"/>
      <c r="AK835" s="32" t="n"/>
      <c r="AL835" s="32" t="n"/>
      <c r="AM835" s="32" t="n"/>
      <c r="AN835" s="32" t="n"/>
      <c r="AO835" s="32" t="n"/>
      <c r="AP835" s="32" t="n"/>
      <c r="AQ835" s="32" t="n"/>
      <c r="AR835" s="29">
        <f>IF(NOT(COUNTA(A835:AE835)&gt;0),"",IF(A835="","New client","Update"))</f>
        <v/>
      </c>
      <c r="AS835" s="29">
        <f>IF(BA835&lt;&gt;"",BA835,IF(LEN(AZ835)=15,MID(AZ835,3,10),""))</f>
        <v/>
      </c>
      <c r="AT835" s="29">
        <f>IF(BB835="","",BB835&amp;IF(D835="","  (guessed from PAN)",""))</f>
        <v/>
      </c>
      <c r="AU835" s="29">
        <f>IF(AZ835="","",IFERROR(INDEX(Lists!$L$2:$L$38,MATCH(LEFT(AZ835,2),Lists!$K$2:$K$38,0)),"Unknown code"))</f>
        <v/>
      </c>
      <c r="AV835" s="29">
        <f>IF(AZ835="","",IFERROR(IF(NOT(AND(LEN(AZ835)=15,ISNUMBER(MATCH(LEFT(AZ835,2),Lists!$K$2:$K$38,0)),SUMPRODUCT(--ISERROR(FIND(MID(MID(AZ835,3,10),{1,2,3,4,5,10},1),"ABCDEFGHIJKLMNOPQRSTUVWXYZ")))=0,SUMPRODUCT(--ISERROR(FIND(MID(MID(AZ835,3,10),{6,7,8,9},1),"0123456789")))=0,ISNUMBER(FIND(MID(AZ835,13,1),"123456789ABCDEFGHIJKLMNOPQRSTUVWXYZ")),MID(AZ835,14,1)="Z")),"Wrong format",IF(MID("0123456789ABCDEFGHIJKLMNOPQRSTUVWXYZ",MOD(36-MOD(SUMPRODUCT(INT((FIND(MID(AZ835,{1,2,3,4,5,6,7,8,9,10,11,12,13,14},1),"0123456789ABCDEFGHIJKLMNOPQRSTUVWXYZ")-1)*{1,2,1,2,1,2,1,2,1,2,1,2,1,2}/36)+MOD((FIND(MID(AZ835,{1,2,3,4,5,6,7,8,9,10,11,12,13,14},1),"0123456789ABCDEFGHIJKLMNOPQRSTUVWXYZ")-1)*{1,2,1,2,1,2,1,2,1,2,1,2,1,2},36)),36),36)+1,1)=MID(AZ835,15,1),"OK","Typo? check digit wrong")),"Wrong format"))</f>
        <v/>
      </c>
      <c r="AW835" s="29">
        <f>IF(BA835="","",IF(AND(LEN(BA835)=10,SUMPRODUCT(--ISERROR(FIND(MID(BA835,{1,2,3,4,5,10},1),"ABCDEFGHIJKLMNOPQRSTUVWXYZ")))=0,SUMPRODUCT(--ISERROR(FIND(MID(BA835,{6,7,8,9},1),"0123456789")))=0),"OK","Wrong format"))</f>
        <v/>
      </c>
      <c r="AX835" s="29">
        <f>IF(TRIM(H835)="","",IF(AND(LEN(UPPER(TRIM(H835)))=10,SUMPRODUCT(--ISERROR(FIND(MID(UPPER(TRIM(H835)),{1,2,3,4,10},1),"ABCDEFGHIJKLMNOPQRSTUVWXYZ")))=0,SUMPRODUCT(--ISERROR(FIND(MID(UPPER(TRIM(H835)),{5,6,7,8,9},1),"0123456789")))=0),"OK","Wrong format"))</f>
        <v/>
      </c>
      <c r="AY835" s="30">
        <f>IF(NOT(COUNTA(A835:AE835)&gt;0),"",IF(BE835&lt;&gt;"","✖ "&amp;LEFT(BE835,LEN(BE835)-2),IF(BD835&gt;0,"✔ Ready — client + "&amp;BD835&amp;" service(s)","✔ Ready — client only")))</f>
        <v/>
      </c>
      <c r="AZ835" s="31">
        <f>UPPER(SUBSTITUTE(TRIM(F835)," ",""))</f>
        <v/>
      </c>
      <c r="BA835" s="31">
        <f>UPPER(SUBSTITUTE(TRIM(E835)," ",""))</f>
        <v/>
      </c>
      <c r="BB835" s="31">
        <f>IF(D835&lt;&gt;"",D835,IFERROR(VLOOKUP(MID(AS835,4,1),Lists!$E$2:$F$8,2,FALSE),""))</f>
        <v/>
      </c>
      <c r="BC835" s="31">
        <f>IFERROR(VLOOKUP(BB835,Lists!$A$2:$C$12,3,FALSE),"")</f>
        <v/>
      </c>
      <c r="BD835" s="31">
        <f>COUNTIF(W835:AC835,"Yes")</f>
        <v/>
      </c>
      <c r="BE835" s="31">
        <f>IF(TRIM(B835)="","Legal name missing; ","")&amp;IF(AND(AV835&lt;&gt;"",AV835&lt;&gt;"OK"),"GSTIN: "&amp;AV835&amp;"; ","")&amp;IF(AND(AW835&lt;&gt;"",AW835&lt;&gt;"OK"),"PAN wrong format; ","")&amp;IF(AND(BA835&lt;&gt;"",LEN(AZ835)=15,MID(AZ835,3,10)&lt;&gt;BA835),"PAN does not match GSTIN; ","")&amp;IF(AND(AX835&lt;&gt;"",AX835&lt;&gt;"OK"),"TAN wrong format; ","")&amp;IF(AS835="","PAN missing; ","")&amp;IF(BB835="","Entity type missing; ","")&amp;IF(AND(AZ835&lt;&gt;"",COUNTIF($AZ$6:$AZ$1005,AZ835)&gt;1),"GSTIN repeated in this sheet; ","")&amp;IF(AND(AS835&lt;&gt;"",COUNTIF($AS$6:$AS$1005,AS835)&gt;1),"PAN repeated in this sheet (same client? put extra GSTINs in Other GSTINs); ","")&amp;IF(AND(BD835&gt;0,V835=""),"Financial year missing; ","")&amp;IF(AND(BD835=0,V835&lt;&gt;""),"Financial year given but no service is Yes; ","")&amp;IF(AND(W835="Yes",AZ835=""),"GST needs a GSTIN; ","")&amp;IF(AND(W835="Yes",X835=""),"GST return frequency missing; ","")&amp;IF(AND(Y835="Yes",TRIM(H835)=""),"TDS needs a TAN; ","")&amp;IF(AND(AA835="Yes",BC835&lt;&gt;"",BC835&lt;&gt;"company",BC835&lt;&gt;"llp"),"ROC is only for a company / LLP; ","")&amp;IF(AND(AA835="Yes",OR(BC835="company",BC835="llp"),TRIM(I835)=""),"ROC needs the CIN / LLPIN; ","")&amp;IF((TRIM(AF835)="")&lt;&gt;(TRIM(AG835)=""),"GST login needs both user ID and password; ","")&amp;IF((TRIM(AH835)="")&lt;&gt;(TRIM(AI835)=""),"Income-tax login needs both user ID and password; ","")&amp;IF((TRIM(AJ835)="")&lt;&gt;(TRIM(AK835)=""),"Income-tax login needs both user ID and password; ","")&amp;IF((TRIM(AL835)="")&lt;&gt;(TRIM(AM835)=""),"TRACES login needs both user ID and password; ","")&amp;IF((TRIM(AN835)="")&lt;&gt;(TRIM(AO835)=""),"MCA login needs both user ID and password; ","")&amp;IF((TRIM(AP835)="")&lt;&gt;(TRIM(AQ835)=""),"E-way bill login needs both user ID and password; ","")</f>
        <v/>
      </c>
    </row>
    <row r="836">
      <c r="A836" s="32" t="n"/>
      <c r="B836" s="33" t="n"/>
      <c r="C836" s="33" t="n"/>
      <c r="D836" s="33" t="n"/>
      <c r="E836" s="32" t="n"/>
      <c r="F836" s="32" t="n"/>
      <c r="G836" s="32" t="n"/>
      <c r="H836" s="32" t="n"/>
      <c r="I836" s="32" t="n"/>
      <c r="J836" s="34" t="n"/>
      <c r="K836" s="33" t="n"/>
      <c r="L836" s="32" t="n"/>
      <c r="M836" s="33" t="n"/>
      <c r="N836" s="33" t="n"/>
      <c r="O836" s="33" t="n"/>
      <c r="P836" s="32" t="n"/>
      <c r="Q836" s="33" t="n"/>
      <c r="R836" s="33" t="n"/>
      <c r="S836" s="33" t="n"/>
      <c r="T836" s="33" t="n"/>
      <c r="U836" s="32" t="n"/>
      <c r="V836" s="33" t="n"/>
      <c r="W836" s="33" t="n"/>
      <c r="X836" s="33" t="n"/>
      <c r="Y836" s="33" t="n"/>
      <c r="Z836" s="33" t="n"/>
      <c r="AA836" s="33" t="n"/>
      <c r="AB836" s="33" t="n"/>
      <c r="AC836" s="33" t="n"/>
      <c r="AD836" s="33" t="n"/>
      <c r="AE836" s="33" t="n"/>
      <c r="AF836" s="32" t="n"/>
      <c r="AG836" s="32" t="n"/>
      <c r="AH836" s="32" t="n"/>
      <c r="AI836" s="32" t="n"/>
      <c r="AJ836" s="32" t="n"/>
      <c r="AK836" s="32" t="n"/>
      <c r="AL836" s="32" t="n"/>
      <c r="AM836" s="32" t="n"/>
      <c r="AN836" s="32" t="n"/>
      <c r="AO836" s="32" t="n"/>
      <c r="AP836" s="32" t="n"/>
      <c r="AQ836" s="32" t="n"/>
      <c r="AR836" s="29">
        <f>IF(NOT(COUNTA(A836:AE836)&gt;0),"",IF(A836="","New client","Update"))</f>
        <v/>
      </c>
      <c r="AS836" s="29">
        <f>IF(BA836&lt;&gt;"",BA836,IF(LEN(AZ836)=15,MID(AZ836,3,10),""))</f>
        <v/>
      </c>
      <c r="AT836" s="29">
        <f>IF(BB836="","",BB836&amp;IF(D836="","  (guessed from PAN)",""))</f>
        <v/>
      </c>
      <c r="AU836" s="29">
        <f>IF(AZ836="","",IFERROR(INDEX(Lists!$L$2:$L$38,MATCH(LEFT(AZ836,2),Lists!$K$2:$K$38,0)),"Unknown code"))</f>
        <v/>
      </c>
      <c r="AV836" s="29">
        <f>IF(AZ836="","",IFERROR(IF(NOT(AND(LEN(AZ836)=15,ISNUMBER(MATCH(LEFT(AZ836,2),Lists!$K$2:$K$38,0)),SUMPRODUCT(--ISERROR(FIND(MID(MID(AZ836,3,10),{1,2,3,4,5,10},1),"ABCDEFGHIJKLMNOPQRSTUVWXYZ")))=0,SUMPRODUCT(--ISERROR(FIND(MID(MID(AZ836,3,10),{6,7,8,9},1),"0123456789")))=0,ISNUMBER(FIND(MID(AZ836,13,1),"123456789ABCDEFGHIJKLMNOPQRSTUVWXYZ")),MID(AZ836,14,1)="Z")),"Wrong format",IF(MID("0123456789ABCDEFGHIJKLMNOPQRSTUVWXYZ",MOD(36-MOD(SUMPRODUCT(INT((FIND(MID(AZ836,{1,2,3,4,5,6,7,8,9,10,11,12,13,14},1),"0123456789ABCDEFGHIJKLMNOPQRSTUVWXYZ")-1)*{1,2,1,2,1,2,1,2,1,2,1,2,1,2}/36)+MOD((FIND(MID(AZ836,{1,2,3,4,5,6,7,8,9,10,11,12,13,14},1),"0123456789ABCDEFGHIJKLMNOPQRSTUVWXYZ")-1)*{1,2,1,2,1,2,1,2,1,2,1,2,1,2},36)),36),36)+1,1)=MID(AZ836,15,1),"OK","Typo? check digit wrong")),"Wrong format"))</f>
        <v/>
      </c>
      <c r="AW836" s="29">
        <f>IF(BA836="","",IF(AND(LEN(BA836)=10,SUMPRODUCT(--ISERROR(FIND(MID(BA836,{1,2,3,4,5,10},1),"ABCDEFGHIJKLMNOPQRSTUVWXYZ")))=0,SUMPRODUCT(--ISERROR(FIND(MID(BA836,{6,7,8,9},1),"0123456789")))=0),"OK","Wrong format"))</f>
        <v/>
      </c>
      <c r="AX836" s="29">
        <f>IF(TRIM(H836)="","",IF(AND(LEN(UPPER(TRIM(H836)))=10,SUMPRODUCT(--ISERROR(FIND(MID(UPPER(TRIM(H836)),{1,2,3,4,10},1),"ABCDEFGHIJKLMNOPQRSTUVWXYZ")))=0,SUMPRODUCT(--ISERROR(FIND(MID(UPPER(TRIM(H836)),{5,6,7,8,9},1),"0123456789")))=0),"OK","Wrong format"))</f>
        <v/>
      </c>
      <c r="AY836" s="30">
        <f>IF(NOT(COUNTA(A836:AE836)&gt;0),"",IF(BE836&lt;&gt;"","✖ "&amp;LEFT(BE836,LEN(BE836)-2),IF(BD836&gt;0,"✔ Ready — client + "&amp;BD836&amp;" service(s)","✔ Ready — client only")))</f>
        <v/>
      </c>
      <c r="AZ836" s="31">
        <f>UPPER(SUBSTITUTE(TRIM(F836)," ",""))</f>
        <v/>
      </c>
      <c r="BA836" s="31">
        <f>UPPER(SUBSTITUTE(TRIM(E836)," ",""))</f>
        <v/>
      </c>
      <c r="BB836" s="31">
        <f>IF(D836&lt;&gt;"",D836,IFERROR(VLOOKUP(MID(AS836,4,1),Lists!$E$2:$F$8,2,FALSE),""))</f>
        <v/>
      </c>
      <c r="BC836" s="31">
        <f>IFERROR(VLOOKUP(BB836,Lists!$A$2:$C$12,3,FALSE),"")</f>
        <v/>
      </c>
      <c r="BD836" s="31">
        <f>COUNTIF(W836:AC836,"Yes")</f>
        <v/>
      </c>
      <c r="BE836" s="31">
        <f>IF(TRIM(B836)="","Legal name missing; ","")&amp;IF(AND(AV836&lt;&gt;"",AV836&lt;&gt;"OK"),"GSTIN: "&amp;AV836&amp;"; ","")&amp;IF(AND(AW836&lt;&gt;"",AW836&lt;&gt;"OK"),"PAN wrong format; ","")&amp;IF(AND(BA836&lt;&gt;"",LEN(AZ836)=15,MID(AZ836,3,10)&lt;&gt;BA836),"PAN does not match GSTIN; ","")&amp;IF(AND(AX836&lt;&gt;"",AX836&lt;&gt;"OK"),"TAN wrong format; ","")&amp;IF(AS836="","PAN missing; ","")&amp;IF(BB836="","Entity type missing; ","")&amp;IF(AND(AZ836&lt;&gt;"",COUNTIF($AZ$6:$AZ$1005,AZ836)&gt;1),"GSTIN repeated in this sheet; ","")&amp;IF(AND(AS836&lt;&gt;"",COUNTIF($AS$6:$AS$1005,AS836)&gt;1),"PAN repeated in this sheet (same client? put extra GSTINs in Other GSTINs); ","")&amp;IF(AND(BD836&gt;0,V836=""),"Financial year missing; ","")&amp;IF(AND(BD836=0,V836&lt;&gt;""),"Financial year given but no service is Yes; ","")&amp;IF(AND(W836="Yes",AZ836=""),"GST needs a GSTIN; ","")&amp;IF(AND(W836="Yes",X836=""),"GST return frequency missing; ","")&amp;IF(AND(Y836="Yes",TRIM(H836)=""),"TDS needs a TAN; ","")&amp;IF(AND(AA836="Yes",BC836&lt;&gt;"",BC836&lt;&gt;"company",BC836&lt;&gt;"llp"),"ROC is only for a company / LLP; ","")&amp;IF(AND(AA836="Yes",OR(BC836="company",BC836="llp"),TRIM(I836)=""),"ROC needs the CIN / LLPIN; ","")&amp;IF((TRIM(AF836)="")&lt;&gt;(TRIM(AG836)=""),"GST login needs both user ID and password; ","")&amp;IF((TRIM(AH836)="")&lt;&gt;(TRIM(AI836)=""),"Income-tax login needs both user ID and password; ","")&amp;IF((TRIM(AJ836)="")&lt;&gt;(TRIM(AK836)=""),"Income-tax login needs both user ID and password; ","")&amp;IF((TRIM(AL836)="")&lt;&gt;(TRIM(AM836)=""),"TRACES login needs both user ID and password; ","")&amp;IF((TRIM(AN836)="")&lt;&gt;(TRIM(AO836)=""),"MCA login needs both user ID and password; ","")&amp;IF((TRIM(AP836)="")&lt;&gt;(TRIM(AQ836)=""),"E-way bill login needs both user ID and password; ","")</f>
        <v/>
      </c>
    </row>
    <row r="837">
      <c r="A837" s="32" t="n"/>
      <c r="B837" s="33" t="n"/>
      <c r="C837" s="33" t="n"/>
      <c r="D837" s="33" t="n"/>
      <c r="E837" s="32" t="n"/>
      <c r="F837" s="32" t="n"/>
      <c r="G837" s="32" t="n"/>
      <c r="H837" s="32" t="n"/>
      <c r="I837" s="32" t="n"/>
      <c r="J837" s="34" t="n"/>
      <c r="K837" s="33" t="n"/>
      <c r="L837" s="32" t="n"/>
      <c r="M837" s="33" t="n"/>
      <c r="N837" s="33" t="n"/>
      <c r="O837" s="33" t="n"/>
      <c r="P837" s="32" t="n"/>
      <c r="Q837" s="33" t="n"/>
      <c r="R837" s="33" t="n"/>
      <c r="S837" s="33" t="n"/>
      <c r="T837" s="33" t="n"/>
      <c r="U837" s="32" t="n"/>
      <c r="V837" s="33" t="n"/>
      <c r="W837" s="33" t="n"/>
      <c r="X837" s="33" t="n"/>
      <c r="Y837" s="33" t="n"/>
      <c r="Z837" s="33" t="n"/>
      <c r="AA837" s="33" t="n"/>
      <c r="AB837" s="33" t="n"/>
      <c r="AC837" s="33" t="n"/>
      <c r="AD837" s="33" t="n"/>
      <c r="AE837" s="33" t="n"/>
      <c r="AF837" s="32" t="n"/>
      <c r="AG837" s="32" t="n"/>
      <c r="AH837" s="32" t="n"/>
      <c r="AI837" s="32" t="n"/>
      <c r="AJ837" s="32" t="n"/>
      <c r="AK837" s="32" t="n"/>
      <c r="AL837" s="32" t="n"/>
      <c r="AM837" s="32" t="n"/>
      <c r="AN837" s="32" t="n"/>
      <c r="AO837" s="32" t="n"/>
      <c r="AP837" s="32" t="n"/>
      <c r="AQ837" s="32" t="n"/>
      <c r="AR837" s="29">
        <f>IF(NOT(COUNTA(A837:AE837)&gt;0),"",IF(A837="","New client","Update"))</f>
        <v/>
      </c>
      <c r="AS837" s="29">
        <f>IF(BA837&lt;&gt;"",BA837,IF(LEN(AZ837)=15,MID(AZ837,3,10),""))</f>
        <v/>
      </c>
      <c r="AT837" s="29">
        <f>IF(BB837="","",BB837&amp;IF(D837="","  (guessed from PAN)",""))</f>
        <v/>
      </c>
      <c r="AU837" s="29">
        <f>IF(AZ837="","",IFERROR(INDEX(Lists!$L$2:$L$38,MATCH(LEFT(AZ837,2),Lists!$K$2:$K$38,0)),"Unknown code"))</f>
        <v/>
      </c>
      <c r="AV837" s="29">
        <f>IF(AZ837="","",IFERROR(IF(NOT(AND(LEN(AZ837)=15,ISNUMBER(MATCH(LEFT(AZ837,2),Lists!$K$2:$K$38,0)),SUMPRODUCT(--ISERROR(FIND(MID(MID(AZ837,3,10),{1,2,3,4,5,10},1),"ABCDEFGHIJKLMNOPQRSTUVWXYZ")))=0,SUMPRODUCT(--ISERROR(FIND(MID(MID(AZ837,3,10),{6,7,8,9},1),"0123456789")))=0,ISNUMBER(FIND(MID(AZ837,13,1),"123456789ABCDEFGHIJKLMNOPQRSTUVWXYZ")),MID(AZ837,14,1)="Z")),"Wrong format",IF(MID("0123456789ABCDEFGHIJKLMNOPQRSTUVWXYZ",MOD(36-MOD(SUMPRODUCT(INT((FIND(MID(AZ837,{1,2,3,4,5,6,7,8,9,10,11,12,13,14},1),"0123456789ABCDEFGHIJKLMNOPQRSTUVWXYZ")-1)*{1,2,1,2,1,2,1,2,1,2,1,2,1,2}/36)+MOD((FIND(MID(AZ837,{1,2,3,4,5,6,7,8,9,10,11,12,13,14},1),"0123456789ABCDEFGHIJKLMNOPQRSTUVWXYZ")-1)*{1,2,1,2,1,2,1,2,1,2,1,2,1,2},36)),36),36)+1,1)=MID(AZ837,15,1),"OK","Typo? check digit wrong")),"Wrong format"))</f>
        <v/>
      </c>
      <c r="AW837" s="29">
        <f>IF(BA837="","",IF(AND(LEN(BA837)=10,SUMPRODUCT(--ISERROR(FIND(MID(BA837,{1,2,3,4,5,10},1),"ABCDEFGHIJKLMNOPQRSTUVWXYZ")))=0,SUMPRODUCT(--ISERROR(FIND(MID(BA837,{6,7,8,9},1),"0123456789")))=0),"OK","Wrong format"))</f>
        <v/>
      </c>
      <c r="AX837" s="29">
        <f>IF(TRIM(H837)="","",IF(AND(LEN(UPPER(TRIM(H837)))=10,SUMPRODUCT(--ISERROR(FIND(MID(UPPER(TRIM(H837)),{1,2,3,4,10},1),"ABCDEFGHIJKLMNOPQRSTUVWXYZ")))=0,SUMPRODUCT(--ISERROR(FIND(MID(UPPER(TRIM(H837)),{5,6,7,8,9},1),"0123456789")))=0),"OK","Wrong format"))</f>
        <v/>
      </c>
      <c r="AY837" s="30">
        <f>IF(NOT(COUNTA(A837:AE837)&gt;0),"",IF(BE837&lt;&gt;"","✖ "&amp;LEFT(BE837,LEN(BE837)-2),IF(BD837&gt;0,"✔ Ready — client + "&amp;BD837&amp;" service(s)","✔ Ready — client only")))</f>
        <v/>
      </c>
      <c r="AZ837" s="31">
        <f>UPPER(SUBSTITUTE(TRIM(F837)," ",""))</f>
        <v/>
      </c>
      <c r="BA837" s="31">
        <f>UPPER(SUBSTITUTE(TRIM(E837)," ",""))</f>
        <v/>
      </c>
      <c r="BB837" s="31">
        <f>IF(D837&lt;&gt;"",D837,IFERROR(VLOOKUP(MID(AS837,4,1),Lists!$E$2:$F$8,2,FALSE),""))</f>
        <v/>
      </c>
      <c r="BC837" s="31">
        <f>IFERROR(VLOOKUP(BB837,Lists!$A$2:$C$12,3,FALSE),"")</f>
        <v/>
      </c>
      <c r="BD837" s="31">
        <f>COUNTIF(W837:AC837,"Yes")</f>
        <v/>
      </c>
      <c r="BE837" s="31">
        <f>IF(TRIM(B837)="","Legal name missing; ","")&amp;IF(AND(AV837&lt;&gt;"",AV837&lt;&gt;"OK"),"GSTIN: "&amp;AV837&amp;"; ","")&amp;IF(AND(AW837&lt;&gt;"",AW837&lt;&gt;"OK"),"PAN wrong format; ","")&amp;IF(AND(BA837&lt;&gt;"",LEN(AZ837)=15,MID(AZ837,3,10)&lt;&gt;BA837),"PAN does not match GSTIN; ","")&amp;IF(AND(AX837&lt;&gt;"",AX837&lt;&gt;"OK"),"TAN wrong format; ","")&amp;IF(AS837="","PAN missing; ","")&amp;IF(BB837="","Entity type missing; ","")&amp;IF(AND(AZ837&lt;&gt;"",COUNTIF($AZ$6:$AZ$1005,AZ837)&gt;1),"GSTIN repeated in this sheet; ","")&amp;IF(AND(AS837&lt;&gt;"",COUNTIF($AS$6:$AS$1005,AS837)&gt;1),"PAN repeated in this sheet (same client? put extra GSTINs in Other GSTINs); ","")&amp;IF(AND(BD837&gt;0,V837=""),"Financial year missing; ","")&amp;IF(AND(BD837=0,V837&lt;&gt;""),"Financial year given but no service is Yes; ","")&amp;IF(AND(W837="Yes",AZ837=""),"GST needs a GSTIN; ","")&amp;IF(AND(W837="Yes",X837=""),"GST return frequency missing; ","")&amp;IF(AND(Y837="Yes",TRIM(H837)=""),"TDS needs a TAN; ","")&amp;IF(AND(AA837="Yes",BC837&lt;&gt;"",BC837&lt;&gt;"company",BC837&lt;&gt;"llp"),"ROC is only for a company / LLP; ","")&amp;IF(AND(AA837="Yes",OR(BC837="company",BC837="llp"),TRIM(I837)=""),"ROC needs the CIN / LLPIN; ","")&amp;IF((TRIM(AF837)="")&lt;&gt;(TRIM(AG837)=""),"GST login needs both user ID and password; ","")&amp;IF((TRIM(AH837)="")&lt;&gt;(TRIM(AI837)=""),"Income-tax login needs both user ID and password; ","")&amp;IF((TRIM(AJ837)="")&lt;&gt;(TRIM(AK837)=""),"Income-tax login needs both user ID and password; ","")&amp;IF((TRIM(AL837)="")&lt;&gt;(TRIM(AM837)=""),"TRACES login needs both user ID and password; ","")&amp;IF((TRIM(AN837)="")&lt;&gt;(TRIM(AO837)=""),"MCA login needs both user ID and password; ","")&amp;IF((TRIM(AP837)="")&lt;&gt;(TRIM(AQ837)=""),"E-way bill login needs both user ID and password; ","")</f>
        <v/>
      </c>
    </row>
    <row r="838">
      <c r="A838" s="32" t="n"/>
      <c r="B838" s="33" t="n"/>
      <c r="C838" s="33" t="n"/>
      <c r="D838" s="33" t="n"/>
      <c r="E838" s="32" t="n"/>
      <c r="F838" s="32" t="n"/>
      <c r="G838" s="32" t="n"/>
      <c r="H838" s="32" t="n"/>
      <c r="I838" s="32" t="n"/>
      <c r="J838" s="34" t="n"/>
      <c r="K838" s="33" t="n"/>
      <c r="L838" s="32" t="n"/>
      <c r="M838" s="33" t="n"/>
      <c r="N838" s="33" t="n"/>
      <c r="O838" s="33" t="n"/>
      <c r="P838" s="32" t="n"/>
      <c r="Q838" s="33" t="n"/>
      <c r="R838" s="33" t="n"/>
      <c r="S838" s="33" t="n"/>
      <c r="T838" s="33" t="n"/>
      <c r="U838" s="32" t="n"/>
      <c r="V838" s="33" t="n"/>
      <c r="W838" s="33" t="n"/>
      <c r="X838" s="33" t="n"/>
      <c r="Y838" s="33" t="n"/>
      <c r="Z838" s="33" t="n"/>
      <c r="AA838" s="33" t="n"/>
      <c r="AB838" s="33" t="n"/>
      <c r="AC838" s="33" t="n"/>
      <c r="AD838" s="33" t="n"/>
      <c r="AE838" s="33" t="n"/>
      <c r="AF838" s="32" t="n"/>
      <c r="AG838" s="32" t="n"/>
      <c r="AH838" s="32" t="n"/>
      <c r="AI838" s="32" t="n"/>
      <c r="AJ838" s="32" t="n"/>
      <c r="AK838" s="32" t="n"/>
      <c r="AL838" s="32" t="n"/>
      <c r="AM838" s="32" t="n"/>
      <c r="AN838" s="32" t="n"/>
      <c r="AO838" s="32" t="n"/>
      <c r="AP838" s="32" t="n"/>
      <c r="AQ838" s="32" t="n"/>
      <c r="AR838" s="29">
        <f>IF(NOT(COUNTA(A838:AE838)&gt;0),"",IF(A838="","New client","Update"))</f>
        <v/>
      </c>
      <c r="AS838" s="29">
        <f>IF(BA838&lt;&gt;"",BA838,IF(LEN(AZ838)=15,MID(AZ838,3,10),""))</f>
        <v/>
      </c>
      <c r="AT838" s="29">
        <f>IF(BB838="","",BB838&amp;IF(D838="","  (guessed from PAN)",""))</f>
        <v/>
      </c>
      <c r="AU838" s="29">
        <f>IF(AZ838="","",IFERROR(INDEX(Lists!$L$2:$L$38,MATCH(LEFT(AZ838,2),Lists!$K$2:$K$38,0)),"Unknown code"))</f>
        <v/>
      </c>
      <c r="AV838" s="29">
        <f>IF(AZ838="","",IFERROR(IF(NOT(AND(LEN(AZ838)=15,ISNUMBER(MATCH(LEFT(AZ838,2),Lists!$K$2:$K$38,0)),SUMPRODUCT(--ISERROR(FIND(MID(MID(AZ838,3,10),{1,2,3,4,5,10},1),"ABCDEFGHIJKLMNOPQRSTUVWXYZ")))=0,SUMPRODUCT(--ISERROR(FIND(MID(MID(AZ838,3,10),{6,7,8,9},1),"0123456789")))=0,ISNUMBER(FIND(MID(AZ838,13,1),"123456789ABCDEFGHIJKLMNOPQRSTUVWXYZ")),MID(AZ838,14,1)="Z")),"Wrong format",IF(MID("0123456789ABCDEFGHIJKLMNOPQRSTUVWXYZ",MOD(36-MOD(SUMPRODUCT(INT((FIND(MID(AZ838,{1,2,3,4,5,6,7,8,9,10,11,12,13,14},1),"0123456789ABCDEFGHIJKLMNOPQRSTUVWXYZ")-1)*{1,2,1,2,1,2,1,2,1,2,1,2,1,2}/36)+MOD((FIND(MID(AZ838,{1,2,3,4,5,6,7,8,9,10,11,12,13,14},1),"0123456789ABCDEFGHIJKLMNOPQRSTUVWXYZ")-1)*{1,2,1,2,1,2,1,2,1,2,1,2,1,2},36)),36),36)+1,1)=MID(AZ838,15,1),"OK","Typo? check digit wrong")),"Wrong format"))</f>
        <v/>
      </c>
      <c r="AW838" s="29">
        <f>IF(BA838="","",IF(AND(LEN(BA838)=10,SUMPRODUCT(--ISERROR(FIND(MID(BA838,{1,2,3,4,5,10},1),"ABCDEFGHIJKLMNOPQRSTUVWXYZ")))=0,SUMPRODUCT(--ISERROR(FIND(MID(BA838,{6,7,8,9},1),"0123456789")))=0),"OK","Wrong format"))</f>
        <v/>
      </c>
      <c r="AX838" s="29">
        <f>IF(TRIM(H838)="","",IF(AND(LEN(UPPER(TRIM(H838)))=10,SUMPRODUCT(--ISERROR(FIND(MID(UPPER(TRIM(H838)),{1,2,3,4,10},1),"ABCDEFGHIJKLMNOPQRSTUVWXYZ")))=0,SUMPRODUCT(--ISERROR(FIND(MID(UPPER(TRIM(H838)),{5,6,7,8,9},1),"0123456789")))=0),"OK","Wrong format"))</f>
        <v/>
      </c>
      <c r="AY838" s="30">
        <f>IF(NOT(COUNTA(A838:AE838)&gt;0),"",IF(BE838&lt;&gt;"","✖ "&amp;LEFT(BE838,LEN(BE838)-2),IF(BD838&gt;0,"✔ Ready — client + "&amp;BD838&amp;" service(s)","✔ Ready — client only")))</f>
        <v/>
      </c>
      <c r="AZ838" s="31">
        <f>UPPER(SUBSTITUTE(TRIM(F838)," ",""))</f>
        <v/>
      </c>
      <c r="BA838" s="31">
        <f>UPPER(SUBSTITUTE(TRIM(E838)," ",""))</f>
        <v/>
      </c>
      <c r="BB838" s="31">
        <f>IF(D838&lt;&gt;"",D838,IFERROR(VLOOKUP(MID(AS838,4,1),Lists!$E$2:$F$8,2,FALSE),""))</f>
        <v/>
      </c>
      <c r="BC838" s="31">
        <f>IFERROR(VLOOKUP(BB838,Lists!$A$2:$C$12,3,FALSE),"")</f>
        <v/>
      </c>
      <c r="BD838" s="31">
        <f>COUNTIF(W838:AC838,"Yes")</f>
        <v/>
      </c>
      <c r="BE838" s="31">
        <f>IF(TRIM(B838)="","Legal name missing; ","")&amp;IF(AND(AV838&lt;&gt;"",AV838&lt;&gt;"OK"),"GSTIN: "&amp;AV838&amp;"; ","")&amp;IF(AND(AW838&lt;&gt;"",AW838&lt;&gt;"OK"),"PAN wrong format; ","")&amp;IF(AND(BA838&lt;&gt;"",LEN(AZ838)=15,MID(AZ838,3,10)&lt;&gt;BA838),"PAN does not match GSTIN; ","")&amp;IF(AND(AX838&lt;&gt;"",AX838&lt;&gt;"OK"),"TAN wrong format; ","")&amp;IF(AS838="","PAN missing; ","")&amp;IF(BB838="","Entity type missing; ","")&amp;IF(AND(AZ838&lt;&gt;"",COUNTIF($AZ$6:$AZ$1005,AZ838)&gt;1),"GSTIN repeated in this sheet; ","")&amp;IF(AND(AS838&lt;&gt;"",COUNTIF($AS$6:$AS$1005,AS838)&gt;1),"PAN repeated in this sheet (same client? put extra GSTINs in Other GSTINs); ","")&amp;IF(AND(BD838&gt;0,V838=""),"Financial year missing; ","")&amp;IF(AND(BD838=0,V838&lt;&gt;""),"Financial year given but no service is Yes; ","")&amp;IF(AND(W838="Yes",AZ838=""),"GST needs a GSTIN; ","")&amp;IF(AND(W838="Yes",X838=""),"GST return frequency missing; ","")&amp;IF(AND(Y838="Yes",TRIM(H838)=""),"TDS needs a TAN; ","")&amp;IF(AND(AA838="Yes",BC838&lt;&gt;"",BC838&lt;&gt;"company",BC838&lt;&gt;"llp"),"ROC is only for a company / LLP; ","")&amp;IF(AND(AA838="Yes",OR(BC838="company",BC838="llp"),TRIM(I838)=""),"ROC needs the CIN / LLPIN; ","")&amp;IF((TRIM(AF838)="")&lt;&gt;(TRIM(AG838)=""),"GST login needs both user ID and password; ","")&amp;IF((TRIM(AH838)="")&lt;&gt;(TRIM(AI838)=""),"Income-tax login needs both user ID and password; ","")&amp;IF((TRIM(AJ838)="")&lt;&gt;(TRIM(AK838)=""),"Income-tax login needs both user ID and password; ","")&amp;IF((TRIM(AL838)="")&lt;&gt;(TRIM(AM838)=""),"TRACES login needs both user ID and password; ","")&amp;IF((TRIM(AN838)="")&lt;&gt;(TRIM(AO838)=""),"MCA login needs both user ID and password; ","")&amp;IF((TRIM(AP838)="")&lt;&gt;(TRIM(AQ838)=""),"E-way bill login needs both user ID and password; ","")</f>
        <v/>
      </c>
    </row>
    <row r="839">
      <c r="A839" s="32" t="n"/>
      <c r="B839" s="33" t="n"/>
      <c r="C839" s="33" t="n"/>
      <c r="D839" s="33" t="n"/>
      <c r="E839" s="32" t="n"/>
      <c r="F839" s="32" t="n"/>
      <c r="G839" s="32" t="n"/>
      <c r="H839" s="32" t="n"/>
      <c r="I839" s="32" t="n"/>
      <c r="J839" s="34" t="n"/>
      <c r="K839" s="33" t="n"/>
      <c r="L839" s="32" t="n"/>
      <c r="M839" s="33" t="n"/>
      <c r="N839" s="33" t="n"/>
      <c r="O839" s="33" t="n"/>
      <c r="P839" s="32" t="n"/>
      <c r="Q839" s="33" t="n"/>
      <c r="R839" s="33" t="n"/>
      <c r="S839" s="33" t="n"/>
      <c r="T839" s="33" t="n"/>
      <c r="U839" s="32" t="n"/>
      <c r="V839" s="33" t="n"/>
      <c r="W839" s="33" t="n"/>
      <c r="X839" s="33" t="n"/>
      <c r="Y839" s="33" t="n"/>
      <c r="Z839" s="33" t="n"/>
      <c r="AA839" s="33" t="n"/>
      <c r="AB839" s="33" t="n"/>
      <c r="AC839" s="33" t="n"/>
      <c r="AD839" s="33" t="n"/>
      <c r="AE839" s="33" t="n"/>
      <c r="AF839" s="32" t="n"/>
      <c r="AG839" s="32" t="n"/>
      <c r="AH839" s="32" t="n"/>
      <c r="AI839" s="32" t="n"/>
      <c r="AJ839" s="32" t="n"/>
      <c r="AK839" s="32" t="n"/>
      <c r="AL839" s="32" t="n"/>
      <c r="AM839" s="32" t="n"/>
      <c r="AN839" s="32" t="n"/>
      <c r="AO839" s="32" t="n"/>
      <c r="AP839" s="32" t="n"/>
      <c r="AQ839" s="32" t="n"/>
      <c r="AR839" s="29">
        <f>IF(NOT(COUNTA(A839:AE839)&gt;0),"",IF(A839="","New client","Update"))</f>
        <v/>
      </c>
      <c r="AS839" s="29">
        <f>IF(BA839&lt;&gt;"",BA839,IF(LEN(AZ839)=15,MID(AZ839,3,10),""))</f>
        <v/>
      </c>
      <c r="AT839" s="29">
        <f>IF(BB839="","",BB839&amp;IF(D839="","  (guessed from PAN)",""))</f>
        <v/>
      </c>
      <c r="AU839" s="29">
        <f>IF(AZ839="","",IFERROR(INDEX(Lists!$L$2:$L$38,MATCH(LEFT(AZ839,2),Lists!$K$2:$K$38,0)),"Unknown code"))</f>
        <v/>
      </c>
      <c r="AV839" s="29">
        <f>IF(AZ839="","",IFERROR(IF(NOT(AND(LEN(AZ839)=15,ISNUMBER(MATCH(LEFT(AZ839,2),Lists!$K$2:$K$38,0)),SUMPRODUCT(--ISERROR(FIND(MID(MID(AZ839,3,10),{1,2,3,4,5,10},1),"ABCDEFGHIJKLMNOPQRSTUVWXYZ")))=0,SUMPRODUCT(--ISERROR(FIND(MID(MID(AZ839,3,10),{6,7,8,9},1),"0123456789")))=0,ISNUMBER(FIND(MID(AZ839,13,1),"123456789ABCDEFGHIJKLMNOPQRSTUVWXYZ")),MID(AZ839,14,1)="Z")),"Wrong format",IF(MID("0123456789ABCDEFGHIJKLMNOPQRSTUVWXYZ",MOD(36-MOD(SUMPRODUCT(INT((FIND(MID(AZ839,{1,2,3,4,5,6,7,8,9,10,11,12,13,14},1),"0123456789ABCDEFGHIJKLMNOPQRSTUVWXYZ")-1)*{1,2,1,2,1,2,1,2,1,2,1,2,1,2}/36)+MOD((FIND(MID(AZ839,{1,2,3,4,5,6,7,8,9,10,11,12,13,14},1),"0123456789ABCDEFGHIJKLMNOPQRSTUVWXYZ")-1)*{1,2,1,2,1,2,1,2,1,2,1,2,1,2},36)),36),36)+1,1)=MID(AZ839,15,1),"OK","Typo? check digit wrong")),"Wrong format"))</f>
        <v/>
      </c>
      <c r="AW839" s="29">
        <f>IF(BA839="","",IF(AND(LEN(BA839)=10,SUMPRODUCT(--ISERROR(FIND(MID(BA839,{1,2,3,4,5,10},1),"ABCDEFGHIJKLMNOPQRSTUVWXYZ")))=0,SUMPRODUCT(--ISERROR(FIND(MID(BA839,{6,7,8,9},1),"0123456789")))=0),"OK","Wrong format"))</f>
        <v/>
      </c>
      <c r="AX839" s="29">
        <f>IF(TRIM(H839)="","",IF(AND(LEN(UPPER(TRIM(H839)))=10,SUMPRODUCT(--ISERROR(FIND(MID(UPPER(TRIM(H839)),{1,2,3,4,10},1),"ABCDEFGHIJKLMNOPQRSTUVWXYZ")))=0,SUMPRODUCT(--ISERROR(FIND(MID(UPPER(TRIM(H839)),{5,6,7,8,9},1),"0123456789")))=0),"OK","Wrong format"))</f>
        <v/>
      </c>
      <c r="AY839" s="30">
        <f>IF(NOT(COUNTA(A839:AE839)&gt;0),"",IF(BE839&lt;&gt;"","✖ "&amp;LEFT(BE839,LEN(BE839)-2),IF(BD839&gt;0,"✔ Ready — client + "&amp;BD839&amp;" service(s)","✔ Ready — client only")))</f>
        <v/>
      </c>
      <c r="AZ839" s="31">
        <f>UPPER(SUBSTITUTE(TRIM(F839)," ",""))</f>
        <v/>
      </c>
      <c r="BA839" s="31">
        <f>UPPER(SUBSTITUTE(TRIM(E839)," ",""))</f>
        <v/>
      </c>
      <c r="BB839" s="31">
        <f>IF(D839&lt;&gt;"",D839,IFERROR(VLOOKUP(MID(AS839,4,1),Lists!$E$2:$F$8,2,FALSE),""))</f>
        <v/>
      </c>
      <c r="BC839" s="31">
        <f>IFERROR(VLOOKUP(BB839,Lists!$A$2:$C$12,3,FALSE),"")</f>
        <v/>
      </c>
      <c r="BD839" s="31">
        <f>COUNTIF(W839:AC839,"Yes")</f>
        <v/>
      </c>
      <c r="BE839" s="31">
        <f>IF(TRIM(B839)="","Legal name missing; ","")&amp;IF(AND(AV839&lt;&gt;"",AV839&lt;&gt;"OK"),"GSTIN: "&amp;AV839&amp;"; ","")&amp;IF(AND(AW839&lt;&gt;"",AW839&lt;&gt;"OK"),"PAN wrong format; ","")&amp;IF(AND(BA839&lt;&gt;"",LEN(AZ839)=15,MID(AZ839,3,10)&lt;&gt;BA839),"PAN does not match GSTIN; ","")&amp;IF(AND(AX839&lt;&gt;"",AX839&lt;&gt;"OK"),"TAN wrong format; ","")&amp;IF(AS839="","PAN missing; ","")&amp;IF(BB839="","Entity type missing; ","")&amp;IF(AND(AZ839&lt;&gt;"",COUNTIF($AZ$6:$AZ$1005,AZ839)&gt;1),"GSTIN repeated in this sheet; ","")&amp;IF(AND(AS839&lt;&gt;"",COUNTIF($AS$6:$AS$1005,AS839)&gt;1),"PAN repeated in this sheet (same client? put extra GSTINs in Other GSTINs); ","")&amp;IF(AND(BD839&gt;0,V839=""),"Financial year missing; ","")&amp;IF(AND(BD839=0,V839&lt;&gt;""),"Financial year given but no service is Yes; ","")&amp;IF(AND(W839="Yes",AZ839=""),"GST needs a GSTIN; ","")&amp;IF(AND(W839="Yes",X839=""),"GST return frequency missing; ","")&amp;IF(AND(Y839="Yes",TRIM(H839)=""),"TDS needs a TAN; ","")&amp;IF(AND(AA839="Yes",BC839&lt;&gt;"",BC839&lt;&gt;"company",BC839&lt;&gt;"llp"),"ROC is only for a company / LLP; ","")&amp;IF(AND(AA839="Yes",OR(BC839="company",BC839="llp"),TRIM(I839)=""),"ROC needs the CIN / LLPIN; ","")&amp;IF((TRIM(AF839)="")&lt;&gt;(TRIM(AG839)=""),"GST login needs both user ID and password; ","")&amp;IF((TRIM(AH839)="")&lt;&gt;(TRIM(AI839)=""),"Income-tax login needs both user ID and password; ","")&amp;IF((TRIM(AJ839)="")&lt;&gt;(TRIM(AK839)=""),"Income-tax login needs both user ID and password; ","")&amp;IF((TRIM(AL839)="")&lt;&gt;(TRIM(AM839)=""),"TRACES login needs both user ID and password; ","")&amp;IF((TRIM(AN839)="")&lt;&gt;(TRIM(AO839)=""),"MCA login needs both user ID and password; ","")&amp;IF((TRIM(AP839)="")&lt;&gt;(TRIM(AQ839)=""),"E-way bill login needs both user ID and password; ","")</f>
        <v/>
      </c>
    </row>
    <row r="840">
      <c r="A840" s="32" t="n"/>
      <c r="B840" s="33" t="n"/>
      <c r="C840" s="33" t="n"/>
      <c r="D840" s="33" t="n"/>
      <c r="E840" s="32" t="n"/>
      <c r="F840" s="32" t="n"/>
      <c r="G840" s="32" t="n"/>
      <c r="H840" s="32" t="n"/>
      <c r="I840" s="32" t="n"/>
      <c r="J840" s="34" t="n"/>
      <c r="K840" s="33" t="n"/>
      <c r="L840" s="32" t="n"/>
      <c r="M840" s="33" t="n"/>
      <c r="N840" s="33" t="n"/>
      <c r="O840" s="33" t="n"/>
      <c r="P840" s="32" t="n"/>
      <c r="Q840" s="33" t="n"/>
      <c r="R840" s="33" t="n"/>
      <c r="S840" s="33" t="n"/>
      <c r="T840" s="33" t="n"/>
      <c r="U840" s="32" t="n"/>
      <c r="V840" s="33" t="n"/>
      <c r="W840" s="33" t="n"/>
      <c r="X840" s="33" t="n"/>
      <c r="Y840" s="33" t="n"/>
      <c r="Z840" s="33" t="n"/>
      <c r="AA840" s="33" t="n"/>
      <c r="AB840" s="33" t="n"/>
      <c r="AC840" s="33" t="n"/>
      <c r="AD840" s="33" t="n"/>
      <c r="AE840" s="33" t="n"/>
      <c r="AF840" s="32" t="n"/>
      <c r="AG840" s="32" t="n"/>
      <c r="AH840" s="32" t="n"/>
      <c r="AI840" s="32" t="n"/>
      <c r="AJ840" s="32" t="n"/>
      <c r="AK840" s="32" t="n"/>
      <c r="AL840" s="32" t="n"/>
      <c r="AM840" s="32" t="n"/>
      <c r="AN840" s="32" t="n"/>
      <c r="AO840" s="32" t="n"/>
      <c r="AP840" s="32" t="n"/>
      <c r="AQ840" s="32" t="n"/>
      <c r="AR840" s="29">
        <f>IF(NOT(COUNTA(A840:AE840)&gt;0),"",IF(A840="","New client","Update"))</f>
        <v/>
      </c>
      <c r="AS840" s="29">
        <f>IF(BA840&lt;&gt;"",BA840,IF(LEN(AZ840)=15,MID(AZ840,3,10),""))</f>
        <v/>
      </c>
      <c r="AT840" s="29">
        <f>IF(BB840="","",BB840&amp;IF(D840="","  (guessed from PAN)",""))</f>
        <v/>
      </c>
      <c r="AU840" s="29">
        <f>IF(AZ840="","",IFERROR(INDEX(Lists!$L$2:$L$38,MATCH(LEFT(AZ840,2),Lists!$K$2:$K$38,0)),"Unknown code"))</f>
        <v/>
      </c>
      <c r="AV840" s="29">
        <f>IF(AZ840="","",IFERROR(IF(NOT(AND(LEN(AZ840)=15,ISNUMBER(MATCH(LEFT(AZ840,2),Lists!$K$2:$K$38,0)),SUMPRODUCT(--ISERROR(FIND(MID(MID(AZ840,3,10),{1,2,3,4,5,10},1),"ABCDEFGHIJKLMNOPQRSTUVWXYZ")))=0,SUMPRODUCT(--ISERROR(FIND(MID(MID(AZ840,3,10),{6,7,8,9},1),"0123456789")))=0,ISNUMBER(FIND(MID(AZ840,13,1),"123456789ABCDEFGHIJKLMNOPQRSTUVWXYZ")),MID(AZ840,14,1)="Z")),"Wrong format",IF(MID("0123456789ABCDEFGHIJKLMNOPQRSTUVWXYZ",MOD(36-MOD(SUMPRODUCT(INT((FIND(MID(AZ840,{1,2,3,4,5,6,7,8,9,10,11,12,13,14},1),"0123456789ABCDEFGHIJKLMNOPQRSTUVWXYZ")-1)*{1,2,1,2,1,2,1,2,1,2,1,2,1,2}/36)+MOD((FIND(MID(AZ840,{1,2,3,4,5,6,7,8,9,10,11,12,13,14},1),"0123456789ABCDEFGHIJKLMNOPQRSTUVWXYZ")-1)*{1,2,1,2,1,2,1,2,1,2,1,2,1,2},36)),36),36)+1,1)=MID(AZ840,15,1),"OK","Typo? check digit wrong")),"Wrong format"))</f>
        <v/>
      </c>
      <c r="AW840" s="29">
        <f>IF(BA840="","",IF(AND(LEN(BA840)=10,SUMPRODUCT(--ISERROR(FIND(MID(BA840,{1,2,3,4,5,10},1),"ABCDEFGHIJKLMNOPQRSTUVWXYZ")))=0,SUMPRODUCT(--ISERROR(FIND(MID(BA840,{6,7,8,9},1),"0123456789")))=0),"OK","Wrong format"))</f>
        <v/>
      </c>
      <c r="AX840" s="29">
        <f>IF(TRIM(H840)="","",IF(AND(LEN(UPPER(TRIM(H840)))=10,SUMPRODUCT(--ISERROR(FIND(MID(UPPER(TRIM(H840)),{1,2,3,4,10},1),"ABCDEFGHIJKLMNOPQRSTUVWXYZ")))=0,SUMPRODUCT(--ISERROR(FIND(MID(UPPER(TRIM(H840)),{5,6,7,8,9},1),"0123456789")))=0),"OK","Wrong format"))</f>
        <v/>
      </c>
      <c r="AY840" s="30">
        <f>IF(NOT(COUNTA(A840:AE840)&gt;0),"",IF(BE840&lt;&gt;"","✖ "&amp;LEFT(BE840,LEN(BE840)-2),IF(BD840&gt;0,"✔ Ready — client + "&amp;BD840&amp;" service(s)","✔ Ready — client only")))</f>
        <v/>
      </c>
      <c r="AZ840" s="31">
        <f>UPPER(SUBSTITUTE(TRIM(F840)," ",""))</f>
        <v/>
      </c>
      <c r="BA840" s="31">
        <f>UPPER(SUBSTITUTE(TRIM(E840)," ",""))</f>
        <v/>
      </c>
      <c r="BB840" s="31">
        <f>IF(D840&lt;&gt;"",D840,IFERROR(VLOOKUP(MID(AS840,4,1),Lists!$E$2:$F$8,2,FALSE),""))</f>
        <v/>
      </c>
      <c r="BC840" s="31">
        <f>IFERROR(VLOOKUP(BB840,Lists!$A$2:$C$12,3,FALSE),"")</f>
        <v/>
      </c>
      <c r="BD840" s="31">
        <f>COUNTIF(W840:AC840,"Yes")</f>
        <v/>
      </c>
      <c r="BE840" s="31">
        <f>IF(TRIM(B840)="","Legal name missing; ","")&amp;IF(AND(AV840&lt;&gt;"",AV840&lt;&gt;"OK"),"GSTIN: "&amp;AV840&amp;"; ","")&amp;IF(AND(AW840&lt;&gt;"",AW840&lt;&gt;"OK"),"PAN wrong format; ","")&amp;IF(AND(BA840&lt;&gt;"",LEN(AZ840)=15,MID(AZ840,3,10)&lt;&gt;BA840),"PAN does not match GSTIN; ","")&amp;IF(AND(AX840&lt;&gt;"",AX840&lt;&gt;"OK"),"TAN wrong format; ","")&amp;IF(AS840="","PAN missing; ","")&amp;IF(BB840="","Entity type missing; ","")&amp;IF(AND(AZ840&lt;&gt;"",COUNTIF($AZ$6:$AZ$1005,AZ840)&gt;1),"GSTIN repeated in this sheet; ","")&amp;IF(AND(AS840&lt;&gt;"",COUNTIF($AS$6:$AS$1005,AS840)&gt;1),"PAN repeated in this sheet (same client? put extra GSTINs in Other GSTINs); ","")&amp;IF(AND(BD840&gt;0,V840=""),"Financial year missing; ","")&amp;IF(AND(BD840=0,V840&lt;&gt;""),"Financial year given but no service is Yes; ","")&amp;IF(AND(W840="Yes",AZ840=""),"GST needs a GSTIN; ","")&amp;IF(AND(W840="Yes",X840=""),"GST return frequency missing; ","")&amp;IF(AND(Y840="Yes",TRIM(H840)=""),"TDS needs a TAN; ","")&amp;IF(AND(AA840="Yes",BC840&lt;&gt;"",BC840&lt;&gt;"company",BC840&lt;&gt;"llp"),"ROC is only for a company / LLP; ","")&amp;IF(AND(AA840="Yes",OR(BC840="company",BC840="llp"),TRIM(I840)=""),"ROC needs the CIN / LLPIN; ","")&amp;IF((TRIM(AF840)="")&lt;&gt;(TRIM(AG840)=""),"GST login needs both user ID and password; ","")&amp;IF((TRIM(AH840)="")&lt;&gt;(TRIM(AI840)=""),"Income-tax login needs both user ID and password; ","")&amp;IF((TRIM(AJ840)="")&lt;&gt;(TRIM(AK840)=""),"Income-tax login needs both user ID and password; ","")&amp;IF((TRIM(AL840)="")&lt;&gt;(TRIM(AM840)=""),"TRACES login needs both user ID and password; ","")&amp;IF((TRIM(AN840)="")&lt;&gt;(TRIM(AO840)=""),"MCA login needs both user ID and password; ","")&amp;IF((TRIM(AP840)="")&lt;&gt;(TRIM(AQ840)=""),"E-way bill login needs both user ID and password; ","")</f>
        <v/>
      </c>
    </row>
    <row r="841">
      <c r="A841" s="32" t="n"/>
      <c r="B841" s="33" t="n"/>
      <c r="C841" s="33" t="n"/>
      <c r="D841" s="33" t="n"/>
      <c r="E841" s="32" t="n"/>
      <c r="F841" s="32" t="n"/>
      <c r="G841" s="32" t="n"/>
      <c r="H841" s="32" t="n"/>
      <c r="I841" s="32" t="n"/>
      <c r="J841" s="34" t="n"/>
      <c r="K841" s="33" t="n"/>
      <c r="L841" s="32" t="n"/>
      <c r="M841" s="33" t="n"/>
      <c r="N841" s="33" t="n"/>
      <c r="O841" s="33" t="n"/>
      <c r="P841" s="32" t="n"/>
      <c r="Q841" s="33" t="n"/>
      <c r="R841" s="33" t="n"/>
      <c r="S841" s="33" t="n"/>
      <c r="T841" s="33" t="n"/>
      <c r="U841" s="32" t="n"/>
      <c r="V841" s="33" t="n"/>
      <c r="W841" s="33" t="n"/>
      <c r="X841" s="33" t="n"/>
      <c r="Y841" s="33" t="n"/>
      <c r="Z841" s="33" t="n"/>
      <c r="AA841" s="33" t="n"/>
      <c r="AB841" s="33" t="n"/>
      <c r="AC841" s="33" t="n"/>
      <c r="AD841" s="33" t="n"/>
      <c r="AE841" s="33" t="n"/>
      <c r="AF841" s="32" t="n"/>
      <c r="AG841" s="32" t="n"/>
      <c r="AH841" s="32" t="n"/>
      <c r="AI841" s="32" t="n"/>
      <c r="AJ841" s="32" t="n"/>
      <c r="AK841" s="32" t="n"/>
      <c r="AL841" s="32" t="n"/>
      <c r="AM841" s="32" t="n"/>
      <c r="AN841" s="32" t="n"/>
      <c r="AO841" s="32" t="n"/>
      <c r="AP841" s="32" t="n"/>
      <c r="AQ841" s="32" t="n"/>
      <c r="AR841" s="29">
        <f>IF(NOT(COUNTA(A841:AE841)&gt;0),"",IF(A841="","New client","Update"))</f>
        <v/>
      </c>
      <c r="AS841" s="29">
        <f>IF(BA841&lt;&gt;"",BA841,IF(LEN(AZ841)=15,MID(AZ841,3,10),""))</f>
        <v/>
      </c>
      <c r="AT841" s="29">
        <f>IF(BB841="","",BB841&amp;IF(D841="","  (guessed from PAN)",""))</f>
        <v/>
      </c>
      <c r="AU841" s="29">
        <f>IF(AZ841="","",IFERROR(INDEX(Lists!$L$2:$L$38,MATCH(LEFT(AZ841,2),Lists!$K$2:$K$38,0)),"Unknown code"))</f>
        <v/>
      </c>
      <c r="AV841" s="29">
        <f>IF(AZ841="","",IFERROR(IF(NOT(AND(LEN(AZ841)=15,ISNUMBER(MATCH(LEFT(AZ841,2),Lists!$K$2:$K$38,0)),SUMPRODUCT(--ISERROR(FIND(MID(MID(AZ841,3,10),{1,2,3,4,5,10},1),"ABCDEFGHIJKLMNOPQRSTUVWXYZ")))=0,SUMPRODUCT(--ISERROR(FIND(MID(MID(AZ841,3,10),{6,7,8,9},1),"0123456789")))=0,ISNUMBER(FIND(MID(AZ841,13,1),"123456789ABCDEFGHIJKLMNOPQRSTUVWXYZ")),MID(AZ841,14,1)="Z")),"Wrong format",IF(MID("0123456789ABCDEFGHIJKLMNOPQRSTUVWXYZ",MOD(36-MOD(SUMPRODUCT(INT((FIND(MID(AZ841,{1,2,3,4,5,6,7,8,9,10,11,12,13,14},1),"0123456789ABCDEFGHIJKLMNOPQRSTUVWXYZ")-1)*{1,2,1,2,1,2,1,2,1,2,1,2,1,2}/36)+MOD((FIND(MID(AZ841,{1,2,3,4,5,6,7,8,9,10,11,12,13,14},1),"0123456789ABCDEFGHIJKLMNOPQRSTUVWXYZ")-1)*{1,2,1,2,1,2,1,2,1,2,1,2,1,2},36)),36),36)+1,1)=MID(AZ841,15,1),"OK","Typo? check digit wrong")),"Wrong format"))</f>
        <v/>
      </c>
      <c r="AW841" s="29">
        <f>IF(BA841="","",IF(AND(LEN(BA841)=10,SUMPRODUCT(--ISERROR(FIND(MID(BA841,{1,2,3,4,5,10},1),"ABCDEFGHIJKLMNOPQRSTUVWXYZ")))=0,SUMPRODUCT(--ISERROR(FIND(MID(BA841,{6,7,8,9},1),"0123456789")))=0),"OK","Wrong format"))</f>
        <v/>
      </c>
      <c r="AX841" s="29">
        <f>IF(TRIM(H841)="","",IF(AND(LEN(UPPER(TRIM(H841)))=10,SUMPRODUCT(--ISERROR(FIND(MID(UPPER(TRIM(H841)),{1,2,3,4,10},1),"ABCDEFGHIJKLMNOPQRSTUVWXYZ")))=0,SUMPRODUCT(--ISERROR(FIND(MID(UPPER(TRIM(H841)),{5,6,7,8,9},1),"0123456789")))=0),"OK","Wrong format"))</f>
        <v/>
      </c>
      <c r="AY841" s="30">
        <f>IF(NOT(COUNTA(A841:AE841)&gt;0),"",IF(BE841&lt;&gt;"","✖ "&amp;LEFT(BE841,LEN(BE841)-2),IF(BD841&gt;0,"✔ Ready — client + "&amp;BD841&amp;" service(s)","✔ Ready — client only")))</f>
        <v/>
      </c>
      <c r="AZ841" s="31">
        <f>UPPER(SUBSTITUTE(TRIM(F841)," ",""))</f>
        <v/>
      </c>
      <c r="BA841" s="31">
        <f>UPPER(SUBSTITUTE(TRIM(E841)," ",""))</f>
        <v/>
      </c>
      <c r="BB841" s="31">
        <f>IF(D841&lt;&gt;"",D841,IFERROR(VLOOKUP(MID(AS841,4,1),Lists!$E$2:$F$8,2,FALSE),""))</f>
        <v/>
      </c>
      <c r="BC841" s="31">
        <f>IFERROR(VLOOKUP(BB841,Lists!$A$2:$C$12,3,FALSE),"")</f>
        <v/>
      </c>
      <c r="BD841" s="31">
        <f>COUNTIF(W841:AC841,"Yes")</f>
        <v/>
      </c>
      <c r="BE841" s="31">
        <f>IF(TRIM(B841)="","Legal name missing; ","")&amp;IF(AND(AV841&lt;&gt;"",AV841&lt;&gt;"OK"),"GSTIN: "&amp;AV841&amp;"; ","")&amp;IF(AND(AW841&lt;&gt;"",AW841&lt;&gt;"OK"),"PAN wrong format; ","")&amp;IF(AND(BA841&lt;&gt;"",LEN(AZ841)=15,MID(AZ841,3,10)&lt;&gt;BA841),"PAN does not match GSTIN; ","")&amp;IF(AND(AX841&lt;&gt;"",AX841&lt;&gt;"OK"),"TAN wrong format; ","")&amp;IF(AS841="","PAN missing; ","")&amp;IF(BB841="","Entity type missing; ","")&amp;IF(AND(AZ841&lt;&gt;"",COUNTIF($AZ$6:$AZ$1005,AZ841)&gt;1),"GSTIN repeated in this sheet; ","")&amp;IF(AND(AS841&lt;&gt;"",COUNTIF($AS$6:$AS$1005,AS841)&gt;1),"PAN repeated in this sheet (same client? put extra GSTINs in Other GSTINs); ","")&amp;IF(AND(BD841&gt;0,V841=""),"Financial year missing; ","")&amp;IF(AND(BD841=0,V841&lt;&gt;""),"Financial year given but no service is Yes; ","")&amp;IF(AND(W841="Yes",AZ841=""),"GST needs a GSTIN; ","")&amp;IF(AND(W841="Yes",X841=""),"GST return frequency missing; ","")&amp;IF(AND(Y841="Yes",TRIM(H841)=""),"TDS needs a TAN; ","")&amp;IF(AND(AA841="Yes",BC841&lt;&gt;"",BC841&lt;&gt;"company",BC841&lt;&gt;"llp"),"ROC is only for a company / LLP; ","")&amp;IF(AND(AA841="Yes",OR(BC841="company",BC841="llp"),TRIM(I841)=""),"ROC needs the CIN / LLPIN; ","")&amp;IF((TRIM(AF841)="")&lt;&gt;(TRIM(AG841)=""),"GST login needs both user ID and password; ","")&amp;IF((TRIM(AH841)="")&lt;&gt;(TRIM(AI841)=""),"Income-tax login needs both user ID and password; ","")&amp;IF((TRIM(AJ841)="")&lt;&gt;(TRIM(AK841)=""),"Income-tax login needs both user ID and password; ","")&amp;IF((TRIM(AL841)="")&lt;&gt;(TRIM(AM841)=""),"TRACES login needs both user ID and password; ","")&amp;IF((TRIM(AN841)="")&lt;&gt;(TRIM(AO841)=""),"MCA login needs both user ID and password; ","")&amp;IF((TRIM(AP841)="")&lt;&gt;(TRIM(AQ841)=""),"E-way bill login needs both user ID and password; ","")</f>
        <v/>
      </c>
    </row>
    <row r="842">
      <c r="A842" s="32" t="n"/>
      <c r="B842" s="33" t="n"/>
      <c r="C842" s="33" t="n"/>
      <c r="D842" s="33" t="n"/>
      <c r="E842" s="32" t="n"/>
      <c r="F842" s="32" t="n"/>
      <c r="G842" s="32" t="n"/>
      <c r="H842" s="32" t="n"/>
      <c r="I842" s="32" t="n"/>
      <c r="J842" s="34" t="n"/>
      <c r="K842" s="33" t="n"/>
      <c r="L842" s="32" t="n"/>
      <c r="M842" s="33" t="n"/>
      <c r="N842" s="33" t="n"/>
      <c r="O842" s="33" t="n"/>
      <c r="P842" s="32" t="n"/>
      <c r="Q842" s="33" t="n"/>
      <c r="R842" s="33" t="n"/>
      <c r="S842" s="33" t="n"/>
      <c r="T842" s="33" t="n"/>
      <c r="U842" s="32" t="n"/>
      <c r="V842" s="33" t="n"/>
      <c r="W842" s="33" t="n"/>
      <c r="X842" s="33" t="n"/>
      <c r="Y842" s="33" t="n"/>
      <c r="Z842" s="33" t="n"/>
      <c r="AA842" s="33" t="n"/>
      <c r="AB842" s="33" t="n"/>
      <c r="AC842" s="33" t="n"/>
      <c r="AD842" s="33" t="n"/>
      <c r="AE842" s="33" t="n"/>
      <c r="AF842" s="32" t="n"/>
      <c r="AG842" s="32" t="n"/>
      <c r="AH842" s="32" t="n"/>
      <c r="AI842" s="32" t="n"/>
      <c r="AJ842" s="32" t="n"/>
      <c r="AK842" s="32" t="n"/>
      <c r="AL842" s="32" t="n"/>
      <c r="AM842" s="32" t="n"/>
      <c r="AN842" s="32" t="n"/>
      <c r="AO842" s="32" t="n"/>
      <c r="AP842" s="32" t="n"/>
      <c r="AQ842" s="32" t="n"/>
      <c r="AR842" s="29">
        <f>IF(NOT(COUNTA(A842:AE842)&gt;0),"",IF(A842="","New client","Update"))</f>
        <v/>
      </c>
      <c r="AS842" s="29">
        <f>IF(BA842&lt;&gt;"",BA842,IF(LEN(AZ842)=15,MID(AZ842,3,10),""))</f>
        <v/>
      </c>
      <c r="AT842" s="29">
        <f>IF(BB842="","",BB842&amp;IF(D842="","  (guessed from PAN)",""))</f>
        <v/>
      </c>
      <c r="AU842" s="29">
        <f>IF(AZ842="","",IFERROR(INDEX(Lists!$L$2:$L$38,MATCH(LEFT(AZ842,2),Lists!$K$2:$K$38,0)),"Unknown code"))</f>
        <v/>
      </c>
      <c r="AV842" s="29">
        <f>IF(AZ842="","",IFERROR(IF(NOT(AND(LEN(AZ842)=15,ISNUMBER(MATCH(LEFT(AZ842,2),Lists!$K$2:$K$38,0)),SUMPRODUCT(--ISERROR(FIND(MID(MID(AZ842,3,10),{1,2,3,4,5,10},1),"ABCDEFGHIJKLMNOPQRSTUVWXYZ")))=0,SUMPRODUCT(--ISERROR(FIND(MID(MID(AZ842,3,10),{6,7,8,9},1),"0123456789")))=0,ISNUMBER(FIND(MID(AZ842,13,1),"123456789ABCDEFGHIJKLMNOPQRSTUVWXYZ")),MID(AZ842,14,1)="Z")),"Wrong format",IF(MID("0123456789ABCDEFGHIJKLMNOPQRSTUVWXYZ",MOD(36-MOD(SUMPRODUCT(INT((FIND(MID(AZ842,{1,2,3,4,5,6,7,8,9,10,11,12,13,14},1),"0123456789ABCDEFGHIJKLMNOPQRSTUVWXYZ")-1)*{1,2,1,2,1,2,1,2,1,2,1,2,1,2}/36)+MOD((FIND(MID(AZ842,{1,2,3,4,5,6,7,8,9,10,11,12,13,14},1),"0123456789ABCDEFGHIJKLMNOPQRSTUVWXYZ")-1)*{1,2,1,2,1,2,1,2,1,2,1,2,1,2},36)),36),36)+1,1)=MID(AZ842,15,1),"OK","Typo? check digit wrong")),"Wrong format"))</f>
        <v/>
      </c>
      <c r="AW842" s="29">
        <f>IF(BA842="","",IF(AND(LEN(BA842)=10,SUMPRODUCT(--ISERROR(FIND(MID(BA842,{1,2,3,4,5,10},1),"ABCDEFGHIJKLMNOPQRSTUVWXYZ")))=0,SUMPRODUCT(--ISERROR(FIND(MID(BA842,{6,7,8,9},1),"0123456789")))=0),"OK","Wrong format"))</f>
        <v/>
      </c>
      <c r="AX842" s="29">
        <f>IF(TRIM(H842)="","",IF(AND(LEN(UPPER(TRIM(H842)))=10,SUMPRODUCT(--ISERROR(FIND(MID(UPPER(TRIM(H842)),{1,2,3,4,10},1),"ABCDEFGHIJKLMNOPQRSTUVWXYZ")))=0,SUMPRODUCT(--ISERROR(FIND(MID(UPPER(TRIM(H842)),{5,6,7,8,9},1),"0123456789")))=0),"OK","Wrong format"))</f>
        <v/>
      </c>
      <c r="AY842" s="30">
        <f>IF(NOT(COUNTA(A842:AE842)&gt;0),"",IF(BE842&lt;&gt;"","✖ "&amp;LEFT(BE842,LEN(BE842)-2),IF(BD842&gt;0,"✔ Ready — client + "&amp;BD842&amp;" service(s)","✔ Ready — client only")))</f>
        <v/>
      </c>
      <c r="AZ842" s="31">
        <f>UPPER(SUBSTITUTE(TRIM(F842)," ",""))</f>
        <v/>
      </c>
      <c r="BA842" s="31">
        <f>UPPER(SUBSTITUTE(TRIM(E842)," ",""))</f>
        <v/>
      </c>
      <c r="BB842" s="31">
        <f>IF(D842&lt;&gt;"",D842,IFERROR(VLOOKUP(MID(AS842,4,1),Lists!$E$2:$F$8,2,FALSE),""))</f>
        <v/>
      </c>
      <c r="BC842" s="31">
        <f>IFERROR(VLOOKUP(BB842,Lists!$A$2:$C$12,3,FALSE),"")</f>
        <v/>
      </c>
      <c r="BD842" s="31">
        <f>COUNTIF(W842:AC842,"Yes")</f>
        <v/>
      </c>
      <c r="BE842" s="31">
        <f>IF(TRIM(B842)="","Legal name missing; ","")&amp;IF(AND(AV842&lt;&gt;"",AV842&lt;&gt;"OK"),"GSTIN: "&amp;AV842&amp;"; ","")&amp;IF(AND(AW842&lt;&gt;"",AW842&lt;&gt;"OK"),"PAN wrong format; ","")&amp;IF(AND(BA842&lt;&gt;"",LEN(AZ842)=15,MID(AZ842,3,10)&lt;&gt;BA842),"PAN does not match GSTIN; ","")&amp;IF(AND(AX842&lt;&gt;"",AX842&lt;&gt;"OK"),"TAN wrong format; ","")&amp;IF(AS842="","PAN missing; ","")&amp;IF(BB842="","Entity type missing; ","")&amp;IF(AND(AZ842&lt;&gt;"",COUNTIF($AZ$6:$AZ$1005,AZ842)&gt;1),"GSTIN repeated in this sheet; ","")&amp;IF(AND(AS842&lt;&gt;"",COUNTIF($AS$6:$AS$1005,AS842)&gt;1),"PAN repeated in this sheet (same client? put extra GSTINs in Other GSTINs); ","")&amp;IF(AND(BD842&gt;0,V842=""),"Financial year missing; ","")&amp;IF(AND(BD842=0,V842&lt;&gt;""),"Financial year given but no service is Yes; ","")&amp;IF(AND(W842="Yes",AZ842=""),"GST needs a GSTIN; ","")&amp;IF(AND(W842="Yes",X842=""),"GST return frequency missing; ","")&amp;IF(AND(Y842="Yes",TRIM(H842)=""),"TDS needs a TAN; ","")&amp;IF(AND(AA842="Yes",BC842&lt;&gt;"",BC842&lt;&gt;"company",BC842&lt;&gt;"llp"),"ROC is only for a company / LLP; ","")&amp;IF(AND(AA842="Yes",OR(BC842="company",BC842="llp"),TRIM(I842)=""),"ROC needs the CIN / LLPIN; ","")&amp;IF((TRIM(AF842)="")&lt;&gt;(TRIM(AG842)=""),"GST login needs both user ID and password; ","")&amp;IF((TRIM(AH842)="")&lt;&gt;(TRIM(AI842)=""),"Income-tax login needs both user ID and password; ","")&amp;IF((TRIM(AJ842)="")&lt;&gt;(TRIM(AK842)=""),"Income-tax login needs both user ID and password; ","")&amp;IF((TRIM(AL842)="")&lt;&gt;(TRIM(AM842)=""),"TRACES login needs both user ID and password; ","")&amp;IF((TRIM(AN842)="")&lt;&gt;(TRIM(AO842)=""),"MCA login needs both user ID and password; ","")&amp;IF((TRIM(AP842)="")&lt;&gt;(TRIM(AQ842)=""),"E-way bill login needs both user ID and password; ","")</f>
        <v/>
      </c>
    </row>
    <row r="843">
      <c r="A843" s="32" t="n"/>
      <c r="B843" s="33" t="n"/>
      <c r="C843" s="33" t="n"/>
      <c r="D843" s="33" t="n"/>
      <c r="E843" s="32" t="n"/>
      <c r="F843" s="32" t="n"/>
      <c r="G843" s="32" t="n"/>
      <c r="H843" s="32" t="n"/>
      <c r="I843" s="32" t="n"/>
      <c r="J843" s="34" t="n"/>
      <c r="K843" s="33" t="n"/>
      <c r="L843" s="32" t="n"/>
      <c r="M843" s="33" t="n"/>
      <c r="N843" s="33" t="n"/>
      <c r="O843" s="33" t="n"/>
      <c r="P843" s="32" t="n"/>
      <c r="Q843" s="33" t="n"/>
      <c r="R843" s="33" t="n"/>
      <c r="S843" s="33" t="n"/>
      <c r="T843" s="33" t="n"/>
      <c r="U843" s="32" t="n"/>
      <c r="V843" s="33" t="n"/>
      <c r="W843" s="33" t="n"/>
      <c r="X843" s="33" t="n"/>
      <c r="Y843" s="33" t="n"/>
      <c r="Z843" s="33" t="n"/>
      <c r="AA843" s="33" t="n"/>
      <c r="AB843" s="33" t="n"/>
      <c r="AC843" s="33" t="n"/>
      <c r="AD843" s="33" t="n"/>
      <c r="AE843" s="33" t="n"/>
      <c r="AF843" s="32" t="n"/>
      <c r="AG843" s="32" t="n"/>
      <c r="AH843" s="32" t="n"/>
      <c r="AI843" s="32" t="n"/>
      <c r="AJ843" s="32" t="n"/>
      <c r="AK843" s="32" t="n"/>
      <c r="AL843" s="32" t="n"/>
      <c r="AM843" s="32" t="n"/>
      <c r="AN843" s="32" t="n"/>
      <c r="AO843" s="32" t="n"/>
      <c r="AP843" s="32" t="n"/>
      <c r="AQ843" s="32" t="n"/>
      <c r="AR843" s="29">
        <f>IF(NOT(COUNTA(A843:AE843)&gt;0),"",IF(A843="","New client","Update"))</f>
        <v/>
      </c>
      <c r="AS843" s="29">
        <f>IF(BA843&lt;&gt;"",BA843,IF(LEN(AZ843)=15,MID(AZ843,3,10),""))</f>
        <v/>
      </c>
      <c r="AT843" s="29">
        <f>IF(BB843="","",BB843&amp;IF(D843="","  (guessed from PAN)",""))</f>
        <v/>
      </c>
      <c r="AU843" s="29">
        <f>IF(AZ843="","",IFERROR(INDEX(Lists!$L$2:$L$38,MATCH(LEFT(AZ843,2),Lists!$K$2:$K$38,0)),"Unknown code"))</f>
        <v/>
      </c>
      <c r="AV843" s="29">
        <f>IF(AZ843="","",IFERROR(IF(NOT(AND(LEN(AZ843)=15,ISNUMBER(MATCH(LEFT(AZ843,2),Lists!$K$2:$K$38,0)),SUMPRODUCT(--ISERROR(FIND(MID(MID(AZ843,3,10),{1,2,3,4,5,10},1),"ABCDEFGHIJKLMNOPQRSTUVWXYZ")))=0,SUMPRODUCT(--ISERROR(FIND(MID(MID(AZ843,3,10),{6,7,8,9},1),"0123456789")))=0,ISNUMBER(FIND(MID(AZ843,13,1),"123456789ABCDEFGHIJKLMNOPQRSTUVWXYZ")),MID(AZ843,14,1)="Z")),"Wrong format",IF(MID("0123456789ABCDEFGHIJKLMNOPQRSTUVWXYZ",MOD(36-MOD(SUMPRODUCT(INT((FIND(MID(AZ843,{1,2,3,4,5,6,7,8,9,10,11,12,13,14},1),"0123456789ABCDEFGHIJKLMNOPQRSTUVWXYZ")-1)*{1,2,1,2,1,2,1,2,1,2,1,2,1,2}/36)+MOD((FIND(MID(AZ843,{1,2,3,4,5,6,7,8,9,10,11,12,13,14},1),"0123456789ABCDEFGHIJKLMNOPQRSTUVWXYZ")-1)*{1,2,1,2,1,2,1,2,1,2,1,2,1,2},36)),36),36)+1,1)=MID(AZ843,15,1),"OK","Typo? check digit wrong")),"Wrong format"))</f>
        <v/>
      </c>
      <c r="AW843" s="29">
        <f>IF(BA843="","",IF(AND(LEN(BA843)=10,SUMPRODUCT(--ISERROR(FIND(MID(BA843,{1,2,3,4,5,10},1),"ABCDEFGHIJKLMNOPQRSTUVWXYZ")))=0,SUMPRODUCT(--ISERROR(FIND(MID(BA843,{6,7,8,9},1),"0123456789")))=0),"OK","Wrong format"))</f>
        <v/>
      </c>
      <c r="AX843" s="29">
        <f>IF(TRIM(H843)="","",IF(AND(LEN(UPPER(TRIM(H843)))=10,SUMPRODUCT(--ISERROR(FIND(MID(UPPER(TRIM(H843)),{1,2,3,4,10},1),"ABCDEFGHIJKLMNOPQRSTUVWXYZ")))=0,SUMPRODUCT(--ISERROR(FIND(MID(UPPER(TRIM(H843)),{5,6,7,8,9},1),"0123456789")))=0),"OK","Wrong format"))</f>
        <v/>
      </c>
      <c r="AY843" s="30">
        <f>IF(NOT(COUNTA(A843:AE843)&gt;0),"",IF(BE843&lt;&gt;"","✖ "&amp;LEFT(BE843,LEN(BE843)-2),IF(BD843&gt;0,"✔ Ready — client + "&amp;BD843&amp;" service(s)","✔ Ready — client only")))</f>
        <v/>
      </c>
      <c r="AZ843" s="31">
        <f>UPPER(SUBSTITUTE(TRIM(F843)," ",""))</f>
        <v/>
      </c>
      <c r="BA843" s="31">
        <f>UPPER(SUBSTITUTE(TRIM(E843)," ",""))</f>
        <v/>
      </c>
      <c r="BB843" s="31">
        <f>IF(D843&lt;&gt;"",D843,IFERROR(VLOOKUP(MID(AS843,4,1),Lists!$E$2:$F$8,2,FALSE),""))</f>
        <v/>
      </c>
      <c r="BC843" s="31">
        <f>IFERROR(VLOOKUP(BB843,Lists!$A$2:$C$12,3,FALSE),"")</f>
        <v/>
      </c>
      <c r="BD843" s="31">
        <f>COUNTIF(W843:AC843,"Yes")</f>
        <v/>
      </c>
      <c r="BE843" s="31">
        <f>IF(TRIM(B843)="","Legal name missing; ","")&amp;IF(AND(AV843&lt;&gt;"",AV843&lt;&gt;"OK"),"GSTIN: "&amp;AV843&amp;"; ","")&amp;IF(AND(AW843&lt;&gt;"",AW843&lt;&gt;"OK"),"PAN wrong format; ","")&amp;IF(AND(BA843&lt;&gt;"",LEN(AZ843)=15,MID(AZ843,3,10)&lt;&gt;BA843),"PAN does not match GSTIN; ","")&amp;IF(AND(AX843&lt;&gt;"",AX843&lt;&gt;"OK"),"TAN wrong format; ","")&amp;IF(AS843="","PAN missing; ","")&amp;IF(BB843="","Entity type missing; ","")&amp;IF(AND(AZ843&lt;&gt;"",COUNTIF($AZ$6:$AZ$1005,AZ843)&gt;1),"GSTIN repeated in this sheet; ","")&amp;IF(AND(AS843&lt;&gt;"",COUNTIF($AS$6:$AS$1005,AS843)&gt;1),"PAN repeated in this sheet (same client? put extra GSTINs in Other GSTINs); ","")&amp;IF(AND(BD843&gt;0,V843=""),"Financial year missing; ","")&amp;IF(AND(BD843=0,V843&lt;&gt;""),"Financial year given but no service is Yes; ","")&amp;IF(AND(W843="Yes",AZ843=""),"GST needs a GSTIN; ","")&amp;IF(AND(W843="Yes",X843=""),"GST return frequency missing; ","")&amp;IF(AND(Y843="Yes",TRIM(H843)=""),"TDS needs a TAN; ","")&amp;IF(AND(AA843="Yes",BC843&lt;&gt;"",BC843&lt;&gt;"company",BC843&lt;&gt;"llp"),"ROC is only for a company / LLP; ","")&amp;IF(AND(AA843="Yes",OR(BC843="company",BC843="llp"),TRIM(I843)=""),"ROC needs the CIN / LLPIN; ","")&amp;IF((TRIM(AF843)="")&lt;&gt;(TRIM(AG843)=""),"GST login needs both user ID and password; ","")&amp;IF((TRIM(AH843)="")&lt;&gt;(TRIM(AI843)=""),"Income-tax login needs both user ID and password; ","")&amp;IF((TRIM(AJ843)="")&lt;&gt;(TRIM(AK843)=""),"Income-tax login needs both user ID and password; ","")&amp;IF((TRIM(AL843)="")&lt;&gt;(TRIM(AM843)=""),"TRACES login needs both user ID and password; ","")&amp;IF((TRIM(AN843)="")&lt;&gt;(TRIM(AO843)=""),"MCA login needs both user ID and password; ","")&amp;IF((TRIM(AP843)="")&lt;&gt;(TRIM(AQ843)=""),"E-way bill login needs both user ID and password; ","")</f>
        <v/>
      </c>
    </row>
    <row r="844">
      <c r="A844" s="32" t="n"/>
      <c r="B844" s="33" t="n"/>
      <c r="C844" s="33" t="n"/>
      <c r="D844" s="33" t="n"/>
      <c r="E844" s="32" t="n"/>
      <c r="F844" s="32" t="n"/>
      <c r="G844" s="32" t="n"/>
      <c r="H844" s="32" t="n"/>
      <c r="I844" s="32" t="n"/>
      <c r="J844" s="34" t="n"/>
      <c r="K844" s="33" t="n"/>
      <c r="L844" s="32" t="n"/>
      <c r="M844" s="33" t="n"/>
      <c r="N844" s="33" t="n"/>
      <c r="O844" s="33" t="n"/>
      <c r="P844" s="32" t="n"/>
      <c r="Q844" s="33" t="n"/>
      <c r="R844" s="33" t="n"/>
      <c r="S844" s="33" t="n"/>
      <c r="T844" s="33" t="n"/>
      <c r="U844" s="32" t="n"/>
      <c r="V844" s="33" t="n"/>
      <c r="W844" s="33" t="n"/>
      <c r="X844" s="33" t="n"/>
      <c r="Y844" s="33" t="n"/>
      <c r="Z844" s="33" t="n"/>
      <c r="AA844" s="33" t="n"/>
      <c r="AB844" s="33" t="n"/>
      <c r="AC844" s="33" t="n"/>
      <c r="AD844" s="33" t="n"/>
      <c r="AE844" s="33" t="n"/>
      <c r="AF844" s="32" t="n"/>
      <c r="AG844" s="32" t="n"/>
      <c r="AH844" s="32" t="n"/>
      <c r="AI844" s="32" t="n"/>
      <c r="AJ844" s="32" t="n"/>
      <c r="AK844" s="32" t="n"/>
      <c r="AL844" s="32" t="n"/>
      <c r="AM844" s="32" t="n"/>
      <c r="AN844" s="32" t="n"/>
      <c r="AO844" s="32" t="n"/>
      <c r="AP844" s="32" t="n"/>
      <c r="AQ844" s="32" t="n"/>
      <c r="AR844" s="29">
        <f>IF(NOT(COUNTA(A844:AE844)&gt;0),"",IF(A844="","New client","Update"))</f>
        <v/>
      </c>
      <c r="AS844" s="29">
        <f>IF(BA844&lt;&gt;"",BA844,IF(LEN(AZ844)=15,MID(AZ844,3,10),""))</f>
        <v/>
      </c>
      <c r="AT844" s="29">
        <f>IF(BB844="","",BB844&amp;IF(D844="","  (guessed from PAN)",""))</f>
        <v/>
      </c>
      <c r="AU844" s="29">
        <f>IF(AZ844="","",IFERROR(INDEX(Lists!$L$2:$L$38,MATCH(LEFT(AZ844,2),Lists!$K$2:$K$38,0)),"Unknown code"))</f>
        <v/>
      </c>
      <c r="AV844" s="29">
        <f>IF(AZ844="","",IFERROR(IF(NOT(AND(LEN(AZ844)=15,ISNUMBER(MATCH(LEFT(AZ844,2),Lists!$K$2:$K$38,0)),SUMPRODUCT(--ISERROR(FIND(MID(MID(AZ844,3,10),{1,2,3,4,5,10},1),"ABCDEFGHIJKLMNOPQRSTUVWXYZ")))=0,SUMPRODUCT(--ISERROR(FIND(MID(MID(AZ844,3,10),{6,7,8,9},1),"0123456789")))=0,ISNUMBER(FIND(MID(AZ844,13,1),"123456789ABCDEFGHIJKLMNOPQRSTUVWXYZ")),MID(AZ844,14,1)="Z")),"Wrong format",IF(MID("0123456789ABCDEFGHIJKLMNOPQRSTUVWXYZ",MOD(36-MOD(SUMPRODUCT(INT((FIND(MID(AZ844,{1,2,3,4,5,6,7,8,9,10,11,12,13,14},1),"0123456789ABCDEFGHIJKLMNOPQRSTUVWXYZ")-1)*{1,2,1,2,1,2,1,2,1,2,1,2,1,2}/36)+MOD((FIND(MID(AZ844,{1,2,3,4,5,6,7,8,9,10,11,12,13,14},1),"0123456789ABCDEFGHIJKLMNOPQRSTUVWXYZ")-1)*{1,2,1,2,1,2,1,2,1,2,1,2,1,2},36)),36),36)+1,1)=MID(AZ844,15,1),"OK","Typo? check digit wrong")),"Wrong format"))</f>
        <v/>
      </c>
      <c r="AW844" s="29">
        <f>IF(BA844="","",IF(AND(LEN(BA844)=10,SUMPRODUCT(--ISERROR(FIND(MID(BA844,{1,2,3,4,5,10},1),"ABCDEFGHIJKLMNOPQRSTUVWXYZ")))=0,SUMPRODUCT(--ISERROR(FIND(MID(BA844,{6,7,8,9},1),"0123456789")))=0),"OK","Wrong format"))</f>
        <v/>
      </c>
      <c r="AX844" s="29">
        <f>IF(TRIM(H844)="","",IF(AND(LEN(UPPER(TRIM(H844)))=10,SUMPRODUCT(--ISERROR(FIND(MID(UPPER(TRIM(H844)),{1,2,3,4,10},1),"ABCDEFGHIJKLMNOPQRSTUVWXYZ")))=0,SUMPRODUCT(--ISERROR(FIND(MID(UPPER(TRIM(H844)),{5,6,7,8,9},1),"0123456789")))=0),"OK","Wrong format"))</f>
        <v/>
      </c>
      <c r="AY844" s="30">
        <f>IF(NOT(COUNTA(A844:AE844)&gt;0),"",IF(BE844&lt;&gt;"","✖ "&amp;LEFT(BE844,LEN(BE844)-2),IF(BD844&gt;0,"✔ Ready — client + "&amp;BD844&amp;" service(s)","✔ Ready — client only")))</f>
        <v/>
      </c>
      <c r="AZ844" s="31">
        <f>UPPER(SUBSTITUTE(TRIM(F844)," ",""))</f>
        <v/>
      </c>
      <c r="BA844" s="31">
        <f>UPPER(SUBSTITUTE(TRIM(E844)," ",""))</f>
        <v/>
      </c>
      <c r="BB844" s="31">
        <f>IF(D844&lt;&gt;"",D844,IFERROR(VLOOKUP(MID(AS844,4,1),Lists!$E$2:$F$8,2,FALSE),""))</f>
        <v/>
      </c>
      <c r="BC844" s="31">
        <f>IFERROR(VLOOKUP(BB844,Lists!$A$2:$C$12,3,FALSE),"")</f>
        <v/>
      </c>
      <c r="BD844" s="31">
        <f>COUNTIF(W844:AC844,"Yes")</f>
        <v/>
      </c>
      <c r="BE844" s="31">
        <f>IF(TRIM(B844)="","Legal name missing; ","")&amp;IF(AND(AV844&lt;&gt;"",AV844&lt;&gt;"OK"),"GSTIN: "&amp;AV844&amp;"; ","")&amp;IF(AND(AW844&lt;&gt;"",AW844&lt;&gt;"OK"),"PAN wrong format; ","")&amp;IF(AND(BA844&lt;&gt;"",LEN(AZ844)=15,MID(AZ844,3,10)&lt;&gt;BA844),"PAN does not match GSTIN; ","")&amp;IF(AND(AX844&lt;&gt;"",AX844&lt;&gt;"OK"),"TAN wrong format; ","")&amp;IF(AS844="","PAN missing; ","")&amp;IF(BB844="","Entity type missing; ","")&amp;IF(AND(AZ844&lt;&gt;"",COUNTIF($AZ$6:$AZ$1005,AZ844)&gt;1),"GSTIN repeated in this sheet; ","")&amp;IF(AND(AS844&lt;&gt;"",COUNTIF($AS$6:$AS$1005,AS844)&gt;1),"PAN repeated in this sheet (same client? put extra GSTINs in Other GSTINs); ","")&amp;IF(AND(BD844&gt;0,V844=""),"Financial year missing; ","")&amp;IF(AND(BD844=0,V844&lt;&gt;""),"Financial year given but no service is Yes; ","")&amp;IF(AND(W844="Yes",AZ844=""),"GST needs a GSTIN; ","")&amp;IF(AND(W844="Yes",X844=""),"GST return frequency missing; ","")&amp;IF(AND(Y844="Yes",TRIM(H844)=""),"TDS needs a TAN; ","")&amp;IF(AND(AA844="Yes",BC844&lt;&gt;"",BC844&lt;&gt;"company",BC844&lt;&gt;"llp"),"ROC is only for a company / LLP; ","")&amp;IF(AND(AA844="Yes",OR(BC844="company",BC844="llp"),TRIM(I844)=""),"ROC needs the CIN / LLPIN; ","")&amp;IF((TRIM(AF844)="")&lt;&gt;(TRIM(AG844)=""),"GST login needs both user ID and password; ","")&amp;IF((TRIM(AH844)="")&lt;&gt;(TRIM(AI844)=""),"Income-tax login needs both user ID and password; ","")&amp;IF((TRIM(AJ844)="")&lt;&gt;(TRIM(AK844)=""),"Income-tax login needs both user ID and password; ","")&amp;IF((TRIM(AL844)="")&lt;&gt;(TRIM(AM844)=""),"TRACES login needs both user ID and password; ","")&amp;IF((TRIM(AN844)="")&lt;&gt;(TRIM(AO844)=""),"MCA login needs both user ID and password; ","")&amp;IF((TRIM(AP844)="")&lt;&gt;(TRIM(AQ844)=""),"E-way bill login needs both user ID and password; ","")</f>
        <v/>
      </c>
    </row>
    <row r="845">
      <c r="A845" s="32" t="n"/>
      <c r="B845" s="33" t="n"/>
      <c r="C845" s="33" t="n"/>
      <c r="D845" s="33" t="n"/>
      <c r="E845" s="32" t="n"/>
      <c r="F845" s="32" t="n"/>
      <c r="G845" s="32" t="n"/>
      <c r="H845" s="32" t="n"/>
      <c r="I845" s="32" t="n"/>
      <c r="J845" s="34" t="n"/>
      <c r="K845" s="33" t="n"/>
      <c r="L845" s="32" t="n"/>
      <c r="M845" s="33" t="n"/>
      <c r="N845" s="33" t="n"/>
      <c r="O845" s="33" t="n"/>
      <c r="P845" s="32" t="n"/>
      <c r="Q845" s="33" t="n"/>
      <c r="R845" s="33" t="n"/>
      <c r="S845" s="33" t="n"/>
      <c r="T845" s="33" t="n"/>
      <c r="U845" s="32" t="n"/>
      <c r="V845" s="33" t="n"/>
      <c r="W845" s="33" t="n"/>
      <c r="X845" s="33" t="n"/>
      <c r="Y845" s="33" t="n"/>
      <c r="Z845" s="33" t="n"/>
      <c r="AA845" s="33" t="n"/>
      <c r="AB845" s="33" t="n"/>
      <c r="AC845" s="33" t="n"/>
      <c r="AD845" s="33" t="n"/>
      <c r="AE845" s="33" t="n"/>
      <c r="AF845" s="32" t="n"/>
      <c r="AG845" s="32" t="n"/>
      <c r="AH845" s="32" t="n"/>
      <c r="AI845" s="32" t="n"/>
      <c r="AJ845" s="32" t="n"/>
      <c r="AK845" s="32" t="n"/>
      <c r="AL845" s="32" t="n"/>
      <c r="AM845" s="32" t="n"/>
      <c r="AN845" s="32" t="n"/>
      <c r="AO845" s="32" t="n"/>
      <c r="AP845" s="32" t="n"/>
      <c r="AQ845" s="32" t="n"/>
      <c r="AR845" s="29">
        <f>IF(NOT(COUNTA(A845:AE845)&gt;0),"",IF(A845="","New client","Update"))</f>
        <v/>
      </c>
      <c r="AS845" s="29">
        <f>IF(BA845&lt;&gt;"",BA845,IF(LEN(AZ845)=15,MID(AZ845,3,10),""))</f>
        <v/>
      </c>
      <c r="AT845" s="29">
        <f>IF(BB845="","",BB845&amp;IF(D845="","  (guessed from PAN)",""))</f>
        <v/>
      </c>
      <c r="AU845" s="29">
        <f>IF(AZ845="","",IFERROR(INDEX(Lists!$L$2:$L$38,MATCH(LEFT(AZ845,2),Lists!$K$2:$K$38,0)),"Unknown code"))</f>
        <v/>
      </c>
      <c r="AV845" s="29">
        <f>IF(AZ845="","",IFERROR(IF(NOT(AND(LEN(AZ845)=15,ISNUMBER(MATCH(LEFT(AZ845,2),Lists!$K$2:$K$38,0)),SUMPRODUCT(--ISERROR(FIND(MID(MID(AZ845,3,10),{1,2,3,4,5,10},1),"ABCDEFGHIJKLMNOPQRSTUVWXYZ")))=0,SUMPRODUCT(--ISERROR(FIND(MID(MID(AZ845,3,10),{6,7,8,9},1),"0123456789")))=0,ISNUMBER(FIND(MID(AZ845,13,1),"123456789ABCDEFGHIJKLMNOPQRSTUVWXYZ")),MID(AZ845,14,1)="Z")),"Wrong format",IF(MID("0123456789ABCDEFGHIJKLMNOPQRSTUVWXYZ",MOD(36-MOD(SUMPRODUCT(INT((FIND(MID(AZ845,{1,2,3,4,5,6,7,8,9,10,11,12,13,14},1),"0123456789ABCDEFGHIJKLMNOPQRSTUVWXYZ")-1)*{1,2,1,2,1,2,1,2,1,2,1,2,1,2}/36)+MOD((FIND(MID(AZ845,{1,2,3,4,5,6,7,8,9,10,11,12,13,14},1),"0123456789ABCDEFGHIJKLMNOPQRSTUVWXYZ")-1)*{1,2,1,2,1,2,1,2,1,2,1,2,1,2},36)),36),36)+1,1)=MID(AZ845,15,1),"OK","Typo? check digit wrong")),"Wrong format"))</f>
        <v/>
      </c>
      <c r="AW845" s="29">
        <f>IF(BA845="","",IF(AND(LEN(BA845)=10,SUMPRODUCT(--ISERROR(FIND(MID(BA845,{1,2,3,4,5,10},1),"ABCDEFGHIJKLMNOPQRSTUVWXYZ")))=0,SUMPRODUCT(--ISERROR(FIND(MID(BA845,{6,7,8,9},1),"0123456789")))=0),"OK","Wrong format"))</f>
        <v/>
      </c>
      <c r="AX845" s="29">
        <f>IF(TRIM(H845)="","",IF(AND(LEN(UPPER(TRIM(H845)))=10,SUMPRODUCT(--ISERROR(FIND(MID(UPPER(TRIM(H845)),{1,2,3,4,10},1),"ABCDEFGHIJKLMNOPQRSTUVWXYZ")))=0,SUMPRODUCT(--ISERROR(FIND(MID(UPPER(TRIM(H845)),{5,6,7,8,9},1),"0123456789")))=0),"OK","Wrong format"))</f>
        <v/>
      </c>
      <c r="AY845" s="30">
        <f>IF(NOT(COUNTA(A845:AE845)&gt;0),"",IF(BE845&lt;&gt;"","✖ "&amp;LEFT(BE845,LEN(BE845)-2),IF(BD845&gt;0,"✔ Ready — client + "&amp;BD845&amp;" service(s)","✔ Ready — client only")))</f>
        <v/>
      </c>
      <c r="AZ845" s="31">
        <f>UPPER(SUBSTITUTE(TRIM(F845)," ",""))</f>
        <v/>
      </c>
      <c r="BA845" s="31">
        <f>UPPER(SUBSTITUTE(TRIM(E845)," ",""))</f>
        <v/>
      </c>
      <c r="BB845" s="31">
        <f>IF(D845&lt;&gt;"",D845,IFERROR(VLOOKUP(MID(AS845,4,1),Lists!$E$2:$F$8,2,FALSE),""))</f>
        <v/>
      </c>
      <c r="BC845" s="31">
        <f>IFERROR(VLOOKUP(BB845,Lists!$A$2:$C$12,3,FALSE),"")</f>
        <v/>
      </c>
      <c r="BD845" s="31">
        <f>COUNTIF(W845:AC845,"Yes")</f>
        <v/>
      </c>
      <c r="BE845" s="31">
        <f>IF(TRIM(B845)="","Legal name missing; ","")&amp;IF(AND(AV845&lt;&gt;"",AV845&lt;&gt;"OK"),"GSTIN: "&amp;AV845&amp;"; ","")&amp;IF(AND(AW845&lt;&gt;"",AW845&lt;&gt;"OK"),"PAN wrong format; ","")&amp;IF(AND(BA845&lt;&gt;"",LEN(AZ845)=15,MID(AZ845,3,10)&lt;&gt;BA845),"PAN does not match GSTIN; ","")&amp;IF(AND(AX845&lt;&gt;"",AX845&lt;&gt;"OK"),"TAN wrong format; ","")&amp;IF(AS845="","PAN missing; ","")&amp;IF(BB845="","Entity type missing; ","")&amp;IF(AND(AZ845&lt;&gt;"",COUNTIF($AZ$6:$AZ$1005,AZ845)&gt;1),"GSTIN repeated in this sheet; ","")&amp;IF(AND(AS845&lt;&gt;"",COUNTIF($AS$6:$AS$1005,AS845)&gt;1),"PAN repeated in this sheet (same client? put extra GSTINs in Other GSTINs); ","")&amp;IF(AND(BD845&gt;0,V845=""),"Financial year missing; ","")&amp;IF(AND(BD845=0,V845&lt;&gt;""),"Financial year given but no service is Yes; ","")&amp;IF(AND(W845="Yes",AZ845=""),"GST needs a GSTIN; ","")&amp;IF(AND(W845="Yes",X845=""),"GST return frequency missing; ","")&amp;IF(AND(Y845="Yes",TRIM(H845)=""),"TDS needs a TAN; ","")&amp;IF(AND(AA845="Yes",BC845&lt;&gt;"",BC845&lt;&gt;"company",BC845&lt;&gt;"llp"),"ROC is only for a company / LLP; ","")&amp;IF(AND(AA845="Yes",OR(BC845="company",BC845="llp"),TRIM(I845)=""),"ROC needs the CIN / LLPIN; ","")&amp;IF((TRIM(AF845)="")&lt;&gt;(TRIM(AG845)=""),"GST login needs both user ID and password; ","")&amp;IF((TRIM(AH845)="")&lt;&gt;(TRIM(AI845)=""),"Income-tax login needs both user ID and password; ","")&amp;IF((TRIM(AJ845)="")&lt;&gt;(TRIM(AK845)=""),"Income-tax login needs both user ID and password; ","")&amp;IF((TRIM(AL845)="")&lt;&gt;(TRIM(AM845)=""),"TRACES login needs both user ID and password; ","")&amp;IF((TRIM(AN845)="")&lt;&gt;(TRIM(AO845)=""),"MCA login needs both user ID and password; ","")&amp;IF((TRIM(AP845)="")&lt;&gt;(TRIM(AQ845)=""),"E-way bill login needs both user ID and password; ","")</f>
        <v/>
      </c>
    </row>
    <row r="846">
      <c r="A846" s="32" t="n"/>
      <c r="B846" s="33" t="n"/>
      <c r="C846" s="33" t="n"/>
      <c r="D846" s="33" t="n"/>
      <c r="E846" s="32" t="n"/>
      <c r="F846" s="32" t="n"/>
      <c r="G846" s="32" t="n"/>
      <c r="H846" s="32" t="n"/>
      <c r="I846" s="32" t="n"/>
      <c r="J846" s="34" t="n"/>
      <c r="K846" s="33" t="n"/>
      <c r="L846" s="32" t="n"/>
      <c r="M846" s="33" t="n"/>
      <c r="N846" s="33" t="n"/>
      <c r="O846" s="33" t="n"/>
      <c r="P846" s="32" t="n"/>
      <c r="Q846" s="33" t="n"/>
      <c r="R846" s="33" t="n"/>
      <c r="S846" s="33" t="n"/>
      <c r="T846" s="33" t="n"/>
      <c r="U846" s="32" t="n"/>
      <c r="V846" s="33" t="n"/>
      <c r="W846" s="33" t="n"/>
      <c r="X846" s="33" t="n"/>
      <c r="Y846" s="33" t="n"/>
      <c r="Z846" s="33" t="n"/>
      <c r="AA846" s="33" t="n"/>
      <c r="AB846" s="33" t="n"/>
      <c r="AC846" s="33" t="n"/>
      <c r="AD846" s="33" t="n"/>
      <c r="AE846" s="33" t="n"/>
      <c r="AF846" s="32" t="n"/>
      <c r="AG846" s="32" t="n"/>
      <c r="AH846" s="32" t="n"/>
      <c r="AI846" s="32" t="n"/>
      <c r="AJ846" s="32" t="n"/>
      <c r="AK846" s="32" t="n"/>
      <c r="AL846" s="32" t="n"/>
      <c r="AM846" s="32" t="n"/>
      <c r="AN846" s="32" t="n"/>
      <c r="AO846" s="32" t="n"/>
      <c r="AP846" s="32" t="n"/>
      <c r="AQ846" s="32" t="n"/>
      <c r="AR846" s="29">
        <f>IF(NOT(COUNTA(A846:AE846)&gt;0),"",IF(A846="","New client","Update"))</f>
        <v/>
      </c>
      <c r="AS846" s="29">
        <f>IF(BA846&lt;&gt;"",BA846,IF(LEN(AZ846)=15,MID(AZ846,3,10),""))</f>
        <v/>
      </c>
      <c r="AT846" s="29">
        <f>IF(BB846="","",BB846&amp;IF(D846="","  (guessed from PAN)",""))</f>
        <v/>
      </c>
      <c r="AU846" s="29">
        <f>IF(AZ846="","",IFERROR(INDEX(Lists!$L$2:$L$38,MATCH(LEFT(AZ846,2),Lists!$K$2:$K$38,0)),"Unknown code"))</f>
        <v/>
      </c>
      <c r="AV846" s="29">
        <f>IF(AZ846="","",IFERROR(IF(NOT(AND(LEN(AZ846)=15,ISNUMBER(MATCH(LEFT(AZ846,2),Lists!$K$2:$K$38,0)),SUMPRODUCT(--ISERROR(FIND(MID(MID(AZ846,3,10),{1,2,3,4,5,10},1),"ABCDEFGHIJKLMNOPQRSTUVWXYZ")))=0,SUMPRODUCT(--ISERROR(FIND(MID(MID(AZ846,3,10),{6,7,8,9},1),"0123456789")))=0,ISNUMBER(FIND(MID(AZ846,13,1),"123456789ABCDEFGHIJKLMNOPQRSTUVWXYZ")),MID(AZ846,14,1)="Z")),"Wrong format",IF(MID("0123456789ABCDEFGHIJKLMNOPQRSTUVWXYZ",MOD(36-MOD(SUMPRODUCT(INT((FIND(MID(AZ846,{1,2,3,4,5,6,7,8,9,10,11,12,13,14},1),"0123456789ABCDEFGHIJKLMNOPQRSTUVWXYZ")-1)*{1,2,1,2,1,2,1,2,1,2,1,2,1,2}/36)+MOD((FIND(MID(AZ846,{1,2,3,4,5,6,7,8,9,10,11,12,13,14},1),"0123456789ABCDEFGHIJKLMNOPQRSTUVWXYZ")-1)*{1,2,1,2,1,2,1,2,1,2,1,2,1,2},36)),36),36)+1,1)=MID(AZ846,15,1),"OK","Typo? check digit wrong")),"Wrong format"))</f>
        <v/>
      </c>
      <c r="AW846" s="29">
        <f>IF(BA846="","",IF(AND(LEN(BA846)=10,SUMPRODUCT(--ISERROR(FIND(MID(BA846,{1,2,3,4,5,10},1),"ABCDEFGHIJKLMNOPQRSTUVWXYZ")))=0,SUMPRODUCT(--ISERROR(FIND(MID(BA846,{6,7,8,9},1),"0123456789")))=0),"OK","Wrong format"))</f>
        <v/>
      </c>
      <c r="AX846" s="29">
        <f>IF(TRIM(H846)="","",IF(AND(LEN(UPPER(TRIM(H846)))=10,SUMPRODUCT(--ISERROR(FIND(MID(UPPER(TRIM(H846)),{1,2,3,4,10},1),"ABCDEFGHIJKLMNOPQRSTUVWXYZ")))=0,SUMPRODUCT(--ISERROR(FIND(MID(UPPER(TRIM(H846)),{5,6,7,8,9},1),"0123456789")))=0),"OK","Wrong format"))</f>
        <v/>
      </c>
      <c r="AY846" s="30">
        <f>IF(NOT(COUNTA(A846:AE846)&gt;0),"",IF(BE846&lt;&gt;"","✖ "&amp;LEFT(BE846,LEN(BE846)-2),IF(BD846&gt;0,"✔ Ready — client + "&amp;BD846&amp;" service(s)","✔ Ready — client only")))</f>
        <v/>
      </c>
      <c r="AZ846" s="31">
        <f>UPPER(SUBSTITUTE(TRIM(F846)," ",""))</f>
        <v/>
      </c>
      <c r="BA846" s="31">
        <f>UPPER(SUBSTITUTE(TRIM(E846)," ",""))</f>
        <v/>
      </c>
      <c r="BB846" s="31">
        <f>IF(D846&lt;&gt;"",D846,IFERROR(VLOOKUP(MID(AS846,4,1),Lists!$E$2:$F$8,2,FALSE),""))</f>
        <v/>
      </c>
      <c r="BC846" s="31">
        <f>IFERROR(VLOOKUP(BB846,Lists!$A$2:$C$12,3,FALSE),"")</f>
        <v/>
      </c>
      <c r="BD846" s="31">
        <f>COUNTIF(W846:AC846,"Yes")</f>
        <v/>
      </c>
      <c r="BE846" s="31">
        <f>IF(TRIM(B846)="","Legal name missing; ","")&amp;IF(AND(AV846&lt;&gt;"",AV846&lt;&gt;"OK"),"GSTIN: "&amp;AV846&amp;"; ","")&amp;IF(AND(AW846&lt;&gt;"",AW846&lt;&gt;"OK"),"PAN wrong format; ","")&amp;IF(AND(BA846&lt;&gt;"",LEN(AZ846)=15,MID(AZ846,3,10)&lt;&gt;BA846),"PAN does not match GSTIN; ","")&amp;IF(AND(AX846&lt;&gt;"",AX846&lt;&gt;"OK"),"TAN wrong format; ","")&amp;IF(AS846="","PAN missing; ","")&amp;IF(BB846="","Entity type missing; ","")&amp;IF(AND(AZ846&lt;&gt;"",COUNTIF($AZ$6:$AZ$1005,AZ846)&gt;1),"GSTIN repeated in this sheet; ","")&amp;IF(AND(AS846&lt;&gt;"",COUNTIF($AS$6:$AS$1005,AS846)&gt;1),"PAN repeated in this sheet (same client? put extra GSTINs in Other GSTINs); ","")&amp;IF(AND(BD846&gt;0,V846=""),"Financial year missing; ","")&amp;IF(AND(BD846=0,V846&lt;&gt;""),"Financial year given but no service is Yes; ","")&amp;IF(AND(W846="Yes",AZ846=""),"GST needs a GSTIN; ","")&amp;IF(AND(W846="Yes",X846=""),"GST return frequency missing; ","")&amp;IF(AND(Y846="Yes",TRIM(H846)=""),"TDS needs a TAN; ","")&amp;IF(AND(AA846="Yes",BC846&lt;&gt;"",BC846&lt;&gt;"company",BC846&lt;&gt;"llp"),"ROC is only for a company / LLP; ","")&amp;IF(AND(AA846="Yes",OR(BC846="company",BC846="llp"),TRIM(I846)=""),"ROC needs the CIN / LLPIN; ","")&amp;IF((TRIM(AF846)="")&lt;&gt;(TRIM(AG846)=""),"GST login needs both user ID and password; ","")&amp;IF((TRIM(AH846)="")&lt;&gt;(TRIM(AI846)=""),"Income-tax login needs both user ID and password; ","")&amp;IF((TRIM(AJ846)="")&lt;&gt;(TRIM(AK846)=""),"Income-tax login needs both user ID and password; ","")&amp;IF((TRIM(AL846)="")&lt;&gt;(TRIM(AM846)=""),"TRACES login needs both user ID and password; ","")&amp;IF((TRIM(AN846)="")&lt;&gt;(TRIM(AO846)=""),"MCA login needs both user ID and password; ","")&amp;IF((TRIM(AP846)="")&lt;&gt;(TRIM(AQ846)=""),"E-way bill login needs both user ID and password; ","")</f>
        <v/>
      </c>
    </row>
    <row r="847">
      <c r="A847" s="32" t="n"/>
      <c r="B847" s="33" t="n"/>
      <c r="C847" s="33" t="n"/>
      <c r="D847" s="33" t="n"/>
      <c r="E847" s="32" t="n"/>
      <c r="F847" s="32" t="n"/>
      <c r="G847" s="32" t="n"/>
      <c r="H847" s="32" t="n"/>
      <c r="I847" s="32" t="n"/>
      <c r="J847" s="34" t="n"/>
      <c r="K847" s="33" t="n"/>
      <c r="L847" s="32" t="n"/>
      <c r="M847" s="33" t="n"/>
      <c r="N847" s="33" t="n"/>
      <c r="O847" s="33" t="n"/>
      <c r="P847" s="32" t="n"/>
      <c r="Q847" s="33" t="n"/>
      <c r="R847" s="33" t="n"/>
      <c r="S847" s="33" t="n"/>
      <c r="T847" s="33" t="n"/>
      <c r="U847" s="32" t="n"/>
      <c r="V847" s="33" t="n"/>
      <c r="W847" s="33" t="n"/>
      <c r="X847" s="33" t="n"/>
      <c r="Y847" s="33" t="n"/>
      <c r="Z847" s="33" t="n"/>
      <c r="AA847" s="33" t="n"/>
      <c r="AB847" s="33" t="n"/>
      <c r="AC847" s="33" t="n"/>
      <c r="AD847" s="33" t="n"/>
      <c r="AE847" s="33" t="n"/>
      <c r="AF847" s="32" t="n"/>
      <c r="AG847" s="32" t="n"/>
      <c r="AH847" s="32" t="n"/>
      <c r="AI847" s="32" t="n"/>
      <c r="AJ847" s="32" t="n"/>
      <c r="AK847" s="32" t="n"/>
      <c r="AL847" s="32" t="n"/>
      <c r="AM847" s="32" t="n"/>
      <c r="AN847" s="32" t="n"/>
      <c r="AO847" s="32" t="n"/>
      <c r="AP847" s="32" t="n"/>
      <c r="AQ847" s="32" t="n"/>
      <c r="AR847" s="29">
        <f>IF(NOT(COUNTA(A847:AE847)&gt;0),"",IF(A847="","New client","Update"))</f>
        <v/>
      </c>
      <c r="AS847" s="29">
        <f>IF(BA847&lt;&gt;"",BA847,IF(LEN(AZ847)=15,MID(AZ847,3,10),""))</f>
        <v/>
      </c>
      <c r="AT847" s="29">
        <f>IF(BB847="","",BB847&amp;IF(D847="","  (guessed from PAN)",""))</f>
        <v/>
      </c>
      <c r="AU847" s="29">
        <f>IF(AZ847="","",IFERROR(INDEX(Lists!$L$2:$L$38,MATCH(LEFT(AZ847,2),Lists!$K$2:$K$38,0)),"Unknown code"))</f>
        <v/>
      </c>
      <c r="AV847" s="29">
        <f>IF(AZ847="","",IFERROR(IF(NOT(AND(LEN(AZ847)=15,ISNUMBER(MATCH(LEFT(AZ847,2),Lists!$K$2:$K$38,0)),SUMPRODUCT(--ISERROR(FIND(MID(MID(AZ847,3,10),{1,2,3,4,5,10},1),"ABCDEFGHIJKLMNOPQRSTUVWXYZ")))=0,SUMPRODUCT(--ISERROR(FIND(MID(MID(AZ847,3,10),{6,7,8,9},1),"0123456789")))=0,ISNUMBER(FIND(MID(AZ847,13,1),"123456789ABCDEFGHIJKLMNOPQRSTUVWXYZ")),MID(AZ847,14,1)="Z")),"Wrong format",IF(MID("0123456789ABCDEFGHIJKLMNOPQRSTUVWXYZ",MOD(36-MOD(SUMPRODUCT(INT((FIND(MID(AZ847,{1,2,3,4,5,6,7,8,9,10,11,12,13,14},1),"0123456789ABCDEFGHIJKLMNOPQRSTUVWXYZ")-1)*{1,2,1,2,1,2,1,2,1,2,1,2,1,2}/36)+MOD((FIND(MID(AZ847,{1,2,3,4,5,6,7,8,9,10,11,12,13,14},1),"0123456789ABCDEFGHIJKLMNOPQRSTUVWXYZ")-1)*{1,2,1,2,1,2,1,2,1,2,1,2,1,2},36)),36),36)+1,1)=MID(AZ847,15,1),"OK","Typo? check digit wrong")),"Wrong format"))</f>
        <v/>
      </c>
      <c r="AW847" s="29">
        <f>IF(BA847="","",IF(AND(LEN(BA847)=10,SUMPRODUCT(--ISERROR(FIND(MID(BA847,{1,2,3,4,5,10},1),"ABCDEFGHIJKLMNOPQRSTUVWXYZ")))=0,SUMPRODUCT(--ISERROR(FIND(MID(BA847,{6,7,8,9},1),"0123456789")))=0),"OK","Wrong format"))</f>
        <v/>
      </c>
      <c r="AX847" s="29">
        <f>IF(TRIM(H847)="","",IF(AND(LEN(UPPER(TRIM(H847)))=10,SUMPRODUCT(--ISERROR(FIND(MID(UPPER(TRIM(H847)),{1,2,3,4,10},1),"ABCDEFGHIJKLMNOPQRSTUVWXYZ")))=0,SUMPRODUCT(--ISERROR(FIND(MID(UPPER(TRIM(H847)),{5,6,7,8,9},1),"0123456789")))=0),"OK","Wrong format"))</f>
        <v/>
      </c>
      <c r="AY847" s="30">
        <f>IF(NOT(COUNTA(A847:AE847)&gt;0),"",IF(BE847&lt;&gt;"","✖ "&amp;LEFT(BE847,LEN(BE847)-2),IF(BD847&gt;0,"✔ Ready — client + "&amp;BD847&amp;" service(s)","✔ Ready — client only")))</f>
        <v/>
      </c>
      <c r="AZ847" s="31">
        <f>UPPER(SUBSTITUTE(TRIM(F847)," ",""))</f>
        <v/>
      </c>
      <c r="BA847" s="31">
        <f>UPPER(SUBSTITUTE(TRIM(E847)," ",""))</f>
        <v/>
      </c>
      <c r="BB847" s="31">
        <f>IF(D847&lt;&gt;"",D847,IFERROR(VLOOKUP(MID(AS847,4,1),Lists!$E$2:$F$8,2,FALSE),""))</f>
        <v/>
      </c>
      <c r="BC847" s="31">
        <f>IFERROR(VLOOKUP(BB847,Lists!$A$2:$C$12,3,FALSE),"")</f>
        <v/>
      </c>
      <c r="BD847" s="31">
        <f>COUNTIF(W847:AC847,"Yes")</f>
        <v/>
      </c>
      <c r="BE847" s="31">
        <f>IF(TRIM(B847)="","Legal name missing; ","")&amp;IF(AND(AV847&lt;&gt;"",AV847&lt;&gt;"OK"),"GSTIN: "&amp;AV847&amp;"; ","")&amp;IF(AND(AW847&lt;&gt;"",AW847&lt;&gt;"OK"),"PAN wrong format; ","")&amp;IF(AND(BA847&lt;&gt;"",LEN(AZ847)=15,MID(AZ847,3,10)&lt;&gt;BA847),"PAN does not match GSTIN; ","")&amp;IF(AND(AX847&lt;&gt;"",AX847&lt;&gt;"OK"),"TAN wrong format; ","")&amp;IF(AS847="","PAN missing; ","")&amp;IF(BB847="","Entity type missing; ","")&amp;IF(AND(AZ847&lt;&gt;"",COUNTIF($AZ$6:$AZ$1005,AZ847)&gt;1),"GSTIN repeated in this sheet; ","")&amp;IF(AND(AS847&lt;&gt;"",COUNTIF($AS$6:$AS$1005,AS847)&gt;1),"PAN repeated in this sheet (same client? put extra GSTINs in Other GSTINs); ","")&amp;IF(AND(BD847&gt;0,V847=""),"Financial year missing; ","")&amp;IF(AND(BD847=0,V847&lt;&gt;""),"Financial year given but no service is Yes; ","")&amp;IF(AND(W847="Yes",AZ847=""),"GST needs a GSTIN; ","")&amp;IF(AND(W847="Yes",X847=""),"GST return frequency missing; ","")&amp;IF(AND(Y847="Yes",TRIM(H847)=""),"TDS needs a TAN; ","")&amp;IF(AND(AA847="Yes",BC847&lt;&gt;"",BC847&lt;&gt;"company",BC847&lt;&gt;"llp"),"ROC is only for a company / LLP; ","")&amp;IF(AND(AA847="Yes",OR(BC847="company",BC847="llp"),TRIM(I847)=""),"ROC needs the CIN / LLPIN; ","")&amp;IF((TRIM(AF847)="")&lt;&gt;(TRIM(AG847)=""),"GST login needs both user ID and password; ","")&amp;IF((TRIM(AH847)="")&lt;&gt;(TRIM(AI847)=""),"Income-tax login needs both user ID and password; ","")&amp;IF((TRIM(AJ847)="")&lt;&gt;(TRIM(AK847)=""),"Income-tax login needs both user ID and password; ","")&amp;IF((TRIM(AL847)="")&lt;&gt;(TRIM(AM847)=""),"TRACES login needs both user ID and password; ","")&amp;IF((TRIM(AN847)="")&lt;&gt;(TRIM(AO847)=""),"MCA login needs both user ID and password; ","")&amp;IF((TRIM(AP847)="")&lt;&gt;(TRIM(AQ847)=""),"E-way bill login needs both user ID and password; ","")</f>
        <v/>
      </c>
    </row>
    <row r="848">
      <c r="A848" s="32" t="n"/>
      <c r="B848" s="33" t="n"/>
      <c r="C848" s="33" t="n"/>
      <c r="D848" s="33" t="n"/>
      <c r="E848" s="32" t="n"/>
      <c r="F848" s="32" t="n"/>
      <c r="G848" s="32" t="n"/>
      <c r="H848" s="32" t="n"/>
      <c r="I848" s="32" t="n"/>
      <c r="J848" s="34" t="n"/>
      <c r="K848" s="33" t="n"/>
      <c r="L848" s="32" t="n"/>
      <c r="M848" s="33" t="n"/>
      <c r="N848" s="33" t="n"/>
      <c r="O848" s="33" t="n"/>
      <c r="P848" s="32" t="n"/>
      <c r="Q848" s="33" t="n"/>
      <c r="R848" s="33" t="n"/>
      <c r="S848" s="33" t="n"/>
      <c r="T848" s="33" t="n"/>
      <c r="U848" s="32" t="n"/>
      <c r="V848" s="33" t="n"/>
      <c r="W848" s="33" t="n"/>
      <c r="X848" s="33" t="n"/>
      <c r="Y848" s="33" t="n"/>
      <c r="Z848" s="33" t="n"/>
      <c r="AA848" s="33" t="n"/>
      <c r="AB848" s="33" t="n"/>
      <c r="AC848" s="33" t="n"/>
      <c r="AD848" s="33" t="n"/>
      <c r="AE848" s="33" t="n"/>
      <c r="AF848" s="32" t="n"/>
      <c r="AG848" s="32" t="n"/>
      <c r="AH848" s="32" t="n"/>
      <c r="AI848" s="32" t="n"/>
      <c r="AJ848" s="32" t="n"/>
      <c r="AK848" s="32" t="n"/>
      <c r="AL848" s="32" t="n"/>
      <c r="AM848" s="32" t="n"/>
      <c r="AN848" s="32" t="n"/>
      <c r="AO848" s="32" t="n"/>
      <c r="AP848" s="32" t="n"/>
      <c r="AQ848" s="32" t="n"/>
      <c r="AR848" s="29">
        <f>IF(NOT(COUNTA(A848:AE848)&gt;0),"",IF(A848="","New client","Update"))</f>
        <v/>
      </c>
      <c r="AS848" s="29">
        <f>IF(BA848&lt;&gt;"",BA848,IF(LEN(AZ848)=15,MID(AZ848,3,10),""))</f>
        <v/>
      </c>
      <c r="AT848" s="29">
        <f>IF(BB848="","",BB848&amp;IF(D848="","  (guessed from PAN)",""))</f>
        <v/>
      </c>
      <c r="AU848" s="29">
        <f>IF(AZ848="","",IFERROR(INDEX(Lists!$L$2:$L$38,MATCH(LEFT(AZ848,2),Lists!$K$2:$K$38,0)),"Unknown code"))</f>
        <v/>
      </c>
      <c r="AV848" s="29">
        <f>IF(AZ848="","",IFERROR(IF(NOT(AND(LEN(AZ848)=15,ISNUMBER(MATCH(LEFT(AZ848,2),Lists!$K$2:$K$38,0)),SUMPRODUCT(--ISERROR(FIND(MID(MID(AZ848,3,10),{1,2,3,4,5,10},1),"ABCDEFGHIJKLMNOPQRSTUVWXYZ")))=0,SUMPRODUCT(--ISERROR(FIND(MID(MID(AZ848,3,10),{6,7,8,9},1),"0123456789")))=0,ISNUMBER(FIND(MID(AZ848,13,1),"123456789ABCDEFGHIJKLMNOPQRSTUVWXYZ")),MID(AZ848,14,1)="Z")),"Wrong format",IF(MID("0123456789ABCDEFGHIJKLMNOPQRSTUVWXYZ",MOD(36-MOD(SUMPRODUCT(INT((FIND(MID(AZ848,{1,2,3,4,5,6,7,8,9,10,11,12,13,14},1),"0123456789ABCDEFGHIJKLMNOPQRSTUVWXYZ")-1)*{1,2,1,2,1,2,1,2,1,2,1,2,1,2}/36)+MOD((FIND(MID(AZ848,{1,2,3,4,5,6,7,8,9,10,11,12,13,14},1),"0123456789ABCDEFGHIJKLMNOPQRSTUVWXYZ")-1)*{1,2,1,2,1,2,1,2,1,2,1,2,1,2},36)),36),36)+1,1)=MID(AZ848,15,1),"OK","Typo? check digit wrong")),"Wrong format"))</f>
        <v/>
      </c>
      <c r="AW848" s="29">
        <f>IF(BA848="","",IF(AND(LEN(BA848)=10,SUMPRODUCT(--ISERROR(FIND(MID(BA848,{1,2,3,4,5,10},1),"ABCDEFGHIJKLMNOPQRSTUVWXYZ")))=0,SUMPRODUCT(--ISERROR(FIND(MID(BA848,{6,7,8,9},1),"0123456789")))=0),"OK","Wrong format"))</f>
        <v/>
      </c>
      <c r="AX848" s="29">
        <f>IF(TRIM(H848)="","",IF(AND(LEN(UPPER(TRIM(H848)))=10,SUMPRODUCT(--ISERROR(FIND(MID(UPPER(TRIM(H848)),{1,2,3,4,10},1),"ABCDEFGHIJKLMNOPQRSTUVWXYZ")))=0,SUMPRODUCT(--ISERROR(FIND(MID(UPPER(TRIM(H848)),{5,6,7,8,9},1),"0123456789")))=0),"OK","Wrong format"))</f>
        <v/>
      </c>
      <c r="AY848" s="30">
        <f>IF(NOT(COUNTA(A848:AE848)&gt;0),"",IF(BE848&lt;&gt;"","✖ "&amp;LEFT(BE848,LEN(BE848)-2),IF(BD848&gt;0,"✔ Ready — client + "&amp;BD848&amp;" service(s)","✔ Ready — client only")))</f>
        <v/>
      </c>
      <c r="AZ848" s="31">
        <f>UPPER(SUBSTITUTE(TRIM(F848)," ",""))</f>
        <v/>
      </c>
      <c r="BA848" s="31">
        <f>UPPER(SUBSTITUTE(TRIM(E848)," ",""))</f>
        <v/>
      </c>
      <c r="BB848" s="31">
        <f>IF(D848&lt;&gt;"",D848,IFERROR(VLOOKUP(MID(AS848,4,1),Lists!$E$2:$F$8,2,FALSE),""))</f>
        <v/>
      </c>
      <c r="BC848" s="31">
        <f>IFERROR(VLOOKUP(BB848,Lists!$A$2:$C$12,3,FALSE),"")</f>
        <v/>
      </c>
      <c r="BD848" s="31">
        <f>COUNTIF(W848:AC848,"Yes")</f>
        <v/>
      </c>
      <c r="BE848" s="31">
        <f>IF(TRIM(B848)="","Legal name missing; ","")&amp;IF(AND(AV848&lt;&gt;"",AV848&lt;&gt;"OK"),"GSTIN: "&amp;AV848&amp;"; ","")&amp;IF(AND(AW848&lt;&gt;"",AW848&lt;&gt;"OK"),"PAN wrong format; ","")&amp;IF(AND(BA848&lt;&gt;"",LEN(AZ848)=15,MID(AZ848,3,10)&lt;&gt;BA848),"PAN does not match GSTIN; ","")&amp;IF(AND(AX848&lt;&gt;"",AX848&lt;&gt;"OK"),"TAN wrong format; ","")&amp;IF(AS848="","PAN missing; ","")&amp;IF(BB848="","Entity type missing; ","")&amp;IF(AND(AZ848&lt;&gt;"",COUNTIF($AZ$6:$AZ$1005,AZ848)&gt;1),"GSTIN repeated in this sheet; ","")&amp;IF(AND(AS848&lt;&gt;"",COUNTIF($AS$6:$AS$1005,AS848)&gt;1),"PAN repeated in this sheet (same client? put extra GSTINs in Other GSTINs); ","")&amp;IF(AND(BD848&gt;0,V848=""),"Financial year missing; ","")&amp;IF(AND(BD848=0,V848&lt;&gt;""),"Financial year given but no service is Yes; ","")&amp;IF(AND(W848="Yes",AZ848=""),"GST needs a GSTIN; ","")&amp;IF(AND(W848="Yes",X848=""),"GST return frequency missing; ","")&amp;IF(AND(Y848="Yes",TRIM(H848)=""),"TDS needs a TAN; ","")&amp;IF(AND(AA848="Yes",BC848&lt;&gt;"",BC848&lt;&gt;"company",BC848&lt;&gt;"llp"),"ROC is only for a company / LLP; ","")&amp;IF(AND(AA848="Yes",OR(BC848="company",BC848="llp"),TRIM(I848)=""),"ROC needs the CIN / LLPIN; ","")&amp;IF((TRIM(AF848)="")&lt;&gt;(TRIM(AG848)=""),"GST login needs both user ID and password; ","")&amp;IF((TRIM(AH848)="")&lt;&gt;(TRIM(AI848)=""),"Income-tax login needs both user ID and password; ","")&amp;IF((TRIM(AJ848)="")&lt;&gt;(TRIM(AK848)=""),"Income-tax login needs both user ID and password; ","")&amp;IF((TRIM(AL848)="")&lt;&gt;(TRIM(AM848)=""),"TRACES login needs both user ID and password; ","")&amp;IF((TRIM(AN848)="")&lt;&gt;(TRIM(AO848)=""),"MCA login needs both user ID and password; ","")&amp;IF((TRIM(AP848)="")&lt;&gt;(TRIM(AQ848)=""),"E-way bill login needs both user ID and password; ","")</f>
        <v/>
      </c>
    </row>
    <row r="849">
      <c r="A849" s="32" t="n"/>
      <c r="B849" s="33" t="n"/>
      <c r="C849" s="33" t="n"/>
      <c r="D849" s="33" t="n"/>
      <c r="E849" s="32" t="n"/>
      <c r="F849" s="32" t="n"/>
      <c r="G849" s="32" t="n"/>
      <c r="H849" s="32" t="n"/>
      <c r="I849" s="32" t="n"/>
      <c r="J849" s="34" t="n"/>
      <c r="K849" s="33" t="n"/>
      <c r="L849" s="32" t="n"/>
      <c r="M849" s="33" t="n"/>
      <c r="N849" s="33" t="n"/>
      <c r="O849" s="33" t="n"/>
      <c r="P849" s="32" t="n"/>
      <c r="Q849" s="33" t="n"/>
      <c r="R849" s="33" t="n"/>
      <c r="S849" s="33" t="n"/>
      <c r="T849" s="33" t="n"/>
      <c r="U849" s="32" t="n"/>
      <c r="V849" s="33" t="n"/>
      <c r="W849" s="33" t="n"/>
      <c r="X849" s="33" t="n"/>
      <c r="Y849" s="33" t="n"/>
      <c r="Z849" s="33" t="n"/>
      <c r="AA849" s="33" t="n"/>
      <c r="AB849" s="33" t="n"/>
      <c r="AC849" s="33" t="n"/>
      <c r="AD849" s="33" t="n"/>
      <c r="AE849" s="33" t="n"/>
      <c r="AF849" s="32" t="n"/>
      <c r="AG849" s="32" t="n"/>
      <c r="AH849" s="32" t="n"/>
      <c r="AI849" s="32" t="n"/>
      <c r="AJ849" s="32" t="n"/>
      <c r="AK849" s="32" t="n"/>
      <c r="AL849" s="32" t="n"/>
      <c r="AM849" s="32" t="n"/>
      <c r="AN849" s="32" t="n"/>
      <c r="AO849" s="32" t="n"/>
      <c r="AP849" s="32" t="n"/>
      <c r="AQ849" s="32" t="n"/>
      <c r="AR849" s="29">
        <f>IF(NOT(COUNTA(A849:AE849)&gt;0),"",IF(A849="","New client","Update"))</f>
        <v/>
      </c>
      <c r="AS849" s="29">
        <f>IF(BA849&lt;&gt;"",BA849,IF(LEN(AZ849)=15,MID(AZ849,3,10),""))</f>
        <v/>
      </c>
      <c r="AT849" s="29">
        <f>IF(BB849="","",BB849&amp;IF(D849="","  (guessed from PAN)",""))</f>
        <v/>
      </c>
      <c r="AU849" s="29">
        <f>IF(AZ849="","",IFERROR(INDEX(Lists!$L$2:$L$38,MATCH(LEFT(AZ849,2),Lists!$K$2:$K$38,0)),"Unknown code"))</f>
        <v/>
      </c>
      <c r="AV849" s="29">
        <f>IF(AZ849="","",IFERROR(IF(NOT(AND(LEN(AZ849)=15,ISNUMBER(MATCH(LEFT(AZ849,2),Lists!$K$2:$K$38,0)),SUMPRODUCT(--ISERROR(FIND(MID(MID(AZ849,3,10),{1,2,3,4,5,10},1),"ABCDEFGHIJKLMNOPQRSTUVWXYZ")))=0,SUMPRODUCT(--ISERROR(FIND(MID(MID(AZ849,3,10),{6,7,8,9},1),"0123456789")))=0,ISNUMBER(FIND(MID(AZ849,13,1),"123456789ABCDEFGHIJKLMNOPQRSTUVWXYZ")),MID(AZ849,14,1)="Z")),"Wrong format",IF(MID("0123456789ABCDEFGHIJKLMNOPQRSTUVWXYZ",MOD(36-MOD(SUMPRODUCT(INT((FIND(MID(AZ849,{1,2,3,4,5,6,7,8,9,10,11,12,13,14},1),"0123456789ABCDEFGHIJKLMNOPQRSTUVWXYZ")-1)*{1,2,1,2,1,2,1,2,1,2,1,2,1,2}/36)+MOD((FIND(MID(AZ849,{1,2,3,4,5,6,7,8,9,10,11,12,13,14},1),"0123456789ABCDEFGHIJKLMNOPQRSTUVWXYZ")-1)*{1,2,1,2,1,2,1,2,1,2,1,2,1,2},36)),36),36)+1,1)=MID(AZ849,15,1),"OK","Typo? check digit wrong")),"Wrong format"))</f>
        <v/>
      </c>
      <c r="AW849" s="29">
        <f>IF(BA849="","",IF(AND(LEN(BA849)=10,SUMPRODUCT(--ISERROR(FIND(MID(BA849,{1,2,3,4,5,10},1),"ABCDEFGHIJKLMNOPQRSTUVWXYZ")))=0,SUMPRODUCT(--ISERROR(FIND(MID(BA849,{6,7,8,9},1),"0123456789")))=0),"OK","Wrong format"))</f>
        <v/>
      </c>
      <c r="AX849" s="29">
        <f>IF(TRIM(H849)="","",IF(AND(LEN(UPPER(TRIM(H849)))=10,SUMPRODUCT(--ISERROR(FIND(MID(UPPER(TRIM(H849)),{1,2,3,4,10},1),"ABCDEFGHIJKLMNOPQRSTUVWXYZ")))=0,SUMPRODUCT(--ISERROR(FIND(MID(UPPER(TRIM(H849)),{5,6,7,8,9},1),"0123456789")))=0),"OK","Wrong format"))</f>
        <v/>
      </c>
      <c r="AY849" s="30">
        <f>IF(NOT(COUNTA(A849:AE849)&gt;0),"",IF(BE849&lt;&gt;"","✖ "&amp;LEFT(BE849,LEN(BE849)-2),IF(BD849&gt;0,"✔ Ready — client + "&amp;BD849&amp;" service(s)","✔ Ready — client only")))</f>
        <v/>
      </c>
      <c r="AZ849" s="31">
        <f>UPPER(SUBSTITUTE(TRIM(F849)," ",""))</f>
        <v/>
      </c>
      <c r="BA849" s="31">
        <f>UPPER(SUBSTITUTE(TRIM(E849)," ",""))</f>
        <v/>
      </c>
      <c r="BB849" s="31">
        <f>IF(D849&lt;&gt;"",D849,IFERROR(VLOOKUP(MID(AS849,4,1),Lists!$E$2:$F$8,2,FALSE),""))</f>
        <v/>
      </c>
      <c r="BC849" s="31">
        <f>IFERROR(VLOOKUP(BB849,Lists!$A$2:$C$12,3,FALSE),"")</f>
        <v/>
      </c>
      <c r="BD849" s="31">
        <f>COUNTIF(W849:AC849,"Yes")</f>
        <v/>
      </c>
      <c r="BE849" s="31">
        <f>IF(TRIM(B849)="","Legal name missing; ","")&amp;IF(AND(AV849&lt;&gt;"",AV849&lt;&gt;"OK"),"GSTIN: "&amp;AV849&amp;"; ","")&amp;IF(AND(AW849&lt;&gt;"",AW849&lt;&gt;"OK"),"PAN wrong format; ","")&amp;IF(AND(BA849&lt;&gt;"",LEN(AZ849)=15,MID(AZ849,3,10)&lt;&gt;BA849),"PAN does not match GSTIN; ","")&amp;IF(AND(AX849&lt;&gt;"",AX849&lt;&gt;"OK"),"TAN wrong format; ","")&amp;IF(AS849="","PAN missing; ","")&amp;IF(BB849="","Entity type missing; ","")&amp;IF(AND(AZ849&lt;&gt;"",COUNTIF($AZ$6:$AZ$1005,AZ849)&gt;1),"GSTIN repeated in this sheet; ","")&amp;IF(AND(AS849&lt;&gt;"",COUNTIF($AS$6:$AS$1005,AS849)&gt;1),"PAN repeated in this sheet (same client? put extra GSTINs in Other GSTINs); ","")&amp;IF(AND(BD849&gt;0,V849=""),"Financial year missing; ","")&amp;IF(AND(BD849=0,V849&lt;&gt;""),"Financial year given but no service is Yes; ","")&amp;IF(AND(W849="Yes",AZ849=""),"GST needs a GSTIN; ","")&amp;IF(AND(W849="Yes",X849=""),"GST return frequency missing; ","")&amp;IF(AND(Y849="Yes",TRIM(H849)=""),"TDS needs a TAN; ","")&amp;IF(AND(AA849="Yes",BC849&lt;&gt;"",BC849&lt;&gt;"company",BC849&lt;&gt;"llp"),"ROC is only for a company / LLP; ","")&amp;IF(AND(AA849="Yes",OR(BC849="company",BC849="llp"),TRIM(I849)=""),"ROC needs the CIN / LLPIN; ","")&amp;IF((TRIM(AF849)="")&lt;&gt;(TRIM(AG849)=""),"GST login needs both user ID and password; ","")&amp;IF((TRIM(AH849)="")&lt;&gt;(TRIM(AI849)=""),"Income-tax login needs both user ID and password; ","")&amp;IF((TRIM(AJ849)="")&lt;&gt;(TRIM(AK849)=""),"Income-tax login needs both user ID and password; ","")&amp;IF((TRIM(AL849)="")&lt;&gt;(TRIM(AM849)=""),"TRACES login needs both user ID and password; ","")&amp;IF((TRIM(AN849)="")&lt;&gt;(TRIM(AO849)=""),"MCA login needs both user ID and password; ","")&amp;IF((TRIM(AP849)="")&lt;&gt;(TRIM(AQ849)=""),"E-way bill login needs both user ID and password; ","")</f>
        <v/>
      </c>
    </row>
    <row r="850">
      <c r="A850" s="32" t="n"/>
      <c r="B850" s="33" t="n"/>
      <c r="C850" s="33" t="n"/>
      <c r="D850" s="33" t="n"/>
      <c r="E850" s="32" t="n"/>
      <c r="F850" s="32" t="n"/>
      <c r="G850" s="32" t="n"/>
      <c r="H850" s="32" t="n"/>
      <c r="I850" s="32" t="n"/>
      <c r="J850" s="34" t="n"/>
      <c r="K850" s="33" t="n"/>
      <c r="L850" s="32" t="n"/>
      <c r="M850" s="33" t="n"/>
      <c r="N850" s="33" t="n"/>
      <c r="O850" s="33" t="n"/>
      <c r="P850" s="32" t="n"/>
      <c r="Q850" s="33" t="n"/>
      <c r="R850" s="33" t="n"/>
      <c r="S850" s="33" t="n"/>
      <c r="T850" s="33" t="n"/>
      <c r="U850" s="32" t="n"/>
      <c r="V850" s="33" t="n"/>
      <c r="W850" s="33" t="n"/>
      <c r="X850" s="33" t="n"/>
      <c r="Y850" s="33" t="n"/>
      <c r="Z850" s="33" t="n"/>
      <c r="AA850" s="33" t="n"/>
      <c r="AB850" s="33" t="n"/>
      <c r="AC850" s="33" t="n"/>
      <c r="AD850" s="33" t="n"/>
      <c r="AE850" s="33" t="n"/>
      <c r="AF850" s="32" t="n"/>
      <c r="AG850" s="32" t="n"/>
      <c r="AH850" s="32" t="n"/>
      <c r="AI850" s="32" t="n"/>
      <c r="AJ850" s="32" t="n"/>
      <c r="AK850" s="32" t="n"/>
      <c r="AL850" s="32" t="n"/>
      <c r="AM850" s="32" t="n"/>
      <c r="AN850" s="32" t="n"/>
      <c r="AO850" s="32" t="n"/>
      <c r="AP850" s="32" t="n"/>
      <c r="AQ850" s="32" t="n"/>
      <c r="AR850" s="29">
        <f>IF(NOT(COUNTA(A850:AE850)&gt;0),"",IF(A850="","New client","Update"))</f>
        <v/>
      </c>
      <c r="AS850" s="29">
        <f>IF(BA850&lt;&gt;"",BA850,IF(LEN(AZ850)=15,MID(AZ850,3,10),""))</f>
        <v/>
      </c>
      <c r="AT850" s="29">
        <f>IF(BB850="","",BB850&amp;IF(D850="","  (guessed from PAN)",""))</f>
        <v/>
      </c>
      <c r="AU850" s="29">
        <f>IF(AZ850="","",IFERROR(INDEX(Lists!$L$2:$L$38,MATCH(LEFT(AZ850,2),Lists!$K$2:$K$38,0)),"Unknown code"))</f>
        <v/>
      </c>
      <c r="AV850" s="29">
        <f>IF(AZ850="","",IFERROR(IF(NOT(AND(LEN(AZ850)=15,ISNUMBER(MATCH(LEFT(AZ850,2),Lists!$K$2:$K$38,0)),SUMPRODUCT(--ISERROR(FIND(MID(MID(AZ850,3,10),{1,2,3,4,5,10},1),"ABCDEFGHIJKLMNOPQRSTUVWXYZ")))=0,SUMPRODUCT(--ISERROR(FIND(MID(MID(AZ850,3,10),{6,7,8,9},1),"0123456789")))=0,ISNUMBER(FIND(MID(AZ850,13,1),"123456789ABCDEFGHIJKLMNOPQRSTUVWXYZ")),MID(AZ850,14,1)="Z")),"Wrong format",IF(MID("0123456789ABCDEFGHIJKLMNOPQRSTUVWXYZ",MOD(36-MOD(SUMPRODUCT(INT((FIND(MID(AZ850,{1,2,3,4,5,6,7,8,9,10,11,12,13,14},1),"0123456789ABCDEFGHIJKLMNOPQRSTUVWXYZ")-1)*{1,2,1,2,1,2,1,2,1,2,1,2,1,2}/36)+MOD((FIND(MID(AZ850,{1,2,3,4,5,6,7,8,9,10,11,12,13,14},1),"0123456789ABCDEFGHIJKLMNOPQRSTUVWXYZ")-1)*{1,2,1,2,1,2,1,2,1,2,1,2,1,2},36)),36),36)+1,1)=MID(AZ850,15,1),"OK","Typo? check digit wrong")),"Wrong format"))</f>
        <v/>
      </c>
      <c r="AW850" s="29">
        <f>IF(BA850="","",IF(AND(LEN(BA850)=10,SUMPRODUCT(--ISERROR(FIND(MID(BA850,{1,2,3,4,5,10},1),"ABCDEFGHIJKLMNOPQRSTUVWXYZ")))=0,SUMPRODUCT(--ISERROR(FIND(MID(BA850,{6,7,8,9},1),"0123456789")))=0),"OK","Wrong format"))</f>
        <v/>
      </c>
      <c r="AX850" s="29">
        <f>IF(TRIM(H850)="","",IF(AND(LEN(UPPER(TRIM(H850)))=10,SUMPRODUCT(--ISERROR(FIND(MID(UPPER(TRIM(H850)),{1,2,3,4,10},1),"ABCDEFGHIJKLMNOPQRSTUVWXYZ")))=0,SUMPRODUCT(--ISERROR(FIND(MID(UPPER(TRIM(H850)),{5,6,7,8,9},1),"0123456789")))=0),"OK","Wrong format"))</f>
        <v/>
      </c>
      <c r="AY850" s="30">
        <f>IF(NOT(COUNTA(A850:AE850)&gt;0),"",IF(BE850&lt;&gt;"","✖ "&amp;LEFT(BE850,LEN(BE850)-2),IF(BD850&gt;0,"✔ Ready — client + "&amp;BD850&amp;" service(s)","✔ Ready — client only")))</f>
        <v/>
      </c>
      <c r="AZ850" s="31">
        <f>UPPER(SUBSTITUTE(TRIM(F850)," ",""))</f>
        <v/>
      </c>
      <c r="BA850" s="31">
        <f>UPPER(SUBSTITUTE(TRIM(E850)," ",""))</f>
        <v/>
      </c>
      <c r="BB850" s="31">
        <f>IF(D850&lt;&gt;"",D850,IFERROR(VLOOKUP(MID(AS850,4,1),Lists!$E$2:$F$8,2,FALSE),""))</f>
        <v/>
      </c>
      <c r="BC850" s="31">
        <f>IFERROR(VLOOKUP(BB850,Lists!$A$2:$C$12,3,FALSE),"")</f>
        <v/>
      </c>
      <c r="BD850" s="31">
        <f>COUNTIF(W850:AC850,"Yes")</f>
        <v/>
      </c>
      <c r="BE850" s="31">
        <f>IF(TRIM(B850)="","Legal name missing; ","")&amp;IF(AND(AV850&lt;&gt;"",AV850&lt;&gt;"OK"),"GSTIN: "&amp;AV850&amp;"; ","")&amp;IF(AND(AW850&lt;&gt;"",AW850&lt;&gt;"OK"),"PAN wrong format; ","")&amp;IF(AND(BA850&lt;&gt;"",LEN(AZ850)=15,MID(AZ850,3,10)&lt;&gt;BA850),"PAN does not match GSTIN; ","")&amp;IF(AND(AX850&lt;&gt;"",AX850&lt;&gt;"OK"),"TAN wrong format; ","")&amp;IF(AS850="","PAN missing; ","")&amp;IF(BB850="","Entity type missing; ","")&amp;IF(AND(AZ850&lt;&gt;"",COUNTIF($AZ$6:$AZ$1005,AZ850)&gt;1),"GSTIN repeated in this sheet; ","")&amp;IF(AND(AS850&lt;&gt;"",COUNTIF($AS$6:$AS$1005,AS850)&gt;1),"PAN repeated in this sheet (same client? put extra GSTINs in Other GSTINs); ","")&amp;IF(AND(BD850&gt;0,V850=""),"Financial year missing; ","")&amp;IF(AND(BD850=0,V850&lt;&gt;""),"Financial year given but no service is Yes; ","")&amp;IF(AND(W850="Yes",AZ850=""),"GST needs a GSTIN; ","")&amp;IF(AND(W850="Yes",X850=""),"GST return frequency missing; ","")&amp;IF(AND(Y850="Yes",TRIM(H850)=""),"TDS needs a TAN; ","")&amp;IF(AND(AA850="Yes",BC850&lt;&gt;"",BC850&lt;&gt;"company",BC850&lt;&gt;"llp"),"ROC is only for a company / LLP; ","")&amp;IF(AND(AA850="Yes",OR(BC850="company",BC850="llp"),TRIM(I850)=""),"ROC needs the CIN / LLPIN; ","")&amp;IF((TRIM(AF850)="")&lt;&gt;(TRIM(AG850)=""),"GST login needs both user ID and password; ","")&amp;IF((TRIM(AH850)="")&lt;&gt;(TRIM(AI850)=""),"Income-tax login needs both user ID and password; ","")&amp;IF((TRIM(AJ850)="")&lt;&gt;(TRIM(AK850)=""),"Income-tax login needs both user ID and password; ","")&amp;IF((TRIM(AL850)="")&lt;&gt;(TRIM(AM850)=""),"TRACES login needs both user ID and password; ","")&amp;IF((TRIM(AN850)="")&lt;&gt;(TRIM(AO850)=""),"MCA login needs both user ID and password; ","")&amp;IF((TRIM(AP850)="")&lt;&gt;(TRIM(AQ850)=""),"E-way bill login needs both user ID and password; ","")</f>
        <v/>
      </c>
    </row>
    <row r="851">
      <c r="A851" s="32" t="n"/>
      <c r="B851" s="33" t="n"/>
      <c r="C851" s="33" t="n"/>
      <c r="D851" s="33" t="n"/>
      <c r="E851" s="32" t="n"/>
      <c r="F851" s="32" t="n"/>
      <c r="G851" s="32" t="n"/>
      <c r="H851" s="32" t="n"/>
      <c r="I851" s="32" t="n"/>
      <c r="J851" s="34" t="n"/>
      <c r="K851" s="33" t="n"/>
      <c r="L851" s="32" t="n"/>
      <c r="M851" s="33" t="n"/>
      <c r="N851" s="33" t="n"/>
      <c r="O851" s="33" t="n"/>
      <c r="P851" s="32" t="n"/>
      <c r="Q851" s="33" t="n"/>
      <c r="R851" s="33" t="n"/>
      <c r="S851" s="33" t="n"/>
      <c r="T851" s="33" t="n"/>
      <c r="U851" s="32" t="n"/>
      <c r="V851" s="33" t="n"/>
      <c r="W851" s="33" t="n"/>
      <c r="X851" s="33" t="n"/>
      <c r="Y851" s="33" t="n"/>
      <c r="Z851" s="33" t="n"/>
      <c r="AA851" s="33" t="n"/>
      <c r="AB851" s="33" t="n"/>
      <c r="AC851" s="33" t="n"/>
      <c r="AD851" s="33" t="n"/>
      <c r="AE851" s="33" t="n"/>
      <c r="AF851" s="32" t="n"/>
      <c r="AG851" s="32" t="n"/>
      <c r="AH851" s="32" t="n"/>
      <c r="AI851" s="32" t="n"/>
      <c r="AJ851" s="32" t="n"/>
      <c r="AK851" s="32" t="n"/>
      <c r="AL851" s="32" t="n"/>
      <c r="AM851" s="32" t="n"/>
      <c r="AN851" s="32" t="n"/>
      <c r="AO851" s="32" t="n"/>
      <c r="AP851" s="32" t="n"/>
      <c r="AQ851" s="32" t="n"/>
      <c r="AR851" s="29">
        <f>IF(NOT(COUNTA(A851:AE851)&gt;0),"",IF(A851="","New client","Update"))</f>
        <v/>
      </c>
      <c r="AS851" s="29">
        <f>IF(BA851&lt;&gt;"",BA851,IF(LEN(AZ851)=15,MID(AZ851,3,10),""))</f>
        <v/>
      </c>
      <c r="AT851" s="29">
        <f>IF(BB851="","",BB851&amp;IF(D851="","  (guessed from PAN)",""))</f>
        <v/>
      </c>
      <c r="AU851" s="29">
        <f>IF(AZ851="","",IFERROR(INDEX(Lists!$L$2:$L$38,MATCH(LEFT(AZ851,2),Lists!$K$2:$K$38,0)),"Unknown code"))</f>
        <v/>
      </c>
      <c r="AV851" s="29">
        <f>IF(AZ851="","",IFERROR(IF(NOT(AND(LEN(AZ851)=15,ISNUMBER(MATCH(LEFT(AZ851,2),Lists!$K$2:$K$38,0)),SUMPRODUCT(--ISERROR(FIND(MID(MID(AZ851,3,10),{1,2,3,4,5,10},1),"ABCDEFGHIJKLMNOPQRSTUVWXYZ")))=0,SUMPRODUCT(--ISERROR(FIND(MID(MID(AZ851,3,10),{6,7,8,9},1),"0123456789")))=0,ISNUMBER(FIND(MID(AZ851,13,1),"123456789ABCDEFGHIJKLMNOPQRSTUVWXYZ")),MID(AZ851,14,1)="Z")),"Wrong format",IF(MID("0123456789ABCDEFGHIJKLMNOPQRSTUVWXYZ",MOD(36-MOD(SUMPRODUCT(INT((FIND(MID(AZ851,{1,2,3,4,5,6,7,8,9,10,11,12,13,14},1),"0123456789ABCDEFGHIJKLMNOPQRSTUVWXYZ")-1)*{1,2,1,2,1,2,1,2,1,2,1,2,1,2}/36)+MOD((FIND(MID(AZ851,{1,2,3,4,5,6,7,8,9,10,11,12,13,14},1),"0123456789ABCDEFGHIJKLMNOPQRSTUVWXYZ")-1)*{1,2,1,2,1,2,1,2,1,2,1,2,1,2},36)),36),36)+1,1)=MID(AZ851,15,1),"OK","Typo? check digit wrong")),"Wrong format"))</f>
        <v/>
      </c>
      <c r="AW851" s="29">
        <f>IF(BA851="","",IF(AND(LEN(BA851)=10,SUMPRODUCT(--ISERROR(FIND(MID(BA851,{1,2,3,4,5,10},1),"ABCDEFGHIJKLMNOPQRSTUVWXYZ")))=0,SUMPRODUCT(--ISERROR(FIND(MID(BA851,{6,7,8,9},1),"0123456789")))=0),"OK","Wrong format"))</f>
        <v/>
      </c>
      <c r="AX851" s="29">
        <f>IF(TRIM(H851)="","",IF(AND(LEN(UPPER(TRIM(H851)))=10,SUMPRODUCT(--ISERROR(FIND(MID(UPPER(TRIM(H851)),{1,2,3,4,10},1),"ABCDEFGHIJKLMNOPQRSTUVWXYZ")))=0,SUMPRODUCT(--ISERROR(FIND(MID(UPPER(TRIM(H851)),{5,6,7,8,9},1),"0123456789")))=0),"OK","Wrong format"))</f>
        <v/>
      </c>
      <c r="AY851" s="30">
        <f>IF(NOT(COUNTA(A851:AE851)&gt;0),"",IF(BE851&lt;&gt;"","✖ "&amp;LEFT(BE851,LEN(BE851)-2),IF(BD851&gt;0,"✔ Ready — client + "&amp;BD851&amp;" service(s)","✔ Ready — client only")))</f>
        <v/>
      </c>
      <c r="AZ851" s="31">
        <f>UPPER(SUBSTITUTE(TRIM(F851)," ",""))</f>
        <v/>
      </c>
      <c r="BA851" s="31">
        <f>UPPER(SUBSTITUTE(TRIM(E851)," ",""))</f>
        <v/>
      </c>
      <c r="BB851" s="31">
        <f>IF(D851&lt;&gt;"",D851,IFERROR(VLOOKUP(MID(AS851,4,1),Lists!$E$2:$F$8,2,FALSE),""))</f>
        <v/>
      </c>
      <c r="BC851" s="31">
        <f>IFERROR(VLOOKUP(BB851,Lists!$A$2:$C$12,3,FALSE),"")</f>
        <v/>
      </c>
      <c r="BD851" s="31">
        <f>COUNTIF(W851:AC851,"Yes")</f>
        <v/>
      </c>
      <c r="BE851" s="31">
        <f>IF(TRIM(B851)="","Legal name missing; ","")&amp;IF(AND(AV851&lt;&gt;"",AV851&lt;&gt;"OK"),"GSTIN: "&amp;AV851&amp;"; ","")&amp;IF(AND(AW851&lt;&gt;"",AW851&lt;&gt;"OK"),"PAN wrong format; ","")&amp;IF(AND(BA851&lt;&gt;"",LEN(AZ851)=15,MID(AZ851,3,10)&lt;&gt;BA851),"PAN does not match GSTIN; ","")&amp;IF(AND(AX851&lt;&gt;"",AX851&lt;&gt;"OK"),"TAN wrong format; ","")&amp;IF(AS851="","PAN missing; ","")&amp;IF(BB851="","Entity type missing; ","")&amp;IF(AND(AZ851&lt;&gt;"",COUNTIF($AZ$6:$AZ$1005,AZ851)&gt;1),"GSTIN repeated in this sheet; ","")&amp;IF(AND(AS851&lt;&gt;"",COUNTIF($AS$6:$AS$1005,AS851)&gt;1),"PAN repeated in this sheet (same client? put extra GSTINs in Other GSTINs); ","")&amp;IF(AND(BD851&gt;0,V851=""),"Financial year missing; ","")&amp;IF(AND(BD851=0,V851&lt;&gt;""),"Financial year given but no service is Yes; ","")&amp;IF(AND(W851="Yes",AZ851=""),"GST needs a GSTIN; ","")&amp;IF(AND(W851="Yes",X851=""),"GST return frequency missing; ","")&amp;IF(AND(Y851="Yes",TRIM(H851)=""),"TDS needs a TAN; ","")&amp;IF(AND(AA851="Yes",BC851&lt;&gt;"",BC851&lt;&gt;"company",BC851&lt;&gt;"llp"),"ROC is only for a company / LLP; ","")&amp;IF(AND(AA851="Yes",OR(BC851="company",BC851="llp"),TRIM(I851)=""),"ROC needs the CIN / LLPIN; ","")&amp;IF((TRIM(AF851)="")&lt;&gt;(TRIM(AG851)=""),"GST login needs both user ID and password; ","")&amp;IF((TRIM(AH851)="")&lt;&gt;(TRIM(AI851)=""),"Income-tax login needs both user ID and password; ","")&amp;IF((TRIM(AJ851)="")&lt;&gt;(TRIM(AK851)=""),"Income-tax login needs both user ID and password; ","")&amp;IF((TRIM(AL851)="")&lt;&gt;(TRIM(AM851)=""),"TRACES login needs both user ID and password; ","")&amp;IF((TRIM(AN851)="")&lt;&gt;(TRIM(AO851)=""),"MCA login needs both user ID and password; ","")&amp;IF((TRIM(AP851)="")&lt;&gt;(TRIM(AQ851)=""),"E-way bill login needs both user ID and password; ","")</f>
        <v/>
      </c>
    </row>
    <row r="852">
      <c r="A852" s="32" t="n"/>
      <c r="B852" s="33" t="n"/>
      <c r="C852" s="33" t="n"/>
      <c r="D852" s="33" t="n"/>
      <c r="E852" s="32" t="n"/>
      <c r="F852" s="32" t="n"/>
      <c r="G852" s="32" t="n"/>
      <c r="H852" s="32" t="n"/>
      <c r="I852" s="32" t="n"/>
      <c r="J852" s="34" t="n"/>
      <c r="K852" s="33" t="n"/>
      <c r="L852" s="32" t="n"/>
      <c r="M852" s="33" t="n"/>
      <c r="N852" s="33" t="n"/>
      <c r="O852" s="33" t="n"/>
      <c r="P852" s="32" t="n"/>
      <c r="Q852" s="33" t="n"/>
      <c r="R852" s="33" t="n"/>
      <c r="S852" s="33" t="n"/>
      <c r="T852" s="33" t="n"/>
      <c r="U852" s="32" t="n"/>
      <c r="V852" s="33" t="n"/>
      <c r="W852" s="33" t="n"/>
      <c r="X852" s="33" t="n"/>
      <c r="Y852" s="33" t="n"/>
      <c r="Z852" s="33" t="n"/>
      <c r="AA852" s="33" t="n"/>
      <c r="AB852" s="33" t="n"/>
      <c r="AC852" s="33" t="n"/>
      <c r="AD852" s="33" t="n"/>
      <c r="AE852" s="33" t="n"/>
      <c r="AF852" s="32" t="n"/>
      <c r="AG852" s="32" t="n"/>
      <c r="AH852" s="32" t="n"/>
      <c r="AI852" s="32" t="n"/>
      <c r="AJ852" s="32" t="n"/>
      <c r="AK852" s="32" t="n"/>
      <c r="AL852" s="32" t="n"/>
      <c r="AM852" s="32" t="n"/>
      <c r="AN852" s="32" t="n"/>
      <c r="AO852" s="32" t="n"/>
      <c r="AP852" s="32" t="n"/>
      <c r="AQ852" s="32" t="n"/>
      <c r="AR852" s="29">
        <f>IF(NOT(COUNTA(A852:AE852)&gt;0),"",IF(A852="","New client","Update"))</f>
        <v/>
      </c>
      <c r="AS852" s="29">
        <f>IF(BA852&lt;&gt;"",BA852,IF(LEN(AZ852)=15,MID(AZ852,3,10),""))</f>
        <v/>
      </c>
      <c r="AT852" s="29">
        <f>IF(BB852="","",BB852&amp;IF(D852="","  (guessed from PAN)",""))</f>
        <v/>
      </c>
      <c r="AU852" s="29">
        <f>IF(AZ852="","",IFERROR(INDEX(Lists!$L$2:$L$38,MATCH(LEFT(AZ852,2),Lists!$K$2:$K$38,0)),"Unknown code"))</f>
        <v/>
      </c>
      <c r="AV852" s="29">
        <f>IF(AZ852="","",IFERROR(IF(NOT(AND(LEN(AZ852)=15,ISNUMBER(MATCH(LEFT(AZ852,2),Lists!$K$2:$K$38,0)),SUMPRODUCT(--ISERROR(FIND(MID(MID(AZ852,3,10),{1,2,3,4,5,10},1),"ABCDEFGHIJKLMNOPQRSTUVWXYZ")))=0,SUMPRODUCT(--ISERROR(FIND(MID(MID(AZ852,3,10),{6,7,8,9},1),"0123456789")))=0,ISNUMBER(FIND(MID(AZ852,13,1),"123456789ABCDEFGHIJKLMNOPQRSTUVWXYZ")),MID(AZ852,14,1)="Z")),"Wrong format",IF(MID("0123456789ABCDEFGHIJKLMNOPQRSTUVWXYZ",MOD(36-MOD(SUMPRODUCT(INT((FIND(MID(AZ852,{1,2,3,4,5,6,7,8,9,10,11,12,13,14},1),"0123456789ABCDEFGHIJKLMNOPQRSTUVWXYZ")-1)*{1,2,1,2,1,2,1,2,1,2,1,2,1,2}/36)+MOD((FIND(MID(AZ852,{1,2,3,4,5,6,7,8,9,10,11,12,13,14},1),"0123456789ABCDEFGHIJKLMNOPQRSTUVWXYZ")-1)*{1,2,1,2,1,2,1,2,1,2,1,2,1,2},36)),36),36)+1,1)=MID(AZ852,15,1),"OK","Typo? check digit wrong")),"Wrong format"))</f>
        <v/>
      </c>
      <c r="AW852" s="29">
        <f>IF(BA852="","",IF(AND(LEN(BA852)=10,SUMPRODUCT(--ISERROR(FIND(MID(BA852,{1,2,3,4,5,10},1),"ABCDEFGHIJKLMNOPQRSTUVWXYZ")))=0,SUMPRODUCT(--ISERROR(FIND(MID(BA852,{6,7,8,9},1),"0123456789")))=0),"OK","Wrong format"))</f>
        <v/>
      </c>
      <c r="AX852" s="29">
        <f>IF(TRIM(H852)="","",IF(AND(LEN(UPPER(TRIM(H852)))=10,SUMPRODUCT(--ISERROR(FIND(MID(UPPER(TRIM(H852)),{1,2,3,4,10},1),"ABCDEFGHIJKLMNOPQRSTUVWXYZ")))=0,SUMPRODUCT(--ISERROR(FIND(MID(UPPER(TRIM(H852)),{5,6,7,8,9},1),"0123456789")))=0),"OK","Wrong format"))</f>
        <v/>
      </c>
      <c r="AY852" s="30">
        <f>IF(NOT(COUNTA(A852:AE852)&gt;0),"",IF(BE852&lt;&gt;"","✖ "&amp;LEFT(BE852,LEN(BE852)-2),IF(BD852&gt;0,"✔ Ready — client + "&amp;BD852&amp;" service(s)","✔ Ready — client only")))</f>
        <v/>
      </c>
      <c r="AZ852" s="31">
        <f>UPPER(SUBSTITUTE(TRIM(F852)," ",""))</f>
        <v/>
      </c>
      <c r="BA852" s="31">
        <f>UPPER(SUBSTITUTE(TRIM(E852)," ",""))</f>
        <v/>
      </c>
      <c r="BB852" s="31">
        <f>IF(D852&lt;&gt;"",D852,IFERROR(VLOOKUP(MID(AS852,4,1),Lists!$E$2:$F$8,2,FALSE),""))</f>
        <v/>
      </c>
      <c r="BC852" s="31">
        <f>IFERROR(VLOOKUP(BB852,Lists!$A$2:$C$12,3,FALSE),"")</f>
        <v/>
      </c>
      <c r="BD852" s="31">
        <f>COUNTIF(W852:AC852,"Yes")</f>
        <v/>
      </c>
      <c r="BE852" s="31">
        <f>IF(TRIM(B852)="","Legal name missing; ","")&amp;IF(AND(AV852&lt;&gt;"",AV852&lt;&gt;"OK"),"GSTIN: "&amp;AV852&amp;"; ","")&amp;IF(AND(AW852&lt;&gt;"",AW852&lt;&gt;"OK"),"PAN wrong format; ","")&amp;IF(AND(BA852&lt;&gt;"",LEN(AZ852)=15,MID(AZ852,3,10)&lt;&gt;BA852),"PAN does not match GSTIN; ","")&amp;IF(AND(AX852&lt;&gt;"",AX852&lt;&gt;"OK"),"TAN wrong format; ","")&amp;IF(AS852="","PAN missing; ","")&amp;IF(BB852="","Entity type missing; ","")&amp;IF(AND(AZ852&lt;&gt;"",COUNTIF($AZ$6:$AZ$1005,AZ852)&gt;1),"GSTIN repeated in this sheet; ","")&amp;IF(AND(AS852&lt;&gt;"",COUNTIF($AS$6:$AS$1005,AS852)&gt;1),"PAN repeated in this sheet (same client? put extra GSTINs in Other GSTINs); ","")&amp;IF(AND(BD852&gt;0,V852=""),"Financial year missing; ","")&amp;IF(AND(BD852=0,V852&lt;&gt;""),"Financial year given but no service is Yes; ","")&amp;IF(AND(W852="Yes",AZ852=""),"GST needs a GSTIN; ","")&amp;IF(AND(W852="Yes",X852=""),"GST return frequency missing; ","")&amp;IF(AND(Y852="Yes",TRIM(H852)=""),"TDS needs a TAN; ","")&amp;IF(AND(AA852="Yes",BC852&lt;&gt;"",BC852&lt;&gt;"company",BC852&lt;&gt;"llp"),"ROC is only for a company / LLP; ","")&amp;IF(AND(AA852="Yes",OR(BC852="company",BC852="llp"),TRIM(I852)=""),"ROC needs the CIN / LLPIN; ","")&amp;IF((TRIM(AF852)="")&lt;&gt;(TRIM(AG852)=""),"GST login needs both user ID and password; ","")&amp;IF((TRIM(AH852)="")&lt;&gt;(TRIM(AI852)=""),"Income-tax login needs both user ID and password; ","")&amp;IF((TRIM(AJ852)="")&lt;&gt;(TRIM(AK852)=""),"Income-tax login needs both user ID and password; ","")&amp;IF((TRIM(AL852)="")&lt;&gt;(TRIM(AM852)=""),"TRACES login needs both user ID and password; ","")&amp;IF((TRIM(AN852)="")&lt;&gt;(TRIM(AO852)=""),"MCA login needs both user ID and password; ","")&amp;IF((TRIM(AP852)="")&lt;&gt;(TRIM(AQ852)=""),"E-way bill login needs both user ID and password; ","")</f>
        <v/>
      </c>
    </row>
    <row r="853">
      <c r="A853" s="32" t="n"/>
      <c r="B853" s="33" t="n"/>
      <c r="C853" s="33" t="n"/>
      <c r="D853" s="33" t="n"/>
      <c r="E853" s="32" t="n"/>
      <c r="F853" s="32" t="n"/>
      <c r="G853" s="32" t="n"/>
      <c r="H853" s="32" t="n"/>
      <c r="I853" s="32" t="n"/>
      <c r="J853" s="34" t="n"/>
      <c r="K853" s="33" t="n"/>
      <c r="L853" s="32" t="n"/>
      <c r="M853" s="33" t="n"/>
      <c r="N853" s="33" t="n"/>
      <c r="O853" s="33" t="n"/>
      <c r="P853" s="32" t="n"/>
      <c r="Q853" s="33" t="n"/>
      <c r="R853" s="33" t="n"/>
      <c r="S853" s="33" t="n"/>
      <c r="T853" s="33" t="n"/>
      <c r="U853" s="32" t="n"/>
      <c r="V853" s="33" t="n"/>
      <c r="W853" s="33" t="n"/>
      <c r="X853" s="33" t="n"/>
      <c r="Y853" s="33" t="n"/>
      <c r="Z853" s="33" t="n"/>
      <c r="AA853" s="33" t="n"/>
      <c r="AB853" s="33" t="n"/>
      <c r="AC853" s="33" t="n"/>
      <c r="AD853" s="33" t="n"/>
      <c r="AE853" s="33" t="n"/>
      <c r="AF853" s="32" t="n"/>
      <c r="AG853" s="32" t="n"/>
      <c r="AH853" s="32" t="n"/>
      <c r="AI853" s="32" t="n"/>
      <c r="AJ853" s="32" t="n"/>
      <c r="AK853" s="32" t="n"/>
      <c r="AL853" s="32" t="n"/>
      <c r="AM853" s="32" t="n"/>
      <c r="AN853" s="32" t="n"/>
      <c r="AO853" s="32" t="n"/>
      <c r="AP853" s="32" t="n"/>
      <c r="AQ853" s="32" t="n"/>
      <c r="AR853" s="29">
        <f>IF(NOT(COUNTA(A853:AE853)&gt;0),"",IF(A853="","New client","Update"))</f>
        <v/>
      </c>
      <c r="AS853" s="29">
        <f>IF(BA853&lt;&gt;"",BA853,IF(LEN(AZ853)=15,MID(AZ853,3,10),""))</f>
        <v/>
      </c>
      <c r="AT853" s="29">
        <f>IF(BB853="","",BB853&amp;IF(D853="","  (guessed from PAN)",""))</f>
        <v/>
      </c>
      <c r="AU853" s="29">
        <f>IF(AZ853="","",IFERROR(INDEX(Lists!$L$2:$L$38,MATCH(LEFT(AZ853,2),Lists!$K$2:$K$38,0)),"Unknown code"))</f>
        <v/>
      </c>
      <c r="AV853" s="29">
        <f>IF(AZ853="","",IFERROR(IF(NOT(AND(LEN(AZ853)=15,ISNUMBER(MATCH(LEFT(AZ853,2),Lists!$K$2:$K$38,0)),SUMPRODUCT(--ISERROR(FIND(MID(MID(AZ853,3,10),{1,2,3,4,5,10},1),"ABCDEFGHIJKLMNOPQRSTUVWXYZ")))=0,SUMPRODUCT(--ISERROR(FIND(MID(MID(AZ853,3,10),{6,7,8,9},1),"0123456789")))=0,ISNUMBER(FIND(MID(AZ853,13,1),"123456789ABCDEFGHIJKLMNOPQRSTUVWXYZ")),MID(AZ853,14,1)="Z")),"Wrong format",IF(MID("0123456789ABCDEFGHIJKLMNOPQRSTUVWXYZ",MOD(36-MOD(SUMPRODUCT(INT((FIND(MID(AZ853,{1,2,3,4,5,6,7,8,9,10,11,12,13,14},1),"0123456789ABCDEFGHIJKLMNOPQRSTUVWXYZ")-1)*{1,2,1,2,1,2,1,2,1,2,1,2,1,2}/36)+MOD((FIND(MID(AZ853,{1,2,3,4,5,6,7,8,9,10,11,12,13,14},1),"0123456789ABCDEFGHIJKLMNOPQRSTUVWXYZ")-1)*{1,2,1,2,1,2,1,2,1,2,1,2,1,2},36)),36),36)+1,1)=MID(AZ853,15,1),"OK","Typo? check digit wrong")),"Wrong format"))</f>
        <v/>
      </c>
      <c r="AW853" s="29">
        <f>IF(BA853="","",IF(AND(LEN(BA853)=10,SUMPRODUCT(--ISERROR(FIND(MID(BA853,{1,2,3,4,5,10},1),"ABCDEFGHIJKLMNOPQRSTUVWXYZ")))=0,SUMPRODUCT(--ISERROR(FIND(MID(BA853,{6,7,8,9},1),"0123456789")))=0),"OK","Wrong format"))</f>
        <v/>
      </c>
      <c r="AX853" s="29">
        <f>IF(TRIM(H853)="","",IF(AND(LEN(UPPER(TRIM(H853)))=10,SUMPRODUCT(--ISERROR(FIND(MID(UPPER(TRIM(H853)),{1,2,3,4,10},1),"ABCDEFGHIJKLMNOPQRSTUVWXYZ")))=0,SUMPRODUCT(--ISERROR(FIND(MID(UPPER(TRIM(H853)),{5,6,7,8,9},1),"0123456789")))=0),"OK","Wrong format"))</f>
        <v/>
      </c>
      <c r="AY853" s="30">
        <f>IF(NOT(COUNTA(A853:AE853)&gt;0),"",IF(BE853&lt;&gt;"","✖ "&amp;LEFT(BE853,LEN(BE853)-2),IF(BD853&gt;0,"✔ Ready — client + "&amp;BD853&amp;" service(s)","✔ Ready — client only")))</f>
        <v/>
      </c>
      <c r="AZ853" s="31">
        <f>UPPER(SUBSTITUTE(TRIM(F853)," ",""))</f>
        <v/>
      </c>
      <c r="BA853" s="31">
        <f>UPPER(SUBSTITUTE(TRIM(E853)," ",""))</f>
        <v/>
      </c>
      <c r="BB853" s="31">
        <f>IF(D853&lt;&gt;"",D853,IFERROR(VLOOKUP(MID(AS853,4,1),Lists!$E$2:$F$8,2,FALSE),""))</f>
        <v/>
      </c>
      <c r="BC853" s="31">
        <f>IFERROR(VLOOKUP(BB853,Lists!$A$2:$C$12,3,FALSE),"")</f>
        <v/>
      </c>
      <c r="BD853" s="31">
        <f>COUNTIF(W853:AC853,"Yes")</f>
        <v/>
      </c>
      <c r="BE853" s="31">
        <f>IF(TRIM(B853)="","Legal name missing; ","")&amp;IF(AND(AV853&lt;&gt;"",AV853&lt;&gt;"OK"),"GSTIN: "&amp;AV853&amp;"; ","")&amp;IF(AND(AW853&lt;&gt;"",AW853&lt;&gt;"OK"),"PAN wrong format; ","")&amp;IF(AND(BA853&lt;&gt;"",LEN(AZ853)=15,MID(AZ853,3,10)&lt;&gt;BA853),"PAN does not match GSTIN; ","")&amp;IF(AND(AX853&lt;&gt;"",AX853&lt;&gt;"OK"),"TAN wrong format; ","")&amp;IF(AS853="","PAN missing; ","")&amp;IF(BB853="","Entity type missing; ","")&amp;IF(AND(AZ853&lt;&gt;"",COUNTIF($AZ$6:$AZ$1005,AZ853)&gt;1),"GSTIN repeated in this sheet; ","")&amp;IF(AND(AS853&lt;&gt;"",COUNTIF($AS$6:$AS$1005,AS853)&gt;1),"PAN repeated in this sheet (same client? put extra GSTINs in Other GSTINs); ","")&amp;IF(AND(BD853&gt;0,V853=""),"Financial year missing; ","")&amp;IF(AND(BD853=0,V853&lt;&gt;""),"Financial year given but no service is Yes; ","")&amp;IF(AND(W853="Yes",AZ853=""),"GST needs a GSTIN; ","")&amp;IF(AND(W853="Yes",X853=""),"GST return frequency missing; ","")&amp;IF(AND(Y853="Yes",TRIM(H853)=""),"TDS needs a TAN; ","")&amp;IF(AND(AA853="Yes",BC853&lt;&gt;"",BC853&lt;&gt;"company",BC853&lt;&gt;"llp"),"ROC is only for a company / LLP; ","")&amp;IF(AND(AA853="Yes",OR(BC853="company",BC853="llp"),TRIM(I853)=""),"ROC needs the CIN / LLPIN; ","")&amp;IF((TRIM(AF853)="")&lt;&gt;(TRIM(AG853)=""),"GST login needs both user ID and password; ","")&amp;IF((TRIM(AH853)="")&lt;&gt;(TRIM(AI853)=""),"Income-tax login needs both user ID and password; ","")&amp;IF((TRIM(AJ853)="")&lt;&gt;(TRIM(AK853)=""),"Income-tax login needs both user ID and password; ","")&amp;IF((TRIM(AL853)="")&lt;&gt;(TRIM(AM853)=""),"TRACES login needs both user ID and password; ","")&amp;IF((TRIM(AN853)="")&lt;&gt;(TRIM(AO853)=""),"MCA login needs both user ID and password; ","")&amp;IF((TRIM(AP853)="")&lt;&gt;(TRIM(AQ853)=""),"E-way bill login needs both user ID and password; ","")</f>
        <v/>
      </c>
    </row>
    <row r="854">
      <c r="A854" s="32" t="n"/>
      <c r="B854" s="33" t="n"/>
      <c r="C854" s="33" t="n"/>
      <c r="D854" s="33" t="n"/>
      <c r="E854" s="32" t="n"/>
      <c r="F854" s="32" t="n"/>
      <c r="G854" s="32" t="n"/>
      <c r="H854" s="32" t="n"/>
      <c r="I854" s="32" t="n"/>
      <c r="J854" s="34" t="n"/>
      <c r="K854" s="33" t="n"/>
      <c r="L854" s="32" t="n"/>
      <c r="M854" s="33" t="n"/>
      <c r="N854" s="33" t="n"/>
      <c r="O854" s="33" t="n"/>
      <c r="P854" s="32" t="n"/>
      <c r="Q854" s="33" t="n"/>
      <c r="R854" s="33" t="n"/>
      <c r="S854" s="33" t="n"/>
      <c r="T854" s="33" t="n"/>
      <c r="U854" s="32" t="n"/>
      <c r="V854" s="33" t="n"/>
      <c r="W854" s="33" t="n"/>
      <c r="X854" s="33" t="n"/>
      <c r="Y854" s="33" t="n"/>
      <c r="Z854" s="33" t="n"/>
      <c r="AA854" s="33" t="n"/>
      <c r="AB854" s="33" t="n"/>
      <c r="AC854" s="33" t="n"/>
      <c r="AD854" s="33" t="n"/>
      <c r="AE854" s="33" t="n"/>
      <c r="AF854" s="32" t="n"/>
      <c r="AG854" s="32" t="n"/>
      <c r="AH854" s="32" t="n"/>
      <c r="AI854" s="32" t="n"/>
      <c r="AJ854" s="32" t="n"/>
      <c r="AK854" s="32" t="n"/>
      <c r="AL854" s="32" t="n"/>
      <c r="AM854" s="32" t="n"/>
      <c r="AN854" s="32" t="n"/>
      <c r="AO854" s="32" t="n"/>
      <c r="AP854" s="32" t="n"/>
      <c r="AQ854" s="32" t="n"/>
      <c r="AR854" s="29">
        <f>IF(NOT(COUNTA(A854:AE854)&gt;0),"",IF(A854="","New client","Update"))</f>
        <v/>
      </c>
      <c r="AS854" s="29">
        <f>IF(BA854&lt;&gt;"",BA854,IF(LEN(AZ854)=15,MID(AZ854,3,10),""))</f>
        <v/>
      </c>
      <c r="AT854" s="29">
        <f>IF(BB854="","",BB854&amp;IF(D854="","  (guessed from PAN)",""))</f>
        <v/>
      </c>
      <c r="AU854" s="29">
        <f>IF(AZ854="","",IFERROR(INDEX(Lists!$L$2:$L$38,MATCH(LEFT(AZ854,2),Lists!$K$2:$K$38,0)),"Unknown code"))</f>
        <v/>
      </c>
      <c r="AV854" s="29">
        <f>IF(AZ854="","",IFERROR(IF(NOT(AND(LEN(AZ854)=15,ISNUMBER(MATCH(LEFT(AZ854,2),Lists!$K$2:$K$38,0)),SUMPRODUCT(--ISERROR(FIND(MID(MID(AZ854,3,10),{1,2,3,4,5,10},1),"ABCDEFGHIJKLMNOPQRSTUVWXYZ")))=0,SUMPRODUCT(--ISERROR(FIND(MID(MID(AZ854,3,10),{6,7,8,9},1),"0123456789")))=0,ISNUMBER(FIND(MID(AZ854,13,1),"123456789ABCDEFGHIJKLMNOPQRSTUVWXYZ")),MID(AZ854,14,1)="Z")),"Wrong format",IF(MID("0123456789ABCDEFGHIJKLMNOPQRSTUVWXYZ",MOD(36-MOD(SUMPRODUCT(INT((FIND(MID(AZ854,{1,2,3,4,5,6,7,8,9,10,11,12,13,14},1),"0123456789ABCDEFGHIJKLMNOPQRSTUVWXYZ")-1)*{1,2,1,2,1,2,1,2,1,2,1,2,1,2}/36)+MOD((FIND(MID(AZ854,{1,2,3,4,5,6,7,8,9,10,11,12,13,14},1),"0123456789ABCDEFGHIJKLMNOPQRSTUVWXYZ")-1)*{1,2,1,2,1,2,1,2,1,2,1,2,1,2},36)),36),36)+1,1)=MID(AZ854,15,1),"OK","Typo? check digit wrong")),"Wrong format"))</f>
        <v/>
      </c>
      <c r="AW854" s="29">
        <f>IF(BA854="","",IF(AND(LEN(BA854)=10,SUMPRODUCT(--ISERROR(FIND(MID(BA854,{1,2,3,4,5,10},1),"ABCDEFGHIJKLMNOPQRSTUVWXYZ")))=0,SUMPRODUCT(--ISERROR(FIND(MID(BA854,{6,7,8,9},1),"0123456789")))=0),"OK","Wrong format"))</f>
        <v/>
      </c>
      <c r="AX854" s="29">
        <f>IF(TRIM(H854)="","",IF(AND(LEN(UPPER(TRIM(H854)))=10,SUMPRODUCT(--ISERROR(FIND(MID(UPPER(TRIM(H854)),{1,2,3,4,10},1),"ABCDEFGHIJKLMNOPQRSTUVWXYZ")))=0,SUMPRODUCT(--ISERROR(FIND(MID(UPPER(TRIM(H854)),{5,6,7,8,9},1),"0123456789")))=0),"OK","Wrong format"))</f>
        <v/>
      </c>
      <c r="AY854" s="30">
        <f>IF(NOT(COUNTA(A854:AE854)&gt;0),"",IF(BE854&lt;&gt;"","✖ "&amp;LEFT(BE854,LEN(BE854)-2),IF(BD854&gt;0,"✔ Ready — client + "&amp;BD854&amp;" service(s)","✔ Ready — client only")))</f>
        <v/>
      </c>
      <c r="AZ854" s="31">
        <f>UPPER(SUBSTITUTE(TRIM(F854)," ",""))</f>
        <v/>
      </c>
      <c r="BA854" s="31">
        <f>UPPER(SUBSTITUTE(TRIM(E854)," ",""))</f>
        <v/>
      </c>
      <c r="BB854" s="31">
        <f>IF(D854&lt;&gt;"",D854,IFERROR(VLOOKUP(MID(AS854,4,1),Lists!$E$2:$F$8,2,FALSE),""))</f>
        <v/>
      </c>
      <c r="BC854" s="31">
        <f>IFERROR(VLOOKUP(BB854,Lists!$A$2:$C$12,3,FALSE),"")</f>
        <v/>
      </c>
      <c r="BD854" s="31">
        <f>COUNTIF(W854:AC854,"Yes")</f>
        <v/>
      </c>
      <c r="BE854" s="31">
        <f>IF(TRIM(B854)="","Legal name missing; ","")&amp;IF(AND(AV854&lt;&gt;"",AV854&lt;&gt;"OK"),"GSTIN: "&amp;AV854&amp;"; ","")&amp;IF(AND(AW854&lt;&gt;"",AW854&lt;&gt;"OK"),"PAN wrong format; ","")&amp;IF(AND(BA854&lt;&gt;"",LEN(AZ854)=15,MID(AZ854,3,10)&lt;&gt;BA854),"PAN does not match GSTIN; ","")&amp;IF(AND(AX854&lt;&gt;"",AX854&lt;&gt;"OK"),"TAN wrong format; ","")&amp;IF(AS854="","PAN missing; ","")&amp;IF(BB854="","Entity type missing; ","")&amp;IF(AND(AZ854&lt;&gt;"",COUNTIF($AZ$6:$AZ$1005,AZ854)&gt;1),"GSTIN repeated in this sheet; ","")&amp;IF(AND(AS854&lt;&gt;"",COUNTIF($AS$6:$AS$1005,AS854)&gt;1),"PAN repeated in this sheet (same client? put extra GSTINs in Other GSTINs); ","")&amp;IF(AND(BD854&gt;0,V854=""),"Financial year missing; ","")&amp;IF(AND(BD854=0,V854&lt;&gt;""),"Financial year given but no service is Yes; ","")&amp;IF(AND(W854="Yes",AZ854=""),"GST needs a GSTIN; ","")&amp;IF(AND(W854="Yes",X854=""),"GST return frequency missing; ","")&amp;IF(AND(Y854="Yes",TRIM(H854)=""),"TDS needs a TAN; ","")&amp;IF(AND(AA854="Yes",BC854&lt;&gt;"",BC854&lt;&gt;"company",BC854&lt;&gt;"llp"),"ROC is only for a company / LLP; ","")&amp;IF(AND(AA854="Yes",OR(BC854="company",BC854="llp"),TRIM(I854)=""),"ROC needs the CIN / LLPIN; ","")&amp;IF((TRIM(AF854)="")&lt;&gt;(TRIM(AG854)=""),"GST login needs both user ID and password; ","")&amp;IF((TRIM(AH854)="")&lt;&gt;(TRIM(AI854)=""),"Income-tax login needs both user ID and password; ","")&amp;IF((TRIM(AJ854)="")&lt;&gt;(TRIM(AK854)=""),"Income-tax login needs both user ID and password; ","")&amp;IF((TRIM(AL854)="")&lt;&gt;(TRIM(AM854)=""),"TRACES login needs both user ID and password; ","")&amp;IF((TRIM(AN854)="")&lt;&gt;(TRIM(AO854)=""),"MCA login needs both user ID and password; ","")&amp;IF((TRIM(AP854)="")&lt;&gt;(TRIM(AQ854)=""),"E-way bill login needs both user ID and password; ","")</f>
        <v/>
      </c>
    </row>
    <row r="855">
      <c r="A855" s="32" t="n"/>
      <c r="B855" s="33" t="n"/>
      <c r="C855" s="33" t="n"/>
      <c r="D855" s="33" t="n"/>
      <c r="E855" s="32" t="n"/>
      <c r="F855" s="32" t="n"/>
      <c r="G855" s="32" t="n"/>
      <c r="H855" s="32" t="n"/>
      <c r="I855" s="32" t="n"/>
      <c r="J855" s="34" t="n"/>
      <c r="K855" s="33" t="n"/>
      <c r="L855" s="32" t="n"/>
      <c r="M855" s="33" t="n"/>
      <c r="N855" s="33" t="n"/>
      <c r="O855" s="33" t="n"/>
      <c r="P855" s="32" t="n"/>
      <c r="Q855" s="33" t="n"/>
      <c r="R855" s="33" t="n"/>
      <c r="S855" s="33" t="n"/>
      <c r="T855" s="33" t="n"/>
      <c r="U855" s="32" t="n"/>
      <c r="V855" s="33" t="n"/>
      <c r="W855" s="33" t="n"/>
      <c r="X855" s="33" t="n"/>
      <c r="Y855" s="33" t="n"/>
      <c r="Z855" s="33" t="n"/>
      <c r="AA855" s="33" t="n"/>
      <c r="AB855" s="33" t="n"/>
      <c r="AC855" s="33" t="n"/>
      <c r="AD855" s="33" t="n"/>
      <c r="AE855" s="33" t="n"/>
      <c r="AF855" s="32" t="n"/>
      <c r="AG855" s="32" t="n"/>
      <c r="AH855" s="32" t="n"/>
      <c r="AI855" s="32" t="n"/>
      <c r="AJ855" s="32" t="n"/>
      <c r="AK855" s="32" t="n"/>
      <c r="AL855" s="32" t="n"/>
      <c r="AM855" s="32" t="n"/>
      <c r="AN855" s="32" t="n"/>
      <c r="AO855" s="32" t="n"/>
      <c r="AP855" s="32" t="n"/>
      <c r="AQ855" s="32" t="n"/>
      <c r="AR855" s="29">
        <f>IF(NOT(COUNTA(A855:AE855)&gt;0),"",IF(A855="","New client","Update"))</f>
        <v/>
      </c>
      <c r="AS855" s="29">
        <f>IF(BA855&lt;&gt;"",BA855,IF(LEN(AZ855)=15,MID(AZ855,3,10),""))</f>
        <v/>
      </c>
      <c r="AT855" s="29">
        <f>IF(BB855="","",BB855&amp;IF(D855="","  (guessed from PAN)",""))</f>
        <v/>
      </c>
      <c r="AU855" s="29">
        <f>IF(AZ855="","",IFERROR(INDEX(Lists!$L$2:$L$38,MATCH(LEFT(AZ855,2),Lists!$K$2:$K$38,0)),"Unknown code"))</f>
        <v/>
      </c>
      <c r="AV855" s="29">
        <f>IF(AZ855="","",IFERROR(IF(NOT(AND(LEN(AZ855)=15,ISNUMBER(MATCH(LEFT(AZ855,2),Lists!$K$2:$K$38,0)),SUMPRODUCT(--ISERROR(FIND(MID(MID(AZ855,3,10),{1,2,3,4,5,10},1),"ABCDEFGHIJKLMNOPQRSTUVWXYZ")))=0,SUMPRODUCT(--ISERROR(FIND(MID(MID(AZ855,3,10),{6,7,8,9},1),"0123456789")))=0,ISNUMBER(FIND(MID(AZ855,13,1),"123456789ABCDEFGHIJKLMNOPQRSTUVWXYZ")),MID(AZ855,14,1)="Z")),"Wrong format",IF(MID("0123456789ABCDEFGHIJKLMNOPQRSTUVWXYZ",MOD(36-MOD(SUMPRODUCT(INT((FIND(MID(AZ855,{1,2,3,4,5,6,7,8,9,10,11,12,13,14},1),"0123456789ABCDEFGHIJKLMNOPQRSTUVWXYZ")-1)*{1,2,1,2,1,2,1,2,1,2,1,2,1,2}/36)+MOD((FIND(MID(AZ855,{1,2,3,4,5,6,7,8,9,10,11,12,13,14},1),"0123456789ABCDEFGHIJKLMNOPQRSTUVWXYZ")-1)*{1,2,1,2,1,2,1,2,1,2,1,2,1,2},36)),36),36)+1,1)=MID(AZ855,15,1),"OK","Typo? check digit wrong")),"Wrong format"))</f>
        <v/>
      </c>
      <c r="AW855" s="29">
        <f>IF(BA855="","",IF(AND(LEN(BA855)=10,SUMPRODUCT(--ISERROR(FIND(MID(BA855,{1,2,3,4,5,10},1),"ABCDEFGHIJKLMNOPQRSTUVWXYZ")))=0,SUMPRODUCT(--ISERROR(FIND(MID(BA855,{6,7,8,9},1),"0123456789")))=0),"OK","Wrong format"))</f>
        <v/>
      </c>
      <c r="AX855" s="29">
        <f>IF(TRIM(H855)="","",IF(AND(LEN(UPPER(TRIM(H855)))=10,SUMPRODUCT(--ISERROR(FIND(MID(UPPER(TRIM(H855)),{1,2,3,4,10},1),"ABCDEFGHIJKLMNOPQRSTUVWXYZ")))=0,SUMPRODUCT(--ISERROR(FIND(MID(UPPER(TRIM(H855)),{5,6,7,8,9},1),"0123456789")))=0),"OK","Wrong format"))</f>
        <v/>
      </c>
      <c r="AY855" s="30">
        <f>IF(NOT(COUNTA(A855:AE855)&gt;0),"",IF(BE855&lt;&gt;"","✖ "&amp;LEFT(BE855,LEN(BE855)-2),IF(BD855&gt;0,"✔ Ready — client + "&amp;BD855&amp;" service(s)","✔ Ready — client only")))</f>
        <v/>
      </c>
      <c r="AZ855" s="31">
        <f>UPPER(SUBSTITUTE(TRIM(F855)," ",""))</f>
        <v/>
      </c>
      <c r="BA855" s="31">
        <f>UPPER(SUBSTITUTE(TRIM(E855)," ",""))</f>
        <v/>
      </c>
      <c r="BB855" s="31">
        <f>IF(D855&lt;&gt;"",D855,IFERROR(VLOOKUP(MID(AS855,4,1),Lists!$E$2:$F$8,2,FALSE),""))</f>
        <v/>
      </c>
      <c r="BC855" s="31">
        <f>IFERROR(VLOOKUP(BB855,Lists!$A$2:$C$12,3,FALSE),"")</f>
        <v/>
      </c>
      <c r="BD855" s="31">
        <f>COUNTIF(W855:AC855,"Yes")</f>
        <v/>
      </c>
      <c r="BE855" s="31">
        <f>IF(TRIM(B855)="","Legal name missing; ","")&amp;IF(AND(AV855&lt;&gt;"",AV855&lt;&gt;"OK"),"GSTIN: "&amp;AV855&amp;"; ","")&amp;IF(AND(AW855&lt;&gt;"",AW855&lt;&gt;"OK"),"PAN wrong format; ","")&amp;IF(AND(BA855&lt;&gt;"",LEN(AZ855)=15,MID(AZ855,3,10)&lt;&gt;BA855),"PAN does not match GSTIN; ","")&amp;IF(AND(AX855&lt;&gt;"",AX855&lt;&gt;"OK"),"TAN wrong format; ","")&amp;IF(AS855="","PAN missing; ","")&amp;IF(BB855="","Entity type missing; ","")&amp;IF(AND(AZ855&lt;&gt;"",COUNTIF($AZ$6:$AZ$1005,AZ855)&gt;1),"GSTIN repeated in this sheet; ","")&amp;IF(AND(AS855&lt;&gt;"",COUNTIF($AS$6:$AS$1005,AS855)&gt;1),"PAN repeated in this sheet (same client? put extra GSTINs in Other GSTINs); ","")&amp;IF(AND(BD855&gt;0,V855=""),"Financial year missing; ","")&amp;IF(AND(BD855=0,V855&lt;&gt;""),"Financial year given but no service is Yes; ","")&amp;IF(AND(W855="Yes",AZ855=""),"GST needs a GSTIN; ","")&amp;IF(AND(W855="Yes",X855=""),"GST return frequency missing; ","")&amp;IF(AND(Y855="Yes",TRIM(H855)=""),"TDS needs a TAN; ","")&amp;IF(AND(AA855="Yes",BC855&lt;&gt;"",BC855&lt;&gt;"company",BC855&lt;&gt;"llp"),"ROC is only for a company / LLP; ","")&amp;IF(AND(AA855="Yes",OR(BC855="company",BC855="llp"),TRIM(I855)=""),"ROC needs the CIN / LLPIN; ","")&amp;IF((TRIM(AF855)="")&lt;&gt;(TRIM(AG855)=""),"GST login needs both user ID and password; ","")&amp;IF((TRIM(AH855)="")&lt;&gt;(TRIM(AI855)=""),"Income-tax login needs both user ID and password; ","")&amp;IF((TRIM(AJ855)="")&lt;&gt;(TRIM(AK855)=""),"Income-tax login needs both user ID and password; ","")&amp;IF((TRIM(AL855)="")&lt;&gt;(TRIM(AM855)=""),"TRACES login needs both user ID and password; ","")&amp;IF((TRIM(AN855)="")&lt;&gt;(TRIM(AO855)=""),"MCA login needs both user ID and password; ","")&amp;IF((TRIM(AP855)="")&lt;&gt;(TRIM(AQ855)=""),"E-way bill login needs both user ID and password; ","")</f>
        <v/>
      </c>
    </row>
    <row r="856">
      <c r="A856" s="32" t="n"/>
      <c r="B856" s="33" t="n"/>
      <c r="C856" s="33" t="n"/>
      <c r="D856" s="33" t="n"/>
      <c r="E856" s="32" t="n"/>
      <c r="F856" s="32" t="n"/>
      <c r="G856" s="32" t="n"/>
      <c r="H856" s="32" t="n"/>
      <c r="I856" s="32" t="n"/>
      <c r="J856" s="34" t="n"/>
      <c r="K856" s="33" t="n"/>
      <c r="L856" s="32" t="n"/>
      <c r="M856" s="33" t="n"/>
      <c r="N856" s="33" t="n"/>
      <c r="O856" s="33" t="n"/>
      <c r="P856" s="32" t="n"/>
      <c r="Q856" s="33" t="n"/>
      <c r="R856" s="33" t="n"/>
      <c r="S856" s="33" t="n"/>
      <c r="T856" s="33" t="n"/>
      <c r="U856" s="32" t="n"/>
      <c r="V856" s="33" t="n"/>
      <c r="W856" s="33" t="n"/>
      <c r="X856" s="33" t="n"/>
      <c r="Y856" s="33" t="n"/>
      <c r="Z856" s="33" t="n"/>
      <c r="AA856" s="33" t="n"/>
      <c r="AB856" s="33" t="n"/>
      <c r="AC856" s="33" t="n"/>
      <c r="AD856" s="33" t="n"/>
      <c r="AE856" s="33" t="n"/>
      <c r="AF856" s="32" t="n"/>
      <c r="AG856" s="32" t="n"/>
      <c r="AH856" s="32" t="n"/>
      <c r="AI856" s="32" t="n"/>
      <c r="AJ856" s="32" t="n"/>
      <c r="AK856" s="32" t="n"/>
      <c r="AL856" s="32" t="n"/>
      <c r="AM856" s="32" t="n"/>
      <c r="AN856" s="32" t="n"/>
      <c r="AO856" s="32" t="n"/>
      <c r="AP856" s="32" t="n"/>
      <c r="AQ856" s="32" t="n"/>
      <c r="AR856" s="29">
        <f>IF(NOT(COUNTA(A856:AE856)&gt;0),"",IF(A856="","New client","Update"))</f>
        <v/>
      </c>
      <c r="AS856" s="29">
        <f>IF(BA856&lt;&gt;"",BA856,IF(LEN(AZ856)=15,MID(AZ856,3,10),""))</f>
        <v/>
      </c>
      <c r="AT856" s="29">
        <f>IF(BB856="","",BB856&amp;IF(D856="","  (guessed from PAN)",""))</f>
        <v/>
      </c>
      <c r="AU856" s="29">
        <f>IF(AZ856="","",IFERROR(INDEX(Lists!$L$2:$L$38,MATCH(LEFT(AZ856,2),Lists!$K$2:$K$38,0)),"Unknown code"))</f>
        <v/>
      </c>
      <c r="AV856" s="29">
        <f>IF(AZ856="","",IFERROR(IF(NOT(AND(LEN(AZ856)=15,ISNUMBER(MATCH(LEFT(AZ856,2),Lists!$K$2:$K$38,0)),SUMPRODUCT(--ISERROR(FIND(MID(MID(AZ856,3,10),{1,2,3,4,5,10},1),"ABCDEFGHIJKLMNOPQRSTUVWXYZ")))=0,SUMPRODUCT(--ISERROR(FIND(MID(MID(AZ856,3,10),{6,7,8,9},1),"0123456789")))=0,ISNUMBER(FIND(MID(AZ856,13,1),"123456789ABCDEFGHIJKLMNOPQRSTUVWXYZ")),MID(AZ856,14,1)="Z")),"Wrong format",IF(MID("0123456789ABCDEFGHIJKLMNOPQRSTUVWXYZ",MOD(36-MOD(SUMPRODUCT(INT((FIND(MID(AZ856,{1,2,3,4,5,6,7,8,9,10,11,12,13,14},1),"0123456789ABCDEFGHIJKLMNOPQRSTUVWXYZ")-1)*{1,2,1,2,1,2,1,2,1,2,1,2,1,2}/36)+MOD((FIND(MID(AZ856,{1,2,3,4,5,6,7,8,9,10,11,12,13,14},1),"0123456789ABCDEFGHIJKLMNOPQRSTUVWXYZ")-1)*{1,2,1,2,1,2,1,2,1,2,1,2,1,2},36)),36),36)+1,1)=MID(AZ856,15,1),"OK","Typo? check digit wrong")),"Wrong format"))</f>
        <v/>
      </c>
      <c r="AW856" s="29">
        <f>IF(BA856="","",IF(AND(LEN(BA856)=10,SUMPRODUCT(--ISERROR(FIND(MID(BA856,{1,2,3,4,5,10},1),"ABCDEFGHIJKLMNOPQRSTUVWXYZ")))=0,SUMPRODUCT(--ISERROR(FIND(MID(BA856,{6,7,8,9},1),"0123456789")))=0),"OK","Wrong format"))</f>
        <v/>
      </c>
      <c r="AX856" s="29">
        <f>IF(TRIM(H856)="","",IF(AND(LEN(UPPER(TRIM(H856)))=10,SUMPRODUCT(--ISERROR(FIND(MID(UPPER(TRIM(H856)),{1,2,3,4,10},1),"ABCDEFGHIJKLMNOPQRSTUVWXYZ")))=0,SUMPRODUCT(--ISERROR(FIND(MID(UPPER(TRIM(H856)),{5,6,7,8,9},1),"0123456789")))=0),"OK","Wrong format"))</f>
        <v/>
      </c>
      <c r="AY856" s="30">
        <f>IF(NOT(COUNTA(A856:AE856)&gt;0),"",IF(BE856&lt;&gt;"","✖ "&amp;LEFT(BE856,LEN(BE856)-2),IF(BD856&gt;0,"✔ Ready — client + "&amp;BD856&amp;" service(s)","✔ Ready — client only")))</f>
        <v/>
      </c>
      <c r="AZ856" s="31">
        <f>UPPER(SUBSTITUTE(TRIM(F856)," ",""))</f>
        <v/>
      </c>
      <c r="BA856" s="31">
        <f>UPPER(SUBSTITUTE(TRIM(E856)," ",""))</f>
        <v/>
      </c>
      <c r="BB856" s="31">
        <f>IF(D856&lt;&gt;"",D856,IFERROR(VLOOKUP(MID(AS856,4,1),Lists!$E$2:$F$8,2,FALSE),""))</f>
        <v/>
      </c>
      <c r="BC856" s="31">
        <f>IFERROR(VLOOKUP(BB856,Lists!$A$2:$C$12,3,FALSE),"")</f>
        <v/>
      </c>
      <c r="BD856" s="31">
        <f>COUNTIF(W856:AC856,"Yes")</f>
        <v/>
      </c>
      <c r="BE856" s="31">
        <f>IF(TRIM(B856)="","Legal name missing; ","")&amp;IF(AND(AV856&lt;&gt;"",AV856&lt;&gt;"OK"),"GSTIN: "&amp;AV856&amp;"; ","")&amp;IF(AND(AW856&lt;&gt;"",AW856&lt;&gt;"OK"),"PAN wrong format; ","")&amp;IF(AND(BA856&lt;&gt;"",LEN(AZ856)=15,MID(AZ856,3,10)&lt;&gt;BA856),"PAN does not match GSTIN; ","")&amp;IF(AND(AX856&lt;&gt;"",AX856&lt;&gt;"OK"),"TAN wrong format; ","")&amp;IF(AS856="","PAN missing; ","")&amp;IF(BB856="","Entity type missing; ","")&amp;IF(AND(AZ856&lt;&gt;"",COUNTIF($AZ$6:$AZ$1005,AZ856)&gt;1),"GSTIN repeated in this sheet; ","")&amp;IF(AND(AS856&lt;&gt;"",COUNTIF($AS$6:$AS$1005,AS856)&gt;1),"PAN repeated in this sheet (same client? put extra GSTINs in Other GSTINs); ","")&amp;IF(AND(BD856&gt;0,V856=""),"Financial year missing; ","")&amp;IF(AND(BD856=0,V856&lt;&gt;""),"Financial year given but no service is Yes; ","")&amp;IF(AND(W856="Yes",AZ856=""),"GST needs a GSTIN; ","")&amp;IF(AND(W856="Yes",X856=""),"GST return frequency missing; ","")&amp;IF(AND(Y856="Yes",TRIM(H856)=""),"TDS needs a TAN; ","")&amp;IF(AND(AA856="Yes",BC856&lt;&gt;"",BC856&lt;&gt;"company",BC856&lt;&gt;"llp"),"ROC is only for a company / LLP; ","")&amp;IF(AND(AA856="Yes",OR(BC856="company",BC856="llp"),TRIM(I856)=""),"ROC needs the CIN / LLPIN; ","")&amp;IF((TRIM(AF856)="")&lt;&gt;(TRIM(AG856)=""),"GST login needs both user ID and password; ","")&amp;IF((TRIM(AH856)="")&lt;&gt;(TRIM(AI856)=""),"Income-tax login needs both user ID and password; ","")&amp;IF((TRIM(AJ856)="")&lt;&gt;(TRIM(AK856)=""),"Income-tax login needs both user ID and password; ","")&amp;IF((TRIM(AL856)="")&lt;&gt;(TRIM(AM856)=""),"TRACES login needs both user ID and password; ","")&amp;IF((TRIM(AN856)="")&lt;&gt;(TRIM(AO856)=""),"MCA login needs both user ID and password; ","")&amp;IF((TRIM(AP856)="")&lt;&gt;(TRIM(AQ856)=""),"E-way bill login needs both user ID and password; ","")</f>
        <v/>
      </c>
    </row>
    <row r="857">
      <c r="A857" s="32" t="n"/>
      <c r="B857" s="33" t="n"/>
      <c r="C857" s="33" t="n"/>
      <c r="D857" s="33" t="n"/>
      <c r="E857" s="32" t="n"/>
      <c r="F857" s="32" t="n"/>
      <c r="G857" s="32" t="n"/>
      <c r="H857" s="32" t="n"/>
      <c r="I857" s="32" t="n"/>
      <c r="J857" s="34" t="n"/>
      <c r="K857" s="33" t="n"/>
      <c r="L857" s="32" t="n"/>
      <c r="M857" s="33" t="n"/>
      <c r="N857" s="33" t="n"/>
      <c r="O857" s="33" t="n"/>
      <c r="P857" s="32" t="n"/>
      <c r="Q857" s="33" t="n"/>
      <c r="R857" s="33" t="n"/>
      <c r="S857" s="33" t="n"/>
      <c r="T857" s="33" t="n"/>
      <c r="U857" s="32" t="n"/>
      <c r="V857" s="33" t="n"/>
      <c r="W857" s="33" t="n"/>
      <c r="X857" s="33" t="n"/>
      <c r="Y857" s="33" t="n"/>
      <c r="Z857" s="33" t="n"/>
      <c r="AA857" s="33" t="n"/>
      <c r="AB857" s="33" t="n"/>
      <c r="AC857" s="33" t="n"/>
      <c r="AD857" s="33" t="n"/>
      <c r="AE857" s="33" t="n"/>
      <c r="AF857" s="32" t="n"/>
      <c r="AG857" s="32" t="n"/>
      <c r="AH857" s="32" t="n"/>
      <c r="AI857" s="32" t="n"/>
      <c r="AJ857" s="32" t="n"/>
      <c r="AK857" s="32" t="n"/>
      <c r="AL857" s="32" t="n"/>
      <c r="AM857" s="32" t="n"/>
      <c r="AN857" s="32" t="n"/>
      <c r="AO857" s="32" t="n"/>
      <c r="AP857" s="32" t="n"/>
      <c r="AQ857" s="32" t="n"/>
      <c r="AR857" s="29">
        <f>IF(NOT(COUNTA(A857:AE857)&gt;0),"",IF(A857="","New client","Update"))</f>
        <v/>
      </c>
      <c r="AS857" s="29">
        <f>IF(BA857&lt;&gt;"",BA857,IF(LEN(AZ857)=15,MID(AZ857,3,10),""))</f>
        <v/>
      </c>
      <c r="AT857" s="29">
        <f>IF(BB857="","",BB857&amp;IF(D857="","  (guessed from PAN)",""))</f>
        <v/>
      </c>
      <c r="AU857" s="29">
        <f>IF(AZ857="","",IFERROR(INDEX(Lists!$L$2:$L$38,MATCH(LEFT(AZ857,2),Lists!$K$2:$K$38,0)),"Unknown code"))</f>
        <v/>
      </c>
      <c r="AV857" s="29">
        <f>IF(AZ857="","",IFERROR(IF(NOT(AND(LEN(AZ857)=15,ISNUMBER(MATCH(LEFT(AZ857,2),Lists!$K$2:$K$38,0)),SUMPRODUCT(--ISERROR(FIND(MID(MID(AZ857,3,10),{1,2,3,4,5,10},1),"ABCDEFGHIJKLMNOPQRSTUVWXYZ")))=0,SUMPRODUCT(--ISERROR(FIND(MID(MID(AZ857,3,10),{6,7,8,9},1),"0123456789")))=0,ISNUMBER(FIND(MID(AZ857,13,1),"123456789ABCDEFGHIJKLMNOPQRSTUVWXYZ")),MID(AZ857,14,1)="Z")),"Wrong format",IF(MID("0123456789ABCDEFGHIJKLMNOPQRSTUVWXYZ",MOD(36-MOD(SUMPRODUCT(INT((FIND(MID(AZ857,{1,2,3,4,5,6,7,8,9,10,11,12,13,14},1),"0123456789ABCDEFGHIJKLMNOPQRSTUVWXYZ")-1)*{1,2,1,2,1,2,1,2,1,2,1,2,1,2}/36)+MOD((FIND(MID(AZ857,{1,2,3,4,5,6,7,8,9,10,11,12,13,14},1),"0123456789ABCDEFGHIJKLMNOPQRSTUVWXYZ")-1)*{1,2,1,2,1,2,1,2,1,2,1,2,1,2},36)),36),36)+1,1)=MID(AZ857,15,1),"OK","Typo? check digit wrong")),"Wrong format"))</f>
        <v/>
      </c>
      <c r="AW857" s="29">
        <f>IF(BA857="","",IF(AND(LEN(BA857)=10,SUMPRODUCT(--ISERROR(FIND(MID(BA857,{1,2,3,4,5,10},1),"ABCDEFGHIJKLMNOPQRSTUVWXYZ")))=0,SUMPRODUCT(--ISERROR(FIND(MID(BA857,{6,7,8,9},1),"0123456789")))=0),"OK","Wrong format"))</f>
        <v/>
      </c>
      <c r="AX857" s="29">
        <f>IF(TRIM(H857)="","",IF(AND(LEN(UPPER(TRIM(H857)))=10,SUMPRODUCT(--ISERROR(FIND(MID(UPPER(TRIM(H857)),{1,2,3,4,10},1),"ABCDEFGHIJKLMNOPQRSTUVWXYZ")))=0,SUMPRODUCT(--ISERROR(FIND(MID(UPPER(TRIM(H857)),{5,6,7,8,9},1),"0123456789")))=0),"OK","Wrong format"))</f>
        <v/>
      </c>
      <c r="AY857" s="30">
        <f>IF(NOT(COUNTA(A857:AE857)&gt;0),"",IF(BE857&lt;&gt;"","✖ "&amp;LEFT(BE857,LEN(BE857)-2),IF(BD857&gt;0,"✔ Ready — client + "&amp;BD857&amp;" service(s)","✔ Ready — client only")))</f>
        <v/>
      </c>
      <c r="AZ857" s="31">
        <f>UPPER(SUBSTITUTE(TRIM(F857)," ",""))</f>
        <v/>
      </c>
      <c r="BA857" s="31">
        <f>UPPER(SUBSTITUTE(TRIM(E857)," ",""))</f>
        <v/>
      </c>
      <c r="BB857" s="31">
        <f>IF(D857&lt;&gt;"",D857,IFERROR(VLOOKUP(MID(AS857,4,1),Lists!$E$2:$F$8,2,FALSE),""))</f>
        <v/>
      </c>
      <c r="BC857" s="31">
        <f>IFERROR(VLOOKUP(BB857,Lists!$A$2:$C$12,3,FALSE),"")</f>
        <v/>
      </c>
      <c r="BD857" s="31">
        <f>COUNTIF(W857:AC857,"Yes")</f>
        <v/>
      </c>
      <c r="BE857" s="31">
        <f>IF(TRIM(B857)="","Legal name missing; ","")&amp;IF(AND(AV857&lt;&gt;"",AV857&lt;&gt;"OK"),"GSTIN: "&amp;AV857&amp;"; ","")&amp;IF(AND(AW857&lt;&gt;"",AW857&lt;&gt;"OK"),"PAN wrong format; ","")&amp;IF(AND(BA857&lt;&gt;"",LEN(AZ857)=15,MID(AZ857,3,10)&lt;&gt;BA857),"PAN does not match GSTIN; ","")&amp;IF(AND(AX857&lt;&gt;"",AX857&lt;&gt;"OK"),"TAN wrong format; ","")&amp;IF(AS857="","PAN missing; ","")&amp;IF(BB857="","Entity type missing; ","")&amp;IF(AND(AZ857&lt;&gt;"",COUNTIF($AZ$6:$AZ$1005,AZ857)&gt;1),"GSTIN repeated in this sheet; ","")&amp;IF(AND(AS857&lt;&gt;"",COUNTIF($AS$6:$AS$1005,AS857)&gt;1),"PAN repeated in this sheet (same client? put extra GSTINs in Other GSTINs); ","")&amp;IF(AND(BD857&gt;0,V857=""),"Financial year missing; ","")&amp;IF(AND(BD857=0,V857&lt;&gt;""),"Financial year given but no service is Yes; ","")&amp;IF(AND(W857="Yes",AZ857=""),"GST needs a GSTIN; ","")&amp;IF(AND(W857="Yes",X857=""),"GST return frequency missing; ","")&amp;IF(AND(Y857="Yes",TRIM(H857)=""),"TDS needs a TAN; ","")&amp;IF(AND(AA857="Yes",BC857&lt;&gt;"",BC857&lt;&gt;"company",BC857&lt;&gt;"llp"),"ROC is only for a company / LLP; ","")&amp;IF(AND(AA857="Yes",OR(BC857="company",BC857="llp"),TRIM(I857)=""),"ROC needs the CIN / LLPIN; ","")&amp;IF((TRIM(AF857)="")&lt;&gt;(TRIM(AG857)=""),"GST login needs both user ID and password; ","")&amp;IF((TRIM(AH857)="")&lt;&gt;(TRIM(AI857)=""),"Income-tax login needs both user ID and password; ","")&amp;IF((TRIM(AJ857)="")&lt;&gt;(TRIM(AK857)=""),"Income-tax login needs both user ID and password; ","")&amp;IF((TRIM(AL857)="")&lt;&gt;(TRIM(AM857)=""),"TRACES login needs both user ID and password; ","")&amp;IF((TRIM(AN857)="")&lt;&gt;(TRIM(AO857)=""),"MCA login needs both user ID and password; ","")&amp;IF((TRIM(AP857)="")&lt;&gt;(TRIM(AQ857)=""),"E-way bill login needs both user ID and password; ","")</f>
        <v/>
      </c>
    </row>
    <row r="858">
      <c r="A858" s="32" t="n"/>
      <c r="B858" s="33" t="n"/>
      <c r="C858" s="33" t="n"/>
      <c r="D858" s="33" t="n"/>
      <c r="E858" s="32" t="n"/>
      <c r="F858" s="32" t="n"/>
      <c r="G858" s="32" t="n"/>
      <c r="H858" s="32" t="n"/>
      <c r="I858" s="32" t="n"/>
      <c r="J858" s="34" t="n"/>
      <c r="K858" s="33" t="n"/>
      <c r="L858" s="32" t="n"/>
      <c r="M858" s="33" t="n"/>
      <c r="N858" s="33" t="n"/>
      <c r="O858" s="33" t="n"/>
      <c r="P858" s="32" t="n"/>
      <c r="Q858" s="33" t="n"/>
      <c r="R858" s="33" t="n"/>
      <c r="S858" s="33" t="n"/>
      <c r="T858" s="33" t="n"/>
      <c r="U858" s="32" t="n"/>
      <c r="V858" s="33" t="n"/>
      <c r="W858" s="33" t="n"/>
      <c r="X858" s="33" t="n"/>
      <c r="Y858" s="33" t="n"/>
      <c r="Z858" s="33" t="n"/>
      <c r="AA858" s="33" t="n"/>
      <c r="AB858" s="33" t="n"/>
      <c r="AC858" s="33" t="n"/>
      <c r="AD858" s="33" t="n"/>
      <c r="AE858" s="33" t="n"/>
      <c r="AF858" s="32" t="n"/>
      <c r="AG858" s="32" t="n"/>
      <c r="AH858" s="32" t="n"/>
      <c r="AI858" s="32" t="n"/>
      <c r="AJ858" s="32" t="n"/>
      <c r="AK858" s="32" t="n"/>
      <c r="AL858" s="32" t="n"/>
      <c r="AM858" s="32" t="n"/>
      <c r="AN858" s="32" t="n"/>
      <c r="AO858" s="32" t="n"/>
      <c r="AP858" s="32" t="n"/>
      <c r="AQ858" s="32" t="n"/>
      <c r="AR858" s="29">
        <f>IF(NOT(COUNTA(A858:AE858)&gt;0),"",IF(A858="","New client","Update"))</f>
        <v/>
      </c>
      <c r="AS858" s="29">
        <f>IF(BA858&lt;&gt;"",BA858,IF(LEN(AZ858)=15,MID(AZ858,3,10),""))</f>
        <v/>
      </c>
      <c r="AT858" s="29">
        <f>IF(BB858="","",BB858&amp;IF(D858="","  (guessed from PAN)",""))</f>
        <v/>
      </c>
      <c r="AU858" s="29">
        <f>IF(AZ858="","",IFERROR(INDEX(Lists!$L$2:$L$38,MATCH(LEFT(AZ858,2),Lists!$K$2:$K$38,0)),"Unknown code"))</f>
        <v/>
      </c>
      <c r="AV858" s="29">
        <f>IF(AZ858="","",IFERROR(IF(NOT(AND(LEN(AZ858)=15,ISNUMBER(MATCH(LEFT(AZ858,2),Lists!$K$2:$K$38,0)),SUMPRODUCT(--ISERROR(FIND(MID(MID(AZ858,3,10),{1,2,3,4,5,10},1),"ABCDEFGHIJKLMNOPQRSTUVWXYZ")))=0,SUMPRODUCT(--ISERROR(FIND(MID(MID(AZ858,3,10),{6,7,8,9},1),"0123456789")))=0,ISNUMBER(FIND(MID(AZ858,13,1),"123456789ABCDEFGHIJKLMNOPQRSTUVWXYZ")),MID(AZ858,14,1)="Z")),"Wrong format",IF(MID("0123456789ABCDEFGHIJKLMNOPQRSTUVWXYZ",MOD(36-MOD(SUMPRODUCT(INT((FIND(MID(AZ858,{1,2,3,4,5,6,7,8,9,10,11,12,13,14},1),"0123456789ABCDEFGHIJKLMNOPQRSTUVWXYZ")-1)*{1,2,1,2,1,2,1,2,1,2,1,2,1,2}/36)+MOD((FIND(MID(AZ858,{1,2,3,4,5,6,7,8,9,10,11,12,13,14},1),"0123456789ABCDEFGHIJKLMNOPQRSTUVWXYZ")-1)*{1,2,1,2,1,2,1,2,1,2,1,2,1,2},36)),36),36)+1,1)=MID(AZ858,15,1),"OK","Typo? check digit wrong")),"Wrong format"))</f>
        <v/>
      </c>
      <c r="AW858" s="29">
        <f>IF(BA858="","",IF(AND(LEN(BA858)=10,SUMPRODUCT(--ISERROR(FIND(MID(BA858,{1,2,3,4,5,10},1),"ABCDEFGHIJKLMNOPQRSTUVWXYZ")))=0,SUMPRODUCT(--ISERROR(FIND(MID(BA858,{6,7,8,9},1),"0123456789")))=0),"OK","Wrong format"))</f>
        <v/>
      </c>
      <c r="AX858" s="29">
        <f>IF(TRIM(H858)="","",IF(AND(LEN(UPPER(TRIM(H858)))=10,SUMPRODUCT(--ISERROR(FIND(MID(UPPER(TRIM(H858)),{1,2,3,4,10},1),"ABCDEFGHIJKLMNOPQRSTUVWXYZ")))=0,SUMPRODUCT(--ISERROR(FIND(MID(UPPER(TRIM(H858)),{5,6,7,8,9},1),"0123456789")))=0),"OK","Wrong format"))</f>
        <v/>
      </c>
      <c r="AY858" s="30">
        <f>IF(NOT(COUNTA(A858:AE858)&gt;0),"",IF(BE858&lt;&gt;"","✖ "&amp;LEFT(BE858,LEN(BE858)-2),IF(BD858&gt;0,"✔ Ready — client + "&amp;BD858&amp;" service(s)","✔ Ready — client only")))</f>
        <v/>
      </c>
      <c r="AZ858" s="31">
        <f>UPPER(SUBSTITUTE(TRIM(F858)," ",""))</f>
        <v/>
      </c>
      <c r="BA858" s="31">
        <f>UPPER(SUBSTITUTE(TRIM(E858)," ",""))</f>
        <v/>
      </c>
      <c r="BB858" s="31">
        <f>IF(D858&lt;&gt;"",D858,IFERROR(VLOOKUP(MID(AS858,4,1),Lists!$E$2:$F$8,2,FALSE),""))</f>
        <v/>
      </c>
      <c r="BC858" s="31">
        <f>IFERROR(VLOOKUP(BB858,Lists!$A$2:$C$12,3,FALSE),"")</f>
        <v/>
      </c>
      <c r="BD858" s="31">
        <f>COUNTIF(W858:AC858,"Yes")</f>
        <v/>
      </c>
      <c r="BE858" s="31">
        <f>IF(TRIM(B858)="","Legal name missing; ","")&amp;IF(AND(AV858&lt;&gt;"",AV858&lt;&gt;"OK"),"GSTIN: "&amp;AV858&amp;"; ","")&amp;IF(AND(AW858&lt;&gt;"",AW858&lt;&gt;"OK"),"PAN wrong format; ","")&amp;IF(AND(BA858&lt;&gt;"",LEN(AZ858)=15,MID(AZ858,3,10)&lt;&gt;BA858),"PAN does not match GSTIN; ","")&amp;IF(AND(AX858&lt;&gt;"",AX858&lt;&gt;"OK"),"TAN wrong format; ","")&amp;IF(AS858="","PAN missing; ","")&amp;IF(BB858="","Entity type missing; ","")&amp;IF(AND(AZ858&lt;&gt;"",COUNTIF($AZ$6:$AZ$1005,AZ858)&gt;1),"GSTIN repeated in this sheet; ","")&amp;IF(AND(AS858&lt;&gt;"",COUNTIF($AS$6:$AS$1005,AS858)&gt;1),"PAN repeated in this sheet (same client? put extra GSTINs in Other GSTINs); ","")&amp;IF(AND(BD858&gt;0,V858=""),"Financial year missing; ","")&amp;IF(AND(BD858=0,V858&lt;&gt;""),"Financial year given but no service is Yes; ","")&amp;IF(AND(W858="Yes",AZ858=""),"GST needs a GSTIN; ","")&amp;IF(AND(W858="Yes",X858=""),"GST return frequency missing; ","")&amp;IF(AND(Y858="Yes",TRIM(H858)=""),"TDS needs a TAN; ","")&amp;IF(AND(AA858="Yes",BC858&lt;&gt;"",BC858&lt;&gt;"company",BC858&lt;&gt;"llp"),"ROC is only for a company / LLP; ","")&amp;IF(AND(AA858="Yes",OR(BC858="company",BC858="llp"),TRIM(I858)=""),"ROC needs the CIN / LLPIN; ","")&amp;IF((TRIM(AF858)="")&lt;&gt;(TRIM(AG858)=""),"GST login needs both user ID and password; ","")&amp;IF((TRIM(AH858)="")&lt;&gt;(TRIM(AI858)=""),"Income-tax login needs both user ID and password; ","")&amp;IF((TRIM(AJ858)="")&lt;&gt;(TRIM(AK858)=""),"Income-tax login needs both user ID and password; ","")&amp;IF((TRIM(AL858)="")&lt;&gt;(TRIM(AM858)=""),"TRACES login needs both user ID and password; ","")&amp;IF((TRIM(AN858)="")&lt;&gt;(TRIM(AO858)=""),"MCA login needs both user ID and password; ","")&amp;IF((TRIM(AP858)="")&lt;&gt;(TRIM(AQ858)=""),"E-way bill login needs both user ID and password; ","")</f>
        <v/>
      </c>
    </row>
    <row r="859">
      <c r="A859" s="32" t="n"/>
      <c r="B859" s="33" t="n"/>
      <c r="C859" s="33" t="n"/>
      <c r="D859" s="33" t="n"/>
      <c r="E859" s="32" t="n"/>
      <c r="F859" s="32" t="n"/>
      <c r="G859" s="32" t="n"/>
      <c r="H859" s="32" t="n"/>
      <c r="I859" s="32" t="n"/>
      <c r="J859" s="34" t="n"/>
      <c r="K859" s="33" t="n"/>
      <c r="L859" s="32" t="n"/>
      <c r="M859" s="33" t="n"/>
      <c r="N859" s="33" t="n"/>
      <c r="O859" s="33" t="n"/>
      <c r="P859" s="32" t="n"/>
      <c r="Q859" s="33" t="n"/>
      <c r="R859" s="33" t="n"/>
      <c r="S859" s="33" t="n"/>
      <c r="T859" s="33" t="n"/>
      <c r="U859" s="32" t="n"/>
      <c r="V859" s="33" t="n"/>
      <c r="W859" s="33" t="n"/>
      <c r="X859" s="33" t="n"/>
      <c r="Y859" s="33" t="n"/>
      <c r="Z859" s="33" t="n"/>
      <c r="AA859" s="33" t="n"/>
      <c r="AB859" s="33" t="n"/>
      <c r="AC859" s="33" t="n"/>
      <c r="AD859" s="33" t="n"/>
      <c r="AE859" s="33" t="n"/>
      <c r="AF859" s="32" t="n"/>
      <c r="AG859" s="32" t="n"/>
      <c r="AH859" s="32" t="n"/>
      <c r="AI859" s="32" t="n"/>
      <c r="AJ859" s="32" t="n"/>
      <c r="AK859" s="32" t="n"/>
      <c r="AL859" s="32" t="n"/>
      <c r="AM859" s="32" t="n"/>
      <c r="AN859" s="32" t="n"/>
      <c r="AO859" s="32" t="n"/>
      <c r="AP859" s="32" t="n"/>
      <c r="AQ859" s="32" t="n"/>
      <c r="AR859" s="29">
        <f>IF(NOT(COUNTA(A859:AE859)&gt;0),"",IF(A859="","New client","Update"))</f>
        <v/>
      </c>
      <c r="AS859" s="29">
        <f>IF(BA859&lt;&gt;"",BA859,IF(LEN(AZ859)=15,MID(AZ859,3,10),""))</f>
        <v/>
      </c>
      <c r="AT859" s="29">
        <f>IF(BB859="","",BB859&amp;IF(D859="","  (guessed from PAN)",""))</f>
        <v/>
      </c>
      <c r="AU859" s="29">
        <f>IF(AZ859="","",IFERROR(INDEX(Lists!$L$2:$L$38,MATCH(LEFT(AZ859,2),Lists!$K$2:$K$38,0)),"Unknown code"))</f>
        <v/>
      </c>
      <c r="AV859" s="29">
        <f>IF(AZ859="","",IFERROR(IF(NOT(AND(LEN(AZ859)=15,ISNUMBER(MATCH(LEFT(AZ859,2),Lists!$K$2:$K$38,0)),SUMPRODUCT(--ISERROR(FIND(MID(MID(AZ859,3,10),{1,2,3,4,5,10},1),"ABCDEFGHIJKLMNOPQRSTUVWXYZ")))=0,SUMPRODUCT(--ISERROR(FIND(MID(MID(AZ859,3,10),{6,7,8,9},1),"0123456789")))=0,ISNUMBER(FIND(MID(AZ859,13,1),"123456789ABCDEFGHIJKLMNOPQRSTUVWXYZ")),MID(AZ859,14,1)="Z")),"Wrong format",IF(MID("0123456789ABCDEFGHIJKLMNOPQRSTUVWXYZ",MOD(36-MOD(SUMPRODUCT(INT((FIND(MID(AZ859,{1,2,3,4,5,6,7,8,9,10,11,12,13,14},1),"0123456789ABCDEFGHIJKLMNOPQRSTUVWXYZ")-1)*{1,2,1,2,1,2,1,2,1,2,1,2,1,2}/36)+MOD((FIND(MID(AZ859,{1,2,3,4,5,6,7,8,9,10,11,12,13,14},1),"0123456789ABCDEFGHIJKLMNOPQRSTUVWXYZ")-1)*{1,2,1,2,1,2,1,2,1,2,1,2,1,2},36)),36),36)+1,1)=MID(AZ859,15,1),"OK","Typo? check digit wrong")),"Wrong format"))</f>
        <v/>
      </c>
      <c r="AW859" s="29">
        <f>IF(BA859="","",IF(AND(LEN(BA859)=10,SUMPRODUCT(--ISERROR(FIND(MID(BA859,{1,2,3,4,5,10},1),"ABCDEFGHIJKLMNOPQRSTUVWXYZ")))=0,SUMPRODUCT(--ISERROR(FIND(MID(BA859,{6,7,8,9},1),"0123456789")))=0),"OK","Wrong format"))</f>
        <v/>
      </c>
      <c r="AX859" s="29">
        <f>IF(TRIM(H859)="","",IF(AND(LEN(UPPER(TRIM(H859)))=10,SUMPRODUCT(--ISERROR(FIND(MID(UPPER(TRIM(H859)),{1,2,3,4,10},1),"ABCDEFGHIJKLMNOPQRSTUVWXYZ")))=0,SUMPRODUCT(--ISERROR(FIND(MID(UPPER(TRIM(H859)),{5,6,7,8,9},1),"0123456789")))=0),"OK","Wrong format"))</f>
        <v/>
      </c>
      <c r="AY859" s="30">
        <f>IF(NOT(COUNTA(A859:AE859)&gt;0),"",IF(BE859&lt;&gt;"","✖ "&amp;LEFT(BE859,LEN(BE859)-2),IF(BD859&gt;0,"✔ Ready — client + "&amp;BD859&amp;" service(s)","✔ Ready — client only")))</f>
        <v/>
      </c>
      <c r="AZ859" s="31">
        <f>UPPER(SUBSTITUTE(TRIM(F859)," ",""))</f>
        <v/>
      </c>
      <c r="BA859" s="31">
        <f>UPPER(SUBSTITUTE(TRIM(E859)," ",""))</f>
        <v/>
      </c>
      <c r="BB859" s="31">
        <f>IF(D859&lt;&gt;"",D859,IFERROR(VLOOKUP(MID(AS859,4,1),Lists!$E$2:$F$8,2,FALSE),""))</f>
        <v/>
      </c>
      <c r="BC859" s="31">
        <f>IFERROR(VLOOKUP(BB859,Lists!$A$2:$C$12,3,FALSE),"")</f>
        <v/>
      </c>
      <c r="BD859" s="31">
        <f>COUNTIF(W859:AC859,"Yes")</f>
        <v/>
      </c>
      <c r="BE859" s="31">
        <f>IF(TRIM(B859)="","Legal name missing; ","")&amp;IF(AND(AV859&lt;&gt;"",AV859&lt;&gt;"OK"),"GSTIN: "&amp;AV859&amp;"; ","")&amp;IF(AND(AW859&lt;&gt;"",AW859&lt;&gt;"OK"),"PAN wrong format; ","")&amp;IF(AND(BA859&lt;&gt;"",LEN(AZ859)=15,MID(AZ859,3,10)&lt;&gt;BA859),"PAN does not match GSTIN; ","")&amp;IF(AND(AX859&lt;&gt;"",AX859&lt;&gt;"OK"),"TAN wrong format; ","")&amp;IF(AS859="","PAN missing; ","")&amp;IF(BB859="","Entity type missing; ","")&amp;IF(AND(AZ859&lt;&gt;"",COUNTIF($AZ$6:$AZ$1005,AZ859)&gt;1),"GSTIN repeated in this sheet; ","")&amp;IF(AND(AS859&lt;&gt;"",COUNTIF($AS$6:$AS$1005,AS859)&gt;1),"PAN repeated in this sheet (same client? put extra GSTINs in Other GSTINs); ","")&amp;IF(AND(BD859&gt;0,V859=""),"Financial year missing; ","")&amp;IF(AND(BD859=0,V859&lt;&gt;""),"Financial year given but no service is Yes; ","")&amp;IF(AND(W859="Yes",AZ859=""),"GST needs a GSTIN; ","")&amp;IF(AND(W859="Yes",X859=""),"GST return frequency missing; ","")&amp;IF(AND(Y859="Yes",TRIM(H859)=""),"TDS needs a TAN; ","")&amp;IF(AND(AA859="Yes",BC859&lt;&gt;"",BC859&lt;&gt;"company",BC859&lt;&gt;"llp"),"ROC is only for a company / LLP; ","")&amp;IF(AND(AA859="Yes",OR(BC859="company",BC859="llp"),TRIM(I859)=""),"ROC needs the CIN / LLPIN; ","")&amp;IF((TRIM(AF859)="")&lt;&gt;(TRIM(AG859)=""),"GST login needs both user ID and password; ","")&amp;IF((TRIM(AH859)="")&lt;&gt;(TRIM(AI859)=""),"Income-tax login needs both user ID and password; ","")&amp;IF((TRIM(AJ859)="")&lt;&gt;(TRIM(AK859)=""),"Income-tax login needs both user ID and password; ","")&amp;IF((TRIM(AL859)="")&lt;&gt;(TRIM(AM859)=""),"TRACES login needs both user ID and password; ","")&amp;IF((TRIM(AN859)="")&lt;&gt;(TRIM(AO859)=""),"MCA login needs both user ID and password; ","")&amp;IF((TRIM(AP859)="")&lt;&gt;(TRIM(AQ859)=""),"E-way bill login needs both user ID and password; ","")</f>
        <v/>
      </c>
    </row>
    <row r="860">
      <c r="A860" s="32" t="n"/>
      <c r="B860" s="33" t="n"/>
      <c r="C860" s="33" t="n"/>
      <c r="D860" s="33" t="n"/>
      <c r="E860" s="32" t="n"/>
      <c r="F860" s="32" t="n"/>
      <c r="G860" s="32" t="n"/>
      <c r="H860" s="32" t="n"/>
      <c r="I860" s="32" t="n"/>
      <c r="J860" s="34" t="n"/>
      <c r="K860" s="33" t="n"/>
      <c r="L860" s="32" t="n"/>
      <c r="M860" s="33" t="n"/>
      <c r="N860" s="33" t="n"/>
      <c r="O860" s="33" t="n"/>
      <c r="P860" s="32" t="n"/>
      <c r="Q860" s="33" t="n"/>
      <c r="R860" s="33" t="n"/>
      <c r="S860" s="33" t="n"/>
      <c r="T860" s="33" t="n"/>
      <c r="U860" s="32" t="n"/>
      <c r="V860" s="33" t="n"/>
      <c r="W860" s="33" t="n"/>
      <c r="X860" s="33" t="n"/>
      <c r="Y860" s="33" t="n"/>
      <c r="Z860" s="33" t="n"/>
      <c r="AA860" s="33" t="n"/>
      <c r="AB860" s="33" t="n"/>
      <c r="AC860" s="33" t="n"/>
      <c r="AD860" s="33" t="n"/>
      <c r="AE860" s="33" t="n"/>
      <c r="AF860" s="32" t="n"/>
      <c r="AG860" s="32" t="n"/>
      <c r="AH860" s="32" t="n"/>
      <c r="AI860" s="32" t="n"/>
      <c r="AJ860" s="32" t="n"/>
      <c r="AK860" s="32" t="n"/>
      <c r="AL860" s="32" t="n"/>
      <c r="AM860" s="32" t="n"/>
      <c r="AN860" s="32" t="n"/>
      <c r="AO860" s="32" t="n"/>
      <c r="AP860" s="32" t="n"/>
      <c r="AQ860" s="32" t="n"/>
      <c r="AR860" s="29">
        <f>IF(NOT(COUNTA(A860:AE860)&gt;0),"",IF(A860="","New client","Update"))</f>
        <v/>
      </c>
      <c r="AS860" s="29">
        <f>IF(BA860&lt;&gt;"",BA860,IF(LEN(AZ860)=15,MID(AZ860,3,10),""))</f>
        <v/>
      </c>
      <c r="AT860" s="29">
        <f>IF(BB860="","",BB860&amp;IF(D860="","  (guessed from PAN)",""))</f>
        <v/>
      </c>
      <c r="AU860" s="29">
        <f>IF(AZ860="","",IFERROR(INDEX(Lists!$L$2:$L$38,MATCH(LEFT(AZ860,2),Lists!$K$2:$K$38,0)),"Unknown code"))</f>
        <v/>
      </c>
      <c r="AV860" s="29">
        <f>IF(AZ860="","",IFERROR(IF(NOT(AND(LEN(AZ860)=15,ISNUMBER(MATCH(LEFT(AZ860,2),Lists!$K$2:$K$38,0)),SUMPRODUCT(--ISERROR(FIND(MID(MID(AZ860,3,10),{1,2,3,4,5,10},1),"ABCDEFGHIJKLMNOPQRSTUVWXYZ")))=0,SUMPRODUCT(--ISERROR(FIND(MID(MID(AZ860,3,10),{6,7,8,9},1),"0123456789")))=0,ISNUMBER(FIND(MID(AZ860,13,1),"123456789ABCDEFGHIJKLMNOPQRSTUVWXYZ")),MID(AZ860,14,1)="Z")),"Wrong format",IF(MID("0123456789ABCDEFGHIJKLMNOPQRSTUVWXYZ",MOD(36-MOD(SUMPRODUCT(INT((FIND(MID(AZ860,{1,2,3,4,5,6,7,8,9,10,11,12,13,14},1),"0123456789ABCDEFGHIJKLMNOPQRSTUVWXYZ")-1)*{1,2,1,2,1,2,1,2,1,2,1,2,1,2}/36)+MOD((FIND(MID(AZ860,{1,2,3,4,5,6,7,8,9,10,11,12,13,14},1),"0123456789ABCDEFGHIJKLMNOPQRSTUVWXYZ")-1)*{1,2,1,2,1,2,1,2,1,2,1,2,1,2},36)),36),36)+1,1)=MID(AZ860,15,1),"OK","Typo? check digit wrong")),"Wrong format"))</f>
        <v/>
      </c>
      <c r="AW860" s="29">
        <f>IF(BA860="","",IF(AND(LEN(BA860)=10,SUMPRODUCT(--ISERROR(FIND(MID(BA860,{1,2,3,4,5,10},1),"ABCDEFGHIJKLMNOPQRSTUVWXYZ")))=0,SUMPRODUCT(--ISERROR(FIND(MID(BA860,{6,7,8,9},1),"0123456789")))=0),"OK","Wrong format"))</f>
        <v/>
      </c>
      <c r="AX860" s="29">
        <f>IF(TRIM(H860)="","",IF(AND(LEN(UPPER(TRIM(H860)))=10,SUMPRODUCT(--ISERROR(FIND(MID(UPPER(TRIM(H860)),{1,2,3,4,10},1),"ABCDEFGHIJKLMNOPQRSTUVWXYZ")))=0,SUMPRODUCT(--ISERROR(FIND(MID(UPPER(TRIM(H860)),{5,6,7,8,9},1),"0123456789")))=0),"OK","Wrong format"))</f>
        <v/>
      </c>
      <c r="AY860" s="30">
        <f>IF(NOT(COUNTA(A860:AE860)&gt;0),"",IF(BE860&lt;&gt;"","✖ "&amp;LEFT(BE860,LEN(BE860)-2),IF(BD860&gt;0,"✔ Ready — client + "&amp;BD860&amp;" service(s)","✔ Ready — client only")))</f>
        <v/>
      </c>
      <c r="AZ860" s="31">
        <f>UPPER(SUBSTITUTE(TRIM(F860)," ",""))</f>
        <v/>
      </c>
      <c r="BA860" s="31">
        <f>UPPER(SUBSTITUTE(TRIM(E860)," ",""))</f>
        <v/>
      </c>
      <c r="BB860" s="31">
        <f>IF(D860&lt;&gt;"",D860,IFERROR(VLOOKUP(MID(AS860,4,1),Lists!$E$2:$F$8,2,FALSE),""))</f>
        <v/>
      </c>
      <c r="BC860" s="31">
        <f>IFERROR(VLOOKUP(BB860,Lists!$A$2:$C$12,3,FALSE),"")</f>
        <v/>
      </c>
      <c r="BD860" s="31">
        <f>COUNTIF(W860:AC860,"Yes")</f>
        <v/>
      </c>
      <c r="BE860" s="31">
        <f>IF(TRIM(B860)="","Legal name missing; ","")&amp;IF(AND(AV860&lt;&gt;"",AV860&lt;&gt;"OK"),"GSTIN: "&amp;AV860&amp;"; ","")&amp;IF(AND(AW860&lt;&gt;"",AW860&lt;&gt;"OK"),"PAN wrong format; ","")&amp;IF(AND(BA860&lt;&gt;"",LEN(AZ860)=15,MID(AZ860,3,10)&lt;&gt;BA860),"PAN does not match GSTIN; ","")&amp;IF(AND(AX860&lt;&gt;"",AX860&lt;&gt;"OK"),"TAN wrong format; ","")&amp;IF(AS860="","PAN missing; ","")&amp;IF(BB860="","Entity type missing; ","")&amp;IF(AND(AZ860&lt;&gt;"",COUNTIF($AZ$6:$AZ$1005,AZ860)&gt;1),"GSTIN repeated in this sheet; ","")&amp;IF(AND(AS860&lt;&gt;"",COUNTIF($AS$6:$AS$1005,AS860)&gt;1),"PAN repeated in this sheet (same client? put extra GSTINs in Other GSTINs); ","")&amp;IF(AND(BD860&gt;0,V860=""),"Financial year missing; ","")&amp;IF(AND(BD860=0,V860&lt;&gt;""),"Financial year given but no service is Yes; ","")&amp;IF(AND(W860="Yes",AZ860=""),"GST needs a GSTIN; ","")&amp;IF(AND(W860="Yes",X860=""),"GST return frequency missing; ","")&amp;IF(AND(Y860="Yes",TRIM(H860)=""),"TDS needs a TAN; ","")&amp;IF(AND(AA860="Yes",BC860&lt;&gt;"",BC860&lt;&gt;"company",BC860&lt;&gt;"llp"),"ROC is only for a company / LLP; ","")&amp;IF(AND(AA860="Yes",OR(BC860="company",BC860="llp"),TRIM(I860)=""),"ROC needs the CIN / LLPIN; ","")&amp;IF((TRIM(AF860)="")&lt;&gt;(TRIM(AG860)=""),"GST login needs both user ID and password; ","")&amp;IF((TRIM(AH860)="")&lt;&gt;(TRIM(AI860)=""),"Income-tax login needs both user ID and password; ","")&amp;IF((TRIM(AJ860)="")&lt;&gt;(TRIM(AK860)=""),"Income-tax login needs both user ID and password; ","")&amp;IF((TRIM(AL860)="")&lt;&gt;(TRIM(AM860)=""),"TRACES login needs both user ID and password; ","")&amp;IF((TRIM(AN860)="")&lt;&gt;(TRIM(AO860)=""),"MCA login needs both user ID and password; ","")&amp;IF((TRIM(AP860)="")&lt;&gt;(TRIM(AQ860)=""),"E-way bill login needs both user ID and password; ","")</f>
        <v/>
      </c>
    </row>
    <row r="861">
      <c r="A861" s="32" t="n"/>
      <c r="B861" s="33" t="n"/>
      <c r="C861" s="33" t="n"/>
      <c r="D861" s="33" t="n"/>
      <c r="E861" s="32" t="n"/>
      <c r="F861" s="32" t="n"/>
      <c r="G861" s="32" t="n"/>
      <c r="H861" s="32" t="n"/>
      <c r="I861" s="32" t="n"/>
      <c r="J861" s="34" t="n"/>
      <c r="K861" s="33" t="n"/>
      <c r="L861" s="32" t="n"/>
      <c r="M861" s="33" t="n"/>
      <c r="N861" s="33" t="n"/>
      <c r="O861" s="33" t="n"/>
      <c r="P861" s="32" t="n"/>
      <c r="Q861" s="33" t="n"/>
      <c r="R861" s="33" t="n"/>
      <c r="S861" s="33" t="n"/>
      <c r="T861" s="33" t="n"/>
      <c r="U861" s="32" t="n"/>
      <c r="V861" s="33" t="n"/>
      <c r="W861" s="33" t="n"/>
      <c r="X861" s="33" t="n"/>
      <c r="Y861" s="33" t="n"/>
      <c r="Z861" s="33" t="n"/>
      <c r="AA861" s="33" t="n"/>
      <c r="AB861" s="33" t="n"/>
      <c r="AC861" s="33" t="n"/>
      <c r="AD861" s="33" t="n"/>
      <c r="AE861" s="33" t="n"/>
      <c r="AF861" s="32" t="n"/>
      <c r="AG861" s="32" t="n"/>
      <c r="AH861" s="32" t="n"/>
      <c r="AI861" s="32" t="n"/>
      <c r="AJ861" s="32" t="n"/>
      <c r="AK861" s="32" t="n"/>
      <c r="AL861" s="32" t="n"/>
      <c r="AM861" s="32" t="n"/>
      <c r="AN861" s="32" t="n"/>
      <c r="AO861" s="32" t="n"/>
      <c r="AP861" s="32" t="n"/>
      <c r="AQ861" s="32" t="n"/>
      <c r="AR861" s="29">
        <f>IF(NOT(COUNTA(A861:AE861)&gt;0),"",IF(A861="","New client","Update"))</f>
        <v/>
      </c>
      <c r="AS861" s="29">
        <f>IF(BA861&lt;&gt;"",BA861,IF(LEN(AZ861)=15,MID(AZ861,3,10),""))</f>
        <v/>
      </c>
      <c r="AT861" s="29">
        <f>IF(BB861="","",BB861&amp;IF(D861="","  (guessed from PAN)",""))</f>
        <v/>
      </c>
      <c r="AU861" s="29">
        <f>IF(AZ861="","",IFERROR(INDEX(Lists!$L$2:$L$38,MATCH(LEFT(AZ861,2),Lists!$K$2:$K$38,0)),"Unknown code"))</f>
        <v/>
      </c>
      <c r="AV861" s="29">
        <f>IF(AZ861="","",IFERROR(IF(NOT(AND(LEN(AZ861)=15,ISNUMBER(MATCH(LEFT(AZ861,2),Lists!$K$2:$K$38,0)),SUMPRODUCT(--ISERROR(FIND(MID(MID(AZ861,3,10),{1,2,3,4,5,10},1),"ABCDEFGHIJKLMNOPQRSTUVWXYZ")))=0,SUMPRODUCT(--ISERROR(FIND(MID(MID(AZ861,3,10),{6,7,8,9},1),"0123456789")))=0,ISNUMBER(FIND(MID(AZ861,13,1),"123456789ABCDEFGHIJKLMNOPQRSTUVWXYZ")),MID(AZ861,14,1)="Z")),"Wrong format",IF(MID("0123456789ABCDEFGHIJKLMNOPQRSTUVWXYZ",MOD(36-MOD(SUMPRODUCT(INT((FIND(MID(AZ861,{1,2,3,4,5,6,7,8,9,10,11,12,13,14},1),"0123456789ABCDEFGHIJKLMNOPQRSTUVWXYZ")-1)*{1,2,1,2,1,2,1,2,1,2,1,2,1,2}/36)+MOD((FIND(MID(AZ861,{1,2,3,4,5,6,7,8,9,10,11,12,13,14},1),"0123456789ABCDEFGHIJKLMNOPQRSTUVWXYZ")-1)*{1,2,1,2,1,2,1,2,1,2,1,2,1,2},36)),36),36)+1,1)=MID(AZ861,15,1),"OK","Typo? check digit wrong")),"Wrong format"))</f>
        <v/>
      </c>
      <c r="AW861" s="29">
        <f>IF(BA861="","",IF(AND(LEN(BA861)=10,SUMPRODUCT(--ISERROR(FIND(MID(BA861,{1,2,3,4,5,10},1),"ABCDEFGHIJKLMNOPQRSTUVWXYZ")))=0,SUMPRODUCT(--ISERROR(FIND(MID(BA861,{6,7,8,9},1),"0123456789")))=0),"OK","Wrong format"))</f>
        <v/>
      </c>
      <c r="AX861" s="29">
        <f>IF(TRIM(H861)="","",IF(AND(LEN(UPPER(TRIM(H861)))=10,SUMPRODUCT(--ISERROR(FIND(MID(UPPER(TRIM(H861)),{1,2,3,4,10},1),"ABCDEFGHIJKLMNOPQRSTUVWXYZ")))=0,SUMPRODUCT(--ISERROR(FIND(MID(UPPER(TRIM(H861)),{5,6,7,8,9},1),"0123456789")))=0),"OK","Wrong format"))</f>
        <v/>
      </c>
      <c r="AY861" s="30">
        <f>IF(NOT(COUNTA(A861:AE861)&gt;0),"",IF(BE861&lt;&gt;"","✖ "&amp;LEFT(BE861,LEN(BE861)-2),IF(BD861&gt;0,"✔ Ready — client + "&amp;BD861&amp;" service(s)","✔ Ready — client only")))</f>
        <v/>
      </c>
      <c r="AZ861" s="31">
        <f>UPPER(SUBSTITUTE(TRIM(F861)," ",""))</f>
        <v/>
      </c>
      <c r="BA861" s="31">
        <f>UPPER(SUBSTITUTE(TRIM(E861)," ",""))</f>
        <v/>
      </c>
      <c r="BB861" s="31">
        <f>IF(D861&lt;&gt;"",D861,IFERROR(VLOOKUP(MID(AS861,4,1),Lists!$E$2:$F$8,2,FALSE),""))</f>
        <v/>
      </c>
      <c r="BC861" s="31">
        <f>IFERROR(VLOOKUP(BB861,Lists!$A$2:$C$12,3,FALSE),"")</f>
        <v/>
      </c>
      <c r="BD861" s="31">
        <f>COUNTIF(W861:AC861,"Yes")</f>
        <v/>
      </c>
      <c r="BE861" s="31">
        <f>IF(TRIM(B861)="","Legal name missing; ","")&amp;IF(AND(AV861&lt;&gt;"",AV861&lt;&gt;"OK"),"GSTIN: "&amp;AV861&amp;"; ","")&amp;IF(AND(AW861&lt;&gt;"",AW861&lt;&gt;"OK"),"PAN wrong format; ","")&amp;IF(AND(BA861&lt;&gt;"",LEN(AZ861)=15,MID(AZ861,3,10)&lt;&gt;BA861),"PAN does not match GSTIN; ","")&amp;IF(AND(AX861&lt;&gt;"",AX861&lt;&gt;"OK"),"TAN wrong format; ","")&amp;IF(AS861="","PAN missing; ","")&amp;IF(BB861="","Entity type missing; ","")&amp;IF(AND(AZ861&lt;&gt;"",COUNTIF($AZ$6:$AZ$1005,AZ861)&gt;1),"GSTIN repeated in this sheet; ","")&amp;IF(AND(AS861&lt;&gt;"",COUNTIF($AS$6:$AS$1005,AS861)&gt;1),"PAN repeated in this sheet (same client? put extra GSTINs in Other GSTINs); ","")&amp;IF(AND(BD861&gt;0,V861=""),"Financial year missing; ","")&amp;IF(AND(BD861=0,V861&lt;&gt;""),"Financial year given but no service is Yes; ","")&amp;IF(AND(W861="Yes",AZ861=""),"GST needs a GSTIN; ","")&amp;IF(AND(W861="Yes",X861=""),"GST return frequency missing; ","")&amp;IF(AND(Y861="Yes",TRIM(H861)=""),"TDS needs a TAN; ","")&amp;IF(AND(AA861="Yes",BC861&lt;&gt;"",BC861&lt;&gt;"company",BC861&lt;&gt;"llp"),"ROC is only for a company / LLP; ","")&amp;IF(AND(AA861="Yes",OR(BC861="company",BC861="llp"),TRIM(I861)=""),"ROC needs the CIN / LLPIN; ","")&amp;IF((TRIM(AF861)="")&lt;&gt;(TRIM(AG861)=""),"GST login needs both user ID and password; ","")&amp;IF((TRIM(AH861)="")&lt;&gt;(TRIM(AI861)=""),"Income-tax login needs both user ID and password; ","")&amp;IF((TRIM(AJ861)="")&lt;&gt;(TRIM(AK861)=""),"Income-tax login needs both user ID and password; ","")&amp;IF((TRIM(AL861)="")&lt;&gt;(TRIM(AM861)=""),"TRACES login needs both user ID and password; ","")&amp;IF((TRIM(AN861)="")&lt;&gt;(TRIM(AO861)=""),"MCA login needs both user ID and password; ","")&amp;IF((TRIM(AP861)="")&lt;&gt;(TRIM(AQ861)=""),"E-way bill login needs both user ID and password; ","")</f>
        <v/>
      </c>
    </row>
    <row r="862">
      <c r="A862" s="32" t="n"/>
      <c r="B862" s="33" t="n"/>
      <c r="C862" s="33" t="n"/>
      <c r="D862" s="33" t="n"/>
      <c r="E862" s="32" t="n"/>
      <c r="F862" s="32" t="n"/>
      <c r="G862" s="32" t="n"/>
      <c r="H862" s="32" t="n"/>
      <c r="I862" s="32" t="n"/>
      <c r="J862" s="34" t="n"/>
      <c r="K862" s="33" t="n"/>
      <c r="L862" s="32" t="n"/>
      <c r="M862" s="33" t="n"/>
      <c r="N862" s="33" t="n"/>
      <c r="O862" s="33" t="n"/>
      <c r="P862" s="32" t="n"/>
      <c r="Q862" s="33" t="n"/>
      <c r="R862" s="33" t="n"/>
      <c r="S862" s="33" t="n"/>
      <c r="T862" s="33" t="n"/>
      <c r="U862" s="32" t="n"/>
      <c r="V862" s="33" t="n"/>
      <c r="W862" s="33" t="n"/>
      <c r="X862" s="33" t="n"/>
      <c r="Y862" s="33" t="n"/>
      <c r="Z862" s="33" t="n"/>
      <c r="AA862" s="33" t="n"/>
      <c r="AB862" s="33" t="n"/>
      <c r="AC862" s="33" t="n"/>
      <c r="AD862" s="33" t="n"/>
      <c r="AE862" s="33" t="n"/>
      <c r="AF862" s="32" t="n"/>
      <c r="AG862" s="32" t="n"/>
      <c r="AH862" s="32" t="n"/>
      <c r="AI862" s="32" t="n"/>
      <c r="AJ862" s="32" t="n"/>
      <c r="AK862" s="32" t="n"/>
      <c r="AL862" s="32" t="n"/>
      <c r="AM862" s="32" t="n"/>
      <c r="AN862" s="32" t="n"/>
      <c r="AO862" s="32" t="n"/>
      <c r="AP862" s="32" t="n"/>
      <c r="AQ862" s="32" t="n"/>
      <c r="AR862" s="29">
        <f>IF(NOT(COUNTA(A862:AE862)&gt;0),"",IF(A862="","New client","Update"))</f>
        <v/>
      </c>
      <c r="AS862" s="29">
        <f>IF(BA862&lt;&gt;"",BA862,IF(LEN(AZ862)=15,MID(AZ862,3,10),""))</f>
        <v/>
      </c>
      <c r="AT862" s="29">
        <f>IF(BB862="","",BB862&amp;IF(D862="","  (guessed from PAN)",""))</f>
        <v/>
      </c>
      <c r="AU862" s="29">
        <f>IF(AZ862="","",IFERROR(INDEX(Lists!$L$2:$L$38,MATCH(LEFT(AZ862,2),Lists!$K$2:$K$38,0)),"Unknown code"))</f>
        <v/>
      </c>
      <c r="AV862" s="29">
        <f>IF(AZ862="","",IFERROR(IF(NOT(AND(LEN(AZ862)=15,ISNUMBER(MATCH(LEFT(AZ862,2),Lists!$K$2:$K$38,0)),SUMPRODUCT(--ISERROR(FIND(MID(MID(AZ862,3,10),{1,2,3,4,5,10},1),"ABCDEFGHIJKLMNOPQRSTUVWXYZ")))=0,SUMPRODUCT(--ISERROR(FIND(MID(MID(AZ862,3,10),{6,7,8,9},1),"0123456789")))=0,ISNUMBER(FIND(MID(AZ862,13,1),"123456789ABCDEFGHIJKLMNOPQRSTUVWXYZ")),MID(AZ862,14,1)="Z")),"Wrong format",IF(MID("0123456789ABCDEFGHIJKLMNOPQRSTUVWXYZ",MOD(36-MOD(SUMPRODUCT(INT((FIND(MID(AZ862,{1,2,3,4,5,6,7,8,9,10,11,12,13,14},1),"0123456789ABCDEFGHIJKLMNOPQRSTUVWXYZ")-1)*{1,2,1,2,1,2,1,2,1,2,1,2,1,2}/36)+MOD((FIND(MID(AZ862,{1,2,3,4,5,6,7,8,9,10,11,12,13,14},1),"0123456789ABCDEFGHIJKLMNOPQRSTUVWXYZ")-1)*{1,2,1,2,1,2,1,2,1,2,1,2,1,2},36)),36),36)+1,1)=MID(AZ862,15,1),"OK","Typo? check digit wrong")),"Wrong format"))</f>
        <v/>
      </c>
      <c r="AW862" s="29">
        <f>IF(BA862="","",IF(AND(LEN(BA862)=10,SUMPRODUCT(--ISERROR(FIND(MID(BA862,{1,2,3,4,5,10},1),"ABCDEFGHIJKLMNOPQRSTUVWXYZ")))=0,SUMPRODUCT(--ISERROR(FIND(MID(BA862,{6,7,8,9},1),"0123456789")))=0),"OK","Wrong format"))</f>
        <v/>
      </c>
      <c r="AX862" s="29">
        <f>IF(TRIM(H862)="","",IF(AND(LEN(UPPER(TRIM(H862)))=10,SUMPRODUCT(--ISERROR(FIND(MID(UPPER(TRIM(H862)),{1,2,3,4,10},1),"ABCDEFGHIJKLMNOPQRSTUVWXYZ")))=0,SUMPRODUCT(--ISERROR(FIND(MID(UPPER(TRIM(H862)),{5,6,7,8,9},1),"0123456789")))=0),"OK","Wrong format"))</f>
        <v/>
      </c>
      <c r="AY862" s="30">
        <f>IF(NOT(COUNTA(A862:AE862)&gt;0),"",IF(BE862&lt;&gt;"","✖ "&amp;LEFT(BE862,LEN(BE862)-2),IF(BD862&gt;0,"✔ Ready — client + "&amp;BD862&amp;" service(s)","✔ Ready — client only")))</f>
        <v/>
      </c>
      <c r="AZ862" s="31">
        <f>UPPER(SUBSTITUTE(TRIM(F862)," ",""))</f>
        <v/>
      </c>
      <c r="BA862" s="31">
        <f>UPPER(SUBSTITUTE(TRIM(E862)," ",""))</f>
        <v/>
      </c>
      <c r="BB862" s="31">
        <f>IF(D862&lt;&gt;"",D862,IFERROR(VLOOKUP(MID(AS862,4,1),Lists!$E$2:$F$8,2,FALSE),""))</f>
        <v/>
      </c>
      <c r="BC862" s="31">
        <f>IFERROR(VLOOKUP(BB862,Lists!$A$2:$C$12,3,FALSE),"")</f>
        <v/>
      </c>
      <c r="BD862" s="31">
        <f>COUNTIF(W862:AC862,"Yes")</f>
        <v/>
      </c>
      <c r="BE862" s="31">
        <f>IF(TRIM(B862)="","Legal name missing; ","")&amp;IF(AND(AV862&lt;&gt;"",AV862&lt;&gt;"OK"),"GSTIN: "&amp;AV862&amp;"; ","")&amp;IF(AND(AW862&lt;&gt;"",AW862&lt;&gt;"OK"),"PAN wrong format; ","")&amp;IF(AND(BA862&lt;&gt;"",LEN(AZ862)=15,MID(AZ862,3,10)&lt;&gt;BA862),"PAN does not match GSTIN; ","")&amp;IF(AND(AX862&lt;&gt;"",AX862&lt;&gt;"OK"),"TAN wrong format; ","")&amp;IF(AS862="","PAN missing; ","")&amp;IF(BB862="","Entity type missing; ","")&amp;IF(AND(AZ862&lt;&gt;"",COUNTIF($AZ$6:$AZ$1005,AZ862)&gt;1),"GSTIN repeated in this sheet; ","")&amp;IF(AND(AS862&lt;&gt;"",COUNTIF($AS$6:$AS$1005,AS862)&gt;1),"PAN repeated in this sheet (same client? put extra GSTINs in Other GSTINs); ","")&amp;IF(AND(BD862&gt;0,V862=""),"Financial year missing; ","")&amp;IF(AND(BD862=0,V862&lt;&gt;""),"Financial year given but no service is Yes; ","")&amp;IF(AND(W862="Yes",AZ862=""),"GST needs a GSTIN; ","")&amp;IF(AND(W862="Yes",X862=""),"GST return frequency missing; ","")&amp;IF(AND(Y862="Yes",TRIM(H862)=""),"TDS needs a TAN; ","")&amp;IF(AND(AA862="Yes",BC862&lt;&gt;"",BC862&lt;&gt;"company",BC862&lt;&gt;"llp"),"ROC is only for a company / LLP; ","")&amp;IF(AND(AA862="Yes",OR(BC862="company",BC862="llp"),TRIM(I862)=""),"ROC needs the CIN / LLPIN; ","")&amp;IF((TRIM(AF862)="")&lt;&gt;(TRIM(AG862)=""),"GST login needs both user ID and password; ","")&amp;IF((TRIM(AH862)="")&lt;&gt;(TRIM(AI862)=""),"Income-tax login needs both user ID and password; ","")&amp;IF((TRIM(AJ862)="")&lt;&gt;(TRIM(AK862)=""),"Income-tax login needs both user ID and password; ","")&amp;IF((TRIM(AL862)="")&lt;&gt;(TRIM(AM862)=""),"TRACES login needs both user ID and password; ","")&amp;IF((TRIM(AN862)="")&lt;&gt;(TRIM(AO862)=""),"MCA login needs both user ID and password; ","")&amp;IF((TRIM(AP862)="")&lt;&gt;(TRIM(AQ862)=""),"E-way bill login needs both user ID and password; ","")</f>
        <v/>
      </c>
    </row>
    <row r="863">
      <c r="A863" s="32" t="n"/>
      <c r="B863" s="33" t="n"/>
      <c r="C863" s="33" t="n"/>
      <c r="D863" s="33" t="n"/>
      <c r="E863" s="32" t="n"/>
      <c r="F863" s="32" t="n"/>
      <c r="G863" s="32" t="n"/>
      <c r="H863" s="32" t="n"/>
      <c r="I863" s="32" t="n"/>
      <c r="J863" s="34" t="n"/>
      <c r="K863" s="33" t="n"/>
      <c r="L863" s="32" t="n"/>
      <c r="M863" s="33" t="n"/>
      <c r="N863" s="33" t="n"/>
      <c r="O863" s="33" t="n"/>
      <c r="P863" s="32" t="n"/>
      <c r="Q863" s="33" t="n"/>
      <c r="R863" s="33" t="n"/>
      <c r="S863" s="33" t="n"/>
      <c r="T863" s="33" t="n"/>
      <c r="U863" s="32" t="n"/>
      <c r="V863" s="33" t="n"/>
      <c r="W863" s="33" t="n"/>
      <c r="X863" s="33" t="n"/>
      <c r="Y863" s="33" t="n"/>
      <c r="Z863" s="33" t="n"/>
      <c r="AA863" s="33" t="n"/>
      <c r="AB863" s="33" t="n"/>
      <c r="AC863" s="33" t="n"/>
      <c r="AD863" s="33" t="n"/>
      <c r="AE863" s="33" t="n"/>
      <c r="AF863" s="32" t="n"/>
      <c r="AG863" s="32" t="n"/>
      <c r="AH863" s="32" t="n"/>
      <c r="AI863" s="32" t="n"/>
      <c r="AJ863" s="32" t="n"/>
      <c r="AK863" s="32" t="n"/>
      <c r="AL863" s="32" t="n"/>
      <c r="AM863" s="32" t="n"/>
      <c r="AN863" s="32" t="n"/>
      <c r="AO863" s="32" t="n"/>
      <c r="AP863" s="32" t="n"/>
      <c r="AQ863" s="32" t="n"/>
      <c r="AR863" s="29">
        <f>IF(NOT(COUNTA(A863:AE863)&gt;0),"",IF(A863="","New client","Update"))</f>
        <v/>
      </c>
      <c r="AS863" s="29">
        <f>IF(BA863&lt;&gt;"",BA863,IF(LEN(AZ863)=15,MID(AZ863,3,10),""))</f>
        <v/>
      </c>
      <c r="AT863" s="29">
        <f>IF(BB863="","",BB863&amp;IF(D863="","  (guessed from PAN)",""))</f>
        <v/>
      </c>
      <c r="AU863" s="29">
        <f>IF(AZ863="","",IFERROR(INDEX(Lists!$L$2:$L$38,MATCH(LEFT(AZ863,2),Lists!$K$2:$K$38,0)),"Unknown code"))</f>
        <v/>
      </c>
      <c r="AV863" s="29">
        <f>IF(AZ863="","",IFERROR(IF(NOT(AND(LEN(AZ863)=15,ISNUMBER(MATCH(LEFT(AZ863,2),Lists!$K$2:$K$38,0)),SUMPRODUCT(--ISERROR(FIND(MID(MID(AZ863,3,10),{1,2,3,4,5,10},1),"ABCDEFGHIJKLMNOPQRSTUVWXYZ")))=0,SUMPRODUCT(--ISERROR(FIND(MID(MID(AZ863,3,10),{6,7,8,9},1),"0123456789")))=0,ISNUMBER(FIND(MID(AZ863,13,1),"123456789ABCDEFGHIJKLMNOPQRSTUVWXYZ")),MID(AZ863,14,1)="Z")),"Wrong format",IF(MID("0123456789ABCDEFGHIJKLMNOPQRSTUVWXYZ",MOD(36-MOD(SUMPRODUCT(INT((FIND(MID(AZ863,{1,2,3,4,5,6,7,8,9,10,11,12,13,14},1),"0123456789ABCDEFGHIJKLMNOPQRSTUVWXYZ")-1)*{1,2,1,2,1,2,1,2,1,2,1,2,1,2}/36)+MOD((FIND(MID(AZ863,{1,2,3,4,5,6,7,8,9,10,11,12,13,14},1),"0123456789ABCDEFGHIJKLMNOPQRSTUVWXYZ")-1)*{1,2,1,2,1,2,1,2,1,2,1,2,1,2},36)),36),36)+1,1)=MID(AZ863,15,1),"OK","Typo? check digit wrong")),"Wrong format"))</f>
        <v/>
      </c>
      <c r="AW863" s="29">
        <f>IF(BA863="","",IF(AND(LEN(BA863)=10,SUMPRODUCT(--ISERROR(FIND(MID(BA863,{1,2,3,4,5,10},1),"ABCDEFGHIJKLMNOPQRSTUVWXYZ")))=0,SUMPRODUCT(--ISERROR(FIND(MID(BA863,{6,7,8,9},1),"0123456789")))=0),"OK","Wrong format"))</f>
        <v/>
      </c>
      <c r="AX863" s="29">
        <f>IF(TRIM(H863)="","",IF(AND(LEN(UPPER(TRIM(H863)))=10,SUMPRODUCT(--ISERROR(FIND(MID(UPPER(TRIM(H863)),{1,2,3,4,10},1),"ABCDEFGHIJKLMNOPQRSTUVWXYZ")))=0,SUMPRODUCT(--ISERROR(FIND(MID(UPPER(TRIM(H863)),{5,6,7,8,9},1),"0123456789")))=0),"OK","Wrong format"))</f>
        <v/>
      </c>
      <c r="AY863" s="30">
        <f>IF(NOT(COUNTA(A863:AE863)&gt;0),"",IF(BE863&lt;&gt;"","✖ "&amp;LEFT(BE863,LEN(BE863)-2),IF(BD863&gt;0,"✔ Ready — client + "&amp;BD863&amp;" service(s)","✔ Ready — client only")))</f>
        <v/>
      </c>
      <c r="AZ863" s="31">
        <f>UPPER(SUBSTITUTE(TRIM(F863)," ",""))</f>
        <v/>
      </c>
      <c r="BA863" s="31">
        <f>UPPER(SUBSTITUTE(TRIM(E863)," ",""))</f>
        <v/>
      </c>
      <c r="BB863" s="31">
        <f>IF(D863&lt;&gt;"",D863,IFERROR(VLOOKUP(MID(AS863,4,1),Lists!$E$2:$F$8,2,FALSE),""))</f>
        <v/>
      </c>
      <c r="BC863" s="31">
        <f>IFERROR(VLOOKUP(BB863,Lists!$A$2:$C$12,3,FALSE),"")</f>
        <v/>
      </c>
      <c r="BD863" s="31">
        <f>COUNTIF(W863:AC863,"Yes")</f>
        <v/>
      </c>
      <c r="BE863" s="31">
        <f>IF(TRIM(B863)="","Legal name missing; ","")&amp;IF(AND(AV863&lt;&gt;"",AV863&lt;&gt;"OK"),"GSTIN: "&amp;AV863&amp;"; ","")&amp;IF(AND(AW863&lt;&gt;"",AW863&lt;&gt;"OK"),"PAN wrong format; ","")&amp;IF(AND(BA863&lt;&gt;"",LEN(AZ863)=15,MID(AZ863,3,10)&lt;&gt;BA863),"PAN does not match GSTIN; ","")&amp;IF(AND(AX863&lt;&gt;"",AX863&lt;&gt;"OK"),"TAN wrong format; ","")&amp;IF(AS863="","PAN missing; ","")&amp;IF(BB863="","Entity type missing; ","")&amp;IF(AND(AZ863&lt;&gt;"",COUNTIF($AZ$6:$AZ$1005,AZ863)&gt;1),"GSTIN repeated in this sheet; ","")&amp;IF(AND(AS863&lt;&gt;"",COUNTIF($AS$6:$AS$1005,AS863)&gt;1),"PAN repeated in this sheet (same client? put extra GSTINs in Other GSTINs); ","")&amp;IF(AND(BD863&gt;0,V863=""),"Financial year missing; ","")&amp;IF(AND(BD863=0,V863&lt;&gt;""),"Financial year given but no service is Yes; ","")&amp;IF(AND(W863="Yes",AZ863=""),"GST needs a GSTIN; ","")&amp;IF(AND(W863="Yes",X863=""),"GST return frequency missing; ","")&amp;IF(AND(Y863="Yes",TRIM(H863)=""),"TDS needs a TAN; ","")&amp;IF(AND(AA863="Yes",BC863&lt;&gt;"",BC863&lt;&gt;"company",BC863&lt;&gt;"llp"),"ROC is only for a company / LLP; ","")&amp;IF(AND(AA863="Yes",OR(BC863="company",BC863="llp"),TRIM(I863)=""),"ROC needs the CIN / LLPIN; ","")&amp;IF((TRIM(AF863)="")&lt;&gt;(TRIM(AG863)=""),"GST login needs both user ID and password; ","")&amp;IF((TRIM(AH863)="")&lt;&gt;(TRIM(AI863)=""),"Income-tax login needs both user ID and password; ","")&amp;IF((TRIM(AJ863)="")&lt;&gt;(TRIM(AK863)=""),"Income-tax login needs both user ID and password; ","")&amp;IF((TRIM(AL863)="")&lt;&gt;(TRIM(AM863)=""),"TRACES login needs both user ID and password; ","")&amp;IF((TRIM(AN863)="")&lt;&gt;(TRIM(AO863)=""),"MCA login needs both user ID and password; ","")&amp;IF((TRIM(AP863)="")&lt;&gt;(TRIM(AQ863)=""),"E-way bill login needs both user ID and password; ","")</f>
        <v/>
      </c>
    </row>
    <row r="864">
      <c r="A864" s="32" t="n"/>
      <c r="B864" s="33" t="n"/>
      <c r="C864" s="33" t="n"/>
      <c r="D864" s="33" t="n"/>
      <c r="E864" s="32" t="n"/>
      <c r="F864" s="32" t="n"/>
      <c r="G864" s="32" t="n"/>
      <c r="H864" s="32" t="n"/>
      <c r="I864" s="32" t="n"/>
      <c r="J864" s="34" t="n"/>
      <c r="K864" s="33" t="n"/>
      <c r="L864" s="32" t="n"/>
      <c r="M864" s="33" t="n"/>
      <c r="N864" s="33" t="n"/>
      <c r="O864" s="33" t="n"/>
      <c r="P864" s="32" t="n"/>
      <c r="Q864" s="33" t="n"/>
      <c r="R864" s="33" t="n"/>
      <c r="S864" s="33" t="n"/>
      <c r="T864" s="33" t="n"/>
      <c r="U864" s="32" t="n"/>
      <c r="V864" s="33" t="n"/>
      <c r="W864" s="33" t="n"/>
      <c r="X864" s="33" t="n"/>
      <c r="Y864" s="33" t="n"/>
      <c r="Z864" s="33" t="n"/>
      <c r="AA864" s="33" t="n"/>
      <c r="AB864" s="33" t="n"/>
      <c r="AC864" s="33" t="n"/>
      <c r="AD864" s="33" t="n"/>
      <c r="AE864" s="33" t="n"/>
      <c r="AF864" s="32" t="n"/>
      <c r="AG864" s="32" t="n"/>
      <c r="AH864" s="32" t="n"/>
      <c r="AI864" s="32" t="n"/>
      <c r="AJ864" s="32" t="n"/>
      <c r="AK864" s="32" t="n"/>
      <c r="AL864" s="32" t="n"/>
      <c r="AM864" s="32" t="n"/>
      <c r="AN864" s="32" t="n"/>
      <c r="AO864" s="32" t="n"/>
      <c r="AP864" s="32" t="n"/>
      <c r="AQ864" s="32" t="n"/>
      <c r="AR864" s="29">
        <f>IF(NOT(COUNTA(A864:AE864)&gt;0),"",IF(A864="","New client","Update"))</f>
        <v/>
      </c>
      <c r="AS864" s="29">
        <f>IF(BA864&lt;&gt;"",BA864,IF(LEN(AZ864)=15,MID(AZ864,3,10),""))</f>
        <v/>
      </c>
      <c r="AT864" s="29">
        <f>IF(BB864="","",BB864&amp;IF(D864="","  (guessed from PAN)",""))</f>
        <v/>
      </c>
      <c r="AU864" s="29">
        <f>IF(AZ864="","",IFERROR(INDEX(Lists!$L$2:$L$38,MATCH(LEFT(AZ864,2),Lists!$K$2:$K$38,0)),"Unknown code"))</f>
        <v/>
      </c>
      <c r="AV864" s="29">
        <f>IF(AZ864="","",IFERROR(IF(NOT(AND(LEN(AZ864)=15,ISNUMBER(MATCH(LEFT(AZ864,2),Lists!$K$2:$K$38,0)),SUMPRODUCT(--ISERROR(FIND(MID(MID(AZ864,3,10),{1,2,3,4,5,10},1),"ABCDEFGHIJKLMNOPQRSTUVWXYZ")))=0,SUMPRODUCT(--ISERROR(FIND(MID(MID(AZ864,3,10),{6,7,8,9},1),"0123456789")))=0,ISNUMBER(FIND(MID(AZ864,13,1),"123456789ABCDEFGHIJKLMNOPQRSTUVWXYZ")),MID(AZ864,14,1)="Z")),"Wrong format",IF(MID("0123456789ABCDEFGHIJKLMNOPQRSTUVWXYZ",MOD(36-MOD(SUMPRODUCT(INT((FIND(MID(AZ864,{1,2,3,4,5,6,7,8,9,10,11,12,13,14},1),"0123456789ABCDEFGHIJKLMNOPQRSTUVWXYZ")-1)*{1,2,1,2,1,2,1,2,1,2,1,2,1,2}/36)+MOD((FIND(MID(AZ864,{1,2,3,4,5,6,7,8,9,10,11,12,13,14},1),"0123456789ABCDEFGHIJKLMNOPQRSTUVWXYZ")-1)*{1,2,1,2,1,2,1,2,1,2,1,2,1,2},36)),36),36)+1,1)=MID(AZ864,15,1),"OK","Typo? check digit wrong")),"Wrong format"))</f>
        <v/>
      </c>
      <c r="AW864" s="29">
        <f>IF(BA864="","",IF(AND(LEN(BA864)=10,SUMPRODUCT(--ISERROR(FIND(MID(BA864,{1,2,3,4,5,10},1),"ABCDEFGHIJKLMNOPQRSTUVWXYZ")))=0,SUMPRODUCT(--ISERROR(FIND(MID(BA864,{6,7,8,9},1),"0123456789")))=0),"OK","Wrong format"))</f>
        <v/>
      </c>
      <c r="AX864" s="29">
        <f>IF(TRIM(H864)="","",IF(AND(LEN(UPPER(TRIM(H864)))=10,SUMPRODUCT(--ISERROR(FIND(MID(UPPER(TRIM(H864)),{1,2,3,4,10},1),"ABCDEFGHIJKLMNOPQRSTUVWXYZ")))=0,SUMPRODUCT(--ISERROR(FIND(MID(UPPER(TRIM(H864)),{5,6,7,8,9},1),"0123456789")))=0),"OK","Wrong format"))</f>
        <v/>
      </c>
      <c r="AY864" s="30">
        <f>IF(NOT(COUNTA(A864:AE864)&gt;0),"",IF(BE864&lt;&gt;"","✖ "&amp;LEFT(BE864,LEN(BE864)-2),IF(BD864&gt;0,"✔ Ready — client + "&amp;BD864&amp;" service(s)","✔ Ready — client only")))</f>
        <v/>
      </c>
      <c r="AZ864" s="31">
        <f>UPPER(SUBSTITUTE(TRIM(F864)," ",""))</f>
        <v/>
      </c>
      <c r="BA864" s="31">
        <f>UPPER(SUBSTITUTE(TRIM(E864)," ",""))</f>
        <v/>
      </c>
      <c r="BB864" s="31">
        <f>IF(D864&lt;&gt;"",D864,IFERROR(VLOOKUP(MID(AS864,4,1),Lists!$E$2:$F$8,2,FALSE),""))</f>
        <v/>
      </c>
      <c r="BC864" s="31">
        <f>IFERROR(VLOOKUP(BB864,Lists!$A$2:$C$12,3,FALSE),"")</f>
        <v/>
      </c>
      <c r="BD864" s="31">
        <f>COUNTIF(W864:AC864,"Yes")</f>
        <v/>
      </c>
      <c r="BE864" s="31">
        <f>IF(TRIM(B864)="","Legal name missing; ","")&amp;IF(AND(AV864&lt;&gt;"",AV864&lt;&gt;"OK"),"GSTIN: "&amp;AV864&amp;"; ","")&amp;IF(AND(AW864&lt;&gt;"",AW864&lt;&gt;"OK"),"PAN wrong format; ","")&amp;IF(AND(BA864&lt;&gt;"",LEN(AZ864)=15,MID(AZ864,3,10)&lt;&gt;BA864),"PAN does not match GSTIN; ","")&amp;IF(AND(AX864&lt;&gt;"",AX864&lt;&gt;"OK"),"TAN wrong format; ","")&amp;IF(AS864="","PAN missing; ","")&amp;IF(BB864="","Entity type missing; ","")&amp;IF(AND(AZ864&lt;&gt;"",COUNTIF($AZ$6:$AZ$1005,AZ864)&gt;1),"GSTIN repeated in this sheet; ","")&amp;IF(AND(AS864&lt;&gt;"",COUNTIF($AS$6:$AS$1005,AS864)&gt;1),"PAN repeated in this sheet (same client? put extra GSTINs in Other GSTINs); ","")&amp;IF(AND(BD864&gt;0,V864=""),"Financial year missing; ","")&amp;IF(AND(BD864=0,V864&lt;&gt;""),"Financial year given but no service is Yes; ","")&amp;IF(AND(W864="Yes",AZ864=""),"GST needs a GSTIN; ","")&amp;IF(AND(W864="Yes",X864=""),"GST return frequency missing; ","")&amp;IF(AND(Y864="Yes",TRIM(H864)=""),"TDS needs a TAN; ","")&amp;IF(AND(AA864="Yes",BC864&lt;&gt;"",BC864&lt;&gt;"company",BC864&lt;&gt;"llp"),"ROC is only for a company / LLP; ","")&amp;IF(AND(AA864="Yes",OR(BC864="company",BC864="llp"),TRIM(I864)=""),"ROC needs the CIN / LLPIN; ","")&amp;IF((TRIM(AF864)="")&lt;&gt;(TRIM(AG864)=""),"GST login needs both user ID and password; ","")&amp;IF((TRIM(AH864)="")&lt;&gt;(TRIM(AI864)=""),"Income-tax login needs both user ID and password; ","")&amp;IF((TRIM(AJ864)="")&lt;&gt;(TRIM(AK864)=""),"Income-tax login needs both user ID and password; ","")&amp;IF((TRIM(AL864)="")&lt;&gt;(TRIM(AM864)=""),"TRACES login needs both user ID and password; ","")&amp;IF((TRIM(AN864)="")&lt;&gt;(TRIM(AO864)=""),"MCA login needs both user ID and password; ","")&amp;IF((TRIM(AP864)="")&lt;&gt;(TRIM(AQ864)=""),"E-way bill login needs both user ID and password; ","")</f>
        <v/>
      </c>
    </row>
    <row r="865">
      <c r="A865" s="32" t="n"/>
      <c r="B865" s="33" t="n"/>
      <c r="C865" s="33" t="n"/>
      <c r="D865" s="33" t="n"/>
      <c r="E865" s="32" t="n"/>
      <c r="F865" s="32" t="n"/>
      <c r="G865" s="32" t="n"/>
      <c r="H865" s="32" t="n"/>
      <c r="I865" s="32" t="n"/>
      <c r="J865" s="34" t="n"/>
      <c r="K865" s="33" t="n"/>
      <c r="L865" s="32" t="n"/>
      <c r="M865" s="33" t="n"/>
      <c r="N865" s="33" t="n"/>
      <c r="O865" s="33" t="n"/>
      <c r="P865" s="32" t="n"/>
      <c r="Q865" s="33" t="n"/>
      <c r="R865" s="33" t="n"/>
      <c r="S865" s="33" t="n"/>
      <c r="T865" s="33" t="n"/>
      <c r="U865" s="32" t="n"/>
      <c r="V865" s="33" t="n"/>
      <c r="W865" s="33" t="n"/>
      <c r="X865" s="33" t="n"/>
      <c r="Y865" s="33" t="n"/>
      <c r="Z865" s="33" t="n"/>
      <c r="AA865" s="33" t="n"/>
      <c r="AB865" s="33" t="n"/>
      <c r="AC865" s="33" t="n"/>
      <c r="AD865" s="33" t="n"/>
      <c r="AE865" s="33" t="n"/>
      <c r="AF865" s="32" t="n"/>
      <c r="AG865" s="32" t="n"/>
      <c r="AH865" s="32" t="n"/>
      <c r="AI865" s="32" t="n"/>
      <c r="AJ865" s="32" t="n"/>
      <c r="AK865" s="32" t="n"/>
      <c r="AL865" s="32" t="n"/>
      <c r="AM865" s="32" t="n"/>
      <c r="AN865" s="32" t="n"/>
      <c r="AO865" s="32" t="n"/>
      <c r="AP865" s="32" t="n"/>
      <c r="AQ865" s="32" t="n"/>
      <c r="AR865" s="29">
        <f>IF(NOT(COUNTA(A865:AE865)&gt;0),"",IF(A865="","New client","Update"))</f>
        <v/>
      </c>
      <c r="AS865" s="29">
        <f>IF(BA865&lt;&gt;"",BA865,IF(LEN(AZ865)=15,MID(AZ865,3,10),""))</f>
        <v/>
      </c>
      <c r="AT865" s="29">
        <f>IF(BB865="","",BB865&amp;IF(D865="","  (guessed from PAN)",""))</f>
        <v/>
      </c>
      <c r="AU865" s="29">
        <f>IF(AZ865="","",IFERROR(INDEX(Lists!$L$2:$L$38,MATCH(LEFT(AZ865,2),Lists!$K$2:$K$38,0)),"Unknown code"))</f>
        <v/>
      </c>
      <c r="AV865" s="29">
        <f>IF(AZ865="","",IFERROR(IF(NOT(AND(LEN(AZ865)=15,ISNUMBER(MATCH(LEFT(AZ865,2),Lists!$K$2:$K$38,0)),SUMPRODUCT(--ISERROR(FIND(MID(MID(AZ865,3,10),{1,2,3,4,5,10},1),"ABCDEFGHIJKLMNOPQRSTUVWXYZ")))=0,SUMPRODUCT(--ISERROR(FIND(MID(MID(AZ865,3,10),{6,7,8,9},1),"0123456789")))=0,ISNUMBER(FIND(MID(AZ865,13,1),"123456789ABCDEFGHIJKLMNOPQRSTUVWXYZ")),MID(AZ865,14,1)="Z")),"Wrong format",IF(MID("0123456789ABCDEFGHIJKLMNOPQRSTUVWXYZ",MOD(36-MOD(SUMPRODUCT(INT((FIND(MID(AZ865,{1,2,3,4,5,6,7,8,9,10,11,12,13,14},1),"0123456789ABCDEFGHIJKLMNOPQRSTUVWXYZ")-1)*{1,2,1,2,1,2,1,2,1,2,1,2,1,2}/36)+MOD((FIND(MID(AZ865,{1,2,3,4,5,6,7,8,9,10,11,12,13,14},1),"0123456789ABCDEFGHIJKLMNOPQRSTUVWXYZ")-1)*{1,2,1,2,1,2,1,2,1,2,1,2,1,2},36)),36),36)+1,1)=MID(AZ865,15,1),"OK","Typo? check digit wrong")),"Wrong format"))</f>
        <v/>
      </c>
      <c r="AW865" s="29">
        <f>IF(BA865="","",IF(AND(LEN(BA865)=10,SUMPRODUCT(--ISERROR(FIND(MID(BA865,{1,2,3,4,5,10},1),"ABCDEFGHIJKLMNOPQRSTUVWXYZ")))=0,SUMPRODUCT(--ISERROR(FIND(MID(BA865,{6,7,8,9},1),"0123456789")))=0),"OK","Wrong format"))</f>
        <v/>
      </c>
      <c r="AX865" s="29">
        <f>IF(TRIM(H865)="","",IF(AND(LEN(UPPER(TRIM(H865)))=10,SUMPRODUCT(--ISERROR(FIND(MID(UPPER(TRIM(H865)),{1,2,3,4,10},1),"ABCDEFGHIJKLMNOPQRSTUVWXYZ")))=0,SUMPRODUCT(--ISERROR(FIND(MID(UPPER(TRIM(H865)),{5,6,7,8,9},1),"0123456789")))=0),"OK","Wrong format"))</f>
        <v/>
      </c>
      <c r="AY865" s="30">
        <f>IF(NOT(COUNTA(A865:AE865)&gt;0),"",IF(BE865&lt;&gt;"","✖ "&amp;LEFT(BE865,LEN(BE865)-2),IF(BD865&gt;0,"✔ Ready — client + "&amp;BD865&amp;" service(s)","✔ Ready — client only")))</f>
        <v/>
      </c>
      <c r="AZ865" s="31">
        <f>UPPER(SUBSTITUTE(TRIM(F865)," ",""))</f>
        <v/>
      </c>
      <c r="BA865" s="31">
        <f>UPPER(SUBSTITUTE(TRIM(E865)," ",""))</f>
        <v/>
      </c>
      <c r="BB865" s="31">
        <f>IF(D865&lt;&gt;"",D865,IFERROR(VLOOKUP(MID(AS865,4,1),Lists!$E$2:$F$8,2,FALSE),""))</f>
        <v/>
      </c>
      <c r="BC865" s="31">
        <f>IFERROR(VLOOKUP(BB865,Lists!$A$2:$C$12,3,FALSE),"")</f>
        <v/>
      </c>
      <c r="BD865" s="31">
        <f>COUNTIF(W865:AC865,"Yes")</f>
        <v/>
      </c>
      <c r="BE865" s="31">
        <f>IF(TRIM(B865)="","Legal name missing; ","")&amp;IF(AND(AV865&lt;&gt;"",AV865&lt;&gt;"OK"),"GSTIN: "&amp;AV865&amp;"; ","")&amp;IF(AND(AW865&lt;&gt;"",AW865&lt;&gt;"OK"),"PAN wrong format; ","")&amp;IF(AND(BA865&lt;&gt;"",LEN(AZ865)=15,MID(AZ865,3,10)&lt;&gt;BA865),"PAN does not match GSTIN; ","")&amp;IF(AND(AX865&lt;&gt;"",AX865&lt;&gt;"OK"),"TAN wrong format; ","")&amp;IF(AS865="","PAN missing; ","")&amp;IF(BB865="","Entity type missing; ","")&amp;IF(AND(AZ865&lt;&gt;"",COUNTIF($AZ$6:$AZ$1005,AZ865)&gt;1),"GSTIN repeated in this sheet; ","")&amp;IF(AND(AS865&lt;&gt;"",COUNTIF($AS$6:$AS$1005,AS865)&gt;1),"PAN repeated in this sheet (same client? put extra GSTINs in Other GSTINs); ","")&amp;IF(AND(BD865&gt;0,V865=""),"Financial year missing; ","")&amp;IF(AND(BD865=0,V865&lt;&gt;""),"Financial year given but no service is Yes; ","")&amp;IF(AND(W865="Yes",AZ865=""),"GST needs a GSTIN; ","")&amp;IF(AND(W865="Yes",X865=""),"GST return frequency missing; ","")&amp;IF(AND(Y865="Yes",TRIM(H865)=""),"TDS needs a TAN; ","")&amp;IF(AND(AA865="Yes",BC865&lt;&gt;"",BC865&lt;&gt;"company",BC865&lt;&gt;"llp"),"ROC is only for a company / LLP; ","")&amp;IF(AND(AA865="Yes",OR(BC865="company",BC865="llp"),TRIM(I865)=""),"ROC needs the CIN / LLPIN; ","")&amp;IF((TRIM(AF865)="")&lt;&gt;(TRIM(AG865)=""),"GST login needs both user ID and password; ","")&amp;IF((TRIM(AH865)="")&lt;&gt;(TRIM(AI865)=""),"Income-tax login needs both user ID and password; ","")&amp;IF((TRIM(AJ865)="")&lt;&gt;(TRIM(AK865)=""),"Income-tax login needs both user ID and password; ","")&amp;IF((TRIM(AL865)="")&lt;&gt;(TRIM(AM865)=""),"TRACES login needs both user ID and password; ","")&amp;IF((TRIM(AN865)="")&lt;&gt;(TRIM(AO865)=""),"MCA login needs both user ID and password; ","")&amp;IF((TRIM(AP865)="")&lt;&gt;(TRIM(AQ865)=""),"E-way bill login needs both user ID and password; ","")</f>
        <v/>
      </c>
    </row>
    <row r="866">
      <c r="A866" s="32" t="n"/>
      <c r="B866" s="33" t="n"/>
      <c r="C866" s="33" t="n"/>
      <c r="D866" s="33" t="n"/>
      <c r="E866" s="32" t="n"/>
      <c r="F866" s="32" t="n"/>
      <c r="G866" s="32" t="n"/>
      <c r="H866" s="32" t="n"/>
      <c r="I866" s="32" t="n"/>
      <c r="J866" s="34" t="n"/>
      <c r="K866" s="33" t="n"/>
      <c r="L866" s="32" t="n"/>
      <c r="M866" s="33" t="n"/>
      <c r="N866" s="33" t="n"/>
      <c r="O866" s="33" t="n"/>
      <c r="P866" s="32" t="n"/>
      <c r="Q866" s="33" t="n"/>
      <c r="R866" s="33" t="n"/>
      <c r="S866" s="33" t="n"/>
      <c r="T866" s="33" t="n"/>
      <c r="U866" s="32" t="n"/>
      <c r="V866" s="33" t="n"/>
      <c r="W866" s="33" t="n"/>
      <c r="X866" s="33" t="n"/>
      <c r="Y866" s="33" t="n"/>
      <c r="Z866" s="33" t="n"/>
      <c r="AA866" s="33" t="n"/>
      <c r="AB866" s="33" t="n"/>
      <c r="AC866" s="33" t="n"/>
      <c r="AD866" s="33" t="n"/>
      <c r="AE866" s="33" t="n"/>
      <c r="AF866" s="32" t="n"/>
      <c r="AG866" s="32" t="n"/>
      <c r="AH866" s="32" t="n"/>
      <c r="AI866" s="32" t="n"/>
      <c r="AJ866" s="32" t="n"/>
      <c r="AK866" s="32" t="n"/>
      <c r="AL866" s="32" t="n"/>
      <c r="AM866" s="32" t="n"/>
      <c r="AN866" s="32" t="n"/>
      <c r="AO866" s="32" t="n"/>
      <c r="AP866" s="32" t="n"/>
      <c r="AQ866" s="32" t="n"/>
      <c r="AR866" s="29">
        <f>IF(NOT(COUNTA(A866:AE866)&gt;0),"",IF(A866="","New client","Update"))</f>
        <v/>
      </c>
      <c r="AS866" s="29">
        <f>IF(BA866&lt;&gt;"",BA866,IF(LEN(AZ866)=15,MID(AZ866,3,10),""))</f>
        <v/>
      </c>
      <c r="AT866" s="29">
        <f>IF(BB866="","",BB866&amp;IF(D866="","  (guessed from PAN)",""))</f>
        <v/>
      </c>
      <c r="AU866" s="29">
        <f>IF(AZ866="","",IFERROR(INDEX(Lists!$L$2:$L$38,MATCH(LEFT(AZ866,2),Lists!$K$2:$K$38,0)),"Unknown code"))</f>
        <v/>
      </c>
      <c r="AV866" s="29">
        <f>IF(AZ866="","",IFERROR(IF(NOT(AND(LEN(AZ866)=15,ISNUMBER(MATCH(LEFT(AZ866,2),Lists!$K$2:$K$38,0)),SUMPRODUCT(--ISERROR(FIND(MID(MID(AZ866,3,10),{1,2,3,4,5,10},1),"ABCDEFGHIJKLMNOPQRSTUVWXYZ")))=0,SUMPRODUCT(--ISERROR(FIND(MID(MID(AZ866,3,10),{6,7,8,9},1),"0123456789")))=0,ISNUMBER(FIND(MID(AZ866,13,1),"123456789ABCDEFGHIJKLMNOPQRSTUVWXYZ")),MID(AZ866,14,1)="Z")),"Wrong format",IF(MID("0123456789ABCDEFGHIJKLMNOPQRSTUVWXYZ",MOD(36-MOD(SUMPRODUCT(INT((FIND(MID(AZ866,{1,2,3,4,5,6,7,8,9,10,11,12,13,14},1),"0123456789ABCDEFGHIJKLMNOPQRSTUVWXYZ")-1)*{1,2,1,2,1,2,1,2,1,2,1,2,1,2}/36)+MOD((FIND(MID(AZ866,{1,2,3,4,5,6,7,8,9,10,11,12,13,14},1),"0123456789ABCDEFGHIJKLMNOPQRSTUVWXYZ")-1)*{1,2,1,2,1,2,1,2,1,2,1,2,1,2},36)),36),36)+1,1)=MID(AZ866,15,1),"OK","Typo? check digit wrong")),"Wrong format"))</f>
        <v/>
      </c>
      <c r="AW866" s="29">
        <f>IF(BA866="","",IF(AND(LEN(BA866)=10,SUMPRODUCT(--ISERROR(FIND(MID(BA866,{1,2,3,4,5,10},1),"ABCDEFGHIJKLMNOPQRSTUVWXYZ")))=0,SUMPRODUCT(--ISERROR(FIND(MID(BA866,{6,7,8,9},1),"0123456789")))=0),"OK","Wrong format"))</f>
        <v/>
      </c>
      <c r="AX866" s="29">
        <f>IF(TRIM(H866)="","",IF(AND(LEN(UPPER(TRIM(H866)))=10,SUMPRODUCT(--ISERROR(FIND(MID(UPPER(TRIM(H866)),{1,2,3,4,10},1),"ABCDEFGHIJKLMNOPQRSTUVWXYZ")))=0,SUMPRODUCT(--ISERROR(FIND(MID(UPPER(TRIM(H866)),{5,6,7,8,9},1),"0123456789")))=0),"OK","Wrong format"))</f>
        <v/>
      </c>
      <c r="AY866" s="30">
        <f>IF(NOT(COUNTA(A866:AE866)&gt;0),"",IF(BE866&lt;&gt;"","✖ "&amp;LEFT(BE866,LEN(BE866)-2),IF(BD866&gt;0,"✔ Ready — client + "&amp;BD866&amp;" service(s)","✔ Ready — client only")))</f>
        <v/>
      </c>
      <c r="AZ866" s="31">
        <f>UPPER(SUBSTITUTE(TRIM(F866)," ",""))</f>
        <v/>
      </c>
      <c r="BA866" s="31">
        <f>UPPER(SUBSTITUTE(TRIM(E866)," ",""))</f>
        <v/>
      </c>
      <c r="BB866" s="31">
        <f>IF(D866&lt;&gt;"",D866,IFERROR(VLOOKUP(MID(AS866,4,1),Lists!$E$2:$F$8,2,FALSE),""))</f>
        <v/>
      </c>
      <c r="BC866" s="31">
        <f>IFERROR(VLOOKUP(BB866,Lists!$A$2:$C$12,3,FALSE),"")</f>
        <v/>
      </c>
      <c r="BD866" s="31">
        <f>COUNTIF(W866:AC866,"Yes")</f>
        <v/>
      </c>
      <c r="BE866" s="31">
        <f>IF(TRIM(B866)="","Legal name missing; ","")&amp;IF(AND(AV866&lt;&gt;"",AV866&lt;&gt;"OK"),"GSTIN: "&amp;AV866&amp;"; ","")&amp;IF(AND(AW866&lt;&gt;"",AW866&lt;&gt;"OK"),"PAN wrong format; ","")&amp;IF(AND(BA866&lt;&gt;"",LEN(AZ866)=15,MID(AZ866,3,10)&lt;&gt;BA866),"PAN does not match GSTIN; ","")&amp;IF(AND(AX866&lt;&gt;"",AX866&lt;&gt;"OK"),"TAN wrong format; ","")&amp;IF(AS866="","PAN missing; ","")&amp;IF(BB866="","Entity type missing; ","")&amp;IF(AND(AZ866&lt;&gt;"",COUNTIF($AZ$6:$AZ$1005,AZ866)&gt;1),"GSTIN repeated in this sheet; ","")&amp;IF(AND(AS866&lt;&gt;"",COUNTIF($AS$6:$AS$1005,AS866)&gt;1),"PAN repeated in this sheet (same client? put extra GSTINs in Other GSTINs); ","")&amp;IF(AND(BD866&gt;0,V866=""),"Financial year missing; ","")&amp;IF(AND(BD866=0,V866&lt;&gt;""),"Financial year given but no service is Yes; ","")&amp;IF(AND(W866="Yes",AZ866=""),"GST needs a GSTIN; ","")&amp;IF(AND(W866="Yes",X866=""),"GST return frequency missing; ","")&amp;IF(AND(Y866="Yes",TRIM(H866)=""),"TDS needs a TAN; ","")&amp;IF(AND(AA866="Yes",BC866&lt;&gt;"",BC866&lt;&gt;"company",BC866&lt;&gt;"llp"),"ROC is only for a company / LLP; ","")&amp;IF(AND(AA866="Yes",OR(BC866="company",BC866="llp"),TRIM(I866)=""),"ROC needs the CIN / LLPIN; ","")&amp;IF((TRIM(AF866)="")&lt;&gt;(TRIM(AG866)=""),"GST login needs both user ID and password; ","")&amp;IF((TRIM(AH866)="")&lt;&gt;(TRIM(AI866)=""),"Income-tax login needs both user ID and password; ","")&amp;IF((TRIM(AJ866)="")&lt;&gt;(TRIM(AK866)=""),"Income-tax login needs both user ID and password; ","")&amp;IF((TRIM(AL866)="")&lt;&gt;(TRIM(AM866)=""),"TRACES login needs both user ID and password; ","")&amp;IF((TRIM(AN866)="")&lt;&gt;(TRIM(AO866)=""),"MCA login needs both user ID and password; ","")&amp;IF((TRIM(AP866)="")&lt;&gt;(TRIM(AQ866)=""),"E-way bill login needs both user ID and password; ","")</f>
        <v/>
      </c>
    </row>
    <row r="867">
      <c r="A867" s="32" t="n"/>
      <c r="B867" s="33" t="n"/>
      <c r="C867" s="33" t="n"/>
      <c r="D867" s="33" t="n"/>
      <c r="E867" s="32" t="n"/>
      <c r="F867" s="32" t="n"/>
      <c r="G867" s="32" t="n"/>
      <c r="H867" s="32" t="n"/>
      <c r="I867" s="32" t="n"/>
      <c r="J867" s="34" t="n"/>
      <c r="K867" s="33" t="n"/>
      <c r="L867" s="32" t="n"/>
      <c r="M867" s="33" t="n"/>
      <c r="N867" s="33" t="n"/>
      <c r="O867" s="33" t="n"/>
      <c r="P867" s="32" t="n"/>
      <c r="Q867" s="33" t="n"/>
      <c r="R867" s="33" t="n"/>
      <c r="S867" s="33" t="n"/>
      <c r="T867" s="33" t="n"/>
      <c r="U867" s="32" t="n"/>
      <c r="V867" s="33" t="n"/>
      <c r="W867" s="33" t="n"/>
      <c r="X867" s="33" t="n"/>
      <c r="Y867" s="33" t="n"/>
      <c r="Z867" s="33" t="n"/>
      <c r="AA867" s="33" t="n"/>
      <c r="AB867" s="33" t="n"/>
      <c r="AC867" s="33" t="n"/>
      <c r="AD867" s="33" t="n"/>
      <c r="AE867" s="33" t="n"/>
      <c r="AF867" s="32" t="n"/>
      <c r="AG867" s="32" t="n"/>
      <c r="AH867" s="32" t="n"/>
      <c r="AI867" s="32" t="n"/>
      <c r="AJ867" s="32" t="n"/>
      <c r="AK867" s="32" t="n"/>
      <c r="AL867" s="32" t="n"/>
      <c r="AM867" s="32" t="n"/>
      <c r="AN867" s="32" t="n"/>
      <c r="AO867" s="32" t="n"/>
      <c r="AP867" s="32" t="n"/>
      <c r="AQ867" s="32" t="n"/>
      <c r="AR867" s="29">
        <f>IF(NOT(COUNTA(A867:AE867)&gt;0),"",IF(A867="","New client","Update"))</f>
        <v/>
      </c>
      <c r="AS867" s="29">
        <f>IF(BA867&lt;&gt;"",BA867,IF(LEN(AZ867)=15,MID(AZ867,3,10),""))</f>
        <v/>
      </c>
      <c r="AT867" s="29">
        <f>IF(BB867="","",BB867&amp;IF(D867="","  (guessed from PAN)",""))</f>
        <v/>
      </c>
      <c r="AU867" s="29">
        <f>IF(AZ867="","",IFERROR(INDEX(Lists!$L$2:$L$38,MATCH(LEFT(AZ867,2),Lists!$K$2:$K$38,0)),"Unknown code"))</f>
        <v/>
      </c>
      <c r="AV867" s="29">
        <f>IF(AZ867="","",IFERROR(IF(NOT(AND(LEN(AZ867)=15,ISNUMBER(MATCH(LEFT(AZ867,2),Lists!$K$2:$K$38,0)),SUMPRODUCT(--ISERROR(FIND(MID(MID(AZ867,3,10),{1,2,3,4,5,10},1),"ABCDEFGHIJKLMNOPQRSTUVWXYZ")))=0,SUMPRODUCT(--ISERROR(FIND(MID(MID(AZ867,3,10),{6,7,8,9},1),"0123456789")))=0,ISNUMBER(FIND(MID(AZ867,13,1),"123456789ABCDEFGHIJKLMNOPQRSTUVWXYZ")),MID(AZ867,14,1)="Z")),"Wrong format",IF(MID("0123456789ABCDEFGHIJKLMNOPQRSTUVWXYZ",MOD(36-MOD(SUMPRODUCT(INT((FIND(MID(AZ867,{1,2,3,4,5,6,7,8,9,10,11,12,13,14},1),"0123456789ABCDEFGHIJKLMNOPQRSTUVWXYZ")-1)*{1,2,1,2,1,2,1,2,1,2,1,2,1,2}/36)+MOD((FIND(MID(AZ867,{1,2,3,4,5,6,7,8,9,10,11,12,13,14},1),"0123456789ABCDEFGHIJKLMNOPQRSTUVWXYZ")-1)*{1,2,1,2,1,2,1,2,1,2,1,2,1,2},36)),36),36)+1,1)=MID(AZ867,15,1),"OK","Typo? check digit wrong")),"Wrong format"))</f>
        <v/>
      </c>
      <c r="AW867" s="29">
        <f>IF(BA867="","",IF(AND(LEN(BA867)=10,SUMPRODUCT(--ISERROR(FIND(MID(BA867,{1,2,3,4,5,10},1),"ABCDEFGHIJKLMNOPQRSTUVWXYZ")))=0,SUMPRODUCT(--ISERROR(FIND(MID(BA867,{6,7,8,9},1),"0123456789")))=0),"OK","Wrong format"))</f>
        <v/>
      </c>
      <c r="AX867" s="29">
        <f>IF(TRIM(H867)="","",IF(AND(LEN(UPPER(TRIM(H867)))=10,SUMPRODUCT(--ISERROR(FIND(MID(UPPER(TRIM(H867)),{1,2,3,4,10},1),"ABCDEFGHIJKLMNOPQRSTUVWXYZ")))=0,SUMPRODUCT(--ISERROR(FIND(MID(UPPER(TRIM(H867)),{5,6,7,8,9},1),"0123456789")))=0),"OK","Wrong format"))</f>
        <v/>
      </c>
      <c r="AY867" s="30">
        <f>IF(NOT(COUNTA(A867:AE867)&gt;0),"",IF(BE867&lt;&gt;"","✖ "&amp;LEFT(BE867,LEN(BE867)-2),IF(BD867&gt;0,"✔ Ready — client + "&amp;BD867&amp;" service(s)","✔ Ready — client only")))</f>
        <v/>
      </c>
      <c r="AZ867" s="31">
        <f>UPPER(SUBSTITUTE(TRIM(F867)," ",""))</f>
        <v/>
      </c>
      <c r="BA867" s="31">
        <f>UPPER(SUBSTITUTE(TRIM(E867)," ",""))</f>
        <v/>
      </c>
      <c r="BB867" s="31">
        <f>IF(D867&lt;&gt;"",D867,IFERROR(VLOOKUP(MID(AS867,4,1),Lists!$E$2:$F$8,2,FALSE),""))</f>
        <v/>
      </c>
      <c r="BC867" s="31">
        <f>IFERROR(VLOOKUP(BB867,Lists!$A$2:$C$12,3,FALSE),"")</f>
        <v/>
      </c>
      <c r="BD867" s="31">
        <f>COUNTIF(W867:AC867,"Yes")</f>
        <v/>
      </c>
      <c r="BE867" s="31">
        <f>IF(TRIM(B867)="","Legal name missing; ","")&amp;IF(AND(AV867&lt;&gt;"",AV867&lt;&gt;"OK"),"GSTIN: "&amp;AV867&amp;"; ","")&amp;IF(AND(AW867&lt;&gt;"",AW867&lt;&gt;"OK"),"PAN wrong format; ","")&amp;IF(AND(BA867&lt;&gt;"",LEN(AZ867)=15,MID(AZ867,3,10)&lt;&gt;BA867),"PAN does not match GSTIN; ","")&amp;IF(AND(AX867&lt;&gt;"",AX867&lt;&gt;"OK"),"TAN wrong format; ","")&amp;IF(AS867="","PAN missing; ","")&amp;IF(BB867="","Entity type missing; ","")&amp;IF(AND(AZ867&lt;&gt;"",COUNTIF($AZ$6:$AZ$1005,AZ867)&gt;1),"GSTIN repeated in this sheet; ","")&amp;IF(AND(AS867&lt;&gt;"",COUNTIF($AS$6:$AS$1005,AS867)&gt;1),"PAN repeated in this sheet (same client? put extra GSTINs in Other GSTINs); ","")&amp;IF(AND(BD867&gt;0,V867=""),"Financial year missing; ","")&amp;IF(AND(BD867=0,V867&lt;&gt;""),"Financial year given but no service is Yes; ","")&amp;IF(AND(W867="Yes",AZ867=""),"GST needs a GSTIN; ","")&amp;IF(AND(W867="Yes",X867=""),"GST return frequency missing; ","")&amp;IF(AND(Y867="Yes",TRIM(H867)=""),"TDS needs a TAN; ","")&amp;IF(AND(AA867="Yes",BC867&lt;&gt;"",BC867&lt;&gt;"company",BC867&lt;&gt;"llp"),"ROC is only for a company / LLP; ","")&amp;IF(AND(AA867="Yes",OR(BC867="company",BC867="llp"),TRIM(I867)=""),"ROC needs the CIN / LLPIN; ","")&amp;IF((TRIM(AF867)="")&lt;&gt;(TRIM(AG867)=""),"GST login needs both user ID and password; ","")&amp;IF((TRIM(AH867)="")&lt;&gt;(TRIM(AI867)=""),"Income-tax login needs both user ID and password; ","")&amp;IF((TRIM(AJ867)="")&lt;&gt;(TRIM(AK867)=""),"Income-tax login needs both user ID and password; ","")&amp;IF((TRIM(AL867)="")&lt;&gt;(TRIM(AM867)=""),"TRACES login needs both user ID and password; ","")&amp;IF((TRIM(AN867)="")&lt;&gt;(TRIM(AO867)=""),"MCA login needs both user ID and password; ","")&amp;IF((TRIM(AP867)="")&lt;&gt;(TRIM(AQ867)=""),"E-way bill login needs both user ID and password; ","")</f>
        <v/>
      </c>
    </row>
    <row r="868">
      <c r="A868" s="32" t="n"/>
      <c r="B868" s="33" t="n"/>
      <c r="C868" s="33" t="n"/>
      <c r="D868" s="33" t="n"/>
      <c r="E868" s="32" t="n"/>
      <c r="F868" s="32" t="n"/>
      <c r="G868" s="32" t="n"/>
      <c r="H868" s="32" t="n"/>
      <c r="I868" s="32" t="n"/>
      <c r="J868" s="34" t="n"/>
      <c r="K868" s="33" t="n"/>
      <c r="L868" s="32" t="n"/>
      <c r="M868" s="33" t="n"/>
      <c r="N868" s="33" t="n"/>
      <c r="O868" s="33" t="n"/>
      <c r="P868" s="32" t="n"/>
      <c r="Q868" s="33" t="n"/>
      <c r="R868" s="33" t="n"/>
      <c r="S868" s="33" t="n"/>
      <c r="T868" s="33" t="n"/>
      <c r="U868" s="32" t="n"/>
      <c r="V868" s="33" t="n"/>
      <c r="W868" s="33" t="n"/>
      <c r="X868" s="33" t="n"/>
      <c r="Y868" s="33" t="n"/>
      <c r="Z868" s="33" t="n"/>
      <c r="AA868" s="33" t="n"/>
      <c r="AB868" s="33" t="n"/>
      <c r="AC868" s="33" t="n"/>
      <c r="AD868" s="33" t="n"/>
      <c r="AE868" s="33" t="n"/>
      <c r="AF868" s="32" t="n"/>
      <c r="AG868" s="32" t="n"/>
      <c r="AH868" s="32" t="n"/>
      <c r="AI868" s="32" t="n"/>
      <c r="AJ868" s="32" t="n"/>
      <c r="AK868" s="32" t="n"/>
      <c r="AL868" s="32" t="n"/>
      <c r="AM868" s="32" t="n"/>
      <c r="AN868" s="32" t="n"/>
      <c r="AO868" s="32" t="n"/>
      <c r="AP868" s="32" t="n"/>
      <c r="AQ868" s="32" t="n"/>
      <c r="AR868" s="29">
        <f>IF(NOT(COUNTA(A868:AE868)&gt;0),"",IF(A868="","New client","Update"))</f>
        <v/>
      </c>
      <c r="AS868" s="29">
        <f>IF(BA868&lt;&gt;"",BA868,IF(LEN(AZ868)=15,MID(AZ868,3,10),""))</f>
        <v/>
      </c>
      <c r="AT868" s="29">
        <f>IF(BB868="","",BB868&amp;IF(D868="","  (guessed from PAN)",""))</f>
        <v/>
      </c>
      <c r="AU868" s="29">
        <f>IF(AZ868="","",IFERROR(INDEX(Lists!$L$2:$L$38,MATCH(LEFT(AZ868,2),Lists!$K$2:$K$38,0)),"Unknown code"))</f>
        <v/>
      </c>
      <c r="AV868" s="29">
        <f>IF(AZ868="","",IFERROR(IF(NOT(AND(LEN(AZ868)=15,ISNUMBER(MATCH(LEFT(AZ868,2),Lists!$K$2:$K$38,0)),SUMPRODUCT(--ISERROR(FIND(MID(MID(AZ868,3,10),{1,2,3,4,5,10},1),"ABCDEFGHIJKLMNOPQRSTUVWXYZ")))=0,SUMPRODUCT(--ISERROR(FIND(MID(MID(AZ868,3,10),{6,7,8,9},1),"0123456789")))=0,ISNUMBER(FIND(MID(AZ868,13,1),"123456789ABCDEFGHIJKLMNOPQRSTUVWXYZ")),MID(AZ868,14,1)="Z")),"Wrong format",IF(MID("0123456789ABCDEFGHIJKLMNOPQRSTUVWXYZ",MOD(36-MOD(SUMPRODUCT(INT((FIND(MID(AZ868,{1,2,3,4,5,6,7,8,9,10,11,12,13,14},1),"0123456789ABCDEFGHIJKLMNOPQRSTUVWXYZ")-1)*{1,2,1,2,1,2,1,2,1,2,1,2,1,2}/36)+MOD((FIND(MID(AZ868,{1,2,3,4,5,6,7,8,9,10,11,12,13,14},1),"0123456789ABCDEFGHIJKLMNOPQRSTUVWXYZ")-1)*{1,2,1,2,1,2,1,2,1,2,1,2,1,2},36)),36),36)+1,1)=MID(AZ868,15,1),"OK","Typo? check digit wrong")),"Wrong format"))</f>
        <v/>
      </c>
      <c r="AW868" s="29">
        <f>IF(BA868="","",IF(AND(LEN(BA868)=10,SUMPRODUCT(--ISERROR(FIND(MID(BA868,{1,2,3,4,5,10},1),"ABCDEFGHIJKLMNOPQRSTUVWXYZ")))=0,SUMPRODUCT(--ISERROR(FIND(MID(BA868,{6,7,8,9},1),"0123456789")))=0),"OK","Wrong format"))</f>
        <v/>
      </c>
      <c r="AX868" s="29">
        <f>IF(TRIM(H868)="","",IF(AND(LEN(UPPER(TRIM(H868)))=10,SUMPRODUCT(--ISERROR(FIND(MID(UPPER(TRIM(H868)),{1,2,3,4,10},1),"ABCDEFGHIJKLMNOPQRSTUVWXYZ")))=0,SUMPRODUCT(--ISERROR(FIND(MID(UPPER(TRIM(H868)),{5,6,7,8,9},1),"0123456789")))=0),"OK","Wrong format"))</f>
        <v/>
      </c>
      <c r="AY868" s="30">
        <f>IF(NOT(COUNTA(A868:AE868)&gt;0),"",IF(BE868&lt;&gt;"","✖ "&amp;LEFT(BE868,LEN(BE868)-2),IF(BD868&gt;0,"✔ Ready — client + "&amp;BD868&amp;" service(s)","✔ Ready — client only")))</f>
        <v/>
      </c>
      <c r="AZ868" s="31">
        <f>UPPER(SUBSTITUTE(TRIM(F868)," ",""))</f>
        <v/>
      </c>
      <c r="BA868" s="31">
        <f>UPPER(SUBSTITUTE(TRIM(E868)," ",""))</f>
        <v/>
      </c>
      <c r="BB868" s="31">
        <f>IF(D868&lt;&gt;"",D868,IFERROR(VLOOKUP(MID(AS868,4,1),Lists!$E$2:$F$8,2,FALSE),""))</f>
        <v/>
      </c>
      <c r="BC868" s="31">
        <f>IFERROR(VLOOKUP(BB868,Lists!$A$2:$C$12,3,FALSE),"")</f>
        <v/>
      </c>
      <c r="BD868" s="31">
        <f>COUNTIF(W868:AC868,"Yes")</f>
        <v/>
      </c>
      <c r="BE868" s="31">
        <f>IF(TRIM(B868)="","Legal name missing; ","")&amp;IF(AND(AV868&lt;&gt;"",AV868&lt;&gt;"OK"),"GSTIN: "&amp;AV868&amp;"; ","")&amp;IF(AND(AW868&lt;&gt;"",AW868&lt;&gt;"OK"),"PAN wrong format; ","")&amp;IF(AND(BA868&lt;&gt;"",LEN(AZ868)=15,MID(AZ868,3,10)&lt;&gt;BA868),"PAN does not match GSTIN; ","")&amp;IF(AND(AX868&lt;&gt;"",AX868&lt;&gt;"OK"),"TAN wrong format; ","")&amp;IF(AS868="","PAN missing; ","")&amp;IF(BB868="","Entity type missing; ","")&amp;IF(AND(AZ868&lt;&gt;"",COUNTIF($AZ$6:$AZ$1005,AZ868)&gt;1),"GSTIN repeated in this sheet; ","")&amp;IF(AND(AS868&lt;&gt;"",COUNTIF($AS$6:$AS$1005,AS868)&gt;1),"PAN repeated in this sheet (same client? put extra GSTINs in Other GSTINs); ","")&amp;IF(AND(BD868&gt;0,V868=""),"Financial year missing; ","")&amp;IF(AND(BD868=0,V868&lt;&gt;""),"Financial year given but no service is Yes; ","")&amp;IF(AND(W868="Yes",AZ868=""),"GST needs a GSTIN; ","")&amp;IF(AND(W868="Yes",X868=""),"GST return frequency missing; ","")&amp;IF(AND(Y868="Yes",TRIM(H868)=""),"TDS needs a TAN; ","")&amp;IF(AND(AA868="Yes",BC868&lt;&gt;"",BC868&lt;&gt;"company",BC868&lt;&gt;"llp"),"ROC is only for a company / LLP; ","")&amp;IF(AND(AA868="Yes",OR(BC868="company",BC868="llp"),TRIM(I868)=""),"ROC needs the CIN / LLPIN; ","")&amp;IF((TRIM(AF868)="")&lt;&gt;(TRIM(AG868)=""),"GST login needs both user ID and password; ","")&amp;IF((TRIM(AH868)="")&lt;&gt;(TRIM(AI868)=""),"Income-tax login needs both user ID and password; ","")&amp;IF((TRIM(AJ868)="")&lt;&gt;(TRIM(AK868)=""),"Income-tax login needs both user ID and password; ","")&amp;IF((TRIM(AL868)="")&lt;&gt;(TRIM(AM868)=""),"TRACES login needs both user ID and password; ","")&amp;IF((TRIM(AN868)="")&lt;&gt;(TRIM(AO868)=""),"MCA login needs both user ID and password; ","")&amp;IF((TRIM(AP868)="")&lt;&gt;(TRIM(AQ868)=""),"E-way bill login needs both user ID and password; ","")</f>
        <v/>
      </c>
    </row>
    <row r="869">
      <c r="A869" s="32" t="n"/>
      <c r="B869" s="33" t="n"/>
      <c r="C869" s="33" t="n"/>
      <c r="D869" s="33" t="n"/>
      <c r="E869" s="32" t="n"/>
      <c r="F869" s="32" t="n"/>
      <c r="G869" s="32" t="n"/>
      <c r="H869" s="32" t="n"/>
      <c r="I869" s="32" t="n"/>
      <c r="J869" s="34" t="n"/>
      <c r="K869" s="33" t="n"/>
      <c r="L869" s="32" t="n"/>
      <c r="M869" s="33" t="n"/>
      <c r="N869" s="33" t="n"/>
      <c r="O869" s="33" t="n"/>
      <c r="P869" s="32" t="n"/>
      <c r="Q869" s="33" t="n"/>
      <c r="R869" s="33" t="n"/>
      <c r="S869" s="33" t="n"/>
      <c r="T869" s="33" t="n"/>
      <c r="U869" s="32" t="n"/>
      <c r="V869" s="33" t="n"/>
      <c r="W869" s="33" t="n"/>
      <c r="X869" s="33" t="n"/>
      <c r="Y869" s="33" t="n"/>
      <c r="Z869" s="33" t="n"/>
      <c r="AA869" s="33" t="n"/>
      <c r="AB869" s="33" t="n"/>
      <c r="AC869" s="33" t="n"/>
      <c r="AD869" s="33" t="n"/>
      <c r="AE869" s="33" t="n"/>
      <c r="AF869" s="32" t="n"/>
      <c r="AG869" s="32" t="n"/>
      <c r="AH869" s="32" t="n"/>
      <c r="AI869" s="32" t="n"/>
      <c r="AJ869" s="32" t="n"/>
      <c r="AK869" s="32" t="n"/>
      <c r="AL869" s="32" t="n"/>
      <c r="AM869" s="32" t="n"/>
      <c r="AN869" s="32" t="n"/>
      <c r="AO869" s="32" t="n"/>
      <c r="AP869" s="32" t="n"/>
      <c r="AQ869" s="32" t="n"/>
      <c r="AR869" s="29">
        <f>IF(NOT(COUNTA(A869:AE869)&gt;0),"",IF(A869="","New client","Update"))</f>
        <v/>
      </c>
      <c r="AS869" s="29">
        <f>IF(BA869&lt;&gt;"",BA869,IF(LEN(AZ869)=15,MID(AZ869,3,10),""))</f>
        <v/>
      </c>
      <c r="AT869" s="29">
        <f>IF(BB869="","",BB869&amp;IF(D869="","  (guessed from PAN)",""))</f>
        <v/>
      </c>
      <c r="AU869" s="29">
        <f>IF(AZ869="","",IFERROR(INDEX(Lists!$L$2:$L$38,MATCH(LEFT(AZ869,2),Lists!$K$2:$K$38,0)),"Unknown code"))</f>
        <v/>
      </c>
      <c r="AV869" s="29">
        <f>IF(AZ869="","",IFERROR(IF(NOT(AND(LEN(AZ869)=15,ISNUMBER(MATCH(LEFT(AZ869,2),Lists!$K$2:$K$38,0)),SUMPRODUCT(--ISERROR(FIND(MID(MID(AZ869,3,10),{1,2,3,4,5,10},1),"ABCDEFGHIJKLMNOPQRSTUVWXYZ")))=0,SUMPRODUCT(--ISERROR(FIND(MID(MID(AZ869,3,10),{6,7,8,9},1),"0123456789")))=0,ISNUMBER(FIND(MID(AZ869,13,1),"123456789ABCDEFGHIJKLMNOPQRSTUVWXYZ")),MID(AZ869,14,1)="Z")),"Wrong format",IF(MID("0123456789ABCDEFGHIJKLMNOPQRSTUVWXYZ",MOD(36-MOD(SUMPRODUCT(INT((FIND(MID(AZ869,{1,2,3,4,5,6,7,8,9,10,11,12,13,14},1),"0123456789ABCDEFGHIJKLMNOPQRSTUVWXYZ")-1)*{1,2,1,2,1,2,1,2,1,2,1,2,1,2}/36)+MOD((FIND(MID(AZ869,{1,2,3,4,5,6,7,8,9,10,11,12,13,14},1),"0123456789ABCDEFGHIJKLMNOPQRSTUVWXYZ")-1)*{1,2,1,2,1,2,1,2,1,2,1,2,1,2},36)),36),36)+1,1)=MID(AZ869,15,1),"OK","Typo? check digit wrong")),"Wrong format"))</f>
        <v/>
      </c>
      <c r="AW869" s="29">
        <f>IF(BA869="","",IF(AND(LEN(BA869)=10,SUMPRODUCT(--ISERROR(FIND(MID(BA869,{1,2,3,4,5,10},1),"ABCDEFGHIJKLMNOPQRSTUVWXYZ")))=0,SUMPRODUCT(--ISERROR(FIND(MID(BA869,{6,7,8,9},1),"0123456789")))=0),"OK","Wrong format"))</f>
        <v/>
      </c>
      <c r="AX869" s="29">
        <f>IF(TRIM(H869)="","",IF(AND(LEN(UPPER(TRIM(H869)))=10,SUMPRODUCT(--ISERROR(FIND(MID(UPPER(TRIM(H869)),{1,2,3,4,10},1),"ABCDEFGHIJKLMNOPQRSTUVWXYZ")))=0,SUMPRODUCT(--ISERROR(FIND(MID(UPPER(TRIM(H869)),{5,6,7,8,9},1),"0123456789")))=0),"OK","Wrong format"))</f>
        <v/>
      </c>
      <c r="AY869" s="30">
        <f>IF(NOT(COUNTA(A869:AE869)&gt;0),"",IF(BE869&lt;&gt;"","✖ "&amp;LEFT(BE869,LEN(BE869)-2),IF(BD869&gt;0,"✔ Ready — client + "&amp;BD869&amp;" service(s)","✔ Ready — client only")))</f>
        <v/>
      </c>
      <c r="AZ869" s="31">
        <f>UPPER(SUBSTITUTE(TRIM(F869)," ",""))</f>
        <v/>
      </c>
      <c r="BA869" s="31">
        <f>UPPER(SUBSTITUTE(TRIM(E869)," ",""))</f>
        <v/>
      </c>
      <c r="BB869" s="31">
        <f>IF(D869&lt;&gt;"",D869,IFERROR(VLOOKUP(MID(AS869,4,1),Lists!$E$2:$F$8,2,FALSE),""))</f>
        <v/>
      </c>
      <c r="BC869" s="31">
        <f>IFERROR(VLOOKUP(BB869,Lists!$A$2:$C$12,3,FALSE),"")</f>
        <v/>
      </c>
      <c r="BD869" s="31">
        <f>COUNTIF(W869:AC869,"Yes")</f>
        <v/>
      </c>
      <c r="BE869" s="31">
        <f>IF(TRIM(B869)="","Legal name missing; ","")&amp;IF(AND(AV869&lt;&gt;"",AV869&lt;&gt;"OK"),"GSTIN: "&amp;AV869&amp;"; ","")&amp;IF(AND(AW869&lt;&gt;"",AW869&lt;&gt;"OK"),"PAN wrong format; ","")&amp;IF(AND(BA869&lt;&gt;"",LEN(AZ869)=15,MID(AZ869,3,10)&lt;&gt;BA869),"PAN does not match GSTIN; ","")&amp;IF(AND(AX869&lt;&gt;"",AX869&lt;&gt;"OK"),"TAN wrong format; ","")&amp;IF(AS869="","PAN missing; ","")&amp;IF(BB869="","Entity type missing; ","")&amp;IF(AND(AZ869&lt;&gt;"",COUNTIF($AZ$6:$AZ$1005,AZ869)&gt;1),"GSTIN repeated in this sheet; ","")&amp;IF(AND(AS869&lt;&gt;"",COUNTIF($AS$6:$AS$1005,AS869)&gt;1),"PAN repeated in this sheet (same client? put extra GSTINs in Other GSTINs); ","")&amp;IF(AND(BD869&gt;0,V869=""),"Financial year missing; ","")&amp;IF(AND(BD869=0,V869&lt;&gt;""),"Financial year given but no service is Yes; ","")&amp;IF(AND(W869="Yes",AZ869=""),"GST needs a GSTIN; ","")&amp;IF(AND(W869="Yes",X869=""),"GST return frequency missing; ","")&amp;IF(AND(Y869="Yes",TRIM(H869)=""),"TDS needs a TAN; ","")&amp;IF(AND(AA869="Yes",BC869&lt;&gt;"",BC869&lt;&gt;"company",BC869&lt;&gt;"llp"),"ROC is only for a company / LLP; ","")&amp;IF(AND(AA869="Yes",OR(BC869="company",BC869="llp"),TRIM(I869)=""),"ROC needs the CIN / LLPIN; ","")&amp;IF((TRIM(AF869)="")&lt;&gt;(TRIM(AG869)=""),"GST login needs both user ID and password; ","")&amp;IF((TRIM(AH869)="")&lt;&gt;(TRIM(AI869)=""),"Income-tax login needs both user ID and password; ","")&amp;IF((TRIM(AJ869)="")&lt;&gt;(TRIM(AK869)=""),"Income-tax login needs both user ID and password; ","")&amp;IF((TRIM(AL869)="")&lt;&gt;(TRIM(AM869)=""),"TRACES login needs both user ID and password; ","")&amp;IF((TRIM(AN869)="")&lt;&gt;(TRIM(AO869)=""),"MCA login needs both user ID and password; ","")&amp;IF((TRIM(AP869)="")&lt;&gt;(TRIM(AQ869)=""),"E-way bill login needs both user ID and password; ","")</f>
        <v/>
      </c>
    </row>
    <row r="870">
      <c r="A870" s="32" t="n"/>
      <c r="B870" s="33" t="n"/>
      <c r="C870" s="33" t="n"/>
      <c r="D870" s="33" t="n"/>
      <c r="E870" s="32" t="n"/>
      <c r="F870" s="32" t="n"/>
      <c r="G870" s="32" t="n"/>
      <c r="H870" s="32" t="n"/>
      <c r="I870" s="32" t="n"/>
      <c r="J870" s="34" t="n"/>
      <c r="K870" s="33" t="n"/>
      <c r="L870" s="32" t="n"/>
      <c r="M870" s="33" t="n"/>
      <c r="N870" s="33" t="n"/>
      <c r="O870" s="33" t="n"/>
      <c r="P870" s="32" t="n"/>
      <c r="Q870" s="33" t="n"/>
      <c r="R870" s="33" t="n"/>
      <c r="S870" s="33" t="n"/>
      <c r="T870" s="33" t="n"/>
      <c r="U870" s="32" t="n"/>
      <c r="V870" s="33" t="n"/>
      <c r="W870" s="33" t="n"/>
      <c r="X870" s="33" t="n"/>
      <c r="Y870" s="33" t="n"/>
      <c r="Z870" s="33" t="n"/>
      <c r="AA870" s="33" t="n"/>
      <c r="AB870" s="33" t="n"/>
      <c r="AC870" s="33" t="n"/>
      <c r="AD870" s="33" t="n"/>
      <c r="AE870" s="33" t="n"/>
      <c r="AF870" s="32" t="n"/>
      <c r="AG870" s="32" t="n"/>
      <c r="AH870" s="32" t="n"/>
      <c r="AI870" s="32" t="n"/>
      <c r="AJ870" s="32" t="n"/>
      <c r="AK870" s="32" t="n"/>
      <c r="AL870" s="32" t="n"/>
      <c r="AM870" s="32" t="n"/>
      <c r="AN870" s="32" t="n"/>
      <c r="AO870" s="32" t="n"/>
      <c r="AP870" s="32" t="n"/>
      <c r="AQ870" s="32" t="n"/>
      <c r="AR870" s="29">
        <f>IF(NOT(COUNTA(A870:AE870)&gt;0),"",IF(A870="","New client","Update"))</f>
        <v/>
      </c>
      <c r="AS870" s="29">
        <f>IF(BA870&lt;&gt;"",BA870,IF(LEN(AZ870)=15,MID(AZ870,3,10),""))</f>
        <v/>
      </c>
      <c r="AT870" s="29">
        <f>IF(BB870="","",BB870&amp;IF(D870="","  (guessed from PAN)",""))</f>
        <v/>
      </c>
      <c r="AU870" s="29">
        <f>IF(AZ870="","",IFERROR(INDEX(Lists!$L$2:$L$38,MATCH(LEFT(AZ870,2),Lists!$K$2:$K$38,0)),"Unknown code"))</f>
        <v/>
      </c>
      <c r="AV870" s="29">
        <f>IF(AZ870="","",IFERROR(IF(NOT(AND(LEN(AZ870)=15,ISNUMBER(MATCH(LEFT(AZ870,2),Lists!$K$2:$K$38,0)),SUMPRODUCT(--ISERROR(FIND(MID(MID(AZ870,3,10),{1,2,3,4,5,10},1),"ABCDEFGHIJKLMNOPQRSTUVWXYZ")))=0,SUMPRODUCT(--ISERROR(FIND(MID(MID(AZ870,3,10),{6,7,8,9},1),"0123456789")))=0,ISNUMBER(FIND(MID(AZ870,13,1),"123456789ABCDEFGHIJKLMNOPQRSTUVWXYZ")),MID(AZ870,14,1)="Z")),"Wrong format",IF(MID("0123456789ABCDEFGHIJKLMNOPQRSTUVWXYZ",MOD(36-MOD(SUMPRODUCT(INT((FIND(MID(AZ870,{1,2,3,4,5,6,7,8,9,10,11,12,13,14},1),"0123456789ABCDEFGHIJKLMNOPQRSTUVWXYZ")-1)*{1,2,1,2,1,2,1,2,1,2,1,2,1,2}/36)+MOD((FIND(MID(AZ870,{1,2,3,4,5,6,7,8,9,10,11,12,13,14},1),"0123456789ABCDEFGHIJKLMNOPQRSTUVWXYZ")-1)*{1,2,1,2,1,2,1,2,1,2,1,2,1,2},36)),36),36)+1,1)=MID(AZ870,15,1),"OK","Typo? check digit wrong")),"Wrong format"))</f>
        <v/>
      </c>
      <c r="AW870" s="29">
        <f>IF(BA870="","",IF(AND(LEN(BA870)=10,SUMPRODUCT(--ISERROR(FIND(MID(BA870,{1,2,3,4,5,10},1),"ABCDEFGHIJKLMNOPQRSTUVWXYZ")))=0,SUMPRODUCT(--ISERROR(FIND(MID(BA870,{6,7,8,9},1),"0123456789")))=0),"OK","Wrong format"))</f>
        <v/>
      </c>
      <c r="AX870" s="29">
        <f>IF(TRIM(H870)="","",IF(AND(LEN(UPPER(TRIM(H870)))=10,SUMPRODUCT(--ISERROR(FIND(MID(UPPER(TRIM(H870)),{1,2,3,4,10},1),"ABCDEFGHIJKLMNOPQRSTUVWXYZ")))=0,SUMPRODUCT(--ISERROR(FIND(MID(UPPER(TRIM(H870)),{5,6,7,8,9},1),"0123456789")))=0),"OK","Wrong format"))</f>
        <v/>
      </c>
      <c r="AY870" s="30">
        <f>IF(NOT(COUNTA(A870:AE870)&gt;0),"",IF(BE870&lt;&gt;"","✖ "&amp;LEFT(BE870,LEN(BE870)-2),IF(BD870&gt;0,"✔ Ready — client + "&amp;BD870&amp;" service(s)","✔ Ready — client only")))</f>
        <v/>
      </c>
      <c r="AZ870" s="31">
        <f>UPPER(SUBSTITUTE(TRIM(F870)," ",""))</f>
        <v/>
      </c>
      <c r="BA870" s="31">
        <f>UPPER(SUBSTITUTE(TRIM(E870)," ",""))</f>
        <v/>
      </c>
      <c r="BB870" s="31">
        <f>IF(D870&lt;&gt;"",D870,IFERROR(VLOOKUP(MID(AS870,4,1),Lists!$E$2:$F$8,2,FALSE),""))</f>
        <v/>
      </c>
      <c r="BC870" s="31">
        <f>IFERROR(VLOOKUP(BB870,Lists!$A$2:$C$12,3,FALSE),"")</f>
        <v/>
      </c>
      <c r="BD870" s="31">
        <f>COUNTIF(W870:AC870,"Yes")</f>
        <v/>
      </c>
      <c r="BE870" s="31">
        <f>IF(TRIM(B870)="","Legal name missing; ","")&amp;IF(AND(AV870&lt;&gt;"",AV870&lt;&gt;"OK"),"GSTIN: "&amp;AV870&amp;"; ","")&amp;IF(AND(AW870&lt;&gt;"",AW870&lt;&gt;"OK"),"PAN wrong format; ","")&amp;IF(AND(BA870&lt;&gt;"",LEN(AZ870)=15,MID(AZ870,3,10)&lt;&gt;BA870),"PAN does not match GSTIN; ","")&amp;IF(AND(AX870&lt;&gt;"",AX870&lt;&gt;"OK"),"TAN wrong format; ","")&amp;IF(AS870="","PAN missing; ","")&amp;IF(BB870="","Entity type missing; ","")&amp;IF(AND(AZ870&lt;&gt;"",COUNTIF($AZ$6:$AZ$1005,AZ870)&gt;1),"GSTIN repeated in this sheet; ","")&amp;IF(AND(AS870&lt;&gt;"",COUNTIF($AS$6:$AS$1005,AS870)&gt;1),"PAN repeated in this sheet (same client? put extra GSTINs in Other GSTINs); ","")&amp;IF(AND(BD870&gt;0,V870=""),"Financial year missing; ","")&amp;IF(AND(BD870=0,V870&lt;&gt;""),"Financial year given but no service is Yes; ","")&amp;IF(AND(W870="Yes",AZ870=""),"GST needs a GSTIN; ","")&amp;IF(AND(W870="Yes",X870=""),"GST return frequency missing; ","")&amp;IF(AND(Y870="Yes",TRIM(H870)=""),"TDS needs a TAN; ","")&amp;IF(AND(AA870="Yes",BC870&lt;&gt;"",BC870&lt;&gt;"company",BC870&lt;&gt;"llp"),"ROC is only for a company / LLP; ","")&amp;IF(AND(AA870="Yes",OR(BC870="company",BC870="llp"),TRIM(I870)=""),"ROC needs the CIN / LLPIN; ","")&amp;IF((TRIM(AF870)="")&lt;&gt;(TRIM(AG870)=""),"GST login needs both user ID and password; ","")&amp;IF((TRIM(AH870)="")&lt;&gt;(TRIM(AI870)=""),"Income-tax login needs both user ID and password; ","")&amp;IF((TRIM(AJ870)="")&lt;&gt;(TRIM(AK870)=""),"Income-tax login needs both user ID and password; ","")&amp;IF((TRIM(AL870)="")&lt;&gt;(TRIM(AM870)=""),"TRACES login needs both user ID and password; ","")&amp;IF((TRIM(AN870)="")&lt;&gt;(TRIM(AO870)=""),"MCA login needs both user ID and password; ","")&amp;IF((TRIM(AP870)="")&lt;&gt;(TRIM(AQ870)=""),"E-way bill login needs both user ID and password; ","")</f>
        <v/>
      </c>
    </row>
    <row r="871">
      <c r="A871" s="32" t="n"/>
      <c r="B871" s="33" t="n"/>
      <c r="C871" s="33" t="n"/>
      <c r="D871" s="33" t="n"/>
      <c r="E871" s="32" t="n"/>
      <c r="F871" s="32" t="n"/>
      <c r="G871" s="32" t="n"/>
      <c r="H871" s="32" t="n"/>
      <c r="I871" s="32" t="n"/>
      <c r="J871" s="34" t="n"/>
      <c r="K871" s="33" t="n"/>
      <c r="L871" s="32" t="n"/>
      <c r="M871" s="33" t="n"/>
      <c r="N871" s="33" t="n"/>
      <c r="O871" s="33" t="n"/>
      <c r="P871" s="32" t="n"/>
      <c r="Q871" s="33" t="n"/>
      <c r="R871" s="33" t="n"/>
      <c r="S871" s="33" t="n"/>
      <c r="T871" s="33" t="n"/>
      <c r="U871" s="32" t="n"/>
      <c r="V871" s="33" t="n"/>
      <c r="W871" s="33" t="n"/>
      <c r="X871" s="33" t="n"/>
      <c r="Y871" s="33" t="n"/>
      <c r="Z871" s="33" t="n"/>
      <c r="AA871" s="33" t="n"/>
      <c r="AB871" s="33" t="n"/>
      <c r="AC871" s="33" t="n"/>
      <c r="AD871" s="33" t="n"/>
      <c r="AE871" s="33" t="n"/>
      <c r="AF871" s="32" t="n"/>
      <c r="AG871" s="32" t="n"/>
      <c r="AH871" s="32" t="n"/>
      <c r="AI871" s="32" t="n"/>
      <c r="AJ871" s="32" t="n"/>
      <c r="AK871" s="32" t="n"/>
      <c r="AL871" s="32" t="n"/>
      <c r="AM871" s="32" t="n"/>
      <c r="AN871" s="32" t="n"/>
      <c r="AO871" s="32" t="n"/>
      <c r="AP871" s="32" t="n"/>
      <c r="AQ871" s="32" t="n"/>
      <c r="AR871" s="29">
        <f>IF(NOT(COUNTA(A871:AE871)&gt;0),"",IF(A871="","New client","Update"))</f>
        <v/>
      </c>
      <c r="AS871" s="29">
        <f>IF(BA871&lt;&gt;"",BA871,IF(LEN(AZ871)=15,MID(AZ871,3,10),""))</f>
        <v/>
      </c>
      <c r="AT871" s="29">
        <f>IF(BB871="","",BB871&amp;IF(D871="","  (guessed from PAN)",""))</f>
        <v/>
      </c>
      <c r="AU871" s="29">
        <f>IF(AZ871="","",IFERROR(INDEX(Lists!$L$2:$L$38,MATCH(LEFT(AZ871,2),Lists!$K$2:$K$38,0)),"Unknown code"))</f>
        <v/>
      </c>
      <c r="AV871" s="29">
        <f>IF(AZ871="","",IFERROR(IF(NOT(AND(LEN(AZ871)=15,ISNUMBER(MATCH(LEFT(AZ871,2),Lists!$K$2:$K$38,0)),SUMPRODUCT(--ISERROR(FIND(MID(MID(AZ871,3,10),{1,2,3,4,5,10},1),"ABCDEFGHIJKLMNOPQRSTUVWXYZ")))=0,SUMPRODUCT(--ISERROR(FIND(MID(MID(AZ871,3,10),{6,7,8,9},1),"0123456789")))=0,ISNUMBER(FIND(MID(AZ871,13,1),"123456789ABCDEFGHIJKLMNOPQRSTUVWXYZ")),MID(AZ871,14,1)="Z")),"Wrong format",IF(MID("0123456789ABCDEFGHIJKLMNOPQRSTUVWXYZ",MOD(36-MOD(SUMPRODUCT(INT((FIND(MID(AZ871,{1,2,3,4,5,6,7,8,9,10,11,12,13,14},1),"0123456789ABCDEFGHIJKLMNOPQRSTUVWXYZ")-1)*{1,2,1,2,1,2,1,2,1,2,1,2,1,2}/36)+MOD((FIND(MID(AZ871,{1,2,3,4,5,6,7,8,9,10,11,12,13,14},1),"0123456789ABCDEFGHIJKLMNOPQRSTUVWXYZ")-1)*{1,2,1,2,1,2,1,2,1,2,1,2,1,2},36)),36),36)+1,1)=MID(AZ871,15,1),"OK","Typo? check digit wrong")),"Wrong format"))</f>
        <v/>
      </c>
      <c r="AW871" s="29">
        <f>IF(BA871="","",IF(AND(LEN(BA871)=10,SUMPRODUCT(--ISERROR(FIND(MID(BA871,{1,2,3,4,5,10},1),"ABCDEFGHIJKLMNOPQRSTUVWXYZ")))=0,SUMPRODUCT(--ISERROR(FIND(MID(BA871,{6,7,8,9},1),"0123456789")))=0),"OK","Wrong format"))</f>
        <v/>
      </c>
      <c r="AX871" s="29">
        <f>IF(TRIM(H871)="","",IF(AND(LEN(UPPER(TRIM(H871)))=10,SUMPRODUCT(--ISERROR(FIND(MID(UPPER(TRIM(H871)),{1,2,3,4,10},1),"ABCDEFGHIJKLMNOPQRSTUVWXYZ")))=0,SUMPRODUCT(--ISERROR(FIND(MID(UPPER(TRIM(H871)),{5,6,7,8,9},1),"0123456789")))=0),"OK","Wrong format"))</f>
        <v/>
      </c>
      <c r="AY871" s="30">
        <f>IF(NOT(COUNTA(A871:AE871)&gt;0),"",IF(BE871&lt;&gt;"","✖ "&amp;LEFT(BE871,LEN(BE871)-2),IF(BD871&gt;0,"✔ Ready — client + "&amp;BD871&amp;" service(s)","✔ Ready — client only")))</f>
        <v/>
      </c>
      <c r="AZ871" s="31">
        <f>UPPER(SUBSTITUTE(TRIM(F871)," ",""))</f>
        <v/>
      </c>
      <c r="BA871" s="31">
        <f>UPPER(SUBSTITUTE(TRIM(E871)," ",""))</f>
        <v/>
      </c>
      <c r="BB871" s="31">
        <f>IF(D871&lt;&gt;"",D871,IFERROR(VLOOKUP(MID(AS871,4,1),Lists!$E$2:$F$8,2,FALSE),""))</f>
        <v/>
      </c>
      <c r="BC871" s="31">
        <f>IFERROR(VLOOKUP(BB871,Lists!$A$2:$C$12,3,FALSE),"")</f>
        <v/>
      </c>
      <c r="BD871" s="31">
        <f>COUNTIF(W871:AC871,"Yes")</f>
        <v/>
      </c>
      <c r="BE871" s="31">
        <f>IF(TRIM(B871)="","Legal name missing; ","")&amp;IF(AND(AV871&lt;&gt;"",AV871&lt;&gt;"OK"),"GSTIN: "&amp;AV871&amp;"; ","")&amp;IF(AND(AW871&lt;&gt;"",AW871&lt;&gt;"OK"),"PAN wrong format; ","")&amp;IF(AND(BA871&lt;&gt;"",LEN(AZ871)=15,MID(AZ871,3,10)&lt;&gt;BA871),"PAN does not match GSTIN; ","")&amp;IF(AND(AX871&lt;&gt;"",AX871&lt;&gt;"OK"),"TAN wrong format; ","")&amp;IF(AS871="","PAN missing; ","")&amp;IF(BB871="","Entity type missing; ","")&amp;IF(AND(AZ871&lt;&gt;"",COUNTIF($AZ$6:$AZ$1005,AZ871)&gt;1),"GSTIN repeated in this sheet; ","")&amp;IF(AND(AS871&lt;&gt;"",COUNTIF($AS$6:$AS$1005,AS871)&gt;1),"PAN repeated in this sheet (same client? put extra GSTINs in Other GSTINs); ","")&amp;IF(AND(BD871&gt;0,V871=""),"Financial year missing; ","")&amp;IF(AND(BD871=0,V871&lt;&gt;""),"Financial year given but no service is Yes; ","")&amp;IF(AND(W871="Yes",AZ871=""),"GST needs a GSTIN; ","")&amp;IF(AND(W871="Yes",X871=""),"GST return frequency missing; ","")&amp;IF(AND(Y871="Yes",TRIM(H871)=""),"TDS needs a TAN; ","")&amp;IF(AND(AA871="Yes",BC871&lt;&gt;"",BC871&lt;&gt;"company",BC871&lt;&gt;"llp"),"ROC is only for a company / LLP; ","")&amp;IF(AND(AA871="Yes",OR(BC871="company",BC871="llp"),TRIM(I871)=""),"ROC needs the CIN / LLPIN; ","")&amp;IF((TRIM(AF871)="")&lt;&gt;(TRIM(AG871)=""),"GST login needs both user ID and password; ","")&amp;IF((TRIM(AH871)="")&lt;&gt;(TRIM(AI871)=""),"Income-tax login needs both user ID and password; ","")&amp;IF((TRIM(AJ871)="")&lt;&gt;(TRIM(AK871)=""),"Income-tax login needs both user ID and password; ","")&amp;IF((TRIM(AL871)="")&lt;&gt;(TRIM(AM871)=""),"TRACES login needs both user ID and password; ","")&amp;IF((TRIM(AN871)="")&lt;&gt;(TRIM(AO871)=""),"MCA login needs both user ID and password; ","")&amp;IF((TRIM(AP871)="")&lt;&gt;(TRIM(AQ871)=""),"E-way bill login needs both user ID and password; ","")</f>
        <v/>
      </c>
    </row>
    <row r="872">
      <c r="A872" s="32" t="n"/>
      <c r="B872" s="33" t="n"/>
      <c r="C872" s="33" t="n"/>
      <c r="D872" s="33" t="n"/>
      <c r="E872" s="32" t="n"/>
      <c r="F872" s="32" t="n"/>
      <c r="G872" s="32" t="n"/>
      <c r="H872" s="32" t="n"/>
      <c r="I872" s="32" t="n"/>
      <c r="J872" s="34" t="n"/>
      <c r="K872" s="33" t="n"/>
      <c r="L872" s="32" t="n"/>
      <c r="M872" s="33" t="n"/>
      <c r="N872" s="33" t="n"/>
      <c r="O872" s="33" t="n"/>
      <c r="P872" s="32" t="n"/>
      <c r="Q872" s="33" t="n"/>
      <c r="R872" s="33" t="n"/>
      <c r="S872" s="33" t="n"/>
      <c r="T872" s="33" t="n"/>
      <c r="U872" s="32" t="n"/>
      <c r="V872" s="33" t="n"/>
      <c r="W872" s="33" t="n"/>
      <c r="X872" s="33" t="n"/>
      <c r="Y872" s="33" t="n"/>
      <c r="Z872" s="33" t="n"/>
      <c r="AA872" s="33" t="n"/>
      <c r="AB872" s="33" t="n"/>
      <c r="AC872" s="33" t="n"/>
      <c r="AD872" s="33" t="n"/>
      <c r="AE872" s="33" t="n"/>
      <c r="AF872" s="32" t="n"/>
      <c r="AG872" s="32" t="n"/>
      <c r="AH872" s="32" t="n"/>
      <c r="AI872" s="32" t="n"/>
      <c r="AJ872" s="32" t="n"/>
      <c r="AK872" s="32" t="n"/>
      <c r="AL872" s="32" t="n"/>
      <c r="AM872" s="32" t="n"/>
      <c r="AN872" s="32" t="n"/>
      <c r="AO872" s="32" t="n"/>
      <c r="AP872" s="32" t="n"/>
      <c r="AQ872" s="32" t="n"/>
      <c r="AR872" s="29">
        <f>IF(NOT(COUNTA(A872:AE872)&gt;0),"",IF(A872="","New client","Update"))</f>
        <v/>
      </c>
      <c r="AS872" s="29">
        <f>IF(BA872&lt;&gt;"",BA872,IF(LEN(AZ872)=15,MID(AZ872,3,10),""))</f>
        <v/>
      </c>
      <c r="AT872" s="29">
        <f>IF(BB872="","",BB872&amp;IF(D872="","  (guessed from PAN)",""))</f>
        <v/>
      </c>
      <c r="AU872" s="29">
        <f>IF(AZ872="","",IFERROR(INDEX(Lists!$L$2:$L$38,MATCH(LEFT(AZ872,2),Lists!$K$2:$K$38,0)),"Unknown code"))</f>
        <v/>
      </c>
      <c r="AV872" s="29">
        <f>IF(AZ872="","",IFERROR(IF(NOT(AND(LEN(AZ872)=15,ISNUMBER(MATCH(LEFT(AZ872,2),Lists!$K$2:$K$38,0)),SUMPRODUCT(--ISERROR(FIND(MID(MID(AZ872,3,10),{1,2,3,4,5,10},1),"ABCDEFGHIJKLMNOPQRSTUVWXYZ")))=0,SUMPRODUCT(--ISERROR(FIND(MID(MID(AZ872,3,10),{6,7,8,9},1),"0123456789")))=0,ISNUMBER(FIND(MID(AZ872,13,1),"123456789ABCDEFGHIJKLMNOPQRSTUVWXYZ")),MID(AZ872,14,1)="Z")),"Wrong format",IF(MID("0123456789ABCDEFGHIJKLMNOPQRSTUVWXYZ",MOD(36-MOD(SUMPRODUCT(INT((FIND(MID(AZ872,{1,2,3,4,5,6,7,8,9,10,11,12,13,14},1),"0123456789ABCDEFGHIJKLMNOPQRSTUVWXYZ")-1)*{1,2,1,2,1,2,1,2,1,2,1,2,1,2}/36)+MOD((FIND(MID(AZ872,{1,2,3,4,5,6,7,8,9,10,11,12,13,14},1),"0123456789ABCDEFGHIJKLMNOPQRSTUVWXYZ")-1)*{1,2,1,2,1,2,1,2,1,2,1,2,1,2},36)),36),36)+1,1)=MID(AZ872,15,1),"OK","Typo? check digit wrong")),"Wrong format"))</f>
        <v/>
      </c>
      <c r="AW872" s="29">
        <f>IF(BA872="","",IF(AND(LEN(BA872)=10,SUMPRODUCT(--ISERROR(FIND(MID(BA872,{1,2,3,4,5,10},1),"ABCDEFGHIJKLMNOPQRSTUVWXYZ")))=0,SUMPRODUCT(--ISERROR(FIND(MID(BA872,{6,7,8,9},1),"0123456789")))=0),"OK","Wrong format"))</f>
        <v/>
      </c>
      <c r="AX872" s="29">
        <f>IF(TRIM(H872)="","",IF(AND(LEN(UPPER(TRIM(H872)))=10,SUMPRODUCT(--ISERROR(FIND(MID(UPPER(TRIM(H872)),{1,2,3,4,10},1),"ABCDEFGHIJKLMNOPQRSTUVWXYZ")))=0,SUMPRODUCT(--ISERROR(FIND(MID(UPPER(TRIM(H872)),{5,6,7,8,9},1),"0123456789")))=0),"OK","Wrong format"))</f>
        <v/>
      </c>
      <c r="AY872" s="30">
        <f>IF(NOT(COUNTA(A872:AE872)&gt;0),"",IF(BE872&lt;&gt;"","✖ "&amp;LEFT(BE872,LEN(BE872)-2),IF(BD872&gt;0,"✔ Ready — client + "&amp;BD872&amp;" service(s)","✔ Ready — client only")))</f>
        <v/>
      </c>
      <c r="AZ872" s="31">
        <f>UPPER(SUBSTITUTE(TRIM(F872)," ",""))</f>
        <v/>
      </c>
      <c r="BA872" s="31">
        <f>UPPER(SUBSTITUTE(TRIM(E872)," ",""))</f>
        <v/>
      </c>
      <c r="BB872" s="31">
        <f>IF(D872&lt;&gt;"",D872,IFERROR(VLOOKUP(MID(AS872,4,1),Lists!$E$2:$F$8,2,FALSE),""))</f>
        <v/>
      </c>
      <c r="BC872" s="31">
        <f>IFERROR(VLOOKUP(BB872,Lists!$A$2:$C$12,3,FALSE),"")</f>
        <v/>
      </c>
      <c r="BD872" s="31">
        <f>COUNTIF(W872:AC872,"Yes")</f>
        <v/>
      </c>
      <c r="BE872" s="31">
        <f>IF(TRIM(B872)="","Legal name missing; ","")&amp;IF(AND(AV872&lt;&gt;"",AV872&lt;&gt;"OK"),"GSTIN: "&amp;AV872&amp;"; ","")&amp;IF(AND(AW872&lt;&gt;"",AW872&lt;&gt;"OK"),"PAN wrong format; ","")&amp;IF(AND(BA872&lt;&gt;"",LEN(AZ872)=15,MID(AZ872,3,10)&lt;&gt;BA872),"PAN does not match GSTIN; ","")&amp;IF(AND(AX872&lt;&gt;"",AX872&lt;&gt;"OK"),"TAN wrong format; ","")&amp;IF(AS872="","PAN missing; ","")&amp;IF(BB872="","Entity type missing; ","")&amp;IF(AND(AZ872&lt;&gt;"",COUNTIF($AZ$6:$AZ$1005,AZ872)&gt;1),"GSTIN repeated in this sheet; ","")&amp;IF(AND(AS872&lt;&gt;"",COUNTIF($AS$6:$AS$1005,AS872)&gt;1),"PAN repeated in this sheet (same client? put extra GSTINs in Other GSTINs); ","")&amp;IF(AND(BD872&gt;0,V872=""),"Financial year missing; ","")&amp;IF(AND(BD872=0,V872&lt;&gt;""),"Financial year given but no service is Yes; ","")&amp;IF(AND(W872="Yes",AZ872=""),"GST needs a GSTIN; ","")&amp;IF(AND(W872="Yes",X872=""),"GST return frequency missing; ","")&amp;IF(AND(Y872="Yes",TRIM(H872)=""),"TDS needs a TAN; ","")&amp;IF(AND(AA872="Yes",BC872&lt;&gt;"",BC872&lt;&gt;"company",BC872&lt;&gt;"llp"),"ROC is only for a company / LLP; ","")&amp;IF(AND(AA872="Yes",OR(BC872="company",BC872="llp"),TRIM(I872)=""),"ROC needs the CIN / LLPIN; ","")&amp;IF((TRIM(AF872)="")&lt;&gt;(TRIM(AG872)=""),"GST login needs both user ID and password; ","")&amp;IF((TRIM(AH872)="")&lt;&gt;(TRIM(AI872)=""),"Income-tax login needs both user ID and password; ","")&amp;IF((TRIM(AJ872)="")&lt;&gt;(TRIM(AK872)=""),"Income-tax login needs both user ID and password; ","")&amp;IF((TRIM(AL872)="")&lt;&gt;(TRIM(AM872)=""),"TRACES login needs both user ID and password; ","")&amp;IF((TRIM(AN872)="")&lt;&gt;(TRIM(AO872)=""),"MCA login needs both user ID and password; ","")&amp;IF((TRIM(AP872)="")&lt;&gt;(TRIM(AQ872)=""),"E-way bill login needs both user ID and password; ","")</f>
        <v/>
      </c>
    </row>
    <row r="873">
      <c r="A873" s="32" t="n"/>
      <c r="B873" s="33" t="n"/>
      <c r="C873" s="33" t="n"/>
      <c r="D873" s="33" t="n"/>
      <c r="E873" s="32" t="n"/>
      <c r="F873" s="32" t="n"/>
      <c r="G873" s="32" t="n"/>
      <c r="H873" s="32" t="n"/>
      <c r="I873" s="32" t="n"/>
      <c r="J873" s="34" t="n"/>
      <c r="K873" s="33" t="n"/>
      <c r="L873" s="32" t="n"/>
      <c r="M873" s="33" t="n"/>
      <c r="N873" s="33" t="n"/>
      <c r="O873" s="33" t="n"/>
      <c r="P873" s="32" t="n"/>
      <c r="Q873" s="33" t="n"/>
      <c r="R873" s="33" t="n"/>
      <c r="S873" s="33" t="n"/>
      <c r="T873" s="33" t="n"/>
      <c r="U873" s="32" t="n"/>
      <c r="V873" s="33" t="n"/>
      <c r="W873" s="33" t="n"/>
      <c r="X873" s="33" t="n"/>
      <c r="Y873" s="33" t="n"/>
      <c r="Z873" s="33" t="n"/>
      <c r="AA873" s="33" t="n"/>
      <c r="AB873" s="33" t="n"/>
      <c r="AC873" s="33" t="n"/>
      <c r="AD873" s="33" t="n"/>
      <c r="AE873" s="33" t="n"/>
      <c r="AF873" s="32" t="n"/>
      <c r="AG873" s="32" t="n"/>
      <c r="AH873" s="32" t="n"/>
      <c r="AI873" s="32" t="n"/>
      <c r="AJ873" s="32" t="n"/>
      <c r="AK873" s="32" t="n"/>
      <c r="AL873" s="32" t="n"/>
      <c r="AM873" s="32" t="n"/>
      <c r="AN873" s="32" t="n"/>
      <c r="AO873" s="32" t="n"/>
      <c r="AP873" s="32" t="n"/>
      <c r="AQ873" s="32" t="n"/>
      <c r="AR873" s="29">
        <f>IF(NOT(COUNTA(A873:AE873)&gt;0),"",IF(A873="","New client","Update"))</f>
        <v/>
      </c>
      <c r="AS873" s="29">
        <f>IF(BA873&lt;&gt;"",BA873,IF(LEN(AZ873)=15,MID(AZ873,3,10),""))</f>
        <v/>
      </c>
      <c r="AT873" s="29">
        <f>IF(BB873="","",BB873&amp;IF(D873="","  (guessed from PAN)",""))</f>
        <v/>
      </c>
      <c r="AU873" s="29">
        <f>IF(AZ873="","",IFERROR(INDEX(Lists!$L$2:$L$38,MATCH(LEFT(AZ873,2),Lists!$K$2:$K$38,0)),"Unknown code"))</f>
        <v/>
      </c>
      <c r="AV873" s="29">
        <f>IF(AZ873="","",IFERROR(IF(NOT(AND(LEN(AZ873)=15,ISNUMBER(MATCH(LEFT(AZ873,2),Lists!$K$2:$K$38,0)),SUMPRODUCT(--ISERROR(FIND(MID(MID(AZ873,3,10),{1,2,3,4,5,10},1),"ABCDEFGHIJKLMNOPQRSTUVWXYZ")))=0,SUMPRODUCT(--ISERROR(FIND(MID(MID(AZ873,3,10),{6,7,8,9},1),"0123456789")))=0,ISNUMBER(FIND(MID(AZ873,13,1),"123456789ABCDEFGHIJKLMNOPQRSTUVWXYZ")),MID(AZ873,14,1)="Z")),"Wrong format",IF(MID("0123456789ABCDEFGHIJKLMNOPQRSTUVWXYZ",MOD(36-MOD(SUMPRODUCT(INT((FIND(MID(AZ873,{1,2,3,4,5,6,7,8,9,10,11,12,13,14},1),"0123456789ABCDEFGHIJKLMNOPQRSTUVWXYZ")-1)*{1,2,1,2,1,2,1,2,1,2,1,2,1,2}/36)+MOD((FIND(MID(AZ873,{1,2,3,4,5,6,7,8,9,10,11,12,13,14},1),"0123456789ABCDEFGHIJKLMNOPQRSTUVWXYZ")-1)*{1,2,1,2,1,2,1,2,1,2,1,2,1,2},36)),36),36)+1,1)=MID(AZ873,15,1),"OK","Typo? check digit wrong")),"Wrong format"))</f>
        <v/>
      </c>
      <c r="AW873" s="29">
        <f>IF(BA873="","",IF(AND(LEN(BA873)=10,SUMPRODUCT(--ISERROR(FIND(MID(BA873,{1,2,3,4,5,10},1),"ABCDEFGHIJKLMNOPQRSTUVWXYZ")))=0,SUMPRODUCT(--ISERROR(FIND(MID(BA873,{6,7,8,9},1),"0123456789")))=0),"OK","Wrong format"))</f>
        <v/>
      </c>
      <c r="AX873" s="29">
        <f>IF(TRIM(H873)="","",IF(AND(LEN(UPPER(TRIM(H873)))=10,SUMPRODUCT(--ISERROR(FIND(MID(UPPER(TRIM(H873)),{1,2,3,4,10},1),"ABCDEFGHIJKLMNOPQRSTUVWXYZ")))=0,SUMPRODUCT(--ISERROR(FIND(MID(UPPER(TRIM(H873)),{5,6,7,8,9},1),"0123456789")))=0),"OK","Wrong format"))</f>
        <v/>
      </c>
      <c r="AY873" s="30">
        <f>IF(NOT(COUNTA(A873:AE873)&gt;0),"",IF(BE873&lt;&gt;"","✖ "&amp;LEFT(BE873,LEN(BE873)-2),IF(BD873&gt;0,"✔ Ready — client + "&amp;BD873&amp;" service(s)","✔ Ready — client only")))</f>
        <v/>
      </c>
      <c r="AZ873" s="31">
        <f>UPPER(SUBSTITUTE(TRIM(F873)," ",""))</f>
        <v/>
      </c>
      <c r="BA873" s="31">
        <f>UPPER(SUBSTITUTE(TRIM(E873)," ",""))</f>
        <v/>
      </c>
      <c r="BB873" s="31">
        <f>IF(D873&lt;&gt;"",D873,IFERROR(VLOOKUP(MID(AS873,4,1),Lists!$E$2:$F$8,2,FALSE),""))</f>
        <v/>
      </c>
      <c r="BC873" s="31">
        <f>IFERROR(VLOOKUP(BB873,Lists!$A$2:$C$12,3,FALSE),"")</f>
        <v/>
      </c>
      <c r="BD873" s="31">
        <f>COUNTIF(W873:AC873,"Yes")</f>
        <v/>
      </c>
      <c r="BE873" s="31">
        <f>IF(TRIM(B873)="","Legal name missing; ","")&amp;IF(AND(AV873&lt;&gt;"",AV873&lt;&gt;"OK"),"GSTIN: "&amp;AV873&amp;"; ","")&amp;IF(AND(AW873&lt;&gt;"",AW873&lt;&gt;"OK"),"PAN wrong format; ","")&amp;IF(AND(BA873&lt;&gt;"",LEN(AZ873)=15,MID(AZ873,3,10)&lt;&gt;BA873),"PAN does not match GSTIN; ","")&amp;IF(AND(AX873&lt;&gt;"",AX873&lt;&gt;"OK"),"TAN wrong format; ","")&amp;IF(AS873="","PAN missing; ","")&amp;IF(BB873="","Entity type missing; ","")&amp;IF(AND(AZ873&lt;&gt;"",COUNTIF($AZ$6:$AZ$1005,AZ873)&gt;1),"GSTIN repeated in this sheet; ","")&amp;IF(AND(AS873&lt;&gt;"",COUNTIF($AS$6:$AS$1005,AS873)&gt;1),"PAN repeated in this sheet (same client? put extra GSTINs in Other GSTINs); ","")&amp;IF(AND(BD873&gt;0,V873=""),"Financial year missing; ","")&amp;IF(AND(BD873=0,V873&lt;&gt;""),"Financial year given but no service is Yes; ","")&amp;IF(AND(W873="Yes",AZ873=""),"GST needs a GSTIN; ","")&amp;IF(AND(W873="Yes",X873=""),"GST return frequency missing; ","")&amp;IF(AND(Y873="Yes",TRIM(H873)=""),"TDS needs a TAN; ","")&amp;IF(AND(AA873="Yes",BC873&lt;&gt;"",BC873&lt;&gt;"company",BC873&lt;&gt;"llp"),"ROC is only for a company / LLP; ","")&amp;IF(AND(AA873="Yes",OR(BC873="company",BC873="llp"),TRIM(I873)=""),"ROC needs the CIN / LLPIN; ","")&amp;IF((TRIM(AF873)="")&lt;&gt;(TRIM(AG873)=""),"GST login needs both user ID and password; ","")&amp;IF((TRIM(AH873)="")&lt;&gt;(TRIM(AI873)=""),"Income-tax login needs both user ID and password; ","")&amp;IF((TRIM(AJ873)="")&lt;&gt;(TRIM(AK873)=""),"Income-tax login needs both user ID and password; ","")&amp;IF((TRIM(AL873)="")&lt;&gt;(TRIM(AM873)=""),"TRACES login needs both user ID and password; ","")&amp;IF((TRIM(AN873)="")&lt;&gt;(TRIM(AO873)=""),"MCA login needs both user ID and password; ","")&amp;IF((TRIM(AP873)="")&lt;&gt;(TRIM(AQ873)=""),"E-way bill login needs both user ID and password; ","")</f>
        <v/>
      </c>
    </row>
    <row r="874">
      <c r="A874" s="32" t="n"/>
      <c r="B874" s="33" t="n"/>
      <c r="C874" s="33" t="n"/>
      <c r="D874" s="33" t="n"/>
      <c r="E874" s="32" t="n"/>
      <c r="F874" s="32" t="n"/>
      <c r="G874" s="32" t="n"/>
      <c r="H874" s="32" t="n"/>
      <c r="I874" s="32" t="n"/>
      <c r="J874" s="34" t="n"/>
      <c r="K874" s="33" t="n"/>
      <c r="L874" s="32" t="n"/>
      <c r="M874" s="33" t="n"/>
      <c r="N874" s="33" t="n"/>
      <c r="O874" s="33" t="n"/>
      <c r="P874" s="32" t="n"/>
      <c r="Q874" s="33" t="n"/>
      <c r="R874" s="33" t="n"/>
      <c r="S874" s="33" t="n"/>
      <c r="T874" s="33" t="n"/>
      <c r="U874" s="32" t="n"/>
      <c r="V874" s="33" t="n"/>
      <c r="W874" s="33" t="n"/>
      <c r="X874" s="33" t="n"/>
      <c r="Y874" s="33" t="n"/>
      <c r="Z874" s="33" t="n"/>
      <c r="AA874" s="33" t="n"/>
      <c r="AB874" s="33" t="n"/>
      <c r="AC874" s="33" t="n"/>
      <c r="AD874" s="33" t="n"/>
      <c r="AE874" s="33" t="n"/>
      <c r="AF874" s="32" t="n"/>
      <c r="AG874" s="32" t="n"/>
      <c r="AH874" s="32" t="n"/>
      <c r="AI874" s="32" t="n"/>
      <c r="AJ874" s="32" t="n"/>
      <c r="AK874" s="32" t="n"/>
      <c r="AL874" s="32" t="n"/>
      <c r="AM874" s="32" t="n"/>
      <c r="AN874" s="32" t="n"/>
      <c r="AO874" s="32" t="n"/>
      <c r="AP874" s="32" t="n"/>
      <c r="AQ874" s="32" t="n"/>
      <c r="AR874" s="29">
        <f>IF(NOT(COUNTA(A874:AE874)&gt;0),"",IF(A874="","New client","Update"))</f>
        <v/>
      </c>
      <c r="AS874" s="29">
        <f>IF(BA874&lt;&gt;"",BA874,IF(LEN(AZ874)=15,MID(AZ874,3,10),""))</f>
        <v/>
      </c>
      <c r="AT874" s="29">
        <f>IF(BB874="","",BB874&amp;IF(D874="","  (guessed from PAN)",""))</f>
        <v/>
      </c>
      <c r="AU874" s="29">
        <f>IF(AZ874="","",IFERROR(INDEX(Lists!$L$2:$L$38,MATCH(LEFT(AZ874,2),Lists!$K$2:$K$38,0)),"Unknown code"))</f>
        <v/>
      </c>
      <c r="AV874" s="29">
        <f>IF(AZ874="","",IFERROR(IF(NOT(AND(LEN(AZ874)=15,ISNUMBER(MATCH(LEFT(AZ874,2),Lists!$K$2:$K$38,0)),SUMPRODUCT(--ISERROR(FIND(MID(MID(AZ874,3,10),{1,2,3,4,5,10},1),"ABCDEFGHIJKLMNOPQRSTUVWXYZ")))=0,SUMPRODUCT(--ISERROR(FIND(MID(MID(AZ874,3,10),{6,7,8,9},1),"0123456789")))=0,ISNUMBER(FIND(MID(AZ874,13,1),"123456789ABCDEFGHIJKLMNOPQRSTUVWXYZ")),MID(AZ874,14,1)="Z")),"Wrong format",IF(MID("0123456789ABCDEFGHIJKLMNOPQRSTUVWXYZ",MOD(36-MOD(SUMPRODUCT(INT((FIND(MID(AZ874,{1,2,3,4,5,6,7,8,9,10,11,12,13,14},1),"0123456789ABCDEFGHIJKLMNOPQRSTUVWXYZ")-1)*{1,2,1,2,1,2,1,2,1,2,1,2,1,2}/36)+MOD((FIND(MID(AZ874,{1,2,3,4,5,6,7,8,9,10,11,12,13,14},1),"0123456789ABCDEFGHIJKLMNOPQRSTUVWXYZ")-1)*{1,2,1,2,1,2,1,2,1,2,1,2,1,2},36)),36),36)+1,1)=MID(AZ874,15,1),"OK","Typo? check digit wrong")),"Wrong format"))</f>
        <v/>
      </c>
      <c r="AW874" s="29">
        <f>IF(BA874="","",IF(AND(LEN(BA874)=10,SUMPRODUCT(--ISERROR(FIND(MID(BA874,{1,2,3,4,5,10},1),"ABCDEFGHIJKLMNOPQRSTUVWXYZ")))=0,SUMPRODUCT(--ISERROR(FIND(MID(BA874,{6,7,8,9},1),"0123456789")))=0),"OK","Wrong format"))</f>
        <v/>
      </c>
      <c r="AX874" s="29">
        <f>IF(TRIM(H874)="","",IF(AND(LEN(UPPER(TRIM(H874)))=10,SUMPRODUCT(--ISERROR(FIND(MID(UPPER(TRIM(H874)),{1,2,3,4,10},1),"ABCDEFGHIJKLMNOPQRSTUVWXYZ")))=0,SUMPRODUCT(--ISERROR(FIND(MID(UPPER(TRIM(H874)),{5,6,7,8,9},1),"0123456789")))=0),"OK","Wrong format"))</f>
        <v/>
      </c>
      <c r="AY874" s="30">
        <f>IF(NOT(COUNTA(A874:AE874)&gt;0),"",IF(BE874&lt;&gt;"","✖ "&amp;LEFT(BE874,LEN(BE874)-2),IF(BD874&gt;0,"✔ Ready — client + "&amp;BD874&amp;" service(s)","✔ Ready — client only")))</f>
        <v/>
      </c>
      <c r="AZ874" s="31">
        <f>UPPER(SUBSTITUTE(TRIM(F874)," ",""))</f>
        <v/>
      </c>
      <c r="BA874" s="31">
        <f>UPPER(SUBSTITUTE(TRIM(E874)," ",""))</f>
        <v/>
      </c>
      <c r="BB874" s="31">
        <f>IF(D874&lt;&gt;"",D874,IFERROR(VLOOKUP(MID(AS874,4,1),Lists!$E$2:$F$8,2,FALSE),""))</f>
        <v/>
      </c>
      <c r="BC874" s="31">
        <f>IFERROR(VLOOKUP(BB874,Lists!$A$2:$C$12,3,FALSE),"")</f>
        <v/>
      </c>
      <c r="BD874" s="31">
        <f>COUNTIF(W874:AC874,"Yes")</f>
        <v/>
      </c>
      <c r="BE874" s="31">
        <f>IF(TRIM(B874)="","Legal name missing; ","")&amp;IF(AND(AV874&lt;&gt;"",AV874&lt;&gt;"OK"),"GSTIN: "&amp;AV874&amp;"; ","")&amp;IF(AND(AW874&lt;&gt;"",AW874&lt;&gt;"OK"),"PAN wrong format; ","")&amp;IF(AND(BA874&lt;&gt;"",LEN(AZ874)=15,MID(AZ874,3,10)&lt;&gt;BA874),"PAN does not match GSTIN; ","")&amp;IF(AND(AX874&lt;&gt;"",AX874&lt;&gt;"OK"),"TAN wrong format; ","")&amp;IF(AS874="","PAN missing; ","")&amp;IF(BB874="","Entity type missing; ","")&amp;IF(AND(AZ874&lt;&gt;"",COUNTIF($AZ$6:$AZ$1005,AZ874)&gt;1),"GSTIN repeated in this sheet; ","")&amp;IF(AND(AS874&lt;&gt;"",COUNTIF($AS$6:$AS$1005,AS874)&gt;1),"PAN repeated in this sheet (same client? put extra GSTINs in Other GSTINs); ","")&amp;IF(AND(BD874&gt;0,V874=""),"Financial year missing; ","")&amp;IF(AND(BD874=0,V874&lt;&gt;""),"Financial year given but no service is Yes; ","")&amp;IF(AND(W874="Yes",AZ874=""),"GST needs a GSTIN; ","")&amp;IF(AND(W874="Yes",X874=""),"GST return frequency missing; ","")&amp;IF(AND(Y874="Yes",TRIM(H874)=""),"TDS needs a TAN; ","")&amp;IF(AND(AA874="Yes",BC874&lt;&gt;"",BC874&lt;&gt;"company",BC874&lt;&gt;"llp"),"ROC is only for a company / LLP; ","")&amp;IF(AND(AA874="Yes",OR(BC874="company",BC874="llp"),TRIM(I874)=""),"ROC needs the CIN / LLPIN; ","")&amp;IF((TRIM(AF874)="")&lt;&gt;(TRIM(AG874)=""),"GST login needs both user ID and password; ","")&amp;IF((TRIM(AH874)="")&lt;&gt;(TRIM(AI874)=""),"Income-tax login needs both user ID and password; ","")&amp;IF((TRIM(AJ874)="")&lt;&gt;(TRIM(AK874)=""),"Income-tax login needs both user ID and password; ","")&amp;IF((TRIM(AL874)="")&lt;&gt;(TRIM(AM874)=""),"TRACES login needs both user ID and password; ","")&amp;IF((TRIM(AN874)="")&lt;&gt;(TRIM(AO874)=""),"MCA login needs both user ID and password; ","")&amp;IF((TRIM(AP874)="")&lt;&gt;(TRIM(AQ874)=""),"E-way bill login needs both user ID and password; ","")</f>
        <v/>
      </c>
    </row>
    <row r="875">
      <c r="A875" s="32" t="n"/>
      <c r="B875" s="33" t="n"/>
      <c r="C875" s="33" t="n"/>
      <c r="D875" s="33" t="n"/>
      <c r="E875" s="32" t="n"/>
      <c r="F875" s="32" t="n"/>
      <c r="G875" s="32" t="n"/>
      <c r="H875" s="32" t="n"/>
      <c r="I875" s="32" t="n"/>
      <c r="J875" s="34" t="n"/>
      <c r="K875" s="33" t="n"/>
      <c r="L875" s="32" t="n"/>
      <c r="M875" s="33" t="n"/>
      <c r="N875" s="33" t="n"/>
      <c r="O875" s="33" t="n"/>
      <c r="P875" s="32" t="n"/>
      <c r="Q875" s="33" t="n"/>
      <c r="R875" s="33" t="n"/>
      <c r="S875" s="33" t="n"/>
      <c r="T875" s="33" t="n"/>
      <c r="U875" s="32" t="n"/>
      <c r="V875" s="33" t="n"/>
      <c r="W875" s="33" t="n"/>
      <c r="X875" s="33" t="n"/>
      <c r="Y875" s="33" t="n"/>
      <c r="Z875" s="33" t="n"/>
      <c r="AA875" s="33" t="n"/>
      <c r="AB875" s="33" t="n"/>
      <c r="AC875" s="33" t="n"/>
      <c r="AD875" s="33" t="n"/>
      <c r="AE875" s="33" t="n"/>
      <c r="AF875" s="32" t="n"/>
      <c r="AG875" s="32" t="n"/>
      <c r="AH875" s="32" t="n"/>
      <c r="AI875" s="32" t="n"/>
      <c r="AJ875" s="32" t="n"/>
      <c r="AK875" s="32" t="n"/>
      <c r="AL875" s="32" t="n"/>
      <c r="AM875" s="32" t="n"/>
      <c r="AN875" s="32" t="n"/>
      <c r="AO875" s="32" t="n"/>
      <c r="AP875" s="32" t="n"/>
      <c r="AQ875" s="32" t="n"/>
      <c r="AR875" s="29">
        <f>IF(NOT(COUNTA(A875:AE875)&gt;0),"",IF(A875="","New client","Update"))</f>
        <v/>
      </c>
      <c r="AS875" s="29">
        <f>IF(BA875&lt;&gt;"",BA875,IF(LEN(AZ875)=15,MID(AZ875,3,10),""))</f>
        <v/>
      </c>
      <c r="AT875" s="29">
        <f>IF(BB875="","",BB875&amp;IF(D875="","  (guessed from PAN)",""))</f>
        <v/>
      </c>
      <c r="AU875" s="29">
        <f>IF(AZ875="","",IFERROR(INDEX(Lists!$L$2:$L$38,MATCH(LEFT(AZ875,2),Lists!$K$2:$K$38,0)),"Unknown code"))</f>
        <v/>
      </c>
      <c r="AV875" s="29">
        <f>IF(AZ875="","",IFERROR(IF(NOT(AND(LEN(AZ875)=15,ISNUMBER(MATCH(LEFT(AZ875,2),Lists!$K$2:$K$38,0)),SUMPRODUCT(--ISERROR(FIND(MID(MID(AZ875,3,10),{1,2,3,4,5,10},1),"ABCDEFGHIJKLMNOPQRSTUVWXYZ")))=0,SUMPRODUCT(--ISERROR(FIND(MID(MID(AZ875,3,10),{6,7,8,9},1),"0123456789")))=0,ISNUMBER(FIND(MID(AZ875,13,1),"123456789ABCDEFGHIJKLMNOPQRSTUVWXYZ")),MID(AZ875,14,1)="Z")),"Wrong format",IF(MID("0123456789ABCDEFGHIJKLMNOPQRSTUVWXYZ",MOD(36-MOD(SUMPRODUCT(INT((FIND(MID(AZ875,{1,2,3,4,5,6,7,8,9,10,11,12,13,14},1),"0123456789ABCDEFGHIJKLMNOPQRSTUVWXYZ")-1)*{1,2,1,2,1,2,1,2,1,2,1,2,1,2}/36)+MOD((FIND(MID(AZ875,{1,2,3,4,5,6,7,8,9,10,11,12,13,14},1),"0123456789ABCDEFGHIJKLMNOPQRSTUVWXYZ")-1)*{1,2,1,2,1,2,1,2,1,2,1,2,1,2},36)),36),36)+1,1)=MID(AZ875,15,1),"OK","Typo? check digit wrong")),"Wrong format"))</f>
        <v/>
      </c>
      <c r="AW875" s="29">
        <f>IF(BA875="","",IF(AND(LEN(BA875)=10,SUMPRODUCT(--ISERROR(FIND(MID(BA875,{1,2,3,4,5,10},1),"ABCDEFGHIJKLMNOPQRSTUVWXYZ")))=0,SUMPRODUCT(--ISERROR(FIND(MID(BA875,{6,7,8,9},1),"0123456789")))=0),"OK","Wrong format"))</f>
        <v/>
      </c>
      <c r="AX875" s="29">
        <f>IF(TRIM(H875)="","",IF(AND(LEN(UPPER(TRIM(H875)))=10,SUMPRODUCT(--ISERROR(FIND(MID(UPPER(TRIM(H875)),{1,2,3,4,10},1),"ABCDEFGHIJKLMNOPQRSTUVWXYZ")))=0,SUMPRODUCT(--ISERROR(FIND(MID(UPPER(TRIM(H875)),{5,6,7,8,9},1),"0123456789")))=0),"OK","Wrong format"))</f>
        <v/>
      </c>
      <c r="AY875" s="30">
        <f>IF(NOT(COUNTA(A875:AE875)&gt;0),"",IF(BE875&lt;&gt;"","✖ "&amp;LEFT(BE875,LEN(BE875)-2),IF(BD875&gt;0,"✔ Ready — client + "&amp;BD875&amp;" service(s)","✔ Ready — client only")))</f>
        <v/>
      </c>
      <c r="AZ875" s="31">
        <f>UPPER(SUBSTITUTE(TRIM(F875)," ",""))</f>
        <v/>
      </c>
      <c r="BA875" s="31">
        <f>UPPER(SUBSTITUTE(TRIM(E875)," ",""))</f>
        <v/>
      </c>
      <c r="BB875" s="31">
        <f>IF(D875&lt;&gt;"",D875,IFERROR(VLOOKUP(MID(AS875,4,1),Lists!$E$2:$F$8,2,FALSE),""))</f>
        <v/>
      </c>
      <c r="BC875" s="31">
        <f>IFERROR(VLOOKUP(BB875,Lists!$A$2:$C$12,3,FALSE),"")</f>
        <v/>
      </c>
      <c r="BD875" s="31">
        <f>COUNTIF(W875:AC875,"Yes")</f>
        <v/>
      </c>
      <c r="BE875" s="31">
        <f>IF(TRIM(B875)="","Legal name missing; ","")&amp;IF(AND(AV875&lt;&gt;"",AV875&lt;&gt;"OK"),"GSTIN: "&amp;AV875&amp;"; ","")&amp;IF(AND(AW875&lt;&gt;"",AW875&lt;&gt;"OK"),"PAN wrong format; ","")&amp;IF(AND(BA875&lt;&gt;"",LEN(AZ875)=15,MID(AZ875,3,10)&lt;&gt;BA875),"PAN does not match GSTIN; ","")&amp;IF(AND(AX875&lt;&gt;"",AX875&lt;&gt;"OK"),"TAN wrong format; ","")&amp;IF(AS875="","PAN missing; ","")&amp;IF(BB875="","Entity type missing; ","")&amp;IF(AND(AZ875&lt;&gt;"",COUNTIF($AZ$6:$AZ$1005,AZ875)&gt;1),"GSTIN repeated in this sheet; ","")&amp;IF(AND(AS875&lt;&gt;"",COUNTIF($AS$6:$AS$1005,AS875)&gt;1),"PAN repeated in this sheet (same client? put extra GSTINs in Other GSTINs); ","")&amp;IF(AND(BD875&gt;0,V875=""),"Financial year missing; ","")&amp;IF(AND(BD875=0,V875&lt;&gt;""),"Financial year given but no service is Yes; ","")&amp;IF(AND(W875="Yes",AZ875=""),"GST needs a GSTIN; ","")&amp;IF(AND(W875="Yes",X875=""),"GST return frequency missing; ","")&amp;IF(AND(Y875="Yes",TRIM(H875)=""),"TDS needs a TAN; ","")&amp;IF(AND(AA875="Yes",BC875&lt;&gt;"",BC875&lt;&gt;"company",BC875&lt;&gt;"llp"),"ROC is only for a company / LLP; ","")&amp;IF(AND(AA875="Yes",OR(BC875="company",BC875="llp"),TRIM(I875)=""),"ROC needs the CIN / LLPIN; ","")&amp;IF((TRIM(AF875)="")&lt;&gt;(TRIM(AG875)=""),"GST login needs both user ID and password; ","")&amp;IF((TRIM(AH875)="")&lt;&gt;(TRIM(AI875)=""),"Income-tax login needs both user ID and password; ","")&amp;IF((TRIM(AJ875)="")&lt;&gt;(TRIM(AK875)=""),"Income-tax login needs both user ID and password; ","")&amp;IF((TRIM(AL875)="")&lt;&gt;(TRIM(AM875)=""),"TRACES login needs both user ID and password; ","")&amp;IF((TRIM(AN875)="")&lt;&gt;(TRIM(AO875)=""),"MCA login needs both user ID and password; ","")&amp;IF((TRIM(AP875)="")&lt;&gt;(TRIM(AQ875)=""),"E-way bill login needs both user ID and password; ","")</f>
        <v/>
      </c>
    </row>
    <row r="876">
      <c r="A876" s="32" t="n"/>
      <c r="B876" s="33" t="n"/>
      <c r="C876" s="33" t="n"/>
      <c r="D876" s="33" t="n"/>
      <c r="E876" s="32" t="n"/>
      <c r="F876" s="32" t="n"/>
      <c r="G876" s="32" t="n"/>
      <c r="H876" s="32" t="n"/>
      <c r="I876" s="32" t="n"/>
      <c r="J876" s="34" t="n"/>
      <c r="K876" s="33" t="n"/>
      <c r="L876" s="32" t="n"/>
      <c r="M876" s="33" t="n"/>
      <c r="N876" s="33" t="n"/>
      <c r="O876" s="33" t="n"/>
      <c r="P876" s="32" t="n"/>
      <c r="Q876" s="33" t="n"/>
      <c r="R876" s="33" t="n"/>
      <c r="S876" s="33" t="n"/>
      <c r="T876" s="33" t="n"/>
      <c r="U876" s="32" t="n"/>
      <c r="V876" s="33" t="n"/>
      <c r="W876" s="33" t="n"/>
      <c r="X876" s="33" t="n"/>
      <c r="Y876" s="33" t="n"/>
      <c r="Z876" s="33" t="n"/>
      <c r="AA876" s="33" t="n"/>
      <c r="AB876" s="33" t="n"/>
      <c r="AC876" s="33" t="n"/>
      <c r="AD876" s="33" t="n"/>
      <c r="AE876" s="33" t="n"/>
      <c r="AF876" s="32" t="n"/>
      <c r="AG876" s="32" t="n"/>
      <c r="AH876" s="32" t="n"/>
      <c r="AI876" s="32" t="n"/>
      <c r="AJ876" s="32" t="n"/>
      <c r="AK876" s="32" t="n"/>
      <c r="AL876" s="32" t="n"/>
      <c r="AM876" s="32" t="n"/>
      <c r="AN876" s="32" t="n"/>
      <c r="AO876" s="32" t="n"/>
      <c r="AP876" s="32" t="n"/>
      <c r="AQ876" s="32" t="n"/>
      <c r="AR876" s="29">
        <f>IF(NOT(COUNTA(A876:AE876)&gt;0),"",IF(A876="","New client","Update"))</f>
        <v/>
      </c>
      <c r="AS876" s="29">
        <f>IF(BA876&lt;&gt;"",BA876,IF(LEN(AZ876)=15,MID(AZ876,3,10),""))</f>
        <v/>
      </c>
      <c r="AT876" s="29">
        <f>IF(BB876="","",BB876&amp;IF(D876="","  (guessed from PAN)",""))</f>
        <v/>
      </c>
      <c r="AU876" s="29">
        <f>IF(AZ876="","",IFERROR(INDEX(Lists!$L$2:$L$38,MATCH(LEFT(AZ876,2),Lists!$K$2:$K$38,0)),"Unknown code"))</f>
        <v/>
      </c>
      <c r="AV876" s="29">
        <f>IF(AZ876="","",IFERROR(IF(NOT(AND(LEN(AZ876)=15,ISNUMBER(MATCH(LEFT(AZ876,2),Lists!$K$2:$K$38,0)),SUMPRODUCT(--ISERROR(FIND(MID(MID(AZ876,3,10),{1,2,3,4,5,10},1),"ABCDEFGHIJKLMNOPQRSTUVWXYZ")))=0,SUMPRODUCT(--ISERROR(FIND(MID(MID(AZ876,3,10),{6,7,8,9},1),"0123456789")))=0,ISNUMBER(FIND(MID(AZ876,13,1),"123456789ABCDEFGHIJKLMNOPQRSTUVWXYZ")),MID(AZ876,14,1)="Z")),"Wrong format",IF(MID("0123456789ABCDEFGHIJKLMNOPQRSTUVWXYZ",MOD(36-MOD(SUMPRODUCT(INT((FIND(MID(AZ876,{1,2,3,4,5,6,7,8,9,10,11,12,13,14},1),"0123456789ABCDEFGHIJKLMNOPQRSTUVWXYZ")-1)*{1,2,1,2,1,2,1,2,1,2,1,2,1,2}/36)+MOD((FIND(MID(AZ876,{1,2,3,4,5,6,7,8,9,10,11,12,13,14},1),"0123456789ABCDEFGHIJKLMNOPQRSTUVWXYZ")-1)*{1,2,1,2,1,2,1,2,1,2,1,2,1,2},36)),36),36)+1,1)=MID(AZ876,15,1),"OK","Typo? check digit wrong")),"Wrong format"))</f>
        <v/>
      </c>
      <c r="AW876" s="29">
        <f>IF(BA876="","",IF(AND(LEN(BA876)=10,SUMPRODUCT(--ISERROR(FIND(MID(BA876,{1,2,3,4,5,10},1),"ABCDEFGHIJKLMNOPQRSTUVWXYZ")))=0,SUMPRODUCT(--ISERROR(FIND(MID(BA876,{6,7,8,9},1),"0123456789")))=0),"OK","Wrong format"))</f>
        <v/>
      </c>
      <c r="AX876" s="29">
        <f>IF(TRIM(H876)="","",IF(AND(LEN(UPPER(TRIM(H876)))=10,SUMPRODUCT(--ISERROR(FIND(MID(UPPER(TRIM(H876)),{1,2,3,4,10},1),"ABCDEFGHIJKLMNOPQRSTUVWXYZ")))=0,SUMPRODUCT(--ISERROR(FIND(MID(UPPER(TRIM(H876)),{5,6,7,8,9},1),"0123456789")))=0),"OK","Wrong format"))</f>
        <v/>
      </c>
      <c r="AY876" s="30">
        <f>IF(NOT(COUNTA(A876:AE876)&gt;0),"",IF(BE876&lt;&gt;"","✖ "&amp;LEFT(BE876,LEN(BE876)-2),IF(BD876&gt;0,"✔ Ready — client + "&amp;BD876&amp;" service(s)","✔ Ready — client only")))</f>
        <v/>
      </c>
      <c r="AZ876" s="31">
        <f>UPPER(SUBSTITUTE(TRIM(F876)," ",""))</f>
        <v/>
      </c>
      <c r="BA876" s="31">
        <f>UPPER(SUBSTITUTE(TRIM(E876)," ",""))</f>
        <v/>
      </c>
      <c r="BB876" s="31">
        <f>IF(D876&lt;&gt;"",D876,IFERROR(VLOOKUP(MID(AS876,4,1),Lists!$E$2:$F$8,2,FALSE),""))</f>
        <v/>
      </c>
      <c r="BC876" s="31">
        <f>IFERROR(VLOOKUP(BB876,Lists!$A$2:$C$12,3,FALSE),"")</f>
        <v/>
      </c>
      <c r="BD876" s="31">
        <f>COUNTIF(W876:AC876,"Yes")</f>
        <v/>
      </c>
      <c r="BE876" s="31">
        <f>IF(TRIM(B876)="","Legal name missing; ","")&amp;IF(AND(AV876&lt;&gt;"",AV876&lt;&gt;"OK"),"GSTIN: "&amp;AV876&amp;"; ","")&amp;IF(AND(AW876&lt;&gt;"",AW876&lt;&gt;"OK"),"PAN wrong format; ","")&amp;IF(AND(BA876&lt;&gt;"",LEN(AZ876)=15,MID(AZ876,3,10)&lt;&gt;BA876),"PAN does not match GSTIN; ","")&amp;IF(AND(AX876&lt;&gt;"",AX876&lt;&gt;"OK"),"TAN wrong format; ","")&amp;IF(AS876="","PAN missing; ","")&amp;IF(BB876="","Entity type missing; ","")&amp;IF(AND(AZ876&lt;&gt;"",COUNTIF($AZ$6:$AZ$1005,AZ876)&gt;1),"GSTIN repeated in this sheet; ","")&amp;IF(AND(AS876&lt;&gt;"",COUNTIF($AS$6:$AS$1005,AS876)&gt;1),"PAN repeated in this sheet (same client? put extra GSTINs in Other GSTINs); ","")&amp;IF(AND(BD876&gt;0,V876=""),"Financial year missing; ","")&amp;IF(AND(BD876=0,V876&lt;&gt;""),"Financial year given but no service is Yes; ","")&amp;IF(AND(W876="Yes",AZ876=""),"GST needs a GSTIN; ","")&amp;IF(AND(W876="Yes",X876=""),"GST return frequency missing; ","")&amp;IF(AND(Y876="Yes",TRIM(H876)=""),"TDS needs a TAN; ","")&amp;IF(AND(AA876="Yes",BC876&lt;&gt;"",BC876&lt;&gt;"company",BC876&lt;&gt;"llp"),"ROC is only for a company / LLP; ","")&amp;IF(AND(AA876="Yes",OR(BC876="company",BC876="llp"),TRIM(I876)=""),"ROC needs the CIN / LLPIN; ","")&amp;IF((TRIM(AF876)="")&lt;&gt;(TRIM(AG876)=""),"GST login needs both user ID and password; ","")&amp;IF((TRIM(AH876)="")&lt;&gt;(TRIM(AI876)=""),"Income-tax login needs both user ID and password; ","")&amp;IF((TRIM(AJ876)="")&lt;&gt;(TRIM(AK876)=""),"Income-tax login needs both user ID and password; ","")&amp;IF((TRIM(AL876)="")&lt;&gt;(TRIM(AM876)=""),"TRACES login needs both user ID and password; ","")&amp;IF((TRIM(AN876)="")&lt;&gt;(TRIM(AO876)=""),"MCA login needs both user ID and password; ","")&amp;IF((TRIM(AP876)="")&lt;&gt;(TRIM(AQ876)=""),"E-way bill login needs both user ID and password; ","")</f>
        <v/>
      </c>
    </row>
    <row r="877">
      <c r="A877" s="32" t="n"/>
      <c r="B877" s="33" t="n"/>
      <c r="C877" s="33" t="n"/>
      <c r="D877" s="33" t="n"/>
      <c r="E877" s="32" t="n"/>
      <c r="F877" s="32" t="n"/>
      <c r="G877" s="32" t="n"/>
      <c r="H877" s="32" t="n"/>
      <c r="I877" s="32" t="n"/>
      <c r="J877" s="34" t="n"/>
      <c r="K877" s="33" t="n"/>
      <c r="L877" s="32" t="n"/>
      <c r="M877" s="33" t="n"/>
      <c r="N877" s="33" t="n"/>
      <c r="O877" s="33" t="n"/>
      <c r="P877" s="32" t="n"/>
      <c r="Q877" s="33" t="n"/>
      <c r="R877" s="33" t="n"/>
      <c r="S877" s="33" t="n"/>
      <c r="T877" s="33" t="n"/>
      <c r="U877" s="32" t="n"/>
      <c r="V877" s="33" t="n"/>
      <c r="W877" s="33" t="n"/>
      <c r="X877" s="33" t="n"/>
      <c r="Y877" s="33" t="n"/>
      <c r="Z877" s="33" t="n"/>
      <c r="AA877" s="33" t="n"/>
      <c r="AB877" s="33" t="n"/>
      <c r="AC877" s="33" t="n"/>
      <c r="AD877" s="33" t="n"/>
      <c r="AE877" s="33" t="n"/>
      <c r="AF877" s="32" t="n"/>
      <c r="AG877" s="32" t="n"/>
      <c r="AH877" s="32" t="n"/>
      <c r="AI877" s="32" t="n"/>
      <c r="AJ877" s="32" t="n"/>
      <c r="AK877" s="32" t="n"/>
      <c r="AL877" s="32" t="n"/>
      <c r="AM877" s="32" t="n"/>
      <c r="AN877" s="32" t="n"/>
      <c r="AO877" s="32" t="n"/>
      <c r="AP877" s="32" t="n"/>
      <c r="AQ877" s="32" t="n"/>
      <c r="AR877" s="29">
        <f>IF(NOT(COUNTA(A877:AE877)&gt;0),"",IF(A877="","New client","Update"))</f>
        <v/>
      </c>
      <c r="AS877" s="29">
        <f>IF(BA877&lt;&gt;"",BA877,IF(LEN(AZ877)=15,MID(AZ877,3,10),""))</f>
        <v/>
      </c>
      <c r="AT877" s="29">
        <f>IF(BB877="","",BB877&amp;IF(D877="","  (guessed from PAN)",""))</f>
        <v/>
      </c>
      <c r="AU877" s="29">
        <f>IF(AZ877="","",IFERROR(INDEX(Lists!$L$2:$L$38,MATCH(LEFT(AZ877,2),Lists!$K$2:$K$38,0)),"Unknown code"))</f>
        <v/>
      </c>
      <c r="AV877" s="29">
        <f>IF(AZ877="","",IFERROR(IF(NOT(AND(LEN(AZ877)=15,ISNUMBER(MATCH(LEFT(AZ877,2),Lists!$K$2:$K$38,0)),SUMPRODUCT(--ISERROR(FIND(MID(MID(AZ877,3,10),{1,2,3,4,5,10},1),"ABCDEFGHIJKLMNOPQRSTUVWXYZ")))=0,SUMPRODUCT(--ISERROR(FIND(MID(MID(AZ877,3,10),{6,7,8,9},1),"0123456789")))=0,ISNUMBER(FIND(MID(AZ877,13,1),"123456789ABCDEFGHIJKLMNOPQRSTUVWXYZ")),MID(AZ877,14,1)="Z")),"Wrong format",IF(MID("0123456789ABCDEFGHIJKLMNOPQRSTUVWXYZ",MOD(36-MOD(SUMPRODUCT(INT((FIND(MID(AZ877,{1,2,3,4,5,6,7,8,9,10,11,12,13,14},1),"0123456789ABCDEFGHIJKLMNOPQRSTUVWXYZ")-1)*{1,2,1,2,1,2,1,2,1,2,1,2,1,2}/36)+MOD((FIND(MID(AZ877,{1,2,3,4,5,6,7,8,9,10,11,12,13,14},1),"0123456789ABCDEFGHIJKLMNOPQRSTUVWXYZ")-1)*{1,2,1,2,1,2,1,2,1,2,1,2,1,2},36)),36),36)+1,1)=MID(AZ877,15,1),"OK","Typo? check digit wrong")),"Wrong format"))</f>
        <v/>
      </c>
      <c r="AW877" s="29">
        <f>IF(BA877="","",IF(AND(LEN(BA877)=10,SUMPRODUCT(--ISERROR(FIND(MID(BA877,{1,2,3,4,5,10},1),"ABCDEFGHIJKLMNOPQRSTUVWXYZ")))=0,SUMPRODUCT(--ISERROR(FIND(MID(BA877,{6,7,8,9},1),"0123456789")))=0),"OK","Wrong format"))</f>
        <v/>
      </c>
      <c r="AX877" s="29">
        <f>IF(TRIM(H877)="","",IF(AND(LEN(UPPER(TRIM(H877)))=10,SUMPRODUCT(--ISERROR(FIND(MID(UPPER(TRIM(H877)),{1,2,3,4,10},1),"ABCDEFGHIJKLMNOPQRSTUVWXYZ")))=0,SUMPRODUCT(--ISERROR(FIND(MID(UPPER(TRIM(H877)),{5,6,7,8,9},1),"0123456789")))=0),"OK","Wrong format"))</f>
        <v/>
      </c>
      <c r="AY877" s="30">
        <f>IF(NOT(COUNTA(A877:AE877)&gt;0),"",IF(BE877&lt;&gt;"","✖ "&amp;LEFT(BE877,LEN(BE877)-2),IF(BD877&gt;0,"✔ Ready — client + "&amp;BD877&amp;" service(s)","✔ Ready — client only")))</f>
        <v/>
      </c>
      <c r="AZ877" s="31">
        <f>UPPER(SUBSTITUTE(TRIM(F877)," ",""))</f>
        <v/>
      </c>
      <c r="BA877" s="31">
        <f>UPPER(SUBSTITUTE(TRIM(E877)," ",""))</f>
        <v/>
      </c>
      <c r="BB877" s="31">
        <f>IF(D877&lt;&gt;"",D877,IFERROR(VLOOKUP(MID(AS877,4,1),Lists!$E$2:$F$8,2,FALSE),""))</f>
        <v/>
      </c>
      <c r="BC877" s="31">
        <f>IFERROR(VLOOKUP(BB877,Lists!$A$2:$C$12,3,FALSE),"")</f>
        <v/>
      </c>
      <c r="BD877" s="31">
        <f>COUNTIF(W877:AC877,"Yes")</f>
        <v/>
      </c>
      <c r="BE877" s="31">
        <f>IF(TRIM(B877)="","Legal name missing; ","")&amp;IF(AND(AV877&lt;&gt;"",AV877&lt;&gt;"OK"),"GSTIN: "&amp;AV877&amp;"; ","")&amp;IF(AND(AW877&lt;&gt;"",AW877&lt;&gt;"OK"),"PAN wrong format; ","")&amp;IF(AND(BA877&lt;&gt;"",LEN(AZ877)=15,MID(AZ877,3,10)&lt;&gt;BA877),"PAN does not match GSTIN; ","")&amp;IF(AND(AX877&lt;&gt;"",AX877&lt;&gt;"OK"),"TAN wrong format; ","")&amp;IF(AS877="","PAN missing; ","")&amp;IF(BB877="","Entity type missing; ","")&amp;IF(AND(AZ877&lt;&gt;"",COUNTIF($AZ$6:$AZ$1005,AZ877)&gt;1),"GSTIN repeated in this sheet; ","")&amp;IF(AND(AS877&lt;&gt;"",COUNTIF($AS$6:$AS$1005,AS877)&gt;1),"PAN repeated in this sheet (same client? put extra GSTINs in Other GSTINs); ","")&amp;IF(AND(BD877&gt;0,V877=""),"Financial year missing; ","")&amp;IF(AND(BD877=0,V877&lt;&gt;""),"Financial year given but no service is Yes; ","")&amp;IF(AND(W877="Yes",AZ877=""),"GST needs a GSTIN; ","")&amp;IF(AND(W877="Yes",X877=""),"GST return frequency missing; ","")&amp;IF(AND(Y877="Yes",TRIM(H877)=""),"TDS needs a TAN; ","")&amp;IF(AND(AA877="Yes",BC877&lt;&gt;"",BC877&lt;&gt;"company",BC877&lt;&gt;"llp"),"ROC is only for a company / LLP; ","")&amp;IF(AND(AA877="Yes",OR(BC877="company",BC877="llp"),TRIM(I877)=""),"ROC needs the CIN / LLPIN; ","")&amp;IF((TRIM(AF877)="")&lt;&gt;(TRIM(AG877)=""),"GST login needs both user ID and password; ","")&amp;IF((TRIM(AH877)="")&lt;&gt;(TRIM(AI877)=""),"Income-tax login needs both user ID and password; ","")&amp;IF((TRIM(AJ877)="")&lt;&gt;(TRIM(AK877)=""),"Income-tax login needs both user ID and password; ","")&amp;IF((TRIM(AL877)="")&lt;&gt;(TRIM(AM877)=""),"TRACES login needs both user ID and password; ","")&amp;IF((TRIM(AN877)="")&lt;&gt;(TRIM(AO877)=""),"MCA login needs both user ID and password; ","")&amp;IF((TRIM(AP877)="")&lt;&gt;(TRIM(AQ877)=""),"E-way bill login needs both user ID and password; ","")</f>
        <v/>
      </c>
    </row>
    <row r="878">
      <c r="A878" s="32" t="n"/>
      <c r="B878" s="33" t="n"/>
      <c r="C878" s="33" t="n"/>
      <c r="D878" s="33" t="n"/>
      <c r="E878" s="32" t="n"/>
      <c r="F878" s="32" t="n"/>
      <c r="G878" s="32" t="n"/>
      <c r="H878" s="32" t="n"/>
      <c r="I878" s="32" t="n"/>
      <c r="J878" s="34" t="n"/>
      <c r="K878" s="33" t="n"/>
      <c r="L878" s="32" t="n"/>
      <c r="M878" s="33" t="n"/>
      <c r="N878" s="33" t="n"/>
      <c r="O878" s="33" t="n"/>
      <c r="P878" s="32" t="n"/>
      <c r="Q878" s="33" t="n"/>
      <c r="R878" s="33" t="n"/>
      <c r="S878" s="33" t="n"/>
      <c r="T878" s="33" t="n"/>
      <c r="U878" s="32" t="n"/>
      <c r="V878" s="33" t="n"/>
      <c r="W878" s="33" t="n"/>
      <c r="X878" s="33" t="n"/>
      <c r="Y878" s="33" t="n"/>
      <c r="Z878" s="33" t="n"/>
      <c r="AA878" s="33" t="n"/>
      <c r="AB878" s="33" t="n"/>
      <c r="AC878" s="33" t="n"/>
      <c r="AD878" s="33" t="n"/>
      <c r="AE878" s="33" t="n"/>
      <c r="AF878" s="32" t="n"/>
      <c r="AG878" s="32" t="n"/>
      <c r="AH878" s="32" t="n"/>
      <c r="AI878" s="32" t="n"/>
      <c r="AJ878" s="32" t="n"/>
      <c r="AK878" s="32" t="n"/>
      <c r="AL878" s="32" t="n"/>
      <c r="AM878" s="32" t="n"/>
      <c r="AN878" s="32" t="n"/>
      <c r="AO878" s="32" t="n"/>
      <c r="AP878" s="32" t="n"/>
      <c r="AQ878" s="32" t="n"/>
      <c r="AR878" s="29">
        <f>IF(NOT(COUNTA(A878:AE878)&gt;0),"",IF(A878="","New client","Update"))</f>
        <v/>
      </c>
      <c r="AS878" s="29">
        <f>IF(BA878&lt;&gt;"",BA878,IF(LEN(AZ878)=15,MID(AZ878,3,10),""))</f>
        <v/>
      </c>
      <c r="AT878" s="29">
        <f>IF(BB878="","",BB878&amp;IF(D878="","  (guessed from PAN)",""))</f>
        <v/>
      </c>
      <c r="AU878" s="29">
        <f>IF(AZ878="","",IFERROR(INDEX(Lists!$L$2:$L$38,MATCH(LEFT(AZ878,2),Lists!$K$2:$K$38,0)),"Unknown code"))</f>
        <v/>
      </c>
      <c r="AV878" s="29">
        <f>IF(AZ878="","",IFERROR(IF(NOT(AND(LEN(AZ878)=15,ISNUMBER(MATCH(LEFT(AZ878,2),Lists!$K$2:$K$38,0)),SUMPRODUCT(--ISERROR(FIND(MID(MID(AZ878,3,10),{1,2,3,4,5,10},1),"ABCDEFGHIJKLMNOPQRSTUVWXYZ")))=0,SUMPRODUCT(--ISERROR(FIND(MID(MID(AZ878,3,10),{6,7,8,9},1),"0123456789")))=0,ISNUMBER(FIND(MID(AZ878,13,1),"123456789ABCDEFGHIJKLMNOPQRSTUVWXYZ")),MID(AZ878,14,1)="Z")),"Wrong format",IF(MID("0123456789ABCDEFGHIJKLMNOPQRSTUVWXYZ",MOD(36-MOD(SUMPRODUCT(INT((FIND(MID(AZ878,{1,2,3,4,5,6,7,8,9,10,11,12,13,14},1),"0123456789ABCDEFGHIJKLMNOPQRSTUVWXYZ")-1)*{1,2,1,2,1,2,1,2,1,2,1,2,1,2}/36)+MOD((FIND(MID(AZ878,{1,2,3,4,5,6,7,8,9,10,11,12,13,14},1),"0123456789ABCDEFGHIJKLMNOPQRSTUVWXYZ")-1)*{1,2,1,2,1,2,1,2,1,2,1,2,1,2},36)),36),36)+1,1)=MID(AZ878,15,1),"OK","Typo? check digit wrong")),"Wrong format"))</f>
        <v/>
      </c>
      <c r="AW878" s="29">
        <f>IF(BA878="","",IF(AND(LEN(BA878)=10,SUMPRODUCT(--ISERROR(FIND(MID(BA878,{1,2,3,4,5,10},1),"ABCDEFGHIJKLMNOPQRSTUVWXYZ")))=0,SUMPRODUCT(--ISERROR(FIND(MID(BA878,{6,7,8,9},1),"0123456789")))=0),"OK","Wrong format"))</f>
        <v/>
      </c>
      <c r="AX878" s="29">
        <f>IF(TRIM(H878)="","",IF(AND(LEN(UPPER(TRIM(H878)))=10,SUMPRODUCT(--ISERROR(FIND(MID(UPPER(TRIM(H878)),{1,2,3,4,10},1),"ABCDEFGHIJKLMNOPQRSTUVWXYZ")))=0,SUMPRODUCT(--ISERROR(FIND(MID(UPPER(TRIM(H878)),{5,6,7,8,9},1),"0123456789")))=0),"OK","Wrong format"))</f>
        <v/>
      </c>
      <c r="AY878" s="30">
        <f>IF(NOT(COUNTA(A878:AE878)&gt;0),"",IF(BE878&lt;&gt;"","✖ "&amp;LEFT(BE878,LEN(BE878)-2),IF(BD878&gt;0,"✔ Ready — client + "&amp;BD878&amp;" service(s)","✔ Ready — client only")))</f>
        <v/>
      </c>
      <c r="AZ878" s="31">
        <f>UPPER(SUBSTITUTE(TRIM(F878)," ",""))</f>
        <v/>
      </c>
      <c r="BA878" s="31">
        <f>UPPER(SUBSTITUTE(TRIM(E878)," ",""))</f>
        <v/>
      </c>
      <c r="BB878" s="31">
        <f>IF(D878&lt;&gt;"",D878,IFERROR(VLOOKUP(MID(AS878,4,1),Lists!$E$2:$F$8,2,FALSE),""))</f>
        <v/>
      </c>
      <c r="BC878" s="31">
        <f>IFERROR(VLOOKUP(BB878,Lists!$A$2:$C$12,3,FALSE),"")</f>
        <v/>
      </c>
      <c r="BD878" s="31">
        <f>COUNTIF(W878:AC878,"Yes")</f>
        <v/>
      </c>
      <c r="BE878" s="31">
        <f>IF(TRIM(B878)="","Legal name missing; ","")&amp;IF(AND(AV878&lt;&gt;"",AV878&lt;&gt;"OK"),"GSTIN: "&amp;AV878&amp;"; ","")&amp;IF(AND(AW878&lt;&gt;"",AW878&lt;&gt;"OK"),"PAN wrong format; ","")&amp;IF(AND(BA878&lt;&gt;"",LEN(AZ878)=15,MID(AZ878,3,10)&lt;&gt;BA878),"PAN does not match GSTIN; ","")&amp;IF(AND(AX878&lt;&gt;"",AX878&lt;&gt;"OK"),"TAN wrong format; ","")&amp;IF(AS878="","PAN missing; ","")&amp;IF(BB878="","Entity type missing; ","")&amp;IF(AND(AZ878&lt;&gt;"",COUNTIF($AZ$6:$AZ$1005,AZ878)&gt;1),"GSTIN repeated in this sheet; ","")&amp;IF(AND(AS878&lt;&gt;"",COUNTIF($AS$6:$AS$1005,AS878)&gt;1),"PAN repeated in this sheet (same client? put extra GSTINs in Other GSTINs); ","")&amp;IF(AND(BD878&gt;0,V878=""),"Financial year missing; ","")&amp;IF(AND(BD878=0,V878&lt;&gt;""),"Financial year given but no service is Yes; ","")&amp;IF(AND(W878="Yes",AZ878=""),"GST needs a GSTIN; ","")&amp;IF(AND(W878="Yes",X878=""),"GST return frequency missing; ","")&amp;IF(AND(Y878="Yes",TRIM(H878)=""),"TDS needs a TAN; ","")&amp;IF(AND(AA878="Yes",BC878&lt;&gt;"",BC878&lt;&gt;"company",BC878&lt;&gt;"llp"),"ROC is only for a company / LLP; ","")&amp;IF(AND(AA878="Yes",OR(BC878="company",BC878="llp"),TRIM(I878)=""),"ROC needs the CIN / LLPIN; ","")&amp;IF((TRIM(AF878)="")&lt;&gt;(TRIM(AG878)=""),"GST login needs both user ID and password; ","")&amp;IF((TRIM(AH878)="")&lt;&gt;(TRIM(AI878)=""),"Income-tax login needs both user ID and password; ","")&amp;IF((TRIM(AJ878)="")&lt;&gt;(TRIM(AK878)=""),"Income-tax login needs both user ID and password; ","")&amp;IF((TRIM(AL878)="")&lt;&gt;(TRIM(AM878)=""),"TRACES login needs both user ID and password; ","")&amp;IF((TRIM(AN878)="")&lt;&gt;(TRIM(AO878)=""),"MCA login needs both user ID and password; ","")&amp;IF((TRIM(AP878)="")&lt;&gt;(TRIM(AQ878)=""),"E-way bill login needs both user ID and password; ","")</f>
        <v/>
      </c>
    </row>
    <row r="879">
      <c r="A879" s="32" t="n"/>
      <c r="B879" s="33" t="n"/>
      <c r="C879" s="33" t="n"/>
      <c r="D879" s="33" t="n"/>
      <c r="E879" s="32" t="n"/>
      <c r="F879" s="32" t="n"/>
      <c r="G879" s="32" t="n"/>
      <c r="H879" s="32" t="n"/>
      <c r="I879" s="32" t="n"/>
      <c r="J879" s="34" t="n"/>
      <c r="K879" s="33" t="n"/>
      <c r="L879" s="32" t="n"/>
      <c r="M879" s="33" t="n"/>
      <c r="N879" s="33" t="n"/>
      <c r="O879" s="33" t="n"/>
      <c r="P879" s="32" t="n"/>
      <c r="Q879" s="33" t="n"/>
      <c r="R879" s="33" t="n"/>
      <c r="S879" s="33" t="n"/>
      <c r="T879" s="33" t="n"/>
      <c r="U879" s="32" t="n"/>
      <c r="V879" s="33" t="n"/>
      <c r="W879" s="33" t="n"/>
      <c r="X879" s="33" t="n"/>
      <c r="Y879" s="33" t="n"/>
      <c r="Z879" s="33" t="n"/>
      <c r="AA879" s="33" t="n"/>
      <c r="AB879" s="33" t="n"/>
      <c r="AC879" s="33" t="n"/>
      <c r="AD879" s="33" t="n"/>
      <c r="AE879" s="33" t="n"/>
      <c r="AF879" s="32" t="n"/>
      <c r="AG879" s="32" t="n"/>
      <c r="AH879" s="32" t="n"/>
      <c r="AI879" s="32" t="n"/>
      <c r="AJ879" s="32" t="n"/>
      <c r="AK879" s="32" t="n"/>
      <c r="AL879" s="32" t="n"/>
      <c r="AM879" s="32" t="n"/>
      <c r="AN879" s="32" t="n"/>
      <c r="AO879" s="32" t="n"/>
      <c r="AP879" s="32" t="n"/>
      <c r="AQ879" s="32" t="n"/>
      <c r="AR879" s="29">
        <f>IF(NOT(COUNTA(A879:AE879)&gt;0),"",IF(A879="","New client","Update"))</f>
        <v/>
      </c>
      <c r="AS879" s="29">
        <f>IF(BA879&lt;&gt;"",BA879,IF(LEN(AZ879)=15,MID(AZ879,3,10),""))</f>
        <v/>
      </c>
      <c r="AT879" s="29">
        <f>IF(BB879="","",BB879&amp;IF(D879="","  (guessed from PAN)",""))</f>
        <v/>
      </c>
      <c r="AU879" s="29">
        <f>IF(AZ879="","",IFERROR(INDEX(Lists!$L$2:$L$38,MATCH(LEFT(AZ879,2),Lists!$K$2:$K$38,0)),"Unknown code"))</f>
        <v/>
      </c>
      <c r="AV879" s="29">
        <f>IF(AZ879="","",IFERROR(IF(NOT(AND(LEN(AZ879)=15,ISNUMBER(MATCH(LEFT(AZ879,2),Lists!$K$2:$K$38,0)),SUMPRODUCT(--ISERROR(FIND(MID(MID(AZ879,3,10),{1,2,3,4,5,10},1),"ABCDEFGHIJKLMNOPQRSTUVWXYZ")))=0,SUMPRODUCT(--ISERROR(FIND(MID(MID(AZ879,3,10),{6,7,8,9},1),"0123456789")))=0,ISNUMBER(FIND(MID(AZ879,13,1),"123456789ABCDEFGHIJKLMNOPQRSTUVWXYZ")),MID(AZ879,14,1)="Z")),"Wrong format",IF(MID("0123456789ABCDEFGHIJKLMNOPQRSTUVWXYZ",MOD(36-MOD(SUMPRODUCT(INT((FIND(MID(AZ879,{1,2,3,4,5,6,7,8,9,10,11,12,13,14},1),"0123456789ABCDEFGHIJKLMNOPQRSTUVWXYZ")-1)*{1,2,1,2,1,2,1,2,1,2,1,2,1,2}/36)+MOD((FIND(MID(AZ879,{1,2,3,4,5,6,7,8,9,10,11,12,13,14},1),"0123456789ABCDEFGHIJKLMNOPQRSTUVWXYZ")-1)*{1,2,1,2,1,2,1,2,1,2,1,2,1,2},36)),36),36)+1,1)=MID(AZ879,15,1),"OK","Typo? check digit wrong")),"Wrong format"))</f>
        <v/>
      </c>
      <c r="AW879" s="29">
        <f>IF(BA879="","",IF(AND(LEN(BA879)=10,SUMPRODUCT(--ISERROR(FIND(MID(BA879,{1,2,3,4,5,10},1),"ABCDEFGHIJKLMNOPQRSTUVWXYZ")))=0,SUMPRODUCT(--ISERROR(FIND(MID(BA879,{6,7,8,9},1),"0123456789")))=0),"OK","Wrong format"))</f>
        <v/>
      </c>
      <c r="AX879" s="29">
        <f>IF(TRIM(H879)="","",IF(AND(LEN(UPPER(TRIM(H879)))=10,SUMPRODUCT(--ISERROR(FIND(MID(UPPER(TRIM(H879)),{1,2,3,4,10},1),"ABCDEFGHIJKLMNOPQRSTUVWXYZ")))=0,SUMPRODUCT(--ISERROR(FIND(MID(UPPER(TRIM(H879)),{5,6,7,8,9},1),"0123456789")))=0),"OK","Wrong format"))</f>
        <v/>
      </c>
      <c r="AY879" s="30">
        <f>IF(NOT(COUNTA(A879:AE879)&gt;0),"",IF(BE879&lt;&gt;"","✖ "&amp;LEFT(BE879,LEN(BE879)-2),IF(BD879&gt;0,"✔ Ready — client + "&amp;BD879&amp;" service(s)","✔ Ready — client only")))</f>
        <v/>
      </c>
      <c r="AZ879" s="31">
        <f>UPPER(SUBSTITUTE(TRIM(F879)," ",""))</f>
        <v/>
      </c>
      <c r="BA879" s="31">
        <f>UPPER(SUBSTITUTE(TRIM(E879)," ",""))</f>
        <v/>
      </c>
      <c r="BB879" s="31">
        <f>IF(D879&lt;&gt;"",D879,IFERROR(VLOOKUP(MID(AS879,4,1),Lists!$E$2:$F$8,2,FALSE),""))</f>
        <v/>
      </c>
      <c r="BC879" s="31">
        <f>IFERROR(VLOOKUP(BB879,Lists!$A$2:$C$12,3,FALSE),"")</f>
        <v/>
      </c>
      <c r="BD879" s="31">
        <f>COUNTIF(W879:AC879,"Yes")</f>
        <v/>
      </c>
      <c r="BE879" s="31">
        <f>IF(TRIM(B879)="","Legal name missing; ","")&amp;IF(AND(AV879&lt;&gt;"",AV879&lt;&gt;"OK"),"GSTIN: "&amp;AV879&amp;"; ","")&amp;IF(AND(AW879&lt;&gt;"",AW879&lt;&gt;"OK"),"PAN wrong format; ","")&amp;IF(AND(BA879&lt;&gt;"",LEN(AZ879)=15,MID(AZ879,3,10)&lt;&gt;BA879),"PAN does not match GSTIN; ","")&amp;IF(AND(AX879&lt;&gt;"",AX879&lt;&gt;"OK"),"TAN wrong format; ","")&amp;IF(AS879="","PAN missing; ","")&amp;IF(BB879="","Entity type missing; ","")&amp;IF(AND(AZ879&lt;&gt;"",COUNTIF($AZ$6:$AZ$1005,AZ879)&gt;1),"GSTIN repeated in this sheet; ","")&amp;IF(AND(AS879&lt;&gt;"",COUNTIF($AS$6:$AS$1005,AS879)&gt;1),"PAN repeated in this sheet (same client? put extra GSTINs in Other GSTINs); ","")&amp;IF(AND(BD879&gt;0,V879=""),"Financial year missing; ","")&amp;IF(AND(BD879=0,V879&lt;&gt;""),"Financial year given but no service is Yes; ","")&amp;IF(AND(W879="Yes",AZ879=""),"GST needs a GSTIN; ","")&amp;IF(AND(W879="Yes",X879=""),"GST return frequency missing; ","")&amp;IF(AND(Y879="Yes",TRIM(H879)=""),"TDS needs a TAN; ","")&amp;IF(AND(AA879="Yes",BC879&lt;&gt;"",BC879&lt;&gt;"company",BC879&lt;&gt;"llp"),"ROC is only for a company / LLP; ","")&amp;IF(AND(AA879="Yes",OR(BC879="company",BC879="llp"),TRIM(I879)=""),"ROC needs the CIN / LLPIN; ","")&amp;IF((TRIM(AF879)="")&lt;&gt;(TRIM(AG879)=""),"GST login needs both user ID and password; ","")&amp;IF((TRIM(AH879)="")&lt;&gt;(TRIM(AI879)=""),"Income-tax login needs both user ID and password; ","")&amp;IF((TRIM(AJ879)="")&lt;&gt;(TRIM(AK879)=""),"Income-tax login needs both user ID and password; ","")&amp;IF((TRIM(AL879)="")&lt;&gt;(TRIM(AM879)=""),"TRACES login needs both user ID and password; ","")&amp;IF((TRIM(AN879)="")&lt;&gt;(TRIM(AO879)=""),"MCA login needs both user ID and password; ","")&amp;IF((TRIM(AP879)="")&lt;&gt;(TRIM(AQ879)=""),"E-way bill login needs both user ID and password; ","")</f>
        <v/>
      </c>
    </row>
    <row r="880">
      <c r="A880" s="32" t="n"/>
      <c r="B880" s="33" t="n"/>
      <c r="C880" s="33" t="n"/>
      <c r="D880" s="33" t="n"/>
      <c r="E880" s="32" t="n"/>
      <c r="F880" s="32" t="n"/>
      <c r="G880" s="32" t="n"/>
      <c r="H880" s="32" t="n"/>
      <c r="I880" s="32" t="n"/>
      <c r="J880" s="34" t="n"/>
      <c r="K880" s="33" t="n"/>
      <c r="L880" s="32" t="n"/>
      <c r="M880" s="33" t="n"/>
      <c r="N880" s="33" t="n"/>
      <c r="O880" s="33" t="n"/>
      <c r="P880" s="32" t="n"/>
      <c r="Q880" s="33" t="n"/>
      <c r="R880" s="33" t="n"/>
      <c r="S880" s="33" t="n"/>
      <c r="T880" s="33" t="n"/>
      <c r="U880" s="32" t="n"/>
      <c r="V880" s="33" t="n"/>
      <c r="W880" s="33" t="n"/>
      <c r="X880" s="33" t="n"/>
      <c r="Y880" s="33" t="n"/>
      <c r="Z880" s="33" t="n"/>
      <c r="AA880" s="33" t="n"/>
      <c r="AB880" s="33" t="n"/>
      <c r="AC880" s="33" t="n"/>
      <c r="AD880" s="33" t="n"/>
      <c r="AE880" s="33" t="n"/>
      <c r="AF880" s="32" t="n"/>
      <c r="AG880" s="32" t="n"/>
      <c r="AH880" s="32" t="n"/>
      <c r="AI880" s="32" t="n"/>
      <c r="AJ880" s="32" t="n"/>
      <c r="AK880" s="32" t="n"/>
      <c r="AL880" s="32" t="n"/>
      <c r="AM880" s="32" t="n"/>
      <c r="AN880" s="32" t="n"/>
      <c r="AO880" s="32" t="n"/>
      <c r="AP880" s="32" t="n"/>
      <c r="AQ880" s="32" t="n"/>
      <c r="AR880" s="29">
        <f>IF(NOT(COUNTA(A880:AE880)&gt;0),"",IF(A880="","New client","Update"))</f>
        <v/>
      </c>
      <c r="AS880" s="29">
        <f>IF(BA880&lt;&gt;"",BA880,IF(LEN(AZ880)=15,MID(AZ880,3,10),""))</f>
        <v/>
      </c>
      <c r="AT880" s="29">
        <f>IF(BB880="","",BB880&amp;IF(D880="","  (guessed from PAN)",""))</f>
        <v/>
      </c>
      <c r="AU880" s="29">
        <f>IF(AZ880="","",IFERROR(INDEX(Lists!$L$2:$L$38,MATCH(LEFT(AZ880,2),Lists!$K$2:$K$38,0)),"Unknown code"))</f>
        <v/>
      </c>
      <c r="AV880" s="29">
        <f>IF(AZ880="","",IFERROR(IF(NOT(AND(LEN(AZ880)=15,ISNUMBER(MATCH(LEFT(AZ880,2),Lists!$K$2:$K$38,0)),SUMPRODUCT(--ISERROR(FIND(MID(MID(AZ880,3,10),{1,2,3,4,5,10},1),"ABCDEFGHIJKLMNOPQRSTUVWXYZ")))=0,SUMPRODUCT(--ISERROR(FIND(MID(MID(AZ880,3,10),{6,7,8,9},1),"0123456789")))=0,ISNUMBER(FIND(MID(AZ880,13,1),"123456789ABCDEFGHIJKLMNOPQRSTUVWXYZ")),MID(AZ880,14,1)="Z")),"Wrong format",IF(MID("0123456789ABCDEFGHIJKLMNOPQRSTUVWXYZ",MOD(36-MOD(SUMPRODUCT(INT((FIND(MID(AZ880,{1,2,3,4,5,6,7,8,9,10,11,12,13,14},1),"0123456789ABCDEFGHIJKLMNOPQRSTUVWXYZ")-1)*{1,2,1,2,1,2,1,2,1,2,1,2,1,2}/36)+MOD((FIND(MID(AZ880,{1,2,3,4,5,6,7,8,9,10,11,12,13,14},1),"0123456789ABCDEFGHIJKLMNOPQRSTUVWXYZ")-1)*{1,2,1,2,1,2,1,2,1,2,1,2,1,2},36)),36),36)+1,1)=MID(AZ880,15,1),"OK","Typo? check digit wrong")),"Wrong format"))</f>
        <v/>
      </c>
      <c r="AW880" s="29">
        <f>IF(BA880="","",IF(AND(LEN(BA880)=10,SUMPRODUCT(--ISERROR(FIND(MID(BA880,{1,2,3,4,5,10},1),"ABCDEFGHIJKLMNOPQRSTUVWXYZ")))=0,SUMPRODUCT(--ISERROR(FIND(MID(BA880,{6,7,8,9},1),"0123456789")))=0),"OK","Wrong format"))</f>
        <v/>
      </c>
      <c r="AX880" s="29">
        <f>IF(TRIM(H880)="","",IF(AND(LEN(UPPER(TRIM(H880)))=10,SUMPRODUCT(--ISERROR(FIND(MID(UPPER(TRIM(H880)),{1,2,3,4,10},1),"ABCDEFGHIJKLMNOPQRSTUVWXYZ")))=0,SUMPRODUCT(--ISERROR(FIND(MID(UPPER(TRIM(H880)),{5,6,7,8,9},1),"0123456789")))=0),"OK","Wrong format"))</f>
        <v/>
      </c>
      <c r="AY880" s="30">
        <f>IF(NOT(COUNTA(A880:AE880)&gt;0),"",IF(BE880&lt;&gt;"","✖ "&amp;LEFT(BE880,LEN(BE880)-2),IF(BD880&gt;0,"✔ Ready — client + "&amp;BD880&amp;" service(s)","✔ Ready — client only")))</f>
        <v/>
      </c>
      <c r="AZ880" s="31">
        <f>UPPER(SUBSTITUTE(TRIM(F880)," ",""))</f>
        <v/>
      </c>
      <c r="BA880" s="31">
        <f>UPPER(SUBSTITUTE(TRIM(E880)," ",""))</f>
        <v/>
      </c>
      <c r="BB880" s="31">
        <f>IF(D880&lt;&gt;"",D880,IFERROR(VLOOKUP(MID(AS880,4,1),Lists!$E$2:$F$8,2,FALSE),""))</f>
        <v/>
      </c>
      <c r="BC880" s="31">
        <f>IFERROR(VLOOKUP(BB880,Lists!$A$2:$C$12,3,FALSE),"")</f>
        <v/>
      </c>
      <c r="BD880" s="31">
        <f>COUNTIF(W880:AC880,"Yes")</f>
        <v/>
      </c>
      <c r="BE880" s="31">
        <f>IF(TRIM(B880)="","Legal name missing; ","")&amp;IF(AND(AV880&lt;&gt;"",AV880&lt;&gt;"OK"),"GSTIN: "&amp;AV880&amp;"; ","")&amp;IF(AND(AW880&lt;&gt;"",AW880&lt;&gt;"OK"),"PAN wrong format; ","")&amp;IF(AND(BA880&lt;&gt;"",LEN(AZ880)=15,MID(AZ880,3,10)&lt;&gt;BA880),"PAN does not match GSTIN; ","")&amp;IF(AND(AX880&lt;&gt;"",AX880&lt;&gt;"OK"),"TAN wrong format; ","")&amp;IF(AS880="","PAN missing; ","")&amp;IF(BB880="","Entity type missing; ","")&amp;IF(AND(AZ880&lt;&gt;"",COUNTIF($AZ$6:$AZ$1005,AZ880)&gt;1),"GSTIN repeated in this sheet; ","")&amp;IF(AND(AS880&lt;&gt;"",COUNTIF($AS$6:$AS$1005,AS880)&gt;1),"PAN repeated in this sheet (same client? put extra GSTINs in Other GSTINs); ","")&amp;IF(AND(BD880&gt;0,V880=""),"Financial year missing; ","")&amp;IF(AND(BD880=0,V880&lt;&gt;""),"Financial year given but no service is Yes; ","")&amp;IF(AND(W880="Yes",AZ880=""),"GST needs a GSTIN; ","")&amp;IF(AND(W880="Yes",X880=""),"GST return frequency missing; ","")&amp;IF(AND(Y880="Yes",TRIM(H880)=""),"TDS needs a TAN; ","")&amp;IF(AND(AA880="Yes",BC880&lt;&gt;"",BC880&lt;&gt;"company",BC880&lt;&gt;"llp"),"ROC is only for a company / LLP; ","")&amp;IF(AND(AA880="Yes",OR(BC880="company",BC880="llp"),TRIM(I880)=""),"ROC needs the CIN / LLPIN; ","")&amp;IF((TRIM(AF880)="")&lt;&gt;(TRIM(AG880)=""),"GST login needs both user ID and password; ","")&amp;IF((TRIM(AH880)="")&lt;&gt;(TRIM(AI880)=""),"Income-tax login needs both user ID and password; ","")&amp;IF((TRIM(AJ880)="")&lt;&gt;(TRIM(AK880)=""),"Income-tax login needs both user ID and password; ","")&amp;IF((TRIM(AL880)="")&lt;&gt;(TRIM(AM880)=""),"TRACES login needs both user ID and password; ","")&amp;IF((TRIM(AN880)="")&lt;&gt;(TRIM(AO880)=""),"MCA login needs both user ID and password; ","")&amp;IF((TRIM(AP880)="")&lt;&gt;(TRIM(AQ880)=""),"E-way bill login needs both user ID and password; ","")</f>
        <v/>
      </c>
    </row>
    <row r="881">
      <c r="A881" s="32" t="n"/>
      <c r="B881" s="33" t="n"/>
      <c r="C881" s="33" t="n"/>
      <c r="D881" s="33" t="n"/>
      <c r="E881" s="32" t="n"/>
      <c r="F881" s="32" t="n"/>
      <c r="G881" s="32" t="n"/>
      <c r="H881" s="32" t="n"/>
      <c r="I881" s="32" t="n"/>
      <c r="J881" s="34" t="n"/>
      <c r="K881" s="33" t="n"/>
      <c r="L881" s="32" t="n"/>
      <c r="M881" s="33" t="n"/>
      <c r="N881" s="33" t="n"/>
      <c r="O881" s="33" t="n"/>
      <c r="P881" s="32" t="n"/>
      <c r="Q881" s="33" t="n"/>
      <c r="R881" s="33" t="n"/>
      <c r="S881" s="33" t="n"/>
      <c r="T881" s="33" t="n"/>
      <c r="U881" s="32" t="n"/>
      <c r="V881" s="33" t="n"/>
      <c r="W881" s="33" t="n"/>
      <c r="X881" s="33" t="n"/>
      <c r="Y881" s="33" t="n"/>
      <c r="Z881" s="33" t="n"/>
      <c r="AA881" s="33" t="n"/>
      <c r="AB881" s="33" t="n"/>
      <c r="AC881" s="33" t="n"/>
      <c r="AD881" s="33" t="n"/>
      <c r="AE881" s="33" t="n"/>
      <c r="AF881" s="32" t="n"/>
      <c r="AG881" s="32" t="n"/>
      <c r="AH881" s="32" t="n"/>
      <c r="AI881" s="32" t="n"/>
      <c r="AJ881" s="32" t="n"/>
      <c r="AK881" s="32" t="n"/>
      <c r="AL881" s="32" t="n"/>
      <c r="AM881" s="32" t="n"/>
      <c r="AN881" s="32" t="n"/>
      <c r="AO881" s="32" t="n"/>
      <c r="AP881" s="32" t="n"/>
      <c r="AQ881" s="32" t="n"/>
      <c r="AR881" s="29">
        <f>IF(NOT(COUNTA(A881:AE881)&gt;0),"",IF(A881="","New client","Update"))</f>
        <v/>
      </c>
      <c r="AS881" s="29">
        <f>IF(BA881&lt;&gt;"",BA881,IF(LEN(AZ881)=15,MID(AZ881,3,10),""))</f>
        <v/>
      </c>
      <c r="AT881" s="29">
        <f>IF(BB881="","",BB881&amp;IF(D881="","  (guessed from PAN)",""))</f>
        <v/>
      </c>
      <c r="AU881" s="29">
        <f>IF(AZ881="","",IFERROR(INDEX(Lists!$L$2:$L$38,MATCH(LEFT(AZ881,2),Lists!$K$2:$K$38,0)),"Unknown code"))</f>
        <v/>
      </c>
      <c r="AV881" s="29">
        <f>IF(AZ881="","",IFERROR(IF(NOT(AND(LEN(AZ881)=15,ISNUMBER(MATCH(LEFT(AZ881,2),Lists!$K$2:$K$38,0)),SUMPRODUCT(--ISERROR(FIND(MID(MID(AZ881,3,10),{1,2,3,4,5,10},1),"ABCDEFGHIJKLMNOPQRSTUVWXYZ")))=0,SUMPRODUCT(--ISERROR(FIND(MID(MID(AZ881,3,10),{6,7,8,9},1),"0123456789")))=0,ISNUMBER(FIND(MID(AZ881,13,1),"123456789ABCDEFGHIJKLMNOPQRSTUVWXYZ")),MID(AZ881,14,1)="Z")),"Wrong format",IF(MID("0123456789ABCDEFGHIJKLMNOPQRSTUVWXYZ",MOD(36-MOD(SUMPRODUCT(INT((FIND(MID(AZ881,{1,2,3,4,5,6,7,8,9,10,11,12,13,14},1),"0123456789ABCDEFGHIJKLMNOPQRSTUVWXYZ")-1)*{1,2,1,2,1,2,1,2,1,2,1,2,1,2}/36)+MOD((FIND(MID(AZ881,{1,2,3,4,5,6,7,8,9,10,11,12,13,14},1),"0123456789ABCDEFGHIJKLMNOPQRSTUVWXYZ")-1)*{1,2,1,2,1,2,1,2,1,2,1,2,1,2},36)),36),36)+1,1)=MID(AZ881,15,1),"OK","Typo? check digit wrong")),"Wrong format"))</f>
        <v/>
      </c>
      <c r="AW881" s="29">
        <f>IF(BA881="","",IF(AND(LEN(BA881)=10,SUMPRODUCT(--ISERROR(FIND(MID(BA881,{1,2,3,4,5,10},1),"ABCDEFGHIJKLMNOPQRSTUVWXYZ")))=0,SUMPRODUCT(--ISERROR(FIND(MID(BA881,{6,7,8,9},1),"0123456789")))=0),"OK","Wrong format"))</f>
        <v/>
      </c>
      <c r="AX881" s="29">
        <f>IF(TRIM(H881)="","",IF(AND(LEN(UPPER(TRIM(H881)))=10,SUMPRODUCT(--ISERROR(FIND(MID(UPPER(TRIM(H881)),{1,2,3,4,10},1),"ABCDEFGHIJKLMNOPQRSTUVWXYZ")))=0,SUMPRODUCT(--ISERROR(FIND(MID(UPPER(TRIM(H881)),{5,6,7,8,9},1),"0123456789")))=0),"OK","Wrong format"))</f>
        <v/>
      </c>
      <c r="AY881" s="30">
        <f>IF(NOT(COUNTA(A881:AE881)&gt;0),"",IF(BE881&lt;&gt;"","✖ "&amp;LEFT(BE881,LEN(BE881)-2),IF(BD881&gt;0,"✔ Ready — client + "&amp;BD881&amp;" service(s)","✔ Ready — client only")))</f>
        <v/>
      </c>
      <c r="AZ881" s="31">
        <f>UPPER(SUBSTITUTE(TRIM(F881)," ",""))</f>
        <v/>
      </c>
      <c r="BA881" s="31">
        <f>UPPER(SUBSTITUTE(TRIM(E881)," ",""))</f>
        <v/>
      </c>
      <c r="BB881" s="31">
        <f>IF(D881&lt;&gt;"",D881,IFERROR(VLOOKUP(MID(AS881,4,1),Lists!$E$2:$F$8,2,FALSE),""))</f>
        <v/>
      </c>
      <c r="BC881" s="31">
        <f>IFERROR(VLOOKUP(BB881,Lists!$A$2:$C$12,3,FALSE),"")</f>
        <v/>
      </c>
      <c r="BD881" s="31">
        <f>COUNTIF(W881:AC881,"Yes")</f>
        <v/>
      </c>
      <c r="BE881" s="31">
        <f>IF(TRIM(B881)="","Legal name missing; ","")&amp;IF(AND(AV881&lt;&gt;"",AV881&lt;&gt;"OK"),"GSTIN: "&amp;AV881&amp;"; ","")&amp;IF(AND(AW881&lt;&gt;"",AW881&lt;&gt;"OK"),"PAN wrong format; ","")&amp;IF(AND(BA881&lt;&gt;"",LEN(AZ881)=15,MID(AZ881,3,10)&lt;&gt;BA881),"PAN does not match GSTIN; ","")&amp;IF(AND(AX881&lt;&gt;"",AX881&lt;&gt;"OK"),"TAN wrong format; ","")&amp;IF(AS881="","PAN missing; ","")&amp;IF(BB881="","Entity type missing; ","")&amp;IF(AND(AZ881&lt;&gt;"",COUNTIF($AZ$6:$AZ$1005,AZ881)&gt;1),"GSTIN repeated in this sheet; ","")&amp;IF(AND(AS881&lt;&gt;"",COUNTIF($AS$6:$AS$1005,AS881)&gt;1),"PAN repeated in this sheet (same client? put extra GSTINs in Other GSTINs); ","")&amp;IF(AND(BD881&gt;0,V881=""),"Financial year missing; ","")&amp;IF(AND(BD881=0,V881&lt;&gt;""),"Financial year given but no service is Yes; ","")&amp;IF(AND(W881="Yes",AZ881=""),"GST needs a GSTIN; ","")&amp;IF(AND(W881="Yes",X881=""),"GST return frequency missing; ","")&amp;IF(AND(Y881="Yes",TRIM(H881)=""),"TDS needs a TAN; ","")&amp;IF(AND(AA881="Yes",BC881&lt;&gt;"",BC881&lt;&gt;"company",BC881&lt;&gt;"llp"),"ROC is only for a company / LLP; ","")&amp;IF(AND(AA881="Yes",OR(BC881="company",BC881="llp"),TRIM(I881)=""),"ROC needs the CIN / LLPIN; ","")&amp;IF((TRIM(AF881)="")&lt;&gt;(TRIM(AG881)=""),"GST login needs both user ID and password; ","")&amp;IF((TRIM(AH881)="")&lt;&gt;(TRIM(AI881)=""),"Income-tax login needs both user ID and password; ","")&amp;IF((TRIM(AJ881)="")&lt;&gt;(TRIM(AK881)=""),"Income-tax login needs both user ID and password; ","")&amp;IF((TRIM(AL881)="")&lt;&gt;(TRIM(AM881)=""),"TRACES login needs both user ID and password; ","")&amp;IF((TRIM(AN881)="")&lt;&gt;(TRIM(AO881)=""),"MCA login needs both user ID and password; ","")&amp;IF((TRIM(AP881)="")&lt;&gt;(TRIM(AQ881)=""),"E-way bill login needs both user ID and password; ","")</f>
        <v/>
      </c>
    </row>
    <row r="882">
      <c r="A882" s="32" t="n"/>
      <c r="B882" s="33" t="n"/>
      <c r="C882" s="33" t="n"/>
      <c r="D882" s="33" t="n"/>
      <c r="E882" s="32" t="n"/>
      <c r="F882" s="32" t="n"/>
      <c r="G882" s="32" t="n"/>
      <c r="H882" s="32" t="n"/>
      <c r="I882" s="32" t="n"/>
      <c r="J882" s="34" t="n"/>
      <c r="K882" s="33" t="n"/>
      <c r="L882" s="32" t="n"/>
      <c r="M882" s="33" t="n"/>
      <c r="N882" s="33" t="n"/>
      <c r="O882" s="33" t="n"/>
      <c r="P882" s="32" t="n"/>
      <c r="Q882" s="33" t="n"/>
      <c r="R882" s="33" t="n"/>
      <c r="S882" s="33" t="n"/>
      <c r="T882" s="33" t="n"/>
      <c r="U882" s="32" t="n"/>
      <c r="V882" s="33" t="n"/>
      <c r="W882" s="33" t="n"/>
      <c r="X882" s="33" t="n"/>
      <c r="Y882" s="33" t="n"/>
      <c r="Z882" s="33" t="n"/>
      <c r="AA882" s="33" t="n"/>
      <c r="AB882" s="33" t="n"/>
      <c r="AC882" s="33" t="n"/>
      <c r="AD882" s="33" t="n"/>
      <c r="AE882" s="33" t="n"/>
      <c r="AF882" s="32" t="n"/>
      <c r="AG882" s="32" t="n"/>
      <c r="AH882" s="32" t="n"/>
      <c r="AI882" s="32" t="n"/>
      <c r="AJ882" s="32" t="n"/>
      <c r="AK882" s="32" t="n"/>
      <c r="AL882" s="32" t="n"/>
      <c r="AM882" s="32" t="n"/>
      <c r="AN882" s="32" t="n"/>
      <c r="AO882" s="32" t="n"/>
      <c r="AP882" s="32" t="n"/>
      <c r="AQ882" s="32" t="n"/>
      <c r="AR882" s="29">
        <f>IF(NOT(COUNTA(A882:AE882)&gt;0),"",IF(A882="","New client","Update"))</f>
        <v/>
      </c>
      <c r="AS882" s="29">
        <f>IF(BA882&lt;&gt;"",BA882,IF(LEN(AZ882)=15,MID(AZ882,3,10),""))</f>
        <v/>
      </c>
      <c r="AT882" s="29">
        <f>IF(BB882="","",BB882&amp;IF(D882="","  (guessed from PAN)",""))</f>
        <v/>
      </c>
      <c r="AU882" s="29">
        <f>IF(AZ882="","",IFERROR(INDEX(Lists!$L$2:$L$38,MATCH(LEFT(AZ882,2),Lists!$K$2:$K$38,0)),"Unknown code"))</f>
        <v/>
      </c>
      <c r="AV882" s="29">
        <f>IF(AZ882="","",IFERROR(IF(NOT(AND(LEN(AZ882)=15,ISNUMBER(MATCH(LEFT(AZ882,2),Lists!$K$2:$K$38,0)),SUMPRODUCT(--ISERROR(FIND(MID(MID(AZ882,3,10),{1,2,3,4,5,10},1),"ABCDEFGHIJKLMNOPQRSTUVWXYZ")))=0,SUMPRODUCT(--ISERROR(FIND(MID(MID(AZ882,3,10),{6,7,8,9},1),"0123456789")))=0,ISNUMBER(FIND(MID(AZ882,13,1),"123456789ABCDEFGHIJKLMNOPQRSTUVWXYZ")),MID(AZ882,14,1)="Z")),"Wrong format",IF(MID("0123456789ABCDEFGHIJKLMNOPQRSTUVWXYZ",MOD(36-MOD(SUMPRODUCT(INT((FIND(MID(AZ882,{1,2,3,4,5,6,7,8,9,10,11,12,13,14},1),"0123456789ABCDEFGHIJKLMNOPQRSTUVWXYZ")-1)*{1,2,1,2,1,2,1,2,1,2,1,2,1,2}/36)+MOD((FIND(MID(AZ882,{1,2,3,4,5,6,7,8,9,10,11,12,13,14},1),"0123456789ABCDEFGHIJKLMNOPQRSTUVWXYZ")-1)*{1,2,1,2,1,2,1,2,1,2,1,2,1,2},36)),36),36)+1,1)=MID(AZ882,15,1),"OK","Typo? check digit wrong")),"Wrong format"))</f>
        <v/>
      </c>
      <c r="AW882" s="29">
        <f>IF(BA882="","",IF(AND(LEN(BA882)=10,SUMPRODUCT(--ISERROR(FIND(MID(BA882,{1,2,3,4,5,10},1),"ABCDEFGHIJKLMNOPQRSTUVWXYZ")))=0,SUMPRODUCT(--ISERROR(FIND(MID(BA882,{6,7,8,9},1),"0123456789")))=0),"OK","Wrong format"))</f>
        <v/>
      </c>
      <c r="AX882" s="29">
        <f>IF(TRIM(H882)="","",IF(AND(LEN(UPPER(TRIM(H882)))=10,SUMPRODUCT(--ISERROR(FIND(MID(UPPER(TRIM(H882)),{1,2,3,4,10},1),"ABCDEFGHIJKLMNOPQRSTUVWXYZ")))=0,SUMPRODUCT(--ISERROR(FIND(MID(UPPER(TRIM(H882)),{5,6,7,8,9},1),"0123456789")))=0),"OK","Wrong format"))</f>
        <v/>
      </c>
      <c r="AY882" s="30">
        <f>IF(NOT(COUNTA(A882:AE882)&gt;0),"",IF(BE882&lt;&gt;"","✖ "&amp;LEFT(BE882,LEN(BE882)-2),IF(BD882&gt;0,"✔ Ready — client + "&amp;BD882&amp;" service(s)","✔ Ready — client only")))</f>
        <v/>
      </c>
      <c r="AZ882" s="31">
        <f>UPPER(SUBSTITUTE(TRIM(F882)," ",""))</f>
        <v/>
      </c>
      <c r="BA882" s="31">
        <f>UPPER(SUBSTITUTE(TRIM(E882)," ",""))</f>
        <v/>
      </c>
      <c r="BB882" s="31">
        <f>IF(D882&lt;&gt;"",D882,IFERROR(VLOOKUP(MID(AS882,4,1),Lists!$E$2:$F$8,2,FALSE),""))</f>
        <v/>
      </c>
      <c r="BC882" s="31">
        <f>IFERROR(VLOOKUP(BB882,Lists!$A$2:$C$12,3,FALSE),"")</f>
        <v/>
      </c>
      <c r="BD882" s="31">
        <f>COUNTIF(W882:AC882,"Yes")</f>
        <v/>
      </c>
      <c r="BE882" s="31">
        <f>IF(TRIM(B882)="","Legal name missing; ","")&amp;IF(AND(AV882&lt;&gt;"",AV882&lt;&gt;"OK"),"GSTIN: "&amp;AV882&amp;"; ","")&amp;IF(AND(AW882&lt;&gt;"",AW882&lt;&gt;"OK"),"PAN wrong format; ","")&amp;IF(AND(BA882&lt;&gt;"",LEN(AZ882)=15,MID(AZ882,3,10)&lt;&gt;BA882),"PAN does not match GSTIN; ","")&amp;IF(AND(AX882&lt;&gt;"",AX882&lt;&gt;"OK"),"TAN wrong format; ","")&amp;IF(AS882="","PAN missing; ","")&amp;IF(BB882="","Entity type missing; ","")&amp;IF(AND(AZ882&lt;&gt;"",COUNTIF($AZ$6:$AZ$1005,AZ882)&gt;1),"GSTIN repeated in this sheet; ","")&amp;IF(AND(AS882&lt;&gt;"",COUNTIF($AS$6:$AS$1005,AS882)&gt;1),"PAN repeated in this sheet (same client? put extra GSTINs in Other GSTINs); ","")&amp;IF(AND(BD882&gt;0,V882=""),"Financial year missing; ","")&amp;IF(AND(BD882=0,V882&lt;&gt;""),"Financial year given but no service is Yes; ","")&amp;IF(AND(W882="Yes",AZ882=""),"GST needs a GSTIN; ","")&amp;IF(AND(W882="Yes",X882=""),"GST return frequency missing; ","")&amp;IF(AND(Y882="Yes",TRIM(H882)=""),"TDS needs a TAN; ","")&amp;IF(AND(AA882="Yes",BC882&lt;&gt;"",BC882&lt;&gt;"company",BC882&lt;&gt;"llp"),"ROC is only for a company / LLP; ","")&amp;IF(AND(AA882="Yes",OR(BC882="company",BC882="llp"),TRIM(I882)=""),"ROC needs the CIN / LLPIN; ","")&amp;IF((TRIM(AF882)="")&lt;&gt;(TRIM(AG882)=""),"GST login needs both user ID and password; ","")&amp;IF((TRIM(AH882)="")&lt;&gt;(TRIM(AI882)=""),"Income-tax login needs both user ID and password; ","")&amp;IF((TRIM(AJ882)="")&lt;&gt;(TRIM(AK882)=""),"Income-tax login needs both user ID and password; ","")&amp;IF((TRIM(AL882)="")&lt;&gt;(TRIM(AM882)=""),"TRACES login needs both user ID and password; ","")&amp;IF((TRIM(AN882)="")&lt;&gt;(TRIM(AO882)=""),"MCA login needs both user ID and password; ","")&amp;IF((TRIM(AP882)="")&lt;&gt;(TRIM(AQ882)=""),"E-way bill login needs both user ID and password; ","")</f>
        <v/>
      </c>
    </row>
    <row r="883">
      <c r="A883" s="32" t="n"/>
      <c r="B883" s="33" t="n"/>
      <c r="C883" s="33" t="n"/>
      <c r="D883" s="33" t="n"/>
      <c r="E883" s="32" t="n"/>
      <c r="F883" s="32" t="n"/>
      <c r="G883" s="32" t="n"/>
      <c r="H883" s="32" t="n"/>
      <c r="I883" s="32" t="n"/>
      <c r="J883" s="34" t="n"/>
      <c r="K883" s="33" t="n"/>
      <c r="L883" s="32" t="n"/>
      <c r="M883" s="33" t="n"/>
      <c r="N883" s="33" t="n"/>
      <c r="O883" s="33" t="n"/>
      <c r="P883" s="32" t="n"/>
      <c r="Q883" s="33" t="n"/>
      <c r="R883" s="33" t="n"/>
      <c r="S883" s="33" t="n"/>
      <c r="T883" s="33" t="n"/>
      <c r="U883" s="32" t="n"/>
      <c r="V883" s="33" t="n"/>
      <c r="W883" s="33" t="n"/>
      <c r="X883" s="33" t="n"/>
      <c r="Y883" s="33" t="n"/>
      <c r="Z883" s="33" t="n"/>
      <c r="AA883" s="33" t="n"/>
      <c r="AB883" s="33" t="n"/>
      <c r="AC883" s="33" t="n"/>
      <c r="AD883" s="33" t="n"/>
      <c r="AE883" s="33" t="n"/>
      <c r="AF883" s="32" t="n"/>
      <c r="AG883" s="32" t="n"/>
      <c r="AH883" s="32" t="n"/>
      <c r="AI883" s="32" t="n"/>
      <c r="AJ883" s="32" t="n"/>
      <c r="AK883" s="32" t="n"/>
      <c r="AL883" s="32" t="n"/>
      <c r="AM883" s="32" t="n"/>
      <c r="AN883" s="32" t="n"/>
      <c r="AO883" s="32" t="n"/>
      <c r="AP883" s="32" t="n"/>
      <c r="AQ883" s="32" t="n"/>
      <c r="AR883" s="29">
        <f>IF(NOT(COUNTA(A883:AE883)&gt;0),"",IF(A883="","New client","Update"))</f>
        <v/>
      </c>
      <c r="AS883" s="29">
        <f>IF(BA883&lt;&gt;"",BA883,IF(LEN(AZ883)=15,MID(AZ883,3,10),""))</f>
        <v/>
      </c>
      <c r="AT883" s="29">
        <f>IF(BB883="","",BB883&amp;IF(D883="","  (guessed from PAN)",""))</f>
        <v/>
      </c>
      <c r="AU883" s="29">
        <f>IF(AZ883="","",IFERROR(INDEX(Lists!$L$2:$L$38,MATCH(LEFT(AZ883,2),Lists!$K$2:$K$38,0)),"Unknown code"))</f>
        <v/>
      </c>
      <c r="AV883" s="29">
        <f>IF(AZ883="","",IFERROR(IF(NOT(AND(LEN(AZ883)=15,ISNUMBER(MATCH(LEFT(AZ883,2),Lists!$K$2:$K$38,0)),SUMPRODUCT(--ISERROR(FIND(MID(MID(AZ883,3,10),{1,2,3,4,5,10},1),"ABCDEFGHIJKLMNOPQRSTUVWXYZ")))=0,SUMPRODUCT(--ISERROR(FIND(MID(MID(AZ883,3,10),{6,7,8,9},1),"0123456789")))=0,ISNUMBER(FIND(MID(AZ883,13,1),"123456789ABCDEFGHIJKLMNOPQRSTUVWXYZ")),MID(AZ883,14,1)="Z")),"Wrong format",IF(MID("0123456789ABCDEFGHIJKLMNOPQRSTUVWXYZ",MOD(36-MOD(SUMPRODUCT(INT((FIND(MID(AZ883,{1,2,3,4,5,6,7,8,9,10,11,12,13,14},1),"0123456789ABCDEFGHIJKLMNOPQRSTUVWXYZ")-1)*{1,2,1,2,1,2,1,2,1,2,1,2,1,2}/36)+MOD((FIND(MID(AZ883,{1,2,3,4,5,6,7,8,9,10,11,12,13,14},1),"0123456789ABCDEFGHIJKLMNOPQRSTUVWXYZ")-1)*{1,2,1,2,1,2,1,2,1,2,1,2,1,2},36)),36),36)+1,1)=MID(AZ883,15,1),"OK","Typo? check digit wrong")),"Wrong format"))</f>
        <v/>
      </c>
      <c r="AW883" s="29">
        <f>IF(BA883="","",IF(AND(LEN(BA883)=10,SUMPRODUCT(--ISERROR(FIND(MID(BA883,{1,2,3,4,5,10},1),"ABCDEFGHIJKLMNOPQRSTUVWXYZ")))=0,SUMPRODUCT(--ISERROR(FIND(MID(BA883,{6,7,8,9},1),"0123456789")))=0),"OK","Wrong format"))</f>
        <v/>
      </c>
      <c r="AX883" s="29">
        <f>IF(TRIM(H883)="","",IF(AND(LEN(UPPER(TRIM(H883)))=10,SUMPRODUCT(--ISERROR(FIND(MID(UPPER(TRIM(H883)),{1,2,3,4,10},1),"ABCDEFGHIJKLMNOPQRSTUVWXYZ")))=0,SUMPRODUCT(--ISERROR(FIND(MID(UPPER(TRIM(H883)),{5,6,7,8,9},1),"0123456789")))=0),"OK","Wrong format"))</f>
        <v/>
      </c>
      <c r="AY883" s="30">
        <f>IF(NOT(COUNTA(A883:AE883)&gt;0),"",IF(BE883&lt;&gt;"","✖ "&amp;LEFT(BE883,LEN(BE883)-2),IF(BD883&gt;0,"✔ Ready — client + "&amp;BD883&amp;" service(s)","✔ Ready — client only")))</f>
        <v/>
      </c>
      <c r="AZ883" s="31">
        <f>UPPER(SUBSTITUTE(TRIM(F883)," ",""))</f>
        <v/>
      </c>
      <c r="BA883" s="31">
        <f>UPPER(SUBSTITUTE(TRIM(E883)," ",""))</f>
        <v/>
      </c>
      <c r="BB883" s="31">
        <f>IF(D883&lt;&gt;"",D883,IFERROR(VLOOKUP(MID(AS883,4,1),Lists!$E$2:$F$8,2,FALSE),""))</f>
        <v/>
      </c>
      <c r="BC883" s="31">
        <f>IFERROR(VLOOKUP(BB883,Lists!$A$2:$C$12,3,FALSE),"")</f>
        <v/>
      </c>
      <c r="BD883" s="31">
        <f>COUNTIF(W883:AC883,"Yes")</f>
        <v/>
      </c>
      <c r="BE883" s="31">
        <f>IF(TRIM(B883)="","Legal name missing; ","")&amp;IF(AND(AV883&lt;&gt;"",AV883&lt;&gt;"OK"),"GSTIN: "&amp;AV883&amp;"; ","")&amp;IF(AND(AW883&lt;&gt;"",AW883&lt;&gt;"OK"),"PAN wrong format; ","")&amp;IF(AND(BA883&lt;&gt;"",LEN(AZ883)=15,MID(AZ883,3,10)&lt;&gt;BA883),"PAN does not match GSTIN; ","")&amp;IF(AND(AX883&lt;&gt;"",AX883&lt;&gt;"OK"),"TAN wrong format; ","")&amp;IF(AS883="","PAN missing; ","")&amp;IF(BB883="","Entity type missing; ","")&amp;IF(AND(AZ883&lt;&gt;"",COUNTIF($AZ$6:$AZ$1005,AZ883)&gt;1),"GSTIN repeated in this sheet; ","")&amp;IF(AND(AS883&lt;&gt;"",COUNTIF($AS$6:$AS$1005,AS883)&gt;1),"PAN repeated in this sheet (same client? put extra GSTINs in Other GSTINs); ","")&amp;IF(AND(BD883&gt;0,V883=""),"Financial year missing; ","")&amp;IF(AND(BD883=0,V883&lt;&gt;""),"Financial year given but no service is Yes; ","")&amp;IF(AND(W883="Yes",AZ883=""),"GST needs a GSTIN; ","")&amp;IF(AND(W883="Yes",X883=""),"GST return frequency missing; ","")&amp;IF(AND(Y883="Yes",TRIM(H883)=""),"TDS needs a TAN; ","")&amp;IF(AND(AA883="Yes",BC883&lt;&gt;"",BC883&lt;&gt;"company",BC883&lt;&gt;"llp"),"ROC is only for a company / LLP; ","")&amp;IF(AND(AA883="Yes",OR(BC883="company",BC883="llp"),TRIM(I883)=""),"ROC needs the CIN / LLPIN; ","")&amp;IF((TRIM(AF883)="")&lt;&gt;(TRIM(AG883)=""),"GST login needs both user ID and password; ","")&amp;IF((TRIM(AH883)="")&lt;&gt;(TRIM(AI883)=""),"Income-tax login needs both user ID and password; ","")&amp;IF((TRIM(AJ883)="")&lt;&gt;(TRIM(AK883)=""),"Income-tax login needs both user ID and password; ","")&amp;IF((TRIM(AL883)="")&lt;&gt;(TRIM(AM883)=""),"TRACES login needs both user ID and password; ","")&amp;IF((TRIM(AN883)="")&lt;&gt;(TRIM(AO883)=""),"MCA login needs both user ID and password; ","")&amp;IF((TRIM(AP883)="")&lt;&gt;(TRIM(AQ883)=""),"E-way bill login needs both user ID and password; ","")</f>
        <v/>
      </c>
    </row>
    <row r="884">
      <c r="A884" s="32" t="n"/>
      <c r="B884" s="33" t="n"/>
      <c r="C884" s="33" t="n"/>
      <c r="D884" s="33" t="n"/>
      <c r="E884" s="32" t="n"/>
      <c r="F884" s="32" t="n"/>
      <c r="G884" s="32" t="n"/>
      <c r="H884" s="32" t="n"/>
      <c r="I884" s="32" t="n"/>
      <c r="J884" s="34" t="n"/>
      <c r="K884" s="33" t="n"/>
      <c r="L884" s="32" t="n"/>
      <c r="M884" s="33" t="n"/>
      <c r="N884" s="33" t="n"/>
      <c r="O884" s="33" t="n"/>
      <c r="P884" s="32" t="n"/>
      <c r="Q884" s="33" t="n"/>
      <c r="R884" s="33" t="n"/>
      <c r="S884" s="33" t="n"/>
      <c r="T884" s="33" t="n"/>
      <c r="U884" s="32" t="n"/>
      <c r="V884" s="33" t="n"/>
      <c r="W884" s="33" t="n"/>
      <c r="X884" s="33" t="n"/>
      <c r="Y884" s="33" t="n"/>
      <c r="Z884" s="33" t="n"/>
      <c r="AA884" s="33" t="n"/>
      <c r="AB884" s="33" t="n"/>
      <c r="AC884" s="33" t="n"/>
      <c r="AD884" s="33" t="n"/>
      <c r="AE884" s="33" t="n"/>
      <c r="AF884" s="32" t="n"/>
      <c r="AG884" s="32" t="n"/>
      <c r="AH884" s="32" t="n"/>
      <c r="AI884" s="32" t="n"/>
      <c r="AJ884" s="32" t="n"/>
      <c r="AK884" s="32" t="n"/>
      <c r="AL884" s="32" t="n"/>
      <c r="AM884" s="32" t="n"/>
      <c r="AN884" s="32" t="n"/>
      <c r="AO884" s="32" t="n"/>
      <c r="AP884" s="32" t="n"/>
      <c r="AQ884" s="32" t="n"/>
      <c r="AR884" s="29">
        <f>IF(NOT(COUNTA(A884:AE884)&gt;0),"",IF(A884="","New client","Update"))</f>
        <v/>
      </c>
      <c r="AS884" s="29">
        <f>IF(BA884&lt;&gt;"",BA884,IF(LEN(AZ884)=15,MID(AZ884,3,10),""))</f>
        <v/>
      </c>
      <c r="AT884" s="29">
        <f>IF(BB884="","",BB884&amp;IF(D884="","  (guessed from PAN)",""))</f>
        <v/>
      </c>
      <c r="AU884" s="29">
        <f>IF(AZ884="","",IFERROR(INDEX(Lists!$L$2:$L$38,MATCH(LEFT(AZ884,2),Lists!$K$2:$K$38,0)),"Unknown code"))</f>
        <v/>
      </c>
      <c r="AV884" s="29">
        <f>IF(AZ884="","",IFERROR(IF(NOT(AND(LEN(AZ884)=15,ISNUMBER(MATCH(LEFT(AZ884,2),Lists!$K$2:$K$38,0)),SUMPRODUCT(--ISERROR(FIND(MID(MID(AZ884,3,10),{1,2,3,4,5,10},1),"ABCDEFGHIJKLMNOPQRSTUVWXYZ")))=0,SUMPRODUCT(--ISERROR(FIND(MID(MID(AZ884,3,10),{6,7,8,9},1),"0123456789")))=0,ISNUMBER(FIND(MID(AZ884,13,1),"123456789ABCDEFGHIJKLMNOPQRSTUVWXYZ")),MID(AZ884,14,1)="Z")),"Wrong format",IF(MID("0123456789ABCDEFGHIJKLMNOPQRSTUVWXYZ",MOD(36-MOD(SUMPRODUCT(INT((FIND(MID(AZ884,{1,2,3,4,5,6,7,8,9,10,11,12,13,14},1),"0123456789ABCDEFGHIJKLMNOPQRSTUVWXYZ")-1)*{1,2,1,2,1,2,1,2,1,2,1,2,1,2}/36)+MOD((FIND(MID(AZ884,{1,2,3,4,5,6,7,8,9,10,11,12,13,14},1),"0123456789ABCDEFGHIJKLMNOPQRSTUVWXYZ")-1)*{1,2,1,2,1,2,1,2,1,2,1,2,1,2},36)),36),36)+1,1)=MID(AZ884,15,1),"OK","Typo? check digit wrong")),"Wrong format"))</f>
        <v/>
      </c>
      <c r="AW884" s="29">
        <f>IF(BA884="","",IF(AND(LEN(BA884)=10,SUMPRODUCT(--ISERROR(FIND(MID(BA884,{1,2,3,4,5,10},1),"ABCDEFGHIJKLMNOPQRSTUVWXYZ")))=0,SUMPRODUCT(--ISERROR(FIND(MID(BA884,{6,7,8,9},1),"0123456789")))=0),"OK","Wrong format"))</f>
        <v/>
      </c>
      <c r="AX884" s="29">
        <f>IF(TRIM(H884)="","",IF(AND(LEN(UPPER(TRIM(H884)))=10,SUMPRODUCT(--ISERROR(FIND(MID(UPPER(TRIM(H884)),{1,2,3,4,10},1),"ABCDEFGHIJKLMNOPQRSTUVWXYZ")))=0,SUMPRODUCT(--ISERROR(FIND(MID(UPPER(TRIM(H884)),{5,6,7,8,9},1),"0123456789")))=0),"OK","Wrong format"))</f>
        <v/>
      </c>
      <c r="AY884" s="30">
        <f>IF(NOT(COUNTA(A884:AE884)&gt;0),"",IF(BE884&lt;&gt;"","✖ "&amp;LEFT(BE884,LEN(BE884)-2),IF(BD884&gt;0,"✔ Ready — client + "&amp;BD884&amp;" service(s)","✔ Ready — client only")))</f>
        <v/>
      </c>
      <c r="AZ884" s="31">
        <f>UPPER(SUBSTITUTE(TRIM(F884)," ",""))</f>
        <v/>
      </c>
      <c r="BA884" s="31">
        <f>UPPER(SUBSTITUTE(TRIM(E884)," ",""))</f>
        <v/>
      </c>
      <c r="BB884" s="31">
        <f>IF(D884&lt;&gt;"",D884,IFERROR(VLOOKUP(MID(AS884,4,1),Lists!$E$2:$F$8,2,FALSE),""))</f>
        <v/>
      </c>
      <c r="BC884" s="31">
        <f>IFERROR(VLOOKUP(BB884,Lists!$A$2:$C$12,3,FALSE),"")</f>
        <v/>
      </c>
      <c r="BD884" s="31">
        <f>COUNTIF(W884:AC884,"Yes")</f>
        <v/>
      </c>
      <c r="BE884" s="31">
        <f>IF(TRIM(B884)="","Legal name missing; ","")&amp;IF(AND(AV884&lt;&gt;"",AV884&lt;&gt;"OK"),"GSTIN: "&amp;AV884&amp;"; ","")&amp;IF(AND(AW884&lt;&gt;"",AW884&lt;&gt;"OK"),"PAN wrong format; ","")&amp;IF(AND(BA884&lt;&gt;"",LEN(AZ884)=15,MID(AZ884,3,10)&lt;&gt;BA884),"PAN does not match GSTIN; ","")&amp;IF(AND(AX884&lt;&gt;"",AX884&lt;&gt;"OK"),"TAN wrong format; ","")&amp;IF(AS884="","PAN missing; ","")&amp;IF(BB884="","Entity type missing; ","")&amp;IF(AND(AZ884&lt;&gt;"",COUNTIF($AZ$6:$AZ$1005,AZ884)&gt;1),"GSTIN repeated in this sheet; ","")&amp;IF(AND(AS884&lt;&gt;"",COUNTIF($AS$6:$AS$1005,AS884)&gt;1),"PAN repeated in this sheet (same client? put extra GSTINs in Other GSTINs); ","")&amp;IF(AND(BD884&gt;0,V884=""),"Financial year missing; ","")&amp;IF(AND(BD884=0,V884&lt;&gt;""),"Financial year given but no service is Yes; ","")&amp;IF(AND(W884="Yes",AZ884=""),"GST needs a GSTIN; ","")&amp;IF(AND(W884="Yes",X884=""),"GST return frequency missing; ","")&amp;IF(AND(Y884="Yes",TRIM(H884)=""),"TDS needs a TAN; ","")&amp;IF(AND(AA884="Yes",BC884&lt;&gt;"",BC884&lt;&gt;"company",BC884&lt;&gt;"llp"),"ROC is only for a company / LLP; ","")&amp;IF(AND(AA884="Yes",OR(BC884="company",BC884="llp"),TRIM(I884)=""),"ROC needs the CIN / LLPIN; ","")&amp;IF((TRIM(AF884)="")&lt;&gt;(TRIM(AG884)=""),"GST login needs both user ID and password; ","")&amp;IF((TRIM(AH884)="")&lt;&gt;(TRIM(AI884)=""),"Income-tax login needs both user ID and password; ","")&amp;IF((TRIM(AJ884)="")&lt;&gt;(TRIM(AK884)=""),"Income-tax login needs both user ID and password; ","")&amp;IF((TRIM(AL884)="")&lt;&gt;(TRIM(AM884)=""),"TRACES login needs both user ID and password; ","")&amp;IF((TRIM(AN884)="")&lt;&gt;(TRIM(AO884)=""),"MCA login needs both user ID and password; ","")&amp;IF((TRIM(AP884)="")&lt;&gt;(TRIM(AQ884)=""),"E-way bill login needs both user ID and password; ","")</f>
        <v/>
      </c>
    </row>
    <row r="885">
      <c r="A885" s="32" t="n"/>
      <c r="B885" s="33" t="n"/>
      <c r="C885" s="33" t="n"/>
      <c r="D885" s="33" t="n"/>
      <c r="E885" s="32" t="n"/>
      <c r="F885" s="32" t="n"/>
      <c r="G885" s="32" t="n"/>
      <c r="H885" s="32" t="n"/>
      <c r="I885" s="32" t="n"/>
      <c r="J885" s="34" t="n"/>
      <c r="K885" s="33" t="n"/>
      <c r="L885" s="32" t="n"/>
      <c r="M885" s="33" t="n"/>
      <c r="N885" s="33" t="n"/>
      <c r="O885" s="33" t="n"/>
      <c r="P885" s="32" t="n"/>
      <c r="Q885" s="33" t="n"/>
      <c r="R885" s="33" t="n"/>
      <c r="S885" s="33" t="n"/>
      <c r="T885" s="33" t="n"/>
      <c r="U885" s="32" t="n"/>
      <c r="V885" s="33" t="n"/>
      <c r="W885" s="33" t="n"/>
      <c r="X885" s="33" t="n"/>
      <c r="Y885" s="33" t="n"/>
      <c r="Z885" s="33" t="n"/>
      <c r="AA885" s="33" t="n"/>
      <c r="AB885" s="33" t="n"/>
      <c r="AC885" s="33" t="n"/>
      <c r="AD885" s="33" t="n"/>
      <c r="AE885" s="33" t="n"/>
      <c r="AF885" s="32" t="n"/>
      <c r="AG885" s="32" t="n"/>
      <c r="AH885" s="32" t="n"/>
      <c r="AI885" s="32" t="n"/>
      <c r="AJ885" s="32" t="n"/>
      <c r="AK885" s="32" t="n"/>
      <c r="AL885" s="32" t="n"/>
      <c r="AM885" s="32" t="n"/>
      <c r="AN885" s="32" t="n"/>
      <c r="AO885" s="32" t="n"/>
      <c r="AP885" s="32" t="n"/>
      <c r="AQ885" s="32" t="n"/>
      <c r="AR885" s="29">
        <f>IF(NOT(COUNTA(A885:AE885)&gt;0),"",IF(A885="","New client","Update"))</f>
        <v/>
      </c>
      <c r="AS885" s="29">
        <f>IF(BA885&lt;&gt;"",BA885,IF(LEN(AZ885)=15,MID(AZ885,3,10),""))</f>
        <v/>
      </c>
      <c r="AT885" s="29">
        <f>IF(BB885="","",BB885&amp;IF(D885="","  (guessed from PAN)",""))</f>
        <v/>
      </c>
      <c r="AU885" s="29">
        <f>IF(AZ885="","",IFERROR(INDEX(Lists!$L$2:$L$38,MATCH(LEFT(AZ885,2),Lists!$K$2:$K$38,0)),"Unknown code"))</f>
        <v/>
      </c>
      <c r="AV885" s="29">
        <f>IF(AZ885="","",IFERROR(IF(NOT(AND(LEN(AZ885)=15,ISNUMBER(MATCH(LEFT(AZ885,2),Lists!$K$2:$K$38,0)),SUMPRODUCT(--ISERROR(FIND(MID(MID(AZ885,3,10),{1,2,3,4,5,10},1),"ABCDEFGHIJKLMNOPQRSTUVWXYZ")))=0,SUMPRODUCT(--ISERROR(FIND(MID(MID(AZ885,3,10),{6,7,8,9},1),"0123456789")))=0,ISNUMBER(FIND(MID(AZ885,13,1),"123456789ABCDEFGHIJKLMNOPQRSTUVWXYZ")),MID(AZ885,14,1)="Z")),"Wrong format",IF(MID("0123456789ABCDEFGHIJKLMNOPQRSTUVWXYZ",MOD(36-MOD(SUMPRODUCT(INT((FIND(MID(AZ885,{1,2,3,4,5,6,7,8,9,10,11,12,13,14},1),"0123456789ABCDEFGHIJKLMNOPQRSTUVWXYZ")-1)*{1,2,1,2,1,2,1,2,1,2,1,2,1,2}/36)+MOD((FIND(MID(AZ885,{1,2,3,4,5,6,7,8,9,10,11,12,13,14},1),"0123456789ABCDEFGHIJKLMNOPQRSTUVWXYZ")-1)*{1,2,1,2,1,2,1,2,1,2,1,2,1,2},36)),36),36)+1,1)=MID(AZ885,15,1),"OK","Typo? check digit wrong")),"Wrong format"))</f>
        <v/>
      </c>
      <c r="AW885" s="29">
        <f>IF(BA885="","",IF(AND(LEN(BA885)=10,SUMPRODUCT(--ISERROR(FIND(MID(BA885,{1,2,3,4,5,10},1),"ABCDEFGHIJKLMNOPQRSTUVWXYZ")))=0,SUMPRODUCT(--ISERROR(FIND(MID(BA885,{6,7,8,9},1),"0123456789")))=0),"OK","Wrong format"))</f>
        <v/>
      </c>
      <c r="AX885" s="29">
        <f>IF(TRIM(H885)="","",IF(AND(LEN(UPPER(TRIM(H885)))=10,SUMPRODUCT(--ISERROR(FIND(MID(UPPER(TRIM(H885)),{1,2,3,4,10},1),"ABCDEFGHIJKLMNOPQRSTUVWXYZ")))=0,SUMPRODUCT(--ISERROR(FIND(MID(UPPER(TRIM(H885)),{5,6,7,8,9},1),"0123456789")))=0),"OK","Wrong format"))</f>
        <v/>
      </c>
      <c r="AY885" s="30">
        <f>IF(NOT(COUNTA(A885:AE885)&gt;0),"",IF(BE885&lt;&gt;"","✖ "&amp;LEFT(BE885,LEN(BE885)-2),IF(BD885&gt;0,"✔ Ready — client + "&amp;BD885&amp;" service(s)","✔ Ready — client only")))</f>
        <v/>
      </c>
      <c r="AZ885" s="31">
        <f>UPPER(SUBSTITUTE(TRIM(F885)," ",""))</f>
        <v/>
      </c>
      <c r="BA885" s="31">
        <f>UPPER(SUBSTITUTE(TRIM(E885)," ",""))</f>
        <v/>
      </c>
      <c r="BB885" s="31">
        <f>IF(D885&lt;&gt;"",D885,IFERROR(VLOOKUP(MID(AS885,4,1),Lists!$E$2:$F$8,2,FALSE),""))</f>
        <v/>
      </c>
      <c r="BC885" s="31">
        <f>IFERROR(VLOOKUP(BB885,Lists!$A$2:$C$12,3,FALSE),"")</f>
        <v/>
      </c>
      <c r="BD885" s="31">
        <f>COUNTIF(W885:AC885,"Yes")</f>
        <v/>
      </c>
      <c r="BE885" s="31">
        <f>IF(TRIM(B885)="","Legal name missing; ","")&amp;IF(AND(AV885&lt;&gt;"",AV885&lt;&gt;"OK"),"GSTIN: "&amp;AV885&amp;"; ","")&amp;IF(AND(AW885&lt;&gt;"",AW885&lt;&gt;"OK"),"PAN wrong format; ","")&amp;IF(AND(BA885&lt;&gt;"",LEN(AZ885)=15,MID(AZ885,3,10)&lt;&gt;BA885),"PAN does not match GSTIN; ","")&amp;IF(AND(AX885&lt;&gt;"",AX885&lt;&gt;"OK"),"TAN wrong format; ","")&amp;IF(AS885="","PAN missing; ","")&amp;IF(BB885="","Entity type missing; ","")&amp;IF(AND(AZ885&lt;&gt;"",COUNTIF($AZ$6:$AZ$1005,AZ885)&gt;1),"GSTIN repeated in this sheet; ","")&amp;IF(AND(AS885&lt;&gt;"",COUNTIF($AS$6:$AS$1005,AS885)&gt;1),"PAN repeated in this sheet (same client? put extra GSTINs in Other GSTINs); ","")&amp;IF(AND(BD885&gt;0,V885=""),"Financial year missing; ","")&amp;IF(AND(BD885=0,V885&lt;&gt;""),"Financial year given but no service is Yes; ","")&amp;IF(AND(W885="Yes",AZ885=""),"GST needs a GSTIN; ","")&amp;IF(AND(W885="Yes",X885=""),"GST return frequency missing; ","")&amp;IF(AND(Y885="Yes",TRIM(H885)=""),"TDS needs a TAN; ","")&amp;IF(AND(AA885="Yes",BC885&lt;&gt;"",BC885&lt;&gt;"company",BC885&lt;&gt;"llp"),"ROC is only for a company / LLP; ","")&amp;IF(AND(AA885="Yes",OR(BC885="company",BC885="llp"),TRIM(I885)=""),"ROC needs the CIN / LLPIN; ","")&amp;IF((TRIM(AF885)="")&lt;&gt;(TRIM(AG885)=""),"GST login needs both user ID and password; ","")&amp;IF((TRIM(AH885)="")&lt;&gt;(TRIM(AI885)=""),"Income-tax login needs both user ID and password; ","")&amp;IF((TRIM(AJ885)="")&lt;&gt;(TRIM(AK885)=""),"Income-tax login needs both user ID and password; ","")&amp;IF((TRIM(AL885)="")&lt;&gt;(TRIM(AM885)=""),"TRACES login needs both user ID and password; ","")&amp;IF((TRIM(AN885)="")&lt;&gt;(TRIM(AO885)=""),"MCA login needs both user ID and password; ","")&amp;IF((TRIM(AP885)="")&lt;&gt;(TRIM(AQ885)=""),"E-way bill login needs both user ID and password; ","")</f>
        <v/>
      </c>
    </row>
    <row r="886">
      <c r="A886" s="32" t="n"/>
      <c r="B886" s="33" t="n"/>
      <c r="C886" s="33" t="n"/>
      <c r="D886" s="33" t="n"/>
      <c r="E886" s="32" t="n"/>
      <c r="F886" s="32" t="n"/>
      <c r="G886" s="32" t="n"/>
      <c r="H886" s="32" t="n"/>
      <c r="I886" s="32" t="n"/>
      <c r="J886" s="34" t="n"/>
      <c r="K886" s="33" t="n"/>
      <c r="L886" s="32" t="n"/>
      <c r="M886" s="33" t="n"/>
      <c r="N886" s="33" t="n"/>
      <c r="O886" s="33" t="n"/>
      <c r="P886" s="32" t="n"/>
      <c r="Q886" s="33" t="n"/>
      <c r="R886" s="33" t="n"/>
      <c r="S886" s="33" t="n"/>
      <c r="T886" s="33" t="n"/>
      <c r="U886" s="32" t="n"/>
      <c r="V886" s="33" t="n"/>
      <c r="W886" s="33" t="n"/>
      <c r="X886" s="33" t="n"/>
      <c r="Y886" s="33" t="n"/>
      <c r="Z886" s="33" t="n"/>
      <c r="AA886" s="33" t="n"/>
      <c r="AB886" s="33" t="n"/>
      <c r="AC886" s="33" t="n"/>
      <c r="AD886" s="33" t="n"/>
      <c r="AE886" s="33" t="n"/>
      <c r="AF886" s="32" t="n"/>
      <c r="AG886" s="32" t="n"/>
      <c r="AH886" s="32" t="n"/>
      <c r="AI886" s="32" t="n"/>
      <c r="AJ886" s="32" t="n"/>
      <c r="AK886" s="32" t="n"/>
      <c r="AL886" s="32" t="n"/>
      <c r="AM886" s="32" t="n"/>
      <c r="AN886" s="32" t="n"/>
      <c r="AO886" s="32" t="n"/>
      <c r="AP886" s="32" t="n"/>
      <c r="AQ886" s="32" t="n"/>
      <c r="AR886" s="29">
        <f>IF(NOT(COUNTA(A886:AE886)&gt;0),"",IF(A886="","New client","Update"))</f>
        <v/>
      </c>
      <c r="AS886" s="29">
        <f>IF(BA886&lt;&gt;"",BA886,IF(LEN(AZ886)=15,MID(AZ886,3,10),""))</f>
        <v/>
      </c>
      <c r="AT886" s="29">
        <f>IF(BB886="","",BB886&amp;IF(D886="","  (guessed from PAN)",""))</f>
        <v/>
      </c>
      <c r="AU886" s="29">
        <f>IF(AZ886="","",IFERROR(INDEX(Lists!$L$2:$L$38,MATCH(LEFT(AZ886,2),Lists!$K$2:$K$38,0)),"Unknown code"))</f>
        <v/>
      </c>
      <c r="AV886" s="29">
        <f>IF(AZ886="","",IFERROR(IF(NOT(AND(LEN(AZ886)=15,ISNUMBER(MATCH(LEFT(AZ886,2),Lists!$K$2:$K$38,0)),SUMPRODUCT(--ISERROR(FIND(MID(MID(AZ886,3,10),{1,2,3,4,5,10},1),"ABCDEFGHIJKLMNOPQRSTUVWXYZ")))=0,SUMPRODUCT(--ISERROR(FIND(MID(MID(AZ886,3,10),{6,7,8,9},1),"0123456789")))=0,ISNUMBER(FIND(MID(AZ886,13,1),"123456789ABCDEFGHIJKLMNOPQRSTUVWXYZ")),MID(AZ886,14,1)="Z")),"Wrong format",IF(MID("0123456789ABCDEFGHIJKLMNOPQRSTUVWXYZ",MOD(36-MOD(SUMPRODUCT(INT((FIND(MID(AZ886,{1,2,3,4,5,6,7,8,9,10,11,12,13,14},1),"0123456789ABCDEFGHIJKLMNOPQRSTUVWXYZ")-1)*{1,2,1,2,1,2,1,2,1,2,1,2,1,2}/36)+MOD((FIND(MID(AZ886,{1,2,3,4,5,6,7,8,9,10,11,12,13,14},1),"0123456789ABCDEFGHIJKLMNOPQRSTUVWXYZ")-1)*{1,2,1,2,1,2,1,2,1,2,1,2,1,2},36)),36),36)+1,1)=MID(AZ886,15,1),"OK","Typo? check digit wrong")),"Wrong format"))</f>
        <v/>
      </c>
      <c r="AW886" s="29">
        <f>IF(BA886="","",IF(AND(LEN(BA886)=10,SUMPRODUCT(--ISERROR(FIND(MID(BA886,{1,2,3,4,5,10},1),"ABCDEFGHIJKLMNOPQRSTUVWXYZ")))=0,SUMPRODUCT(--ISERROR(FIND(MID(BA886,{6,7,8,9},1),"0123456789")))=0),"OK","Wrong format"))</f>
        <v/>
      </c>
      <c r="AX886" s="29">
        <f>IF(TRIM(H886)="","",IF(AND(LEN(UPPER(TRIM(H886)))=10,SUMPRODUCT(--ISERROR(FIND(MID(UPPER(TRIM(H886)),{1,2,3,4,10},1),"ABCDEFGHIJKLMNOPQRSTUVWXYZ")))=0,SUMPRODUCT(--ISERROR(FIND(MID(UPPER(TRIM(H886)),{5,6,7,8,9},1),"0123456789")))=0),"OK","Wrong format"))</f>
        <v/>
      </c>
      <c r="AY886" s="30">
        <f>IF(NOT(COUNTA(A886:AE886)&gt;0),"",IF(BE886&lt;&gt;"","✖ "&amp;LEFT(BE886,LEN(BE886)-2),IF(BD886&gt;0,"✔ Ready — client + "&amp;BD886&amp;" service(s)","✔ Ready — client only")))</f>
        <v/>
      </c>
      <c r="AZ886" s="31">
        <f>UPPER(SUBSTITUTE(TRIM(F886)," ",""))</f>
        <v/>
      </c>
      <c r="BA886" s="31">
        <f>UPPER(SUBSTITUTE(TRIM(E886)," ",""))</f>
        <v/>
      </c>
      <c r="BB886" s="31">
        <f>IF(D886&lt;&gt;"",D886,IFERROR(VLOOKUP(MID(AS886,4,1),Lists!$E$2:$F$8,2,FALSE),""))</f>
        <v/>
      </c>
      <c r="BC886" s="31">
        <f>IFERROR(VLOOKUP(BB886,Lists!$A$2:$C$12,3,FALSE),"")</f>
        <v/>
      </c>
      <c r="BD886" s="31">
        <f>COUNTIF(W886:AC886,"Yes")</f>
        <v/>
      </c>
      <c r="BE886" s="31">
        <f>IF(TRIM(B886)="","Legal name missing; ","")&amp;IF(AND(AV886&lt;&gt;"",AV886&lt;&gt;"OK"),"GSTIN: "&amp;AV886&amp;"; ","")&amp;IF(AND(AW886&lt;&gt;"",AW886&lt;&gt;"OK"),"PAN wrong format; ","")&amp;IF(AND(BA886&lt;&gt;"",LEN(AZ886)=15,MID(AZ886,3,10)&lt;&gt;BA886),"PAN does not match GSTIN; ","")&amp;IF(AND(AX886&lt;&gt;"",AX886&lt;&gt;"OK"),"TAN wrong format; ","")&amp;IF(AS886="","PAN missing; ","")&amp;IF(BB886="","Entity type missing; ","")&amp;IF(AND(AZ886&lt;&gt;"",COUNTIF($AZ$6:$AZ$1005,AZ886)&gt;1),"GSTIN repeated in this sheet; ","")&amp;IF(AND(AS886&lt;&gt;"",COUNTIF($AS$6:$AS$1005,AS886)&gt;1),"PAN repeated in this sheet (same client? put extra GSTINs in Other GSTINs); ","")&amp;IF(AND(BD886&gt;0,V886=""),"Financial year missing; ","")&amp;IF(AND(BD886=0,V886&lt;&gt;""),"Financial year given but no service is Yes; ","")&amp;IF(AND(W886="Yes",AZ886=""),"GST needs a GSTIN; ","")&amp;IF(AND(W886="Yes",X886=""),"GST return frequency missing; ","")&amp;IF(AND(Y886="Yes",TRIM(H886)=""),"TDS needs a TAN; ","")&amp;IF(AND(AA886="Yes",BC886&lt;&gt;"",BC886&lt;&gt;"company",BC886&lt;&gt;"llp"),"ROC is only for a company / LLP; ","")&amp;IF(AND(AA886="Yes",OR(BC886="company",BC886="llp"),TRIM(I886)=""),"ROC needs the CIN / LLPIN; ","")&amp;IF((TRIM(AF886)="")&lt;&gt;(TRIM(AG886)=""),"GST login needs both user ID and password; ","")&amp;IF((TRIM(AH886)="")&lt;&gt;(TRIM(AI886)=""),"Income-tax login needs both user ID and password; ","")&amp;IF((TRIM(AJ886)="")&lt;&gt;(TRIM(AK886)=""),"Income-tax login needs both user ID and password; ","")&amp;IF((TRIM(AL886)="")&lt;&gt;(TRIM(AM886)=""),"TRACES login needs both user ID and password; ","")&amp;IF((TRIM(AN886)="")&lt;&gt;(TRIM(AO886)=""),"MCA login needs both user ID and password; ","")&amp;IF((TRIM(AP886)="")&lt;&gt;(TRIM(AQ886)=""),"E-way bill login needs both user ID and password; ","")</f>
        <v/>
      </c>
    </row>
    <row r="887">
      <c r="A887" s="32" t="n"/>
      <c r="B887" s="33" t="n"/>
      <c r="C887" s="33" t="n"/>
      <c r="D887" s="33" t="n"/>
      <c r="E887" s="32" t="n"/>
      <c r="F887" s="32" t="n"/>
      <c r="G887" s="32" t="n"/>
      <c r="H887" s="32" t="n"/>
      <c r="I887" s="32" t="n"/>
      <c r="J887" s="34" t="n"/>
      <c r="K887" s="33" t="n"/>
      <c r="L887" s="32" t="n"/>
      <c r="M887" s="33" t="n"/>
      <c r="N887" s="33" t="n"/>
      <c r="O887" s="33" t="n"/>
      <c r="P887" s="32" t="n"/>
      <c r="Q887" s="33" t="n"/>
      <c r="R887" s="33" t="n"/>
      <c r="S887" s="33" t="n"/>
      <c r="T887" s="33" t="n"/>
      <c r="U887" s="32" t="n"/>
      <c r="V887" s="33" t="n"/>
      <c r="W887" s="33" t="n"/>
      <c r="X887" s="33" t="n"/>
      <c r="Y887" s="33" t="n"/>
      <c r="Z887" s="33" t="n"/>
      <c r="AA887" s="33" t="n"/>
      <c r="AB887" s="33" t="n"/>
      <c r="AC887" s="33" t="n"/>
      <c r="AD887" s="33" t="n"/>
      <c r="AE887" s="33" t="n"/>
      <c r="AF887" s="32" t="n"/>
      <c r="AG887" s="32" t="n"/>
      <c r="AH887" s="32" t="n"/>
      <c r="AI887" s="32" t="n"/>
      <c r="AJ887" s="32" t="n"/>
      <c r="AK887" s="32" t="n"/>
      <c r="AL887" s="32" t="n"/>
      <c r="AM887" s="32" t="n"/>
      <c r="AN887" s="32" t="n"/>
      <c r="AO887" s="32" t="n"/>
      <c r="AP887" s="32" t="n"/>
      <c r="AQ887" s="32" t="n"/>
      <c r="AR887" s="29">
        <f>IF(NOT(COUNTA(A887:AE887)&gt;0),"",IF(A887="","New client","Update"))</f>
        <v/>
      </c>
      <c r="AS887" s="29">
        <f>IF(BA887&lt;&gt;"",BA887,IF(LEN(AZ887)=15,MID(AZ887,3,10),""))</f>
        <v/>
      </c>
      <c r="AT887" s="29">
        <f>IF(BB887="","",BB887&amp;IF(D887="","  (guessed from PAN)",""))</f>
        <v/>
      </c>
      <c r="AU887" s="29">
        <f>IF(AZ887="","",IFERROR(INDEX(Lists!$L$2:$L$38,MATCH(LEFT(AZ887,2),Lists!$K$2:$K$38,0)),"Unknown code"))</f>
        <v/>
      </c>
      <c r="AV887" s="29">
        <f>IF(AZ887="","",IFERROR(IF(NOT(AND(LEN(AZ887)=15,ISNUMBER(MATCH(LEFT(AZ887,2),Lists!$K$2:$K$38,0)),SUMPRODUCT(--ISERROR(FIND(MID(MID(AZ887,3,10),{1,2,3,4,5,10},1),"ABCDEFGHIJKLMNOPQRSTUVWXYZ")))=0,SUMPRODUCT(--ISERROR(FIND(MID(MID(AZ887,3,10),{6,7,8,9},1),"0123456789")))=0,ISNUMBER(FIND(MID(AZ887,13,1),"123456789ABCDEFGHIJKLMNOPQRSTUVWXYZ")),MID(AZ887,14,1)="Z")),"Wrong format",IF(MID("0123456789ABCDEFGHIJKLMNOPQRSTUVWXYZ",MOD(36-MOD(SUMPRODUCT(INT((FIND(MID(AZ887,{1,2,3,4,5,6,7,8,9,10,11,12,13,14},1),"0123456789ABCDEFGHIJKLMNOPQRSTUVWXYZ")-1)*{1,2,1,2,1,2,1,2,1,2,1,2,1,2}/36)+MOD((FIND(MID(AZ887,{1,2,3,4,5,6,7,8,9,10,11,12,13,14},1),"0123456789ABCDEFGHIJKLMNOPQRSTUVWXYZ")-1)*{1,2,1,2,1,2,1,2,1,2,1,2,1,2},36)),36),36)+1,1)=MID(AZ887,15,1),"OK","Typo? check digit wrong")),"Wrong format"))</f>
        <v/>
      </c>
      <c r="AW887" s="29">
        <f>IF(BA887="","",IF(AND(LEN(BA887)=10,SUMPRODUCT(--ISERROR(FIND(MID(BA887,{1,2,3,4,5,10},1),"ABCDEFGHIJKLMNOPQRSTUVWXYZ")))=0,SUMPRODUCT(--ISERROR(FIND(MID(BA887,{6,7,8,9},1),"0123456789")))=0),"OK","Wrong format"))</f>
        <v/>
      </c>
      <c r="AX887" s="29">
        <f>IF(TRIM(H887)="","",IF(AND(LEN(UPPER(TRIM(H887)))=10,SUMPRODUCT(--ISERROR(FIND(MID(UPPER(TRIM(H887)),{1,2,3,4,10},1),"ABCDEFGHIJKLMNOPQRSTUVWXYZ")))=0,SUMPRODUCT(--ISERROR(FIND(MID(UPPER(TRIM(H887)),{5,6,7,8,9},1),"0123456789")))=0),"OK","Wrong format"))</f>
        <v/>
      </c>
      <c r="AY887" s="30">
        <f>IF(NOT(COUNTA(A887:AE887)&gt;0),"",IF(BE887&lt;&gt;"","✖ "&amp;LEFT(BE887,LEN(BE887)-2),IF(BD887&gt;0,"✔ Ready — client + "&amp;BD887&amp;" service(s)","✔ Ready — client only")))</f>
        <v/>
      </c>
      <c r="AZ887" s="31">
        <f>UPPER(SUBSTITUTE(TRIM(F887)," ",""))</f>
        <v/>
      </c>
      <c r="BA887" s="31">
        <f>UPPER(SUBSTITUTE(TRIM(E887)," ",""))</f>
        <v/>
      </c>
      <c r="BB887" s="31">
        <f>IF(D887&lt;&gt;"",D887,IFERROR(VLOOKUP(MID(AS887,4,1),Lists!$E$2:$F$8,2,FALSE),""))</f>
        <v/>
      </c>
      <c r="BC887" s="31">
        <f>IFERROR(VLOOKUP(BB887,Lists!$A$2:$C$12,3,FALSE),"")</f>
        <v/>
      </c>
      <c r="BD887" s="31">
        <f>COUNTIF(W887:AC887,"Yes")</f>
        <v/>
      </c>
      <c r="BE887" s="31">
        <f>IF(TRIM(B887)="","Legal name missing; ","")&amp;IF(AND(AV887&lt;&gt;"",AV887&lt;&gt;"OK"),"GSTIN: "&amp;AV887&amp;"; ","")&amp;IF(AND(AW887&lt;&gt;"",AW887&lt;&gt;"OK"),"PAN wrong format; ","")&amp;IF(AND(BA887&lt;&gt;"",LEN(AZ887)=15,MID(AZ887,3,10)&lt;&gt;BA887),"PAN does not match GSTIN; ","")&amp;IF(AND(AX887&lt;&gt;"",AX887&lt;&gt;"OK"),"TAN wrong format; ","")&amp;IF(AS887="","PAN missing; ","")&amp;IF(BB887="","Entity type missing; ","")&amp;IF(AND(AZ887&lt;&gt;"",COUNTIF($AZ$6:$AZ$1005,AZ887)&gt;1),"GSTIN repeated in this sheet; ","")&amp;IF(AND(AS887&lt;&gt;"",COUNTIF($AS$6:$AS$1005,AS887)&gt;1),"PAN repeated in this sheet (same client? put extra GSTINs in Other GSTINs); ","")&amp;IF(AND(BD887&gt;0,V887=""),"Financial year missing; ","")&amp;IF(AND(BD887=0,V887&lt;&gt;""),"Financial year given but no service is Yes; ","")&amp;IF(AND(W887="Yes",AZ887=""),"GST needs a GSTIN; ","")&amp;IF(AND(W887="Yes",X887=""),"GST return frequency missing; ","")&amp;IF(AND(Y887="Yes",TRIM(H887)=""),"TDS needs a TAN; ","")&amp;IF(AND(AA887="Yes",BC887&lt;&gt;"",BC887&lt;&gt;"company",BC887&lt;&gt;"llp"),"ROC is only for a company / LLP; ","")&amp;IF(AND(AA887="Yes",OR(BC887="company",BC887="llp"),TRIM(I887)=""),"ROC needs the CIN / LLPIN; ","")&amp;IF((TRIM(AF887)="")&lt;&gt;(TRIM(AG887)=""),"GST login needs both user ID and password; ","")&amp;IF((TRIM(AH887)="")&lt;&gt;(TRIM(AI887)=""),"Income-tax login needs both user ID and password; ","")&amp;IF((TRIM(AJ887)="")&lt;&gt;(TRIM(AK887)=""),"Income-tax login needs both user ID and password; ","")&amp;IF((TRIM(AL887)="")&lt;&gt;(TRIM(AM887)=""),"TRACES login needs both user ID and password; ","")&amp;IF((TRIM(AN887)="")&lt;&gt;(TRIM(AO887)=""),"MCA login needs both user ID and password; ","")&amp;IF((TRIM(AP887)="")&lt;&gt;(TRIM(AQ887)=""),"E-way bill login needs both user ID and password; ","")</f>
        <v/>
      </c>
    </row>
    <row r="888">
      <c r="A888" s="32" t="n"/>
      <c r="B888" s="33" t="n"/>
      <c r="C888" s="33" t="n"/>
      <c r="D888" s="33" t="n"/>
      <c r="E888" s="32" t="n"/>
      <c r="F888" s="32" t="n"/>
      <c r="G888" s="32" t="n"/>
      <c r="H888" s="32" t="n"/>
      <c r="I888" s="32" t="n"/>
      <c r="J888" s="34" t="n"/>
      <c r="K888" s="33" t="n"/>
      <c r="L888" s="32" t="n"/>
      <c r="M888" s="33" t="n"/>
      <c r="N888" s="33" t="n"/>
      <c r="O888" s="33" t="n"/>
      <c r="P888" s="32" t="n"/>
      <c r="Q888" s="33" t="n"/>
      <c r="R888" s="33" t="n"/>
      <c r="S888" s="33" t="n"/>
      <c r="T888" s="33" t="n"/>
      <c r="U888" s="32" t="n"/>
      <c r="V888" s="33" t="n"/>
      <c r="W888" s="33" t="n"/>
      <c r="X888" s="33" t="n"/>
      <c r="Y888" s="33" t="n"/>
      <c r="Z888" s="33" t="n"/>
      <c r="AA888" s="33" t="n"/>
      <c r="AB888" s="33" t="n"/>
      <c r="AC888" s="33" t="n"/>
      <c r="AD888" s="33" t="n"/>
      <c r="AE888" s="33" t="n"/>
      <c r="AF888" s="32" t="n"/>
      <c r="AG888" s="32" t="n"/>
      <c r="AH888" s="32" t="n"/>
      <c r="AI888" s="32" t="n"/>
      <c r="AJ888" s="32" t="n"/>
      <c r="AK888" s="32" t="n"/>
      <c r="AL888" s="32" t="n"/>
      <c r="AM888" s="32" t="n"/>
      <c r="AN888" s="32" t="n"/>
      <c r="AO888" s="32" t="n"/>
      <c r="AP888" s="32" t="n"/>
      <c r="AQ888" s="32" t="n"/>
      <c r="AR888" s="29">
        <f>IF(NOT(COUNTA(A888:AE888)&gt;0),"",IF(A888="","New client","Update"))</f>
        <v/>
      </c>
      <c r="AS888" s="29">
        <f>IF(BA888&lt;&gt;"",BA888,IF(LEN(AZ888)=15,MID(AZ888,3,10),""))</f>
        <v/>
      </c>
      <c r="AT888" s="29">
        <f>IF(BB888="","",BB888&amp;IF(D888="","  (guessed from PAN)",""))</f>
        <v/>
      </c>
      <c r="AU888" s="29">
        <f>IF(AZ888="","",IFERROR(INDEX(Lists!$L$2:$L$38,MATCH(LEFT(AZ888,2),Lists!$K$2:$K$38,0)),"Unknown code"))</f>
        <v/>
      </c>
      <c r="AV888" s="29">
        <f>IF(AZ888="","",IFERROR(IF(NOT(AND(LEN(AZ888)=15,ISNUMBER(MATCH(LEFT(AZ888,2),Lists!$K$2:$K$38,0)),SUMPRODUCT(--ISERROR(FIND(MID(MID(AZ888,3,10),{1,2,3,4,5,10},1),"ABCDEFGHIJKLMNOPQRSTUVWXYZ")))=0,SUMPRODUCT(--ISERROR(FIND(MID(MID(AZ888,3,10),{6,7,8,9},1),"0123456789")))=0,ISNUMBER(FIND(MID(AZ888,13,1),"123456789ABCDEFGHIJKLMNOPQRSTUVWXYZ")),MID(AZ888,14,1)="Z")),"Wrong format",IF(MID("0123456789ABCDEFGHIJKLMNOPQRSTUVWXYZ",MOD(36-MOD(SUMPRODUCT(INT((FIND(MID(AZ888,{1,2,3,4,5,6,7,8,9,10,11,12,13,14},1),"0123456789ABCDEFGHIJKLMNOPQRSTUVWXYZ")-1)*{1,2,1,2,1,2,1,2,1,2,1,2,1,2}/36)+MOD((FIND(MID(AZ888,{1,2,3,4,5,6,7,8,9,10,11,12,13,14},1),"0123456789ABCDEFGHIJKLMNOPQRSTUVWXYZ")-1)*{1,2,1,2,1,2,1,2,1,2,1,2,1,2},36)),36),36)+1,1)=MID(AZ888,15,1),"OK","Typo? check digit wrong")),"Wrong format"))</f>
        <v/>
      </c>
      <c r="AW888" s="29">
        <f>IF(BA888="","",IF(AND(LEN(BA888)=10,SUMPRODUCT(--ISERROR(FIND(MID(BA888,{1,2,3,4,5,10},1),"ABCDEFGHIJKLMNOPQRSTUVWXYZ")))=0,SUMPRODUCT(--ISERROR(FIND(MID(BA888,{6,7,8,9},1),"0123456789")))=0),"OK","Wrong format"))</f>
        <v/>
      </c>
      <c r="AX888" s="29">
        <f>IF(TRIM(H888)="","",IF(AND(LEN(UPPER(TRIM(H888)))=10,SUMPRODUCT(--ISERROR(FIND(MID(UPPER(TRIM(H888)),{1,2,3,4,10},1),"ABCDEFGHIJKLMNOPQRSTUVWXYZ")))=0,SUMPRODUCT(--ISERROR(FIND(MID(UPPER(TRIM(H888)),{5,6,7,8,9},1),"0123456789")))=0),"OK","Wrong format"))</f>
        <v/>
      </c>
      <c r="AY888" s="30">
        <f>IF(NOT(COUNTA(A888:AE888)&gt;0),"",IF(BE888&lt;&gt;"","✖ "&amp;LEFT(BE888,LEN(BE888)-2),IF(BD888&gt;0,"✔ Ready — client + "&amp;BD888&amp;" service(s)","✔ Ready — client only")))</f>
        <v/>
      </c>
      <c r="AZ888" s="31">
        <f>UPPER(SUBSTITUTE(TRIM(F888)," ",""))</f>
        <v/>
      </c>
      <c r="BA888" s="31">
        <f>UPPER(SUBSTITUTE(TRIM(E888)," ",""))</f>
        <v/>
      </c>
      <c r="BB888" s="31">
        <f>IF(D888&lt;&gt;"",D888,IFERROR(VLOOKUP(MID(AS888,4,1),Lists!$E$2:$F$8,2,FALSE),""))</f>
        <v/>
      </c>
      <c r="BC888" s="31">
        <f>IFERROR(VLOOKUP(BB888,Lists!$A$2:$C$12,3,FALSE),"")</f>
        <v/>
      </c>
      <c r="BD888" s="31">
        <f>COUNTIF(W888:AC888,"Yes")</f>
        <v/>
      </c>
      <c r="BE888" s="31">
        <f>IF(TRIM(B888)="","Legal name missing; ","")&amp;IF(AND(AV888&lt;&gt;"",AV888&lt;&gt;"OK"),"GSTIN: "&amp;AV888&amp;"; ","")&amp;IF(AND(AW888&lt;&gt;"",AW888&lt;&gt;"OK"),"PAN wrong format; ","")&amp;IF(AND(BA888&lt;&gt;"",LEN(AZ888)=15,MID(AZ888,3,10)&lt;&gt;BA888),"PAN does not match GSTIN; ","")&amp;IF(AND(AX888&lt;&gt;"",AX888&lt;&gt;"OK"),"TAN wrong format; ","")&amp;IF(AS888="","PAN missing; ","")&amp;IF(BB888="","Entity type missing; ","")&amp;IF(AND(AZ888&lt;&gt;"",COUNTIF($AZ$6:$AZ$1005,AZ888)&gt;1),"GSTIN repeated in this sheet; ","")&amp;IF(AND(AS888&lt;&gt;"",COUNTIF($AS$6:$AS$1005,AS888)&gt;1),"PAN repeated in this sheet (same client? put extra GSTINs in Other GSTINs); ","")&amp;IF(AND(BD888&gt;0,V888=""),"Financial year missing; ","")&amp;IF(AND(BD888=0,V888&lt;&gt;""),"Financial year given but no service is Yes; ","")&amp;IF(AND(W888="Yes",AZ888=""),"GST needs a GSTIN; ","")&amp;IF(AND(W888="Yes",X888=""),"GST return frequency missing; ","")&amp;IF(AND(Y888="Yes",TRIM(H888)=""),"TDS needs a TAN; ","")&amp;IF(AND(AA888="Yes",BC888&lt;&gt;"",BC888&lt;&gt;"company",BC888&lt;&gt;"llp"),"ROC is only for a company / LLP; ","")&amp;IF(AND(AA888="Yes",OR(BC888="company",BC888="llp"),TRIM(I888)=""),"ROC needs the CIN / LLPIN; ","")&amp;IF((TRIM(AF888)="")&lt;&gt;(TRIM(AG888)=""),"GST login needs both user ID and password; ","")&amp;IF((TRIM(AH888)="")&lt;&gt;(TRIM(AI888)=""),"Income-tax login needs both user ID and password; ","")&amp;IF((TRIM(AJ888)="")&lt;&gt;(TRIM(AK888)=""),"Income-tax login needs both user ID and password; ","")&amp;IF((TRIM(AL888)="")&lt;&gt;(TRIM(AM888)=""),"TRACES login needs both user ID and password; ","")&amp;IF((TRIM(AN888)="")&lt;&gt;(TRIM(AO888)=""),"MCA login needs both user ID and password; ","")&amp;IF((TRIM(AP888)="")&lt;&gt;(TRIM(AQ888)=""),"E-way bill login needs both user ID and password; ","")</f>
        <v/>
      </c>
    </row>
    <row r="889">
      <c r="A889" s="32" t="n"/>
      <c r="B889" s="33" t="n"/>
      <c r="C889" s="33" t="n"/>
      <c r="D889" s="33" t="n"/>
      <c r="E889" s="32" t="n"/>
      <c r="F889" s="32" t="n"/>
      <c r="G889" s="32" t="n"/>
      <c r="H889" s="32" t="n"/>
      <c r="I889" s="32" t="n"/>
      <c r="J889" s="34" t="n"/>
      <c r="K889" s="33" t="n"/>
      <c r="L889" s="32" t="n"/>
      <c r="M889" s="33" t="n"/>
      <c r="N889" s="33" t="n"/>
      <c r="O889" s="33" t="n"/>
      <c r="P889" s="32" t="n"/>
      <c r="Q889" s="33" t="n"/>
      <c r="R889" s="33" t="n"/>
      <c r="S889" s="33" t="n"/>
      <c r="T889" s="33" t="n"/>
      <c r="U889" s="32" t="n"/>
      <c r="V889" s="33" t="n"/>
      <c r="W889" s="33" t="n"/>
      <c r="X889" s="33" t="n"/>
      <c r="Y889" s="33" t="n"/>
      <c r="Z889" s="33" t="n"/>
      <c r="AA889" s="33" t="n"/>
      <c r="AB889" s="33" t="n"/>
      <c r="AC889" s="33" t="n"/>
      <c r="AD889" s="33" t="n"/>
      <c r="AE889" s="33" t="n"/>
      <c r="AF889" s="32" t="n"/>
      <c r="AG889" s="32" t="n"/>
      <c r="AH889" s="32" t="n"/>
      <c r="AI889" s="32" t="n"/>
      <c r="AJ889" s="32" t="n"/>
      <c r="AK889" s="32" t="n"/>
      <c r="AL889" s="32" t="n"/>
      <c r="AM889" s="32" t="n"/>
      <c r="AN889" s="32" t="n"/>
      <c r="AO889" s="32" t="n"/>
      <c r="AP889" s="32" t="n"/>
      <c r="AQ889" s="32" t="n"/>
      <c r="AR889" s="29">
        <f>IF(NOT(COUNTA(A889:AE889)&gt;0),"",IF(A889="","New client","Update"))</f>
        <v/>
      </c>
      <c r="AS889" s="29">
        <f>IF(BA889&lt;&gt;"",BA889,IF(LEN(AZ889)=15,MID(AZ889,3,10),""))</f>
        <v/>
      </c>
      <c r="AT889" s="29">
        <f>IF(BB889="","",BB889&amp;IF(D889="","  (guessed from PAN)",""))</f>
        <v/>
      </c>
      <c r="AU889" s="29">
        <f>IF(AZ889="","",IFERROR(INDEX(Lists!$L$2:$L$38,MATCH(LEFT(AZ889,2),Lists!$K$2:$K$38,0)),"Unknown code"))</f>
        <v/>
      </c>
      <c r="AV889" s="29">
        <f>IF(AZ889="","",IFERROR(IF(NOT(AND(LEN(AZ889)=15,ISNUMBER(MATCH(LEFT(AZ889,2),Lists!$K$2:$K$38,0)),SUMPRODUCT(--ISERROR(FIND(MID(MID(AZ889,3,10),{1,2,3,4,5,10},1),"ABCDEFGHIJKLMNOPQRSTUVWXYZ")))=0,SUMPRODUCT(--ISERROR(FIND(MID(MID(AZ889,3,10),{6,7,8,9},1),"0123456789")))=0,ISNUMBER(FIND(MID(AZ889,13,1),"123456789ABCDEFGHIJKLMNOPQRSTUVWXYZ")),MID(AZ889,14,1)="Z")),"Wrong format",IF(MID("0123456789ABCDEFGHIJKLMNOPQRSTUVWXYZ",MOD(36-MOD(SUMPRODUCT(INT((FIND(MID(AZ889,{1,2,3,4,5,6,7,8,9,10,11,12,13,14},1),"0123456789ABCDEFGHIJKLMNOPQRSTUVWXYZ")-1)*{1,2,1,2,1,2,1,2,1,2,1,2,1,2}/36)+MOD((FIND(MID(AZ889,{1,2,3,4,5,6,7,8,9,10,11,12,13,14},1),"0123456789ABCDEFGHIJKLMNOPQRSTUVWXYZ")-1)*{1,2,1,2,1,2,1,2,1,2,1,2,1,2},36)),36),36)+1,1)=MID(AZ889,15,1),"OK","Typo? check digit wrong")),"Wrong format"))</f>
        <v/>
      </c>
      <c r="AW889" s="29">
        <f>IF(BA889="","",IF(AND(LEN(BA889)=10,SUMPRODUCT(--ISERROR(FIND(MID(BA889,{1,2,3,4,5,10},1),"ABCDEFGHIJKLMNOPQRSTUVWXYZ")))=0,SUMPRODUCT(--ISERROR(FIND(MID(BA889,{6,7,8,9},1),"0123456789")))=0),"OK","Wrong format"))</f>
        <v/>
      </c>
      <c r="AX889" s="29">
        <f>IF(TRIM(H889)="","",IF(AND(LEN(UPPER(TRIM(H889)))=10,SUMPRODUCT(--ISERROR(FIND(MID(UPPER(TRIM(H889)),{1,2,3,4,10},1),"ABCDEFGHIJKLMNOPQRSTUVWXYZ")))=0,SUMPRODUCT(--ISERROR(FIND(MID(UPPER(TRIM(H889)),{5,6,7,8,9},1),"0123456789")))=0),"OK","Wrong format"))</f>
        <v/>
      </c>
      <c r="AY889" s="30">
        <f>IF(NOT(COUNTA(A889:AE889)&gt;0),"",IF(BE889&lt;&gt;"","✖ "&amp;LEFT(BE889,LEN(BE889)-2),IF(BD889&gt;0,"✔ Ready — client + "&amp;BD889&amp;" service(s)","✔ Ready — client only")))</f>
        <v/>
      </c>
      <c r="AZ889" s="31">
        <f>UPPER(SUBSTITUTE(TRIM(F889)," ",""))</f>
        <v/>
      </c>
      <c r="BA889" s="31">
        <f>UPPER(SUBSTITUTE(TRIM(E889)," ",""))</f>
        <v/>
      </c>
      <c r="BB889" s="31">
        <f>IF(D889&lt;&gt;"",D889,IFERROR(VLOOKUP(MID(AS889,4,1),Lists!$E$2:$F$8,2,FALSE),""))</f>
        <v/>
      </c>
      <c r="BC889" s="31">
        <f>IFERROR(VLOOKUP(BB889,Lists!$A$2:$C$12,3,FALSE),"")</f>
        <v/>
      </c>
      <c r="BD889" s="31">
        <f>COUNTIF(W889:AC889,"Yes")</f>
        <v/>
      </c>
      <c r="BE889" s="31">
        <f>IF(TRIM(B889)="","Legal name missing; ","")&amp;IF(AND(AV889&lt;&gt;"",AV889&lt;&gt;"OK"),"GSTIN: "&amp;AV889&amp;"; ","")&amp;IF(AND(AW889&lt;&gt;"",AW889&lt;&gt;"OK"),"PAN wrong format; ","")&amp;IF(AND(BA889&lt;&gt;"",LEN(AZ889)=15,MID(AZ889,3,10)&lt;&gt;BA889),"PAN does not match GSTIN; ","")&amp;IF(AND(AX889&lt;&gt;"",AX889&lt;&gt;"OK"),"TAN wrong format; ","")&amp;IF(AS889="","PAN missing; ","")&amp;IF(BB889="","Entity type missing; ","")&amp;IF(AND(AZ889&lt;&gt;"",COUNTIF($AZ$6:$AZ$1005,AZ889)&gt;1),"GSTIN repeated in this sheet; ","")&amp;IF(AND(AS889&lt;&gt;"",COUNTIF($AS$6:$AS$1005,AS889)&gt;1),"PAN repeated in this sheet (same client? put extra GSTINs in Other GSTINs); ","")&amp;IF(AND(BD889&gt;0,V889=""),"Financial year missing; ","")&amp;IF(AND(BD889=0,V889&lt;&gt;""),"Financial year given but no service is Yes; ","")&amp;IF(AND(W889="Yes",AZ889=""),"GST needs a GSTIN; ","")&amp;IF(AND(W889="Yes",X889=""),"GST return frequency missing; ","")&amp;IF(AND(Y889="Yes",TRIM(H889)=""),"TDS needs a TAN; ","")&amp;IF(AND(AA889="Yes",BC889&lt;&gt;"",BC889&lt;&gt;"company",BC889&lt;&gt;"llp"),"ROC is only for a company / LLP; ","")&amp;IF(AND(AA889="Yes",OR(BC889="company",BC889="llp"),TRIM(I889)=""),"ROC needs the CIN / LLPIN; ","")&amp;IF((TRIM(AF889)="")&lt;&gt;(TRIM(AG889)=""),"GST login needs both user ID and password; ","")&amp;IF((TRIM(AH889)="")&lt;&gt;(TRIM(AI889)=""),"Income-tax login needs both user ID and password; ","")&amp;IF((TRIM(AJ889)="")&lt;&gt;(TRIM(AK889)=""),"Income-tax login needs both user ID and password; ","")&amp;IF((TRIM(AL889)="")&lt;&gt;(TRIM(AM889)=""),"TRACES login needs both user ID and password; ","")&amp;IF((TRIM(AN889)="")&lt;&gt;(TRIM(AO889)=""),"MCA login needs both user ID and password; ","")&amp;IF((TRIM(AP889)="")&lt;&gt;(TRIM(AQ889)=""),"E-way bill login needs both user ID and password; ","")</f>
        <v/>
      </c>
    </row>
    <row r="890">
      <c r="A890" s="32" t="n"/>
      <c r="B890" s="33" t="n"/>
      <c r="C890" s="33" t="n"/>
      <c r="D890" s="33" t="n"/>
      <c r="E890" s="32" t="n"/>
      <c r="F890" s="32" t="n"/>
      <c r="G890" s="32" t="n"/>
      <c r="H890" s="32" t="n"/>
      <c r="I890" s="32" t="n"/>
      <c r="J890" s="34" t="n"/>
      <c r="K890" s="33" t="n"/>
      <c r="L890" s="32" t="n"/>
      <c r="M890" s="33" t="n"/>
      <c r="N890" s="33" t="n"/>
      <c r="O890" s="33" t="n"/>
      <c r="P890" s="32" t="n"/>
      <c r="Q890" s="33" t="n"/>
      <c r="R890" s="33" t="n"/>
      <c r="S890" s="33" t="n"/>
      <c r="T890" s="33" t="n"/>
      <c r="U890" s="32" t="n"/>
      <c r="V890" s="33" t="n"/>
      <c r="W890" s="33" t="n"/>
      <c r="X890" s="33" t="n"/>
      <c r="Y890" s="33" t="n"/>
      <c r="Z890" s="33" t="n"/>
      <c r="AA890" s="33" t="n"/>
      <c r="AB890" s="33" t="n"/>
      <c r="AC890" s="33" t="n"/>
      <c r="AD890" s="33" t="n"/>
      <c r="AE890" s="33" t="n"/>
      <c r="AF890" s="32" t="n"/>
      <c r="AG890" s="32" t="n"/>
      <c r="AH890" s="32" t="n"/>
      <c r="AI890" s="32" t="n"/>
      <c r="AJ890" s="32" t="n"/>
      <c r="AK890" s="32" t="n"/>
      <c r="AL890" s="32" t="n"/>
      <c r="AM890" s="32" t="n"/>
      <c r="AN890" s="32" t="n"/>
      <c r="AO890" s="32" t="n"/>
      <c r="AP890" s="32" t="n"/>
      <c r="AQ890" s="32" t="n"/>
      <c r="AR890" s="29">
        <f>IF(NOT(COUNTA(A890:AE890)&gt;0),"",IF(A890="","New client","Update"))</f>
        <v/>
      </c>
      <c r="AS890" s="29">
        <f>IF(BA890&lt;&gt;"",BA890,IF(LEN(AZ890)=15,MID(AZ890,3,10),""))</f>
        <v/>
      </c>
      <c r="AT890" s="29">
        <f>IF(BB890="","",BB890&amp;IF(D890="","  (guessed from PAN)",""))</f>
        <v/>
      </c>
      <c r="AU890" s="29">
        <f>IF(AZ890="","",IFERROR(INDEX(Lists!$L$2:$L$38,MATCH(LEFT(AZ890,2),Lists!$K$2:$K$38,0)),"Unknown code"))</f>
        <v/>
      </c>
      <c r="AV890" s="29">
        <f>IF(AZ890="","",IFERROR(IF(NOT(AND(LEN(AZ890)=15,ISNUMBER(MATCH(LEFT(AZ890,2),Lists!$K$2:$K$38,0)),SUMPRODUCT(--ISERROR(FIND(MID(MID(AZ890,3,10),{1,2,3,4,5,10},1),"ABCDEFGHIJKLMNOPQRSTUVWXYZ")))=0,SUMPRODUCT(--ISERROR(FIND(MID(MID(AZ890,3,10),{6,7,8,9},1),"0123456789")))=0,ISNUMBER(FIND(MID(AZ890,13,1),"123456789ABCDEFGHIJKLMNOPQRSTUVWXYZ")),MID(AZ890,14,1)="Z")),"Wrong format",IF(MID("0123456789ABCDEFGHIJKLMNOPQRSTUVWXYZ",MOD(36-MOD(SUMPRODUCT(INT((FIND(MID(AZ890,{1,2,3,4,5,6,7,8,9,10,11,12,13,14},1),"0123456789ABCDEFGHIJKLMNOPQRSTUVWXYZ")-1)*{1,2,1,2,1,2,1,2,1,2,1,2,1,2}/36)+MOD((FIND(MID(AZ890,{1,2,3,4,5,6,7,8,9,10,11,12,13,14},1),"0123456789ABCDEFGHIJKLMNOPQRSTUVWXYZ")-1)*{1,2,1,2,1,2,1,2,1,2,1,2,1,2},36)),36),36)+1,1)=MID(AZ890,15,1),"OK","Typo? check digit wrong")),"Wrong format"))</f>
        <v/>
      </c>
      <c r="AW890" s="29">
        <f>IF(BA890="","",IF(AND(LEN(BA890)=10,SUMPRODUCT(--ISERROR(FIND(MID(BA890,{1,2,3,4,5,10},1),"ABCDEFGHIJKLMNOPQRSTUVWXYZ")))=0,SUMPRODUCT(--ISERROR(FIND(MID(BA890,{6,7,8,9},1),"0123456789")))=0),"OK","Wrong format"))</f>
        <v/>
      </c>
      <c r="AX890" s="29">
        <f>IF(TRIM(H890)="","",IF(AND(LEN(UPPER(TRIM(H890)))=10,SUMPRODUCT(--ISERROR(FIND(MID(UPPER(TRIM(H890)),{1,2,3,4,10},1),"ABCDEFGHIJKLMNOPQRSTUVWXYZ")))=0,SUMPRODUCT(--ISERROR(FIND(MID(UPPER(TRIM(H890)),{5,6,7,8,9},1),"0123456789")))=0),"OK","Wrong format"))</f>
        <v/>
      </c>
      <c r="AY890" s="30">
        <f>IF(NOT(COUNTA(A890:AE890)&gt;0),"",IF(BE890&lt;&gt;"","✖ "&amp;LEFT(BE890,LEN(BE890)-2),IF(BD890&gt;0,"✔ Ready — client + "&amp;BD890&amp;" service(s)","✔ Ready — client only")))</f>
        <v/>
      </c>
      <c r="AZ890" s="31">
        <f>UPPER(SUBSTITUTE(TRIM(F890)," ",""))</f>
        <v/>
      </c>
      <c r="BA890" s="31">
        <f>UPPER(SUBSTITUTE(TRIM(E890)," ",""))</f>
        <v/>
      </c>
      <c r="BB890" s="31">
        <f>IF(D890&lt;&gt;"",D890,IFERROR(VLOOKUP(MID(AS890,4,1),Lists!$E$2:$F$8,2,FALSE),""))</f>
        <v/>
      </c>
      <c r="BC890" s="31">
        <f>IFERROR(VLOOKUP(BB890,Lists!$A$2:$C$12,3,FALSE),"")</f>
        <v/>
      </c>
      <c r="BD890" s="31">
        <f>COUNTIF(W890:AC890,"Yes")</f>
        <v/>
      </c>
      <c r="BE890" s="31">
        <f>IF(TRIM(B890)="","Legal name missing; ","")&amp;IF(AND(AV890&lt;&gt;"",AV890&lt;&gt;"OK"),"GSTIN: "&amp;AV890&amp;"; ","")&amp;IF(AND(AW890&lt;&gt;"",AW890&lt;&gt;"OK"),"PAN wrong format; ","")&amp;IF(AND(BA890&lt;&gt;"",LEN(AZ890)=15,MID(AZ890,3,10)&lt;&gt;BA890),"PAN does not match GSTIN; ","")&amp;IF(AND(AX890&lt;&gt;"",AX890&lt;&gt;"OK"),"TAN wrong format; ","")&amp;IF(AS890="","PAN missing; ","")&amp;IF(BB890="","Entity type missing; ","")&amp;IF(AND(AZ890&lt;&gt;"",COUNTIF($AZ$6:$AZ$1005,AZ890)&gt;1),"GSTIN repeated in this sheet; ","")&amp;IF(AND(AS890&lt;&gt;"",COUNTIF($AS$6:$AS$1005,AS890)&gt;1),"PAN repeated in this sheet (same client? put extra GSTINs in Other GSTINs); ","")&amp;IF(AND(BD890&gt;0,V890=""),"Financial year missing; ","")&amp;IF(AND(BD890=0,V890&lt;&gt;""),"Financial year given but no service is Yes; ","")&amp;IF(AND(W890="Yes",AZ890=""),"GST needs a GSTIN; ","")&amp;IF(AND(W890="Yes",X890=""),"GST return frequency missing; ","")&amp;IF(AND(Y890="Yes",TRIM(H890)=""),"TDS needs a TAN; ","")&amp;IF(AND(AA890="Yes",BC890&lt;&gt;"",BC890&lt;&gt;"company",BC890&lt;&gt;"llp"),"ROC is only for a company / LLP; ","")&amp;IF(AND(AA890="Yes",OR(BC890="company",BC890="llp"),TRIM(I890)=""),"ROC needs the CIN / LLPIN; ","")&amp;IF((TRIM(AF890)="")&lt;&gt;(TRIM(AG890)=""),"GST login needs both user ID and password; ","")&amp;IF((TRIM(AH890)="")&lt;&gt;(TRIM(AI890)=""),"Income-tax login needs both user ID and password; ","")&amp;IF((TRIM(AJ890)="")&lt;&gt;(TRIM(AK890)=""),"Income-tax login needs both user ID and password; ","")&amp;IF((TRIM(AL890)="")&lt;&gt;(TRIM(AM890)=""),"TRACES login needs both user ID and password; ","")&amp;IF((TRIM(AN890)="")&lt;&gt;(TRIM(AO890)=""),"MCA login needs both user ID and password; ","")&amp;IF((TRIM(AP890)="")&lt;&gt;(TRIM(AQ890)=""),"E-way bill login needs both user ID and password; ","")</f>
        <v/>
      </c>
    </row>
    <row r="891">
      <c r="A891" s="32" t="n"/>
      <c r="B891" s="33" t="n"/>
      <c r="C891" s="33" t="n"/>
      <c r="D891" s="33" t="n"/>
      <c r="E891" s="32" t="n"/>
      <c r="F891" s="32" t="n"/>
      <c r="G891" s="32" t="n"/>
      <c r="H891" s="32" t="n"/>
      <c r="I891" s="32" t="n"/>
      <c r="J891" s="34" t="n"/>
      <c r="K891" s="33" t="n"/>
      <c r="L891" s="32" t="n"/>
      <c r="M891" s="33" t="n"/>
      <c r="N891" s="33" t="n"/>
      <c r="O891" s="33" t="n"/>
      <c r="P891" s="32" t="n"/>
      <c r="Q891" s="33" t="n"/>
      <c r="R891" s="33" t="n"/>
      <c r="S891" s="33" t="n"/>
      <c r="T891" s="33" t="n"/>
      <c r="U891" s="32" t="n"/>
      <c r="V891" s="33" t="n"/>
      <c r="W891" s="33" t="n"/>
      <c r="X891" s="33" t="n"/>
      <c r="Y891" s="33" t="n"/>
      <c r="Z891" s="33" t="n"/>
      <c r="AA891" s="33" t="n"/>
      <c r="AB891" s="33" t="n"/>
      <c r="AC891" s="33" t="n"/>
      <c r="AD891" s="33" t="n"/>
      <c r="AE891" s="33" t="n"/>
      <c r="AF891" s="32" t="n"/>
      <c r="AG891" s="32" t="n"/>
      <c r="AH891" s="32" t="n"/>
      <c r="AI891" s="32" t="n"/>
      <c r="AJ891" s="32" t="n"/>
      <c r="AK891" s="32" t="n"/>
      <c r="AL891" s="32" t="n"/>
      <c r="AM891" s="32" t="n"/>
      <c r="AN891" s="32" t="n"/>
      <c r="AO891" s="32" t="n"/>
      <c r="AP891" s="32" t="n"/>
      <c r="AQ891" s="32" t="n"/>
      <c r="AR891" s="29">
        <f>IF(NOT(COUNTA(A891:AE891)&gt;0),"",IF(A891="","New client","Update"))</f>
        <v/>
      </c>
      <c r="AS891" s="29">
        <f>IF(BA891&lt;&gt;"",BA891,IF(LEN(AZ891)=15,MID(AZ891,3,10),""))</f>
        <v/>
      </c>
      <c r="AT891" s="29">
        <f>IF(BB891="","",BB891&amp;IF(D891="","  (guessed from PAN)",""))</f>
        <v/>
      </c>
      <c r="AU891" s="29">
        <f>IF(AZ891="","",IFERROR(INDEX(Lists!$L$2:$L$38,MATCH(LEFT(AZ891,2),Lists!$K$2:$K$38,0)),"Unknown code"))</f>
        <v/>
      </c>
      <c r="AV891" s="29">
        <f>IF(AZ891="","",IFERROR(IF(NOT(AND(LEN(AZ891)=15,ISNUMBER(MATCH(LEFT(AZ891,2),Lists!$K$2:$K$38,0)),SUMPRODUCT(--ISERROR(FIND(MID(MID(AZ891,3,10),{1,2,3,4,5,10},1),"ABCDEFGHIJKLMNOPQRSTUVWXYZ")))=0,SUMPRODUCT(--ISERROR(FIND(MID(MID(AZ891,3,10),{6,7,8,9},1),"0123456789")))=0,ISNUMBER(FIND(MID(AZ891,13,1),"123456789ABCDEFGHIJKLMNOPQRSTUVWXYZ")),MID(AZ891,14,1)="Z")),"Wrong format",IF(MID("0123456789ABCDEFGHIJKLMNOPQRSTUVWXYZ",MOD(36-MOD(SUMPRODUCT(INT((FIND(MID(AZ891,{1,2,3,4,5,6,7,8,9,10,11,12,13,14},1),"0123456789ABCDEFGHIJKLMNOPQRSTUVWXYZ")-1)*{1,2,1,2,1,2,1,2,1,2,1,2,1,2}/36)+MOD((FIND(MID(AZ891,{1,2,3,4,5,6,7,8,9,10,11,12,13,14},1),"0123456789ABCDEFGHIJKLMNOPQRSTUVWXYZ")-1)*{1,2,1,2,1,2,1,2,1,2,1,2,1,2},36)),36),36)+1,1)=MID(AZ891,15,1),"OK","Typo? check digit wrong")),"Wrong format"))</f>
        <v/>
      </c>
      <c r="AW891" s="29">
        <f>IF(BA891="","",IF(AND(LEN(BA891)=10,SUMPRODUCT(--ISERROR(FIND(MID(BA891,{1,2,3,4,5,10},1),"ABCDEFGHIJKLMNOPQRSTUVWXYZ")))=0,SUMPRODUCT(--ISERROR(FIND(MID(BA891,{6,7,8,9},1),"0123456789")))=0),"OK","Wrong format"))</f>
        <v/>
      </c>
      <c r="AX891" s="29">
        <f>IF(TRIM(H891)="","",IF(AND(LEN(UPPER(TRIM(H891)))=10,SUMPRODUCT(--ISERROR(FIND(MID(UPPER(TRIM(H891)),{1,2,3,4,10},1),"ABCDEFGHIJKLMNOPQRSTUVWXYZ")))=0,SUMPRODUCT(--ISERROR(FIND(MID(UPPER(TRIM(H891)),{5,6,7,8,9},1),"0123456789")))=0),"OK","Wrong format"))</f>
        <v/>
      </c>
      <c r="AY891" s="30">
        <f>IF(NOT(COUNTA(A891:AE891)&gt;0),"",IF(BE891&lt;&gt;"","✖ "&amp;LEFT(BE891,LEN(BE891)-2),IF(BD891&gt;0,"✔ Ready — client + "&amp;BD891&amp;" service(s)","✔ Ready — client only")))</f>
        <v/>
      </c>
      <c r="AZ891" s="31">
        <f>UPPER(SUBSTITUTE(TRIM(F891)," ",""))</f>
        <v/>
      </c>
      <c r="BA891" s="31">
        <f>UPPER(SUBSTITUTE(TRIM(E891)," ",""))</f>
        <v/>
      </c>
      <c r="BB891" s="31">
        <f>IF(D891&lt;&gt;"",D891,IFERROR(VLOOKUP(MID(AS891,4,1),Lists!$E$2:$F$8,2,FALSE),""))</f>
        <v/>
      </c>
      <c r="BC891" s="31">
        <f>IFERROR(VLOOKUP(BB891,Lists!$A$2:$C$12,3,FALSE),"")</f>
        <v/>
      </c>
      <c r="BD891" s="31">
        <f>COUNTIF(W891:AC891,"Yes")</f>
        <v/>
      </c>
      <c r="BE891" s="31">
        <f>IF(TRIM(B891)="","Legal name missing; ","")&amp;IF(AND(AV891&lt;&gt;"",AV891&lt;&gt;"OK"),"GSTIN: "&amp;AV891&amp;"; ","")&amp;IF(AND(AW891&lt;&gt;"",AW891&lt;&gt;"OK"),"PAN wrong format; ","")&amp;IF(AND(BA891&lt;&gt;"",LEN(AZ891)=15,MID(AZ891,3,10)&lt;&gt;BA891),"PAN does not match GSTIN; ","")&amp;IF(AND(AX891&lt;&gt;"",AX891&lt;&gt;"OK"),"TAN wrong format; ","")&amp;IF(AS891="","PAN missing; ","")&amp;IF(BB891="","Entity type missing; ","")&amp;IF(AND(AZ891&lt;&gt;"",COUNTIF($AZ$6:$AZ$1005,AZ891)&gt;1),"GSTIN repeated in this sheet; ","")&amp;IF(AND(AS891&lt;&gt;"",COUNTIF($AS$6:$AS$1005,AS891)&gt;1),"PAN repeated in this sheet (same client? put extra GSTINs in Other GSTINs); ","")&amp;IF(AND(BD891&gt;0,V891=""),"Financial year missing; ","")&amp;IF(AND(BD891=0,V891&lt;&gt;""),"Financial year given but no service is Yes; ","")&amp;IF(AND(W891="Yes",AZ891=""),"GST needs a GSTIN; ","")&amp;IF(AND(W891="Yes",X891=""),"GST return frequency missing; ","")&amp;IF(AND(Y891="Yes",TRIM(H891)=""),"TDS needs a TAN; ","")&amp;IF(AND(AA891="Yes",BC891&lt;&gt;"",BC891&lt;&gt;"company",BC891&lt;&gt;"llp"),"ROC is only for a company / LLP; ","")&amp;IF(AND(AA891="Yes",OR(BC891="company",BC891="llp"),TRIM(I891)=""),"ROC needs the CIN / LLPIN; ","")&amp;IF((TRIM(AF891)="")&lt;&gt;(TRIM(AG891)=""),"GST login needs both user ID and password; ","")&amp;IF((TRIM(AH891)="")&lt;&gt;(TRIM(AI891)=""),"Income-tax login needs both user ID and password; ","")&amp;IF((TRIM(AJ891)="")&lt;&gt;(TRIM(AK891)=""),"Income-tax login needs both user ID and password; ","")&amp;IF((TRIM(AL891)="")&lt;&gt;(TRIM(AM891)=""),"TRACES login needs both user ID and password; ","")&amp;IF((TRIM(AN891)="")&lt;&gt;(TRIM(AO891)=""),"MCA login needs both user ID and password; ","")&amp;IF((TRIM(AP891)="")&lt;&gt;(TRIM(AQ891)=""),"E-way bill login needs both user ID and password; ","")</f>
        <v/>
      </c>
    </row>
    <row r="892">
      <c r="A892" s="32" t="n"/>
      <c r="B892" s="33" t="n"/>
      <c r="C892" s="33" t="n"/>
      <c r="D892" s="33" t="n"/>
      <c r="E892" s="32" t="n"/>
      <c r="F892" s="32" t="n"/>
      <c r="G892" s="32" t="n"/>
      <c r="H892" s="32" t="n"/>
      <c r="I892" s="32" t="n"/>
      <c r="J892" s="34" t="n"/>
      <c r="K892" s="33" t="n"/>
      <c r="L892" s="32" t="n"/>
      <c r="M892" s="33" t="n"/>
      <c r="N892" s="33" t="n"/>
      <c r="O892" s="33" t="n"/>
      <c r="P892" s="32" t="n"/>
      <c r="Q892" s="33" t="n"/>
      <c r="R892" s="33" t="n"/>
      <c r="S892" s="33" t="n"/>
      <c r="T892" s="33" t="n"/>
      <c r="U892" s="32" t="n"/>
      <c r="V892" s="33" t="n"/>
      <c r="W892" s="33" t="n"/>
      <c r="X892" s="33" t="n"/>
      <c r="Y892" s="33" t="n"/>
      <c r="Z892" s="33" t="n"/>
      <c r="AA892" s="33" t="n"/>
      <c r="AB892" s="33" t="n"/>
      <c r="AC892" s="33" t="n"/>
      <c r="AD892" s="33" t="n"/>
      <c r="AE892" s="33" t="n"/>
      <c r="AF892" s="32" t="n"/>
      <c r="AG892" s="32" t="n"/>
      <c r="AH892" s="32" t="n"/>
      <c r="AI892" s="32" t="n"/>
      <c r="AJ892" s="32" t="n"/>
      <c r="AK892" s="32" t="n"/>
      <c r="AL892" s="32" t="n"/>
      <c r="AM892" s="32" t="n"/>
      <c r="AN892" s="32" t="n"/>
      <c r="AO892" s="32" t="n"/>
      <c r="AP892" s="32" t="n"/>
      <c r="AQ892" s="32" t="n"/>
      <c r="AR892" s="29">
        <f>IF(NOT(COUNTA(A892:AE892)&gt;0),"",IF(A892="","New client","Update"))</f>
        <v/>
      </c>
      <c r="AS892" s="29">
        <f>IF(BA892&lt;&gt;"",BA892,IF(LEN(AZ892)=15,MID(AZ892,3,10),""))</f>
        <v/>
      </c>
      <c r="AT892" s="29">
        <f>IF(BB892="","",BB892&amp;IF(D892="","  (guessed from PAN)",""))</f>
        <v/>
      </c>
      <c r="AU892" s="29">
        <f>IF(AZ892="","",IFERROR(INDEX(Lists!$L$2:$L$38,MATCH(LEFT(AZ892,2),Lists!$K$2:$K$38,0)),"Unknown code"))</f>
        <v/>
      </c>
      <c r="AV892" s="29">
        <f>IF(AZ892="","",IFERROR(IF(NOT(AND(LEN(AZ892)=15,ISNUMBER(MATCH(LEFT(AZ892,2),Lists!$K$2:$K$38,0)),SUMPRODUCT(--ISERROR(FIND(MID(MID(AZ892,3,10),{1,2,3,4,5,10},1),"ABCDEFGHIJKLMNOPQRSTUVWXYZ")))=0,SUMPRODUCT(--ISERROR(FIND(MID(MID(AZ892,3,10),{6,7,8,9},1),"0123456789")))=0,ISNUMBER(FIND(MID(AZ892,13,1),"123456789ABCDEFGHIJKLMNOPQRSTUVWXYZ")),MID(AZ892,14,1)="Z")),"Wrong format",IF(MID("0123456789ABCDEFGHIJKLMNOPQRSTUVWXYZ",MOD(36-MOD(SUMPRODUCT(INT((FIND(MID(AZ892,{1,2,3,4,5,6,7,8,9,10,11,12,13,14},1),"0123456789ABCDEFGHIJKLMNOPQRSTUVWXYZ")-1)*{1,2,1,2,1,2,1,2,1,2,1,2,1,2}/36)+MOD((FIND(MID(AZ892,{1,2,3,4,5,6,7,8,9,10,11,12,13,14},1),"0123456789ABCDEFGHIJKLMNOPQRSTUVWXYZ")-1)*{1,2,1,2,1,2,1,2,1,2,1,2,1,2},36)),36),36)+1,1)=MID(AZ892,15,1),"OK","Typo? check digit wrong")),"Wrong format"))</f>
        <v/>
      </c>
      <c r="AW892" s="29">
        <f>IF(BA892="","",IF(AND(LEN(BA892)=10,SUMPRODUCT(--ISERROR(FIND(MID(BA892,{1,2,3,4,5,10},1),"ABCDEFGHIJKLMNOPQRSTUVWXYZ")))=0,SUMPRODUCT(--ISERROR(FIND(MID(BA892,{6,7,8,9},1),"0123456789")))=0),"OK","Wrong format"))</f>
        <v/>
      </c>
      <c r="AX892" s="29">
        <f>IF(TRIM(H892)="","",IF(AND(LEN(UPPER(TRIM(H892)))=10,SUMPRODUCT(--ISERROR(FIND(MID(UPPER(TRIM(H892)),{1,2,3,4,10},1),"ABCDEFGHIJKLMNOPQRSTUVWXYZ")))=0,SUMPRODUCT(--ISERROR(FIND(MID(UPPER(TRIM(H892)),{5,6,7,8,9},1),"0123456789")))=0),"OK","Wrong format"))</f>
        <v/>
      </c>
      <c r="AY892" s="30">
        <f>IF(NOT(COUNTA(A892:AE892)&gt;0),"",IF(BE892&lt;&gt;"","✖ "&amp;LEFT(BE892,LEN(BE892)-2),IF(BD892&gt;0,"✔ Ready — client + "&amp;BD892&amp;" service(s)","✔ Ready — client only")))</f>
        <v/>
      </c>
      <c r="AZ892" s="31">
        <f>UPPER(SUBSTITUTE(TRIM(F892)," ",""))</f>
        <v/>
      </c>
      <c r="BA892" s="31">
        <f>UPPER(SUBSTITUTE(TRIM(E892)," ",""))</f>
        <v/>
      </c>
      <c r="BB892" s="31">
        <f>IF(D892&lt;&gt;"",D892,IFERROR(VLOOKUP(MID(AS892,4,1),Lists!$E$2:$F$8,2,FALSE),""))</f>
        <v/>
      </c>
      <c r="BC892" s="31">
        <f>IFERROR(VLOOKUP(BB892,Lists!$A$2:$C$12,3,FALSE),"")</f>
        <v/>
      </c>
      <c r="BD892" s="31">
        <f>COUNTIF(W892:AC892,"Yes")</f>
        <v/>
      </c>
      <c r="BE892" s="31">
        <f>IF(TRIM(B892)="","Legal name missing; ","")&amp;IF(AND(AV892&lt;&gt;"",AV892&lt;&gt;"OK"),"GSTIN: "&amp;AV892&amp;"; ","")&amp;IF(AND(AW892&lt;&gt;"",AW892&lt;&gt;"OK"),"PAN wrong format; ","")&amp;IF(AND(BA892&lt;&gt;"",LEN(AZ892)=15,MID(AZ892,3,10)&lt;&gt;BA892),"PAN does not match GSTIN; ","")&amp;IF(AND(AX892&lt;&gt;"",AX892&lt;&gt;"OK"),"TAN wrong format; ","")&amp;IF(AS892="","PAN missing; ","")&amp;IF(BB892="","Entity type missing; ","")&amp;IF(AND(AZ892&lt;&gt;"",COUNTIF($AZ$6:$AZ$1005,AZ892)&gt;1),"GSTIN repeated in this sheet; ","")&amp;IF(AND(AS892&lt;&gt;"",COUNTIF($AS$6:$AS$1005,AS892)&gt;1),"PAN repeated in this sheet (same client? put extra GSTINs in Other GSTINs); ","")&amp;IF(AND(BD892&gt;0,V892=""),"Financial year missing; ","")&amp;IF(AND(BD892=0,V892&lt;&gt;""),"Financial year given but no service is Yes; ","")&amp;IF(AND(W892="Yes",AZ892=""),"GST needs a GSTIN; ","")&amp;IF(AND(W892="Yes",X892=""),"GST return frequency missing; ","")&amp;IF(AND(Y892="Yes",TRIM(H892)=""),"TDS needs a TAN; ","")&amp;IF(AND(AA892="Yes",BC892&lt;&gt;"",BC892&lt;&gt;"company",BC892&lt;&gt;"llp"),"ROC is only for a company / LLP; ","")&amp;IF(AND(AA892="Yes",OR(BC892="company",BC892="llp"),TRIM(I892)=""),"ROC needs the CIN / LLPIN; ","")&amp;IF((TRIM(AF892)="")&lt;&gt;(TRIM(AG892)=""),"GST login needs both user ID and password; ","")&amp;IF((TRIM(AH892)="")&lt;&gt;(TRIM(AI892)=""),"Income-tax login needs both user ID and password; ","")&amp;IF((TRIM(AJ892)="")&lt;&gt;(TRIM(AK892)=""),"Income-tax login needs both user ID and password; ","")&amp;IF((TRIM(AL892)="")&lt;&gt;(TRIM(AM892)=""),"TRACES login needs both user ID and password; ","")&amp;IF((TRIM(AN892)="")&lt;&gt;(TRIM(AO892)=""),"MCA login needs both user ID and password; ","")&amp;IF((TRIM(AP892)="")&lt;&gt;(TRIM(AQ892)=""),"E-way bill login needs both user ID and password; ","")</f>
        <v/>
      </c>
    </row>
    <row r="893">
      <c r="A893" s="32" t="n"/>
      <c r="B893" s="33" t="n"/>
      <c r="C893" s="33" t="n"/>
      <c r="D893" s="33" t="n"/>
      <c r="E893" s="32" t="n"/>
      <c r="F893" s="32" t="n"/>
      <c r="G893" s="32" t="n"/>
      <c r="H893" s="32" t="n"/>
      <c r="I893" s="32" t="n"/>
      <c r="J893" s="34" t="n"/>
      <c r="K893" s="33" t="n"/>
      <c r="L893" s="32" t="n"/>
      <c r="M893" s="33" t="n"/>
      <c r="N893" s="33" t="n"/>
      <c r="O893" s="33" t="n"/>
      <c r="P893" s="32" t="n"/>
      <c r="Q893" s="33" t="n"/>
      <c r="R893" s="33" t="n"/>
      <c r="S893" s="33" t="n"/>
      <c r="T893" s="33" t="n"/>
      <c r="U893" s="32" t="n"/>
      <c r="V893" s="33" t="n"/>
      <c r="W893" s="33" t="n"/>
      <c r="X893" s="33" t="n"/>
      <c r="Y893" s="33" t="n"/>
      <c r="Z893" s="33" t="n"/>
      <c r="AA893" s="33" t="n"/>
      <c r="AB893" s="33" t="n"/>
      <c r="AC893" s="33" t="n"/>
      <c r="AD893" s="33" t="n"/>
      <c r="AE893" s="33" t="n"/>
      <c r="AF893" s="32" t="n"/>
      <c r="AG893" s="32" t="n"/>
      <c r="AH893" s="32" t="n"/>
      <c r="AI893" s="32" t="n"/>
      <c r="AJ893" s="32" t="n"/>
      <c r="AK893" s="32" t="n"/>
      <c r="AL893" s="32" t="n"/>
      <c r="AM893" s="32" t="n"/>
      <c r="AN893" s="32" t="n"/>
      <c r="AO893" s="32" t="n"/>
      <c r="AP893" s="32" t="n"/>
      <c r="AQ893" s="32" t="n"/>
      <c r="AR893" s="29">
        <f>IF(NOT(COUNTA(A893:AE893)&gt;0),"",IF(A893="","New client","Update"))</f>
        <v/>
      </c>
      <c r="AS893" s="29">
        <f>IF(BA893&lt;&gt;"",BA893,IF(LEN(AZ893)=15,MID(AZ893,3,10),""))</f>
        <v/>
      </c>
      <c r="AT893" s="29">
        <f>IF(BB893="","",BB893&amp;IF(D893="","  (guessed from PAN)",""))</f>
        <v/>
      </c>
      <c r="AU893" s="29">
        <f>IF(AZ893="","",IFERROR(INDEX(Lists!$L$2:$L$38,MATCH(LEFT(AZ893,2),Lists!$K$2:$K$38,0)),"Unknown code"))</f>
        <v/>
      </c>
      <c r="AV893" s="29">
        <f>IF(AZ893="","",IFERROR(IF(NOT(AND(LEN(AZ893)=15,ISNUMBER(MATCH(LEFT(AZ893,2),Lists!$K$2:$K$38,0)),SUMPRODUCT(--ISERROR(FIND(MID(MID(AZ893,3,10),{1,2,3,4,5,10},1),"ABCDEFGHIJKLMNOPQRSTUVWXYZ")))=0,SUMPRODUCT(--ISERROR(FIND(MID(MID(AZ893,3,10),{6,7,8,9},1),"0123456789")))=0,ISNUMBER(FIND(MID(AZ893,13,1),"123456789ABCDEFGHIJKLMNOPQRSTUVWXYZ")),MID(AZ893,14,1)="Z")),"Wrong format",IF(MID("0123456789ABCDEFGHIJKLMNOPQRSTUVWXYZ",MOD(36-MOD(SUMPRODUCT(INT((FIND(MID(AZ893,{1,2,3,4,5,6,7,8,9,10,11,12,13,14},1),"0123456789ABCDEFGHIJKLMNOPQRSTUVWXYZ")-1)*{1,2,1,2,1,2,1,2,1,2,1,2,1,2}/36)+MOD((FIND(MID(AZ893,{1,2,3,4,5,6,7,8,9,10,11,12,13,14},1),"0123456789ABCDEFGHIJKLMNOPQRSTUVWXYZ")-1)*{1,2,1,2,1,2,1,2,1,2,1,2,1,2},36)),36),36)+1,1)=MID(AZ893,15,1),"OK","Typo? check digit wrong")),"Wrong format"))</f>
        <v/>
      </c>
      <c r="AW893" s="29">
        <f>IF(BA893="","",IF(AND(LEN(BA893)=10,SUMPRODUCT(--ISERROR(FIND(MID(BA893,{1,2,3,4,5,10},1),"ABCDEFGHIJKLMNOPQRSTUVWXYZ")))=0,SUMPRODUCT(--ISERROR(FIND(MID(BA893,{6,7,8,9},1),"0123456789")))=0),"OK","Wrong format"))</f>
        <v/>
      </c>
      <c r="AX893" s="29">
        <f>IF(TRIM(H893)="","",IF(AND(LEN(UPPER(TRIM(H893)))=10,SUMPRODUCT(--ISERROR(FIND(MID(UPPER(TRIM(H893)),{1,2,3,4,10},1),"ABCDEFGHIJKLMNOPQRSTUVWXYZ")))=0,SUMPRODUCT(--ISERROR(FIND(MID(UPPER(TRIM(H893)),{5,6,7,8,9},1),"0123456789")))=0),"OK","Wrong format"))</f>
        <v/>
      </c>
      <c r="AY893" s="30">
        <f>IF(NOT(COUNTA(A893:AE893)&gt;0),"",IF(BE893&lt;&gt;"","✖ "&amp;LEFT(BE893,LEN(BE893)-2),IF(BD893&gt;0,"✔ Ready — client + "&amp;BD893&amp;" service(s)","✔ Ready — client only")))</f>
        <v/>
      </c>
      <c r="AZ893" s="31">
        <f>UPPER(SUBSTITUTE(TRIM(F893)," ",""))</f>
        <v/>
      </c>
      <c r="BA893" s="31">
        <f>UPPER(SUBSTITUTE(TRIM(E893)," ",""))</f>
        <v/>
      </c>
      <c r="BB893" s="31">
        <f>IF(D893&lt;&gt;"",D893,IFERROR(VLOOKUP(MID(AS893,4,1),Lists!$E$2:$F$8,2,FALSE),""))</f>
        <v/>
      </c>
      <c r="BC893" s="31">
        <f>IFERROR(VLOOKUP(BB893,Lists!$A$2:$C$12,3,FALSE),"")</f>
        <v/>
      </c>
      <c r="BD893" s="31">
        <f>COUNTIF(W893:AC893,"Yes")</f>
        <v/>
      </c>
      <c r="BE893" s="31">
        <f>IF(TRIM(B893)="","Legal name missing; ","")&amp;IF(AND(AV893&lt;&gt;"",AV893&lt;&gt;"OK"),"GSTIN: "&amp;AV893&amp;"; ","")&amp;IF(AND(AW893&lt;&gt;"",AW893&lt;&gt;"OK"),"PAN wrong format; ","")&amp;IF(AND(BA893&lt;&gt;"",LEN(AZ893)=15,MID(AZ893,3,10)&lt;&gt;BA893),"PAN does not match GSTIN; ","")&amp;IF(AND(AX893&lt;&gt;"",AX893&lt;&gt;"OK"),"TAN wrong format; ","")&amp;IF(AS893="","PAN missing; ","")&amp;IF(BB893="","Entity type missing; ","")&amp;IF(AND(AZ893&lt;&gt;"",COUNTIF($AZ$6:$AZ$1005,AZ893)&gt;1),"GSTIN repeated in this sheet; ","")&amp;IF(AND(AS893&lt;&gt;"",COUNTIF($AS$6:$AS$1005,AS893)&gt;1),"PAN repeated in this sheet (same client? put extra GSTINs in Other GSTINs); ","")&amp;IF(AND(BD893&gt;0,V893=""),"Financial year missing; ","")&amp;IF(AND(BD893=0,V893&lt;&gt;""),"Financial year given but no service is Yes; ","")&amp;IF(AND(W893="Yes",AZ893=""),"GST needs a GSTIN; ","")&amp;IF(AND(W893="Yes",X893=""),"GST return frequency missing; ","")&amp;IF(AND(Y893="Yes",TRIM(H893)=""),"TDS needs a TAN; ","")&amp;IF(AND(AA893="Yes",BC893&lt;&gt;"",BC893&lt;&gt;"company",BC893&lt;&gt;"llp"),"ROC is only for a company / LLP; ","")&amp;IF(AND(AA893="Yes",OR(BC893="company",BC893="llp"),TRIM(I893)=""),"ROC needs the CIN / LLPIN; ","")&amp;IF((TRIM(AF893)="")&lt;&gt;(TRIM(AG893)=""),"GST login needs both user ID and password; ","")&amp;IF((TRIM(AH893)="")&lt;&gt;(TRIM(AI893)=""),"Income-tax login needs both user ID and password; ","")&amp;IF((TRIM(AJ893)="")&lt;&gt;(TRIM(AK893)=""),"Income-tax login needs both user ID and password; ","")&amp;IF((TRIM(AL893)="")&lt;&gt;(TRIM(AM893)=""),"TRACES login needs both user ID and password; ","")&amp;IF((TRIM(AN893)="")&lt;&gt;(TRIM(AO893)=""),"MCA login needs both user ID and password; ","")&amp;IF((TRIM(AP893)="")&lt;&gt;(TRIM(AQ893)=""),"E-way bill login needs both user ID and password; ","")</f>
        <v/>
      </c>
    </row>
    <row r="894">
      <c r="A894" s="32" t="n"/>
      <c r="B894" s="33" t="n"/>
      <c r="C894" s="33" t="n"/>
      <c r="D894" s="33" t="n"/>
      <c r="E894" s="32" t="n"/>
      <c r="F894" s="32" t="n"/>
      <c r="G894" s="32" t="n"/>
      <c r="H894" s="32" t="n"/>
      <c r="I894" s="32" t="n"/>
      <c r="J894" s="34" t="n"/>
      <c r="K894" s="33" t="n"/>
      <c r="L894" s="32" t="n"/>
      <c r="M894" s="33" t="n"/>
      <c r="N894" s="33" t="n"/>
      <c r="O894" s="33" t="n"/>
      <c r="P894" s="32" t="n"/>
      <c r="Q894" s="33" t="n"/>
      <c r="R894" s="33" t="n"/>
      <c r="S894" s="33" t="n"/>
      <c r="T894" s="33" t="n"/>
      <c r="U894" s="32" t="n"/>
      <c r="V894" s="33" t="n"/>
      <c r="W894" s="33" t="n"/>
      <c r="X894" s="33" t="n"/>
      <c r="Y894" s="33" t="n"/>
      <c r="Z894" s="33" t="n"/>
      <c r="AA894" s="33" t="n"/>
      <c r="AB894" s="33" t="n"/>
      <c r="AC894" s="33" t="n"/>
      <c r="AD894" s="33" t="n"/>
      <c r="AE894" s="33" t="n"/>
      <c r="AF894" s="32" t="n"/>
      <c r="AG894" s="32" t="n"/>
      <c r="AH894" s="32" t="n"/>
      <c r="AI894" s="32" t="n"/>
      <c r="AJ894" s="32" t="n"/>
      <c r="AK894" s="32" t="n"/>
      <c r="AL894" s="32" t="n"/>
      <c r="AM894" s="32" t="n"/>
      <c r="AN894" s="32" t="n"/>
      <c r="AO894" s="32" t="n"/>
      <c r="AP894" s="32" t="n"/>
      <c r="AQ894" s="32" t="n"/>
      <c r="AR894" s="29">
        <f>IF(NOT(COUNTA(A894:AE894)&gt;0),"",IF(A894="","New client","Update"))</f>
        <v/>
      </c>
      <c r="AS894" s="29">
        <f>IF(BA894&lt;&gt;"",BA894,IF(LEN(AZ894)=15,MID(AZ894,3,10),""))</f>
        <v/>
      </c>
      <c r="AT894" s="29">
        <f>IF(BB894="","",BB894&amp;IF(D894="","  (guessed from PAN)",""))</f>
        <v/>
      </c>
      <c r="AU894" s="29">
        <f>IF(AZ894="","",IFERROR(INDEX(Lists!$L$2:$L$38,MATCH(LEFT(AZ894,2),Lists!$K$2:$K$38,0)),"Unknown code"))</f>
        <v/>
      </c>
      <c r="AV894" s="29">
        <f>IF(AZ894="","",IFERROR(IF(NOT(AND(LEN(AZ894)=15,ISNUMBER(MATCH(LEFT(AZ894,2),Lists!$K$2:$K$38,0)),SUMPRODUCT(--ISERROR(FIND(MID(MID(AZ894,3,10),{1,2,3,4,5,10},1),"ABCDEFGHIJKLMNOPQRSTUVWXYZ")))=0,SUMPRODUCT(--ISERROR(FIND(MID(MID(AZ894,3,10),{6,7,8,9},1),"0123456789")))=0,ISNUMBER(FIND(MID(AZ894,13,1),"123456789ABCDEFGHIJKLMNOPQRSTUVWXYZ")),MID(AZ894,14,1)="Z")),"Wrong format",IF(MID("0123456789ABCDEFGHIJKLMNOPQRSTUVWXYZ",MOD(36-MOD(SUMPRODUCT(INT((FIND(MID(AZ894,{1,2,3,4,5,6,7,8,9,10,11,12,13,14},1),"0123456789ABCDEFGHIJKLMNOPQRSTUVWXYZ")-1)*{1,2,1,2,1,2,1,2,1,2,1,2,1,2}/36)+MOD((FIND(MID(AZ894,{1,2,3,4,5,6,7,8,9,10,11,12,13,14},1),"0123456789ABCDEFGHIJKLMNOPQRSTUVWXYZ")-1)*{1,2,1,2,1,2,1,2,1,2,1,2,1,2},36)),36),36)+1,1)=MID(AZ894,15,1),"OK","Typo? check digit wrong")),"Wrong format"))</f>
        <v/>
      </c>
      <c r="AW894" s="29">
        <f>IF(BA894="","",IF(AND(LEN(BA894)=10,SUMPRODUCT(--ISERROR(FIND(MID(BA894,{1,2,3,4,5,10},1),"ABCDEFGHIJKLMNOPQRSTUVWXYZ")))=0,SUMPRODUCT(--ISERROR(FIND(MID(BA894,{6,7,8,9},1),"0123456789")))=0),"OK","Wrong format"))</f>
        <v/>
      </c>
      <c r="AX894" s="29">
        <f>IF(TRIM(H894)="","",IF(AND(LEN(UPPER(TRIM(H894)))=10,SUMPRODUCT(--ISERROR(FIND(MID(UPPER(TRIM(H894)),{1,2,3,4,10},1),"ABCDEFGHIJKLMNOPQRSTUVWXYZ")))=0,SUMPRODUCT(--ISERROR(FIND(MID(UPPER(TRIM(H894)),{5,6,7,8,9},1),"0123456789")))=0),"OK","Wrong format"))</f>
        <v/>
      </c>
      <c r="AY894" s="30">
        <f>IF(NOT(COUNTA(A894:AE894)&gt;0),"",IF(BE894&lt;&gt;"","✖ "&amp;LEFT(BE894,LEN(BE894)-2),IF(BD894&gt;0,"✔ Ready — client + "&amp;BD894&amp;" service(s)","✔ Ready — client only")))</f>
        <v/>
      </c>
      <c r="AZ894" s="31">
        <f>UPPER(SUBSTITUTE(TRIM(F894)," ",""))</f>
        <v/>
      </c>
      <c r="BA894" s="31">
        <f>UPPER(SUBSTITUTE(TRIM(E894)," ",""))</f>
        <v/>
      </c>
      <c r="BB894" s="31">
        <f>IF(D894&lt;&gt;"",D894,IFERROR(VLOOKUP(MID(AS894,4,1),Lists!$E$2:$F$8,2,FALSE),""))</f>
        <v/>
      </c>
      <c r="BC894" s="31">
        <f>IFERROR(VLOOKUP(BB894,Lists!$A$2:$C$12,3,FALSE),"")</f>
        <v/>
      </c>
      <c r="BD894" s="31">
        <f>COUNTIF(W894:AC894,"Yes")</f>
        <v/>
      </c>
      <c r="BE894" s="31">
        <f>IF(TRIM(B894)="","Legal name missing; ","")&amp;IF(AND(AV894&lt;&gt;"",AV894&lt;&gt;"OK"),"GSTIN: "&amp;AV894&amp;"; ","")&amp;IF(AND(AW894&lt;&gt;"",AW894&lt;&gt;"OK"),"PAN wrong format; ","")&amp;IF(AND(BA894&lt;&gt;"",LEN(AZ894)=15,MID(AZ894,3,10)&lt;&gt;BA894),"PAN does not match GSTIN; ","")&amp;IF(AND(AX894&lt;&gt;"",AX894&lt;&gt;"OK"),"TAN wrong format; ","")&amp;IF(AS894="","PAN missing; ","")&amp;IF(BB894="","Entity type missing; ","")&amp;IF(AND(AZ894&lt;&gt;"",COUNTIF($AZ$6:$AZ$1005,AZ894)&gt;1),"GSTIN repeated in this sheet; ","")&amp;IF(AND(AS894&lt;&gt;"",COUNTIF($AS$6:$AS$1005,AS894)&gt;1),"PAN repeated in this sheet (same client? put extra GSTINs in Other GSTINs); ","")&amp;IF(AND(BD894&gt;0,V894=""),"Financial year missing; ","")&amp;IF(AND(BD894=0,V894&lt;&gt;""),"Financial year given but no service is Yes; ","")&amp;IF(AND(W894="Yes",AZ894=""),"GST needs a GSTIN; ","")&amp;IF(AND(W894="Yes",X894=""),"GST return frequency missing; ","")&amp;IF(AND(Y894="Yes",TRIM(H894)=""),"TDS needs a TAN; ","")&amp;IF(AND(AA894="Yes",BC894&lt;&gt;"",BC894&lt;&gt;"company",BC894&lt;&gt;"llp"),"ROC is only for a company / LLP; ","")&amp;IF(AND(AA894="Yes",OR(BC894="company",BC894="llp"),TRIM(I894)=""),"ROC needs the CIN / LLPIN; ","")&amp;IF((TRIM(AF894)="")&lt;&gt;(TRIM(AG894)=""),"GST login needs both user ID and password; ","")&amp;IF((TRIM(AH894)="")&lt;&gt;(TRIM(AI894)=""),"Income-tax login needs both user ID and password; ","")&amp;IF((TRIM(AJ894)="")&lt;&gt;(TRIM(AK894)=""),"Income-tax login needs both user ID and password; ","")&amp;IF((TRIM(AL894)="")&lt;&gt;(TRIM(AM894)=""),"TRACES login needs both user ID and password; ","")&amp;IF((TRIM(AN894)="")&lt;&gt;(TRIM(AO894)=""),"MCA login needs both user ID and password; ","")&amp;IF((TRIM(AP894)="")&lt;&gt;(TRIM(AQ894)=""),"E-way bill login needs both user ID and password; ","")</f>
        <v/>
      </c>
    </row>
    <row r="895">
      <c r="A895" s="32" t="n"/>
      <c r="B895" s="33" t="n"/>
      <c r="C895" s="33" t="n"/>
      <c r="D895" s="33" t="n"/>
      <c r="E895" s="32" t="n"/>
      <c r="F895" s="32" t="n"/>
      <c r="G895" s="32" t="n"/>
      <c r="H895" s="32" t="n"/>
      <c r="I895" s="32" t="n"/>
      <c r="J895" s="34" t="n"/>
      <c r="K895" s="33" t="n"/>
      <c r="L895" s="32" t="n"/>
      <c r="M895" s="33" t="n"/>
      <c r="N895" s="33" t="n"/>
      <c r="O895" s="33" t="n"/>
      <c r="P895" s="32" t="n"/>
      <c r="Q895" s="33" t="n"/>
      <c r="R895" s="33" t="n"/>
      <c r="S895" s="33" t="n"/>
      <c r="T895" s="33" t="n"/>
      <c r="U895" s="32" t="n"/>
      <c r="V895" s="33" t="n"/>
      <c r="W895" s="33" t="n"/>
      <c r="X895" s="33" t="n"/>
      <c r="Y895" s="33" t="n"/>
      <c r="Z895" s="33" t="n"/>
      <c r="AA895" s="33" t="n"/>
      <c r="AB895" s="33" t="n"/>
      <c r="AC895" s="33" t="n"/>
      <c r="AD895" s="33" t="n"/>
      <c r="AE895" s="33" t="n"/>
      <c r="AF895" s="32" t="n"/>
      <c r="AG895" s="32" t="n"/>
      <c r="AH895" s="32" t="n"/>
      <c r="AI895" s="32" t="n"/>
      <c r="AJ895" s="32" t="n"/>
      <c r="AK895" s="32" t="n"/>
      <c r="AL895" s="32" t="n"/>
      <c r="AM895" s="32" t="n"/>
      <c r="AN895" s="32" t="n"/>
      <c r="AO895" s="32" t="n"/>
      <c r="AP895" s="32" t="n"/>
      <c r="AQ895" s="32" t="n"/>
      <c r="AR895" s="29">
        <f>IF(NOT(COUNTA(A895:AE895)&gt;0),"",IF(A895="","New client","Update"))</f>
        <v/>
      </c>
      <c r="AS895" s="29">
        <f>IF(BA895&lt;&gt;"",BA895,IF(LEN(AZ895)=15,MID(AZ895,3,10),""))</f>
        <v/>
      </c>
      <c r="AT895" s="29">
        <f>IF(BB895="","",BB895&amp;IF(D895="","  (guessed from PAN)",""))</f>
        <v/>
      </c>
      <c r="AU895" s="29">
        <f>IF(AZ895="","",IFERROR(INDEX(Lists!$L$2:$L$38,MATCH(LEFT(AZ895,2),Lists!$K$2:$K$38,0)),"Unknown code"))</f>
        <v/>
      </c>
      <c r="AV895" s="29">
        <f>IF(AZ895="","",IFERROR(IF(NOT(AND(LEN(AZ895)=15,ISNUMBER(MATCH(LEFT(AZ895,2),Lists!$K$2:$K$38,0)),SUMPRODUCT(--ISERROR(FIND(MID(MID(AZ895,3,10),{1,2,3,4,5,10},1),"ABCDEFGHIJKLMNOPQRSTUVWXYZ")))=0,SUMPRODUCT(--ISERROR(FIND(MID(MID(AZ895,3,10),{6,7,8,9},1),"0123456789")))=0,ISNUMBER(FIND(MID(AZ895,13,1),"123456789ABCDEFGHIJKLMNOPQRSTUVWXYZ")),MID(AZ895,14,1)="Z")),"Wrong format",IF(MID("0123456789ABCDEFGHIJKLMNOPQRSTUVWXYZ",MOD(36-MOD(SUMPRODUCT(INT((FIND(MID(AZ895,{1,2,3,4,5,6,7,8,9,10,11,12,13,14},1),"0123456789ABCDEFGHIJKLMNOPQRSTUVWXYZ")-1)*{1,2,1,2,1,2,1,2,1,2,1,2,1,2}/36)+MOD((FIND(MID(AZ895,{1,2,3,4,5,6,7,8,9,10,11,12,13,14},1),"0123456789ABCDEFGHIJKLMNOPQRSTUVWXYZ")-1)*{1,2,1,2,1,2,1,2,1,2,1,2,1,2},36)),36),36)+1,1)=MID(AZ895,15,1),"OK","Typo? check digit wrong")),"Wrong format"))</f>
        <v/>
      </c>
      <c r="AW895" s="29">
        <f>IF(BA895="","",IF(AND(LEN(BA895)=10,SUMPRODUCT(--ISERROR(FIND(MID(BA895,{1,2,3,4,5,10},1),"ABCDEFGHIJKLMNOPQRSTUVWXYZ")))=0,SUMPRODUCT(--ISERROR(FIND(MID(BA895,{6,7,8,9},1),"0123456789")))=0),"OK","Wrong format"))</f>
        <v/>
      </c>
      <c r="AX895" s="29">
        <f>IF(TRIM(H895)="","",IF(AND(LEN(UPPER(TRIM(H895)))=10,SUMPRODUCT(--ISERROR(FIND(MID(UPPER(TRIM(H895)),{1,2,3,4,10},1),"ABCDEFGHIJKLMNOPQRSTUVWXYZ")))=0,SUMPRODUCT(--ISERROR(FIND(MID(UPPER(TRIM(H895)),{5,6,7,8,9},1),"0123456789")))=0),"OK","Wrong format"))</f>
        <v/>
      </c>
      <c r="AY895" s="30">
        <f>IF(NOT(COUNTA(A895:AE895)&gt;0),"",IF(BE895&lt;&gt;"","✖ "&amp;LEFT(BE895,LEN(BE895)-2),IF(BD895&gt;0,"✔ Ready — client + "&amp;BD895&amp;" service(s)","✔ Ready — client only")))</f>
        <v/>
      </c>
      <c r="AZ895" s="31">
        <f>UPPER(SUBSTITUTE(TRIM(F895)," ",""))</f>
        <v/>
      </c>
      <c r="BA895" s="31">
        <f>UPPER(SUBSTITUTE(TRIM(E895)," ",""))</f>
        <v/>
      </c>
      <c r="BB895" s="31">
        <f>IF(D895&lt;&gt;"",D895,IFERROR(VLOOKUP(MID(AS895,4,1),Lists!$E$2:$F$8,2,FALSE),""))</f>
        <v/>
      </c>
      <c r="BC895" s="31">
        <f>IFERROR(VLOOKUP(BB895,Lists!$A$2:$C$12,3,FALSE),"")</f>
        <v/>
      </c>
      <c r="BD895" s="31">
        <f>COUNTIF(W895:AC895,"Yes")</f>
        <v/>
      </c>
      <c r="BE895" s="31">
        <f>IF(TRIM(B895)="","Legal name missing; ","")&amp;IF(AND(AV895&lt;&gt;"",AV895&lt;&gt;"OK"),"GSTIN: "&amp;AV895&amp;"; ","")&amp;IF(AND(AW895&lt;&gt;"",AW895&lt;&gt;"OK"),"PAN wrong format; ","")&amp;IF(AND(BA895&lt;&gt;"",LEN(AZ895)=15,MID(AZ895,3,10)&lt;&gt;BA895),"PAN does not match GSTIN; ","")&amp;IF(AND(AX895&lt;&gt;"",AX895&lt;&gt;"OK"),"TAN wrong format; ","")&amp;IF(AS895="","PAN missing; ","")&amp;IF(BB895="","Entity type missing; ","")&amp;IF(AND(AZ895&lt;&gt;"",COUNTIF($AZ$6:$AZ$1005,AZ895)&gt;1),"GSTIN repeated in this sheet; ","")&amp;IF(AND(AS895&lt;&gt;"",COUNTIF($AS$6:$AS$1005,AS895)&gt;1),"PAN repeated in this sheet (same client? put extra GSTINs in Other GSTINs); ","")&amp;IF(AND(BD895&gt;0,V895=""),"Financial year missing; ","")&amp;IF(AND(BD895=0,V895&lt;&gt;""),"Financial year given but no service is Yes; ","")&amp;IF(AND(W895="Yes",AZ895=""),"GST needs a GSTIN; ","")&amp;IF(AND(W895="Yes",X895=""),"GST return frequency missing; ","")&amp;IF(AND(Y895="Yes",TRIM(H895)=""),"TDS needs a TAN; ","")&amp;IF(AND(AA895="Yes",BC895&lt;&gt;"",BC895&lt;&gt;"company",BC895&lt;&gt;"llp"),"ROC is only for a company / LLP; ","")&amp;IF(AND(AA895="Yes",OR(BC895="company",BC895="llp"),TRIM(I895)=""),"ROC needs the CIN / LLPIN; ","")&amp;IF((TRIM(AF895)="")&lt;&gt;(TRIM(AG895)=""),"GST login needs both user ID and password; ","")&amp;IF((TRIM(AH895)="")&lt;&gt;(TRIM(AI895)=""),"Income-tax login needs both user ID and password; ","")&amp;IF((TRIM(AJ895)="")&lt;&gt;(TRIM(AK895)=""),"Income-tax login needs both user ID and password; ","")&amp;IF((TRIM(AL895)="")&lt;&gt;(TRIM(AM895)=""),"TRACES login needs both user ID and password; ","")&amp;IF((TRIM(AN895)="")&lt;&gt;(TRIM(AO895)=""),"MCA login needs both user ID and password; ","")&amp;IF((TRIM(AP895)="")&lt;&gt;(TRIM(AQ895)=""),"E-way bill login needs both user ID and password; ","")</f>
        <v/>
      </c>
    </row>
    <row r="896">
      <c r="A896" s="32" t="n"/>
      <c r="B896" s="33" t="n"/>
      <c r="C896" s="33" t="n"/>
      <c r="D896" s="33" t="n"/>
      <c r="E896" s="32" t="n"/>
      <c r="F896" s="32" t="n"/>
      <c r="G896" s="32" t="n"/>
      <c r="H896" s="32" t="n"/>
      <c r="I896" s="32" t="n"/>
      <c r="J896" s="34" t="n"/>
      <c r="K896" s="33" t="n"/>
      <c r="L896" s="32" t="n"/>
      <c r="M896" s="33" t="n"/>
      <c r="N896" s="33" t="n"/>
      <c r="O896" s="33" t="n"/>
      <c r="P896" s="32" t="n"/>
      <c r="Q896" s="33" t="n"/>
      <c r="R896" s="33" t="n"/>
      <c r="S896" s="33" t="n"/>
      <c r="T896" s="33" t="n"/>
      <c r="U896" s="32" t="n"/>
      <c r="V896" s="33" t="n"/>
      <c r="W896" s="33" t="n"/>
      <c r="X896" s="33" t="n"/>
      <c r="Y896" s="33" t="n"/>
      <c r="Z896" s="33" t="n"/>
      <c r="AA896" s="33" t="n"/>
      <c r="AB896" s="33" t="n"/>
      <c r="AC896" s="33" t="n"/>
      <c r="AD896" s="33" t="n"/>
      <c r="AE896" s="33" t="n"/>
      <c r="AF896" s="32" t="n"/>
      <c r="AG896" s="32" t="n"/>
      <c r="AH896" s="32" t="n"/>
      <c r="AI896" s="32" t="n"/>
      <c r="AJ896" s="32" t="n"/>
      <c r="AK896" s="32" t="n"/>
      <c r="AL896" s="32" t="n"/>
      <c r="AM896" s="32" t="n"/>
      <c r="AN896" s="32" t="n"/>
      <c r="AO896" s="32" t="n"/>
      <c r="AP896" s="32" t="n"/>
      <c r="AQ896" s="32" t="n"/>
      <c r="AR896" s="29">
        <f>IF(NOT(COUNTA(A896:AE896)&gt;0),"",IF(A896="","New client","Update"))</f>
        <v/>
      </c>
      <c r="AS896" s="29">
        <f>IF(BA896&lt;&gt;"",BA896,IF(LEN(AZ896)=15,MID(AZ896,3,10),""))</f>
        <v/>
      </c>
      <c r="AT896" s="29">
        <f>IF(BB896="","",BB896&amp;IF(D896="","  (guessed from PAN)",""))</f>
        <v/>
      </c>
      <c r="AU896" s="29">
        <f>IF(AZ896="","",IFERROR(INDEX(Lists!$L$2:$L$38,MATCH(LEFT(AZ896,2),Lists!$K$2:$K$38,0)),"Unknown code"))</f>
        <v/>
      </c>
      <c r="AV896" s="29">
        <f>IF(AZ896="","",IFERROR(IF(NOT(AND(LEN(AZ896)=15,ISNUMBER(MATCH(LEFT(AZ896,2),Lists!$K$2:$K$38,0)),SUMPRODUCT(--ISERROR(FIND(MID(MID(AZ896,3,10),{1,2,3,4,5,10},1),"ABCDEFGHIJKLMNOPQRSTUVWXYZ")))=0,SUMPRODUCT(--ISERROR(FIND(MID(MID(AZ896,3,10),{6,7,8,9},1),"0123456789")))=0,ISNUMBER(FIND(MID(AZ896,13,1),"123456789ABCDEFGHIJKLMNOPQRSTUVWXYZ")),MID(AZ896,14,1)="Z")),"Wrong format",IF(MID("0123456789ABCDEFGHIJKLMNOPQRSTUVWXYZ",MOD(36-MOD(SUMPRODUCT(INT((FIND(MID(AZ896,{1,2,3,4,5,6,7,8,9,10,11,12,13,14},1),"0123456789ABCDEFGHIJKLMNOPQRSTUVWXYZ")-1)*{1,2,1,2,1,2,1,2,1,2,1,2,1,2}/36)+MOD((FIND(MID(AZ896,{1,2,3,4,5,6,7,8,9,10,11,12,13,14},1),"0123456789ABCDEFGHIJKLMNOPQRSTUVWXYZ")-1)*{1,2,1,2,1,2,1,2,1,2,1,2,1,2},36)),36),36)+1,1)=MID(AZ896,15,1),"OK","Typo? check digit wrong")),"Wrong format"))</f>
        <v/>
      </c>
      <c r="AW896" s="29">
        <f>IF(BA896="","",IF(AND(LEN(BA896)=10,SUMPRODUCT(--ISERROR(FIND(MID(BA896,{1,2,3,4,5,10},1),"ABCDEFGHIJKLMNOPQRSTUVWXYZ")))=0,SUMPRODUCT(--ISERROR(FIND(MID(BA896,{6,7,8,9},1),"0123456789")))=0),"OK","Wrong format"))</f>
        <v/>
      </c>
      <c r="AX896" s="29">
        <f>IF(TRIM(H896)="","",IF(AND(LEN(UPPER(TRIM(H896)))=10,SUMPRODUCT(--ISERROR(FIND(MID(UPPER(TRIM(H896)),{1,2,3,4,10},1),"ABCDEFGHIJKLMNOPQRSTUVWXYZ")))=0,SUMPRODUCT(--ISERROR(FIND(MID(UPPER(TRIM(H896)),{5,6,7,8,9},1),"0123456789")))=0),"OK","Wrong format"))</f>
        <v/>
      </c>
      <c r="AY896" s="30">
        <f>IF(NOT(COUNTA(A896:AE896)&gt;0),"",IF(BE896&lt;&gt;"","✖ "&amp;LEFT(BE896,LEN(BE896)-2),IF(BD896&gt;0,"✔ Ready — client + "&amp;BD896&amp;" service(s)","✔ Ready — client only")))</f>
        <v/>
      </c>
      <c r="AZ896" s="31">
        <f>UPPER(SUBSTITUTE(TRIM(F896)," ",""))</f>
        <v/>
      </c>
      <c r="BA896" s="31">
        <f>UPPER(SUBSTITUTE(TRIM(E896)," ",""))</f>
        <v/>
      </c>
      <c r="BB896" s="31">
        <f>IF(D896&lt;&gt;"",D896,IFERROR(VLOOKUP(MID(AS896,4,1),Lists!$E$2:$F$8,2,FALSE),""))</f>
        <v/>
      </c>
      <c r="BC896" s="31">
        <f>IFERROR(VLOOKUP(BB896,Lists!$A$2:$C$12,3,FALSE),"")</f>
        <v/>
      </c>
      <c r="BD896" s="31">
        <f>COUNTIF(W896:AC896,"Yes")</f>
        <v/>
      </c>
      <c r="BE896" s="31">
        <f>IF(TRIM(B896)="","Legal name missing; ","")&amp;IF(AND(AV896&lt;&gt;"",AV896&lt;&gt;"OK"),"GSTIN: "&amp;AV896&amp;"; ","")&amp;IF(AND(AW896&lt;&gt;"",AW896&lt;&gt;"OK"),"PAN wrong format; ","")&amp;IF(AND(BA896&lt;&gt;"",LEN(AZ896)=15,MID(AZ896,3,10)&lt;&gt;BA896),"PAN does not match GSTIN; ","")&amp;IF(AND(AX896&lt;&gt;"",AX896&lt;&gt;"OK"),"TAN wrong format; ","")&amp;IF(AS896="","PAN missing; ","")&amp;IF(BB896="","Entity type missing; ","")&amp;IF(AND(AZ896&lt;&gt;"",COUNTIF($AZ$6:$AZ$1005,AZ896)&gt;1),"GSTIN repeated in this sheet; ","")&amp;IF(AND(AS896&lt;&gt;"",COUNTIF($AS$6:$AS$1005,AS896)&gt;1),"PAN repeated in this sheet (same client? put extra GSTINs in Other GSTINs); ","")&amp;IF(AND(BD896&gt;0,V896=""),"Financial year missing; ","")&amp;IF(AND(BD896=0,V896&lt;&gt;""),"Financial year given but no service is Yes; ","")&amp;IF(AND(W896="Yes",AZ896=""),"GST needs a GSTIN; ","")&amp;IF(AND(W896="Yes",X896=""),"GST return frequency missing; ","")&amp;IF(AND(Y896="Yes",TRIM(H896)=""),"TDS needs a TAN; ","")&amp;IF(AND(AA896="Yes",BC896&lt;&gt;"",BC896&lt;&gt;"company",BC896&lt;&gt;"llp"),"ROC is only for a company / LLP; ","")&amp;IF(AND(AA896="Yes",OR(BC896="company",BC896="llp"),TRIM(I896)=""),"ROC needs the CIN / LLPIN; ","")&amp;IF((TRIM(AF896)="")&lt;&gt;(TRIM(AG896)=""),"GST login needs both user ID and password; ","")&amp;IF((TRIM(AH896)="")&lt;&gt;(TRIM(AI896)=""),"Income-tax login needs both user ID and password; ","")&amp;IF((TRIM(AJ896)="")&lt;&gt;(TRIM(AK896)=""),"Income-tax login needs both user ID and password; ","")&amp;IF((TRIM(AL896)="")&lt;&gt;(TRIM(AM896)=""),"TRACES login needs both user ID and password; ","")&amp;IF((TRIM(AN896)="")&lt;&gt;(TRIM(AO896)=""),"MCA login needs both user ID and password; ","")&amp;IF((TRIM(AP896)="")&lt;&gt;(TRIM(AQ896)=""),"E-way bill login needs both user ID and password; ","")</f>
        <v/>
      </c>
    </row>
    <row r="897">
      <c r="A897" s="32" t="n"/>
      <c r="B897" s="33" t="n"/>
      <c r="C897" s="33" t="n"/>
      <c r="D897" s="33" t="n"/>
      <c r="E897" s="32" t="n"/>
      <c r="F897" s="32" t="n"/>
      <c r="G897" s="32" t="n"/>
      <c r="H897" s="32" t="n"/>
      <c r="I897" s="32" t="n"/>
      <c r="J897" s="34" t="n"/>
      <c r="K897" s="33" t="n"/>
      <c r="L897" s="32" t="n"/>
      <c r="M897" s="33" t="n"/>
      <c r="N897" s="33" t="n"/>
      <c r="O897" s="33" t="n"/>
      <c r="P897" s="32" t="n"/>
      <c r="Q897" s="33" t="n"/>
      <c r="R897" s="33" t="n"/>
      <c r="S897" s="33" t="n"/>
      <c r="T897" s="33" t="n"/>
      <c r="U897" s="32" t="n"/>
      <c r="V897" s="33" t="n"/>
      <c r="W897" s="33" t="n"/>
      <c r="X897" s="33" t="n"/>
      <c r="Y897" s="33" t="n"/>
      <c r="Z897" s="33" t="n"/>
      <c r="AA897" s="33" t="n"/>
      <c r="AB897" s="33" t="n"/>
      <c r="AC897" s="33" t="n"/>
      <c r="AD897" s="33" t="n"/>
      <c r="AE897" s="33" t="n"/>
      <c r="AF897" s="32" t="n"/>
      <c r="AG897" s="32" t="n"/>
      <c r="AH897" s="32" t="n"/>
      <c r="AI897" s="32" t="n"/>
      <c r="AJ897" s="32" t="n"/>
      <c r="AK897" s="32" t="n"/>
      <c r="AL897" s="32" t="n"/>
      <c r="AM897" s="32" t="n"/>
      <c r="AN897" s="32" t="n"/>
      <c r="AO897" s="32" t="n"/>
      <c r="AP897" s="32" t="n"/>
      <c r="AQ897" s="32" t="n"/>
      <c r="AR897" s="29">
        <f>IF(NOT(COUNTA(A897:AE897)&gt;0),"",IF(A897="","New client","Update"))</f>
        <v/>
      </c>
      <c r="AS897" s="29">
        <f>IF(BA897&lt;&gt;"",BA897,IF(LEN(AZ897)=15,MID(AZ897,3,10),""))</f>
        <v/>
      </c>
      <c r="AT897" s="29">
        <f>IF(BB897="","",BB897&amp;IF(D897="","  (guessed from PAN)",""))</f>
        <v/>
      </c>
      <c r="AU897" s="29">
        <f>IF(AZ897="","",IFERROR(INDEX(Lists!$L$2:$L$38,MATCH(LEFT(AZ897,2),Lists!$K$2:$K$38,0)),"Unknown code"))</f>
        <v/>
      </c>
      <c r="AV897" s="29">
        <f>IF(AZ897="","",IFERROR(IF(NOT(AND(LEN(AZ897)=15,ISNUMBER(MATCH(LEFT(AZ897,2),Lists!$K$2:$K$38,0)),SUMPRODUCT(--ISERROR(FIND(MID(MID(AZ897,3,10),{1,2,3,4,5,10},1),"ABCDEFGHIJKLMNOPQRSTUVWXYZ")))=0,SUMPRODUCT(--ISERROR(FIND(MID(MID(AZ897,3,10),{6,7,8,9},1),"0123456789")))=0,ISNUMBER(FIND(MID(AZ897,13,1),"123456789ABCDEFGHIJKLMNOPQRSTUVWXYZ")),MID(AZ897,14,1)="Z")),"Wrong format",IF(MID("0123456789ABCDEFGHIJKLMNOPQRSTUVWXYZ",MOD(36-MOD(SUMPRODUCT(INT((FIND(MID(AZ897,{1,2,3,4,5,6,7,8,9,10,11,12,13,14},1),"0123456789ABCDEFGHIJKLMNOPQRSTUVWXYZ")-1)*{1,2,1,2,1,2,1,2,1,2,1,2,1,2}/36)+MOD((FIND(MID(AZ897,{1,2,3,4,5,6,7,8,9,10,11,12,13,14},1),"0123456789ABCDEFGHIJKLMNOPQRSTUVWXYZ")-1)*{1,2,1,2,1,2,1,2,1,2,1,2,1,2},36)),36),36)+1,1)=MID(AZ897,15,1),"OK","Typo? check digit wrong")),"Wrong format"))</f>
        <v/>
      </c>
      <c r="AW897" s="29">
        <f>IF(BA897="","",IF(AND(LEN(BA897)=10,SUMPRODUCT(--ISERROR(FIND(MID(BA897,{1,2,3,4,5,10},1),"ABCDEFGHIJKLMNOPQRSTUVWXYZ")))=0,SUMPRODUCT(--ISERROR(FIND(MID(BA897,{6,7,8,9},1),"0123456789")))=0),"OK","Wrong format"))</f>
        <v/>
      </c>
      <c r="AX897" s="29">
        <f>IF(TRIM(H897)="","",IF(AND(LEN(UPPER(TRIM(H897)))=10,SUMPRODUCT(--ISERROR(FIND(MID(UPPER(TRIM(H897)),{1,2,3,4,10},1),"ABCDEFGHIJKLMNOPQRSTUVWXYZ")))=0,SUMPRODUCT(--ISERROR(FIND(MID(UPPER(TRIM(H897)),{5,6,7,8,9},1),"0123456789")))=0),"OK","Wrong format"))</f>
        <v/>
      </c>
      <c r="AY897" s="30">
        <f>IF(NOT(COUNTA(A897:AE897)&gt;0),"",IF(BE897&lt;&gt;"","✖ "&amp;LEFT(BE897,LEN(BE897)-2),IF(BD897&gt;0,"✔ Ready — client + "&amp;BD897&amp;" service(s)","✔ Ready — client only")))</f>
        <v/>
      </c>
      <c r="AZ897" s="31">
        <f>UPPER(SUBSTITUTE(TRIM(F897)," ",""))</f>
        <v/>
      </c>
      <c r="BA897" s="31">
        <f>UPPER(SUBSTITUTE(TRIM(E897)," ",""))</f>
        <v/>
      </c>
      <c r="BB897" s="31">
        <f>IF(D897&lt;&gt;"",D897,IFERROR(VLOOKUP(MID(AS897,4,1),Lists!$E$2:$F$8,2,FALSE),""))</f>
        <v/>
      </c>
      <c r="BC897" s="31">
        <f>IFERROR(VLOOKUP(BB897,Lists!$A$2:$C$12,3,FALSE),"")</f>
        <v/>
      </c>
      <c r="BD897" s="31">
        <f>COUNTIF(W897:AC897,"Yes")</f>
        <v/>
      </c>
      <c r="BE897" s="31">
        <f>IF(TRIM(B897)="","Legal name missing; ","")&amp;IF(AND(AV897&lt;&gt;"",AV897&lt;&gt;"OK"),"GSTIN: "&amp;AV897&amp;"; ","")&amp;IF(AND(AW897&lt;&gt;"",AW897&lt;&gt;"OK"),"PAN wrong format; ","")&amp;IF(AND(BA897&lt;&gt;"",LEN(AZ897)=15,MID(AZ897,3,10)&lt;&gt;BA897),"PAN does not match GSTIN; ","")&amp;IF(AND(AX897&lt;&gt;"",AX897&lt;&gt;"OK"),"TAN wrong format; ","")&amp;IF(AS897="","PAN missing; ","")&amp;IF(BB897="","Entity type missing; ","")&amp;IF(AND(AZ897&lt;&gt;"",COUNTIF($AZ$6:$AZ$1005,AZ897)&gt;1),"GSTIN repeated in this sheet; ","")&amp;IF(AND(AS897&lt;&gt;"",COUNTIF($AS$6:$AS$1005,AS897)&gt;1),"PAN repeated in this sheet (same client? put extra GSTINs in Other GSTINs); ","")&amp;IF(AND(BD897&gt;0,V897=""),"Financial year missing; ","")&amp;IF(AND(BD897=0,V897&lt;&gt;""),"Financial year given but no service is Yes; ","")&amp;IF(AND(W897="Yes",AZ897=""),"GST needs a GSTIN; ","")&amp;IF(AND(W897="Yes",X897=""),"GST return frequency missing; ","")&amp;IF(AND(Y897="Yes",TRIM(H897)=""),"TDS needs a TAN; ","")&amp;IF(AND(AA897="Yes",BC897&lt;&gt;"",BC897&lt;&gt;"company",BC897&lt;&gt;"llp"),"ROC is only for a company / LLP; ","")&amp;IF(AND(AA897="Yes",OR(BC897="company",BC897="llp"),TRIM(I897)=""),"ROC needs the CIN / LLPIN; ","")&amp;IF((TRIM(AF897)="")&lt;&gt;(TRIM(AG897)=""),"GST login needs both user ID and password; ","")&amp;IF((TRIM(AH897)="")&lt;&gt;(TRIM(AI897)=""),"Income-tax login needs both user ID and password; ","")&amp;IF((TRIM(AJ897)="")&lt;&gt;(TRIM(AK897)=""),"Income-tax login needs both user ID and password; ","")&amp;IF((TRIM(AL897)="")&lt;&gt;(TRIM(AM897)=""),"TRACES login needs both user ID and password; ","")&amp;IF((TRIM(AN897)="")&lt;&gt;(TRIM(AO897)=""),"MCA login needs both user ID and password; ","")&amp;IF((TRIM(AP897)="")&lt;&gt;(TRIM(AQ897)=""),"E-way bill login needs both user ID and password; ","")</f>
        <v/>
      </c>
    </row>
    <row r="898">
      <c r="A898" s="32" t="n"/>
      <c r="B898" s="33" t="n"/>
      <c r="C898" s="33" t="n"/>
      <c r="D898" s="33" t="n"/>
      <c r="E898" s="32" t="n"/>
      <c r="F898" s="32" t="n"/>
      <c r="G898" s="32" t="n"/>
      <c r="H898" s="32" t="n"/>
      <c r="I898" s="32" t="n"/>
      <c r="J898" s="34" t="n"/>
      <c r="K898" s="33" t="n"/>
      <c r="L898" s="32" t="n"/>
      <c r="M898" s="33" t="n"/>
      <c r="N898" s="33" t="n"/>
      <c r="O898" s="33" t="n"/>
      <c r="P898" s="32" t="n"/>
      <c r="Q898" s="33" t="n"/>
      <c r="R898" s="33" t="n"/>
      <c r="S898" s="33" t="n"/>
      <c r="T898" s="33" t="n"/>
      <c r="U898" s="32" t="n"/>
      <c r="V898" s="33" t="n"/>
      <c r="W898" s="33" t="n"/>
      <c r="X898" s="33" t="n"/>
      <c r="Y898" s="33" t="n"/>
      <c r="Z898" s="33" t="n"/>
      <c r="AA898" s="33" t="n"/>
      <c r="AB898" s="33" t="n"/>
      <c r="AC898" s="33" t="n"/>
      <c r="AD898" s="33" t="n"/>
      <c r="AE898" s="33" t="n"/>
      <c r="AF898" s="32" t="n"/>
      <c r="AG898" s="32" t="n"/>
      <c r="AH898" s="32" t="n"/>
      <c r="AI898" s="32" t="n"/>
      <c r="AJ898" s="32" t="n"/>
      <c r="AK898" s="32" t="n"/>
      <c r="AL898" s="32" t="n"/>
      <c r="AM898" s="32" t="n"/>
      <c r="AN898" s="32" t="n"/>
      <c r="AO898" s="32" t="n"/>
      <c r="AP898" s="32" t="n"/>
      <c r="AQ898" s="32" t="n"/>
      <c r="AR898" s="29">
        <f>IF(NOT(COUNTA(A898:AE898)&gt;0),"",IF(A898="","New client","Update"))</f>
        <v/>
      </c>
      <c r="AS898" s="29">
        <f>IF(BA898&lt;&gt;"",BA898,IF(LEN(AZ898)=15,MID(AZ898,3,10),""))</f>
        <v/>
      </c>
      <c r="AT898" s="29">
        <f>IF(BB898="","",BB898&amp;IF(D898="","  (guessed from PAN)",""))</f>
        <v/>
      </c>
      <c r="AU898" s="29">
        <f>IF(AZ898="","",IFERROR(INDEX(Lists!$L$2:$L$38,MATCH(LEFT(AZ898,2),Lists!$K$2:$K$38,0)),"Unknown code"))</f>
        <v/>
      </c>
      <c r="AV898" s="29">
        <f>IF(AZ898="","",IFERROR(IF(NOT(AND(LEN(AZ898)=15,ISNUMBER(MATCH(LEFT(AZ898,2),Lists!$K$2:$K$38,0)),SUMPRODUCT(--ISERROR(FIND(MID(MID(AZ898,3,10),{1,2,3,4,5,10},1),"ABCDEFGHIJKLMNOPQRSTUVWXYZ")))=0,SUMPRODUCT(--ISERROR(FIND(MID(MID(AZ898,3,10),{6,7,8,9},1),"0123456789")))=0,ISNUMBER(FIND(MID(AZ898,13,1),"123456789ABCDEFGHIJKLMNOPQRSTUVWXYZ")),MID(AZ898,14,1)="Z")),"Wrong format",IF(MID("0123456789ABCDEFGHIJKLMNOPQRSTUVWXYZ",MOD(36-MOD(SUMPRODUCT(INT((FIND(MID(AZ898,{1,2,3,4,5,6,7,8,9,10,11,12,13,14},1),"0123456789ABCDEFGHIJKLMNOPQRSTUVWXYZ")-1)*{1,2,1,2,1,2,1,2,1,2,1,2,1,2}/36)+MOD((FIND(MID(AZ898,{1,2,3,4,5,6,7,8,9,10,11,12,13,14},1),"0123456789ABCDEFGHIJKLMNOPQRSTUVWXYZ")-1)*{1,2,1,2,1,2,1,2,1,2,1,2,1,2},36)),36),36)+1,1)=MID(AZ898,15,1),"OK","Typo? check digit wrong")),"Wrong format"))</f>
        <v/>
      </c>
      <c r="AW898" s="29">
        <f>IF(BA898="","",IF(AND(LEN(BA898)=10,SUMPRODUCT(--ISERROR(FIND(MID(BA898,{1,2,3,4,5,10},1),"ABCDEFGHIJKLMNOPQRSTUVWXYZ")))=0,SUMPRODUCT(--ISERROR(FIND(MID(BA898,{6,7,8,9},1),"0123456789")))=0),"OK","Wrong format"))</f>
        <v/>
      </c>
      <c r="AX898" s="29">
        <f>IF(TRIM(H898)="","",IF(AND(LEN(UPPER(TRIM(H898)))=10,SUMPRODUCT(--ISERROR(FIND(MID(UPPER(TRIM(H898)),{1,2,3,4,10},1),"ABCDEFGHIJKLMNOPQRSTUVWXYZ")))=0,SUMPRODUCT(--ISERROR(FIND(MID(UPPER(TRIM(H898)),{5,6,7,8,9},1),"0123456789")))=0),"OK","Wrong format"))</f>
        <v/>
      </c>
      <c r="AY898" s="30">
        <f>IF(NOT(COUNTA(A898:AE898)&gt;0),"",IF(BE898&lt;&gt;"","✖ "&amp;LEFT(BE898,LEN(BE898)-2),IF(BD898&gt;0,"✔ Ready — client + "&amp;BD898&amp;" service(s)","✔ Ready — client only")))</f>
        <v/>
      </c>
      <c r="AZ898" s="31">
        <f>UPPER(SUBSTITUTE(TRIM(F898)," ",""))</f>
        <v/>
      </c>
      <c r="BA898" s="31">
        <f>UPPER(SUBSTITUTE(TRIM(E898)," ",""))</f>
        <v/>
      </c>
      <c r="BB898" s="31">
        <f>IF(D898&lt;&gt;"",D898,IFERROR(VLOOKUP(MID(AS898,4,1),Lists!$E$2:$F$8,2,FALSE),""))</f>
        <v/>
      </c>
      <c r="BC898" s="31">
        <f>IFERROR(VLOOKUP(BB898,Lists!$A$2:$C$12,3,FALSE),"")</f>
        <v/>
      </c>
      <c r="BD898" s="31">
        <f>COUNTIF(W898:AC898,"Yes")</f>
        <v/>
      </c>
      <c r="BE898" s="31">
        <f>IF(TRIM(B898)="","Legal name missing; ","")&amp;IF(AND(AV898&lt;&gt;"",AV898&lt;&gt;"OK"),"GSTIN: "&amp;AV898&amp;"; ","")&amp;IF(AND(AW898&lt;&gt;"",AW898&lt;&gt;"OK"),"PAN wrong format; ","")&amp;IF(AND(BA898&lt;&gt;"",LEN(AZ898)=15,MID(AZ898,3,10)&lt;&gt;BA898),"PAN does not match GSTIN; ","")&amp;IF(AND(AX898&lt;&gt;"",AX898&lt;&gt;"OK"),"TAN wrong format; ","")&amp;IF(AS898="","PAN missing; ","")&amp;IF(BB898="","Entity type missing; ","")&amp;IF(AND(AZ898&lt;&gt;"",COUNTIF($AZ$6:$AZ$1005,AZ898)&gt;1),"GSTIN repeated in this sheet; ","")&amp;IF(AND(AS898&lt;&gt;"",COUNTIF($AS$6:$AS$1005,AS898)&gt;1),"PAN repeated in this sheet (same client? put extra GSTINs in Other GSTINs); ","")&amp;IF(AND(BD898&gt;0,V898=""),"Financial year missing; ","")&amp;IF(AND(BD898=0,V898&lt;&gt;""),"Financial year given but no service is Yes; ","")&amp;IF(AND(W898="Yes",AZ898=""),"GST needs a GSTIN; ","")&amp;IF(AND(W898="Yes",X898=""),"GST return frequency missing; ","")&amp;IF(AND(Y898="Yes",TRIM(H898)=""),"TDS needs a TAN; ","")&amp;IF(AND(AA898="Yes",BC898&lt;&gt;"",BC898&lt;&gt;"company",BC898&lt;&gt;"llp"),"ROC is only for a company / LLP; ","")&amp;IF(AND(AA898="Yes",OR(BC898="company",BC898="llp"),TRIM(I898)=""),"ROC needs the CIN / LLPIN; ","")&amp;IF((TRIM(AF898)="")&lt;&gt;(TRIM(AG898)=""),"GST login needs both user ID and password; ","")&amp;IF((TRIM(AH898)="")&lt;&gt;(TRIM(AI898)=""),"Income-tax login needs both user ID and password; ","")&amp;IF((TRIM(AJ898)="")&lt;&gt;(TRIM(AK898)=""),"Income-tax login needs both user ID and password; ","")&amp;IF((TRIM(AL898)="")&lt;&gt;(TRIM(AM898)=""),"TRACES login needs both user ID and password; ","")&amp;IF((TRIM(AN898)="")&lt;&gt;(TRIM(AO898)=""),"MCA login needs both user ID and password; ","")&amp;IF((TRIM(AP898)="")&lt;&gt;(TRIM(AQ898)=""),"E-way bill login needs both user ID and password; ","")</f>
        <v/>
      </c>
    </row>
    <row r="899">
      <c r="A899" s="32" t="n"/>
      <c r="B899" s="33" t="n"/>
      <c r="C899" s="33" t="n"/>
      <c r="D899" s="33" t="n"/>
      <c r="E899" s="32" t="n"/>
      <c r="F899" s="32" t="n"/>
      <c r="G899" s="32" t="n"/>
      <c r="H899" s="32" t="n"/>
      <c r="I899" s="32" t="n"/>
      <c r="J899" s="34" t="n"/>
      <c r="K899" s="33" t="n"/>
      <c r="L899" s="32" t="n"/>
      <c r="M899" s="33" t="n"/>
      <c r="N899" s="33" t="n"/>
      <c r="O899" s="33" t="n"/>
      <c r="P899" s="32" t="n"/>
      <c r="Q899" s="33" t="n"/>
      <c r="R899" s="33" t="n"/>
      <c r="S899" s="33" t="n"/>
      <c r="T899" s="33" t="n"/>
      <c r="U899" s="32" t="n"/>
      <c r="V899" s="33" t="n"/>
      <c r="W899" s="33" t="n"/>
      <c r="X899" s="33" t="n"/>
      <c r="Y899" s="33" t="n"/>
      <c r="Z899" s="33" t="n"/>
      <c r="AA899" s="33" t="n"/>
      <c r="AB899" s="33" t="n"/>
      <c r="AC899" s="33" t="n"/>
      <c r="AD899" s="33" t="n"/>
      <c r="AE899" s="33" t="n"/>
      <c r="AF899" s="32" t="n"/>
      <c r="AG899" s="32" t="n"/>
      <c r="AH899" s="32" t="n"/>
      <c r="AI899" s="32" t="n"/>
      <c r="AJ899" s="32" t="n"/>
      <c r="AK899" s="32" t="n"/>
      <c r="AL899" s="32" t="n"/>
      <c r="AM899" s="32" t="n"/>
      <c r="AN899" s="32" t="n"/>
      <c r="AO899" s="32" t="n"/>
      <c r="AP899" s="32" t="n"/>
      <c r="AQ899" s="32" t="n"/>
      <c r="AR899" s="29">
        <f>IF(NOT(COUNTA(A899:AE899)&gt;0),"",IF(A899="","New client","Update"))</f>
        <v/>
      </c>
      <c r="AS899" s="29">
        <f>IF(BA899&lt;&gt;"",BA899,IF(LEN(AZ899)=15,MID(AZ899,3,10),""))</f>
        <v/>
      </c>
      <c r="AT899" s="29">
        <f>IF(BB899="","",BB899&amp;IF(D899="","  (guessed from PAN)",""))</f>
        <v/>
      </c>
      <c r="AU899" s="29">
        <f>IF(AZ899="","",IFERROR(INDEX(Lists!$L$2:$L$38,MATCH(LEFT(AZ899,2),Lists!$K$2:$K$38,0)),"Unknown code"))</f>
        <v/>
      </c>
      <c r="AV899" s="29">
        <f>IF(AZ899="","",IFERROR(IF(NOT(AND(LEN(AZ899)=15,ISNUMBER(MATCH(LEFT(AZ899,2),Lists!$K$2:$K$38,0)),SUMPRODUCT(--ISERROR(FIND(MID(MID(AZ899,3,10),{1,2,3,4,5,10},1),"ABCDEFGHIJKLMNOPQRSTUVWXYZ")))=0,SUMPRODUCT(--ISERROR(FIND(MID(MID(AZ899,3,10),{6,7,8,9},1),"0123456789")))=0,ISNUMBER(FIND(MID(AZ899,13,1),"123456789ABCDEFGHIJKLMNOPQRSTUVWXYZ")),MID(AZ899,14,1)="Z")),"Wrong format",IF(MID("0123456789ABCDEFGHIJKLMNOPQRSTUVWXYZ",MOD(36-MOD(SUMPRODUCT(INT((FIND(MID(AZ899,{1,2,3,4,5,6,7,8,9,10,11,12,13,14},1),"0123456789ABCDEFGHIJKLMNOPQRSTUVWXYZ")-1)*{1,2,1,2,1,2,1,2,1,2,1,2,1,2}/36)+MOD((FIND(MID(AZ899,{1,2,3,4,5,6,7,8,9,10,11,12,13,14},1),"0123456789ABCDEFGHIJKLMNOPQRSTUVWXYZ")-1)*{1,2,1,2,1,2,1,2,1,2,1,2,1,2},36)),36),36)+1,1)=MID(AZ899,15,1),"OK","Typo? check digit wrong")),"Wrong format"))</f>
        <v/>
      </c>
      <c r="AW899" s="29">
        <f>IF(BA899="","",IF(AND(LEN(BA899)=10,SUMPRODUCT(--ISERROR(FIND(MID(BA899,{1,2,3,4,5,10},1),"ABCDEFGHIJKLMNOPQRSTUVWXYZ")))=0,SUMPRODUCT(--ISERROR(FIND(MID(BA899,{6,7,8,9},1),"0123456789")))=0),"OK","Wrong format"))</f>
        <v/>
      </c>
      <c r="AX899" s="29">
        <f>IF(TRIM(H899)="","",IF(AND(LEN(UPPER(TRIM(H899)))=10,SUMPRODUCT(--ISERROR(FIND(MID(UPPER(TRIM(H899)),{1,2,3,4,10},1),"ABCDEFGHIJKLMNOPQRSTUVWXYZ")))=0,SUMPRODUCT(--ISERROR(FIND(MID(UPPER(TRIM(H899)),{5,6,7,8,9},1),"0123456789")))=0),"OK","Wrong format"))</f>
        <v/>
      </c>
      <c r="AY899" s="30">
        <f>IF(NOT(COUNTA(A899:AE899)&gt;0),"",IF(BE899&lt;&gt;"","✖ "&amp;LEFT(BE899,LEN(BE899)-2),IF(BD899&gt;0,"✔ Ready — client + "&amp;BD899&amp;" service(s)","✔ Ready — client only")))</f>
        <v/>
      </c>
      <c r="AZ899" s="31">
        <f>UPPER(SUBSTITUTE(TRIM(F899)," ",""))</f>
        <v/>
      </c>
      <c r="BA899" s="31">
        <f>UPPER(SUBSTITUTE(TRIM(E899)," ",""))</f>
        <v/>
      </c>
      <c r="BB899" s="31">
        <f>IF(D899&lt;&gt;"",D899,IFERROR(VLOOKUP(MID(AS899,4,1),Lists!$E$2:$F$8,2,FALSE),""))</f>
        <v/>
      </c>
      <c r="BC899" s="31">
        <f>IFERROR(VLOOKUP(BB899,Lists!$A$2:$C$12,3,FALSE),"")</f>
        <v/>
      </c>
      <c r="BD899" s="31">
        <f>COUNTIF(W899:AC899,"Yes")</f>
        <v/>
      </c>
      <c r="BE899" s="31">
        <f>IF(TRIM(B899)="","Legal name missing; ","")&amp;IF(AND(AV899&lt;&gt;"",AV899&lt;&gt;"OK"),"GSTIN: "&amp;AV899&amp;"; ","")&amp;IF(AND(AW899&lt;&gt;"",AW899&lt;&gt;"OK"),"PAN wrong format; ","")&amp;IF(AND(BA899&lt;&gt;"",LEN(AZ899)=15,MID(AZ899,3,10)&lt;&gt;BA899),"PAN does not match GSTIN; ","")&amp;IF(AND(AX899&lt;&gt;"",AX899&lt;&gt;"OK"),"TAN wrong format; ","")&amp;IF(AS899="","PAN missing; ","")&amp;IF(BB899="","Entity type missing; ","")&amp;IF(AND(AZ899&lt;&gt;"",COUNTIF($AZ$6:$AZ$1005,AZ899)&gt;1),"GSTIN repeated in this sheet; ","")&amp;IF(AND(AS899&lt;&gt;"",COUNTIF($AS$6:$AS$1005,AS899)&gt;1),"PAN repeated in this sheet (same client? put extra GSTINs in Other GSTINs); ","")&amp;IF(AND(BD899&gt;0,V899=""),"Financial year missing; ","")&amp;IF(AND(BD899=0,V899&lt;&gt;""),"Financial year given but no service is Yes; ","")&amp;IF(AND(W899="Yes",AZ899=""),"GST needs a GSTIN; ","")&amp;IF(AND(W899="Yes",X899=""),"GST return frequency missing; ","")&amp;IF(AND(Y899="Yes",TRIM(H899)=""),"TDS needs a TAN; ","")&amp;IF(AND(AA899="Yes",BC899&lt;&gt;"",BC899&lt;&gt;"company",BC899&lt;&gt;"llp"),"ROC is only for a company / LLP; ","")&amp;IF(AND(AA899="Yes",OR(BC899="company",BC899="llp"),TRIM(I899)=""),"ROC needs the CIN / LLPIN; ","")&amp;IF((TRIM(AF899)="")&lt;&gt;(TRIM(AG899)=""),"GST login needs both user ID and password; ","")&amp;IF((TRIM(AH899)="")&lt;&gt;(TRIM(AI899)=""),"Income-tax login needs both user ID and password; ","")&amp;IF((TRIM(AJ899)="")&lt;&gt;(TRIM(AK899)=""),"Income-tax login needs both user ID and password; ","")&amp;IF((TRIM(AL899)="")&lt;&gt;(TRIM(AM899)=""),"TRACES login needs both user ID and password; ","")&amp;IF((TRIM(AN899)="")&lt;&gt;(TRIM(AO899)=""),"MCA login needs both user ID and password; ","")&amp;IF((TRIM(AP899)="")&lt;&gt;(TRIM(AQ899)=""),"E-way bill login needs both user ID and password; ","")</f>
        <v/>
      </c>
    </row>
    <row r="900">
      <c r="A900" s="32" t="n"/>
      <c r="B900" s="33" t="n"/>
      <c r="C900" s="33" t="n"/>
      <c r="D900" s="33" t="n"/>
      <c r="E900" s="32" t="n"/>
      <c r="F900" s="32" t="n"/>
      <c r="G900" s="32" t="n"/>
      <c r="H900" s="32" t="n"/>
      <c r="I900" s="32" t="n"/>
      <c r="J900" s="34" t="n"/>
      <c r="K900" s="33" t="n"/>
      <c r="L900" s="32" t="n"/>
      <c r="M900" s="33" t="n"/>
      <c r="N900" s="33" t="n"/>
      <c r="O900" s="33" t="n"/>
      <c r="P900" s="32" t="n"/>
      <c r="Q900" s="33" t="n"/>
      <c r="R900" s="33" t="n"/>
      <c r="S900" s="33" t="n"/>
      <c r="T900" s="33" t="n"/>
      <c r="U900" s="32" t="n"/>
      <c r="V900" s="33" t="n"/>
      <c r="W900" s="33" t="n"/>
      <c r="X900" s="33" t="n"/>
      <c r="Y900" s="33" t="n"/>
      <c r="Z900" s="33" t="n"/>
      <c r="AA900" s="33" t="n"/>
      <c r="AB900" s="33" t="n"/>
      <c r="AC900" s="33" t="n"/>
      <c r="AD900" s="33" t="n"/>
      <c r="AE900" s="33" t="n"/>
      <c r="AF900" s="32" t="n"/>
      <c r="AG900" s="32" t="n"/>
      <c r="AH900" s="32" t="n"/>
      <c r="AI900" s="32" t="n"/>
      <c r="AJ900" s="32" t="n"/>
      <c r="AK900" s="32" t="n"/>
      <c r="AL900" s="32" t="n"/>
      <c r="AM900" s="32" t="n"/>
      <c r="AN900" s="32" t="n"/>
      <c r="AO900" s="32" t="n"/>
      <c r="AP900" s="32" t="n"/>
      <c r="AQ900" s="32" t="n"/>
      <c r="AR900" s="29">
        <f>IF(NOT(COUNTA(A900:AE900)&gt;0),"",IF(A900="","New client","Update"))</f>
        <v/>
      </c>
      <c r="AS900" s="29">
        <f>IF(BA900&lt;&gt;"",BA900,IF(LEN(AZ900)=15,MID(AZ900,3,10),""))</f>
        <v/>
      </c>
      <c r="AT900" s="29">
        <f>IF(BB900="","",BB900&amp;IF(D900="","  (guessed from PAN)",""))</f>
        <v/>
      </c>
      <c r="AU900" s="29">
        <f>IF(AZ900="","",IFERROR(INDEX(Lists!$L$2:$L$38,MATCH(LEFT(AZ900,2),Lists!$K$2:$K$38,0)),"Unknown code"))</f>
        <v/>
      </c>
      <c r="AV900" s="29">
        <f>IF(AZ900="","",IFERROR(IF(NOT(AND(LEN(AZ900)=15,ISNUMBER(MATCH(LEFT(AZ900,2),Lists!$K$2:$K$38,0)),SUMPRODUCT(--ISERROR(FIND(MID(MID(AZ900,3,10),{1,2,3,4,5,10},1),"ABCDEFGHIJKLMNOPQRSTUVWXYZ")))=0,SUMPRODUCT(--ISERROR(FIND(MID(MID(AZ900,3,10),{6,7,8,9},1),"0123456789")))=0,ISNUMBER(FIND(MID(AZ900,13,1),"123456789ABCDEFGHIJKLMNOPQRSTUVWXYZ")),MID(AZ900,14,1)="Z")),"Wrong format",IF(MID("0123456789ABCDEFGHIJKLMNOPQRSTUVWXYZ",MOD(36-MOD(SUMPRODUCT(INT((FIND(MID(AZ900,{1,2,3,4,5,6,7,8,9,10,11,12,13,14},1),"0123456789ABCDEFGHIJKLMNOPQRSTUVWXYZ")-1)*{1,2,1,2,1,2,1,2,1,2,1,2,1,2}/36)+MOD((FIND(MID(AZ900,{1,2,3,4,5,6,7,8,9,10,11,12,13,14},1),"0123456789ABCDEFGHIJKLMNOPQRSTUVWXYZ")-1)*{1,2,1,2,1,2,1,2,1,2,1,2,1,2},36)),36),36)+1,1)=MID(AZ900,15,1),"OK","Typo? check digit wrong")),"Wrong format"))</f>
        <v/>
      </c>
      <c r="AW900" s="29">
        <f>IF(BA900="","",IF(AND(LEN(BA900)=10,SUMPRODUCT(--ISERROR(FIND(MID(BA900,{1,2,3,4,5,10},1),"ABCDEFGHIJKLMNOPQRSTUVWXYZ")))=0,SUMPRODUCT(--ISERROR(FIND(MID(BA900,{6,7,8,9},1),"0123456789")))=0),"OK","Wrong format"))</f>
        <v/>
      </c>
      <c r="AX900" s="29">
        <f>IF(TRIM(H900)="","",IF(AND(LEN(UPPER(TRIM(H900)))=10,SUMPRODUCT(--ISERROR(FIND(MID(UPPER(TRIM(H900)),{1,2,3,4,10},1),"ABCDEFGHIJKLMNOPQRSTUVWXYZ")))=0,SUMPRODUCT(--ISERROR(FIND(MID(UPPER(TRIM(H900)),{5,6,7,8,9},1),"0123456789")))=0),"OK","Wrong format"))</f>
        <v/>
      </c>
      <c r="AY900" s="30">
        <f>IF(NOT(COUNTA(A900:AE900)&gt;0),"",IF(BE900&lt;&gt;"","✖ "&amp;LEFT(BE900,LEN(BE900)-2),IF(BD900&gt;0,"✔ Ready — client + "&amp;BD900&amp;" service(s)","✔ Ready — client only")))</f>
        <v/>
      </c>
      <c r="AZ900" s="31">
        <f>UPPER(SUBSTITUTE(TRIM(F900)," ",""))</f>
        <v/>
      </c>
      <c r="BA900" s="31">
        <f>UPPER(SUBSTITUTE(TRIM(E900)," ",""))</f>
        <v/>
      </c>
      <c r="BB900" s="31">
        <f>IF(D900&lt;&gt;"",D900,IFERROR(VLOOKUP(MID(AS900,4,1),Lists!$E$2:$F$8,2,FALSE),""))</f>
        <v/>
      </c>
      <c r="BC900" s="31">
        <f>IFERROR(VLOOKUP(BB900,Lists!$A$2:$C$12,3,FALSE),"")</f>
        <v/>
      </c>
      <c r="BD900" s="31">
        <f>COUNTIF(W900:AC900,"Yes")</f>
        <v/>
      </c>
      <c r="BE900" s="31">
        <f>IF(TRIM(B900)="","Legal name missing; ","")&amp;IF(AND(AV900&lt;&gt;"",AV900&lt;&gt;"OK"),"GSTIN: "&amp;AV900&amp;"; ","")&amp;IF(AND(AW900&lt;&gt;"",AW900&lt;&gt;"OK"),"PAN wrong format; ","")&amp;IF(AND(BA900&lt;&gt;"",LEN(AZ900)=15,MID(AZ900,3,10)&lt;&gt;BA900),"PAN does not match GSTIN; ","")&amp;IF(AND(AX900&lt;&gt;"",AX900&lt;&gt;"OK"),"TAN wrong format; ","")&amp;IF(AS900="","PAN missing; ","")&amp;IF(BB900="","Entity type missing; ","")&amp;IF(AND(AZ900&lt;&gt;"",COUNTIF($AZ$6:$AZ$1005,AZ900)&gt;1),"GSTIN repeated in this sheet; ","")&amp;IF(AND(AS900&lt;&gt;"",COUNTIF($AS$6:$AS$1005,AS900)&gt;1),"PAN repeated in this sheet (same client? put extra GSTINs in Other GSTINs); ","")&amp;IF(AND(BD900&gt;0,V900=""),"Financial year missing; ","")&amp;IF(AND(BD900=0,V900&lt;&gt;""),"Financial year given but no service is Yes; ","")&amp;IF(AND(W900="Yes",AZ900=""),"GST needs a GSTIN; ","")&amp;IF(AND(W900="Yes",X900=""),"GST return frequency missing; ","")&amp;IF(AND(Y900="Yes",TRIM(H900)=""),"TDS needs a TAN; ","")&amp;IF(AND(AA900="Yes",BC900&lt;&gt;"",BC900&lt;&gt;"company",BC900&lt;&gt;"llp"),"ROC is only for a company / LLP; ","")&amp;IF(AND(AA900="Yes",OR(BC900="company",BC900="llp"),TRIM(I900)=""),"ROC needs the CIN / LLPIN; ","")&amp;IF((TRIM(AF900)="")&lt;&gt;(TRIM(AG900)=""),"GST login needs both user ID and password; ","")&amp;IF((TRIM(AH900)="")&lt;&gt;(TRIM(AI900)=""),"Income-tax login needs both user ID and password; ","")&amp;IF((TRIM(AJ900)="")&lt;&gt;(TRIM(AK900)=""),"Income-tax login needs both user ID and password; ","")&amp;IF((TRIM(AL900)="")&lt;&gt;(TRIM(AM900)=""),"TRACES login needs both user ID and password; ","")&amp;IF((TRIM(AN900)="")&lt;&gt;(TRIM(AO900)=""),"MCA login needs both user ID and password; ","")&amp;IF((TRIM(AP900)="")&lt;&gt;(TRIM(AQ900)=""),"E-way bill login needs both user ID and password; ","")</f>
        <v/>
      </c>
    </row>
    <row r="901">
      <c r="A901" s="32" t="n"/>
      <c r="B901" s="33" t="n"/>
      <c r="C901" s="33" t="n"/>
      <c r="D901" s="33" t="n"/>
      <c r="E901" s="32" t="n"/>
      <c r="F901" s="32" t="n"/>
      <c r="G901" s="32" t="n"/>
      <c r="H901" s="32" t="n"/>
      <c r="I901" s="32" t="n"/>
      <c r="J901" s="34" t="n"/>
      <c r="K901" s="33" t="n"/>
      <c r="L901" s="32" t="n"/>
      <c r="M901" s="33" t="n"/>
      <c r="N901" s="33" t="n"/>
      <c r="O901" s="33" t="n"/>
      <c r="P901" s="32" t="n"/>
      <c r="Q901" s="33" t="n"/>
      <c r="R901" s="33" t="n"/>
      <c r="S901" s="33" t="n"/>
      <c r="T901" s="33" t="n"/>
      <c r="U901" s="32" t="n"/>
      <c r="V901" s="33" t="n"/>
      <c r="W901" s="33" t="n"/>
      <c r="X901" s="33" t="n"/>
      <c r="Y901" s="33" t="n"/>
      <c r="Z901" s="33" t="n"/>
      <c r="AA901" s="33" t="n"/>
      <c r="AB901" s="33" t="n"/>
      <c r="AC901" s="33" t="n"/>
      <c r="AD901" s="33" t="n"/>
      <c r="AE901" s="33" t="n"/>
      <c r="AF901" s="32" t="n"/>
      <c r="AG901" s="32" t="n"/>
      <c r="AH901" s="32" t="n"/>
      <c r="AI901" s="32" t="n"/>
      <c r="AJ901" s="32" t="n"/>
      <c r="AK901" s="32" t="n"/>
      <c r="AL901" s="32" t="n"/>
      <c r="AM901" s="32" t="n"/>
      <c r="AN901" s="32" t="n"/>
      <c r="AO901" s="32" t="n"/>
      <c r="AP901" s="32" t="n"/>
      <c r="AQ901" s="32" t="n"/>
      <c r="AR901" s="29">
        <f>IF(NOT(COUNTA(A901:AE901)&gt;0),"",IF(A901="","New client","Update"))</f>
        <v/>
      </c>
      <c r="AS901" s="29">
        <f>IF(BA901&lt;&gt;"",BA901,IF(LEN(AZ901)=15,MID(AZ901,3,10),""))</f>
        <v/>
      </c>
      <c r="AT901" s="29">
        <f>IF(BB901="","",BB901&amp;IF(D901="","  (guessed from PAN)",""))</f>
        <v/>
      </c>
      <c r="AU901" s="29">
        <f>IF(AZ901="","",IFERROR(INDEX(Lists!$L$2:$L$38,MATCH(LEFT(AZ901,2),Lists!$K$2:$K$38,0)),"Unknown code"))</f>
        <v/>
      </c>
      <c r="AV901" s="29">
        <f>IF(AZ901="","",IFERROR(IF(NOT(AND(LEN(AZ901)=15,ISNUMBER(MATCH(LEFT(AZ901,2),Lists!$K$2:$K$38,0)),SUMPRODUCT(--ISERROR(FIND(MID(MID(AZ901,3,10),{1,2,3,4,5,10},1),"ABCDEFGHIJKLMNOPQRSTUVWXYZ")))=0,SUMPRODUCT(--ISERROR(FIND(MID(MID(AZ901,3,10),{6,7,8,9},1),"0123456789")))=0,ISNUMBER(FIND(MID(AZ901,13,1),"123456789ABCDEFGHIJKLMNOPQRSTUVWXYZ")),MID(AZ901,14,1)="Z")),"Wrong format",IF(MID("0123456789ABCDEFGHIJKLMNOPQRSTUVWXYZ",MOD(36-MOD(SUMPRODUCT(INT((FIND(MID(AZ901,{1,2,3,4,5,6,7,8,9,10,11,12,13,14},1),"0123456789ABCDEFGHIJKLMNOPQRSTUVWXYZ")-1)*{1,2,1,2,1,2,1,2,1,2,1,2,1,2}/36)+MOD((FIND(MID(AZ901,{1,2,3,4,5,6,7,8,9,10,11,12,13,14},1),"0123456789ABCDEFGHIJKLMNOPQRSTUVWXYZ")-1)*{1,2,1,2,1,2,1,2,1,2,1,2,1,2},36)),36),36)+1,1)=MID(AZ901,15,1),"OK","Typo? check digit wrong")),"Wrong format"))</f>
        <v/>
      </c>
      <c r="AW901" s="29">
        <f>IF(BA901="","",IF(AND(LEN(BA901)=10,SUMPRODUCT(--ISERROR(FIND(MID(BA901,{1,2,3,4,5,10},1),"ABCDEFGHIJKLMNOPQRSTUVWXYZ")))=0,SUMPRODUCT(--ISERROR(FIND(MID(BA901,{6,7,8,9},1),"0123456789")))=0),"OK","Wrong format"))</f>
        <v/>
      </c>
      <c r="AX901" s="29">
        <f>IF(TRIM(H901)="","",IF(AND(LEN(UPPER(TRIM(H901)))=10,SUMPRODUCT(--ISERROR(FIND(MID(UPPER(TRIM(H901)),{1,2,3,4,10},1),"ABCDEFGHIJKLMNOPQRSTUVWXYZ")))=0,SUMPRODUCT(--ISERROR(FIND(MID(UPPER(TRIM(H901)),{5,6,7,8,9},1),"0123456789")))=0),"OK","Wrong format"))</f>
        <v/>
      </c>
      <c r="AY901" s="30">
        <f>IF(NOT(COUNTA(A901:AE901)&gt;0),"",IF(BE901&lt;&gt;"","✖ "&amp;LEFT(BE901,LEN(BE901)-2),IF(BD901&gt;0,"✔ Ready — client + "&amp;BD901&amp;" service(s)","✔ Ready — client only")))</f>
        <v/>
      </c>
      <c r="AZ901" s="31">
        <f>UPPER(SUBSTITUTE(TRIM(F901)," ",""))</f>
        <v/>
      </c>
      <c r="BA901" s="31">
        <f>UPPER(SUBSTITUTE(TRIM(E901)," ",""))</f>
        <v/>
      </c>
      <c r="BB901" s="31">
        <f>IF(D901&lt;&gt;"",D901,IFERROR(VLOOKUP(MID(AS901,4,1),Lists!$E$2:$F$8,2,FALSE),""))</f>
        <v/>
      </c>
      <c r="BC901" s="31">
        <f>IFERROR(VLOOKUP(BB901,Lists!$A$2:$C$12,3,FALSE),"")</f>
        <v/>
      </c>
      <c r="BD901" s="31">
        <f>COUNTIF(W901:AC901,"Yes")</f>
        <v/>
      </c>
      <c r="BE901" s="31">
        <f>IF(TRIM(B901)="","Legal name missing; ","")&amp;IF(AND(AV901&lt;&gt;"",AV901&lt;&gt;"OK"),"GSTIN: "&amp;AV901&amp;"; ","")&amp;IF(AND(AW901&lt;&gt;"",AW901&lt;&gt;"OK"),"PAN wrong format; ","")&amp;IF(AND(BA901&lt;&gt;"",LEN(AZ901)=15,MID(AZ901,3,10)&lt;&gt;BA901),"PAN does not match GSTIN; ","")&amp;IF(AND(AX901&lt;&gt;"",AX901&lt;&gt;"OK"),"TAN wrong format; ","")&amp;IF(AS901="","PAN missing; ","")&amp;IF(BB901="","Entity type missing; ","")&amp;IF(AND(AZ901&lt;&gt;"",COUNTIF($AZ$6:$AZ$1005,AZ901)&gt;1),"GSTIN repeated in this sheet; ","")&amp;IF(AND(AS901&lt;&gt;"",COUNTIF($AS$6:$AS$1005,AS901)&gt;1),"PAN repeated in this sheet (same client? put extra GSTINs in Other GSTINs); ","")&amp;IF(AND(BD901&gt;0,V901=""),"Financial year missing; ","")&amp;IF(AND(BD901=0,V901&lt;&gt;""),"Financial year given but no service is Yes; ","")&amp;IF(AND(W901="Yes",AZ901=""),"GST needs a GSTIN; ","")&amp;IF(AND(W901="Yes",X901=""),"GST return frequency missing; ","")&amp;IF(AND(Y901="Yes",TRIM(H901)=""),"TDS needs a TAN; ","")&amp;IF(AND(AA901="Yes",BC901&lt;&gt;"",BC901&lt;&gt;"company",BC901&lt;&gt;"llp"),"ROC is only for a company / LLP; ","")&amp;IF(AND(AA901="Yes",OR(BC901="company",BC901="llp"),TRIM(I901)=""),"ROC needs the CIN / LLPIN; ","")&amp;IF((TRIM(AF901)="")&lt;&gt;(TRIM(AG901)=""),"GST login needs both user ID and password; ","")&amp;IF((TRIM(AH901)="")&lt;&gt;(TRIM(AI901)=""),"Income-tax login needs both user ID and password; ","")&amp;IF((TRIM(AJ901)="")&lt;&gt;(TRIM(AK901)=""),"Income-tax login needs both user ID and password; ","")&amp;IF((TRIM(AL901)="")&lt;&gt;(TRIM(AM901)=""),"TRACES login needs both user ID and password; ","")&amp;IF((TRIM(AN901)="")&lt;&gt;(TRIM(AO901)=""),"MCA login needs both user ID and password; ","")&amp;IF((TRIM(AP901)="")&lt;&gt;(TRIM(AQ901)=""),"E-way bill login needs both user ID and password; ","")</f>
        <v/>
      </c>
    </row>
    <row r="902">
      <c r="A902" s="32" t="n"/>
      <c r="B902" s="33" t="n"/>
      <c r="C902" s="33" t="n"/>
      <c r="D902" s="33" t="n"/>
      <c r="E902" s="32" t="n"/>
      <c r="F902" s="32" t="n"/>
      <c r="G902" s="32" t="n"/>
      <c r="H902" s="32" t="n"/>
      <c r="I902" s="32" t="n"/>
      <c r="J902" s="34" t="n"/>
      <c r="K902" s="33" t="n"/>
      <c r="L902" s="32" t="n"/>
      <c r="M902" s="33" t="n"/>
      <c r="N902" s="33" t="n"/>
      <c r="O902" s="33" t="n"/>
      <c r="P902" s="32" t="n"/>
      <c r="Q902" s="33" t="n"/>
      <c r="R902" s="33" t="n"/>
      <c r="S902" s="33" t="n"/>
      <c r="T902" s="33" t="n"/>
      <c r="U902" s="32" t="n"/>
      <c r="V902" s="33" t="n"/>
      <c r="W902" s="33" t="n"/>
      <c r="X902" s="33" t="n"/>
      <c r="Y902" s="33" t="n"/>
      <c r="Z902" s="33" t="n"/>
      <c r="AA902" s="33" t="n"/>
      <c r="AB902" s="33" t="n"/>
      <c r="AC902" s="33" t="n"/>
      <c r="AD902" s="33" t="n"/>
      <c r="AE902" s="33" t="n"/>
      <c r="AF902" s="32" t="n"/>
      <c r="AG902" s="32" t="n"/>
      <c r="AH902" s="32" t="n"/>
      <c r="AI902" s="32" t="n"/>
      <c r="AJ902" s="32" t="n"/>
      <c r="AK902" s="32" t="n"/>
      <c r="AL902" s="32" t="n"/>
      <c r="AM902" s="32" t="n"/>
      <c r="AN902" s="32" t="n"/>
      <c r="AO902" s="32" t="n"/>
      <c r="AP902" s="32" t="n"/>
      <c r="AQ902" s="32" t="n"/>
      <c r="AR902" s="29">
        <f>IF(NOT(COUNTA(A902:AE902)&gt;0),"",IF(A902="","New client","Update"))</f>
        <v/>
      </c>
      <c r="AS902" s="29">
        <f>IF(BA902&lt;&gt;"",BA902,IF(LEN(AZ902)=15,MID(AZ902,3,10),""))</f>
        <v/>
      </c>
      <c r="AT902" s="29">
        <f>IF(BB902="","",BB902&amp;IF(D902="","  (guessed from PAN)",""))</f>
        <v/>
      </c>
      <c r="AU902" s="29">
        <f>IF(AZ902="","",IFERROR(INDEX(Lists!$L$2:$L$38,MATCH(LEFT(AZ902,2),Lists!$K$2:$K$38,0)),"Unknown code"))</f>
        <v/>
      </c>
      <c r="AV902" s="29">
        <f>IF(AZ902="","",IFERROR(IF(NOT(AND(LEN(AZ902)=15,ISNUMBER(MATCH(LEFT(AZ902,2),Lists!$K$2:$K$38,0)),SUMPRODUCT(--ISERROR(FIND(MID(MID(AZ902,3,10),{1,2,3,4,5,10},1),"ABCDEFGHIJKLMNOPQRSTUVWXYZ")))=0,SUMPRODUCT(--ISERROR(FIND(MID(MID(AZ902,3,10),{6,7,8,9},1),"0123456789")))=0,ISNUMBER(FIND(MID(AZ902,13,1),"123456789ABCDEFGHIJKLMNOPQRSTUVWXYZ")),MID(AZ902,14,1)="Z")),"Wrong format",IF(MID("0123456789ABCDEFGHIJKLMNOPQRSTUVWXYZ",MOD(36-MOD(SUMPRODUCT(INT((FIND(MID(AZ902,{1,2,3,4,5,6,7,8,9,10,11,12,13,14},1),"0123456789ABCDEFGHIJKLMNOPQRSTUVWXYZ")-1)*{1,2,1,2,1,2,1,2,1,2,1,2,1,2}/36)+MOD((FIND(MID(AZ902,{1,2,3,4,5,6,7,8,9,10,11,12,13,14},1),"0123456789ABCDEFGHIJKLMNOPQRSTUVWXYZ")-1)*{1,2,1,2,1,2,1,2,1,2,1,2,1,2},36)),36),36)+1,1)=MID(AZ902,15,1),"OK","Typo? check digit wrong")),"Wrong format"))</f>
        <v/>
      </c>
      <c r="AW902" s="29">
        <f>IF(BA902="","",IF(AND(LEN(BA902)=10,SUMPRODUCT(--ISERROR(FIND(MID(BA902,{1,2,3,4,5,10},1),"ABCDEFGHIJKLMNOPQRSTUVWXYZ")))=0,SUMPRODUCT(--ISERROR(FIND(MID(BA902,{6,7,8,9},1),"0123456789")))=0),"OK","Wrong format"))</f>
        <v/>
      </c>
      <c r="AX902" s="29">
        <f>IF(TRIM(H902)="","",IF(AND(LEN(UPPER(TRIM(H902)))=10,SUMPRODUCT(--ISERROR(FIND(MID(UPPER(TRIM(H902)),{1,2,3,4,10},1),"ABCDEFGHIJKLMNOPQRSTUVWXYZ")))=0,SUMPRODUCT(--ISERROR(FIND(MID(UPPER(TRIM(H902)),{5,6,7,8,9},1),"0123456789")))=0),"OK","Wrong format"))</f>
        <v/>
      </c>
      <c r="AY902" s="30">
        <f>IF(NOT(COUNTA(A902:AE902)&gt;0),"",IF(BE902&lt;&gt;"","✖ "&amp;LEFT(BE902,LEN(BE902)-2),IF(BD902&gt;0,"✔ Ready — client + "&amp;BD902&amp;" service(s)","✔ Ready — client only")))</f>
        <v/>
      </c>
      <c r="AZ902" s="31">
        <f>UPPER(SUBSTITUTE(TRIM(F902)," ",""))</f>
        <v/>
      </c>
      <c r="BA902" s="31">
        <f>UPPER(SUBSTITUTE(TRIM(E902)," ",""))</f>
        <v/>
      </c>
      <c r="BB902" s="31">
        <f>IF(D902&lt;&gt;"",D902,IFERROR(VLOOKUP(MID(AS902,4,1),Lists!$E$2:$F$8,2,FALSE),""))</f>
        <v/>
      </c>
      <c r="BC902" s="31">
        <f>IFERROR(VLOOKUP(BB902,Lists!$A$2:$C$12,3,FALSE),"")</f>
        <v/>
      </c>
      <c r="BD902" s="31">
        <f>COUNTIF(W902:AC902,"Yes")</f>
        <v/>
      </c>
      <c r="BE902" s="31">
        <f>IF(TRIM(B902)="","Legal name missing; ","")&amp;IF(AND(AV902&lt;&gt;"",AV902&lt;&gt;"OK"),"GSTIN: "&amp;AV902&amp;"; ","")&amp;IF(AND(AW902&lt;&gt;"",AW902&lt;&gt;"OK"),"PAN wrong format; ","")&amp;IF(AND(BA902&lt;&gt;"",LEN(AZ902)=15,MID(AZ902,3,10)&lt;&gt;BA902),"PAN does not match GSTIN; ","")&amp;IF(AND(AX902&lt;&gt;"",AX902&lt;&gt;"OK"),"TAN wrong format; ","")&amp;IF(AS902="","PAN missing; ","")&amp;IF(BB902="","Entity type missing; ","")&amp;IF(AND(AZ902&lt;&gt;"",COUNTIF($AZ$6:$AZ$1005,AZ902)&gt;1),"GSTIN repeated in this sheet; ","")&amp;IF(AND(AS902&lt;&gt;"",COUNTIF($AS$6:$AS$1005,AS902)&gt;1),"PAN repeated in this sheet (same client? put extra GSTINs in Other GSTINs); ","")&amp;IF(AND(BD902&gt;0,V902=""),"Financial year missing; ","")&amp;IF(AND(BD902=0,V902&lt;&gt;""),"Financial year given but no service is Yes; ","")&amp;IF(AND(W902="Yes",AZ902=""),"GST needs a GSTIN; ","")&amp;IF(AND(W902="Yes",X902=""),"GST return frequency missing; ","")&amp;IF(AND(Y902="Yes",TRIM(H902)=""),"TDS needs a TAN; ","")&amp;IF(AND(AA902="Yes",BC902&lt;&gt;"",BC902&lt;&gt;"company",BC902&lt;&gt;"llp"),"ROC is only for a company / LLP; ","")&amp;IF(AND(AA902="Yes",OR(BC902="company",BC902="llp"),TRIM(I902)=""),"ROC needs the CIN / LLPIN; ","")&amp;IF((TRIM(AF902)="")&lt;&gt;(TRIM(AG902)=""),"GST login needs both user ID and password; ","")&amp;IF((TRIM(AH902)="")&lt;&gt;(TRIM(AI902)=""),"Income-tax login needs both user ID and password; ","")&amp;IF((TRIM(AJ902)="")&lt;&gt;(TRIM(AK902)=""),"Income-tax login needs both user ID and password; ","")&amp;IF((TRIM(AL902)="")&lt;&gt;(TRIM(AM902)=""),"TRACES login needs both user ID and password; ","")&amp;IF((TRIM(AN902)="")&lt;&gt;(TRIM(AO902)=""),"MCA login needs both user ID and password; ","")&amp;IF((TRIM(AP902)="")&lt;&gt;(TRIM(AQ902)=""),"E-way bill login needs both user ID and password; ","")</f>
        <v/>
      </c>
    </row>
    <row r="903">
      <c r="A903" s="32" t="n"/>
      <c r="B903" s="33" t="n"/>
      <c r="C903" s="33" t="n"/>
      <c r="D903" s="33" t="n"/>
      <c r="E903" s="32" t="n"/>
      <c r="F903" s="32" t="n"/>
      <c r="G903" s="32" t="n"/>
      <c r="H903" s="32" t="n"/>
      <c r="I903" s="32" t="n"/>
      <c r="J903" s="34" t="n"/>
      <c r="K903" s="33" t="n"/>
      <c r="L903" s="32" t="n"/>
      <c r="M903" s="33" t="n"/>
      <c r="N903" s="33" t="n"/>
      <c r="O903" s="33" t="n"/>
      <c r="P903" s="32" t="n"/>
      <c r="Q903" s="33" t="n"/>
      <c r="R903" s="33" t="n"/>
      <c r="S903" s="33" t="n"/>
      <c r="T903" s="33" t="n"/>
      <c r="U903" s="32" t="n"/>
      <c r="V903" s="33" t="n"/>
      <c r="W903" s="33" t="n"/>
      <c r="X903" s="33" t="n"/>
      <c r="Y903" s="33" t="n"/>
      <c r="Z903" s="33" t="n"/>
      <c r="AA903" s="33" t="n"/>
      <c r="AB903" s="33" t="n"/>
      <c r="AC903" s="33" t="n"/>
      <c r="AD903" s="33" t="n"/>
      <c r="AE903" s="33" t="n"/>
      <c r="AF903" s="32" t="n"/>
      <c r="AG903" s="32" t="n"/>
      <c r="AH903" s="32" t="n"/>
      <c r="AI903" s="32" t="n"/>
      <c r="AJ903" s="32" t="n"/>
      <c r="AK903" s="32" t="n"/>
      <c r="AL903" s="32" t="n"/>
      <c r="AM903" s="32" t="n"/>
      <c r="AN903" s="32" t="n"/>
      <c r="AO903" s="32" t="n"/>
      <c r="AP903" s="32" t="n"/>
      <c r="AQ903" s="32" t="n"/>
      <c r="AR903" s="29">
        <f>IF(NOT(COUNTA(A903:AE903)&gt;0),"",IF(A903="","New client","Update"))</f>
        <v/>
      </c>
      <c r="AS903" s="29">
        <f>IF(BA903&lt;&gt;"",BA903,IF(LEN(AZ903)=15,MID(AZ903,3,10),""))</f>
        <v/>
      </c>
      <c r="AT903" s="29">
        <f>IF(BB903="","",BB903&amp;IF(D903="","  (guessed from PAN)",""))</f>
        <v/>
      </c>
      <c r="AU903" s="29">
        <f>IF(AZ903="","",IFERROR(INDEX(Lists!$L$2:$L$38,MATCH(LEFT(AZ903,2),Lists!$K$2:$K$38,0)),"Unknown code"))</f>
        <v/>
      </c>
      <c r="AV903" s="29">
        <f>IF(AZ903="","",IFERROR(IF(NOT(AND(LEN(AZ903)=15,ISNUMBER(MATCH(LEFT(AZ903,2),Lists!$K$2:$K$38,0)),SUMPRODUCT(--ISERROR(FIND(MID(MID(AZ903,3,10),{1,2,3,4,5,10},1),"ABCDEFGHIJKLMNOPQRSTUVWXYZ")))=0,SUMPRODUCT(--ISERROR(FIND(MID(MID(AZ903,3,10),{6,7,8,9},1),"0123456789")))=0,ISNUMBER(FIND(MID(AZ903,13,1),"123456789ABCDEFGHIJKLMNOPQRSTUVWXYZ")),MID(AZ903,14,1)="Z")),"Wrong format",IF(MID("0123456789ABCDEFGHIJKLMNOPQRSTUVWXYZ",MOD(36-MOD(SUMPRODUCT(INT((FIND(MID(AZ903,{1,2,3,4,5,6,7,8,9,10,11,12,13,14},1),"0123456789ABCDEFGHIJKLMNOPQRSTUVWXYZ")-1)*{1,2,1,2,1,2,1,2,1,2,1,2,1,2}/36)+MOD((FIND(MID(AZ903,{1,2,3,4,5,6,7,8,9,10,11,12,13,14},1),"0123456789ABCDEFGHIJKLMNOPQRSTUVWXYZ")-1)*{1,2,1,2,1,2,1,2,1,2,1,2,1,2},36)),36),36)+1,1)=MID(AZ903,15,1),"OK","Typo? check digit wrong")),"Wrong format"))</f>
        <v/>
      </c>
      <c r="AW903" s="29">
        <f>IF(BA903="","",IF(AND(LEN(BA903)=10,SUMPRODUCT(--ISERROR(FIND(MID(BA903,{1,2,3,4,5,10},1),"ABCDEFGHIJKLMNOPQRSTUVWXYZ")))=0,SUMPRODUCT(--ISERROR(FIND(MID(BA903,{6,7,8,9},1),"0123456789")))=0),"OK","Wrong format"))</f>
        <v/>
      </c>
      <c r="AX903" s="29">
        <f>IF(TRIM(H903)="","",IF(AND(LEN(UPPER(TRIM(H903)))=10,SUMPRODUCT(--ISERROR(FIND(MID(UPPER(TRIM(H903)),{1,2,3,4,10},1),"ABCDEFGHIJKLMNOPQRSTUVWXYZ")))=0,SUMPRODUCT(--ISERROR(FIND(MID(UPPER(TRIM(H903)),{5,6,7,8,9},1),"0123456789")))=0),"OK","Wrong format"))</f>
        <v/>
      </c>
      <c r="AY903" s="30">
        <f>IF(NOT(COUNTA(A903:AE903)&gt;0),"",IF(BE903&lt;&gt;"","✖ "&amp;LEFT(BE903,LEN(BE903)-2),IF(BD903&gt;0,"✔ Ready — client + "&amp;BD903&amp;" service(s)","✔ Ready — client only")))</f>
        <v/>
      </c>
      <c r="AZ903" s="31">
        <f>UPPER(SUBSTITUTE(TRIM(F903)," ",""))</f>
        <v/>
      </c>
      <c r="BA903" s="31">
        <f>UPPER(SUBSTITUTE(TRIM(E903)," ",""))</f>
        <v/>
      </c>
      <c r="BB903" s="31">
        <f>IF(D903&lt;&gt;"",D903,IFERROR(VLOOKUP(MID(AS903,4,1),Lists!$E$2:$F$8,2,FALSE),""))</f>
        <v/>
      </c>
      <c r="BC903" s="31">
        <f>IFERROR(VLOOKUP(BB903,Lists!$A$2:$C$12,3,FALSE),"")</f>
        <v/>
      </c>
      <c r="BD903" s="31">
        <f>COUNTIF(W903:AC903,"Yes")</f>
        <v/>
      </c>
      <c r="BE903" s="31">
        <f>IF(TRIM(B903)="","Legal name missing; ","")&amp;IF(AND(AV903&lt;&gt;"",AV903&lt;&gt;"OK"),"GSTIN: "&amp;AV903&amp;"; ","")&amp;IF(AND(AW903&lt;&gt;"",AW903&lt;&gt;"OK"),"PAN wrong format; ","")&amp;IF(AND(BA903&lt;&gt;"",LEN(AZ903)=15,MID(AZ903,3,10)&lt;&gt;BA903),"PAN does not match GSTIN; ","")&amp;IF(AND(AX903&lt;&gt;"",AX903&lt;&gt;"OK"),"TAN wrong format; ","")&amp;IF(AS903="","PAN missing; ","")&amp;IF(BB903="","Entity type missing; ","")&amp;IF(AND(AZ903&lt;&gt;"",COUNTIF($AZ$6:$AZ$1005,AZ903)&gt;1),"GSTIN repeated in this sheet; ","")&amp;IF(AND(AS903&lt;&gt;"",COUNTIF($AS$6:$AS$1005,AS903)&gt;1),"PAN repeated in this sheet (same client? put extra GSTINs in Other GSTINs); ","")&amp;IF(AND(BD903&gt;0,V903=""),"Financial year missing; ","")&amp;IF(AND(BD903=0,V903&lt;&gt;""),"Financial year given but no service is Yes; ","")&amp;IF(AND(W903="Yes",AZ903=""),"GST needs a GSTIN; ","")&amp;IF(AND(W903="Yes",X903=""),"GST return frequency missing; ","")&amp;IF(AND(Y903="Yes",TRIM(H903)=""),"TDS needs a TAN; ","")&amp;IF(AND(AA903="Yes",BC903&lt;&gt;"",BC903&lt;&gt;"company",BC903&lt;&gt;"llp"),"ROC is only for a company / LLP; ","")&amp;IF(AND(AA903="Yes",OR(BC903="company",BC903="llp"),TRIM(I903)=""),"ROC needs the CIN / LLPIN; ","")&amp;IF((TRIM(AF903)="")&lt;&gt;(TRIM(AG903)=""),"GST login needs both user ID and password; ","")&amp;IF((TRIM(AH903)="")&lt;&gt;(TRIM(AI903)=""),"Income-tax login needs both user ID and password; ","")&amp;IF((TRIM(AJ903)="")&lt;&gt;(TRIM(AK903)=""),"Income-tax login needs both user ID and password; ","")&amp;IF((TRIM(AL903)="")&lt;&gt;(TRIM(AM903)=""),"TRACES login needs both user ID and password; ","")&amp;IF((TRIM(AN903)="")&lt;&gt;(TRIM(AO903)=""),"MCA login needs both user ID and password; ","")&amp;IF((TRIM(AP903)="")&lt;&gt;(TRIM(AQ903)=""),"E-way bill login needs both user ID and password; ","")</f>
        <v/>
      </c>
    </row>
    <row r="904">
      <c r="A904" s="32" t="n"/>
      <c r="B904" s="33" t="n"/>
      <c r="C904" s="33" t="n"/>
      <c r="D904" s="33" t="n"/>
      <c r="E904" s="32" t="n"/>
      <c r="F904" s="32" t="n"/>
      <c r="G904" s="32" t="n"/>
      <c r="H904" s="32" t="n"/>
      <c r="I904" s="32" t="n"/>
      <c r="J904" s="34" t="n"/>
      <c r="K904" s="33" t="n"/>
      <c r="L904" s="32" t="n"/>
      <c r="M904" s="33" t="n"/>
      <c r="N904" s="33" t="n"/>
      <c r="O904" s="33" t="n"/>
      <c r="P904" s="32" t="n"/>
      <c r="Q904" s="33" t="n"/>
      <c r="R904" s="33" t="n"/>
      <c r="S904" s="33" t="n"/>
      <c r="T904" s="33" t="n"/>
      <c r="U904" s="32" t="n"/>
      <c r="V904" s="33" t="n"/>
      <c r="W904" s="33" t="n"/>
      <c r="X904" s="33" t="n"/>
      <c r="Y904" s="33" t="n"/>
      <c r="Z904" s="33" t="n"/>
      <c r="AA904" s="33" t="n"/>
      <c r="AB904" s="33" t="n"/>
      <c r="AC904" s="33" t="n"/>
      <c r="AD904" s="33" t="n"/>
      <c r="AE904" s="33" t="n"/>
      <c r="AF904" s="32" t="n"/>
      <c r="AG904" s="32" t="n"/>
      <c r="AH904" s="32" t="n"/>
      <c r="AI904" s="32" t="n"/>
      <c r="AJ904" s="32" t="n"/>
      <c r="AK904" s="32" t="n"/>
      <c r="AL904" s="32" t="n"/>
      <c r="AM904" s="32" t="n"/>
      <c r="AN904" s="32" t="n"/>
      <c r="AO904" s="32" t="n"/>
      <c r="AP904" s="32" t="n"/>
      <c r="AQ904" s="32" t="n"/>
      <c r="AR904" s="29">
        <f>IF(NOT(COUNTA(A904:AE904)&gt;0),"",IF(A904="","New client","Update"))</f>
        <v/>
      </c>
      <c r="AS904" s="29">
        <f>IF(BA904&lt;&gt;"",BA904,IF(LEN(AZ904)=15,MID(AZ904,3,10),""))</f>
        <v/>
      </c>
      <c r="AT904" s="29">
        <f>IF(BB904="","",BB904&amp;IF(D904="","  (guessed from PAN)",""))</f>
        <v/>
      </c>
      <c r="AU904" s="29">
        <f>IF(AZ904="","",IFERROR(INDEX(Lists!$L$2:$L$38,MATCH(LEFT(AZ904,2),Lists!$K$2:$K$38,0)),"Unknown code"))</f>
        <v/>
      </c>
      <c r="AV904" s="29">
        <f>IF(AZ904="","",IFERROR(IF(NOT(AND(LEN(AZ904)=15,ISNUMBER(MATCH(LEFT(AZ904,2),Lists!$K$2:$K$38,0)),SUMPRODUCT(--ISERROR(FIND(MID(MID(AZ904,3,10),{1,2,3,4,5,10},1),"ABCDEFGHIJKLMNOPQRSTUVWXYZ")))=0,SUMPRODUCT(--ISERROR(FIND(MID(MID(AZ904,3,10),{6,7,8,9},1),"0123456789")))=0,ISNUMBER(FIND(MID(AZ904,13,1),"123456789ABCDEFGHIJKLMNOPQRSTUVWXYZ")),MID(AZ904,14,1)="Z")),"Wrong format",IF(MID("0123456789ABCDEFGHIJKLMNOPQRSTUVWXYZ",MOD(36-MOD(SUMPRODUCT(INT((FIND(MID(AZ904,{1,2,3,4,5,6,7,8,9,10,11,12,13,14},1),"0123456789ABCDEFGHIJKLMNOPQRSTUVWXYZ")-1)*{1,2,1,2,1,2,1,2,1,2,1,2,1,2}/36)+MOD((FIND(MID(AZ904,{1,2,3,4,5,6,7,8,9,10,11,12,13,14},1),"0123456789ABCDEFGHIJKLMNOPQRSTUVWXYZ")-1)*{1,2,1,2,1,2,1,2,1,2,1,2,1,2},36)),36),36)+1,1)=MID(AZ904,15,1),"OK","Typo? check digit wrong")),"Wrong format"))</f>
        <v/>
      </c>
      <c r="AW904" s="29">
        <f>IF(BA904="","",IF(AND(LEN(BA904)=10,SUMPRODUCT(--ISERROR(FIND(MID(BA904,{1,2,3,4,5,10},1),"ABCDEFGHIJKLMNOPQRSTUVWXYZ")))=0,SUMPRODUCT(--ISERROR(FIND(MID(BA904,{6,7,8,9},1),"0123456789")))=0),"OK","Wrong format"))</f>
        <v/>
      </c>
      <c r="AX904" s="29">
        <f>IF(TRIM(H904)="","",IF(AND(LEN(UPPER(TRIM(H904)))=10,SUMPRODUCT(--ISERROR(FIND(MID(UPPER(TRIM(H904)),{1,2,3,4,10},1),"ABCDEFGHIJKLMNOPQRSTUVWXYZ")))=0,SUMPRODUCT(--ISERROR(FIND(MID(UPPER(TRIM(H904)),{5,6,7,8,9},1),"0123456789")))=0),"OK","Wrong format"))</f>
        <v/>
      </c>
      <c r="AY904" s="30">
        <f>IF(NOT(COUNTA(A904:AE904)&gt;0),"",IF(BE904&lt;&gt;"","✖ "&amp;LEFT(BE904,LEN(BE904)-2),IF(BD904&gt;0,"✔ Ready — client + "&amp;BD904&amp;" service(s)","✔ Ready — client only")))</f>
        <v/>
      </c>
      <c r="AZ904" s="31">
        <f>UPPER(SUBSTITUTE(TRIM(F904)," ",""))</f>
        <v/>
      </c>
      <c r="BA904" s="31">
        <f>UPPER(SUBSTITUTE(TRIM(E904)," ",""))</f>
        <v/>
      </c>
      <c r="BB904" s="31">
        <f>IF(D904&lt;&gt;"",D904,IFERROR(VLOOKUP(MID(AS904,4,1),Lists!$E$2:$F$8,2,FALSE),""))</f>
        <v/>
      </c>
      <c r="BC904" s="31">
        <f>IFERROR(VLOOKUP(BB904,Lists!$A$2:$C$12,3,FALSE),"")</f>
        <v/>
      </c>
      <c r="BD904" s="31">
        <f>COUNTIF(W904:AC904,"Yes")</f>
        <v/>
      </c>
      <c r="BE904" s="31">
        <f>IF(TRIM(B904)="","Legal name missing; ","")&amp;IF(AND(AV904&lt;&gt;"",AV904&lt;&gt;"OK"),"GSTIN: "&amp;AV904&amp;"; ","")&amp;IF(AND(AW904&lt;&gt;"",AW904&lt;&gt;"OK"),"PAN wrong format; ","")&amp;IF(AND(BA904&lt;&gt;"",LEN(AZ904)=15,MID(AZ904,3,10)&lt;&gt;BA904),"PAN does not match GSTIN; ","")&amp;IF(AND(AX904&lt;&gt;"",AX904&lt;&gt;"OK"),"TAN wrong format; ","")&amp;IF(AS904="","PAN missing; ","")&amp;IF(BB904="","Entity type missing; ","")&amp;IF(AND(AZ904&lt;&gt;"",COUNTIF($AZ$6:$AZ$1005,AZ904)&gt;1),"GSTIN repeated in this sheet; ","")&amp;IF(AND(AS904&lt;&gt;"",COUNTIF($AS$6:$AS$1005,AS904)&gt;1),"PAN repeated in this sheet (same client? put extra GSTINs in Other GSTINs); ","")&amp;IF(AND(BD904&gt;0,V904=""),"Financial year missing; ","")&amp;IF(AND(BD904=0,V904&lt;&gt;""),"Financial year given but no service is Yes; ","")&amp;IF(AND(W904="Yes",AZ904=""),"GST needs a GSTIN; ","")&amp;IF(AND(W904="Yes",X904=""),"GST return frequency missing; ","")&amp;IF(AND(Y904="Yes",TRIM(H904)=""),"TDS needs a TAN; ","")&amp;IF(AND(AA904="Yes",BC904&lt;&gt;"",BC904&lt;&gt;"company",BC904&lt;&gt;"llp"),"ROC is only for a company / LLP; ","")&amp;IF(AND(AA904="Yes",OR(BC904="company",BC904="llp"),TRIM(I904)=""),"ROC needs the CIN / LLPIN; ","")&amp;IF((TRIM(AF904)="")&lt;&gt;(TRIM(AG904)=""),"GST login needs both user ID and password; ","")&amp;IF((TRIM(AH904)="")&lt;&gt;(TRIM(AI904)=""),"Income-tax login needs both user ID and password; ","")&amp;IF((TRIM(AJ904)="")&lt;&gt;(TRIM(AK904)=""),"Income-tax login needs both user ID and password; ","")&amp;IF((TRIM(AL904)="")&lt;&gt;(TRIM(AM904)=""),"TRACES login needs both user ID and password; ","")&amp;IF((TRIM(AN904)="")&lt;&gt;(TRIM(AO904)=""),"MCA login needs both user ID and password; ","")&amp;IF((TRIM(AP904)="")&lt;&gt;(TRIM(AQ904)=""),"E-way bill login needs both user ID and password; ","")</f>
        <v/>
      </c>
    </row>
    <row r="905">
      <c r="A905" s="32" t="n"/>
      <c r="B905" s="33" t="n"/>
      <c r="C905" s="33" t="n"/>
      <c r="D905" s="33" t="n"/>
      <c r="E905" s="32" t="n"/>
      <c r="F905" s="32" t="n"/>
      <c r="G905" s="32" t="n"/>
      <c r="H905" s="32" t="n"/>
      <c r="I905" s="32" t="n"/>
      <c r="J905" s="34" t="n"/>
      <c r="K905" s="33" t="n"/>
      <c r="L905" s="32" t="n"/>
      <c r="M905" s="33" t="n"/>
      <c r="N905" s="33" t="n"/>
      <c r="O905" s="33" t="n"/>
      <c r="P905" s="32" t="n"/>
      <c r="Q905" s="33" t="n"/>
      <c r="R905" s="33" t="n"/>
      <c r="S905" s="33" t="n"/>
      <c r="T905" s="33" t="n"/>
      <c r="U905" s="32" t="n"/>
      <c r="V905" s="33" t="n"/>
      <c r="W905" s="33" t="n"/>
      <c r="X905" s="33" t="n"/>
      <c r="Y905" s="33" t="n"/>
      <c r="Z905" s="33" t="n"/>
      <c r="AA905" s="33" t="n"/>
      <c r="AB905" s="33" t="n"/>
      <c r="AC905" s="33" t="n"/>
      <c r="AD905" s="33" t="n"/>
      <c r="AE905" s="33" t="n"/>
      <c r="AF905" s="32" t="n"/>
      <c r="AG905" s="32" t="n"/>
      <c r="AH905" s="32" t="n"/>
      <c r="AI905" s="32" t="n"/>
      <c r="AJ905" s="32" t="n"/>
      <c r="AK905" s="32" t="n"/>
      <c r="AL905" s="32" t="n"/>
      <c r="AM905" s="32" t="n"/>
      <c r="AN905" s="32" t="n"/>
      <c r="AO905" s="32" t="n"/>
      <c r="AP905" s="32" t="n"/>
      <c r="AQ905" s="32" t="n"/>
      <c r="AR905" s="29">
        <f>IF(NOT(COUNTA(A905:AE905)&gt;0),"",IF(A905="","New client","Update"))</f>
        <v/>
      </c>
      <c r="AS905" s="29">
        <f>IF(BA905&lt;&gt;"",BA905,IF(LEN(AZ905)=15,MID(AZ905,3,10),""))</f>
        <v/>
      </c>
      <c r="AT905" s="29">
        <f>IF(BB905="","",BB905&amp;IF(D905="","  (guessed from PAN)",""))</f>
        <v/>
      </c>
      <c r="AU905" s="29">
        <f>IF(AZ905="","",IFERROR(INDEX(Lists!$L$2:$L$38,MATCH(LEFT(AZ905,2),Lists!$K$2:$K$38,0)),"Unknown code"))</f>
        <v/>
      </c>
      <c r="AV905" s="29">
        <f>IF(AZ905="","",IFERROR(IF(NOT(AND(LEN(AZ905)=15,ISNUMBER(MATCH(LEFT(AZ905,2),Lists!$K$2:$K$38,0)),SUMPRODUCT(--ISERROR(FIND(MID(MID(AZ905,3,10),{1,2,3,4,5,10},1),"ABCDEFGHIJKLMNOPQRSTUVWXYZ")))=0,SUMPRODUCT(--ISERROR(FIND(MID(MID(AZ905,3,10),{6,7,8,9},1),"0123456789")))=0,ISNUMBER(FIND(MID(AZ905,13,1),"123456789ABCDEFGHIJKLMNOPQRSTUVWXYZ")),MID(AZ905,14,1)="Z")),"Wrong format",IF(MID("0123456789ABCDEFGHIJKLMNOPQRSTUVWXYZ",MOD(36-MOD(SUMPRODUCT(INT((FIND(MID(AZ905,{1,2,3,4,5,6,7,8,9,10,11,12,13,14},1),"0123456789ABCDEFGHIJKLMNOPQRSTUVWXYZ")-1)*{1,2,1,2,1,2,1,2,1,2,1,2,1,2}/36)+MOD((FIND(MID(AZ905,{1,2,3,4,5,6,7,8,9,10,11,12,13,14},1),"0123456789ABCDEFGHIJKLMNOPQRSTUVWXYZ")-1)*{1,2,1,2,1,2,1,2,1,2,1,2,1,2},36)),36),36)+1,1)=MID(AZ905,15,1),"OK","Typo? check digit wrong")),"Wrong format"))</f>
        <v/>
      </c>
      <c r="AW905" s="29">
        <f>IF(BA905="","",IF(AND(LEN(BA905)=10,SUMPRODUCT(--ISERROR(FIND(MID(BA905,{1,2,3,4,5,10},1),"ABCDEFGHIJKLMNOPQRSTUVWXYZ")))=0,SUMPRODUCT(--ISERROR(FIND(MID(BA905,{6,7,8,9},1),"0123456789")))=0),"OK","Wrong format"))</f>
        <v/>
      </c>
      <c r="AX905" s="29">
        <f>IF(TRIM(H905)="","",IF(AND(LEN(UPPER(TRIM(H905)))=10,SUMPRODUCT(--ISERROR(FIND(MID(UPPER(TRIM(H905)),{1,2,3,4,10},1),"ABCDEFGHIJKLMNOPQRSTUVWXYZ")))=0,SUMPRODUCT(--ISERROR(FIND(MID(UPPER(TRIM(H905)),{5,6,7,8,9},1),"0123456789")))=0),"OK","Wrong format"))</f>
        <v/>
      </c>
      <c r="AY905" s="30">
        <f>IF(NOT(COUNTA(A905:AE905)&gt;0),"",IF(BE905&lt;&gt;"","✖ "&amp;LEFT(BE905,LEN(BE905)-2),IF(BD905&gt;0,"✔ Ready — client + "&amp;BD905&amp;" service(s)","✔ Ready — client only")))</f>
        <v/>
      </c>
      <c r="AZ905" s="31">
        <f>UPPER(SUBSTITUTE(TRIM(F905)," ",""))</f>
        <v/>
      </c>
      <c r="BA905" s="31">
        <f>UPPER(SUBSTITUTE(TRIM(E905)," ",""))</f>
        <v/>
      </c>
      <c r="BB905" s="31">
        <f>IF(D905&lt;&gt;"",D905,IFERROR(VLOOKUP(MID(AS905,4,1),Lists!$E$2:$F$8,2,FALSE),""))</f>
        <v/>
      </c>
      <c r="BC905" s="31">
        <f>IFERROR(VLOOKUP(BB905,Lists!$A$2:$C$12,3,FALSE),"")</f>
        <v/>
      </c>
      <c r="BD905" s="31">
        <f>COUNTIF(W905:AC905,"Yes")</f>
        <v/>
      </c>
      <c r="BE905" s="31">
        <f>IF(TRIM(B905)="","Legal name missing; ","")&amp;IF(AND(AV905&lt;&gt;"",AV905&lt;&gt;"OK"),"GSTIN: "&amp;AV905&amp;"; ","")&amp;IF(AND(AW905&lt;&gt;"",AW905&lt;&gt;"OK"),"PAN wrong format; ","")&amp;IF(AND(BA905&lt;&gt;"",LEN(AZ905)=15,MID(AZ905,3,10)&lt;&gt;BA905),"PAN does not match GSTIN; ","")&amp;IF(AND(AX905&lt;&gt;"",AX905&lt;&gt;"OK"),"TAN wrong format; ","")&amp;IF(AS905="","PAN missing; ","")&amp;IF(BB905="","Entity type missing; ","")&amp;IF(AND(AZ905&lt;&gt;"",COUNTIF($AZ$6:$AZ$1005,AZ905)&gt;1),"GSTIN repeated in this sheet; ","")&amp;IF(AND(AS905&lt;&gt;"",COUNTIF($AS$6:$AS$1005,AS905)&gt;1),"PAN repeated in this sheet (same client? put extra GSTINs in Other GSTINs); ","")&amp;IF(AND(BD905&gt;0,V905=""),"Financial year missing; ","")&amp;IF(AND(BD905=0,V905&lt;&gt;""),"Financial year given but no service is Yes; ","")&amp;IF(AND(W905="Yes",AZ905=""),"GST needs a GSTIN; ","")&amp;IF(AND(W905="Yes",X905=""),"GST return frequency missing; ","")&amp;IF(AND(Y905="Yes",TRIM(H905)=""),"TDS needs a TAN; ","")&amp;IF(AND(AA905="Yes",BC905&lt;&gt;"",BC905&lt;&gt;"company",BC905&lt;&gt;"llp"),"ROC is only for a company / LLP; ","")&amp;IF(AND(AA905="Yes",OR(BC905="company",BC905="llp"),TRIM(I905)=""),"ROC needs the CIN / LLPIN; ","")&amp;IF((TRIM(AF905)="")&lt;&gt;(TRIM(AG905)=""),"GST login needs both user ID and password; ","")&amp;IF((TRIM(AH905)="")&lt;&gt;(TRIM(AI905)=""),"Income-tax login needs both user ID and password; ","")&amp;IF((TRIM(AJ905)="")&lt;&gt;(TRIM(AK905)=""),"Income-tax login needs both user ID and password; ","")&amp;IF((TRIM(AL905)="")&lt;&gt;(TRIM(AM905)=""),"TRACES login needs both user ID and password; ","")&amp;IF((TRIM(AN905)="")&lt;&gt;(TRIM(AO905)=""),"MCA login needs both user ID and password; ","")&amp;IF((TRIM(AP905)="")&lt;&gt;(TRIM(AQ905)=""),"E-way bill login needs both user ID and password; ","")</f>
        <v/>
      </c>
    </row>
    <row r="906">
      <c r="A906" s="32" t="n"/>
      <c r="B906" s="33" t="n"/>
      <c r="C906" s="33" t="n"/>
      <c r="D906" s="33" t="n"/>
      <c r="E906" s="32" t="n"/>
      <c r="F906" s="32" t="n"/>
      <c r="G906" s="32" t="n"/>
      <c r="H906" s="32" t="n"/>
      <c r="I906" s="32" t="n"/>
      <c r="J906" s="34" t="n"/>
      <c r="K906" s="33" t="n"/>
      <c r="L906" s="32" t="n"/>
      <c r="M906" s="33" t="n"/>
      <c r="N906" s="33" t="n"/>
      <c r="O906" s="33" t="n"/>
      <c r="P906" s="32" t="n"/>
      <c r="Q906" s="33" t="n"/>
      <c r="R906" s="33" t="n"/>
      <c r="S906" s="33" t="n"/>
      <c r="T906" s="33" t="n"/>
      <c r="U906" s="32" t="n"/>
      <c r="V906" s="33" t="n"/>
      <c r="W906" s="33" t="n"/>
      <c r="X906" s="33" t="n"/>
      <c r="Y906" s="33" t="n"/>
      <c r="Z906" s="33" t="n"/>
      <c r="AA906" s="33" t="n"/>
      <c r="AB906" s="33" t="n"/>
      <c r="AC906" s="33" t="n"/>
      <c r="AD906" s="33" t="n"/>
      <c r="AE906" s="33" t="n"/>
      <c r="AF906" s="32" t="n"/>
      <c r="AG906" s="32" t="n"/>
      <c r="AH906" s="32" t="n"/>
      <c r="AI906" s="32" t="n"/>
      <c r="AJ906" s="32" t="n"/>
      <c r="AK906" s="32" t="n"/>
      <c r="AL906" s="32" t="n"/>
      <c r="AM906" s="32" t="n"/>
      <c r="AN906" s="32" t="n"/>
      <c r="AO906" s="32" t="n"/>
      <c r="AP906" s="32" t="n"/>
      <c r="AQ906" s="32" t="n"/>
      <c r="AR906" s="29">
        <f>IF(NOT(COUNTA(A906:AE906)&gt;0),"",IF(A906="","New client","Update"))</f>
        <v/>
      </c>
      <c r="AS906" s="29">
        <f>IF(BA906&lt;&gt;"",BA906,IF(LEN(AZ906)=15,MID(AZ906,3,10),""))</f>
        <v/>
      </c>
      <c r="AT906" s="29">
        <f>IF(BB906="","",BB906&amp;IF(D906="","  (guessed from PAN)",""))</f>
        <v/>
      </c>
      <c r="AU906" s="29">
        <f>IF(AZ906="","",IFERROR(INDEX(Lists!$L$2:$L$38,MATCH(LEFT(AZ906,2),Lists!$K$2:$K$38,0)),"Unknown code"))</f>
        <v/>
      </c>
      <c r="AV906" s="29">
        <f>IF(AZ906="","",IFERROR(IF(NOT(AND(LEN(AZ906)=15,ISNUMBER(MATCH(LEFT(AZ906,2),Lists!$K$2:$K$38,0)),SUMPRODUCT(--ISERROR(FIND(MID(MID(AZ906,3,10),{1,2,3,4,5,10},1),"ABCDEFGHIJKLMNOPQRSTUVWXYZ")))=0,SUMPRODUCT(--ISERROR(FIND(MID(MID(AZ906,3,10),{6,7,8,9},1),"0123456789")))=0,ISNUMBER(FIND(MID(AZ906,13,1),"123456789ABCDEFGHIJKLMNOPQRSTUVWXYZ")),MID(AZ906,14,1)="Z")),"Wrong format",IF(MID("0123456789ABCDEFGHIJKLMNOPQRSTUVWXYZ",MOD(36-MOD(SUMPRODUCT(INT((FIND(MID(AZ906,{1,2,3,4,5,6,7,8,9,10,11,12,13,14},1),"0123456789ABCDEFGHIJKLMNOPQRSTUVWXYZ")-1)*{1,2,1,2,1,2,1,2,1,2,1,2,1,2}/36)+MOD((FIND(MID(AZ906,{1,2,3,4,5,6,7,8,9,10,11,12,13,14},1),"0123456789ABCDEFGHIJKLMNOPQRSTUVWXYZ")-1)*{1,2,1,2,1,2,1,2,1,2,1,2,1,2},36)),36),36)+1,1)=MID(AZ906,15,1),"OK","Typo? check digit wrong")),"Wrong format"))</f>
        <v/>
      </c>
      <c r="AW906" s="29">
        <f>IF(BA906="","",IF(AND(LEN(BA906)=10,SUMPRODUCT(--ISERROR(FIND(MID(BA906,{1,2,3,4,5,10},1),"ABCDEFGHIJKLMNOPQRSTUVWXYZ")))=0,SUMPRODUCT(--ISERROR(FIND(MID(BA906,{6,7,8,9},1),"0123456789")))=0),"OK","Wrong format"))</f>
        <v/>
      </c>
      <c r="AX906" s="29">
        <f>IF(TRIM(H906)="","",IF(AND(LEN(UPPER(TRIM(H906)))=10,SUMPRODUCT(--ISERROR(FIND(MID(UPPER(TRIM(H906)),{1,2,3,4,10},1),"ABCDEFGHIJKLMNOPQRSTUVWXYZ")))=0,SUMPRODUCT(--ISERROR(FIND(MID(UPPER(TRIM(H906)),{5,6,7,8,9},1),"0123456789")))=0),"OK","Wrong format"))</f>
        <v/>
      </c>
      <c r="AY906" s="30">
        <f>IF(NOT(COUNTA(A906:AE906)&gt;0),"",IF(BE906&lt;&gt;"","✖ "&amp;LEFT(BE906,LEN(BE906)-2),IF(BD906&gt;0,"✔ Ready — client + "&amp;BD906&amp;" service(s)","✔ Ready — client only")))</f>
        <v/>
      </c>
      <c r="AZ906" s="31">
        <f>UPPER(SUBSTITUTE(TRIM(F906)," ",""))</f>
        <v/>
      </c>
      <c r="BA906" s="31">
        <f>UPPER(SUBSTITUTE(TRIM(E906)," ",""))</f>
        <v/>
      </c>
      <c r="BB906" s="31">
        <f>IF(D906&lt;&gt;"",D906,IFERROR(VLOOKUP(MID(AS906,4,1),Lists!$E$2:$F$8,2,FALSE),""))</f>
        <v/>
      </c>
      <c r="BC906" s="31">
        <f>IFERROR(VLOOKUP(BB906,Lists!$A$2:$C$12,3,FALSE),"")</f>
        <v/>
      </c>
      <c r="BD906" s="31">
        <f>COUNTIF(W906:AC906,"Yes")</f>
        <v/>
      </c>
      <c r="BE906" s="31">
        <f>IF(TRIM(B906)="","Legal name missing; ","")&amp;IF(AND(AV906&lt;&gt;"",AV906&lt;&gt;"OK"),"GSTIN: "&amp;AV906&amp;"; ","")&amp;IF(AND(AW906&lt;&gt;"",AW906&lt;&gt;"OK"),"PAN wrong format; ","")&amp;IF(AND(BA906&lt;&gt;"",LEN(AZ906)=15,MID(AZ906,3,10)&lt;&gt;BA906),"PAN does not match GSTIN; ","")&amp;IF(AND(AX906&lt;&gt;"",AX906&lt;&gt;"OK"),"TAN wrong format; ","")&amp;IF(AS906="","PAN missing; ","")&amp;IF(BB906="","Entity type missing; ","")&amp;IF(AND(AZ906&lt;&gt;"",COUNTIF($AZ$6:$AZ$1005,AZ906)&gt;1),"GSTIN repeated in this sheet; ","")&amp;IF(AND(AS906&lt;&gt;"",COUNTIF($AS$6:$AS$1005,AS906)&gt;1),"PAN repeated in this sheet (same client? put extra GSTINs in Other GSTINs); ","")&amp;IF(AND(BD906&gt;0,V906=""),"Financial year missing; ","")&amp;IF(AND(BD906=0,V906&lt;&gt;""),"Financial year given but no service is Yes; ","")&amp;IF(AND(W906="Yes",AZ906=""),"GST needs a GSTIN; ","")&amp;IF(AND(W906="Yes",X906=""),"GST return frequency missing; ","")&amp;IF(AND(Y906="Yes",TRIM(H906)=""),"TDS needs a TAN; ","")&amp;IF(AND(AA906="Yes",BC906&lt;&gt;"",BC906&lt;&gt;"company",BC906&lt;&gt;"llp"),"ROC is only for a company / LLP; ","")&amp;IF(AND(AA906="Yes",OR(BC906="company",BC906="llp"),TRIM(I906)=""),"ROC needs the CIN / LLPIN; ","")&amp;IF((TRIM(AF906)="")&lt;&gt;(TRIM(AG906)=""),"GST login needs both user ID and password; ","")&amp;IF((TRIM(AH906)="")&lt;&gt;(TRIM(AI906)=""),"Income-tax login needs both user ID and password; ","")&amp;IF((TRIM(AJ906)="")&lt;&gt;(TRIM(AK906)=""),"Income-tax login needs both user ID and password; ","")&amp;IF((TRIM(AL906)="")&lt;&gt;(TRIM(AM906)=""),"TRACES login needs both user ID and password; ","")&amp;IF((TRIM(AN906)="")&lt;&gt;(TRIM(AO906)=""),"MCA login needs both user ID and password; ","")&amp;IF((TRIM(AP906)="")&lt;&gt;(TRIM(AQ906)=""),"E-way bill login needs both user ID and password; ","")</f>
        <v/>
      </c>
    </row>
    <row r="907">
      <c r="A907" s="32" t="n"/>
      <c r="B907" s="33" t="n"/>
      <c r="C907" s="33" t="n"/>
      <c r="D907" s="33" t="n"/>
      <c r="E907" s="32" t="n"/>
      <c r="F907" s="32" t="n"/>
      <c r="G907" s="32" t="n"/>
      <c r="H907" s="32" t="n"/>
      <c r="I907" s="32" t="n"/>
      <c r="J907" s="34" t="n"/>
      <c r="K907" s="33" t="n"/>
      <c r="L907" s="32" t="n"/>
      <c r="M907" s="33" t="n"/>
      <c r="N907" s="33" t="n"/>
      <c r="O907" s="33" t="n"/>
      <c r="P907" s="32" t="n"/>
      <c r="Q907" s="33" t="n"/>
      <c r="R907" s="33" t="n"/>
      <c r="S907" s="33" t="n"/>
      <c r="T907" s="33" t="n"/>
      <c r="U907" s="32" t="n"/>
      <c r="V907" s="33" t="n"/>
      <c r="W907" s="33" t="n"/>
      <c r="X907" s="33" t="n"/>
      <c r="Y907" s="33" t="n"/>
      <c r="Z907" s="33" t="n"/>
      <c r="AA907" s="33" t="n"/>
      <c r="AB907" s="33" t="n"/>
      <c r="AC907" s="33" t="n"/>
      <c r="AD907" s="33" t="n"/>
      <c r="AE907" s="33" t="n"/>
      <c r="AF907" s="32" t="n"/>
      <c r="AG907" s="32" t="n"/>
      <c r="AH907" s="32" t="n"/>
      <c r="AI907" s="32" t="n"/>
      <c r="AJ907" s="32" t="n"/>
      <c r="AK907" s="32" t="n"/>
      <c r="AL907" s="32" t="n"/>
      <c r="AM907" s="32" t="n"/>
      <c r="AN907" s="32" t="n"/>
      <c r="AO907" s="32" t="n"/>
      <c r="AP907" s="32" t="n"/>
      <c r="AQ907" s="32" t="n"/>
      <c r="AR907" s="29">
        <f>IF(NOT(COUNTA(A907:AE907)&gt;0),"",IF(A907="","New client","Update"))</f>
        <v/>
      </c>
      <c r="AS907" s="29">
        <f>IF(BA907&lt;&gt;"",BA907,IF(LEN(AZ907)=15,MID(AZ907,3,10),""))</f>
        <v/>
      </c>
      <c r="AT907" s="29">
        <f>IF(BB907="","",BB907&amp;IF(D907="","  (guessed from PAN)",""))</f>
        <v/>
      </c>
      <c r="AU907" s="29">
        <f>IF(AZ907="","",IFERROR(INDEX(Lists!$L$2:$L$38,MATCH(LEFT(AZ907,2),Lists!$K$2:$K$38,0)),"Unknown code"))</f>
        <v/>
      </c>
      <c r="AV907" s="29">
        <f>IF(AZ907="","",IFERROR(IF(NOT(AND(LEN(AZ907)=15,ISNUMBER(MATCH(LEFT(AZ907,2),Lists!$K$2:$K$38,0)),SUMPRODUCT(--ISERROR(FIND(MID(MID(AZ907,3,10),{1,2,3,4,5,10},1),"ABCDEFGHIJKLMNOPQRSTUVWXYZ")))=0,SUMPRODUCT(--ISERROR(FIND(MID(MID(AZ907,3,10),{6,7,8,9},1),"0123456789")))=0,ISNUMBER(FIND(MID(AZ907,13,1),"123456789ABCDEFGHIJKLMNOPQRSTUVWXYZ")),MID(AZ907,14,1)="Z")),"Wrong format",IF(MID("0123456789ABCDEFGHIJKLMNOPQRSTUVWXYZ",MOD(36-MOD(SUMPRODUCT(INT((FIND(MID(AZ907,{1,2,3,4,5,6,7,8,9,10,11,12,13,14},1),"0123456789ABCDEFGHIJKLMNOPQRSTUVWXYZ")-1)*{1,2,1,2,1,2,1,2,1,2,1,2,1,2}/36)+MOD((FIND(MID(AZ907,{1,2,3,4,5,6,7,8,9,10,11,12,13,14},1),"0123456789ABCDEFGHIJKLMNOPQRSTUVWXYZ")-1)*{1,2,1,2,1,2,1,2,1,2,1,2,1,2},36)),36),36)+1,1)=MID(AZ907,15,1),"OK","Typo? check digit wrong")),"Wrong format"))</f>
        <v/>
      </c>
      <c r="AW907" s="29">
        <f>IF(BA907="","",IF(AND(LEN(BA907)=10,SUMPRODUCT(--ISERROR(FIND(MID(BA907,{1,2,3,4,5,10},1),"ABCDEFGHIJKLMNOPQRSTUVWXYZ")))=0,SUMPRODUCT(--ISERROR(FIND(MID(BA907,{6,7,8,9},1),"0123456789")))=0),"OK","Wrong format"))</f>
        <v/>
      </c>
      <c r="AX907" s="29">
        <f>IF(TRIM(H907)="","",IF(AND(LEN(UPPER(TRIM(H907)))=10,SUMPRODUCT(--ISERROR(FIND(MID(UPPER(TRIM(H907)),{1,2,3,4,10},1),"ABCDEFGHIJKLMNOPQRSTUVWXYZ")))=0,SUMPRODUCT(--ISERROR(FIND(MID(UPPER(TRIM(H907)),{5,6,7,8,9},1),"0123456789")))=0),"OK","Wrong format"))</f>
        <v/>
      </c>
      <c r="AY907" s="30">
        <f>IF(NOT(COUNTA(A907:AE907)&gt;0),"",IF(BE907&lt;&gt;"","✖ "&amp;LEFT(BE907,LEN(BE907)-2),IF(BD907&gt;0,"✔ Ready — client + "&amp;BD907&amp;" service(s)","✔ Ready — client only")))</f>
        <v/>
      </c>
      <c r="AZ907" s="31">
        <f>UPPER(SUBSTITUTE(TRIM(F907)," ",""))</f>
        <v/>
      </c>
      <c r="BA907" s="31">
        <f>UPPER(SUBSTITUTE(TRIM(E907)," ",""))</f>
        <v/>
      </c>
      <c r="BB907" s="31">
        <f>IF(D907&lt;&gt;"",D907,IFERROR(VLOOKUP(MID(AS907,4,1),Lists!$E$2:$F$8,2,FALSE),""))</f>
        <v/>
      </c>
      <c r="BC907" s="31">
        <f>IFERROR(VLOOKUP(BB907,Lists!$A$2:$C$12,3,FALSE),"")</f>
        <v/>
      </c>
      <c r="BD907" s="31">
        <f>COUNTIF(W907:AC907,"Yes")</f>
        <v/>
      </c>
      <c r="BE907" s="31">
        <f>IF(TRIM(B907)="","Legal name missing; ","")&amp;IF(AND(AV907&lt;&gt;"",AV907&lt;&gt;"OK"),"GSTIN: "&amp;AV907&amp;"; ","")&amp;IF(AND(AW907&lt;&gt;"",AW907&lt;&gt;"OK"),"PAN wrong format; ","")&amp;IF(AND(BA907&lt;&gt;"",LEN(AZ907)=15,MID(AZ907,3,10)&lt;&gt;BA907),"PAN does not match GSTIN; ","")&amp;IF(AND(AX907&lt;&gt;"",AX907&lt;&gt;"OK"),"TAN wrong format; ","")&amp;IF(AS907="","PAN missing; ","")&amp;IF(BB907="","Entity type missing; ","")&amp;IF(AND(AZ907&lt;&gt;"",COUNTIF($AZ$6:$AZ$1005,AZ907)&gt;1),"GSTIN repeated in this sheet; ","")&amp;IF(AND(AS907&lt;&gt;"",COUNTIF($AS$6:$AS$1005,AS907)&gt;1),"PAN repeated in this sheet (same client? put extra GSTINs in Other GSTINs); ","")&amp;IF(AND(BD907&gt;0,V907=""),"Financial year missing; ","")&amp;IF(AND(BD907=0,V907&lt;&gt;""),"Financial year given but no service is Yes; ","")&amp;IF(AND(W907="Yes",AZ907=""),"GST needs a GSTIN; ","")&amp;IF(AND(W907="Yes",X907=""),"GST return frequency missing; ","")&amp;IF(AND(Y907="Yes",TRIM(H907)=""),"TDS needs a TAN; ","")&amp;IF(AND(AA907="Yes",BC907&lt;&gt;"",BC907&lt;&gt;"company",BC907&lt;&gt;"llp"),"ROC is only for a company / LLP; ","")&amp;IF(AND(AA907="Yes",OR(BC907="company",BC907="llp"),TRIM(I907)=""),"ROC needs the CIN / LLPIN; ","")&amp;IF((TRIM(AF907)="")&lt;&gt;(TRIM(AG907)=""),"GST login needs both user ID and password; ","")&amp;IF((TRIM(AH907)="")&lt;&gt;(TRIM(AI907)=""),"Income-tax login needs both user ID and password; ","")&amp;IF((TRIM(AJ907)="")&lt;&gt;(TRIM(AK907)=""),"Income-tax login needs both user ID and password; ","")&amp;IF((TRIM(AL907)="")&lt;&gt;(TRIM(AM907)=""),"TRACES login needs both user ID and password; ","")&amp;IF((TRIM(AN907)="")&lt;&gt;(TRIM(AO907)=""),"MCA login needs both user ID and password; ","")&amp;IF((TRIM(AP907)="")&lt;&gt;(TRIM(AQ907)=""),"E-way bill login needs both user ID and password; ","")</f>
        <v/>
      </c>
    </row>
    <row r="908">
      <c r="A908" s="32" t="n"/>
      <c r="B908" s="33" t="n"/>
      <c r="C908" s="33" t="n"/>
      <c r="D908" s="33" t="n"/>
      <c r="E908" s="32" t="n"/>
      <c r="F908" s="32" t="n"/>
      <c r="G908" s="32" t="n"/>
      <c r="H908" s="32" t="n"/>
      <c r="I908" s="32" t="n"/>
      <c r="J908" s="34" t="n"/>
      <c r="K908" s="33" t="n"/>
      <c r="L908" s="32" t="n"/>
      <c r="M908" s="33" t="n"/>
      <c r="N908" s="33" t="n"/>
      <c r="O908" s="33" t="n"/>
      <c r="P908" s="32" t="n"/>
      <c r="Q908" s="33" t="n"/>
      <c r="R908" s="33" t="n"/>
      <c r="S908" s="33" t="n"/>
      <c r="T908" s="33" t="n"/>
      <c r="U908" s="32" t="n"/>
      <c r="V908" s="33" t="n"/>
      <c r="W908" s="33" t="n"/>
      <c r="X908" s="33" t="n"/>
      <c r="Y908" s="33" t="n"/>
      <c r="Z908" s="33" t="n"/>
      <c r="AA908" s="33" t="n"/>
      <c r="AB908" s="33" t="n"/>
      <c r="AC908" s="33" t="n"/>
      <c r="AD908" s="33" t="n"/>
      <c r="AE908" s="33" t="n"/>
      <c r="AF908" s="32" t="n"/>
      <c r="AG908" s="32" t="n"/>
      <c r="AH908" s="32" t="n"/>
      <c r="AI908" s="32" t="n"/>
      <c r="AJ908" s="32" t="n"/>
      <c r="AK908" s="32" t="n"/>
      <c r="AL908" s="32" t="n"/>
      <c r="AM908" s="32" t="n"/>
      <c r="AN908" s="32" t="n"/>
      <c r="AO908" s="32" t="n"/>
      <c r="AP908" s="32" t="n"/>
      <c r="AQ908" s="32" t="n"/>
      <c r="AR908" s="29">
        <f>IF(NOT(COUNTA(A908:AE908)&gt;0),"",IF(A908="","New client","Update"))</f>
        <v/>
      </c>
      <c r="AS908" s="29">
        <f>IF(BA908&lt;&gt;"",BA908,IF(LEN(AZ908)=15,MID(AZ908,3,10),""))</f>
        <v/>
      </c>
      <c r="AT908" s="29">
        <f>IF(BB908="","",BB908&amp;IF(D908="","  (guessed from PAN)",""))</f>
        <v/>
      </c>
      <c r="AU908" s="29">
        <f>IF(AZ908="","",IFERROR(INDEX(Lists!$L$2:$L$38,MATCH(LEFT(AZ908,2),Lists!$K$2:$K$38,0)),"Unknown code"))</f>
        <v/>
      </c>
      <c r="AV908" s="29">
        <f>IF(AZ908="","",IFERROR(IF(NOT(AND(LEN(AZ908)=15,ISNUMBER(MATCH(LEFT(AZ908,2),Lists!$K$2:$K$38,0)),SUMPRODUCT(--ISERROR(FIND(MID(MID(AZ908,3,10),{1,2,3,4,5,10},1),"ABCDEFGHIJKLMNOPQRSTUVWXYZ")))=0,SUMPRODUCT(--ISERROR(FIND(MID(MID(AZ908,3,10),{6,7,8,9},1),"0123456789")))=0,ISNUMBER(FIND(MID(AZ908,13,1),"123456789ABCDEFGHIJKLMNOPQRSTUVWXYZ")),MID(AZ908,14,1)="Z")),"Wrong format",IF(MID("0123456789ABCDEFGHIJKLMNOPQRSTUVWXYZ",MOD(36-MOD(SUMPRODUCT(INT((FIND(MID(AZ908,{1,2,3,4,5,6,7,8,9,10,11,12,13,14},1),"0123456789ABCDEFGHIJKLMNOPQRSTUVWXYZ")-1)*{1,2,1,2,1,2,1,2,1,2,1,2,1,2}/36)+MOD((FIND(MID(AZ908,{1,2,3,4,5,6,7,8,9,10,11,12,13,14},1),"0123456789ABCDEFGHIJKLMNOPQRSTUVWXYZ")-1)*{1,2,1,2,1,2,1,2,1,2,1,2,1,2},36)),36),36)+1,1)=MID(AZ908,15,1),"OK","Typo? check digit wrong")),"Wrong format"))</f>
        <v/>
      </c>
      <c r="AW908" s="29">
        <f>IF(BA908="","",IF(AND(LEN(BA908)=10,SUMPRODUCT(--ISERROR(FIND(MID(BA908,{1,2,3,4,5,10},1),"ABCDEFGHIJKLMNOPQRSTUVWXYZ")))=0,SUMPRODUCT(--ISERROR(FIND(MID(BA908,{6,7,8,9},1),"0123456789")))=0),"OK","Wrong format"))</f>
        <v/>
      </c>
      <c r="AX908" s="29">
        <f>IF(TRIM(H908)="","",IF(AND(LEN(UPPER(TRIM(H908)))=10,SUMPRODUCT(--ISERROR(FIND(MID(UPPER(TRIM(H908)),{1,2,3,4,10},1),"ABCDEFGHIJKLMNOPQRSTUVWXYZ")))=0,SUMPRODUCT(--ISERROR(FIND(MID(UPPER(TRIM(H908)),{5,6,7,8,9},1),"0123456789")))=0),"OK","Wrong format"))</f>
        <v/>
      </c>
      <c r="AY908" s="30">
        <f>IF(NOT(COUNTA(A908:AE908)&gt;0),"",IF(BE908&lt;&gt;"","✖ "&amp;LEFT(BE908,LEN(BE908)-2),IF(BD908&gt;0,"✔ Ready — client + "&amp;BD908&amp;" service(s)","✔ Ready — client only")))</f>
        <v/>
      </c>
      <c r="AZ908" s="31">
        <f>UPPER(SUBSTITUTE(TRIM(F908)," ",""))</f>
        <v/>
      </c>
      <c r="BA908" s="31">
        <f>UPPER(SUBSTITUTE(TRIM(E908)," ",""))</f>
        <v/>
      </c>
      <c r="BB908" s="31">
        <f>IF(D908&lt;&gt;"",D908,IFERROR(VLOOKUP(MID(AS908,4,1),Lists!$E$2:$F$8,2,FALSE),""))</f>
        <v/>
      </c>
      <c r="BC908" s="31">
        <f>IFERROR(VLOOKUP(BB908,Lists!$A$2:$C$12,3,FALSE),"")</f>
        <v/>
      </c>
      <c r="BD908" s="31">
        <f>COUNTIF(W908:AC908,"Yes")</f>
        <v/>
      </c>
      <c r="BE908" s="31">
        <f>IF(TRIM(B908)="","Legal name missing; ","")&amp;IF(AND(AV908&lt;&gt;"",AV908&lt;&gt;"OK"),"GSTIN: "&amp;AV908&amp;"; ","")&amp;IF(AND(AW908&lt;&gt;"",AW908&lt;&gt;"OK"),"PAN wrong format; ","")&amp;IF(AND(BA908&lt;&gt;"",LEN(AZ908)=15,MID(AZ908,3,10)&lt;&gt;BA908),"PAN does not match GSTIN; ","")&amp;IF(AND(AX908&lt;&gt;"",AX908&lt;&gt;"OK"),"TAN wrong format; ","")&amp;IF(AS908="","PAN missing; ","")&amp;IF(BB908="","Entity type missing; ","")&amp;IF(AND(AZ908&lt;&gt;"",COUNTIF($AZ$6:$AZ$1005,AZ908)&gt;1),"GSTIN repeated in this sheet; ","")&amp;IF(AND(AS908&lt;&gt;"",COUNTIF($AS$6:$AS$1005,AS908)&gt;1),"PAN repeated in this sheet (same client? put extra GSTINs in Other GSTINs); ","")&amp;IF(AND(BD908&gt;0,V908=""),"Financial year missing; ","")&amp;IF(AND(BD908=0,V908&lt;&gt;""),"Financial year given but no service is Yes; ","")&amp;IF(AND(W908="Yes",AZ908=""),"GST needs a GSTIN; ","")&amp;IF(AND(W908="Yes",X908=""),"GST return frequency missing; ","")&amp;IF(AND(Y908="Yes",TRIM(H908)=""),"TDS needs a TAN; ","")&amp;IF(AND(AA908="Yes",BC908&lt;&gt;"",BC908&lt;&gt;"company",BC908&lt;&gt;"llp"),"ROC is only for a company / LLP; ","")&amp;IF(AND(AA908="Yes",OR(BC908="company",BC908="llp"),TRIM(I908)=""),"ROC needs the CIN / LLPIN; ","")&amp;IF((TRIM(AF908)="")&lt;&gt;(TRIM(AG908)=""),"GST login needs both user ID and password; ","")&amp;IF((TRIM(AH908)="")&lt;&gt;(TRIM(AI908)=""),"Income-tax login needs both user ID and password; ","")&amp;IF((TRIM(AJ908)="")&lt;&gt;(TRIM(AK908)=""),"Income-tax login needs both user ID and password; ","")&amp;IF((TRIM(AL908)="")&lt;&gt;(TRIM(AM908)=""),"TRACES login needs both user ID and password; ","")&amp;IF((TRIM(AN908)="")&lt;&gt;(TRIM(AO908)=""),"MCA login needs both user ID and password; ","")&amp;IF((TRIM(AP908)="")&lt;&gt;(TRIM(AQ908)=""),"E-way bill login needs both user ID and password; ","")</f>
        <v/>
      </c>
    </row>
    <row r="909">
      <c r="A909" s="32" t="n"/>
      <c r="B909" s="33" t="n"/>
      <c r="C909" s="33" t="n"/>
      <c r="D909" s="33" t="n"/>
      <c r="E909" s="32" t="n"/>
      <c r="F909" s="32" t="n"/>
      <c r="G909" s="32" t="n"/>
      <c r="H909" s="32" t="n"/>
      <c r="I909" s="32" t="n"/>
      <c r="J909" s="34" t="n"/>
      <c r="K909" s="33" t="n"/>
      <c r="L909" s="32" t="n"/>
      <c r="M909" s="33" t="n"/>
      <c r="N909" s="33" t="n"/>
      <c r="O909" s="33" t="n"/>
      <c r="P909" s="32" t="n"/>
      <c r="Q909" s="33" t="n"/>
      <c r="R909" s="33" t="n"/>
      <c r="S909" s="33" t="n"/>
      <c r="T909" s="33" t="n"/>
      <c r="U909" s="32" t="n"/>
      <c r="V909" s="33" t="n"/>
      <c r="W909" s="33" t="n"/>
      <c r="X909" s="33" t="n"/>
      <c r="Y909" s="33" t="n"/>
      <c r="Z909" s="33" t="n"/>
      <c r="AA909" s="33" t="n"/>
      <c r="AB909" s="33" t="n"/>
      <c r="AC909" s="33" t="n"/>
      <c r="AD909" s="33" t="n"/>
      <c r="AE909" s="33" t="n"/>
      <c r="AF909" s="32" t="n"/>
      <c r="AG909" s="32" t="n"/>
      <c r="AH909" s="32" t="n"/>
      <c r="AI909" s="32" t="n"/>
      <c r="AJ909" s="32" t="n"/>
      <c r="AK909" s="32" t="n"/>
      <c r="AL909" s="32" t="n"/>
      <c r="AM909" s="32" t="n"/>
      <c r="AN909" s="32" t="n"/>
      <c r="AO909" s="32" t="n"/>
      <c r="AP909" s="32" t="n"/>
      <c r="AQ909" s="32" t="n"/>
      <c r="AR909" s="29">
        <f>IF(NOT(COUNTA(A909:AE909)&gt;0),"",IF(A909="","New client","Update"))</f>
        <v/>
      </c>
      <c r="AS909" s="29">
        <f>IF(BA909&lt;&gt;"",BA909,IF(LEN(AZ909)=15,MID(AZ909,3,10),""))</f>
        <v/>
      </c>
      <c r="AT909" s="29">
        <f>IF(BB909="","",BB909&amp;IF(D909="","  (guessed from PAN)",""))</f>
        <v/>
      </c>
      <c r="AU909" s="29">
        <f>IF(AZ909="","",IFERROR(INDEX(Lists!$L$2:$L$38,MATCH(LEFT(AZ909,2),Lists!$K$2:$K$38,0)),"Unknown code"))</f>
        <v/>
      </c>
      <c r="AV909" s="29">
        <f>IF(AZ909="","",IFERROR(IF(NOT(AND(LEN(AZ909)=15,ISNUMBER(MATCH(LEFT(AZ909,2),Lists!$K$2:$K$38,0)),SUMPRODUCT(--ISERROR(FIND(MID(MID(AZ909,3,10),{1,2,3,4,5,10},1),"ABCDEFGHIJKLMNOPQRSTUVWXYZ")))=0,SUMPRODUCT(--ISERROR(FIND(MID(MID(AZ909,3,10),{6,7,8,9},1),"0123456789")))=0,ISNUMBER(FIND(MID(AZ909,13,1),"123456789ABCDEFGHIJKLMNOPQRSTUVWXYZ")),MID(AZ909,14,1)="Z")),"Wrong format",IF(MID("0123456789ABCDEFGHIJKLMNOPQRSTUVWXYZ",MOD(36-MOD(SUMPRODUCT(INT((FIND(MID(AZ909,{1,2,3,4,5,6,7,8,9,10,11,12,13,14},1),"0123456789ABCDEFGHIJKLMNOPQRSTUVWXYZ")-1)*{1,2,1,2,1,2,1,2,1,2,1,2,1,2}/36)+MOD((FIND(MID(AZ909,{1,2,3,4,5,6,7,8,9,10,11,12,13,14},1),"0123456789ABCDEFGHIJKLMNOPQRSTUVWXYZ")-1)*{1,2,1,2,1,2,1,2,1,2,1,2,1,2},36)),36),36)+1,1)=MID(AZ909,15,1),"OK","Typo? check digit wrong")),"Wrong format"))</f>
        <v/>
      </c>
      <c r="AW909" s="29">
        <f>IF(BA909="","",IF(AND(LEN(BA909)=10,SUMPRODUCT(--ISERROR(FIND(MID(BA909,{1,2,3,4,5,10},1),"ABCDEFGHIJKLMNOPQRSTUVWXYZ")))=0,SUMPRODUCT(--ISERROR(FIND(MID(BA909,{6,7,8,9},1),"0123456789")))=0),"OK","Wrong format"))</f>
        <v/>
      </c>
      <c r="AX909" s="29">
        <f>IF(TRIM(H909)="","",IF(AND(LEN(UPPER(TRIM(H909)))=10,SUMPRODUCT(--ISERROR(FIND(MID(UPPER(TRIM(H909)),{1,2,3,4,10},1),"ABCDEFGHIJKLMNOPQRSTUVWXYZ")))=0,SUMPRODUCT(--ISERROR(FIND(MID(UPPER(TRIM(H909)),{5,6,7,8,9},1),"0123456789")))=0),"OK","Wrong format"))</f>
        <v/>
      </c>
      <c r="AY909" s="30">
        <f>IF(NOT(COUNTA(A909:AE909)&gt;0),"",IF(BE909&lt;&gt;"","✖ "&amp;LEFT(BE909,LEN(BE909)-2),IF(BD909&gt;0,"✔ Ready — client + "&amp;BD909&amp;" service(s)","✔ Ready — client only")))</f>
        <v/>
      </c>
      <c r="AZ909" s="31">
        <f>UPPER(SUBSTITUTE(TRIM(F909)," ",""))</f>
        <v/>
      </c>
      <c r="BA909" s="31">
        <f>UPPER(SUBSTITUTE(TRIM(E909)," ",""))</f>
        <v/>
      </c>
      <c r="BB909" s="31">
        <f>IF(D909&lt;&gt;"",D909,IFERROR(VLOOKUP(MID(AS909,4,1),Lists!$E$2:$F$8,2,FALSE),""))</f>
        <v/>
      </c>
      <c r="BC909" s="31">
        <f>IFERROR(VLOOKUP(BB909,Lists!$A$2:$C$12,3,FALSE),"")</f>
        <v/>
      </c>
      <c r="BD909" s="31">
        <f>COUNTIF(W909:AC909,"Yes")</f>
        <v/>
      </c>
      <c r="BE909" s="31">
        <f>IF(TRIM(B909)="","Legal name missing; ","")&amp;IF(AND(AV909&lt;&gt;"",AV909&lt;&gt;"OK"),"GSTIN: "&amp;AV909&amp;"; ","")&amp;IF(AND(AW909&lt;&gt;"",AW909&lt;&gt;"OK"),"PAN wrong format; ","")&amp;IF(AND(BA909&lt;&gt;"",LEN(AZ909)=15,MID(AZ909,3,10)&lt;&gt;BA909),"PAN does not match GSTIN; ","")&amp;IF(AND(AX909&lt;&gt;"",AX909&lt;&gt;"OK"),"TAN wrong format; ","")&amp;IF(AS909="","PAN missing; ","")&amp;IF(BB909="","Entity type missing; ","")&amp;IF(AND(AZ909&lt;&gt;"",COUNTIF($AZ$6:$AZ$1005,AZ909)&gt;1),"GSTIN repeated in this sheet; ","")&amp;IF(AND(AS909&lt;&gt;"",COUNTIF($AS$6:$AS$1005,AS909)&gt;1),"PAN repeated in this sheet (same client? put extra GSTINs in Other GSTINs); ","")&amp;IF(AND(BD909&gt;0,V909=""),"Financial year missing; ","")&amp;IF(AND(BD909=0,V909&lt;&gt;""),"Financial year given but no service is Yes; ","")&amp;IF(AND(W909="Yes",AZ909=""),"GST needs a GSTIN; ","")&amp;IF(AND(W909="Yes",X909=""),"GST return frequency missing; ","")&amp;IF(AND(Y909="Yes",TRIM(H909)=""),"TDS needs a TAN; ","")&amp;IF(AND(AA909="Yes",BC909&lt;&gt;"",BC909&lt;&gt;"company",BC909&lt;&gt;"llp"),"ROC is only for a company / LLP; ","")&amp;IF(AND(AA909="Yes",OR(BC909="company",BC909="llp"),TRIM(I909)=""),"ROC needs the CIN / LLPIN; ","")&amp;IF((TRIM(AF909)="")&lt;&gt;(TRIM(AG909)=""),"GST login needs both user ID and password; ","")&amp;IF((TRIM(AH909)="")&lt;&gt;(TRIM(AI909)=""),"Income-tax login needs both user ID and password; ","")&amp;IF((TRIM(AJ909)="")&lt;&gt;(TRIM(AK909)=""),"Income-tax login needs both user ID and password; ","")&amp;IF((TRIM(AL909)="")&lt;&gt;(TRIM(AM909)=""),"TRACES login needs both user ID and password; ","")&amp;IF((TRIM(AN909)="")&lt;&gt;(TRIM(AO909)=""),"MCA login needs both user ID and password; ","")&amp;IF((TRIM(AP909)="")&lt;&gt;(TRIM(AQ909)=""),"E-way bill login needs both user ID and password; ","")</f>
        <v/>
      </c>
    </row>
    <row r="910">
      <c r="A910" s="32" t="n"/>
      <c r="B910" s="33" t="n"/>
      <c r="C910" s="33" t="n"/>
      <c r="D910" s="33" t="n"/>
      <c r="E910" s="32" t="n"/>
      <c r="F910" s="32" t="n"/>
      <c r="G910" s="32" t="n"/>
      <c r="H910" s="32" t="n"/>
      <c r="I910" s="32" t="n"/>
      <c r="J910" s="34" t="n"/>
      <c r="K910" s="33" t="n"/>
      <c r="L910" s="32" t="n"/>
      <c r="M910" s="33" t="n"/>
      <c r="N910" s="33" t="n"/>
      <c r="O910" s="33" t="n"/>
      <c r="P910" s="32" t="n"/>
      <c r="Q910" s="33" t="n"/>
      <c r="R910" s="33" t="n"/>
      <c r="S910" s="33" t="n"/>
      <c r="T910" s="33" t="n"/>
      <c r="U910" s="32" t="n"/>
      <c r="V910" s="33" t="n"/>
      <c r="W910" s="33" t="n"/>
      <c r="X910" s="33" t="n"/>
      <c r="Y910" s="33" t="n"/>
      <c r="Z910" s="33" t="n"/>
      <c r="AA910" s="33" t="n"/>
      <c r="AB910" s="33" t="n"/>
      <c r="AC910" s="33" t="n"/>
      <c r="AD910" s="33" t="n"/>
      <c r="AE910" s="33" t="n"/>
      <c r="AF910" s="32" t="n"/>
      <c r="AG910" s="32" t="n"/>
      <c r="AH910" s="32" t="n"/>
      <c r="AI910" s="32" t="n"/>
      <c r="AJ910" s="32" t="n"/>
      <c r="AK910" s="32" t="n"/>
      <c r="AL910" s="32" t="n"/>
      <c r="AM910" s="32" t="n"/>
      <c r="AN910" s="32" t="n"/>
      <c r="AO910" s="32" t="n"/>
      <c r="AP910" s="32" t="n"/>
      <c r="AQ910" s="32" t="n"/>
      <c r="AR910" s="29">
        <f>IF(NOT(COUNTA(A910:AE910)&gt;0),"",IF(A910="","New client","Update"))</f>
        <v/>
      </c>
      <c r="AS910" s="29">
        <f>IF(BA910&lt;&gt;"",BA910,IF(LEN(AZ910)=15,MID(AZ910,3,10),""))</f>
        <v/>
      </c>
      <c r="AT910" s="29">
        <f>IF(BB910="","",BB910&amp;IF(D910="","  (guessed from PAN)",""))</f>
        <v/>
      </c>
      <c r="AU910" s="29">
        <f>IF(AZ910="","",IFERROR(INDEX(Lists!$L$2:$L$38,MATCH(LEFT(AZ910,2),Lists!$K$2:$K$38,0)),"Unknown code"))</f>
        <v/>
      </c>
      <c r="AV910" s="29">
        <f>IF(AZ910="","",IFERROR(IF(NOT(AND(LEN(AZ910)=15,ISNUMBER(MATCH(LEFT(AZ910,2),Lists!$K$2:$K$38,0)),SUMPRODUCT(--ISERROR(FIND(MID(MID(AZ910,3,10),{1,2,3,4,5,10},1),"ABCDEFGHIJKLMNOPQRSTUVWXYZ")))=0,SUMPRODUCT(--ISERROR(FIND(MID(MID(AZ910,3,10),{6,7,8,9},1),"0123456789")))=0,ISNUMBER(FIND(MID(AZ910,13,1),"123456789ABCDEFGHIJKLMNOPQRSTUVWXYZ")),MID(AZ910,14,1)="Z")),"Wrong format",IF(MID("0123456789ABCDEFGHIJKLMNOPQRSTUVWXYZ",MOD(36-MOD(SUMPRODUCT(INT((FIND(MID(AZ910,{1,2,3,4,5,6,7,8,9,10,11,12,13,14},1),"0123456789ABCDEFGHIJKLMNOPQRSTUVWXYZ")-1)*{1,2,1,2,1,2,1,2,1,2,1,2,1,2}/36)+MOD((FIND(MID(AZ910,{1,2,3,4,5,6,7,8,9,10,11,12,13,14},1),"0123456789ABCDEFGHIJKLMNOPQRSTUVWXYZ")-1)*{1,2,1,2,1,2,1,2,1,2,1,2,1,2},36)),36),36)+1,1)=MID(AZ910,15,1),"OK","Typo? check digit wrong")),"Wrong format"))</f>
        <v/>
      </c>
      <c r="AW910" s="29">
        <f>IF(BA910="","",IF(AND(LEN(BA910)=10,SUMPRODUCT(--ISERROR(FIND(MID(BA910,{1,2,3,4,5,10},1),"ABCDEFGHIJKLMNOPQRSTUVWXYZ")))=0,SUMPRODUCT(--ISERROR(FIND(MID(BA910,{6,7,8,9},1),"0123456789")))=0),"OK","Wrong format"))</f>
        <v/>
      </c>
      <c r="AX910" s="29">
        <f>IF(TRIM(H910)="","",IF(AND(LEN(UPPER(TRIM(H910)))=10,SUMPRODUCT(--ISERROR(FIND(MID(UPPER(TRIM(H910)),{1,2,3,4,10},1),"ABCDEFGHIJKLMNOPQRSTUVWXYZ")))=0,SUMPRODUCT(--ISERROR(FIND(MID(UPPER(TRIM(H910)),{5,6,7,8,9},1),"0123456789")))=0),"OK","Wrong format"))</f>
        <v/>
      </c>
      <c r="AY910" s="30">
        <f>IF(NOT(COUNTA(A910:AE910)&gt;0),"",IF(BE910&lt;&gt;"","✖ "&amp;LEFT(BE910,LEN(BE910)-2),IF(BD910&gt;0,"✔ Ready — client + "&amp;BD910&amp;" service(s)","✔ Ready — client only")))</f>
        <v/>
      </c>
      <c r="AZ910" s="31">
        <f>UPPER(SUBSTITUTE(TRIM(F910)," ",""))</f>
        <v/>
      </c>
      <c r="BA910" s="31">
        <f>UPPER(SUBSTITUTE(TRIM(E910)," ",""))</f>
        <v/>
      </c>
      <c r="BB910" s="31">
        <f>IF(D910&lt;&gt;"",D910,IFERROR(VLOOKUP(MID(AS910,4,1),Lists!$E$2:$F$8,2,FALSE),""))</f>
        <v/>
      </c>
      <c r="BC910" s="31">
        <f>IFERROR(VLOOKUP(BB910,Lists!$A$2:$C$12,3,FALSE),"")</f>
        <v/>
      </c>
      <c r="BD910" s="31">
        <f>COUNTIF(W910:AC910,"Yes")</f>
        <v/>
      </c>
      <c r="BE910" s="31">
        <f>IF(TRIM(B910)="","Legal name missing; ","")&amp;IF(AND(AV910&lt;&gt;"",AV910&lt;&gt;"OK"),"GSTIN: "&amp;AV910&amp;"; ","")&amp;IF(AND(AW910&lt;&gt;"",AW910&lt;&gt;"OK"),"PAN wrong format; ","")&amp;IF(AND(BA910&lt;&gt;"",LEN(AZ910)=15,MID(AZ910,3,10)&lt;&gt;BA910),"PAN does not match GSTIN; ","")&amp;IF(AND(AX910&lt;&gt;"",AX910&lt;&gt;"OK"),"TAN wrong format; ","")&amp;IF(AS910="","PAN missing; ","")&amp;IF(BB910="","Entity type missing; ","")&amp;IF(AND(AZ910&lt;&gt;"",COUNTIF($AZ$6:$AZ$1005,AZ910)&gt;1),"GSTIN repeated in this sheet; ","")&amp;IF(AND(AS910&lt;&gt;"",COUNTIF($AS$6:$AS$1005,AS910)&gt;1),"PAN repeated in this sheet (same client? put extra GSTINs in Other GSTINs); ","")&amp;IF(AND(BD910&gt;0,V910=""),"Financial year missing; ","")&amp;IF(AND(BD910=0,V910&lt;&gt;""),"Financial year given but no service is Yes; ","")&amp;IF(AND(W910="Yes",AZ910=""),"GST needs a GSTIN; ","")&amp;IF(AND(W910="Yes",X910=""),"GST return frequency missing; ","")&amp;IF(AND(Y910="Yes",TRIM(H910)=""),"TDS needs a TAN; ","")&amp;IF(AND(AA910="Yes",BC910&lt;&gt;"",BC910&lt;&gt;"company",BC910&lt;&gt;"llp"),"ROC is only for a company / LLP; ","")&amp;IF(AND(AA910="Yes",OR(BC910="company",BC910="llp"),TRIM(I910)=""),"ROC needs the CIN / LLPIN; ","")&amp;IF((TRIM(AF910)="")&lt;&gt;(TRIM(AG910)=""),"GST login needs both user ID and password; ","")&amp;IF((TRIM(AH910)="")&lt;&gt;(TRIM(AI910)=""),"Income-tax login needs both user ID and password; ","")&amp;IF((TRIM(AJ910)="")&lt;&gt;(TRIM(AK910)=""),"Income-tax login needs both user ID and password; ","")&amp;IF((TRIM(AL910)="")&lt;&gt;(TRIM(AM910)=""),"TRACES login needs both user ID and password; ","")&amp;IF((TRIM(AN910)="")&lt;&gt;(TRIM(AO910)=""),"MCA login needs both user ID and password; ","")&amp;IF((TRIM(AP910)="")&lt;&gt;(TRIM(AQ910)=""),"E-way bill login needs both user ID and password; ","")</f>
        <v/>
      </c>
    </row>
    <row r="911">
      <c r="A911" s="32" t="n"/>
      <c r="B911" s="33" t="n"/>
      <c r="C911" s="33" t="n"/>
      <c r="D911" s="33" t="n"/>
      <c r="E911" s="32" t="n"/>
      <c r="F911" s="32" t="n"/>
      <c r="G911" s="32" t="n"/>
      <c r="H911" s="32" t="n"/>
      <c r="I911" s="32" t="n"/>
      <c r="J911" s="34" t="n"/>
      <c r="K911" s="33" t="n"/>
      <c r="L911" s="32" t="n"/>
      <c r="M911" s="33" t="n"/>
      <c r="N911" s="33" t="n"/>
      <c r="O911" s="33" t="n"/>
      <c r="P911" s="32" t="n"/>
      <c r="Q911" s="33" t="n"/>
      <c r="R911" s="33" t="n"/>
      <c r="S911" s="33" t="n"/>
      <c r="T911" s="33" t="n"/>
      <c r="U911" s="32" t="n"/>
      <c r="V911" s="33" t="n"/>
      <c r="W911" s="33" t="n"/>
      <c r="X911" s="33" t="n"/>
      <c r="Y911" s="33" t="n"/>
      <c r="Z911" s="33" t="n"/>
      <c r="AA911" s="33" t="n"/>
      <c r="AB911" s="33" t="n"/>
      <c r="AC911" s="33" t="n"/>
      <c r="AD911" s="33" t="n"/>
      <c r="AE911" s="33" t="n"/>
      <c r="AF911" s="32" t="n"/>
      <c r="AG911" s="32" t="n"/>
      <c r="AH911" s="32" t="n"/>
      <c r="AI911" s="32" t="n"/>
      <c r="AJ911" s="32" t="n"/>
      <c r="AK911" s="32" t="n"/>
      <c r="AL911" s="32" t="n"/>
      <c r="AM911" s="32" t="n"/>
      <c r="AN911" s="32" t="n"/>
      <c r="AO911" s="32" t="n"/>
      <c r="AP911" s="32" t="n"/>
      <c r="AQ911" s="32" t="n"/>
      <c r="AR911" s="29">
        <f>IF(NOT(COUNTA(A911:AE911)&gt;0),"",IF(A911="","New client","Update"))</f>
        <v/>
      </c>
      <c r="AS911" s="29">
        <f>IF(BA911&lt;&gt;"",BA911,IF(LEN(AZ911)=15,MID(AZ911,3,10),""))</f>
        <v/>
      </c>
      <c r="AT911" s="29">
        <f>IF(BB911="","",BB911&amp;IF(D911="","  (guessed from PAN)",""))</f>
        <v/>
      </c>
      <c r="AU911" s="29">
        <f>IF(AZ911="","",IFERROR(INDEX(Lists!$L$2:$L$38,MATCH(LEFT(AZ911,2),Lists!$K$2:$K$38,0)),"Unknown code"))</f>
        <v/>
      </c>
      <c r="AV911" s="29">
        <f>IF(AZ911="","",IFERROR(IF(NOT(AND(LEN(AZ911)=15,ISNUMBER(MATCH(LEFT(AZ911,2),Lists!$K$2:$K$38,0)),SUMPRODUCT(--ISERROR(FIND(MID(MID(AZ911,3,10),{1,2,3,4,5,10},1),"ABCDEFGHIJKLMNOPQRSTUVWXYZ")))=0,SUMPRODUCT(--ISERROR(FIND(MID(MID(AZ911,3,10),{6,7,8,9},1),"0123456789")))=0,ISNUMBER(FIND(MID(AZ911,13,1),"123456789ABCDEFGHIJKLMNOPQRSTUVWXYZ")),MID(AZ911,14,1)="Z")),"Wrong format",IF(MID("0123456789ABCDEFGHIJKLMNOPQRSTUVWXYZ",MOD(36-MOD(SUMPRODUCT(INT((FIND(MID(AZ911,{1,2,3,4,5,6,7,8,9,10,11,12,13,14},1),"0123456789ABCDEFGHIJKLMNOPQRSTUVWXYZ")-1)*{1,2,1,2,1,2,1,2,1,2,1,2,1,2}/36)+MOD((FIND(MID(AZ911,{1,2,3,4,5,6,7,8,9,10,11,12,13,14},1),"0123456789ABCDEFGHIJKLMNOPQRSTUVWXYZ")-1)*{1,2,1,2,1,2,1,2,1,2,1,2,1,2},36)),36),36)+1,1)=MID(AZ911,15,1),"OK","Typo? check digit wrong")),"Wrong format"))</f>
        <v/>
      </c>
      <c r="AW911" s="29">
        <f>IF(BA911="","",IF(AND(LEN(BA911)=10,SUMPRODUCT(--ISERROR(FIND(MID(BA911,{1,2,3,4,5,10},1),"ABCDEFGHIJKLMNOPQRSTUVWXYZ")))=0,SUMPRODUCT(--ISERROR(FIND(MID(BA911,{6,7,8,9},1),"0123456789")))=0),"OK","Wrong format"))</f>
        <v/>
      </c>
      <c r="AX911" s="29">
        <f>IF(TRIM(H911)="","",IF(AND(LEN(UPPER(TRIM(H911)))=10,SUMPRODUCT(--ISERROR(FIND(MID(UPPER(TRIM(H911)),{1,2,3,4,10},1),"ABCDEFGHIJKLMNOPQRSTUVWXYZ")))=0,SUMPRODUCT(--ISERROR(FIND(MID(UPPER(TRIM(H911)),{5,6,7,8,9},1),"0123456789")))=0),"OK","Wrong format"))</f>
        <v/>
      </c>
      <c r="AY911" s="30">
        <f>IF(NOT(COUNTA(A911:AE911)&gt;0),"",IF(BE911&lt;&gt;"","✖ "&amp;LEFT(BE911,LEN(BE911)-2),IF(BD911&gt;0,"✔ Ready — client + "&amp;BD911&amp;" service(s)","✔ Ready — client only")))</f>
        <v/>
      </c>
      <c r="AZ911" s="31">
        <f>UPPER(SUBSTITUTE(TRIM(F911)," ",""))</f>
        <v/>
      </c>
      <c r="BA911" s="31">
        <f>UPPER(SUBSTITUTE(TRIM(E911)," ",""))</f>
        <v/>
      </c>
      <c r="BB911" s="31">
        <f>IF(D911&lt;&gt;"",D911,IFERROR(VLOOKUP(MID(AS911,4,1),Lists!$E$2:$F$8,2,FALSE),""))</f>
        <v/>
      </c>
      <c r="BC911" s="31">
        <f>IFERROR(VLOOKUP(BB911,Lists!$A$2:$C$12,3,FALSE),"")</f>
        <v/>
      </c>
      <c r="BD911" s="31">
        <f>COUNTIF(W911:AC911,"Yes")</f>
        <v/>
      </c>
      <c r="BE911" s="31">
        <f>IF(TRIM(B911)="","Legal name missing; ","")&amp;IF(AND(AV911&lt;&gt;"",AV911&lt;&gt;"OK"),"GSTIN: "&amp;AV911&amp;"; ","")&amp;IF(AND(AW911&lt;&gt;"",AW911&lt;&gt;"OK"),"PAN wrong format; ","")&amp;IF(AND(BA911&lt;&gt;"",LEN(AZ911)=15,MID(AZ911,3,10)&lt;&gt;BA911),"PAN does not match GSTIN; ","")&amp;IF(AND(AX911&lt;&gt;"",AX911&lt;&gt;"OK"),"TAN wrong format; ","")&amp;IF(AS911="","PAN missing; ","")&amp;IF(BB911="","Entity type missing; ","")&amp;IF(AND(AZ911&lt;&gt;"",COUNTIF($AZ$6:$AZ$1005,AZ911)&gt;1),"GSTIN repeated in this sheet; ","")&amp;IF(AND(AS911&lt;&gt;"",COUNTIF($AS$6:$AS$1005,AS911)&gt;1),"PAN repeated in this sheet (same client? put extra GSTINs in Other GSTINs); ","")&amp;IF(AND(BD911&gt;0,V911=""),"Financial year missing; ","")&amp;IF(AND(BD911=0,V911&lt;&gt;""),"Financial year given but no service is Yes; ","")&amp;IF(AND(W911="Yes",AZ911=""),"GST needs a GSTIN; ","")&amp;IF(AND(W911="Yes",X911=""),"GST return frequency missing; ","")&amp;IF(AND(Y911="Yes",TRIM(H911)=""),"TDS needs a TAN; ","")&amp;IF(AND(AA911="Yes",BC911&lt;&gt;"",BC911&lt;&gt;"company",BC911&lt;&gt;"llp"),"ROC is only for a company / LLP; ","")&amp;IF(AND(AA911="Yes",OR(BC911="company",BC911="llp"),TRIM(I911)=""),"ROC needs the CIN / LLPIN; ","")&amp;IF((TRIM(AF911)="")&lt;&gt;(TRIM(AG911)=""),"GST login needs both user ID and password; ","")&amp;IF((TRIM(AH911)="")&lt;&gt;(TRIM(AI911)=""),"Income-tax login needs both user ID and password; ","")&amp;IF((TRIM(AJ911)="")&lt;&gt;(TRIM(AK911)=""),"Income-tax login needs both user ID and password; ","")&amp;IF((TRIM(AL911)="")&lt;&gt;(TRIM(AM911)=""),"TRACES login needs both user ID and password; ","")&amp;IF((TRIM(AN911)="")&lt;&gt;(TRIM(AO911)=""),"MCA login needs both user ID and password; ","")&amp;IF((TRIM(AP911)="")&lt;&gt;(TRIM(AQ911)=""),"E-way bill login needs both user ID and password; ","")</f>
        <v/>
      </c>
    </row>
    <row r="912">
      <c r="A912" s="32" t="n"/>
      <c r="B912" s="33" t="n"/>
      <c r="C912" s="33" t="n"/>
      <c r="D912" s="33" t="n"/>
      <c r="E912" s="32" t="n"/>
      <c r="F912" s="32" t="n"/>
      <c r="G912" s="32" t="n"/>
      <c r="H912" s="32" t="n"/>
      <c r="I912" s="32" t="n"/>
      <c r="J912" s="34" t="n"/>
      <c r="K912" s="33" t="n"/>
      <c r="L912" s="32" t="n"/>
      <c r="M912" s="33" t="n"/>
      <c r="N912" s="33" t="n"/>
      <c r="O912" s="33" t="n"/>
      <c r="P912" s="32" t="n"/>
      <c r="Q912" s="33" t="n"/>
      <c r="R912" s="33" t="n"/>
      <c r="S912" s="33" t="n"/>
      <c r="T912" s="33" t="n"/>
      <c r="U912" s="32" t="n"/>
      <c r="V912" s="33" t="n"/>
      <c r="W912" s="33" t="n"/>
      <c r="X912" s="33" t="n"/>
      <c r="Y912" s="33" t="n"/>
      <c r="Z912" s="33" t="n"/>
      <c r="AA912" s="33" t="n"/>
      <c r="AB912" s="33" t="n"/>
      <c r="AC912" s="33" t="n"/>
      <c r="AD912" s="33" t="n"/>
      <c r="AE912" s="33" t="n"/>
      <c r="AF912" s="32" t="n"/>
      <c r="AG912" s="32" t="n"/>
      <c r="AH912" s="32" t="n"/>
      <c r="AI912" s="32" t="n"/>
      <c r="AJ912" s="32" t="n"/>
      <c r="AK912" s="32" t="n"/>
      <c r="AL912" s="32" t="n"/>
      <c r="AM912" s="32" t="n"/>
      <c r="AN912" s="32" t="n"/>
      <c r="AO912" s="32" t="n"/>
      <c r="AP912" s="32" t="n"/>
      <c r="AQ912" s="32" t="n"/>
      <c r="AR912" s="29">
        <f>IF(NOT(COUNTA(A912:AE912)&gt;0),"",IF(A912="","New client","Update"))</f>
        <v/>
      </c>
      <c r="AS912" s="29">
        <f>IF(BA912&lt;&gt;"",BA912,IF(LEN(AZ912)=15,MID(AZ912,3,10),""))</f>
        <v/>
      </c>
      <c r="AT912" s="29">
        <f>IF(BB912="","",BB912&amp;IF(D912="","  (guessed from PAN)",""))</f>
        <v/>
      </c>
      <c r="AU912" s="29">
        <f>IF(AZ912="","",IFERROR(INDEX(Lists!$L$2:$L$38,MATCH(LEFT(AZ912,2),Lists!$K$2:$K$38,0)),"Unknown code"))</f>
        <v/>
      </c>
      <c r="AV912" s="29">
        <f>IF(AZ912="","",IFERROR(IF(NOT(AND(LEN(AZ912)=15,ISNUMBER(MATCH(LEFT(AZ912,2),Lists!$K$2:$K$38,0)),SUMPRODUCT(--ISERROR(FIND(MID(MID(AZ912,3,10),{1,2,3,4,5,10},1),"ABCDEFGHIJKLMNOPQRSTUVWXYZ")))=0,SUMPRODUCT(--ISERROR(FIND(MID(MID(AZ912,3,10),{6,7,8,9},1),"0123456789")))=0,ISNUMBER(FIND(MID(AZ912,13,1),"123456789ABCDEFGHIJKLMNOPQRSTUVWXYZ")),MID(AZ912,14,1)="Z")),"Wrong format",IF(MID("0123456789ABCDEFGHIJKLMNOPQRSTUVWXYZ",MOD(36-MOD(SUMPRODUCT(INT((FIND(MID(AZ912,{1,2,3,4,5,6,7,8,9,10,11,12,13,14},1),"0123456789ABCDEFGHIJKLMNOPQRSTUVWXYZ")-1)*{1,2,1,2,1,2,1,2,1,2,1,2,1,2}/36)+MOD((FIND(MID(AZ912,{1,2,3,4,5,6,7,8,9,10,11,12,13,14},1),"0123456789ABCDEFGHIJKLMNOPQRSTUVWXYZ")-1)*{1,2,1,2,1,2,1,2,1,2,1,2,1,2},36)),36),36)+1,1)=MID(AZ912,15,1),"OK","Typo? check digit wrong")),"Wrong format"))</f>
        <v/>
      </c>
      <c r="AW912" s="29">
        <f>IF(BA912="","",IF(AND(LEN(BA912)=10,SUMPRODUCT(--ISERROR(FIND(MID(BA912,{1,2,3,4,5,10},1),"ABCDEFGHIJKLMNOPQRSTUVWXYZ")))=0,SUMPRODUCT(--ISERROR(FIND(MID(BA912,{6,7,8,9},1),"0123456789")))=0),"OK","Wrong format"))</f>
        <v/>
      </c>
      <c r="AX912" s="29">
        <f>IF(TRIM(H912)="","",IF(AND(LEN(UPPER(TRIM(H912)))=10,SUMPRODUCT(--ISERROR(FIND(MID(UPPER(TRIM(H912)),{1,2,3,4,10},1),"ABCDEFGHIJKLMNOPQRSTUVWXYZ")))=0,SUMPRODUCT(--ISERROR(FIND(MID(UPPER(TRIM(H912)),{5,6,7,8,9},1),"0123456789")))=0),"OK","Wrong format"))</f>
        <v/>
      </c>
      <c r="AY912" s="30">
        <f>IF(NOT(COUNTA(A912:AE912)&gt;0),"",IF(BE912&lt;&gt;"","✖ "&amp;LEFT(BE912,LEN(BE912)-2),IF(BD912&gt;0,"✔ Ready — client + "&amp;BD912&amp;" service(s)","✔ Ready — client only")))</f>
        <v/>
      </c>
      <c r="AZ912" s="31">
        <f>UPPER(SUBSTITUTE(TRIM(F912)," ",""))</f>
        <v/>
      </c>
      <c r="BA912" s="31">
        <f>UPPER(SUBSTITUTE(TRIM(E912)," ",""))</f>
        <v/>
      </c>
      <c r="BB912" s="31">
        <f>IF(D912&lt;&gt;"",D912,IFERROR(VLOOKUP(MID(AS912,4,1),Lists!$E$2:$F$8,2,FALSE),""))</f>
        <v/>
      </c>
      <c r="BC912" s="31">
        <f>IFERROR(VLOOKUP(BB912,Lists!$A$2:$C$12,3,FALSE),"")</f>
        <v/>
      </c>
      <c r="BD912" s="31">
        <f>COUNTIF(W912:AC912,"Yes")</f>
        <v/>
      </c>
      <c r="BE912" s="31">
        <f>IF(TRIM(B912)="","Legal name missing; ","")&amp;IF(AND(AV912&lt;&gt;"",AV912&lt;&gt;"OK"),"GSTIN: "&amp;AV912&amp;"; ","")&amp;IF(AND(AW912&lt;&gt;"",AW912&lt;&gt;"OK"),"PAN wrong format; ","")&amp;IF(AND(BA912&lt;&gt;"",LEN(AZ912)=15,MID(AZ912,3,10)&lt;&gt;BA912),"PAN does not match GSTIN; ","")&amp;IF(AND(AX912&lt;&gt;"",AX912&lt;&gt;"OK"),"TAN wrong format; ","")&amp;IF(AS912="","PAN missing; ","")&amp;IF(BB912="","Entity type missing; ","")&amp;IF(AND(AZ912&lt;&gt;"",COUNTIF($AZ$6:$AZ$1005,AZ912)&gt;1),"GSTIN repeated in this sheet; ","")&amp;IF(AND(AS912&lt;&gt;"",COUNTIF($AS$6:$AS$1005,AS912)&gt;1),"PAN repeated in this sheet (same client? put extra GSTINs in Other GSTINs); ","")&amp;IF(AND(BD912&gt;0,V912=""),"Financial year missing; ","")&amp;IF(AND(BD912=0,V912&lt;&gt;""),"Financial year given but no service is Yes; ","")&amp;IF(AND(W912="Yes",AZ912=""),"GST needs a GSTIN; ","")&amp;IF(AND(W912="Yes",X912=""),"GST return frequency missing; ","")&amp;IF(AND(Y912="Yes",TRIM(H912)=""),"TDS needs a TAN; ","")&amp;IF(AND(AA912="Yes",BC912&lt;&gt;"",BC912&lt;&gt;"company",BC912&lt;&gt;"llp"),"ROC is only for a company / LLP; ","")&amp;IF(AND(AA912="Yes",OR(BC912="company",BC912="llp"),TRIM(I912)=""),"ROC needs the CIN / LLPIN; ","")&amp;IF((TRIM(AF912)="")&lt;&gt;(TRIM(AG912)=""),"GST login needs both user ID and password; ","")&amp;IF((TRIM(AH912)="")&lt;&gt;(TRIM(AI912)=""),"Income-tax login needs both user ID and password; ","")&amp;IF((TRIM(AJ912)="")&lt;&gt;(TRIM(AK912)=""),"Income-tax login needs both user ID and password; ","")&amp;IF((TRIM(AL912)="")&lt;&gt;(TRIM(AM912)=""),"TRACES login needs both user ID and password; ","")&amp;IF((TRIM(AN912)="")&lt;&gt;(TRIM(AO912)=""),"MCA login needs both user ID and password; ","")&amp;IF((TRIM(AP912)="")&lt;&gt;(TRIM(AQ912)=""),"E-way bill login needs both user ID and password; ","")</f>
        <v/>
      </c>
    </row>
    <row r="913">
      <c r="A913" s="32" t="n"/>
      <c r="B913" s="33" t="n"/>
      <c r="C913" s="33" t="n"/>
      <c r="D913" s="33" t="n"/>
      <c r="E913" s="32" t="n"/>
      <c r="F913" s="32" t="n"/>
      <c r="G913" s="32" t="n"/>
      <c r="H913" s="32" t="n"/>
      <c r="I913" s="32" t="n"/>
      <c r="J913" s="34" t="n"/>
      <c r="K913" s="33" t="n"/>
      <c r="L913" s="32" t="n"/>
      <c r="M913" s="33" t="n"/>
      <c r="N913" s="33" t="n"/>
      <c r="O913" s="33" t="n"/>
      <c r="P913" s="32" t="n"/>
      <c r="Q913" s="33" t="n"/>
      <c r="R913" s="33" t="n"/>
      <c r="S913" s="33" t="n"/>
      <c r="T913" s="33" t="n"/>
      <c r="U913" s="32" t="n"/>
      <c r="V913" s="33" t="n"/>
      <c r="W913" s="33" t="n"/>
      <c r="X913" s="33" t="n"/>
      <c r="Y913" s="33" t="n"/>
      <c r="Z913" s="33" t="n"/>
      <c r="AA913" s="33" t="n"/>
      <c r="AB913" s="33" t="n"/>
      <c r="AC913" s="33" t="n"/>
      <c r="AD913" s="33" t="n"/>
      <c r="AE913" s="33" t="n"/>
      <c r="AF913" s="32" t="n"/>
      <c r="AG913" s="32" t="n"/>
      <c r="AH913" s="32" t="n"/>
      <c r="AI913" s="32" t="n"/>
      <c r="AJ913" s="32" t="n"/>
      <c r="AK913" s="32" t="n"/>
      <c r="AL913" s="32" t="n"/>
      <c r="AM913" s="32" t="n"/>
      <c r="AN913" s="32" t="n"/>
      <c r="AO913" s="32" t="n"/>
      <c r="AP913" s="32" t="n"/>
      <c r="AQ913" s="32" t="n"/>
      <c r="AR913" s="29">
        <f>IF(NOT(COUNTA(A913:AE913)&gt;0),"",IF(A913="","New client","Update"))</f>
        <v/>
      </c>
      <c r="AS913" s="29">
        <f>IF(BA913&lt;&gt;"",BA913,IF(LEN(AZ913)=15,MID(AZ913,3,10),""))</f>
        <v/>
      </c>
      <c r="AT913" s="29">
        <f>IF(BB913="","",BB913&amp;IF(D913="","  (guessed from PAN)",""))</f>
        <v/>
      </c>
      <c r="AU913" s="29">
        <f>IF(AZ913="","",IFERROR(INDEX(Lists!$L$2:$L$38,MATCH(LEFT(AZ913,2),Lists!$K$2:$K$38,0)),"Unknown code"))</f>
        <v/>
      </c>
      <c r="AV913" s="29">
        <f>IF(AZ913="","",IFERROR(IF(NOT(AND(LEN(AZ913)=15,ISNUMBER(MATCH(LEFT(AZ913,2),Lists!$K$2:$K$38,0)),SUMPRODUCT(--ISERROR(FIND(MID(MID(AZ913,3,10),{1,2,3,4,5,10},1),"ABCDEFGHIJKLMNOPQRSTUVWXYZ")))=0,SUMPRODUCT(--ISERROR(FIND(MID(MID(AZ913,3,10),{6,7,8,9},1),"0123456789")))=0,ISNUMBER(FIND(MID(AZ913,13,1),"123456789ABCDEFGHIJKLMNOPQRSTUVWXYZ")),MID(AZ913,14,1)="Z")),"Wrong format",IF(MID("0123456789ABCDEFGHIJKLMNOPQRSTUVWXYZ",MOD(36-MOD(SUMPRODUCT(INT((FIND(MID(AZ913,{1,2,3,4,5,6,7,8,9,10,11,12,13,14},1),"0123456789ABCDEFGHIJKLMNOPQRSTUVWXYZ")-1)*{1,2,1,2,1,2,1,2,1,2,1,2,1,2}/36)+MOD((FIND(MID(AZ913,{1,2,3,4,5,6,7,8,9,10,11,12,13,14},1),"0123456789ABCDEFGHIJKLMNOPQRSTUVWXYZ")-1)*{1,2,1,2,1,2,1,2,1,2,1,2,1,2},36)),36),36)+1,1)=MID(AZ913,15,1),"OK","Typo? check digit wrong")),"Wrong format"))</f>
        <v/>
      </c>
      <c r="AW913" s="29">
        <f>IF(BA913="","",IF(AND(LEN(BA913)=10,SUMPRODUCT(--ISERROR(FIND(MID(BA913,{1,2,3,4,5,10},1),"ABCDEFGHIJKLMNOPQRSTUVWXYZ")))=0,SUMPRODUCT(--ISERROR(FIND(MID(BA913,{6,7,8,9},1),"0123456789")))=0),"OK","Wrong format"))</f>
        <v/>
      </c>
      <c r="AX913" s="29">
        <f>IF(TRIM(H913)="","",IF(AND(LEN(UPPER(TRIM(H913)))=10,SUMPRODUCT(--ISERROR(FIND(MID(UPPER(TRIM(H913)),{1,2,3,4,10},1),"ABCDEFGHIJKLMNOPQRSTUVWXYZ")))=0,SUMPRODUCT(--ISERROR(FIND(MID(UPPER(TRIM(H913)),{5,6,7,8,9},1),"0123456789")))=0),"OK","Wrong format"))</f>
        <v/>
      </c>
      <c r="AY913" s="30">
        <f>IF(NOT(COUNTA(A913:AE913)&gt;0),"",IF(BE913&lt;&gt;"","✖ "&amp;LEFT(BE913,LEN(BE913)-2),IF(BD913&gt;0,"✔ Ready — client + "&amp;BD913&amp;" service(s)","✔ Ready — client only")))</f>
        <v/>
      </c>
      <c r="AZ913" s="31">
        <f>UPPER(SUBSTITUTE(TRIM(F913)," ",""))</f>
        <v/>
      </c>
      <c r="BA913" s="31">
        <f>UPPER(SUBSTITUTE(TRIM(E913)," ",""))</f>
        <v/>
      </c>
      <c r="BB913" s="31">
        <f>IF(D913&lt;&gt;"",D913,IFERROR(VLOOKUP(MID(AS913,4,1),Lists!$E$2:$F$8,2,FALSE),""))</f>
        <v/>
      </c>
      <c r="BC913" s="31">
        <f>IFERROR(VLOOKUP(BB913,Lists!$A$2:$C$12,3,FALSE),"")</f>
        <v/>
      </c>
      <c r="BD913" s="31">
        <f>COUNTIF(W913:AC913,"Yes")</f>
        <v/>
      </c>
      <c r="BE913" s="31">
        <f>IF(TRIM(B913)="","Legal name missing; ","")&amp;IF(AND(AV913&lt;&gt;"",AV913&lt;&gt;"OK"),"GSTIN: "&amp;AV913&amp;"; ","")&amp;IF(AND(AW913&lt;&gt;"",AW913&lt;&gt;"OK"),"PAN wrong format; ","")&amp;IF(AND(BA913&lt;&gt;"",LEN(AZ913)=15,MID(AZ913,3,10)&lt;&gt;BA913),"PAN does not match GSTIN; ","")&amp;IF(AND(AX913&lt;&gt;"",AX913&lt;&gt;"OK"),"TAN wrong format; ","")&amp;IF(AS913="","PAN missing; ","")&amp;IF(BB913="","Entity type missing; ","")&amp;IF(AND(AZ913&lt;&gt;"",COUNTIF($AZ$6:$AZ$1005,AZ913)&gt;1),"GSTIN repeated in this sheet; ","")&amp;IF(AND(AS913&lt;&gt;"",COUNTIF($AS$6:$AS$1005,AS913)&gt;1),"PAN repeated in this sheet (same client? put extra GSTINs in Other GSTINs); ","")&amp;IF(AND(BD913&gt;0,V913=""),"Financial year missing; ","")&amp;IF(AND(BD913=0,V913&lt;&gt;""),"Financial year given but no service is Yes; ","")&amp;IF(AND(W913="Yes",AZ913=""),"GST needs a GSTIN; ","")&amp;IF(AND(W913="Yes",X913=""),"GST return frequency missing; ","")&amp;IF(AND(Y913="Yes",TRIM(H913)=""),"TDS needs a TAN; ","")&amp;IF(AND(AA913="Yes",BC913&lt;&gt;"",BC913&lt;&gt;"company",BC913&lt;&gt;"llp"),"ROC is only for a company / LLP; ","")&amp;IF(AND(AA913="Yes",OR(BC913="company",BC913="llp"),TRIM(I913)=""),"ROC needs the CIN / LLPIN; ","")&amp;IF((TRIM(AF913)="")&lt;&gt;(TRIM(AG913)=""),"GST login needs both user ID and password; ","")&amp;IF((TRIM(AH913)="")&lt;&gt;(TRIM(AI913)=""),"Income-tax login needs both user ID and password; ","")&amp;IF((TRIM(AJ913)="")&lt;&gt;(TRIM(AK913)=""),"Income-tax login needs both user ID and password; ","")&amp;IF((TRIM(AL913)="")&lt;&gt;(TRIM(AM913)=""),"TRACES login needs both user ID and password; ","")&amp;IF((TRIM(AN913)="")&lt;&gt;(TRIM(AO913)=""),"MCA login needs both user ID and password; ","")&amp;IF((TRIM(AP913)="")&lt;&gt;(TRIM(AQ913)=""),"E-way bill login needs both user ID and password; ","")</f>
        <v/>
      </c>
    </row>
    <row r="914">
      <c r="A914" s="32" t="n"/>
      <c r="B914" s="33" t="n"/>
      <c r="C914" s="33" t="n"/>
      <c r="D914" s="33" t="n"/>
      <c r="E914" s="32" t="n"/>
      <c r="F914" s="32" t="n"/>
      <c r="G914" s="32" t="n"/>
      <c r="H914" s="32" t="n"/>
      <c r="I914" s="32" t="n"/>
      <c r="J914" s="34" t="n"/>
      <c r="K914" s="33" t="n"/>
      <c r="L914" s="32" t="n"/>
      <c r="M914" s="33" t="n"/>
      <c r="N914" s="33" t="n"/>
      <c r="O914" s="33" t="n"/>
      <c r="P914" s="32" t="n"/>
      <c r="Q914" s="33" t="n"/>
      <c r="R914" s="33" t="n"/>
      <c r="S914" s="33" t="n"/>
      <c r="T914" s="33" t="n"/>
      <c r="U914" s="32" t="n"/>
      <c r="V914" s="33" t="n"/>
      <c r="W914" s="33" t="n"/>
      <c r="X914" s="33" t="n"/>
      <c r="Y914" s="33" t="n"/>
      <c r="Z914" s="33" t="n"/>
      <c r="AA914" s="33" t="n"/>
      <c r="AB914" s="33" t="n"/>
      <c r="AC914" s="33" t="n"/>
      <c r="AD914" s="33" t="n"/>
      <c r="AE914" s="33" t="n"/>
      <c r="AF914" s="32" t="n"/>
      <c r="AG914" s="32" t="n"/>
      <c r="AH914" s="32" t="n"/>
      <c r="AI914" s="32" t="n"/>
      <c r="AJ914" s="32" t="n"/>
      <c r="AK914" s="32" t="n"/>
      <c r="AL914" s="32" t="n"/>
      <c r="AM914" s="32" t="n"/>
      <c r="AN914" s="32" t="n"/>
      <c r="AO914" s="32" t="n"/>
      <c r="AP914" s="32" t="n"/>
      <c r="AQ914" s="32" t="n"/>
      <c r="AR914" s="29">
        <f>IF(NOT(COUNTA(A914:AE914)&gt;0),"",IF(A914="","New client","Update"))</f>
        <v/>
      </c>
      <c r="AS914" s="29">
        <f>IF(BA914&lt;&gt;"",BA914,IF(LEN(AZ914)=15,MID(AZ914,3,10),""))</f>
        <v/>
      </c>
      <c r="AT914" s="29">
        <f>IF(BB914="","",BB914&amp;IF(D914="","  (guessed from PAN)",""))</f>
        <v/>
      </c>
      <c r="AU914" s="29">
        <f>IF(AZ914="","",IFERROR(INDEX(Lists!$L$2:$L$38,MATCH(LEFT(AZ914,2),Lists!$K$2:$K$38,0)),"Unknown code"))</f>
        <v/>
      </c>
      <c r="AV914" s="29">
        <f>IF(AZ914="","",IFERROR(IF(NOT(AND(LEN(AZ914)=15,ISNUMBER(MATCH(LEFT(AZ914,2),Lists!$K$2:$K$38,0)),SUMPRODUCT(--ISERROR(FIND(MID(MID(AZ914,3,10),{1,2,3,4,5,10},1),"ABCDEFGHIJKLMNOPQRSTUVWXYZ")))=0,SUMPRODUCT(--ISERROR(FIND(MID(MID(AZ914,3,10),{6,7,8,9},1),"0123456789")))=0,ISNUMBER(FIND(MID(AZ914,13,1),"123456789ABCDEFGHIJKLMNOPQRSTUVWXYZ")),MID(AZ914,14,1)="Z")),"Wrong format",IF(MID("0123456789ABCDEFGHIJKLMNOPQRSTUVWXYZ",MOD(36-MOD(SUMPRODUCT(INT((FIND(MID(AZ914,{1,2,3,4,5,6,7,8,9,10,11,12,13,14},1),"0123456789ABCDEFGHIJKLMNOPQRSTUVWXYZ")-1)*{1,2,1,2,1,2,1,2,1,2,1,2,1,2}/36)+MOD((FIND(MID(AZ914,{1,2,3,4,5,6,7,8,9,10,11,12,13,14},1),"0123456789ABCDEFGHIJKLMNOPQRSTUVWXYZ")-1)*{1,2,1,2,1,2,1,2,1,2,1,2,1,2},36)),36),36)+1,1)=MID(AZ914,15,1),"OK","Typo? check digit wrong")),"Wrong format"))</f>
        <v/>
      </c>
      <c r="AW914" s="29">
        <f>IF(BA914="","",IF(AND(LEN(BA914)=10,SUMPRODUCT(--ISERROR(FIND(MID(BA914,{1,2,3,4,5,10},1),"ABCDEFGHIJKLMNOPQRSTUVWXYZ")))=0,SUMPRODUCT(--ISERROR(FIND(MID(BA914,{6,7,8,9},1),"0123456789")))=0),"OK","Wrong format"))</f>
        <v/>
      </c>
      <c r="AX914" s="29">
        <f>IF(TRIM(H914)="","",IF(AND(LEN(UPPER(TRIM(H914)))=10,SUMPRODUCT(--ISERROR(FIND(MID(UPPER(TRIM(H914)),{1,2,3,4,10},1),"ABCDEFGHIJKLMNOPQRSTUVWXYZ")))=0,SUMPRODUCT(--ISERROR(FIND(MID(UPPER(TRIM(H914)),{5,6,7,8,9},1),"0123456789")))=0),"OK","Wrong format"))</f>
        <v/>
      </c>
      <c r="AY914" s="30">
        <f>IF(NOT(COUNTA(A914:AE914)&gt;0),"",IF(BE914&lt;&gt;"","✖ "&amp;LEFT(BE914,LEN(BE914)-2),IF(BD914&gt;0,"✔ Ready — client + "&amp;BD914&amp;" service(s)","✔ Ready — client only")))</f>
        <v/>
      </c>
      <c r="AZ914" s="31">
        <f>UPPER(SUBSTITUTE(TRIM(F914)," ",""))</f>
        <v/>
      </c>
      <c r="BA914" s="31">
        <f>UPPER(SUBSTITUTE(TRIM(E914)," ",""))</f>
        <v/>
      </c>
      <c r="BB914" s="31">
        <f>IF(D914&lt;&gt;"",D914,IFERROR(VLOOKUP(MID(AS914,4,1),Lists!$E$2:$F$8,2,FALSE),""))</f>
        <v/>
      </c>
      <c r="BC914" s="31">
        <f>IFERROR(VLOOKUP(BB914,Lists!$A$2:$C$12,3,FALSE),"")</f>
        <v/>
      </c>
      <c r="BD914" s="31">
        <f>COUNTIF(W914:AC914,"Yes")</f>
        <v/>
      </c>
      <c r="BE914" s="31">
        <f>IF(TRIM(B914)="","Legal name missing; ","")&amp;IF(AND(AV914&lt;&gt;"",AV914&lt;&gt;"OK"),"GSTIN: "&amp;AV914&amp;"; ","")&amp;IF(AND(AW914&lt;&gt;"",AW914&lt;&gt;"OK"),"PAN wrong format; ","")&amp;IF(AND(BA914&lt;&gt;"",LEN(AZ914)=15,MID(AZ914,3,10)&lt;&gt;BA914),"PAN does not match GSTIN; ","")&amp;IF(AND(AX914&lt;&gt;"",AX914&lt;&gt;"OK"),"TAN wrong format; ","")&amp;IF(AS914="","PAN missing; ","")&amp;IF(BB914="","Entity type missing; ","")&amp;IF(AND(AZ914&lt;&gt;"",COUNTIF($AZ$6:$AZ$1005,AZ914)&gt;1),"GSTIN repeated in this sheet; ","")&amp;IF(AND(AS914&lt;&gt;"",COUNTIF($AS$6:$AS$1005,AS914)&gt;1),"PAN repeated in this sheet (same client? put extra GSTINs in Other GSTINs); ","")&amp;IF(AND(BD914&gt;0,V914=""),"Financial year missing; ","")&amp;IF(AND(BD914=0,V914&lt;&gt;""),"Financial year given but no service is Yes; ","")&amp;IF(AND(W914="Yes",AZ914=""),"GST needs a GSTIN; ","")&amp;IF(AND(W914="Yes",X914=""),"GST return frequency missing; ","")&amp;IF(AND(Y914="Yes",TRIM(H914)=""),"TDS needs a TAN; ","")&amp;IF(AND(AA914="Yes",BC914&lt;&gt;"",BC914&lt;&gt;"company",BC914&lt;&gt;"llp"),"ROC is only for a company / LLP; ","")&amp;IF(AND(AA914="Yes",OR(BC914="company",BC914="llp"),TRIM(I914)=""),"ROC needs the CIN / LLPIN; ","")&amp;IF((TRIM(AF914)="")&lt;&gt;(TRIM(AG914)=""),"GST login needs both user ID and password; ","")&amp;IF((TRIM(AH914)="")&lt;&gt;(TRIM(AI914)=""),"Income-tax login needs both user ID and password; ","")&amp;IF((TRIM(AJ914)="")&lt;&gt;(TRIM(AK914)=""),"Income-tax login needs both user ID and password; ","")&amp;IF((TRIM(AL914)="")&lt;&gt;(TRIM(AM914)=""),"TRACES login needs both user ID and password; ","")&amp;IF((TRIM(AN914)="")&lt;&gt;(TRIM(AO914)=""),"MCA login needs both user ID and password; ","")&amp;IF((TRIM(AP914)="")&lt;&gt;(TRIM(AQ914)=""),"E-way bill login needs both user ID and password; ","")</f>
        <v/>
      </c>
    </row>
    <row r="915">
      <c r="A915" s="32" t="n"/>
      <c r="B915" s="33" t="n"/>
      <c r="C915" s="33" t="n"/>
      <c r="D915" s="33" t="n"/>
      <c r="E915" s="32" t="n"/>
      <c r="F915" s="32" t="n"/>
      <c r="G915" s="32" t="n"/>
      <c r="H915" s="32" t="n"/>
      <c r="I915" s="32" t="n"/>
      <c r="J915" s="34" t="n"/>
      <c r="K915" s="33" t="n"/>
      <c r="L915" s="32" t="n"/>
      <c r="M915" s="33" t="n"/>
      <c r="N915" s="33" t="n"/>
      <c r="O915" s="33" t="n"/>
      <c r="P915" s="32" t="n"/>
      <c r="Q915" s="33" t="n"/>
      <c r="R915" s="33" t="n"/>
      <c r="S915" s="33" t="n"/>
      <c r="T915" s="33" t="n"/>
      <c r="U915" s="32" t="n"/>
      <c r="V915" s="33" t="n"/>
      <c r="W915" s="33" t="n"/>
      <c r="X915" s="33" t="n"/>
      <c r="Y915" s="33" t="n"/>
      <c r="Z915" s="33" t="n"/>
      <c r="AA915" s="33" t="n"/>
      <c r="AB915" s="33" t="n"/>
      <c r="AC915" s="33" t="n"/>
      <c r="AD915" s="33" t="n"/>
      <c r="AE915" s="33" t="n"/>
      <c r="AF915" s="32" t="n"/>
      <c r="AG915" s="32" t="n"/>
      <c r="AH915" s="32" t="n"/>
      <c r="AI915" s="32" t="n"/>
      <c r="AJ915" s="32" t="n"/>
      <c r="AK915" s="32" t="n"/>
      <c r="AL915" s="32" t="n"/>
      <c r="AM915" s="32" t="n"/>
      <c r="AN915" s="32" t="n"/>
      <c r="AO915" s="32" t="n"/>
      <c r="AP915" s="32" t="n"/>
      <c r="AQ915" s="32" t="n"/>
      <c r="AR915" s="29">
        <f>IF(NOT(COUNTA(A915:AE915)&gt;0),"",IF(A915="","New client","Update"))</f>
        <v/>
      </c>
      <c r="AS915" s="29">
        <f>IF(BA915&lt;&gt;"",BA915,IF(LEN(AZ915)=15,MID(AZ915,3,10),""))</f>
        <v/>
      </c>
      <c r="AT915" s="29">
        <f>IF(BB915="","",BB915&amp;IF(D915="","  (guessed from PAN)",""))</f>
        <v/>
      </c>
      <c r="AU915" s="29">
        <f>IF(AZ915="","",IFERROR(INDEX(Lists!$L$2:$L$38,MATCH(LEFT(AZ915,2),Lists!$K$2:$K$38,0)),"Unknown code"))</f>
        <v/>
      </c>
      <c r="AV915" s="29">
        <f>IF(AZ915="","",IFERROR(IF(NOT(AND(LEN(AZ915)=15,ISNUMBER(MATCH(LEFT(AZ915,2),Lists!$K$2:$K$38,0)),SUMPRODUCT(--ISERROR(FIND(MID(MID(AZ915,3,10),{1,2,3,4,5,10},1),"ABCDEFGHIJKLMNOPQRSTUVWXYZ")))=0,SUMPRODUCT(--ISERROR(FIND(MID(MID(AZ915,3,10),{6,7,8,9},1),"0123456789")))=0,ISNUMBER(FIND(MID(AZ915,13,1),"123456789ABCDEFGHIJKLMNOPQRSTUVWXYZ")),MID(AZ915,14,1)="Z")),"Wrong format",IF(MID("0123456789ABCDEFGHIJKLMNOPQRSTUVWXYZ",MOD(36-MOD(SUMPRODUCT(INT((FIND(MID(AZ915,{1,2,3,4,5,6,7,8,9,10,11,12,13,14},1),"0123456789ABCDEFGHIJKLMNOPQRSTUVWXYZ")-1)*{1,2,1,2,1,2,1,2,1,2,1,2,1,2}/36)+MOD((FIND(MID(AZ915,{1,2,3,4,5,6,7,8,9,10,11,12,13,14},1),"0123456789ABCDEFGHIJKLMNOPQRSTUVWXYZ")-1)*{1,2,1,2,1,2,1,2,1,2,1,2,1,2},36)),36),36)+1,1)=MID(AZ915,15,1),"OK","Typo? check digit wrong")),"Wrong format"))</f>
        <v/>
      </c>
      <c r="AW915" s="29">
        <f>IF(BA915="","",IF(AND(LEN(BA915)=10,SUMPRODUCT(--ISERROR(FIND(MID(BA915,{1,2,3,4,5,10},1),"ABCDEFGHIJKLMNOPQRSTUVWXYZ")))=0,SUMPRODUCT(--ISERROR(FIND(MID(BA915,{6,7,8,9},1),"0123456789")))=0),"OK","Wrong format"))</f>
        <v/>
      </c>
      <c r="AX915" s="29">
        <f>IF(TRIM(H915)="","",IF(AND(LEN(UPPER(TRIM(H915)))=10,SUMPRODUCT(--ISERROR(FIND(MID(UPPER(TRIM(H915)),{1,2,3,4,10},1),"ABCDEFGHIJKLMNOPQRSTUVWXYZ")))=0,SUMPRODUCT(--ISERROR(FIND(MID(UPPER(TRIM(H915)),{5,6,7,8,9},1),"0123456789")))=0),"OK","Wrong format"))</f>
        <v/>
      </c>
      <c r="AY915" s="30">
        <f>IF(NOT(COUNTA(A915:AE915)&gt;0),"",IF(BE915&lt;&gt;"","✖ "&amp;LEFT(BE915,LEN(BE915)-2),IF(BD915&gt;0,"✔ Ready — client + "&amp;BD915&amp;" service(s)","✔ Ready — client only")))</f>
        <v/>
      </c>
      <c r="AZ915" s="31">
        <f>UPPER(SUBSTITUTE(TRIM(F915)," ",""))</f>
        <v/>
      </c>
      <c r="BA915" s="31">
        <f>UPPER(SUBSTITUTE(TRIM(E915)," ",""))</f>
        <v/>
      </c>
      <c r="BB915" s="31">
        <f>IF(D915&lt;&gt;"",D915,IFERROR(VLOOKUP(MID(AS915,4,1),Lists!$E$2:$F$8,2,FALSE),""))</f>
        <v/>
      </c>
      <c r="BC915" s="31">
        <f>IFERROR(VLOOKUP(BB915,Lists!$A$2:$C$12,3,FALSE),"")</f>
        <v/>
      </c>
      <c r="BD915" s="31">
        <f>COUNTIF(W915:AC915,"Yes")</f>
        <v/>
      </c>
      <c r="BE915" s="31">
        <f>IF(TRIM(B915)="","Legal name missing; ","")&amp;IF(AND(AV915&lt;&gt;"",AV915&lt;&gt;"OK"),"GSTIN: "&amp;AV915&amp;"; ","")&amp;IF(AND(AW915&lt;&gt;"",AW915&lt;&gt;"OK"),"PAN wrong format; ","")&amp;IF(AND(BA915&lt;&gt;"",LEN(AZ915)=15,MID(AZ915,3,10)&lt;&gt;BA915),"PAN does not match GSTIN; ","")&amp;IF(AND(AX915&lt;&gt;"",AX915&lt;&gt;"OK"),"TAN wrong format; ","")&amp;IF(AS915="","PAN missing; ","")&amp;IF(BB915="","Entity type missing; ","")&amp;IF(AND(AZ915&lt;&gt;"",COUNTIF($AZ$6:$AZ$1005,AZ915)&gt;1),"GSTIN repeated in this sheet; ","")&amp;IF(AND(AS915&lt;&gt;"",COUNTIF($AS$6:$AS$1005,AS915)&gt;1),"PAN repeated in this sheet (same client? put extra GSTINs in Other GSTINs); ","")&amp;IF(AND(BD915&gt;0,V915=""),"Financial year missing; ","")&amp;IF(AND(BD915=0,V915&lt;&gt;""),"Financial year given but no service is Yes; ","")&amp;IF(AND(W915="Yes",AZ915=""),"GST needs a GSTIN; ","")&amp;IF(AND(W915="Yes",X915=""),"GST return frequency missing; ","")&amp;IF(AND(Y915="Yes",TRIM(H915)=""),"TDS needs a TAN; ","")&amp;IF(AND(AA915="Yes",BC915&lt;&gt;"",BC915&lt;&gt;"company",BC915&lt;&gt;"llp"),"ROC is only for a company / LLP; ","")&amp;IF(AND(AA915="Yes",OR(BC915="company",BC915="llp"),TRIM(I915)=""),"ROC needs the CIN / LLPIN; ","")&amp;IF((TRIM(AF915)="")&lt;&gt;(TRIM(AG915)=""),"GST login needs both user ID and password; ","")&amp;IF((TRIM(AH915)="")&lt;&gt;(TRIM(AI915)=""),"Income-tax login needs both user ID and password; ","")&amp;IF((TRIM(AJ915)="")&lt;&gt;(TRIM(AK915)=""),"Income-tax login needs both user ID and password; ","")&amp;IF((TRIM(AL915)="")&lt;&gt;(TRIM(AM915)=""),"TRACES login needs both user ID and password; ","")&amp;IF((TRIM(AN915)="")&lt;&gt;(TRIM(AO915)=""),"MCA login needs both user ID and password; ","")&amp;IF((TRIM(AP915)="")&lt;&gt;(TRIM(AQ915)=""),"E-way bill login needs both user ID and password; ","")</f>
        <v/>
      </c>
    </row>
    <row r="916">
      <c r="A916" s="32" t="n"/>
      <c r="B916" s="33" t="n"/>
      <c r="C916" s="33" t="n"/>
      <c r="D916" s="33" t="n"/>
      <c r="E916" s="32" t="n"/>
      <c r="F916" s="32" t="n"/>
      <c r="G916" s="32" t="n"/>
      <c r="H916" s="32" t="n"/>
      <c r="I916" s="32" t="n"/>
      <c r="J916" s="34" t="n"/>
      <c r="K916" s="33" t="n"/>
      <c r="L916" s="32" t="n"/>
      <c r="M916" s="33" t="n"/>
      <c r="N916" s="33" t="n"/>
      <c r="O916" s="33" t="n"/>
      <c r="P916" s="32" t="n"/>
      <c r="Q916" s="33" t="n"/>
      <c r="R916" s="33" t="n"/>
      <c r="S916" s="33" t="n"/>
      <c r="T916" s="33" t="n"/>
      <c r="U916" s="32" t="n"/>
      <c r="V916" s="33" t="n"/>
      <c r="W916" s="33" t="n"/>
      <c r="X916" s="33" t="n"/>
      <c r="Y916" s="33" t="n"/>
      <c r="Z916" s="33" t="n"/>
      <c r="AA916" s="33" t="n"/>
      <c r="AB916" s="33" t="n"/>
      <c r="AC916" s="33" t="n"/>
      <c r="AD916" s="33" t="n"/>
      <c r="AE916" s="33" t="n"/>
      <c r="AF916" s="32" t="n"/>
      <c r="AG916" s="32" t="n"/>
      <c r="AH916" s="32" t="n"/>
      <c r="AI916" s="32" t="n"/>
      <c r="AJ916" s="32" t="n"/>
      <c r="AK916" s="32" t="n"/>
      <c r="AL916" s="32" t="n"/>
      <c r="AM916" s="32" t="n"/>
      <c r="AN916" s="32" t="n"/>
      <c r="AO916" s="32" t="n"/>
      <c r="AP916" s="32" t="n"/>
      <c r="AQ916" s="32" t="n"/>
      <c r="AR916" s="29">
        <f>IF(NOT(COUNTA(A916:AE916)&gt;0),"",IF(A916="","New client","Update"))</f>
        <v/>
      </c>
      <c r="AS916" s="29">
        <f>IF(BA916&lt;&gt;"",BA916,IF(LEN(AZ916)=15,MID(AZ916,3,10),""))</f>
        <v/>
      </c>
      <c r="AT916" s="29">
        <f>IF(BB916="","",BB916&amp;IF(D916="","  (guessed from PAN)",""))</f>
        <v/>
      </c>
      <c r="AU916" s="29">
        <f>IF(AZ916="","",IFERROR(INDEX(Lists!$L$2:$L$38,MATCH(LEFT(AZ916,2),Lists!$K$2:$K$38,0)),"Unknown code"))</f>
        <v/>
      </c>
      <c r="AV916" s="29">
        <f>IF(AZ916="","",IFERROR(IF(NOT(AND(LEN(AZ916)=15,ISNUMBER(MATCH(LEFT(AZ916,2),Lists!$K$2:$K$38,0)),SUMPRODUCT(--ISERROR(FIND(MID(MID(AZ916,3,10),{1,2,3,4,5,10},1),"ABCDEFGHIJKLMNOPQRSTUVWXYZ")))=0,SUMPRODUCT(--ISERROR(FIND(MID(MID(AZ916,3,10),{6,7,8,9},1),"0123456789")))=0,ISNUMBER(FIND(MID(AZ916,13,1),"123456789ABCDEFGHIJKLMNOPQRSTUVWXYZ")),MID(AZ916,14,1)="Z")),"Wrong format",IF(MID("0123456789ABCDEFGHIJKLMNOPQRSTUVWXYZ",MOD(36-MOD(SUMPRODUCT(INT((FIND(MID(AZ916,{1,2,3,4,5,6,7,8,9,10,11,12,13,14},1),"0123456789ABCDEFGHIJKLMNOPQRSTUVWXYZ")-1)*{1,2,1,2,1,2,1,2,1,2,1,2,1,2}/36)+MOD((FIND(MID(AZ916,{1,2,3,4,5,6,7,8,9,10,11,12,13,14},1),"0123456789ABCDEFGHIJKLMNOPQRSTUVWXYZ")-1)*{1,2,1,2,1,2,1,2,1,2,1,2,1,2},36)),36),36)+1,1)=MID(AZ916,15,1),"OK","Typo? check digit wrong")),"Wrong format"))</f>
        <v/>
      </c>
      <c r="AW916" s="29">
        <f>IF(BA916="","",IF(AND(LEN(BA916)=10,SUMPRODUCT(--ISERROR(FIND(MID(BA916,{1,2,3,4,5,10},1),"ABCDEFGHIJKLMNOPQRSTUVWXYZ")))=0,SUMPRODUCT(--ISERROR(FIND(MID(BA916,{6,7,8,9},1),"0123456789")))=0),"OK","Wrong format"))</f>
        <v/>
      </c>
      <c r="AX916" s="29">
        <f>IF(TRIM(H916)="","",IF(AND(LEN(UPPER(TRIM(H916)))=10,SUMPRODUCT(--ISERROR(FIND(MID(UPPER(TRIM(H916)),{1,2,3,4,10},1),"ABCDEFGHIJKLMNOPQRSTUVWXYZ")))=0,SUMPRODUCT(--ISERROR(FIND(MID(UPPER(TRIM(H916)),{5,6,7,8,9},1),"0123456789")))=0),"OK","Wrong format"))</f>
        <v/>
      </c>
      <c r="AY916" s="30">
        <f>IF(NOT(COUNTA(A916:AE916)&gt;0),"",IF(BE916&lt;&gt;"","✖ "&amp;LEFT(BE916,LEN(BE916)-2),IF(BD916&gt;0,"✔ Ready — client + "&amp;BD916&amp;" service(s)","✔ Ready — client only")))</f>
        <v/>
      </c>
      <c r="AZ916" s="31">
        <f>UPPER(SUBSTITUTE(TRIM(F916)," ",""))</f>
        <v/>
      </c>
      <c r="BA916" s="31">
        <f>UPPER(SUBSTITUTE(TRIM(E916)," ",""))</f>
        <v/>
      </c>
      <c r="BB916" s="31">
        <f>IF(D916&lt;&gt;"",D916,IFERROR(VLOOKUP(MID(AS916,4,1),Lists!$E$2:$F$8,2,FALSE),""))</f>
        <v/>
      </c>
      <c r="BC916" s="31">
        <f>IFERROR(VLOOKUP(BB916,Lists!$A$2:$C$12,3,FALSE),"")</f>
        <v/>
      </c>
      <c r="BD916" s="31">
        <f>COUNTIF(W916:AC916,"Yes")</f>
        <v/>
      </c>
      <c r="BE916" s="31">
        <f>IF(TRIM(B916)="","Legal name missing; ","")&amp;IF(AND(AV916&lt;&gt;"",AV916&lt;&gt;"OK"),"GSTIN: "&amp;AV916&amp;"; ","")&amp;IF(AND(AW916&lt;&gt;"",AW916&lt;&gt;"OK"),"PAN wrong format; ","")&amp;IF(AND(BA916&lt;&gt;"",LEN(AZ916)=15,MID(AZ916,3,10)&lt;&gt;BA916),"PAN does not match GSTIN; ","")&amp;IF(AND(AX916&lt;&gt;"",AX916&lt;&gt;"OK"),"TAN wrong format; ","")&amp;IF(AS916="","PAN missing; ","")&amp;IF(BB916="","Entity type missing; ","")&amp;IF(AND(AZ916&lt;&gt;"",COUNTIF($AZ$6:$AZ$1005,AZ916)&gt;1),"GSTIN repeated in this sheet; ","")&amp;IF(AND(AS916&lt;&gt;"",COUNTIF($AS$6:$AS$1005,AS916)&gt;1),"PAN repeated in this sheet (same client? put extra GSTINs in Other GSTINs); ","")&amp;IF(AND(BD916&gt;0,V916=""),"Financial year missing; ","")&amp;IF(AND(BD916=0,V916&lt;&gt;""),"Financial year given but no service is Yes; ","")&amp;IF(AND(W916="Yes",AZ916=""),"GST needs a GSTIN; ","")&amp;IF(AND(W916="Yes",X916=""),"GST return frequency missing; ","")&amp;IF(AND(Y916="Yes",TRIM(H916)=""),"TDS needs a TAN; ","")&amp;IF(AND(AA916="Yes",BC916&lt;&gt;"",BC916&lt;&gt;"company",BC916&lt;&gt;"llp"),"ROC is only for a company / LLP; ","")&amp;IF(AND(AA916="Yes",OR(BC916="company",BC916="llp"),TRIM(I916)=""),"ROC needs the CIN / LLPIN; ","")&amp;IF((TRIM(AF916)="")&lt;&gt;(TRIM(AG916)=""),"GST login needs both user ID and password; ","")&amp;IF((TRIM(AH916)="")&lt;&gt;(TRIM(AI916)=""),"Income-tax login needs both user ID and password; ","")&amp;IF((TRIM(AJ916)="")&lt;&gt;(TRIM(AK916)=""),"Income-tax login needs both user ID and password; ","")&amp;IF((TRIM(AL916)="")&lt;&gt;(TRIM(AM916)=""),"TRACES login needs both user ID and password; ","")&amp;IF((TRIM(AN916)="")&lt;&gt;(TRIM(AO916)=""),"MCA login needs both user ID and password; ","")&amp;IF((TRIM(AP916)="")&lt;&gt;(TRIM(AQ916)=""),"E-way bill login needs both user ID and password; ","")</f>
        <v/>
      </c>
    </row>
    <row r="917">
      <c r="A917" s="32" t="n"/>
      <c r="B917" s="33" t="n"/>
      <c r="C917" s="33" t="n"/>
      <c r="D917" s="33" t="n"/>
      <c r="E917" s="32" t="n"/>
      <c r="F917" s="32" t="n"/>
      <c r="G917" s="32" t="n"/>
      <c r="H917" s="32" t="n"/>
      <c r="I917" s="32" t="n"/>
      <c r="J917" s="34" t="n"/>
      <c r="K917" s="33" t="n"/>
      <c r="L917" s="32" t="n"/>
      <c r="M917" s="33" t="n"/>
      <c r="N917" s="33" t="n"/>
      <c r="O917" s="33" t="n"/>
      <c r="P917" s="32" t="n"/>
      <c r="Q917" s="33" t="n"/>
      <c r="R917" s="33" t="n"/>
      <c r="S917" s="33" t="n"/>
      <c r="T917" s="33" t="n"/>
      <c r="U917" s="32" t="n"/>
      <c r="V917" s="33" t="n"/>
      <c r="W917" s="33" t="n"/>
      <c r="X917" s="33" t="n"/>
      <c r="Y917" s="33" t="n"/>
      <c r="Z917" s="33" t="n"/>
      <c r="AA917" s="33" t="n"/>
      <c r="AB917" s="33" t="n"/>
      <c r="AC917" s="33" t="n"/>
      <c r="AD917" s="33" t="n"/>
      <c r="AE917" s="33" t="n"/>
      <c r="AF917" s="32" t="n"/>
      <c r="AG917" s="32" t="n"/>
      <c r="AH917" s="32" t="n"/>
      <c r="AI917" s="32" t="n"/>
      <c r="AJ917" s="32" t="n"/>
      <c r="AK917" s="32" t="n"/>
      <c r="AL917" s="32" t="n"/>
      <c r="AM917" s="32" t="n"/>
      <c r="AN917" s="32" t="n"/>
      <c r="AO917" s="32" t="n"/>
      <c r="AP917" s="32" t="n"/>
      <c r="AQ917" s="32" t="n"/>
      <c r="AR917" s="29">
        <f>IF(NOT(COUNTA(A917:AE917)&gt;0),"",IF(A917="","New client","Update"))</f>
        <v/>
      </c>
      <c r="AS917" s="29">
        <f>IF(BA917&lt;&gt;"",BA917,IF(LEN(AZ917)=15,MID(AZ917,3,10),""))</f>
        <v/>
      </c>
      <c r="AT917" s="29">
        <f>IF(BB917="","",BB917&amp;IF(D917="","  (guessed from PAN)",""))</f>
        <v/>
      </c>
      <c r="AU917" s="29">
        <f>IF(AZ917="","",IFERROR(INDEX(Lists!$L$2:$L$38,MATCH(LEFT(AZ917,2),Lists!$K$2:$K$38,0)),"Unknown code"))</f>
        <v/>
      </c>
      <c r="AV917" s="29">
        <f>IF(AZ917="","",IFERROR(IF(NOT(AND(LEN(AZ917)=15,ISNUMBER(MATCH(LEFT(AZ917,2),Lists!$K$2:$K$38,0)),SUMPRODUCT(--ISERROR(FIND(MID(MID(AZ917,3,10),{1,2,3,4,5,10},1),"ABCDEFGHIJKLMNOPQRSTUVWXYZ")))=0,SUMPRODUCT(--ISERROR(FIND(MID(MID(AZ917,3,10),{6,7,8,9},1),"0123456789")))=0,ISNUMBER(FIND(MID(AZ917,13,1),"123456789ABCDEFGHIJKLMNOPQRSTUVWXYZ")),MID(AZ917,14,1)="Z")),"Wrong format",IF(MID("0123456789ABCDEFGHIJKLMNOPQRSTUVWXYZ",MOD(36-MOD(SUMPRODUCT(INT((FIND(MID(AZ917,{1,2,3,4,5,6,7,8,9,10,11,12,13,14},1),"0123456789ABCDEFGHIJKLMNOPQRSTUVWXYZ")-1)*{1,2,1,2,1,2,1,2,1,2,1,2,1,2}/36)+MOD((FIND(MID(AZ917,{1,2,3,4,5,6,7,8,9,10,11,12,13,14},1),"0123456789ABCDEFGHIJKLMNOPQRSTUVWXYZ")-1)*{1,2,1,2,1,2,1,2,1,2,1,2,1,2},36)),36),36)+1,1)=MID(AZ917,15,1),"OK","Typo? check digit wrong")),"Wrong format"))</f>
        <v/>
      </c>
      <c r="AW917" s="29">
        <f>IF(BA917="","",IF(AND(LEN(BA917)=10,SUMPRODUCT(--ISERROR(FIND(MID(BA917,{1,2,3,4,5,10},1),"ABCDEFGHIJKLMNOPQRSTUVWXYZ")))=0,SUMPRODUCT(--ISERROR(FIND(MID(BA917,{6,7,8,9},1),"0123456789")))=0),"OK","Wrong format"))</f>
        <v/>
      </c>
      <c r="AX917" s="29">
        <f>IF(TRIM(H917)="","",IF(AND(LEN(UPPER(TRIM(H917)))=10,SUMPRODUCT(--ISERROR(FIND(MID(UPPER(TRIM(H917)),{1,2,3,4,10},1),"ABCDEFGHIJKLMNOPQRSTUVWXYZ")))=0,SUMPRODUCT(--ISERROR(FIND(MID(UPPER(TRIM(H917)),{5,6,7,8,9},1),"0123456789")))=0),"OK","Wrong format"))</f>
        <v/>
      </c>
      <c r="AY917" s="30">
        <f>IF(NOT(COUNTA(A917:AE917)&gt;0),"",IF(BE917&lt;&gt;"","✖ "&amp;LEFT(BE917,LEN(BE917)-2),IF(BD917&gt;0,"✔ Ready — client + "&amp;BD917&amp;" service(s)","✔ Ready — client only")))</f>
        <v/>
      </c>
      <c r="AZ917" s="31">
        <f>UPPER(SUBSTITUTE(TRIM(F917)," ",""))</f>
        <v/>
      </c>
      <c r="BA917" s="31">
        <f>UPPER(SUBSTITUTE(TRIM(E917)," ",""))</f>
        <v/>
      </c>
      <c r="BB917" s="31">
        <f>IF(D917&lt;&gt;"",D917,IFERROR(VLOOKUP(MID(AS917,4,1),Lists!$E$2:$F$8,2,FALSE),""))</f>
        <v/>
      </c>
      <c r="BC917" s="31">
        <f>IFERROR(VLOOKUP(BB917,Lists!$A$2:$C$12,3,FALSE),"")</f>
        <v/>
      </c>
      <c r="BD917" s="31">
        <f>COUNTIF(W917:AC917,"Yes")</f>
        <v/>
      </c>
      <c r="BE917" s="31">
        <f>IF(TRIM(B917)="","Legal name missing; ","")&amp;IF(AND(AV917&lt;&gt;"",AV917&lt;&gt;"OK"),"GSTIN: "&amp;AV917&amp;"; ","")&amp;IF(AND(AW917&lt;&gt;"",AW917&lt;&gt;"OK"),"PAN wrong format; ","")&amp;IF(AND(BA917&lt;&gt;"",LEN(AZ917)=15,MID(AZ917,3,10)&lt;&gt;BA917),"PAN does not match GSTIN; ","")&amp;IF(AND(AX917&lt;&gt;"",AX917&lt;&gt;"OK"),"TAN wrong format; ","")&amp;IF(AS917="","PAN missing; ","")&amp;IF(BB917="","Entity type missing; ","")&amp;IF(AND(AZ917&lt;&gt;"",COUNTIF($AZ$6:$AZ$1005,AZ917)&gt;1),"GSTIN repeated in this sheet; ","")&amp;IF(AND(AS917&lt;&gt;"",COUNTIF($AS$6:$AS$1005,AS917)&gt;1),"PAN repeated in this sheet (same client? put extra GSTINs in Other GSTINs); ","")&amp;IF(AND(BD917&gt;0,V917=""),"Financial year missing; ","")&amp;IF(AND(BD917=0,V917&lt;&gt;""),"Financial year given but no service is Yes; ","")&amp;IF(AND(W917="Yes",AZ917=""),"GST needs a GSTIN; ","")&amp;IF(AND(W917="Yes",X917=""),"GST return frequency missing; ","")&amp;IF(AND(Y917="Yes",TRIM(H917)=""),"TDS needs a TAN; ","")&amp;IF(AND(AA917="Yes",BC917&lt;&gt;"",BC917&lt;&gt;"company",BC917&lt;&gt;"llp"),"ROC is only for a company / LLP; ","")&amp;IF(AND(AA917="Yes",OR(BC917="company",BC917="llp"),TRIM(I917)=""),"ROC needs the CIN / LLPIN; ","")&amp;IF((TRIM(AF917)="")&lt;&gt;(TRIM(AG917)=""),"GST login needs both user ID and password; ","")&amp;IF((TRIM(AH917)="")&lt;&gt;(TRIM(AI917)=""),"Income-tax login needs both user ID and password; ","")&amp;IF((TRIM(AJ917)="")&lt;&gt;(TRIM(AK917)=""),"Income-tax login needs both user ID and password; ","")&amp;IF((TRIM(AL917)="")&lt;&gt;(TRIM(AM917)=""),"TRACES login needs both user ID and password; ","")&amp;IF((TRIM(AN917)="")&lt;&gt;(TRIM(AO917)=""),"MCA login needs both user ID and password; ","")&amp;IF((TRIM(AP917)="")&lt;&gt;(TRIM(AQ917)=""),"E-way bill login needs both user ID and password; ","")</f>
        <v/>
      </c>
    </row>
    <row r="918">
      <c r="A918" s="32" t="n"/>
      <c r="B918" s="33" t="n"/>
      <c r="C918" s="33" t="n"/>
      <c r="D918" s="33" t="n"/>
      <c r="E918" s="32" t="n"/>
      <c r="F918" s="32" t="n"/>
      <c r="G918" s="32" t="n"/>
      <c r="H918" s="32" t="n"/>
      <c r="I918" s="32" t="n"/>
      <c r="J918" s="34" t="n"/>
      <c r="K918" s="33" t="n"/>
      <c r="L918" s="32" t="n"/>
      <c r="M918" s="33" t="n"/>
      <c r="N918" s="33" t="n"/>
      <c r="O918" s="33" t="n"/>
      <c r="P918" s="32" t="n"/>
      <c r="Q918" s="33" t="n"/>
      <c r="R918" s="33" t="n"/>
      <c r="S918" s="33" t="n"/>
      <c r="T918" s="33" t="n"/>
      <c r="U918" s="32" t="n"/>
      <c r="V918" s="33" t="n"/>
      <c r="W918" s="33" t="n"/>
      <c r="X918" s="33" t="n"/>
      <c r="Y918" s="33" t="n"/>
      <c r="Z918" s="33" t="n"/>
      <c r="AA918" s="33" t="n"/>
      <c r="AB918" s="33" t="n"/>
      <c r="AC918" s="33" t="n"/>
      <c r="AD918" s="33" t="n"/>
      <c r="AE918" s="33" t="n"/>
      <c r="AF918" s="32" t="n"/>
      <c r="AG918" s="32" t="n"/>
      <c r="AH918" s="32" t="n"/>
      <c r="AI918" s="32" t="n"/>
      <c r="AJ918" s="32" t="n"/>
      <c r="AK918" s="32" t="n"/>
      <c r="AL918" s="32" t="n"/>
      <c r="AM918" s="32" t="n"/>
      <c r="AN918" s="32" t="n"/>
      <c r="AO918" s="32" t="n"/>
      <c r="AP918" s="32" t="n"/>
      <c r="AQ918" s="32" t="n"/>
      <c r="AR918" s="29">
        <f>IF(NOT(COUNTA(A918:AE918)&gt;0),"",IF(A918="","New client","Update"))</f>
        <v/>
      </c>
      <c r="AS918" s="29">
        <f>IF(BA918&lt;&gt;"",BA918,IF(LEN(AZ918)=15,MID(AZ918,3,10),""))</f>
        <v/>
      </c>
      <c r="AT918" s="29">
        <f>IF(BB918="","",BB918&amp;IF(D918="","  (guessed from PAN)",""))</f>
        <v/>
      </c>
      <c r="AU918" s="29">
        <f>IF(AZ918="","",IFERROR(INDEX(Lists!$L$2:$L$38,MATCH(LEFT(AZ918,2),Lists!$K$2:$K$38,0)),"Unknown code"))</f>
        <v/>
      </c>
      <c r="AV918" s="29">
        <f>IF(AZ918="","",IFERROR(IF(NOT(AND(LEN(AZ918)=15,ISNUMBER(MATCH(LEFT(AZ918,2),Lists!$K$2:$K$38,0)),SUMPRODUCT(--ISERROR(FIND(MID(MID(AZ918,3,10),{1,2,3,4,5,10},1),"ABCDEFGHIJKLMNOPQRSTUVWXYZ")))=0,SUMPRODUCT(--ISERROR(FIND(MID(MID(AZ918,3,10),{6,7,8,9},1),"0123456789")))=0,ISNUMBER(FIND(MID(AZ918,13,1),"123456789ABCDEFGHIJKLMNOPQRSTUVWXYZ")),MID(AZ918,14,1)="Z")),"Wrong format",IF(MID("0123456789ABCDEFGHIJKLMNOPQRSTUVWXYZ",MOD(36-MOD(SUMPRODUCT(INT((FIND(MID(AZ918,{1,2,3,4,5,6,7,8,9,10,11,12,13,14},1),"0123456789ABCDEFGHIJKLMNOPQRSTUVWXYZ")-1)*{1,2,1,2,1,2,1,2,1,2,1,2,1,2}/36)+MOD((FIND(MID(AZ918,{1,2,3,4,5,6,7,8,9,10,11,12,13,14},1),"0123456789ABCDEFGHIJKLMNOPQRSTUVWXYZ")-1)*{1,2,1,2,1,2,1,2,1,2,1,2,1,2},36)),36),36)+1,1)=MID(AZ918,15,1),"OK","Typo? check digit wrong")),"Wrong format"))</f>
        <v/>
      </c>
      <c r="AW918" s="29">
        <f>IF(BA918="","",IF(AND(LEN(BA918)=10,SUMPRODUCT(--ISERROR(FIND(MID(BA918,{1,2,3,4,5,10},1),"ABCDEFGHIJKLMNOPQRSTUVWXYZ")))=0,SUMPRODUCT(--ISERROR(FIND(MID(BA918,{6,7,8,9},1),"0123456789")))=0),"OK","Wrong format"))</f>
        <v/>
      </c>
      <c r="AX918" s="29">
        <f>IF(TRIM(H918)="","",IF(AND(LEN(UPPER(TRIM(H918)))=10,SUMPRODUCT(--ISERROR(FIND(MID(UPPER(TRIM(H918)),{1,2,3,4,10},1),"ABCDEFGHIJKLMNOPQRSTUVWXYZ")))=0,SUMPRODUCT(--ISERROR(FIND(MID(UPPER(TRIM(H918)),{5,6,7,8,9},1),"0123456789")))=0),"OK","Wrong format"))</f>
        <v/>
      </c>
      <c r="AY918" s="30">
        <f>IF(NOT(COUNTA(A918:AE918)&gt;0),"",IF(BE918&lt;&gt;"","✖ "&amp;LEFT(BE918,LEN(BE918)-2),IF(BD918&gt;0,"✔ Ready — client + "&amp;BD918&amp;" service(s)","✔ Ready — client only")))</f>
        <v/>
      </c>
      <c r="AZ918" s="31">
        <f>UPPER(SUBSTITUTE(TRIM(F918)," ",""))</f>
        <v/>
      </c>
      <c r="BA918" s="31">
        <f>UPPER(SUBSTITUTE(TRIM(E918)," ",""))</f>
        <v/>
      </c>
      <c r="BB918" s="31">
        <f>IF(D918&lt;&gt;"",D918,IFERROR(VLOOKUP(MID(AS918,4,1),Lists!$E$2:$F$8,2,FALSE),""))</f>
        <v/>
      </c>
      <c r="BC918" s="31">
        <f>IFERROR(VLOOKUP(BB918,Lists!$A$2:$C$12,3,FALSE),"")</f>
        <v/>
      </c>
      <c r="BD918" s="31">
        <f>COUNTIF(W918:AC918,"Yes")</f>
        <v/>
      </c>
      <c r="BE918" s="31">
        <f>IF(TRIM(B918)="","Legal name missing; ","")&amp;IF(AND(AV918&lt;&gt;"",AV918&lt;&gt;"OK"),"GSTIN: "&amp;AV918&amp;"; ","")&amp;IF(AND(AW918&lt;&gt;"",AW918&lt;&gt;"OK"),"PAN wrong format; ","")&amp;IF(AND(BA918&lt;&gt;"",LEN(AZ918)=15,MID(AZ918,3,10)&lt;&gt;BA918),"PAN does not match GSTIN; ","")&amp;IF(AND(AX918&lt;&gt;"",AX918&lt;&gt;"OK"),"TAN wrong format; ","")&amp;IF(AS918="","PAN missing; ","")&amp;IF(BB918="","Entity type missing; ","")&amp;IF(AND(AZ918&lt;&gt;"",COUNTIF($AZ$6:$AZ$1005,AZ918)&gt;1),"GSTIN repeated in this sheet; ","")&amp;IF(AND(AS918&lt;&gt;"",COUNTIF($AS$6:$AS$1005,AS918)&gt;1),"PAN repeated in this sheet (same client? put extra GSTINs in Other GSTINs); ","")&amp;IF(AND(BD918&gt;0,V918=""),"Financial year missing; ","")&amp;IF(AND(BD918=0,V918&lt;&gt;""),"Financial year given but no service is Yes; ","")&amp;IF(AND(W918="Yes",AZ918=""),"GST needs a GSTIN; ","")&amp;IF(AND(W918="Yes",X918=""),"GST return frequency missing; ","")&amp;IF(AND(Y918="Yes",TRIM(H918)=""),"TDS needs a TAN; ","")&amp;IF(AND(AA918="Yes",BC918&lt;&gt;"",BC918&lt;&gt;"company",BC918&lt;&gt;"llp"),"ROC is only for a company / LLP; ","")&amp;IF(AND(AA918="Yes",OR(BC918="company",BC918="llp"),TRIM(I918)=""),"ROC needs the CIN / LLPIN; ","")&amp;IF((TRIM(AF918)="")&lt;&gt;(TRIM(AG918)=""),"GST login needs both user ID and password; ","")&amp;IF((TRIM(AH918)="")&lt;&gt;(TRIM(AI918)=""),"Income-tax login needs both user ID and password; ","")&amp;IF((TRIM(AJ918)="")&lt;&gt;(TRIM(AK918)=""),"Income-tax login needs both user ID and password; ","")&amp;IF((TRIM(AL918)="")&lt;&gt;(TRIM(AM918)=""),"TRACES login needs both user ID and password; ","")&amp;IF((TRIM(AN918)="")&lt;&gt;(TRIM(AO918)=""),"MCA login needs both user ID and password; ","")&amp;IF((TRIM(AP918)="")&lt;&gt;(TRIM(AQ918)=""),"E-way bill login needs both user ID and password; ","")</f>
        <v/>
      </c>
    </row>
    <row r="919">
      <c r="A919" s="32" t="n"/>
      <c r="B919" s="33" t="n"/>
      <c r="C919" s="33" t="n"/>
      <c r="D919" s="33" t="n"/>
      <c r="E919" s="32" t="n"/>
      <c r="F919" s="32" t="n"/>
      <c r="G919" s="32" t="n"/>
      <c r="H919" s="32" t="n"/>
      <c r="I919" s="32" t="n"/>
      <c r="J919" s="34" t="n"/>
      <c r="K919" s="33" t="n"/>
      <c r="L919" s="32" t="n"/>
      <c r="M919" s="33" t="n"/>
      <c r="N919" s="33" t="n"/>
      <c r="O919" s="33" t="n"/>
      <c r="P919" s="32" t="n"/>
      <c r="Q919" s="33" t="n"/>
      <c r="R919" s="33" t="n"/>
      <c r="S919" s="33" t="n"/>
      <c r="T919" s="33" t="n"/>
      <c r="U919" s="32" t="n"/>
      <c r="V919" s="33" t="n"/>
      <c r="W919" s="33" t="n"/>
      <c r="X919" s="33" t="n"/>
      <c r="Y919" s="33" t="n"/>
      <c r="Z919" s="33" t="n"/>
      <c r="AA919" s="33" t="n"/>
      <c r="AB919" s="33" t="n"/>
      <c r="AC919" s="33" t="n"/>
      <c r="AD919" s="33" t="n"/>
      <c r="AE919" s="33" t="n"/>
      <c r="AF919" s="32" t="n"/>
      <c r="AG919" s="32" t="n"/>
      <c r="AH919" s="32" t="n"/>
      <c r="AI919" s="32" t="n"/>
      <c r="AJ919" s="32" t="n"/>
      <c r="AK919" s="32" t="n"/>
      <c r="AL919" s="32" t="n"/>
      <c r="AM919" s="32" t="n"/>
      <c r="AN919" s="32" t="n"/>
      <c r="AO919" s="32" t="n"/>
      <c r="AP919" s="32" t="n"/>
      <c r="AQ919" s="32" t="n"/>
      <c r="AR919" s="29">
        <f>IF(NOT(COUNTA(A919:AE919)&gt;0),"",IF(A919="","New client","Update"))</f>
        <v/>
      </c>
      <c r="AS919" s="29">
        <f>IF(BA919&lt;&gt;"",BA919,IF(LEN(AZ919)=15,MID(AZ919,3,10),""))</f>
        <v/>
      </c>
      <c r="AT919" s="29">
        <f>IF(BB919="","",BB919&amp;IF(D919="","  (guessed from PAN)",""))</f>
        <v/>
      </c>
      <c r="AU919" s="29">
        <f>IF(AZ919="","",IFERROR(INDEX(Lists!$L$2:$L$38,MATCH(LEFT(AZ919,2),Lists!$K$2:$K$38,0)),"Unknown code"))</f>
        <v/>
      </c>
      <c r="AV919" s="29">
        <f>IF(AZ919="","",IFERROR(IF(NOT(AND(LEN(AZ919)=15,ISNUMBER(MATCH(LEFT(AZ919,2),Lists!$K$2:$K$38,0)),SUMPRODUCT(--ISERROR(FIND(MID(MID(AZ919,3,10),{1,2,3,4,5,10},1),"ABCDEFGHIJKLMNOPQRSTUVWXYZ")))=0,SUMPRODUCT(--ISERROR(FIND(MID(MID(AZ919,3,10),{6,7,8,9},1),"0123456789")))=0,ISNUMBER(FIND(MID(AZ919,13,1),"123456789ABCDEFGHIJKLMNOPQRSTUVWXYZ")),MID(AZ919,14,1)="Z")),"Wrong format",IF(MID("0123456789ABCDEFGHIJKLMNOPQRSTUVWXYZ",MOD(36-MOD(SUMPRODUCT(INT((FIND(MID(AZ919,{1,2,3,4,5,6,7,8,9,10,11,12,13,14},1),"0123456789ABCDEFGHIJKLMNOPQRSTUVWXYZ")-1)*{1,2,1,2,1,2,1,2,1,2,1,2,1,2}/36)+MOD((FIND(MID(AZ919,{1,2,3,4,5,6,7,8,9,10,11,12,13,14},1),"0123456789ABCDEFGHIJKLMNOPQRSTUVWXYZ")-1)*{1,2,1,2,1,2,1,2,1,2,1,2,1,2},36)),36),36)+1,1)=MID(AZ919,15,1),"OK","Typo? check digit wrong")),"Wrong format"))</f>
        <v/>
      </c>
      <c r="AW919" s="29">
        <f>IF(BA919="","",IF(AND(LEN(BA919)=10,SUMPRODUCT(--ISERROR(FIND(MID(BA919,{1,2,3,4,5,10},1),"ABCDEFGHIJKLMNOPQRSTUVWXYZ")))=0,SUMPRODUCT(--ISERROR(FIND(MID(BA919,{6,7,8,9},1),"0123456789")))=0),"OK","Wrong format"))</f>
        <v/>
      </c>
      <c r="AX919" s="29">
        <f>IF(TRIM(H919)="","",IF(AND(LEN(UPPER(TRIM(H919)))=10,SUMPRODUCT(--ISERROR(FIND(MID(UPPER(TRIM(H919)),{1,2,3,4,10},1),"ABCDEFGHIJKLMNOPQRSTUVWXYZ")))=0,SUMPRODUCT(--ISERROR(FIND(MID(UPPER(TRIM(H919)),{5,6,7,8,9},1),"0123456789")))=0),"OK","Wrong format"))</f>
        <v/>
      </c>
      <c r="AY919" s="30">
        <f>IF(NOT(COUNTA(A919:AE919)&gt;0),"",IF(BE919&lt;&gt;"","✖ "&amp;LEFT(BE919,LEN(BE919)-2),IF(BD919&gt;0,"✔ Ready — client + "&amp;BD919&amp;" service(s)","✔ Ready — client only")))</f>
        <v/>
      </c>
      <c r="AZ919" s="31">
        <f>UPPER(SUBSTITUTE(TRIM(F919)," ",""))</f>
        <v/>
      </c>
      <c r="BA919" s="31">
        <f>UPPER(SUBSTITUTE(TRIM(E919)," ",""))</f>
        <v/>
      </c>
      <c r="BB919" s="31">
        <f>IF(D919&lt;&gt;"",D919,IFERROR(VLOOKUP(MID(AS919,4,1),Lists!$E$2:$F$8,2,FALSE),""))</f>
        <v/>
      </c>
      <c r="BC919" s="31">
        <f>IFERROR(VLOOKUP(BB919,Lists!$A$2:$C$12,3,FALSE),"")</f>
        <v/>
      </c>
      <c r="BD919" s="31">
        <f>COUNTIF(W919:AC919,"Yes")</f>
        <v/>
      </c>
      <c r="BE919" s="31">
        <f>IF(TRIM(B919)="","Legal name missing; ","")&amp;IF(AND(AV919&lt;&gt;"",AV919&lt;&gt;"OK"),"GSTIN: "&amp;AV919&amp;"; ","")&amp;IF(AND(AW919&lt;&gt;"",AW919&lt;&gt;"OK"),"PAN wrong format; ","")&amp;IF(AND(BA919&lt;&gt;"",LEN(AZ919)=15,MID(AZ919,3,10)&lt;&gt;BA919),"PAN does not match GSTIN; ","")&amp;IF(AND(AX919&lt;&gt;"",AX919&lt;&gt;"OK"),"TAN wrong format; ","")&amp;IF(AS919="","PAN missing; ","")&amp;IF(BB919="","Entity type missing; ","")&amp;IF(AND(AZ919&lt;&gt;"",COUNTIF($AZ$6:$AZ$1005,AZ919)&gt;1),"GSTIN repeated in this sheet; ","")&amp;IF(AND(AS919&lt;&gt;"",COUNTIF($AS$6:$AS$1005,AS919)&gt;1),"PAN repeated in this sheet (same client? put extra GSTINs in Other GSTINs); ","")&amp;IF(AND(BD919&gt;0,V919=""),"Financial year missing; ","")&amp;IF(AND(BD919=0,V919&lt;&gt;""),"Financial year given but no service is Yes; ","")&amp;IF(AND(W919="Yes",AZ919=""),"GST needs a GSTIN; ","")&amp;IF(AND(W919="Yes",X919=""),"GST return frequency missing; ","")&amp;IF(AND(Y919="Yes",TRIM(H919)=""),"TDS needs a TAN; ","")&amp;IF(AND(AA919="Yes",BC919&lt;&gt;"",BC919&lt;&gt;"company",BC919&lt;&gt;"llp"),"ROC is only for a company / LLP; ","")&amp;IF(AND(AA919="Yes",OR(BC919="company",BC919="llp"),TRIM(I919)=""),"ROC needs the CIN / LLPIN; ","")&amp;IF((TRIM(AF919)="")&lt;&gt;(TRIM(AG919)=""),"GST login needs both user ID and password; ","")&amp;IF((TRIM(AH919)="")&lt;&gt;(TRIM(AI919)=""),"Income-tax login needs both user ID and password; ","")&amp;IF((TRIM(AJ919)="")&lt;&gt;(TRIM(AK919)=""),"Income-tax login needs both user ID and password; ","")&amp;IF((TRIM(AL919)="")&lt;&gt;(TRIM(AM919)=""),"TRACES login needs both user ID and password; ","")&amp;IF((TRIM(AN919)="")&lt;&gt;(TRIM(AO919)=""),"MCA login needs both user ID and password; ","")&amp;IF((TRIM(AP919)="")&lt;&gt;(TRIM(AQ919)=""),"E-way bill login needs both user ID and password; ","")</f>
        <v/>
      </c>
    </row>
    <row r="920">
      <c r="A920" s="32" t="n"/>
      <c r="B920" s="33" t="n"/>
      <c r="C920" s="33" t="n"/>
      <c r="D920" s="33" t="n"/>
      <c r="E920" s="32" t="n"/>
      <c r="F920" s="32" t="n"/>
      <c r="G920" s="32" t="n"/>
      <c r="H920" s="32" t="n"/>
      <c r="I920" s="32" t="n"/>
      <c r="J920" s="34" t="n"/>
      <c r="K920" s="33" t="n"/>
      <c r="L920" s="32" t="n"/>
      <c r="M920" s="33" t="n"/>
      <c r="N920" s="33" t="n"/>
      <c r="O920" s="33" t="n"/>
      <c r="P920" s="32" t="n"/>
      <c r="Q920" s="33" t="n"/>
      <c r="R920" s="33" t="n"/>
      <c r="S920" s="33" t="n"/>
      <c r="T920" s="33" t="n"/>
      <c r="U920" s="32" t="n"/>
      <c r="V920" s="33" t="n"/>
      <c r="W920" s="33" t="n"/>
      <c r="X920" s="33" t="n"/>
      <c r="Y920" s="33" t="n"/>
      <c r="Z920" s="33" t="n"/>
      <c r="AA920" s="33" t="n"/>
      <c r="AB920" s="33" t="n"/>
      <c r="AC920" s="33" t="n"/>
      <c r="AD920" s="33" t="n"/>
      <c r="AE920" s="33" t="n"/>
      <c r="AF920" s="32" t="n"/>
      <c r="AG920" s="32" t="n"/>
      <c r="AH920" s="32" t="n"/>
      <c r="AI920" s="32" t="n"/>
      <c r="AJ920" s="32" t="n"/>
      <c r="AK920" s="32" t="n"/>
      <c r="AL920" s="32" t="n"/>
      <c r="AM920" s="32" t="n"/>
      <c r="AN920" s="32" t="n"/>
      <c r="AO920" s="32" t="n"/>
      <c r="AP920" s="32" t="n"/>
      <c r="AQ920" s="32" t="n"/>
      <c r="AR920" s="29">
        <f>IF(NOT(COUNTA(A920:AE920)&gt;0),"",IF(A920="","New client","Update"))</f>
        <v/>
      </c>
      <c r="AS920" s="29">
        <f>IF(BA920&lt;&gt;"",BA920,IF(LEN(AZ920)=15,MID(AZ920,3,10),""))</f>
        <v/>
      </c>
      <c r="AT920" s="29">
        <f>IF(BB920="","",BB920&amp;IF(D920="","  (guessed from PAN)",""))</f>
        <v/>
      </c>
      <c r="AU920" s="29">
        <f>IF(AZ920="","",IFERROR(INDEX(Lists!$L$2:$L$38,MATCH(LEFT(AZ920,2),Lists!$K$2:$K$38,0)),"Unknown code"))</f>
        <v/>
      </c>
      <c r="AV920" s="29">
        <f>IF(AZ920="","",IFERROR(IF(NOT(AND(LEN(AZ920)=15,ISNUMBER(MATCH(LEFT(AZ920,2),Lists!$K$2:$K$38,0)),SUMPRODUCT(--ISERROR(FIND(MID(MID(AZ920,3,10),{1,2,3,4,5,10},1),"ABCDEFGHIJKLMNOPQRSTUVWXYZ")))=0,SUMPRODUCT(--ISERROR(FIND(MID(MID(AZ920,3,10),{6,7,8,9},1),"0123456789")))=0,ISNUMBER(FIND(MID(AZ920,13,1),"123456789ABCDEFGHIJKLMNOPQRSTUVWXYZ")),MID(AZ920,14,1)="Z")),"Wrong format",IF(MID("0123456789ABCDEFGHIJKLMNOPQRSTUVWXYZ",MOD(36-MOD(SUMPRODUCT(INT((FIND(MID(AZ920,{1,2,3,4,5,6,7,8,9,10,11,12,13,14},1),"0123456789ABCDEFGHIJKLMNOPQRSTUVWXYZ")-1)*{1,2,1,2,1,2,1,2,1,2,1,2,1,2}/36)+MOD((FIND(MID(AZ920,{1,2,3,4,5,6,7,8,9,10,11,12,13,14},1),"0123456789ABCDEFGHIJKLMNOPQRSTUVWXYZ")-1)*{1,2,1,2,1,2,1,2,1,2,1,2,1,2},36)),36),36)+1,1)=MID(AZ920,15,1),"OK","Typo? check digit wrong")),"Wrong format"))</f>
        <v/>
      </c>
      <c r="AW920" s="29">
        <f>IF(BA920="","",IF(AND(LEN(BA920)=10,SUMPRODUCT(--ISERROR(FIND(MID(BA920,{1,2,3,4,5,10},1),"ABCDEFGHIJKLMNOPQRSTUVWXYZ")))=0,SUMPRODUCT(--ISERROR(FIND(MID(BA920,{6,7,8,9},1),"0123456789")))=0),"OK","Wrong format"))</f>
        <v/>
      </c>
      <c r="AX920" s="29">
        <f>IF(TRIM(H920)="","",IF(AND(LEN(UPPER(TRIM(H920)))=10,SUMPRODUCT(--ISERROR(FIND(MID(UPPER(TRIM(H920)),{1,2,3,4,10},1),"ABCDEFGHIJKLMNOPQRSTUVWXYZ")))=0,SUMPRODUCT(--ISERROR(FIND(MID(UPPER(TRIM(H920)),{5,6,7,8,9},1),"0123456789")))=0),"OK","Wrong format"))</f>
        <v/>
      </c>
      <c r="AY920" s="30">
        <f>IF(NOT(COUNTA(A920:AE920)&gt;0),"",IF(BE920&lt;&gt;"","✖ "&amp;LEFT(BE920,LEN(BE920)-2),IF(BD920&gt;0,"✔ Ready — client + "&amp;BD920&amp;" service(s)","✔ Ready — client only")))</f>
        <v/>
      </c>
      <c r="AZ920" s="31">
        <f>UPPER(SUBSTITUTE(TRIM(F920)," ",""))</f>
        <v/>
      </c>
      <c r="BA920" s="31">
        <f>UPPER(SUBSTITUTE(TRIM(E920)," ",""))</f>
        <v/>
      </c>
      <c r="BB920" s="31">
        <f>IF(D920&lt;&gt;"",D920,IFERROR(VLOOKUP(MID(AS920,4,1),Lists!$E$2:$F$8,2,FALSE),""))</f>
        <v/>
      </c>
      <c r="BC920" s="31">
        <f>IFERROR(VLOOKUP(BB920,Lists!$A$2:$C$12,3,FALSE),"")</f>
        <v/>
      </c>
      <c r="BD920" s="31">
        <f>COUNTIF(W920:AC920,"Yes")</f>
        <v/>
      </c>
      <c r="BE920" s="31">
        <f>IF(TRIM(B920)="","Legal name missing; ","")&amp;IF(AND(AV920&lt;&gt;"",AV920&lt;&gt;"OK"),"GSTIN: "&amp;AV920&amp;"; ","")&amp;IF(AND(AW920&lt;&gt;"",AW920&lt;&gt;"OK"),"PAN wrong format; ","")&amp;IF(AND(BA920&lt;&gt;"",LEN(AZ920)=15,MID(AZ920,3,10)&lt;&gt;BA920),"PAN does not match GSTIN; ","")&amp;IF(AND(AX920&lt;&gt;"",AX920&lt;&gt;"OK"),"TAN wrong format; ","")&amp;IF(AS920="","PAN missing; ","")&amp;IF(BB920="","Entity type missing; ","")&amp;IF(AND(AZ920&lt;&gt;"",COUNTIF($AZ$6:$AZ$1005,AZ920)&gt;1),"GSTIN repeated in this sheet; ","")&amp;IF(AND(AS920&lt;&gt;"",COUNTIF($AS$6:$AS$1005,AS920)&gt;1),"PAN repeated in this sheet (same client? put extra GSTINs in Other GSTINs); ","")&amp;IF(AND(BD920&gt;0,V920=""),"Financial year missing; ","")&amp;IF(AND(BD920=0,V920&lt;&gt;""),"Financial year given but no service is Yes; ","")&amp;IF(AND(W920="Yes",AZ920=""),"GST needs a GSTIN; ","")&amp;IF(AND(W920="Yes",X920=""),"GST return frequency missing; ","")&amp;IF(AND(Y920="Yes",TRIM(H920)=""),"TDS needs a TAN; ","")&amp;IF(AND(AA920="Yes",BC920&lt;&gt;"",BC920&lt;&gt;"company",BC920&lt;&gt;"llp"),"ROC is only for a company / LLP; ","")&amp;IF(AND(AA920="Yes",OR(BC920="company",BC920="llp"),TRIM(I920)=""),"ROC needs the CIN / LLPIN; ","")&amp;IF((TRIM(AF920)="")&lt;&gt;(TRIM(AG920)=""),"GST login needs both user ID and password; ","")&amp;IF((TRIM(AH920)="")&lt;&gt;(TRIM(AI920)=""),"Income-tax login needs both user ID and password; ","")&amp;IF((TRIM(AJ920)="")&lt;&gt;(TRIM(AK920)=""),"Income-tax login needs both user ID and password; ","")&amp;IF((TRIM(AL920)="")&lt;&gt;(TRIM(AM920)=""),"TRACES login needs both user ID and password; ","")&amp;IF((TRIM(AN920)="")&lt;&gt;(TRIM(AO920)=""),"MCA login needs both user ID and password; ","")&amp;IF((TRIM(AP920)="")&lt;&gt;(TRIM(AQ920)=""),"E-way bill login needs both user ID and password; ","")</f>
        <v/>
      </c>
    </row>
    <row r="921">
      <c r="A921" s="32" t="n"/>
      <c r="B921" s="33" t="n"/>
      <c r="C921" s="33" t="n"/>
      <c r="D921" s="33" t="n"/>
      <c r="E921" s="32" t="n"/>
      <c r="F921" s="32" t="n"/>
      <c r="G921" s="32" t="n"/>
      <c r="H921" s="32" t="n"/>
      <c r="I921" s="32" t="n"/>
      <c r="J921" s="34" t="n"/>
      <c r="K921" s="33" t="n"/>
      <c r="L921" s="32" t="n"/>
      <c r="M921" s="33" t="n"/>
      <c r="N921" s="33" t="n"/>
      <c r="O921" s="33" t="n"/>
      <c r="P921" s="32" t="n"/>
      <c r="Q921" s="33" t="n"/>
      <c r="R921" s="33" t="n"/>
      <c r="S921" s="33" t="n"/>
      <c r="T921" s="33" t="n"/>
      <c r="U921" s="32" t="n"/>
      <c r="V921" s="33" t="n"/>
      <c r="W921" s="33" t="n"/>
      <c r="X921" s="33" t="n"/>
      <c r="Y921" s="33" t="n"/>
      <c r="Z921" s="33" t="n"/>
      <c r="AA921" s="33" t="n"/>
      <c r="AB921" s="33" t="n"/>
      <c r="AC921" s="33" t="n"/>
      <c r="AD921" s="33" t="n"/>
      <c r="AE921" s="33" t="n"/>
      <c r="AF921" s="32" t="n"/>
      <c r="AG921" s="32" t="n"/>
      <c r="AH921" s="32" t="n"/>
      <c r="AI921" s="32" t="n"/>
      <c r="AJ921" s="32" t="n"/>
      <c r="AK921" s="32" t="n"/>
      <c r="AL921" s="32" t="n"/>
      <c r="AM921" s="32" t="n"/>
      <c r="AN921" s="32" t="n"/>
      <c r="AO921" s="32" t="n"/>
      <c r="AP921" s="32" t="n"/>
      <c r="AQ921" s="32" t="n"/>
      <c r="AR921" s="29">
        <f>IF(NOT(COUNTA(A921:AE921)&gt;0),"",IF(A921="","New client","Update"))</f>
        <v/>
      </c>
      <c r="AS921" s="29">
        <f>IF(BA921&lt;&gt;"",BA921,IF(LEN(AZ921)=15,MID(AZ921,3,10),""))</f>
        <v/>
      </c>
      <c r="AT921" s="29">
        <f>IF(BB921="","",BB921&amp;IF(D921="","  (guessed from PAN)",""))</f>
        <v/>
      </c>
      <c r="AU921" s="29">
        <f>IF(AZ921="","",IFERROR(INDEX(Lists!$L$2:$L$38,MATCH(LEFT(AZ921,2),Lists!$K$2:$K$38,0)),"Unknown code"))</f>
        <v/>
      </c>
      <c r="AV921" s="29">
        <f>IF(AZ921="","",IFERROR(IF(NOT(AND(LEN(AZ921)=15,ISNUMBER(MATCH(LEFT(AZ921,2),Lists!$K$2:$K$38,0)),SUMPRODUCT(--ISERROR(FIND(MID(MID(AZ921,3,10),{1,2,3,4,5,10},1),"ABCDEFGHIJKLMNOPQRSTUVWXYZ")))=0,SUMPRODUCT(--ISERROR(FIND(MID(MID(AZ921,3,10),{6,7,8,9},1),"0123456789")))=0,ISNUMBER(FIND(MID(AZ921,13,1),"123456789ABCDEFGHIJKLMNOPQRSTUVWXYZ")),MID(AZ921,14,1)="Z")),"Wrong format",IF(MID("0123456789ABCDEFGHIJKLMNOPQRSTUVWXYZ",MOD(36-MOD(SUMPRODUCT(INT((FIND(MID(AZ921,{1,2,3,4,5,6,7,8,9,10,11,12,13,14},1),"0123456789ABCDEFGHIJKLMNOPQRSTUVWXYZ")-1)*{1,2,1,2,1,2,1,2,1,2,1,2,1,2}/36)+MOD((FIND(MID(AZ921,{1,2,3,4,5,6,7,8,9,10,11,12,13,14},1),"0123456789ABCDEFGHIJKLMNOPQRSTUVWXYZ")-1)*{1,2,1,2,1,2,1,2,1,2,1,2,1,2},36)),36),36)+1,1)=MID(AZ921,15,1),"OK","Typo? check digit wrong")),"Wrong format"))</f>
        <v/>
      </c>
      <c r="AW921" s="29">
        <f>IF(BA921="","",IF(AND(LEN(BA921)=10,SUMPRODUCT(--ISERROR(FIND(MID(BA921,{1,2,3,4,5,10},1),"ABCDEFGHIJKLMNOPQRSTUVWXYZ")))=0,SUMPRODUCT(--ISERROR(FIND(MID(BA921,{6,7,8,9},1),"0123456789")))=0),"OK","Wrong format"))</f>
        <v/>
      </c>
      <c r="AX921" s="29">
        <f>IF(TRIM(H921)="","",IF(AND(LEN(UPPER(TRIM(H921)))=10,SUMPRODUCT(--ISERROR(FIND(MID(UPPER(TRIM(H921)),{1,2,3,4,10},1),"ABCDEFGHIJKLMNOPQRSTUVWXYZ")))=0,SUMPRODUCT(--ISERROR(FIND(MID(UPPER(TRIM(H921)),{5,6,7,8,9},1),"0123456789")))=0),"OK","Wrong format"))</f>
        <v/>
      </c>
      <c r="AY921" s="30">
        <f>IF(NOT(COUNTA(A921:AE921)&gt;0),"",IF(BE921&lt;&gt;"","✖ "&amp;LEFT(BE921,LEN(BE921)-2),IF(BD921&gt;0,"✔ Ready — client + "&amp;BD921&amp;" service(s)","✔ Ready — client only")))</f>
        <v/>
      </c>
      <c r="AZ921" s="31">
        <f>UPPER(SUBSTITUTE(TRIM(F921)," ",""))</f>
        <v/>
      </c>
      <c r="BA921" s="31">
        <f>UPPER(SUBSTITUTE(TRIM(E921)," ",""))</f>
        <v/>
      </c>
      <c r="BB921" s="31">
        <f>IF(D921&lt;&gt;"",D921,IFERROR(VLOOKUP(MID(AS921,4,1),Lists!$E$2:$F$8,2,FALSE),""))</f>
        <v/>
      </c>
      <c r="BC921" s="31">
        <f>IFERROR(VLOOKUP(BB921,Lists!$A$2:$C$12,3,FALSE),"")</f>
        <v/>
      </c>
      <c r="BD921" s="31">
        <f>COUNTIF(W921:AC921,"Yes")</f>
        <v/>
      </c>
      <c r="BE921" s="31">
        <f>IF(TRIM(B921)="","Legal name missing; ","")&amp;IF(AND(AV921&lt;&gt;"",AV921&lt;&gt;"OK"),"GSTIN: "&amp;AV921&amp;"; ","")&amp;IF(AND(AW921&lt;&gt;"",AW921&lt;&gt;"OK"),"PAN wrong format; ","")&amp;IF(AND(BA921&lt;&gt;"",LEN(AZ921)=15,MID(AZ921,3,10)&lt;&gt;BA921),"PAN does not match GSTIN; ","")&amp;IF(AND(AX921&lt;&gt;"",AX921&lt;&gt;"OK"),"TAN wrong format; ","")&amp;IF(AS921="","PAN missing; ","")&amp;IF(BB921="","Entity type missing; ","")&amp;IF(AND(AZ921&lt;&gt;"",COUNTIF($AZ$6:$AZ$1005,AZ921)&gt;1),"GSTIN repeated in this sheet; ","")&amp;IF(AND(AS921&lt;&gt;"",COUNTIF($AS$6:$AS$1005,AS921)&gt;1),"PAN repeated in this sheet (same client? put extra GSTINs in Other GSTINs); ","")&amp;IF(AND(BD921&gt;0,V921=""),"Financial year missing; ","")&amp;IF(AND(BD921=0,V921&lt;&gt;""),"Financial year given but no service is Yes; ","")&amp;IF(AND(W921="Yes",AZ921=""),"GST needs a GSTIN; ","")&amp;IF(AND(W921="Yes",X921=""),"GST return frequency missing; ","")&amp;IF(AND(Y921="Yes",TRIM(H921)=""),"TDS needs a TAN; ","")&amp;IF(AND(AA921="Yes",BC921&lt;&gt;"",BC921&lt;&gt;"company",BC921&lt;&gt;"llp"),"ROC is only for a company / LLP; ","")&amp;IF(AND(AA921="Yes",OR(BC921="company",BC921="llp"),TRIM(I921)=""),"ROC needs the CIN / LLPIN; ","")&amp;IF((TRIM(AF921)="")&lt;&gt;(TRIM(AG921)=""),"GST login needs both user ID and password; ","")&amp;IF((TRIM(AH921)="")&lt;&gt;(TRIM(AI921)=""),"Income-tax login needs both user ID and password; ","")&amp;IF((TRIM(AJ921)="")&lt;&gt;(TRIM(AK921)=""),"Income-tax login needs both user ID and password; ","")&amp;IF((TRIM(AL921)="")&lt;&gt;(TRIM(AM921)=""),"TRACES login needs both user ID and password; ","")&amp;IF((TRIM(AN921)="")&lt;&gt;(TRIM(AO921)=""),"MCA login needs both user ID and password; ","")&amp;IF((TRIM(AP921)="")&lt;&gt;(TRIM(AQ921)=""),"E-way bill login needs both user ID and password; ","")</f>
        <v/>
      </c>
    </row>
    <row r="922">
      <c r="A922" s="32" t="n"/>
      <c r="B922" s="33" t="n"/>
      <c r="C922" s="33" t="n"/>
      <c r="D922" s="33" t="n"/>
      <c r="E922" s="32" t="n"/>
      <c r="F922" s="32" t="n"/>
      <c r="G922" s="32" t="n"/>
      <c r="H922" s="32" t="n"/>
      <c r="I922" s="32" t="n"/>
      <c r="J922" s="34" t="n"/>
      <c r="K922" s="33" t="n"/>
      <c r="L922" s="32" t="n"/>
      <c r="M922" s="33" t="n"/>
      <c r="N922" s="33" t="n"/>
      <c r="O922" s="33" t="n"/>
      <c r="P922" s="32" t="n"/>
      <c r="Q922" s="33" t="n"/>
      <c r="R922" s="33" t="n"/>
      <c r="S922" s="33" t="n"/>
      <c r="T922" s="33" t="n"/>
      <c r="U922" s="32" t="n"/>
      <c r="V922" s="33" t="n"/>
      <c r="W922" s="33" t="n"/>
      <c r="X922" s="33" t="n"/>
      <c r="Y922" s="33" t="n"/>
      <c r="Z922" s="33" t="n"/>
      <c r="AA922" s="33" t="n"/>
      <c r="AB922" s="33" t="n"/>
      <c r="AC922" s="33" t="n"/>
      <c r="AD922" s="33" t="n"/>
      <c r="AE922" s="33" t="n"/>
      <c r="AF922" s="32" t="n"/>
      <c r="AG922" s="32" t="n"/>
      <c r="AH922" s="32" t="n"/>
      <c r="AI922" s="32" t="n"/>
      <c r="AJ922" s="32" t="n"/>
      <c r="AK922" s="32" t="n"/>
      <c r="AL922" s="32" t="n"/>
      <c r="AM922" s="32" t="n"/>
      <c r="AN922" s="32" t="n"/>
      <c r="AO922" s="32" t="n"/>
      <c r="AP922" s="32" t="n"/>
      <c r="AQ922" s="32" t="n"/>
      <c r="AR922" s="29">
        <f>IF(NOT(COUNTA(A922:AE922)&gt;0),"",IF(A922="","New client","Update"))</f>
        <v/>
      </c>
      <c r="AS922" s="29">
        <f>IF(BA922&lt;&gt;"",BA922,IF(LEN(AZ922)=15,MID(AZ922,3,10),""))</f>
        <v/>
      </c>
      <c r="AT922" s="29">
        <f>IF(BB922="","",BB922&amp;IF(D922="","  (guessed from PAN)",""))</f>
        <v/>
      </c>
      <c r="AU922" s="29">
        <f>IF(AZ922="","",IFERROR(INDEX(Lists!$L$2:$L$38,MATCH(LEFT(AZ922,2),Lists!$K$2:$K$38,0)),"Unknown code"))</f>
        <v/>
      </c>
      <c r="AV922" s="29">
        <f>IF(AZ922="","",IFERROR(IF(NOT(AND(LEN(AZ922)=15,ISNUMBER(MATCH(LEFT(AZ922,2),Lists!$K$2:$K$38,0)),SUMPRODUCT(--ISERROR(FIND(MID(MID(AZ922,3,10),{1,2,3,4,5,10},1),"ABCDEFGHIJKLMNOPQRSTUVWXYZ")))=0,SUMPRODUCT(--ISERROR(FIND(MID(MID(AZ922,3,10),{6,7,8,9},1),"0123456789")))=0,ISNUMBER(FIND(MID(AZ922,13,1),"123456789ABCDEFGHIJKLMNOPQRSTUVWXYZ")),MID(AZ922,14,1)="Z")),"Wrong format",IF(MID("0123456789ABCDEFGHIJKLMNOPQRSTUVWXYZ",MOD(36-MOD(SUMPRODUCT(INT((FIND(MID(AZ922,{1,2,3,4,5,6,7,8,9,10,11,12,13,14},1),"0123456789ABCDEFGHIJKLMNOPQRSTUVWXYZ")-1)*{1,2,1,2,1,2,1,2,1,2,1,2,1,2}/36)+MOD((FIND(MID(AZ922,{1,2,3,4,5,6,7,8,9,10,11,12,13,14},1),"0123456789ABCDEFGHIJKLMNOPQRSTUVWXYZ")-1)*{1,2,1,2,1,2,1,2,1,2,1,2,1,2},36)),36),36)+1,1)=MID(AZ922,15,1),"OK","Typo? check digit wrong")),"Wrong format"))</f>
        <v/>
      </c>
      <c r="AW922" s="29">
        <f>IF(BA922="","",IF(AND(LEN(BA922)=10,SUMPRODUCT(--ISERROR(FIND(MID(BA922,{1,2,3,4,5,10},1),"ABCDEFGHIJKLMNOPQRSTUVWXYZ")))=0,SUMPRODUCT(--ISERROR(FIND(MID(BA922,{6,7,8,9},1),"0123456789")))=0),"OK","Wrong format"))</f>
        <v/>
      </c>
      <c r="AX922" s="29">
        <f>IF(TRIM(H922)="","",IF(AND(LEN(UPPER(TRIM(H922)))=10,SUMPRODUCT(--ISERROR(FIND(MID(UPPER(TRIM(H922)),{1,2,3,4,10},1),"ABCDEFGHIJKLMNOPQRSTUVWXYZ")))=0,SUMPRODUCT(--ISERROR(FIND(MID(UPPER(TRIM(H922)),{5,6,7,8,9},1),"0123456789")))=0),"OK","Wrong format"))</f>
        <v/>
      </c>
      <c r="AY922" s="30">
        <f>IF(NOT(COUNTA(A922:AE922)&gt;0),"",IF(BE922&lt;&gt;"","✖ "&amp;LEFT(BE922,LEN(BE922)-2),IF(BD922&gt;0,"✔ Ready — client + "&amp;BD922&amp;" service(s)","✔ Ready — client only")))</f>
        <v/>
      </c>
      <c r="AZ922" s="31">
        <f>UPPER(SUBSTITUTE(TRIM(F922)," ",""))</f>
        <v/>
      </c>
      <c r="BA922" s="31">
        <f>UPPER(SUBSTITUTE(TRIM(E922)," ",""))</f>
        <v/>
      </c>
      <c r="BB922" s="31">
        <f>IF(D922&lt;&gt;"",D922,IFERROR(VLOOKUP(MID(AS922,4,1),Lists!$E$2:$F$8,2,FALSE),""))</f>
        <v/>
      </c>
      <c r="BC922" s="31">
        <f>IFERROR(VLOOKUP(BB922,Lists!$A$2:$C$12,3,FALSE),"")</f>
        <v/>
      </c>
      <c r="BD922" s="31">
        <f>COUNTIF(W922:AC922,"Yes")</f>
        <v/>
      </c>
      <c r="BE922" s="31">
        <f>IF(TRIM(B922)="","Legal name missing; ","")&amp;IF(AND(AV922&lt;&gt;"",AV922&lt;&gt;"OK"),"GSTIN: "&amp;AV922&amp;"; ","")&amp;IF(AND(AW922&lt;&gt;"",AW922&lt;&gt;"OK"),"PAN wrong format; ","")&amp;IF(AND(BA922&lt;&gt;"",LEN(AZ922)=15,MID(AZ922,3,10)&lt;&gt;BA922),"PAN does not match GSTIN; ","")&amp;IF(AND(AX922&lt;&gt;"",AX922&lt;&gt;"OK"),"TAN wrong format; ","")&amp;IF(AS922="","PAN missing; ","")&amp;IF(BB922="","Entity type missing; ","")&amp;IF(AND(AZ922&lt;&gt;"",COUNTIF($AZ$6:$AZ$1005,AZ922)&gt;1),"GSTIN repeated in this sheet; ","")&amp;IF(AND(AS922&lt;&gt;"",COUNTIF($AS$6:$AS$1005,AS922)&gt;1),"PAN repeated in this sheet (same client? put extra GSTINs in Other GSTINs); ","")&amp;IF(AND(BD922&gt;0,V922=""),"Financial year missing; ","")&amp;IF(AND(BD922=0,V922&lt;&gt;""),"Financial year given but no service is Yes; ","")&amp;IF(AND(W922="Yes",AZ922=""),"GST needs a GSTIN; ","")&amp;IF(AND(W922="Yes",X922=""),"GST return frequency missing; ","")&amp;IF(AND(Y922="Yes",TRIM(H922)=""),"TDS needs a TAN; ","")&amp;IF(AND(AA922="Yes",BC922&lt;&gt;"",BC922&lt;&gt;"company",BC922&lt;&gt;"llp"),"ROC is only for a company / LLP; ","")&amp;IF(AND(AA922="Yes",OR(BC922="company",BC922="llp"),TRIM(I922)=""),"ROC needs the CIN / LLPIN; ","")&amp;IF((TRIM(AF922)="")&lt;&gt;(TRIM(AG922)=""),"GST login needs both user ID and password; ","")&amp;IF((TRIM(AH922)="")&lt;&gt;(TRIM(AI922)=""),"Income-tax login needs both user ID and password; ","")&amp;IF((TRIM(AJ922)="")&lt;&gt;(TRIM(AK922)=""),"Income-tax login needs both user ID and password; ","")&amp;IF((TRIM(AL922)="")&lt;&gt;(TRIM(AM922)=""),"TRACES login needs both user ID and password; ","")&amp;IF((TRIM(AN922)="")&lt;&gt;(TRIM(AO922)=""),"MCA login needs both user ID and password; ","")&amp;IF((TRIM(AP922)="")&lt;&gt;(TRIM(AQ922)=""),"E-way bill login needs both user ID and password; ","")</f>
        <v/>
      </c>
    </row>
    <row r="923">
      <c r="A923" s="32" t="n"/>
      <c r="B923" s="33" t="n"/>
      <c r="C923" s="33" t="n"/>
      <c r="D923" s="33" t="n"/>
      <c r="E923" s="32" t="n"/>
      <c r="F923" s="32" t="n"/>
      <c r="G923" s="32" t="n"/>
      <c r="H923" s="32" t="n"/>
      <c r="I923" s="32" t="n"/>
      <c r="J923" s="34" t="n"/>
      <c r="K923" s="33" t="n"/>
      <c r="L923" s="32" t="n"/>
      <c r="M923" s="33" t="n"/>
      <c r="N923" s="33" t="n"/>
      <c r="O923" s="33" t="n"/>
      <c r="P923" s="32" t="n"/>
      <c r="Q923" s="33" t="n"/>
      <c r="R923" s="33" t="n"/>
      <c r="S923" s="33" t="n"/>
      <c r="T923" s="33" t="n"/>
      <c r="U923" s="32" t="n"/>
      <c r="V923" s="33" t="n"/>
      <c r="W923" s="33" t="n"/>
      <c r="X923" s="33" t="n"/>
      <c r="Y923" s="33" t="n"/>
      <c r="Z923" s="33" t="n"/>
      <c r="AA923" s="33" t="n"/>
      <c r="AB923" s="33" t="n"/>
      <c r="AC923" s="33" t="n"/>
      <c r="AD923" s="33" t="n"/>
      <c r="AE923" s="33" t="n"/>
      <c r="AF923" s="32" t="n"/>
      <c r="AG923" s="32" t="n"/>
      <c r="AH923" s="32" t="n"/>
      <c r="AI923" s="32" t="n"/>
      <c r="AJ923" s="32" t="n"/>
      <c r="AK923" s="32" t="n"/>
      <c r="AL923" s="32" t="n"/>
      <c r="AM923" s="32" t="n"/>
      <c r="AN923" s="32" t="n"/>
      <c r="AO923" s="32" t="n"/>
      <c r="AP923" s="32" t="n"/>
      <c r="AQ923" s="32" t="n"/>
      <c r="AR923" s="29">
        <f>IF(NOT(COUNTA(A923:AE923)&gt;0),"",IF(A923="","New client","Update"))</f>
        <v/>
      </c>
      <c r="AS923" s="29">
        <f>IF(BA923&lt;&gt;"",BA923,IF(LEN(AZ923)=15,MID(AZ923,3,10),""))</f>
        <v/>
      </c>
      <c r="AT923" s="29">
        <f>IF(BB923="","",BB923&amp;IF(D923="","  (guessed from PAN)",""))</f>
        <v/>
      </c>
      <c r="AU923" s="29">
        <f>IF(AZ923="","",IFERROR(INDEX(Lists!$L$2:$L$38,MATCH(LEFT(AZ923,2),Lists!$K$2:$K$38,0)),"Unknown code"))</f>
        <v/>
      </c>
      <c r="AV923" s="29">
        <f>IF(AZ923="","",IFERROR(IF(NOT(AND(LEN(AZ923)=15,ISNUMBER(MATCH(LEFT(AZ923,2),Lists!$K$2:$K$38,0)),SUMPRODUCT(--ISERROR(FIND(MID(MID(AZ923,3,10),{1,2,3,4,5,10},1),"ABCDEFGHIJKLMNOPQRSTUVWXYZ")))=0,SUMPRODUCT(--ISERROR(FIND(MID(MID(AZ923,3,10),{6,7,8,9},1),"0123456789")))=0,ISNUMBER(FIND(MID(AZ923,13,1),"123456789ABCDEFGHIJKLMNOPQRSTUVWXYZ")),MID(AZ923,14,1)="Z")),"Wrong format",IF(MID("0123456789ABCDEFGHIJKLMNOPQRSTUVWXYZ",MOD(36-MOD(SUMPRODUCT(INT((FIND(MID(AZ923,{1,2,3,4,5,6,7,8,9,10,11,12,13,14},1),"0123456789ABCDEFGHIJKLMNOPQRSTUVWXYZ")-1)*{1,2,1,2,1,2,1,2,1,2,1,2,1,2}/36)+MOD((FIND(MID(AZ923,{1,2,3,4,5,6,7,8,9,10,11,12,13,14},1),"0123456789ABCDEFGHIJKLMNOPQRSTUVWXYZ")-1)*{1,2,1,2,1,2,1,2,1,2,1,2,1,2},36)),36),36)+1,1)=MID(AZ923,15,1),"OK","Typo? check digit wrong")),"Wrong format"))</f>
        <v/>
      </c>
      <c r="AW923" s="29">
        <f>IF(BA923="","",IF(AND(LEN(BA923)=10,SUMPRODUCT(--ISERROR(FIND(MID(BA923,{1,2,3,4,5,10},1),"ABCDEFGHIJKLMNOPQRSTUVWXYZ")))=0,SUMPRODUCT(--ISERROR(FIND(MID(BA923,{6,7,8,9},1),"0123456789")))=0),"OK","Wrong format"))</f>
        <v/>
      </c>
      <c r="AX923" s="29">
        <f>IF(TRIM(H923)="","",IF(AND(LEN(UPPER(TRIM(H923)))=10,SUMPRODUCT(--ISERROR(FIND(MID(UPPER(TRIM(H923)),{1,2,3,4,10},1),"ABCDEFGHIJKLMNOPQRSTUVWXYZ")))=0,SUMPRODUCT(--ISERROR(FIND(MID(UPPER(TRIM(H923)),{5,6,7,8,9},1),"0123456789")))=0),"OK","Wrong format"))</f>
        <v/>
      </c>
      <c r="AY923" s="30">
        <f>IF(NOT(COUNTA(A923:AE923)&gt;0),"",IF(BE923&lt;&gt;"","✖ "&amp;LEFT(BE923,LEN(BE923)-2),IF(BD923&gt;0,"✔ Ready — client + "&amp;BD923&amp;" service(s)","✔ Ready — client only")))</f>
        <v/>
      </c>
      <c r="AZ923" s="31">
        <f>UPPER(SUBSTITUTE(TRIM(F923)," ",""))</f>
        <v/>
      </c>
      <c r="BA923" s="31">
        <f>UPPER(SUBSTITUTE(TRIM(E923)," ",""))</f>
        <v/>
      </c>
      <c r="BB923" s="31">
        <f>IF(D923&lt;&gt;"",D923,IFERROR(VLOOKUP(MID(AS923,4,1),Lists!$E$2:$F$8,2,FALSE),""))</f>
        <v/>
      </c>
      <c r="BC923" s="31">
        <f>IFERROR(VLOOKUP(BB923,Lists!$A$2:$C$12,3,FALSE),"")</f>
        <v/>
      </c>
      <c r="BD923" s="31">
        <f>COUNTIF(W923:AC923,"Yes")</f>
        <v/>
      </c>
      <c r="BE923" s="31">
        <f>IF(TRIM(B923)="","Legal name missing; ","")&amp;IF(AND(AV923&lt;&gt;"",AV923&lt;&gt;"OK"),"GSTIN: "&amp;AV923&amp;"; ","")&amp;IF(AND(AW923&lt;&gt;"",AW923&lt;&gt;"OK"),"PAN wrong format; ","")&amp;IF(AND(BA923&lt;&gt;"",LEN(AZ923)=15,MID(AZ923,3,10)&lt;&gt;BA923),"PAN does not match GSTIN; ","")&amp;IF(AND(AX923&lt;&gt;"",AX923&lt;&gt;"OK"),"TAN wrong format; ","")&amp;IF(AS923="","PAN missing; ","")&amp;IF(BB923="","Entity type missing; ","")&amp;IF(AND(AZ923&lt;&gt;"",COUNTIF($AZ$6:$AZ$1005,AZ923)&gt;1),"GSTIN repeated in this sheet; ","")&amp;IF(AND(AS923&lt;&gt;"",COUNTIF($AS$6:$AS$1005,AS923)&gt;1),"PAN repeated in this sheet (same client? put extra GSTINs in Other GSTINs); ","")&amp;IF(AND(BD923&gt;0,V923=""),"Financial year missing; ","")&amp;IF(AND(BD923=0,V923&lt;&gt;""),"Financial year given but no service is Yes; ","")&amp;IF(AND(W923="Yes",AZ923=""),"GST needs a GSTIN; ","")&amp;IF(AND(W923="Yes",X923=""),"GST return frequency missing; ","")&amp;IF(AND(Y923="Yes",TRIM(H923)=""),"TDS needs a TAN; ","")&amp;IF(AND(AA923="Yes",BC923&lt;&gt;"",BC923&lt;&gt;"company",BC923&lt;&gt;"llp"),"ROC is only for a company / LLP; ","")&amp;IF(AND(AA923="Yes",OR(BC923="company",BC923="llp"),TRIM(I923)=""),"ROC needs the CIN / LLPIN; ","")&amp;IF((TRIM(AF923)="")&lt;&gt;(TRIM(AG923)=""),"GST login needs both user ID and password; ","")&amp;IF((TRIM(AH923)="")&lt;&gt;(TRIM(AI923)=""),"Income-tax login needs both user ID and password; ","")&amp;IF((TRIM(AJ923)="")&lt;&gt;(TRIM(AK923)=""),"Income-tax login needs both user ID and password; ","")&amp;IF((TRIM(AL923)="")&lt;&gt;(TRIM(AM923)=""),"TRACES login needs both user ID and password; ","")&amp;IF((TRIM(AN923)="")&lt;&gt;(TRIM(AO923)=""),"MCA login needs both user ID and password; ","")&amp;IF((TRIM(AP923)="")&lt;&gt;(TRIM(AQ923)=""),"E-way bill login needs both user ID and password; ","")</f>
        <v/>
      </c>
    </row>
    <row r="924">
      <c r="A924" s="32" t="n"/>
      <c r="B924" s="33" t="n"/>
      <c r="C924" s="33" t="n"/>
      <c r="D924" s="33" t="n"/>
      <c r="E924" s="32" t="n"/>
      <c r="F924" s="32" t="n"/>
      <c r="G924" s="32" t="n"/>
      <c r="H924" s="32" t="n"/>
      <c r="I924" s="32" t="n"/>
      <c r="J924" s="34" t="n"/>
      <c r="K924" s="33" t="n"/>
      <c r="L924" s="32" t="n"/>
      <c r="M924" s="33" t="n"/>
      <c r="N924" s="33" t="n"/>
      <c r="O924" s="33" t="n"/>
      <c r="P924" s="32" t="n"/>
      <c r="Q924" s="33" t="n"/>
      <c r="R924" s="33" t="n"/>
      <c r="S924" s="33" t="n"/>
      <c r="T924" s="33" t="n"/>
      <c r="U924" s="32" t="n"/>
      <c r="V924" s="33" t="n"/>
      <c r="W924" s="33" t="n"/>
      <c r="X924" s="33" t="n"/>
      <c r="Y924" s="33" t="n"/>
      <c r="Z924" s="33" t="n"/>
      <c r="AA924" s="33" t="n"/>
      <c r="AB924" s="33" t="n"/>
      <c r="AC924" s="33" t="n"/>
      <c r="AD924" s="33" t="n"/>
      <c r="AE924" s="33" t="n"/>
      <c r="AF924" s="32" t="n"/>
      <c r="AG924" s="32" t="n"/>
      <c r="AH924" s="32" t="n"/>
      <c r="AI924" s="32" t="n"/>
      <c r="AJ924" s="32" t="n"/>
      <c r="AK924" s="32" t="n"/>
      <c r="AL924" s="32" t="n"/>
      <c r="AM924" s="32" t="n"/>
      <c r="AN924" s="32" t="n"/>
      <c r="AO924" s="32" t="n"/>
      <c r="AP924" s="32" t="n"/>
      <c r="AQ924" s="32" t="n"/>
      <c r="AR924" s="29">
        <f>IF(NOT(COUNTA(A924:AE924)&gt;0),"",IF(A924="","New client","Update"))</f>
        <v/>
      </c>
      <c r="AS924" s="29">
        <f>IF(BA924&lt;&gt;"",BA924,IF(LEN(AZ924)=15,MID(AZ924,3,10),""))</f>
        <v/>
      </c>
      <c r="AT924" s="29">
        <f>IF(BB924="","",BB924&amp;IF(D924="","  (guessed from PAN)",""))</f>
        <v/>
      </c>
      <c r="AU924" s="29">
        <f>IF(AZ924="","",IFERROR(INDEX(Lists!$L$2:$L$38,MATCH(LEFT(AZ924,2),Lists!$K$2:$K$38,0)),"Unknown code"))</f>
        <v/>
      </c>
      <c r="AV924" s="29">
        <f>IF(AZ924="","",IFERROR(IF(NOT(AND(LEN(AZ924)=15,ISNUMBER(MATCH(LEFT(AZ924,2),Lists!$K$2:$K$38,0)),SUMPRODUCT(--ISERROR(FIND(MID(MID(AZ924,3,10),{1,2,3,4,5,10},1),"ABCDEFGHIJKLMNOPQRSTUVWXYZ")))=0,SUMPRODUCT(--ISERROR(FIND(MID(MID(AZ924,3,10),{6,7,8,9},1),"0123456789")))=0,ISNUMBER(FIND(MID(AZ924,13,1),"123456789ABCDEFGHIJKLMNOPQRSTUVWXYZ")),MID(AZ924,14,1)="Z")),"Wrong format",IF(MID("0123456789ABCDEFGHIJKLMNOPQRSTUVWXYZ",MOD(36-MOD(SUMPRODUCT(INT((FIND(MID(AZ924,{1,2,3,4,5,6,7,8,9,10,11,12,13,14},1),"0123456789ABCDEFGHIJKLMNOPQRSTUVWXYZ")-1)*{1,2,1,2,1,2,1,2,1,2,1,2,1,2}/36)+MOD((FIND(MID(AZ924,{1,2,3,4,5,6,7,8,9,10,11,12,13,14},1),"0123456789ABCDEFGHIJKLMNOPQRSTUVWXYZ")-1)*{1,2,1,2,1,2,1,2,1,2,1,2,1,2},36)),36),36)+1,1)=MID(AZ924,15,1),"OK","Typo? check digit wrong")),"Wrong format"))</f>
        <v/>
      </c>
      <c r="AW924" s="29">
        <f>IF(BA924="","",IF(AND(LEN(BA924)=10,SUMPRODUCT(--ISERROR(FIND(MID(BA924,{1,2,3,4,5,10},1),"ABCDEFGHIJKLMNOPQRSTUVWXYZ")))=0,SUMPRODUCT(--ISERROR(FIND(MID(BA924,{6,7,8,9},1),"0123456789")))=0),"OK","Wrong format"))</f>
        <v/>
      </c>
      <c r="AX924" s="29">
        <f>IF(TRIM(H924)="","",IF(AND(LEN(UPPER(TRIM(H924)))=10,SUMPRODUCT(--ISERROR(FIND(MID(UPPER(TRIM(H924)),{1,2,3,4,10},1),"ABCDEFGHIJKLMNOPQRSTUVWXYZ")))=0,SUMPRODUCT(--ISERROR(FIND(MID(UPPER(TRIM(H924)),{5,6,7,8,9},1),"0123456789")))=0),"OK","Wrong format"))</f>
        <v/>
      </c>
      <c r="AY924" s="30">
        <f>IF(NOT(COUNTA(A924:AE924)&gt;0),"",IF(BE924&lt;&gt;"","✖ "&amp;LEFT(BE924,LEN(BE924)-2),IF(BD924&gt;0,"✔ Ready — client + "&amp;BD924&amp;" service(s)","✔ Ready — client only")))</f>
        <v/>
      </c>
      <c r="AZ924" s="31">
        <f>UPPER(SUBSTITUTE(TRIM(F924)," ",""))</f>
        <v/>
      </c>
      <c r="BA924" s="31">
        <f>UPPER(SUBSTITUTE(TRIM(E924)," ",""))</f>
        <v/>
      </c>
      <c r="BB924" s="31">
        <f>IF(D924&lt;&gt;"",D924,IFERROR(VLOOKUP(MID(AS924,4,1),Lists!$E$2:$F$8,2,FALSE),""))</f>
        <v/>
      </c>
      <c r="BC924" s="31">
        <f>IFERROR(VLOOKUP(BB924,Lists!$A$2:$C$12,3,FALSE),"")</f>
        <v/>
      </c>
      <c r="BD924" s="31">
        <f>COUNTIF(W924:AC924,"Yes")</f>
        <v/>
      </c>
      <c r="BE924" s="31">
        <f>IF(TRIM(B924)="","Legal name missing; ","")&amp;IF(AND(AV924&lt;&gt;"",AV924&lt;&gt;"OK"),"GSTIN: "&amp;AV924&amp;"; ","")&amp;IF(AND(AW924&lt;&gt;"",AW924&lt;&gt;"OK"),"PAN wrong format; ","")&amp;IF(AND(BA924&lt;&gt;"",LEN(AZ924)=15,MID(AZ924,3,10)&lt;&gt;BA924),"PAN does not match GSTIN; ","")&amp;IF(AND(AX924&lt;&gt;"",AX924&lt;&gt;"OK"),"TAN wrong format; ","")&amp;IF(AS924="","PAN missing; ","")&amp;IF(BB924="","Entity type missing; ","")&amp;IF(AND(AZ924&lt;&gt;"",COUNTIF($AZ$6:$AZ$1005,AZ924)&gt;1),"GSTIN repeated in this sheet; ","")&amp;IF(AND(AS924&lt;&gt;"",COUNTIF($AS$6:$AS$1005,AS924)&gt;1),"PAN repeated in this sheet (same client? put extra GSTINs in Other GSTINs); ","")&amp;IF(AND(BD924&gt;0,V924=""),"Financial year missing; ","")&amp;IF(AND(BD924=0,V924&lt;&gt;""),"Financial year given but no service is Yes; ","")&amp;IF(AND(W924="Yes",AZ924=""),"GST needs a GSTIN; ","")&amp;IF(AND(W924="Yes",X924=""),"GST return frequency missing; ","")&amp;IF(AND(Y924="Yes",TRIM(H924)=""),"TDS needs a TAN; ","")&amp;IF(AND(AA924="Yes",BC924&lt;&gt;"",BC924&lt;&gt;"company",BC924&lt;&gt;"llp"),"ROC is only for a company / LLP; ","")&amp;IF(AND(AA924="Yes",OR(BC924="company",BC924="llp"),TRIM(I924)=""),"ROC needs the CIN / LLPIN; ","")&amp;IF((TRIM(AF924)="")&lt;&gt;(TRIM(AG924)=""),"GST login needs both user ID and password; ","")&amp;IF((TRIM(AH924)="")&lt;&gt;(TRIM(AI924)=""),"Income-tax login needs both user ID and password; ","")&amp;IF((TRIM(AJ924)="")&lt;&gt;(TRIM(AK924)=""),"Income-tax login needs both user ID and password; ","")&amp;IF((TRIM(AL924)="")&lt;&gt;(TRIM(AM924)=""),"TRACES login needs both user ID and password; ","")&amp;IF((TRIM(AN924)="")&lt;&gt;(TRIM(AO924)=""),"MCA login needs both user ID and password; ","")&amp;IF((TRIM(AP924)="")&lt;&gt;(TRIM(AQ924)=""),"E-way bill login needs both user ID and password; ","")</f>
        <v/>
      </c>
    </row>
    <row r="925">
      <c r="A925" s="32" t="n"/>
      <c r="B925" s="33" t="n"/>
      <c r="C925" s="33" t="n"/>
      <c r="D925" s="33" t="n"/>
      <c r="E925" s="32" t="n"/>
      <c r="F925" s="32" t="n"/>
      <c r="G925" s="32" t="n"/>
      <c r="H925" s="32" t="n"/>
      <c r="I925" s="32" t="n"/>
      <c r="J925" s="34" t="n"/>
      <c r="K925" s="33" t="n"/>
      <c r="L925" s="32" t="n"/>
      <c r="M925" s="33" t="n"/>
      <c r="N925" s="33" t="n"/>
      <c r="O925" s="33" t="n"/>
      <c r="P925" s="32" t="n"/>
      <c r="Q925" s="33" t="n"/>
      <c r="R925" s="33" t="n"/>
      <c r="S925" s="33" t="n"/>
      <c r="T925" s="33" t="n"/>
      <c r="U925" s="32" t="n"/>
      <c r="V925" s="33" t="n"/>
      <c r="W925" s="33" t="n"/>
      <c r="X925" s="33" t="n"/>
      <c r="Y925" s="33" t="n"/>
      <c r="Z925" s="33" t="n"/>
      <c r="AA925" s="33" t="n"/>
      <c r="AB925" s="33" t="n"/>
      <c r="AC925" s="33" t="n"/>
      <c r="AD925" s="33" t="n"/>
      <c r="AE925" s="33" t="n"/>
      <c r="AF925" s="32" t="n"/>
      <c r="AG925" s="32" t="n"/>
      <c r="AH925" s="32" t="n"/>
      <c r="AI925" s="32" t="n"/>
      <c r="AJ925" s="32" t="n"/>
      <c r="AK925" s="32" t="n"/>
      <c r="AL925" s="32" t="n"/>
      <c r="AM925" s="32" t="n"/>
      <c r="AN925" s="32" t="n"/>
      <c r="AO925" s="32" t="n"/>
      <c r="AP925" s="32" t="n"/>
      <c r="AQ925" s="32" t="n"/>
      <c r="AR925" s="29">
        <f>IF(NOT(COUNTA(A925:AE925)&gt;0),"",IF(A925="","New client","Update"))</f>
        <v/>
      </c>
      <c r="AS925" s="29">
        <f>IF(BA925&lt;&gt;"",BA925,IF(LEN(AZ925)=15,MID(AZ925,3,10),""))</f>
        <v/>
      </c>
      <c r="AT925" s="29">
        <f>IF(BB925="","",BB925&amp;IF(D925="","  (guessed from PAN)",""))</f>
        <v/>
      </c>
      <c r="AU925" s="29">
        <f>IF(AZ925="","",IFERROR(INDEX(Lists!$L$2:$L$38,MATCH(LEFT(AZ925,2),Lists!$K$2:$K$38,0)),"Unknown code"))</f>
        <v/>
      </c>
      <c r="AV925" s="29">
        <f>IF(AZ925="","",IFERROR(IF(NOT(AND(LEN(AZ925)=15,ISNUMBER(MATCH(LEFT(AZ925,2),Lists!$K$2:$K$38,0)),SUMPRODUCT(--ISERROR(FIND(MID(MID(AZ925,3,10),{1,2,3,4,5,10},1),"ABCDEFGHIJKLMNOPQRSTUVWXYZ")))=0,SUMPRODUCT(--ISERROR(FIND(MID(MID(AZ925,3,10),{6,7,8,9},1),"0123456789")))=0,ISNUMBER(FIND(MID(AZ925,13,1),"123456789ABCDEFGHIJKLMNOPQRSTUVWXYZ")),MID(AZ925,14,1)="Z")),"Wrong format",IF(MID("0123456789ABCDEFGHIJKLMNOPQRSTUVWXYZ",MOD(36-MOD(SUMPRODUCT(INT((FIND(MID(AZ925,{1,2,3,4,5,6,7,8,9,10,11,12,13,14},1),"0123456789ABCDEFGHIJKLMNOPQRSTUVWXYZ")-1)*{1,2,1,2,1,2,1,2,1,2,1,2,1,2}/36)+MOD((FIND(MID(AZ925,{1,2,3,4,5,6,7,8,9,10,11,12,13,14},1),"0123456789ABCDEFGHIJKLMNOPQRSTUVWXYZ")-1)*{1,2,1,2,1,2,1,2,1,2,1,2,1,2},36)),36),36)+1,1)=MID(AZ925,15,1),"OK","Typo? check digit wrong")),"Wrong format"))</f>
        <v/>
      </c>
      <c r="AW925" s="29">
        <f>IF(BA925="","",IF(AND(LEN(BA925)=10,SUMPRODUCT(--ISERROR(FIND(MID(BA925,{1,2,3,4,5,10},1),"ABCDEFGHIJKLMNOPQRSTUVWXYZ")))=0,SUMPRODUCT(--ISERROR(FIND(MID(BA925,{6,7,8,9},1),"0123456789")))=0),"OK","Wrong format"))</f>
        <v/>
      </c>
      <c r="AX925" s="29">
        <f>IF(TRIM(H925)="","",IF(AND(LEN(UPPER(TRIM(H925)))=10,SUMPRODUCT(--ISERROR(FIND(MID(UPPER(TRIM(H925)),{1,2,3,4,10},1),"ABCDEFGHIJKLMNOPQRSTUVWXYZ")))=0,SUMPRODUCT(--ISERROR(FIND(MID(UPPER(TRIM(H925)),{5,6,7,8,9},1),"0123456789")))=0),"OK","Wrong format"))</f>
        <v/>
      </c>
      <c r="AY925" s="30">
        <f>IF(NOT(COUNTA(A925:AE925)&gt;0),"",IF(BE925&lt;&gt;"","✖ "&amp;LEFT(BE925,LEN(BE925)-2),IF(BD925&gt;0,"✔ Ready — client + "&amp;BD925&amp;" service(s)","✔ Ready — client only")))</f>
        <v/>
      </c>
      <c r="AZ925" s="31">
        <f>UPPER(SUBSTITUTE(TRIM(F925)," ",""))</f>
        <v/>
      </c>
      <c r="BA925" s="31">
        <f>UPPER(SUBSTITUTE(TRIM(E925)," ",""))</f>
        <v/>
      </c>
      <c r="BB925" s="31">
        <f>IF(D925&lt;&gt;"",D925,IFERROR(VLOOKUP(MID(AS925,4,1),Lists!$E$2:$F$8,2,FALSE),""))</f>
        <v/>
      </c>
      <c r="BC925" s="31">
        <f>IFERROR(VLOOKUP(BB925,Lists!$A$2:$C$12,3,FALSE),"")</f>
        <v/>
      </c>
      <c r="BD925" s="31">
        <f>COUNTIF(W925:AC925,"Yes")</f>
        <v/>
      </c>
      <c r="BE925" s="31">
        <f>IF(TRIM(B925)="","Legal name missing; ","")&amp;IF(AND(AV925&lt;&gt;"",AV925&lt;&gt;"OK"),"GSTIN: "&amp;AV925&amp;"; ","")&amp;IF(AND(AW925&lt;&gt;"",AW925&lt;&gt;"OK"),"PAN wrong format; ","")&amp;IF(AND(BA925&lt;&gt;"",LEN(AZ925)=15,MID(AZ925,3,10)&lt;&gt;BA925),"PAN does not match GSTIN; ","")&amp;IF(AND(AX925&lt;&gt;"",AX925&lt;&gt;"OK"),"TAN wrong format; ","")&amp;IF(AS925="","PAN missing; ","")&amp;IF(BB925="","Entity type missing; ","")&amp;IF(AND(AZ925&lt;&gt;"",COUNTIF($AZ$6:$AZ$1005,AZ925)&gt;1),"GSTIN repeated in this sheet; ","")&amp;IF(AND(AS925&lt;&gt;"",COUNTIF($AS$6:$AS$1005,AS925)&gt;1),"PAN repeated in this sheet (same client? put extra GSTINs in Other GSTINs); ","")&amp;IF(AND(BD925&gt;0,V925=""),"Financial year missing; ","")&amp;IF(AND(BD925=0,V925&lt;&gt;""),"Financial year given but no service is Yes; ","")&amp;IF(AND(W925="Yes",AZ925=""),"GST needs a GSTIN; ","")&amp;IF(AND(W925="Yes",X925=""),"GST return frequency missing; ","")&amp;IF(AND(Y925="Yes",TRIM(H925)=""),"TDS needs a TAN; ","")&amp;IF(AND(AA925="Yes",BC925&lt;&gt;"",BC925&lt;&gt;"company",BC925&lt;&gt;"llp"),"ROC is only for a company / LLP; ","")&amp;IF(AND(AA925="Yes",OR(BC925="company",BC925="llp"),TRIM(I925)=""),"ROC needs the CIN / LLPIN; ","")&amp;IF((TRIM(AF925)="")&lt;&gt;(TRIM(AG925)=""),"GST login needs both user ID and password; ","")&amp;IF((TRIM(AH925)="")&lt;&gt;(TRIM(AI925)=""),"Income-tax login needs both user ID and password; ","")&amp;IF((TRIM(AJ925)="")&lt;&gt;(TRIM(AK925)=""),"Income-tax login needs both user ID and password; ","")&amp;IF((TRIM(AL925)="")&lt;&gt;(TRIM(AM925)=""),"TRACES login needs both user ID and password; ","")&amp;IF((TRIM(AN925)="")&lt;&gt;(TRIM(AO925)=""),"MCA login needs both user ID and password; ","")&amp;IF((TRIM(AP925)="")&lt;&gt;(TRIM(AQ925)=""),"E-way bill login needs both user ID and password; ","")</f>
        <v/>
      </c>
    </row>
    <row r="926">
      <c r="A926" s="32" t="n"/>
      <c r="B926" s="33" t="n"/>
      <c r="C926" s="33" t="n"/>
      <c r="D926" s="33" t="n"/>
      <c r="E926" s="32" t="n"/>
      <c r="F926" s="32" t="n"/>
      <c r="G926" s="32" t="n"/>
      <c r="H926" s="32" t="n"/>
      <c r="I926" s="32" t="n"/>
      <c r="J926" s="34" t="n"/>
      <c r="K926" s="33" t="n"/>
      <c r="L926" s="32" t="n"/>
      <c r="M926" s="33" t="n"/>
      <c r="N926" s="33" t="n"/>
      <c r="O926" s="33" t="n"/>
      <c r="P926" s="32" t="n"/>
      <c r="Q926" s="33" t="n"/>
      <c r="R926" s="33" t="n"/>
      <c r="S926" s="33" t="n"/>
      <c r="T926" s="33" t="n"/>
      <c r="U926" s="32" t="n"/>
      <c r="V926" s="33" t="n"/>
      <c r="W926" s="33" t="n"/>
      <c r="X926" s="33" t="n"/>
      <c r="Y926" s="33" t="n"/>
      <c r="Z926" s="33" t="n"/>
      <c r="AA926" s="33" t="n"/>
      <c r="AB926" s="33" t="n"/>
      <c r="AC926" s="33" t="n"/>
      <c r="AD926" s="33" t="n"/>
      <c r="AE926" s="33" t="n"/>
      <c r="AF926" s="32" t="n"/>
      <c r="AG926" s="32" t="n"/>
      <c r="AH926" s="32" t="n"/>
      <c r="AI926" s="32" t="n"/>
      <c r="AJ926" s="32" t="n"/>
      <c r="AK926" s="32" t="n"/>
      <c r="AL926" s="32" t="n"/>
      <c r="AM926" s="32" t="n"/>
      <c r="AN926" s="32" t="n"/>
      <c r="AO926" s="32" t="n"/>
      <c r="AP926" s="32" t="n"/>
      <c r="AQ926" s="32" t="n"/>
      <c r="AR926" s="29">
        <f>IF(NOT(COUNTA(A926:AE926)&gt;0),"",IF(A926="","New client","Update"))</f>
        <v/>
      </c>
      <c r="AS926" s="29">
        <f>IF(BA926&lt;&gt;"",BA926,IF(LEN(AZ926)=15,MID(AZ926,3,10),""))</f>
        <v/>
      </c>
      <c r="AT926" s="29">
        <f>IF(BB926="","",BB926&amp;IF(D926="","  (guessed from PAN)",""))</f>
        <v/>
      </c>
      <c r="AU926" s="29">
        <f>IF(AZ926="","",IFERROR(INDEX(Lists!$L$2:$L$38,MATCH(LEFT(AZ926,2),Lists!$K$2:$K$38,0)),"Unknown code"))</f>
        <v/>
      </c>
      <c r="AV926" s="29">
        <f>IF(AZ926="","",IFERROR(IF(NOT(AND(LEN(AZ926)=15,ISNUMBER(MATCH(LEFT(AZ926,2),Lists!$K$2:$K$38,0)),SUMPRODUCT(--ISERROR(FIND(MID(MID(AZ926,3,10),{1,2,3,4,5,10},1),"ABCDEFGHIJKLMNOPQRSTUVWXYZ")))=0,SUMPRODUCT(--ISERROR(FIND(MID(MID(AZ926,3,10),{6,7,8,9},1),"0123456789")))=0,ISNUMBER(FIND(MID(AZ926,13,1),"123456789ABCDEFGHIJKLMNOPQRSTUVWXYZ")),MID(AZ926,14,1)="Z")),"Wrong format",IF(MID("0123456789ABCDEFGHIJKLMNOPQRSTUVWXYZ",MOD(36-MOD(SUMPRODUCT(INT((FIND(MID(AZ926,{1,2,3,4,5,6,7,8,9,10,11,12,13,14},1),"0123456789ABCDEFGHIJKLMNOPQRSTUVWXYZ")-1)*{1,2,1,2,1,2,1,2,1,2,1,2,1,2}/36)+MOD((FIND(MID(AZ926,{1,2,3,4,5,6,7,8,9,10,11,12,13,14},1),"0123456789ABCDEFGHIJKLMNOPQRSTUVWXYZ")-1)*{1,2,1,2,1,2,1,2,1,2,1,2,1,2},36)),36),36)+1,1)=MID(AZ926,15,1),"OK","Typo? check digit wrong")),"Wrong format"))</f>
        <v/>
      </c>
      <c r="AW926" s="29">
        <f>IF(BA926="","",IF(AND(LEN(BA926)=10,SUMPRODUCT(--ISERROR(FIND(MID(BA926,{1,2,3,4,5,10},1),"ABCDEFGHIJKLMNOPQRSTUVWXYZ")))=0,SUMPRODUCT(--ISERROR(FIND(MID(BA926,{6,7,8,9},1),"0123456789")))=0),"OK","Wrong format"))</f>
        <v/>
      </c>
      <c r="AX926" s="29">
        <f>IF(TRIM(H926)="","",IF(AND(LEN(UPPER(TRIM(H926)))=10,SUMPRODUCT(--ISERROR(FIND(MID(UPPER(TRIM(H926)),{1,2,3,4,10},1),"ABCDEFGHIJKLMNOPQRSTUVWXYZ")))=0,SUMPRODUCT(--ISERROR(FIND(MID(UPPER(TRIM(H926)),{5,6,7,8,9},1),"0123456789")))=0),"OK","Wrong format"))</f>
        <v/>
      </c>
      <c r="AY926" s="30">
        <f>IF(NOT(COUNTA(A926:AE926)&gt;0),"",IF(BE926&lt;&gt;"","✖ "&amp;LEFT(BE926,LEN(BE926)-2),IF(BD926&gt;0,"✔ Ready — client + "&amp;BD926&amp;" service(s)","✔ Ready — client only")))</f>
        <v/>
      </c>
      <c r="AZ926" s="31">
        <f>UPPER(SUBSTITUTE(TRIM(F926)," ",""))</f>
        <v/>
      </c>
      <c r="BA926" s="31">
        <f>UPPER(SUBSTITUTE(TRIM(E926)," ",""))</f>
        <v/>
      </c>
      <c r="BB926" s="31">
        <f>IF(D926&lt;&gt;"",D926,IFERROR(VLOOKUP(MID(AS926,4,1),Lists!$E$2:$F$8,2,FALSE),""))</f>
        <v/>
      </c>
      <c r="BC926" s="31">
        <f>IFERROR(VLOOKUP(BB926,Lists!$A$2:$C$12,3,FALSE),"")</f>
        <v/>
      </c>
      <c r="BD926" s="31">
        <f>COUNTIF(W926:AC926,"Yes")</f>
        <v/>
      </c>
      <c r="BE926" s="31">
        <f>IF(TRIM(B926)="","Legal name missing; ","")&amp;IF(AND(AV926&lt;&gt;"",AV926&lt;&gt;"OK"),"GSTIN: "&amp;AV926&amp;"; ","")&amp;IF(AND(AW926&lt;&gt;"",AW926&lt;&gt;"OK"),"PAN wrong format; ","")&amp;IF(AND(BA926&lt;&gt;"",LEN(AZ926)=15,MID(AZ926,3,10)&lt;&gt;BA926),"PAN does not match GSTIN; ","")&amp;IF(AND(AX926&lt;&gt;"",AX926&lt;&gt;"OK"),"TAN wrong format; ","")&amp;IF(AS926="","PAN missing; ","")&amp;IF(BB926="","Entity type missing; ","")&amp;IF(AND(AZ926&lt;&gt;"",COUNTIF($AZ$6:$AZ$1005,AZ926)&gt;1),"GSTIN repeated in this sheet; ","")&amp;IF(AND(AS926&lt;&gt;"",COUNTIF($AS$6:$AS$1005,AS926)&gt;1),"PAN repeated in this sheet (same client? put extra GSTINs in Other GSTINs); ","")&amp;IF(AND(BD926&gt;0,V926=""),"Financial year missing; ","")&amp;IF(AND(BD926=0,V926&lt;&gt;""),"Financial year given but no service is Yes; ","")&amp;IF(AND(W926="Yes",AZ926=""),"GST needs a GSTIN; ","")&amp;IF(AND(W926="Yes",X926=""),"GST return frequency missing; ","")&amp;IF(AND(Y926="Yes",TRIM(H926)=""),"TDS needs a TAN; ","")&amp;IF(AND(AA926="Yes",BC926&lt;&gt;"",BC926&lt;&gt;"company",BC926&lt;&gt;"llp"),"ROC is only for a company / LLP; ","")&amp;IF(AND(AA926="Yes",OR(BC926="company",BC926="llp"),TRIM(I926)=""),"ROC needs the CIN / LLPIN; ","")&amp;IF((TRIM(AF926)="")&lt;&gt;(TRIM(AG926)=""),"GST login needs both user ID and password; ","")&amp;IF((TRIM(AH926)="")&lt;&gt;(TRIM(AI926)=""),"Income-tax login needs both user ID and password; ","")&amp;IF((TRIM(AJ926)="")&lt;&gt;(TRIM(AK926)=""),"Income-tax login needs both user ID and password; ","")&amp;IF((TRIM(AL926)="")&lt;&gt;(TRIM(AM926)=""),"TRACES login needs both user ID and password; ","")&amp;IF((TRIM(AN926)="")&lt;&gt;(TRIM(AO926)=""),"MCA login needs both user ID and password; ","")&amp;IF((TRIM(AP926)="")&lt;&gt;(TRIM(AQ926)=""),"E-way bill login needs both user ID and password; ","")</f>
        <v/>
      </c>
    </row>
    <row r="927">
      <c r="A927" s="32" t="n"/>
      <c r="B927" s="33" t="n"/>
      <c r="C927" s="33" t="n"/>
      <c r="D927" s="33" t="n"/>
      <c r="E927" s="32" t="n"/>
      <c r="F927" s="32" t="n"/>
      <c r="G927" s="32" t="n"/>
      <c r="H927" s="32" t="n"/>
      <c r="I927" s="32" t="n"/>
      <c r="J927" s="34" t="n"/>
      <c r="K927" s="33" t="n"/>
      <c r="L927" s="32" t="n"/>
      <c r="M927" s="33" t="n"/>
      <c r="N927" s="33" t="n"/>
      <c r="O927" s="33" t="n"/>
      <c r="P927" s="32" t="n"/>
      <c r="Q927" s="33" t="n"/>
      <c r="R927" s="33" t="n"/>
      <c r="S927" s="33" t="n"/>
      <c r="T927" s="33" t="n"/>
      <c r="U927" s="32" t="n"/>
      <c r="V927" s="33" t="n"/>
      <c r="W927" s="33" t="n"/>
      <c r="X927" s="33" t="n"/>
      <c r="Y927" s="33" t="n"/>
      <c r="Z927" s="33" t="n"/>
      <c r="AA927" s="33" t="n"/>
      <c r="AB927" s="33" t="n"/>
      <c r="AC927" s="33" t="n"/>
      <c r="AD927" s="33" t="n"/>
      <c r="AE927" s="33" t="n"/>
      <c r="AF927" s="32" t="n"/>
      <c r="AG927" s="32" t="n"/>
      <c r="AH927" s="32" t="n"/>
      <c r="AI927" s="32" t="n"/>
      <c r="AJ927" s="32" t="n"/>
      <c r="AK927" s="32" t="n"/>
      <c r="AL927" s="32" t="n"/>
      <c r="AM927" s="32" t="n"/>
      <c r="AN927" s="32" t="n"/>
      <c r="AO927" s="32" t="n"/>
      <c r="AP927" s="32" t="n"/>
      <c r="AQ927" s="32" t="n"/>
      <c r="AR927" s="29">
        <f>IF(NOT(COUNTA(A927:AE927)&gt;0),"",IF(A927="","New client","Update"))</f>
        <v/>
      </c>
      <c r="AS927" s="29">
        <f>IF(BA927&lt;&gt;"",BA927,IF(LEN(AZ927)=15,MID(AZ927,3,10),""))</f>
        <v/>
      </c>
      <c r="AT927" s="29">
        <f>IF(BB927="","",BB927&amp;IF(D927="","  (guessed from PAN)",""))</f>
        <v/>
      </c>
      <c r="AU927" s="29">
        <f>IF(AZ927="","",IFERROR(INDEX(Lists!$L$2:$L$38,MATCH(LEFT(AZ927,2),Lists!$K$2:$K$38,0)),"Unknown code"))</f>
        <v/>
      </c>
      <c r="AV927" s="29">
        <f>IF(AZ927="","",IFERROR(IF(NOT(AND(LEN(AZ927)=15,ISNUMBER(MATCH(LEFT(AZ927,2),Lists!$K$2:$K$38,0)),SUMPRODUCT(--ISERROR(FIND(MID(MID(AZ927,3,10),{1,2,3,4,5,10},1),"ABCDEFGHIJKLMNOPQRSTUVWXYZ")))=0,SUMPRODUCT(--ISERROR(FIND(MID(MID(AZ927,3,10),{6,7,8,9},1),"0123456789")))=0,ISNUMBER(FIND(MID(AZ927,13,1),"123456789ABCDEFGHIJKLMNOPQRSTUVWXYZ")),MID(AZ927,14,1)="Z")),"Wrong format",IF(MID("0123456789ABCDEFGHIJKLMNOPQRSTUVWXYZ",MOD(36-MOD(SUMPRODUCT(INT((FIND(MID(AZ927,{1,2,3,4,5,6,7,8,9,10,11,12,13,14},1),"0123456789ABCDEFGHIJKLMNOPQRSTUVWXYZ")-1)*{1,2,1,2,1,2,1,2,1,2,1,2,1,2}/36)+MOD((FIND(MID(AZ927,{1,2,3,4,5,6,7,8,9,10,11,12,13,14},1),"0123456789ABCDEFGHIJKLMNOPQRSTUVWXYZ")-1)*{1,2,1,2,1,2,1,2,1,2,1,2,1,2},36)),36),36)+1,1)=MID(AZ927,15,1),"OK","Typo? check digit wrong")),"Wrong format"))</f>
        <v/>
      </c>
      <c r="AW927" s="29">
        <f>IF(BA927="","",IF(AND(LEN(BA927)=10,SUMPRODUCT(--ISERROR(FIND(MID(BA927,{1,2,3,4,5,10},1),"ABCDEFGHIJKLMNOPQRSTUVWXYZ")))=0,SUMPRODUCT(--ISERROR(FIND(MID(BA927,{6,7,8,9},1),"0123456789")))=0),"OK","Wrong format"))</f>
        <v/>
      </c>
      <c r="AX927" s="29">
        <f>IF(TRIM(H927)="","",IF(AND(LEN(UPPER(TRIM(H927)))=10,SUMPRODUCT(--ISERROR(FIND(MID(UPPER(TRIM(H927)),{1,2,3,4,10},1),"ABCDEFGHIJKLMNOPQRSTUVWXYZ")))=0,SUMPRODUCT(--ISERROR(FIND(MID(UPPER(TRIM(H927)),{5,6,7,8,9},1),"0123456789")))=0),"OK","Wrong format"))</f>
        <v/>
      </c>
      <c r="AY927" s="30">
        <f>IF(NOT(COUNTA(A927:AE927)&gt;0),"",IF(BE927&lt;&gt;"","✖ "&amp;LEFT(BE927,LEN(BE927)-2),IF(BD927&gt;0,"✔ Ready — client + "&amp;BD927&amp;" service(s)","✔ Ready — client only")))</f>
        <v/>
      </c>
      <c r="AZ927" s="31">
        <f>UPPER(SUBSTITUTE(TRIM(F927)," ",""))</f>
        <v/>
      </c>
      <c r="BA927" s="31">
        <f>UPPER(SUBSTITUTE(TRIM(E927)," ",""))</f>
        <v/>
      </c>
      <c r="BB927" s="31">
        <f>IF(D927&lt;&gt;"",D927,IFERROR(VLOOKUP(MID(AS927,4,1),Lists!$E$2:$F$8,2,FALSE),""))</f>
        <v/>
      </c>
      <c r="BC927" s="31">
        <f>IFERROR(VLOOKUP(BB927,Lists!$A$2:$C$12,3,FALSE),"")</f>
        <v/>
      </c>
      <c r="BD927" s="31">
        <f>COUNTIF(W927:AC927,"Yes")</f>
        <v/>
      </c>
      <c r="BE927" s="31">
        <f>IF(TRIM(B927)="","Legal name missing; ","")&amp;IF(AND(AV927&lt;&gt;"",AV927&lt;&gt;"OK"),"GSTIN: "&amp;AV927&amp;"; ","")&amp;IF(AND(AW927&lt;&gt;"",AW927&lt;&gt;"OK"),"PAN wrong format; ","")&amp;IF(AND(BA927&lt;&gt;"",LEN(AZ927)=15,MID(AZ927,3,10)&lt;&gt;BA927),"PAN does not match GSTIN; ","")&amp;IF(AND(AX927&lt;&gt;"",AX927&lt;&gt;"OK"),"TAN wrong format; ","")&amp;IF(AS927="","PAN missing; ","")&amp;IF(BB927="","Entity type missing; ","")&amp;IF(AND(AZ927&lt;&gt;"",COUNTIF($AZ$6:$AZ$1005,AZ927)&gt;1),"GSTIN repeated in this sheet; ","")&amp;IF(AND(AS927&lt;&gt;"",COUNTIF($AS$6:$AS$1005,AS927)&gt;1),"PAN repeated in this sheet (same client? put extra GSTINs in Other GSTINs); ","")&amp;IF(AND(BD927&gt;0,V927=""),"Financial year missing; ","")&amp;IF(AND(BD927=0,V927&lt;&gt;""),"Financial year given but no service is Yes; ","")&amp;IF(AND(W927="Yes",AZ927=""),"GST needs a GSTIN; ","")&amp;IF(AND(W927="Yes",X927=""),"GST return frequency missing; ","")&amp;IF(AND(Y927="Yes",TRIM(H927)=""),"TDS needs a TAN; ","")&amp;IF(AND(AA927="Yes",BC927&lt;&gt;"",BC927&lt;&gt;"company",BC927&lt;&gt;"llp"),"ROC is only for a company / LLP; ","")&amp;IF(AND(AA927="Yes",OR(BC927="company",BC927="llp"),TRIM(I927)=""),"ROC needs the CIN / LLPIN; ","")&amp;IF((TRIM(AF927)="")&lt;&gt;(TRIM(AG927)=""),"GST login needs both user ID and password; ","")&amp;IF((TRIM(AH927)="")&lt;&gt;(TRIM(AI927)=""),"Income-tax login needs both user ID and password; ","")&amp;IF((TRIM(AJ927)="")&lt;&gt;(TRIM(AK927)=""),"Income-tax login needs both user ID and password; ","")&amp;IF((TRIM(AL927)="")&lt;&gt;(TRIM(AM927)=""),"TRACES login needs both user ID and password; ","")&amp;IF((TRIM(AN927)="")&lt;&gt;(TRIM(AO927)=""),"MCA login needs both user ID and password; ","")&amp;IF((TRIM(AP927)="")&lt;&gt;(TRIM(AQ927)=""),"E-way bill login needs both user ID and password; ","")</f>
        <v/>
      </c>
    </row>
    <row r="928">
      <c r="A928" s="32" t="n"/>
      <c r="B928" s="33" t="n"/>
      <c r="C928" s="33" t="n"/>
      <c r="D928" s="33" t="n"/>
      <c r="E928" s="32" t="n"/>
      <c r="F928" s="32" t="n"/>
      <c r="G928" s="32" t="n"/>
      <c r="H928" s="32" t="n"/>
      <c r="I928" s="32" t="n"/>
      <c r="J928" s="34" t="n"/>
      <c r="K928" s="33" t="n"/>
      <c r="L928" s="32" t="n"/>
      <c r="M928" s="33" t="n"/>
      <c r="N928" s="33" t="n"/>
      <c r="O928" s="33" t="n"/>
      <c r="P928" s="32" t="n"/>
      <c r="Q928" s="33" t="n"/>
      <c r="R928" s="33" t="n"/>
      <c r="S928" s="33" t="n"/>
      <c r="T928" s="33" t="n"/>
      <c r="U928" s="32" t="n"/>
      <c r="V928" s="33" t="n"/>
      <c r="W928" s="33" t="n"/>
      <c r="X928" s="33" t="n"/>
      <c r="Y928" s="33" t="n"/>
      <c r="Z928" s="33" t="n"/>
      <c r="AA928" s="33" t="n"/>
      <c r="AB928" s="33" t="n"/>
      <c r="AC928" s="33" t="n"/>
      <c r="AD928" s="33" t="n"/>
      <c r="AE928" s="33" t="n"/>
      <c r="AF928" s="32" t="n"/>
      <c r="AG928" s="32" t="n"/>
      <c r="AH928" s="32" t="n"/>
      <c r="AI928" s="32" t="n"/>
      <c r="AJ928" s="32" t="n"/>
      <c r="AK928" s="32" t="n"/>
      <c r="AL928" s="32" t="n"/>
      <c r="AM928" s="32" t="n"/>
      <c r="AN928" s="32" t="n"/>
      <c r="AO928" s="32" t="n"/>
      <c r="AP928" s="32" t="n"/>
      <c r="AQ928" s="32" t="n"/>
      <c r="AR928" s="29">
        <f>IF(NOT(COUNTA(A928:AE928)&gt;0),"",IF(A928="","New client","Update"))</f>
        <v/>
      </c>
      <c r="AS928" s="29">
        <f>IF(BA928&lt;&gt;"",BA928,IF(LEN(AZ928)=15,MID(AZ928,3,10),""))</f>
        <v/>
      </c>
      <c r="AT928" s="29">
        <f>IF(BB928="","",BB928&amp;IF(D928="","  (guessed from PAN)",""))</f>
        <v/>
      </c>
      <c r="AU928" s="29">
        <f>IF(AZ928="","",IFERROR(INDEX(Lists!$L$2:$L$38,MATCH(LEFT(AZ928,2),Lists!$K$2:$K$38,0)),"Unknown code"))</f>
        <v/>
      </c>
      <c r="AV928" s="29">
        <f>IF(AZ928="","",IFERROR(IF(NOT(AND(LEN(AZ928)=15,ISNUMBER(MATCH(LEFT(AZ928,2),Lists!$K$2:$K$38,0)),SUMPRODUCT(--ISERROR(FIND(MID(MID(AZ928,3,10),{1,2,3,4,5,10},1),"ABCDEFGHIJKLMNOPQRSTUVWXYZ")))=0,SUMPRODUCT(--ISERROR(FIND(MID(MID(AZ928,3,10),{6,7,8,9},1),"0123456789")))=0,ISNUMBER(FIND(MID(AZ928,13,1),"123456789ABCDEFGHIJKLMNOPQRSTUVWXYZ")),MID(AZ928,14,1)="Z")),"Wrong format",IF(MID("0123456789ABCDEFGHIJKLMNOPQRSTUVWXYZ",MOD(36-MOD(SUMPRODUCT(INT((FIND(MID(AZ928,{1,2,3,4,5,6,7,8,9,10,11,12,13,14},1),"0123456789ABCDEFGHIJKLMNOPQRSTUVWXYZ")-1)*{1,2,1,2,1,2,1,2,1,2,1,2,1,2}/36)+MOD((FIND(MID(AZ928,{1,2,3,4,5,6,7,8,9,10,11,12,13,14},1),"0123456789ABCDEFGHIJKLMNOPQRSTUVWXYZ")-1)*{1,2,1,2,1,2,1,2,1,2,1,2,1,2},36)),36),36)+1,1)=MID(AZ928,15,1),"OK","Typo? check digit wrong")),"Wrong format"))</f>
        <v/>
      </c>
      <c r="AW928" s="29">
        <f>IF(BA928="","",IF(AND(LEN(BA928)=10,SUMPRODUCT(--ISERROR(FIND(MID(BA928,{1,2,3,4,5,10},1),"ABCDEFGHIJKLMNOPQRSTUVWXYZ")))=0,SUMPRODUCT(--ISERROR(FIND(MID(BA928,{6,7,8,9},1),"0123456789")))=0),"OK","Wrong format"))</f>
        <v/>
      </c>
      <c r="AX928" s="29">
        <f>IF(TRIM(H928)="","",IF(AND(LEN(UPPER(TRIM(H928)))=10,SUMPRODUCT(--ISERROR(FIND(MID(UPPER(TRIM(H928)),{1,2,3,4,10},1),"ABCDEFGHIJKLMNOPQRSTUVWXYZ")))=0,SUMPRODUCT(--ISERROR(FIND(MID(UPPER(TRIM(H928)),{5,6,7,8,9},1),"0123456789")))=0),"OK","Wrong format"))</f>
        <v/>
      </c>
      <c r="AY928" s="30">
        <f>IF(NOT(COUNTA(A928:AE928)&gt;0),"",IF(BE928&lt;&gt;"","✖ "&amp;LEFT(BE928,LEN(BE928)-2),IF(BD928&gt;0,"✔ Ready — client + "&amp;BD928&amp;" service(s)","✔ Ready — client only")))</f>
        <v/>
      </c>
      <c r="AZ928" s="31">
        <f>UPPER(SUBSTITUTE(TRIM(F928)," ",""))</f>
        <v/>
      </c>
      <c r="BA928" s="31">
        <f>UPPER(SUBSTITUTE(TRIM(E928)," ",""))</f>
        <v/>
      </c>
      <c r="BB928" s="31">
        <f>IF(D928&lt;&gt;"",D928,IFERROR(VLOOKUP(MID(AS928,4,1),Lists!$E$2:$F$8,2,FALSE),""))</f>
        <v/>
      </c>
      <c r="BC928" s="31">
        <f>IFERROR(VLOOKUP(BB928,Lists!$A$2:$C$12,3,FALSE),"")</f>
        <v/>
      </c>
      <c r="BD928" s="31">
        <f>COUNTIF(W928:AC928,"Yes")</f>
        <v/>
      </c>
      <c r="BE928" s="31">
        <f>IF(TRIM(B928)="","Legal name missing; ","")&amp;IF(AND(AV928&lt;&gt;"",AV928&lt;&gt;"OK"),"GSTIN: "&amp;AV928&amp;"; ","")&amp;IF(AND(AW928&lt;&gt;"",AW928&lt;&gt;"OK"),"PAN wrong format; ","")&amp;IF(AND(BA928&lt;&gt;"",LEN(AZ928)=15,MID(AZ928,3,10)&lt;&gt;BA928),"PAN does not match GSTIN; ","")&amp;IF(AND(AX928&lt;&gt;"",AX928&lt;&gt;"OK"),"TAN wrong format; ","")&amp;IF(AS928="","PAN missing; ","")&amp;IF(BB928="","Entity type missing; ","")&amp;IF(AND(AZ928&lt;&gt;"",COUNTIF($AZ$6:$AZ$1005,AZ928)&gt;1),"GSTIN repeated in this sheet; ","")&amp;IF(AND(AS928&lt;&gt;"",COUNTIF($AS$6:$AS$1005,AS928)&gt;1),"PAN repeated in this sheet (same client? put extra GSTINs in Other GSTINs); ","")&amp;IF(AND(BD928&gt;0,V928=""),"Financial year missing; ","")&amp;IF(AND(BD928=0,V928&lt;&gt;""),"Financial year given but no service is Yes; ","")&amp;IF(AND(W928="Yes",AZ928=""),"GST needs a GSTIN; ","")&amp;IF(AND(W928="Yes",X928=""),"GST return frequency missing; ","")&amp;IF(AND(Y928="Yes",TRIM(H928)=""),"TDS needs a TAN; ","")&amp;IF(AND(AA928="Yes",BC928&lt;&gt;"",BC928&lt;&gt;"company",BC928&lt;&gt;"llp"),"ROC is only for a company / LLP; ","")&amp;IF(AND(AA928="Yes",OR(BC928="company",BC928="llp"),TRIM(I928)=""),"ROC needs the CIN / LLPIN; ","")&amp;IF((TRIM(AF928)="")&lt;&gt;(TRIM(AG928)=""),"GST login needs both user ID and password; ","")&amp;IF((TRIM(AH928)="")&lt;&gt;(TRIM(AI928)=""),"Income-tax login needs both user ID and password; ","")&amp;IF((TRIM(AJ928)="")&lt;&gt;(TRIM(AK928)=""),"Income-tax login needs both user ID and password; ","")&amp;IF((TRIM(AL928)="")&lt;&gt;(TRIM(AM928)=""),"TRACES login needs both user ID and password; ","")&amp;IF((TRIM(AN928)="")&lt;&gt;(TRIM(AO928)=""),"MCA login needs both user ID and password; ","")&amp;IF((TRIM(AP928)="")&lt;&gt;(TRIM(AQ928)=""),"E-way bill login needs both user ID and password; ","")</f>
        <v/>
      </c>
    </row>
    <row r="929">
      <c r="A929" s="32" t="n"/>
      <c r="B929" s="33" t="n"/>
      <c r="C929" s="33" t="n"/>
      <c r="D929" s="33" t="n"/>
      <c r="E929" s="32" t="n"/>
      <c r="F929" s="32" t="n"/>
      <c r="G929" s="32" t="n"/>
      <c r="H929" s="32" t="n"/>
      <c r="I929" s="32" t="n"/>
      <c r="J929" s="34" t="n"/>
      <c r="K929" s="33" t="n"/>
      <c r="L929" s="32" t="n"/>
      <c r="M929" s="33" t="n"/>
      <c r="N929" s="33" t="n"/>
      <c r="O929" s="33" t="n"/>
      <c r="P929" s="32" t="n"/>
      <c r="Q929" s="33" t="n"/>
      <c r="R929" s="33" t="n"/>
      <c r="S929" s="33" t="n"/>
      <c r="T929" s="33" t="n"/>
      <c r="U929" s="32" t="n"/>
      <c r="V929" s="33" t="n"/>
      <c r="W929" s="33" t="n"/>
      <c r="X929" s="33" t="n"/>
      <c r="Y929" s="33" t="n"/>
      <c r="Z929" s="33" t="n"/>
      <c r="AA929" s="33" t="n"/>
      <c r="AB929" s="33" t="n"/>
      <c r="AC929" s="33" t="n"/>
      <c r="AD929" s="33" t="n"/>
      <c r="AE929" s="33" t="n"/>
      <c r="AF929" s="32" t="n"/>
      <c r="AG929" s="32" t="n"/>
      <c r="AH929" s="32" t="n"/>
      <c r="AI929" s="32" t="n"/>
      <c r="AJ929" s="32" t="n"/>
      <c r="AK929" s="32" t="n"/>
      <c r="AL929" s="32" t="n"/>
      <c r="AM929" s="32" t="n"/>
      <c r="AN929" s="32" t="n"/>
      <c r="AO929" s="32" t="n"/>
      <c r="AP929" s="32" t="n"/>
      <c r="AQ929" s="32" t="n"/>
      <c r="AR929" s="29">
        <f>IF(NOT(COUNTA(A929:AE929)&gt;0),"",IF(A929="","New client","Update"))</f>
        <v/>
      </c>
      <c r="AS929" s="29">
        <f>IF(BA929&lt;&gt;"",BA929,IF(LEN(AZ929)=15,MID(AZ929,3,10),""))</f>
        <v/>
      </c>
      <c r="AT929" s="29">
        <f>IF(BB929="","",BB929&amp;IF(D929="","  (guessed from PAN)",""))</f>
        <v/>
      </c>
      <c r="AU929" s="29">
        <f>IF(AZ929="","",IFERROR(INDEX(Lists!$L$2:$L$38,MATCH(LEFT(AZ929,2),Lists!$K$2:$K$38,0)),"Unknown code"))</f>
        <v/>
      </c>
      <c r="AV929" s="29">
        <f>IF(AZ929="","",IFERROR(IF(NOT(AND(LEN(AZ929)=15,ISNUMBER(MATCH(LEFT(AZ929,2),Lists!$K$2:$K$38,0)),SUMPRODUCT(--ISERROR(FIND(MID(MID(AZ929,3,10),{1,2,3,4,5,10},1),"ABCDEFGHIJKLMNOPQRSTUVWXYZ")))=0,SUMPRODUCT(--ISERROR(FIND(MID(MID(AZ929,3,10),{6,7,8,9},1),"0123456789")))=0,ISNUMBER(FIND(MID(AZ929,13,1),"123456789ABCDEFGHIJKLMNOPQRSTUVWXYZ")),MID(AZ929,14,1)="Z")),"Wrong format",IF(MID("0123456789ABCDEFGHIJKLMNOPQRSTUVWXYZ",MOD(36-MOD(SUMPRODUCT(INT((FIND(MID(AZ929,{1,2,3,4,5,6,7,8,9,10,11,12,13,14},1),"0123456789ABCDEFGHIJKLMNOPQRSTUVWXYZ")-1)*{1,2,1,2,1,2,1,2,1,2,1,2,1,2}/36)+MOD((FIND(MID(AZ929,{1,2,3,4,5,6,7,8,9,10,11,12,13,14},1),"0123456789ABCDEFGHIJKLMNOPQRSTUVWXYZ")-1)*{1,2,1,2,1,2,1,2,1,2,1,2,1,2},36)),36),36)+1,1)=MID(AZ929,15,1),"OK","Typo? check digit wrong")),"Wrong format"))</f>
        <v/>
      </c>
      <c r="AW929" s="29">
        <f>IF(BA929="","",IF(AND(LEN(BA929)=10,SUMPRODUCT(--ISERROR(FIND(MID(BA929,{1,2,3,4,5,10},1),"ABCDEFGHIJKLMNOPQRSTUVWXYZ")))=0,SUMPRODUCT(--ISERROR(FIND(MID(BA929,{6,7,8,9},1),"0123456789")))=0),"OK","Wrong format"))</f>
        <v/>
      </c>
      <c r="AX929" s="29">
        <f>IF(TRIM(H929)="","",IF(AND(LEN(UPPER(TRIM(H929)))=10,SUMPRODUCT(--ISERROR(FIND(MID(UPPER(TRIM(H929)),{1,2,3,4,10},1),"ABCDEFGHIJKLMNOPQRSTUVWXYZ")))=0,SUMPRODUCT(--ISERROR(FIND(MID(UPPER(TRIM(H929)),{5,6,7,8,9},1),"0123456789")))=0),"OK","Wrong format"))</f>
        <v/>
      </c>
      <c r="AY929" s="30">
        <f>IF(NOT(COUNTA(A929:AE929)&gt;0),"",IF(BE929&lt;&gt;"","✖ "&amp;LEFT(BE929,LEN(BE929)-2),IF(BD929&gt;0,"✔ Ready — client + "&amp;BD929&amp;" service(s)","✔ Ready — client only")))</f>
        <v/>
      </c>
      <c r="AZ929" s="31">
        <f>UPPER(SUBSTITUTE(TRIM(F929)," ",""))</f>
        <v/>
      </c>
      <c r="BA929" s="31">
        <f>UPPER(SUBSTITUTE(TRIM(E929)," ",""))</f>
        <v/>
      </c>
      <c r="BB929" s="31">
        <f>IF(D929&lt;&gt;"",D929,IFERROR(VLOOKUP(MID(AS929,4,1),Lists!$E$2:$F$8,2,FALSE),""))</f>
        <v/>
      </c>
      <c r="BC929" s="31">
        <f>IFERROR(VLOOKUP(BB929,Lists!$A$2:$C$12,3,FALSE),"")</f>
        <v/>
      </c>
      <c r="BD929" s="31">
        <f>COUNTIF(W929:AC929,"Yes")</f>
        <v/>
      </c>
      <c r="BE929" s="31">
        <f>IF(TRIM(B929)="","Legal name missing; ","")&amp;IF(AND(AV929&lt;&gt;"",AV929&lt;&gt;"OK"),"GSTIN: "&amp;AV929&amp;"; ","")&amp;IF(AND(AW929&lt;&gt;"",AW929&lt;&gt;"OK"),"PAN wrong format; ","")&amp;IF(AND(BA929&lt;&gt;"",LEN(AZ929)=15,MID(AZ929,3,10)&lt;&gt;BA929),"PAN does not match GSTIN; ","")&amp;IF(AND(AX929&lt;&gt;"",AX929&lt;&gt;"OK"),"TAN wrong format; ","")&amp;IF(AS929="","PAN missing; ","")&amp;IF(BB929="","Entity type missing; ","")&amp;IF(AND(AZ929&lt;&gt;"",COUNTIF($AZ$6:$AZ$1005,AZ929)&gt;1),"GSTIN repeated in this sheet; ","")&amp;IF(AND(AS929&lt;&gt;"",COUNTIF($AS$6:$AS$1005,AS929)&gt;1),"PAN repeated in this sheet (same client? put extra GSTINs in Other GSTINs); ","")&amp;IF(AND(BD929&gt;0,V929=""),"Financial year missing; ","")&amp;IF(AND(BD929=0,V929&lt;&gt;""),"Financial year given but no service is Yes; ","")&amp;IF(AND(W929="Yes",AZ929=""),"GST needs a GSTIN; ","")&amp;IF(AND(W929="Yes",X929=""),"GST return frequency missing; ","")&amp;IF(AND(Y929="Yes",TRIM(H929)=""),"TDS needs a TAN; ","")&amp;IF(AND(AA929="Yes",BC929&lt;&gt;"",BC929&lt;&gt;"company",BC929&lt;&gt;"llp"),"ROC is only for a company / LLP; ","")&amp;IF(AND(AA929="Yes",OR(BC929="company",BC929="llp"),TRIM(I929)=""),"ROC needs the CIN / LLPIN; ","")&amp;IF((TRIM(AF929)="")&lt;&gt;(TRIM(AG929)=""),"GST login needs both user ID and password; ","")&amp;IF((TRIM(AH929)="")&lt;&gt;(TRIM(AI929)=""),"Income-tax login needs both user ID and password; ","")&amp;IF((TRIM(AJ929)="")&lt;&gt;(TRIM(AK929)=""),"Income-tax login needs both user ID and password; ","")&amp;IF((TRIM(AL929)="")&lt;&gt;(TRIM(AM929)=""),"TRACES login needs both user ID and password; ","")&amp;IF((TRIM(AN929)="")&lt;&gt;(TRIM(AO929)=""),"MCA login needs both user ID and password; ","")&amp;IF((TRIM(AP929)="")&lt;&gt;(TRIM(AQ929)=""),"E-way bill login needs both user ID and password; ","")</f>
        <v/>
      </c>
    </row>
    <row r="930">
      <c r="A930" s="32" t="n"/>
      <c r="B930" s="33" t="n"/>
      <c r="C930" s="33" t="n"/>
      <c r="D930" s="33" t="n"/>
      <c r="E930" s="32" t="n"/>
      <c r="F930" s="32" t="n"/>
      <c r="G930" s="32" t="n"/>
      <c r="H930" s="32" t="n"/>
      <c r="I930" s="32" t="n"/>
      <c r="J930" s="34" t="n"/>
      <c r="K930" s="33" t="n"/>
      <c r="L930" s="32" t="n"/>
      <c r="M930" s="33" t="n"/>
      <c r="N930" s="33" t="n"/>
      <c r="O930" s="33" t="n"/>
      <c r="P930" s="32" t="n"/>
      <c r="Q930" s="33" t="n"/>
      <c r="R930" s="33" t="n"/>
      <c r="S930" s="33" t="n"/>
      <c r="T930" s="33" t="n"/>
      <c r="U930" s="32" t="n"/>
      <c r="V930" s="33" t="n"/>
      <c r="W930" s="33" t="n"/>
      <c r="X930" s="33" t="n"/>
      <c r="Y930" s="33" t="n"/>
      <c r="Z930" s="33" t="n"/>
      <c r="AA930" s="33" t="n"/>
      <c r="AB930" s="33" t="n"/>
      <c r="AC930" s="33" t="n"/>
      <c r="AD930" s="33" t="n"/>
      <c r="AE930" s="33" t="n"/>
      <c r="AF930" s="32" t="n"/>
      <c r="AG930" s="32" t="n"/>
      <c r="AH930" s="32" t="n"/>
      <c r="AI930" s="32" t="n"/>
      <c r="AJ930" s="32" t="n"/>
      <c r="AK930" s="32" t="n"/>
      <c r="AL930" s="32" t="n"/>
      <c r="AM930" s="32" t="n"/>
      <c r="AN930" s="32" t="n"/>
      <c r="AO930" s="32" t="n"/>
      <c r="AP930" s="32" t="n"/>
      <c r="AQ930" s="32" t="n"/>
      <c r="AR930" s="29">
        <f>IF(NOT(COUNTA(A930:AE930)&gt;0),"",IF(A930="","New client","Update"))</f>
        <v/>
      </c>
      <c r="AS930" s="29">
        <f>IF(BA930&lt;&gt;"",BA930,IF(LEN(AZ930)=15,MID(AZ930,3,10),""))</f>
        <v/>
      </c>
      <c r="AT930" s="29">
        <f>IF(BB930="","",BB930&amp;IF(D930="","  (guessed from PAN)",""))</f>
        <v/>
      </c>
      <c r="AU930" s="29">
        <f>IF(AZ930="","",IFERROR(INDEX(Lists!$L$2:$L$38,MATCH(LEFT(AZ930,2),Lists!$K$2:$K$38,0)),"Unknown code"))</f>
        <v/>
      </c>
      <c r="AV930" s="29">
        <f>IF(AZ930="","",IFERROR(IF(NOT(AND(LEN(AZ930)=15,ISNUMBER(MATCH(LEFT(AZ930,2),Lists!$K$2:$K$38,0)),SUMPRODUCT(--ISERROR(FIND(MID(MID(AZ930,3,10),{1,2,3,4,5,10},1),"ABCDEFGHIJKLMNOPQRSTUVWXYZ")))=0,SUMPRODUCT(--ISERROR(FIND(MID(MID(AZ930,3,10),{6,7,8,9},1),"0123456789")))=0,ISNUMBER(FIND(MID(AZ930,13,1),"123456789ABCDEFGHIJKLMNOPQRSTUVWXYZ")),MID(AZ930,14,1)="Z")),"Wrong format",IF(MID("0123456789ABCDEFGHIJKLMNOPQRSTUVWXYZ",MOD(36-MOD(SUMPRODUCT(INT((FIND(MID(AZ930,{1,2,3,4,5,6,7,8,9,10,11,12,13,14},1),"0123456789ABCDEFGHIJKLMNOPQRSTUVWXYZ")-1)*{1,2,1,2,1,2,1,2,1,2,1,2,1,2}/36)+MOD((FIND(MID(AZ930,{1,2,3,4,5,6,7,8,9,10,11,12,13,14},1),"0123456789ABCDEFGHIJKLMNOPQRSTUVWXYZ")-1)*{1,2,1,2,1,2,1,2,1,2,1,2,1,2},36)),36),36)+1,1)=MID(AZ930,15,1),"OK","Typo? check digit wrong")),"Wrong format"))</f>
        <v/>
      </c>
      <c r="AW930" s="29">
        <f>IF(BA930="","",IF(AND(LEN(BA930)=10,SUMPRODUCT(--ISERROR(FIND(MID(BA930,{1,2,3,4,5,10},1),"ABCDEFGHIJKLMNOPQRSTUVWXYZ")))=0,SUMPRODUCT(--ISERROR(FIND(MID(BA930,{6,7,8,9},1),"0123456789")))=0),"OK","Wrong format"))</f>
        <v/>
      </c>
      <c r="AX930" s="29">
        <f>IF(TRIM(H930)="","",IF(AND(LEN(UPPER(TRIM(H930)))=10,SUMPRODUCT(--ISERROR(FIND(MID(UPPER(TRIM(H930)),{1,2,3,4,10},1),"ABCDEFGHIJKLMNOPQRSTUVWXYZ")))=0,SUMPRODUCT(--ISERROR(FIND(MID(UPPER(TRIM(H930)),{5,6,7,8,9},1),"0123456789")))=0),"OK","Wrong format"))</f>
        <v/>
      </c>
      <c r="AY930" s="30">
        <f>IF(NOT(COUNTA(A930:AE930)&gt;0),"",IF(BE930&lt;&gt;"","✖ "&amp;LEFT(BE930,LEN(BE930)-2),IF(BD930&gt;0,"✔ Ready — client + "&amp;BD930&amp;" service(s)","✔ Ready — client only")))</f>
        <v/>
      </c>
      <c r="AZ930" s="31">
        <f>UPPER(SUBSTITUTE(TRIM(F930)," ",""))</f>
        <v/>
      </c>
      <c r="BA930" s="31">
        <f>UPPER(SUBSTITUTE(TRIM(E930)," ",""))</f>
        <v/>
      </c>
      <c r="BB930" s="31">
        <f>IF(D930&lt;&gt;"",D930,IFERROR(VLOOKUP(MID(AS930,4,1),Lists!$E$2:$F$8,2,FALSE),""))</f>
        <v/>
      </c>
      <c r="BC930" s="31">
        <f>IFERROR(VLOOKUP(BB930,Lists!$A$2:$C$12,3,FALSE),"")</f>
        <v/>
      </c>
      <c r="BD930" s="31">
        <f>COUNTIF(W930:AC930,"Yes")</f>
        <v/>
      </c>
      <c r="BE930" s="31">
        <f>IF(TRIM(B930)="","Legal name missing; ","")&amp;IF(AND(AV930&lt;&gt;"",AV930&lt;&gt;"OK"),"GSTIN: "&amp;AV930&amp;"; ","")&amp;IF(AND(AW930&lt;&gt;"",AW930&lt;&gt;"OK"),"PAN wrong format; ","")&amp;IF(AND(BA930&lt;&gt;"",LEN(AZ930)=15,MID(AZ930,3,10)&lt;&gt;BA930),"PAN does not match GSTIN; ","")&amp;IF(AND(AX930&lt;&gt;"",AX930&lt;&gt;"OK"),"TAN wrong format; ","")&amp;IF(AS930="","PAN missing; ","")&amp;IF(BB930="","Entity type missing; ","")&amp;IF(AND(AZ930&lt;&gt;"",COUNTIF($AZ$6:$AZ$1005,AZ930)&gt;1),"GSTIN repeated in this sheet; ","")&amp;IF(AND(AS930&lt;&gt;"",COUNTIF($AS$6:$AS$1005,AS930)&gt;1),"PAN repeated in this sheet (same client? put extra GSTINs in Other GSTINs); ","")&amp;IF(AND(BD930&gt;0,V930=""),"Financial year missing; ","")&amp;IF(AND(BD930=0,V930&lt;&gt;""),"Financial year given but no service is Yes; ","")&amp;IF(AND(W930="Yes",AZ930=""),"GST needs a GSTIN; ","")&amp;IF(AND(W930="Yes",X930=""),"GST return frequency missing; ","")&amp;IF(AND(Y930="Yes",TRIM(H930)=""),"TDS needs a TAN; ","")&amp;IF(AND(AA930="Yes",BC930&lt;&gt;"",BC930&lt;&gt;"company",BC930&lt;&gt;"llp"),"ROC is only for a company / LLP; ","")&amp;IF(AND(AA930="Yes",OR(BC930="company",BC930="llp"),TRIM(I930)=""),"ROC needs the CIN / LLPIN; ","")&amp;IF((TRIM(AF930)="")&lt;&gt;(TRIM(AG930)=""),"GST login needs both user ID and password; ","")&amp;IF((TRIM(AH930)="")&lt;&gt;(TRIM(AI930)=""),"Income-tax login needs both user ID and password; ","")&amp;IF((TRIM(AJ930)="")&lt;&gt;(TRIM(AK930)=""),"Income-tax login needs both user ID and password; ","")&amp;IF((TRIM(AL930)="")&lt;&gt;(TRIM(AM930)=""),"TRACES login needs both user ID and password; ","")&amp;IF((TRIM(AN930)="")&lt;&gt;(TRIM(AO930)=""),"MCA login needs both user ID and password; ","")&amp;IF((TRIM(AP930)="")&lt;&gt;(TRIM(AQ930)=""),"E-way bill login needs both user ID and password; ","")</f>
        <v/>
      </c>
    </row>
    <row r="931">
      <c r="A931" s="32" t="n"/>
      <c r="B931" s="33" t="n"/>
      <c r="C931" s="33" t="n"/>
      <c r="D931" s="33" t="n"/>
      <c r="E931" s="32" t="n"/>
      <c r="F931" s="32" t="n"/>
      <c r="G931" s="32" t="n"/>
      <c r="H931" s="32" t="n"/>
      <c r="I931" s="32" t="n"/>
      <c r="J931" s="34" t="n"/>
      <c r="K931" s="33" t="n"/>
      <c r="L931" s="32" t="n"/>
      <c r="M931" s="33" t="n"/>
      <c r="N931" s="33" t="n"/>
      <c r="O931" s="33" t="n"/>
      <c r="P931" s="32" t="n"/>
      <c r="Q931" s="33" t="n"/>
      <c r="R931" s="33" t="n"/>
      <c r="S931" s="33" t="n"/>
      <c r="T931" s="33" t="n"/>
      <c r="U931" s="32" t="n"/>
      <c r="V931" s="33" t="n"/>
      <c r="W931" s="33" t="n"/>
      <c r="X931" s="33" t="n"/>
      <c r="Y931" s="33" t="n"/>
      <c r="Z931" s="33" t="n"/>
      <c r="AA931" s="33" t="n"/>
      <c r="AB931" s="33" t="n"/>
      <c r="AC931" s="33" t="n"/>
      <c r="AD931" s="33" t="n"/>
      <c r="AE931" s="33" t="n"/>
      <c r="AF931" s="32" t="n"/>
      <c r="AG931" s="32" t="n"/>
      <c r="AH931" s="32" t="n"/>
      <c r="AI931" s="32" t="n"/>
      <c r="AJ931" s="32" t="n"/>
      <c r="AK931" s="32" t="n"/>
      <c r="AL931" s="32" t="n"/>
      <c r="AM931" s="32" t="n"/>
      <c r="AN931" s="32" t="n"/>
      <c r="AO931" s="32" t="n"/>
      <c r="AP931" s="32" t="n"/>
      <c r="AQ931" s="32" t="n"/>
      <c r="AR931" s="29">
        <f>IF(NOT(COUNTA(A931:AE931)&gt;0),"",IF(A931="","New client","Update"))</f>
        <v/>
      </c>
      <c r="AS931" s="29">
        <f>IF(BA931&lt;&gt;"",BA931,IF(LEN(AZ931)=15,MID(AZ931,3,10),""))</f>
        <v/>
      </c>
      <c r="AT931" s="29">
        <f>IF(BB931="","",BB931&amp;IF(D931="","  (guessed from PAN)",""))</f>
        <v/>
      </c>
      <c r="AU931" s="29">
        <f>IF(AZ931="","",IFERROR(INDEX(Lists!$L$2:$L$38,MATCH(LEFT(AZ931,2),Lists!$K$2:$K$38,0)),"Unknown code"))</f>
        <v/>
      </c>
      <c r="AV931" s="29">
        <f>IF(AZ931="","",IFERROR(IF(NOT(AND(LEN(AZ931)=15,ISNUMBER(MATCH(LEFT(AZ931,2),Lists!$K$2:$K$38,0)),SUMPRODUCT(--ISERROR(FIND(MID(MID(AZ931,3,10),{1,2,3,4,5,10},1),"ABCDEFGHIJKLMNOPQRSTUVWXYZ")))=0,SUMPRODUCT(--ISERROR(FIND(MID(MID(AZ931,3,10),{6,7,8,9},1),"0123456789")))=0,ISNUMBER(FIND(MID(AZ931,13,1),"123456789ABCDEFGHIJKLMNOPQRSTUVWXYZ")),MID(AZ931,14,1)="Z")),"Wrong format",IF(MID("0123456789ABCDEFGHIJKLMNOPQRSTUVWXYZ",MOD(36-MOD(SUMPRODUCT(INT((FIND(MID(AZ931,{1,2,3,4,5,6,7,8,9,10,11,12,13,14},1),"0123456789ABCDEFGHIJKLMNOPQRSTUVWXYZ")-1)*{1,2,1,2,1,2,1,2,1,2,1,2,1,2}/36)+MOD((FIND(MID(AZ931,{1,2,3,4,5,6,7,8,9,10,11,12,13,14},1),"0123456789ABCDEFGHIJKLMNOPQRSTUVWXYZ")-1)*{1,2,1,2,1,2,1,2,1,2,1,2,1,2},36)),36),36)+1,1)=MID(AZ931,15,1),"OK","Typo? check digit wrong")),"Wrong format"))</f>
        <v/>
      </c>
      <c r="AW931" s="29">
        <f>IF(BA931="","",IF(AND(LEN(BA931)=10,SUMPRODUCT(--ISERROR(FIND(MID(BA931,{1,2,3,4,5,10},1),"ABCDEFGHIJKLMNOPQRSTUVWXYZ")))=0,SUMPRODUCT(--ISERROR(FIND(MID(BA931,{6,7,8,9},1),"0123456789")))=0),"OK","Wrong format"))</f>
        <v/>
      </c>
      <c r="AX931" s="29">
        <f>IF(TRIM(H931)="","",IF(AND(LEN(UPPER(TRIM(H931)))=10,SUMPRODUCT(--ISERROR(FIND(MID(UPPER(TRIM(H931)),{1,2,3,4,10},1),"ABCDEFGHIJKLMNOPQRSTUVWXYZ")))=0,SUMPRODUCT(--ISERROR(FIND(MID(UPPER(TRIM(H931)),{5,6,7,8,9},1),"0123456789")))=0),"OK","Wrong format"))</f>
        <v/>
      </c>
      <c r="AY931" s="30">
        <f>IF(NOT(COUNTA(A931:AE931)&gt;0),"",IF(BE931&lt;&gt;"","✖ "&amp;LEFT(BE931,LEN(BE931)-2),IF(BD931&gt;0,"✔ Ready — client + "&amp;BD931&amp;" service(s)","✔ Ready — client only")))</f>
        <v/>
      </c>
      <c r="AZ931" s="31">
        <f>UPPER(SUBSTITUTE(TRIM(F931)," ",""))</f>
        <v/>
      </c>
      <c r="BA931" s="31">
        <f>UPPER(SUBSTITUTE(TRIM(E931)," ",""))</f>
        <v/>
      </c>
      <c r="BB931" s="31">
        <f>IF(D931&lt;&gt;"",D931,IFERROR(VLOOKUP(MID(AS931,4,1),Lists!$E$2:$F$8,2,FALSE),""))</f>
        <v/>
      </c>
      <c r="BC931" s="31">
        <f>IFERROR(VLOOKUP(BB931,Lists!$A$2:$C$12,3,FALSE),"")</f>
        <v/>
      </c>
      <c r="BD931" s="31">
        <f>COUNTIF(W931:AC931,"Yes")</f>
        <v/>
      </c>
      <c r="BE931" s="31">
        <f>IF(TRIM(B931)="","Legal name missing; ","")&amp;IF(AND(AV931&lt;&gt;"",AV931&lt;&gt;"OK"),"GSTIN: "&amp;AV931&amp;"; ","")&amp;IF(AND(AW931&lt;&gt;"",AW931&lt;&gt;"OK"),"PAN wrong format; ","")&amp;IF(AND(BA931&lt;&gt;"",LEN(AZ931)=15,MID(AZ931,3,10)&lt;&gt;BA931),"PAN does not match GSTIN; ","")&amp;IF(AND(AX931&lt;&gt;"",AX931&lt;&gt;"OK"),"TAN wrong format; ","")&amp;IF(AS931="","PAN missing; ","")&amp;IF(BB931="","Entity type missing; ","")&amp;IF(AND(AZ931&lt;&gt;"",COUNTIF($AZ$6:$AZ$1005,AZ931)&gt;1),"GSTIN repeated in this sheet; ","")&amp;IF(AND(AS931&lt;&gt;"",COUNTIF($AS$6:$AS$1005,AS931)&gt;1),"PAN repeated in this sheet (same client? put extra GSTINs in Other GSTINs); ","")&amp;IF(AND(BD931&gt;0,V931=""),"Financial year missing; ","")&amp;IF(AND(BD931=0,V931&lt;&gt;""),"Financial year given but no service is Yes; ","")&amp;IF(AND(W931="Yes",AZ931=""),"GST needs a GSTIN; ","")&amp;IF(AND(W931="Yes",X931=""),"GST return frequency missing; ","")&amp;IF(AND(Y931="Yes",TRIM(H931)=""),"TDS needs a TAN; ","")&amp;IF(AND(AA931="Yes",BC931&lt;&gt;"",BC931&lt;&gt;"company",BC931&lt;&gt;"llp"),"ROC is only for a company / LLP; ","")&amp;IF(AND(AA931="Yes",OR(BC931="company",BC931="llp"),TRIM(I931)=""),"ROC needs the CIN / LLPIN; ","")&amp;IF((TRIM(AF931)="")&lt;&gt;(TRIM(AG931)=""),"GST login needs both user ID and password; ","")&amp;IF((TRIM(AH931)="")&lt;&gt;(TRIM(AI931)=""),"Income-tax login needs both user ID and password; ","")&amp;IF((TRIM(AJ931)="")&lt;&gt;(TRIM(AK931)=""),"Income-tax login needs both user ID and password; ","")&amp;IF((TRIM(AL931)="")&lt;&gt;(TRIM(AM931)=""),"TRACES login needs both user ID and password; ","")&amp;IF((TRIM(AN931)="")&lt;&gt;(TRIM(AO931)=""),"MCA login needs both user ID and password; ","")&amp;IF((TRIM(AP931)="")&lt;&gt;(TRIM(AQ931)=""),"E-way bill login needs both user ID and password; ","")</f>
        <v/>
      </c>
    </row>
    <row r="932">
      <c r="A932" s="32" t="n"/>
      <c r="B932" s="33" t="n"/>
      <c r="C932" s="33" t="n"/>
      <c r="D932" s="33" t="n"/>
      <c r="E932" s="32" t="n"/>
      <c r="F932" s="32" t="n"/>
      <c r="G932" s="32" t="n"/>
      <c r="H932" s="32" t="n"/>
      <c r="I932" s="32" t="n"/>
      <c r="J932" s="34" t="n"/>
      <c r="K932" s="33" t="n"/>
      <c r="L932" s="32" t="n"/>
      <c r="M932" s="33" t="n"/>
      <c r="N932" s="33" t="n"/>
      <c r="O932" s="33" t="n"/>
      <c r="P932" s="32" t="n"/>
      <c r="Q932" s="33" t="n"/>
      <c r="R932" s="33" t="n"/>
      <c r="S932" s="33" t="n"/>
      <c r="T932" s="33" t="n"/>
      <c r="U932" s="32" t="n"/>
      <c r="V932" s="33" t="n"/>
      <c r="W932" s="33" t="n"/>
      <c r="X932" s="33" t="n"/>
      <c r="Y932" s="33" t="n"/>
      <c r="Z932" s="33" t="n"/>
      <c r="AA932" s="33" t="n"/>
      <c r="AB932" s="33" t="n"/>
      <c r="AC932" s="33" t="n"/>
      <c r="AD932" s="33" t="n"/>
      <c r="AE932" s="33" t="n"/>
      <c r="AF932" s="32" t="n"/>
      <c r="AG932" s="32" t="n"/>
      <c r="AH932" s="32" t="n"/>
      <c r="AI932" s="32" t="n"/>
      <c r="AJ932" s="32" t="n"/>
      <c r="AK932" s="32" t="n"/>
      <c r="AL932" s="32" t="n"/>
      <c r="AM932" s="32" t="n"/>
      <c r="AN932" s="32" t="n"/>
      <c r="AO932" s="32" t="n"/>
      <c r="AP932" s="32" t="n"/>
      <c r="AQ932" s="32" t="n"/>
      <c r="AR932" s="29">
        <f>IF(NOT(COUNTA(A932:AE932)&gt;0),"",IF(A932="","New client","Update"))</f>
        <v/>
      </c>
      <c r="AS932" s="29">
        <f>IF(BA932&lt;&gt;"",BA932,IF(LEN(AZ932)=15,MID(AZ932,3,10),""))</f>
        <v/>
      </c>
      <c r="AT932" s="29">
        <f>IF(BB932="","",BB932&amp;IF(D932="","  (guessed from PAN)",""))</f>
        <v/>
      </c>
      <c r="AU932" s="29">
        <f>IF(AZ932="","",IFERROR(INDEX(Lists!$L$2:$L$38,MATCH(LEFT(AZ932,2),Lists!$K$2:$K$38,0)),"Unknown code"))</f>
        <v/>
      </c>
      <c r="AV932" s="29">
        <f>IF(AZ932="","",IFERROR(IF(NOT(AND(LEN(AZ932)=15,ISNUMBER(MATCH(LEFT(AZ932,2),Lists!$K$2:$K$38,0)),SUMPRODUCT(--ISERROR(FIND(MID(MID(AZ932,3,10),{1,2,3,4,5,10},1),"ABCDEFGHIJKLMNOPQRSTUVWXYZ")))=0,SUMPRODUCT(--ISERROR(FIND(MID(MID(AZ932,3,10),{6,7,8,9},1),"0123456789")))=0,ISNUMBER(FIND(MID(AZ932,13,1),"123456789ABCDEFGHIJKLMNOPQRSTUVWXYZ")),MID(AZ932,14,1)="Z")),"Wrong format",IF(MID("0123456789ABCDEFGHIJKLMNOPQRSTUVWXYZ",MOD(36-MOD(SUMPRODUCT(INT((FIND(MID(AZ932,{1,2,3,4,5,6,7,8,9,10,11,12,13,14},1),"0123456789ABCDEFGHIJKLMNOPQRSTUVWXYZ")-1)*{1,2,1,2,1,2,1,2,1,2,1,2,1,2}/36)+MOD((FIND(MID(AZ932,{1,2,3,4,5,6,7,8,9,10,11,12,13,14},1),"0123456789ABCDEFGHIJKLMNOPQRSTUVWXYZ")-1)*{1,2,1,2,1,2,1,2,1,2,1,2,1,2},36)),36),36)+1,1)=MID(AZ932,15,1),"OK","Typo? check digit wrong")),"Wrong format"))</f>
        <v/>
      </c>
      <c r="AW932" s="29">
        <f>IF(BA932="","",IF(AND(LEN(BA932)=10,SUMPRODUCT(--ISERROR(FIND(MID(BA932,{1,2,3,4,5,10},1),"ABCDEFGHIJKLMNOPQRSTUVWXYZ")))=0,SUMPRODUCT(--ISERROR(FIND(MID(BA932,{6,7,8,9},1),"0123456789")))=0),"OK","Wrong format"))</f>
        <v/>
      </c>
      <c r="AX932" s="29">
        <f>IF(TRIM(H932)="","",IF(AND(LEN(UPPER(TRIM(H932)))=10,SUMPRODUCT(--ISERROR(FIND(MID(UPPER(TRIM(H932)),{1,2,3,4,10},1),"ABCDEFGHIJKLMNOPQRSTUVWXYZ")))=0,SUMPRODUCT(--ISERROR(FIND(MID(UPPER(TRIM(H932)),{5,6,7,8,9},1),"0123456789")))=0),"OK","Wrong format"))</f>
        <v/>
      </c>
      <c r="AY932" s="30">
        <f>IF(NOT(COUNTA(A932:AE932)&gt;0),"",IF(BE932&lt;&gt;"","✖ "&amp;LEFT(BE932,LEN(BE932)-2),IF(BD932&gt;0,"✔ Ready — client + "&amp;BD932&amp;" service(s)","✔ Ready — client only")))</f>
        <v/>
      </c>
      <c r="AZ932" s="31">
        <f>UPPER(SUBSTITUTE(TRIM(F932)," ",""))</f>
        <v/>
      </c>
      <c r="BA932" s="31">
        <f>UPPER(SUBSTITUTE(TRIM(E932)," ",""))</f>
        <v/>
      </c>
      <c r="BB932" s="31">
        <f>IF(D932&lt;&gt;"",D932,IFERROR(VLOOKUP(MID(AS932,4,1),Lists!$E$2:$F$8,2,FALSE),""))</f>
        <v/>
      </c>
      <c r="BC932" s="31">
        <f>IFERROR(VLOOKUP(BB932,Lists!$A$2:$C$12,3,FALSE),"")</f>
        <v/>
      </c>
      <c r="BD932" s="31">
        <f>COUNTIF(W932:AC932,"Yes")</f>
        <v/>
      </c>
      <c r="BE932" s="31">
        <f>IF(TRIM(B932)="","Legal name missing; ","")&amp;IF(AND(AV932&lt;&gt;"",AV932&lt;&gt;"OK"),"GSTIN: "&amp;AV932&amp;"; ","")&amp;IF(AND(AW932&lt;&gt;"",AW932&lt;&gt;"OK"),"PAN wrong format; ","")&amp;IF(AND(BA932&lt;&gt;"",LEN(AZ932)=15,MID(AZ932,3,10)&lt;&gt;BA932),"PAN does not match GSTIN; ","")&amp;IF(AND(AX932&lt;&gt;"",AX932&lt;&gt;"OK"),"TAN wrong format; ","")&amp;IF(AS932="","PAN missing; ","")&amp;IF(BB932="","Entity type missing; ","")&amp;IF(AND(AZ932&lt;&gt;"",COUNTIF($AZ$6:$AZ$1005,AZ932)&gt;1),"GSTIN repeated in this sheet; ","")&amp;IF(AND(AS932&lt;&gt;"",COUNTIF($AS$6:$AS$1005,AS932)&gt;1),"PAN repeated in this sheet (same client? put extra GSTINs in Other GSTINs); ","")&amp;IF(AND(BD932&gt;0,V932=""),"Financial year missing; ","")&amp;IF(AND(BD932=0,V932&lt;&gt;""),"Financial year given but no service is Yes; ","")&amp;IF(AND(W932="Yes",AZ932=""),"GST needs a GSTIN; ","")&amp;IF(AND(W932="Yes",X932=""),"GST return frequency missing; ","")&amp;IF(AND(Y932="Yes",TRIM(H932)=""),"TDS needs a TAN; ","")&amp;IF(AND(AA932="Yes",BC932&lt;&gt;"",BC932&lt;&gt;"company",BC932&lt;&gt;"llp"),"ROC is only for a company / LLP; ","")&amp;IF(AND(AA932="Yes",OR(BC932="company",BC932="llp"),TRIM(I932)=""),"ROC needs the CIN / LLPIN; ","")&amp;IF((TRIM(AF932)="")&lt;&gt;(TRIM(AG932)=""),"GST login needs both user ID and password; ","")&amp;IF((TRIM(AH932)="")&lt;&gt;(TRIM(AI932)=""),"Income-tax login needs both user ID and password; ","")&amp;IF((TRIM(AJ932)="")&lt;&gt;(TRIM(AK932)=""),"Income-tax login needs both user ID and password; ","")&amp;IF((TRIM(AL932)="")&lt;&gt;(TRIM(AM932)=""),"TRACES login needs both user ID and password; ","")&amp;IF((TRIM(AN932)="")&lt;&gt;(TRIM(AO932)=""),"MCA login needs both user ID and password; ","")&amp;IF((TRIM(AP932)="")&lt;&gt;(TRIM(AQ932)=""),"E-way bill login needs both user ID and password; ","")</f>
        <v/>
      </c>
    </row>
    <row r="933">
      <c r="A933" s="32" t="n"/>
      <c r="B933" s="33" t="n"/>
      <c r="C933" s="33" t="n"/>
      <c r="D933" s="33" t="n"/>
      <c r="E933" s="32" t="n"/>
      <c r="F933" s="32" t="n"/>
      <c r="G933" s="32" t="n"/>
      <c r="H933" s="32" t="n"/>
      <c r="I933" s="32" t="n"/>
      <c r="J933" s="34" t="n"/>
      <c r="K933" s="33" t="n"/>
      <c r="L933" s="32" t="n"/>
      <c r="M933" s="33" t="n"/>
      <c r="N933" s="33" t="n"/>
      <c r="O933" s="33" t="n"/>
      <c r="P933" s="32" t="n"/>
      <c r="Q933" s="33" t="n"/>
      <c r="R933" s="33" t="n"/>
      <c r="S933" s="33" t="n"/>
      <c r="T933" s="33" t="n"/>
      <c r="U933" s="32" t="n"/>
      <c r="V933" s="33" t="n"/>
      <c r="W933" s="33" t="n"/>
      <c r="X933" s="33" t="n"/>
      <c r="Y933" s="33" t="n"/>
      <c r="Z933" s="33" t="n"/>
      <c r="AA933" s="33" t="n"/>
      <c r="AB933" s="33" t="n"/>
      <c r="AC933" s="33" t="n"/>
      <c r="AD933" s="33" t="n"/>
      <c r="AE933" s="33" t="n"/>
      <c r="AF933" s="32" t="n"/>
      <c r="AG933" s="32" t="n"/>
      <c r="AH933" s="32" t="n"/>
      <c r="AI933" s="32" t="n"/>
      <c r="AJ933" s="32" t="n"/>
      <c r="AK933" s="32" t="n"/>
      <c r="AL933" s="32" t="n"/>
      <c r="AM933" s="32" t="n"/>
      <c r="AN933" s="32" t="n"/>
      <c r="AO933" s="32" t="n"/>
      <c r="AP933" s="32" t="n"/>
      <c r="AQ933" s="32" t="n"/>
      <c r="AR933" s="29">
        <f>IF(NOT(COUNTA(A933:AE933)&gt;0),"",IF(A933="","New client","Update"))</f>
        <v/>
      </c>
      <c r="AS933" s="29">
        <f>IF(BA933&lt;&gt;"",BA933,IF(LEN(AZ933)=15,MID(AZ933,3,10),""))</f>
        <v/>
      </c>
      <c r="AT933" s="29">
        <f>IF(BB933="","",BB933&amp;IF(D933="","  (guessed from PAN)",""))</f>
        <v/>
      </c>
      <c r="AU933" s="29">
        <f>IF(AZ933="","",IFERROR(INDEX(Lists!$L$2:$L$38,MATCH(LEFT(AZ933,2),Lists!$K$2:$K$38,0)),"Unknown code"))</f>
        <v/>
      </c>
      <c r="AV933" s="29">
        <f>IF(AZ933="","",IFERROR(IF(NOT(AND(LEN(AZ933)=15,ISNUMBER(MATCH(LEFT(AZ933,2),Lists!$K$2:$K$38,0)),SUMPRODUCT(--ISERROR(FIND(MID(MID(AZ933,3,10),{1,2,3,4,5,10},1),"ABCDEFGHIJKLMNOPQRSTUVWXYZ")))=0,SUMPRODUCT(--ISERROR(FIND(MID(MID(AZ933,3,10),{6,7,8,9},1),"0123456789")))=0,ISNUMBER(FIND(MID(AZ933,13,1),"123456789ABCDEFGHIJKLMNOPQRSTUVWXYZ")),MID(AZ933,14,1)="Z")),"Wrong format",IF(MID("0123456789ABCDEFGHIJKLMNOPQRSTUVWXYZ",MOD(36-MOD(SUMPRODUCT(INT((FIND(MID(AZ933,{1,2,3,4,5,6,7,8,9,10,11,12,13,14},1),"0123456789ABCDEFGHIJKLMNOPQRSTUVWXYZ")-1)*{1,2,1,2,1,2,1,2,1,2,1,2,1,2}/36)+MOD((FIND(MID(AZ933,{1,2,3,4,5,6,7,8,9,10,11,12,13,14},1),"0123456789ABCDEFGHIJKLMNOPQRSTUVWXYZ")-1)*{1,2,1,2,1,2,1,2,1,2,1,2,1,2},36)),36),36)+1,1)=MID(AZ933,15,1),"OK","Typo? check digit wrong")),"Wrong format"))</f>
        <v/>
      </c>
      <c r="AW933" s="29">
        <f>IF(BA933="","",IF(AND(LEN(BA933)=10,SUMPRODUCT(--ISERROR(FIND(MID(BA933,{1,2,3,4,5,10},1),"ABCDEFGHIJKLMNOPQRSTUVWXYZ")))=0,SUMPRODUCT(--ISERROR(FIND(MID(BA933,{6,7,8,9},1),"0123456789")))=0),"OK","Wrong format"))</f>
        <v/>
      </c>
      <c r="AX933" s="29">
        <f>IF(TRIM(H933)="","",IF(AND(LEN(UPPER(TRIM(H933)))=10,SUMPRODUCT(--ISERROR(FIND(MID(UPPER(TRIM(H933)),{1,2,3,4,10},1),"ABCDEFGHIJKLMNOPQRSTUVWXYZ")))=0,SUMPRODUCT(--ISERROR(FIND(MID(UPPER(TRIM(H933)),{5,6,7,8,9},1),"0123456789")))=0),"OK","Wrong format"))</f>
        <v/>
      </c>
      <c r="AY933" s="30">
        <f>IF(NOT(COUNTA(A933:AE933)&gt;0),"",IF(BE933&lt;&gt;"","✖ "&amp;LEFT(BE933,LEN(BE933)-2),IF(BD933&gt;0,"✔ Ready — client + "&amp;BD933&amp;" service(s)","✔ Ready — client only")))</f>
        <v/>
      </c>
      <c r="AZ933" s="31">
        <f>UPPER(SUBSTITUTE(TRIM(F933)," ",""))</f>
        <v/>
      </c>
      <c r="BA933" s="31">
        <f>UPPER(SUBSTITUTE(TRIM(E933)," ",""))</f>
        <v/>
      </c>
      <c r="BB933" s="31">
        <f>IF(D933&lt;&gt;"",D933,IFERROR(VLOOKUP(MID(AS933,4,1),Lists!$E$2:$F$8,2,FALSE),""))</f>
        <v/>
      </c>
      <c r="BC933" s="31">
        <f>IFERROR(VLOOKUP(BB933,Lists!$A$2:$C$12,3,FALSE),"")</f>
        <v/>
      </c>
      <c r="BD933" s="31">
        <f>COUNTIF(W933:AC933,"Yes")</f>
        <v/>
      </c>
      <c r="BE933" s="31">
        <f>IF(TRIM(B933)="","Legal name missing; ","")&amp;IF(AND(AV933&lt;&gt;"",AV933&lt;&gt;"OK"),"GSTIN: "&amp;AV933&amp;"; ","")&amp;IF(AND(AW933&lt;&gt;"",AW933&lt;&gt;"OK"),"PAN wrong format; ","")&amp;IF(AND(BA933&lt;&gt;"",LEN(AZ933)=15,MID(AZ933,3,10)&lt;&gt;BA933),"PAN does not match GSTIN; ","")&amp;IF(AND(AX933&lt;&gt;"",AX933&lt;&gt;"OK"),"TAN wrong format; ","")&amp;IF(AS933="","PAN missing; ","")&amp;IF(BB933="","Entity type missing; ","")&amp;IF(AND(AZ933&lt;&gt;"",COUNTIF($AZ$6:$AZ$1005,AZ933)&gt;1),"GSTIN repeated in this sheet; ","")&amp;IF(AND(AS933&lt;&gt;"",COUNTIF($AS$6:$AS$1005,AS933)&gt;1),"PAN repeated in this sheet (same client? put extra GSTINs in Other GSTINs); ","")&amp;IF(AND(BD933&gt;0,V933=""),"Financial year missing; ","")&amp;IF(AND(BD933=0,V933&lt;&gt;""),"Financial year given but no service is Yes; ","")&amp;IF(AND(W933="Yes",AZ933=""),"GST needs a GSTIN; ","")&amp;IF(AND(W933="Yes",X933=""),"GST return frequency missing; ","")&amp;IF(AND(Y933="Yes",TRIM(H933)=""),"TDS needs a TAN; ","")&amp;IF(AND(AA933="Yes",BC933&lt;&gt;"",BC933&lt;&gt;"company",BC933&lt;&gt;"llp"),"ROC is only for a company / LLP; ","")&amp;IF(AND(AA933="Yes",OR(BC933="company",BC933="llp"),TRIM(I933)=""),"ROC needs the CIN / LLPIN; ","")&amp;IF((TRIM(AF933)="")&lt;&gt;(TRIM(AG933)=""),"GST login needs both user ID and password; ","")&amp;IF((TRIM(AH933)="")&lt;&gt;(TRIM(AI933)=""),"Income-tax login needs both user ID and password; ","")&amp;IF((TRIM(AJ933)="")&lt;&gt;(TRIM(AK933)=""),"Income-tax login needs both user ID and password; ","")&amp;IF((TRIM(AL933)="")&lt;&gt;(TRIM(AM933)=""),"TRACES login needs both user ID and password; ","")&amp;IF((TRIM(AN933)="")&lt;&gt;(TRIM(AO933)=""),"MCA login needs both user ID and password; ","")&amp;IF((TRIM(AP933)="")&lt;&gt;(TRIM(AQ933)=""),"E-way bill login needs both user ID and password; ","")</f>
        <v/>
      </c>
    </row>
    <row r="934">
      <c r="A934" s="32" t="n"/>
      <c r="B934" s="33" t="n"/>
      <c r="C934" s="33" t="n"/>
      <c r="D934" s="33" t="n"/>
      <c r="E934" s="32" t="n"/>
      <c r="F934" s="32" t="n"/>
      <c r="G934" s="32" t="n"/>
      <c r="H934" s="32" t="n"/>
      <c r="I934" s="32" t="n"/>
      <c r="J934" s="34" t="n"/>
      <c r="K934" s="33" t="n"/>
      <c r="L934" s="32" t="n"/>
      <c r="M934" s="33" t="n"/>
      <c r="N934" s="33" t="n"/>
      <c r="O934" s="33" t="n"/>
      <c r="P934" s="32" t="n"/>
      <c r="Q934" s="33" t="n"/>
      <c r="R934" s="33" t="n"/>
      <c r="S934" s="33" t="n"/>
      <c r="T934" s="33" t="n"/>
      <c r="U934" s="32" t="n"/>
      <c r="V934" s="33" t="n"/>
      <c r="W934" s="33" t="n"/>
      <c r="X934" s="33" t="n"/>
      <c r="Y934" s="33" t="n"/>
      <c r="Z934" s="33" t="n"/>
      <c r="AA934" s="33" t="n"/>
      <c r="AB934" s="33" t="n"/>
      <c r="AC934" s="33" t="n"/>
      <c r="AD934" s="33" t="n"/>
      <c r="AE934" s="33" t="n"/>
      <c r="AF934" s="32" t="n"/>
      <c r="AG934" s="32" t="n"/>
      <c r="AH934" s="32" t="n"/>
      <c r="AI934" s="32" t="n"/>
      <c r="AJ934" s="32" t="n"/>
      <c r="AK934" s="32" t="n"/>
      <c r="AL934" s="32" t="n"/>
      <c r="AM934" s="32" t="n"/>
      <c r="AN934" s="32" t="n"/>
      <c r="AO934" s="32" t="n"/>
      <c r="AP934" s="32" t="n"/>
      <c r="AQ934" s="32" t="n"/>
      <c r="AR934" s="29">
        <f>IF(NOT(COUNTA(A934:AE934)&gt;0),"",IF(A934="","New client","Update"))</f>
        <v/>
      </c>
      <c r="AS934" s="29">
        <f>IF(BA934&lt;&gt;"",BA934,IF(LEN(AZ934)=15,MID(AZ934,3,10),""))</f>
        <v/>
      </c>
      <c r="AT934" s="29">
        <f>IF(BB934="","",BB934&amp;IF(D934="","  (guessed from PAN)",""))</f>
        <v/>
      </c>
      <c r="AU934" s="29">
        <f>IF(AZ934="","",IFERROR(INDEX(Lists!$L$2:$L$38,MATCH(LEFT(AZ934,2),Lists!$K$2:$K$38,0)),"Unknown code"))</f>
        <v/>
      </c>
      <c r="AV934" s="29">
        <f>IF(AZ934="","",IFERROR(IF(NOT(AND(LEN(AZ934)=15,ISNUMBER(MATCH(LEFT(AZ934,2),Lists!$K$2:$K$38,0)),SUMPRODUCT(--ISERROR(FIND(MID(MID(AZ934,3,10),{1,2,3,4,5,10},1),"ABCDEFGHIJKLMNOPQRSTUVWXYZ")))=0,SUMPRODUCT(--ISERROR(FIND(MID(MID(AZ934,3,10),{6,7,8,9},1),"0123456789")))=0,ISNUMBER(FIND(MID(AZ934,13,1),"123456789ABCDEFGHIJKLMNOPQRSTUVWXYZ")),MID(AZ934,14,1)="Z")),"Wrong format",IF(MID("0123456789ABCDEFGHIJKLMNOPQRSTUVWXYZ",MOD(36-MOD(SUMPRODUCT(INT((FIND(MID(AZ934,{1,2,3,4,5,6,7,8,9,10,11,12,13,14},1),"0123456789ABCDEFGHIJKLMNOPQRSTUVWXYZ")-1)*{1,2,1,2,1,2,1,2,1,2,1,2,1,2}/36)+MOD((FIND(MID(AZ934,{1,2,3,4,5,6,7,8,9,10,11,12,13,14},1),"0123456789ABCDEFGHIJKLMNOPQRSTUVWXYZ")-1)*{1,2,1,2,1,2,1,2,1,2,1,2,1,2},36)),36),36)+1,1)=MID(AZ934,15,1),"OK","Typo? check digit wrong")),"Wrong format"))</f>
        <v/>
      </c>
      <c r="AW934" s="29">
        <f>IF(BA934="","",IF(AND(LEN(BA934)=10,SUMPRODUCT(--ISERROR(FIND(MID(BA934,{1,2,3,4,5,10},1),"ABCDEFGHIJKLMNOPQRSTUVWXYZ")))=0,SUMPRODUCT(--ISERROR(FIND(MID(BA934,{6,7,8,9},1),"0123456789")))=0),"OK","Wrong format"))</f>
        <v/>
      </c>
      <c r="AX934" s="29">
        <f>IF(TRIM(H934)="","",IF(AND(LEN(UPPER(TRIM(H934)))=10,SUMPRODUCT(--ISERROR(FIND(MID(UPPER(TRIM(H934)),{1,2,3,4,10},1),"ABCDEFGHIJKLMNOPQRSTUVWXYZ")))=0,SUMPRODUCT(--ISERROR(FIND(MID(UPPER(TRIM(H934)),{5,6,7,8,9},1),"0123456789")))=0),"OK","Wrong format"))</f>
        <v/>
      </c>
      <c r="AY934" s="30">
        <f>IF(NOT(COUNTA(A934:AE934)&gt;0),"",IF(BE934&lt;&gt;"","✖ "&amp;LEFT(BE934,LEN(BE934)-2),IF(BD934&gt;0,"✔ Ready — client + "&amp;BD934&amp;" service(s)","✔ Ready — client only")))</f>
        <v/>
      </c>
      <c r="AZ934" s="31">
        <f>UPPER(SUBSTITUTE(TRIM(F934)," ",""))</f>
        <v/>
      </c>
      <c r="BA934" s="31">
        <f>UPPER(SUBSTITUTE(TRIM(E934)," ",""))</f>
        <v/>
      </c>
      <c r="BB934" s="31">
        <f>IF(D934&lt;&gt;"",D934,IFERROR(VLOOKUP(MID(AS934,4,1),Lists!$E$2:$F$8,2,FALSE),""))</f>
        <v/>
      </c>
      <c r="BC934" s="31">
        <f>IFERROR(VLOOKUP(BB934,Lists!$A$2:$C$12,3,FALSE),"")</f>
        <v/>
      </c>
      <c r="BD934" s="31">
        <f>COUNTIF(W934:AC934,"Yes")</f>
        <v/>
      </c>
      <c r="BE934" s="31">
        <f>IF(TRIM(B934)="","Legal name missing; ","")&amp;IF(AND(AV934&lt;&gt;"",AV934&lt;&gt;"OK"),"GSTIN: "&amp;AV934&amp;"; ","")&amp;IF(AND(AW934&lt;&gt;"",AW934&lt;&gt;"OK"),"PAN wrong format; ","")&amp;IF(AND(BA934&lt;&gt;"",LEN(AZ934)=15,MID(AZ934,3,10)&lt;&gt;BA934),"PAN does not match GSTIN; ","")&amp;IF(AND(AX934&lt;&gt;"",AX934&lt;&gt;"OK"),"TAN wrong format; ","")&amp;IF(AS934="","PAN missing; ","")&amp;IF(BB934="","Entity type missing; ","")&amp;IF(AND(AZ934&lt;&gt;"",COUNTIF($AZ$6:$AZ$1005,AZ934)&gt;1),"GSTIN repeated in this sheet; ","")&amp;IF(AND(AS934&lt;&gt;"",COUNTIF($AS$6:$AS$1005,AS934)&gt;1),"PAN repeated in this sheet (same client? put extra GSTINs in Other GSTINs); ","")&amp;IF(AND(BD934&gt;0,V934=""),"Financial year missing; ","")&amp;IF(AND(BD934=0,V934&lt;&gt;""),"Financial year given but no service is Yes; ","")&amp;IF(AND(W934="Yes",AZ934=""),"GST needs a GSTIN; ","")&amp;IF(AND(W934="Yes",X934=""),"GST return frequency missing; ","")&amp;IF(AND(Y934="Yes",TRIM(H934)=""),"TDS needs a TAN; ","")&amp;IF(AND(AA934="Yes",BC934&lt;&gt;"",BC934&lt;&gt;"company",BC934&lt;&gt;"llp"),"ROC is only for a company / LLP; ","")&amp;IF(AND(AA934="Yes",OR(BC934="company",BC934="llp"),TRIM(I934)=""),"ROC needs the CIN / LLPIN; ","")&amp;IF((TRIM(AF934)="")&lt;&gt;(TRIM(AG934)=""),"GST login needs both user ID and password; ","")&amp;IF((TRIM(AH934)="")&lt;&gt;(TRIM(AI934)=""),"Income-tax login needs both user ID and password; ","")&amp;IF((TRIM(AJ934)="")&lt;&gt;(TRIM(AK934)=""),"Income-tax login needs both user ID and password; ","")&amp;IF((TRIM(AL934)="")&lt;&gt;(TRIM(AM934)=""),"TRACES login needs both user ID and password; ","")&amp;IF((TRIM(AN934)="")&lt;&gt;(TRIM(AO934)=""),"MCA login needs both user ID and password; ","")&amp;IF((TRIM(AP934)="")&lt;&gt;(TRIM(AQ934)=""),"E-way bill login needs both user ID and password; ","")</f>
        <v/>
      </c>
    </row>
    <row r="935">
      <c r="A935" s="32" t="n"/>
      <c r="B935" s="33" t="n"/>
      <c r="C935" s="33" t="n"/>
      <c r="D935" s="33" t="n"/>
      <c r="E935" s="32" t="n"/>
      <c r="F935" s="32" t="n"/>
      <c r="G935" s="32" t="n"/>
      <c r="H935" s="32" t="n"/>
      <c r="I935" s="32" t="n"/>
      <c r="J935" s="34" t="n"/>
      <c r="K935" s="33" t="n"/>
      <c r="L935" s="32" t="n"/>
      <c r="M935" s="33" t="n"/>
      <c r="N935" s="33" t="n"/>
      <c r="O935" s="33" t="n"/>
      <c r="P935" s="32" t="n"/>
      <c r="Q935" s="33" t="n"/>
      <c r="R935" s="33" t="n"/>
      <c r="S935" s="33" t="n"/>
      <c r="T935" s="33" t="n"/>
      <c r="U935" s="32" t="n"/>
      <c r="V935" s="33" t="n"/>
      <c r="W935" s="33" t="n"/>
      <c r="X935" s="33" t="n"/>
      <c r="Y935" s="33" t="n"/>
      <c r="Z935" s="33" t="n"/>
      <c r="AA935" s="33" t="n"/>
      <c r="AB935" s="33" t="n"/>
      <c r="AC935" s="33" t="n"/>
      <c r="AD935" s="33" t="n"/>
      <c r="AE935" s="33" t="n"/>
      <c r="AF935" s="32" t="n"/>
      <c r="AG935" s="32" t="n"/>
      <c r="AH935" s="32" t="n"/>
      <c r="AI935" s="32" t="n"/>
      <c r="AJ935" s="32" t="n"/>
      <c r="AK935" s="32" t="n"/>
      <c r="AL935" s="32" t="n"/>
      <c r="AM935" s="32" t="n"/>
      <c r="AN935" s="32" t="n"/>
      <c r="AO935" s="32" t="n"/>
      <c r="AP935" s="32" t="n"/>
      <c r="AQ935" s="32" t="n"/>
      <c r="AR935" s="29">
        <f>IF(NOT(COUNTA(A935:AE935)&gt;0),"",IF(A935="","New client","Update"))</f>
        <v/>
      </c>
      <c r="AS935" s="29">
        <f>IF(BA935&lt;&gt;"",BA935,IF(LEN(AZ935)=15,MID(AZ935,3,10),""))</f>
        <v/>
      </c>
      <c r="AT935" s="29">
        <f>IF(BB935="","",BB935&amp;IF(D935="","  (guessed from PAN)",""))</f>
        <v/>
      </c>
      <c r="AU935" s="29">
        <f>IF(AZ935="","",IFERROR(INDEX(Lists!$L$2:$L$38,MATCH(LEFT(AZ935,2),Lists!$K$2:$K$38,0)),"Unknown code"))</f>
        <v/>
      </c>
      <c r="AV935" s="29">
        <f>IF(AZ935="","",IFERROR(IF(NOT(AND(LEN(AZ935)=15,ISNUMBER(MATCH(LEFT(AZ935,2),Lists!$K$2:$K$38,0)),SUMPRODUCT(--ISERROR(FIND(MID(MID(AZ935,3,10),{1,2,3,4,5,10},1),"ABCDEFGHIJKLMNOPQRSTUVWXYZ")))=0,SUMPRODUCT(--ISERROR(FIND(MID(MID(AZ935,3,10),{6,7,8,9},1),"0123456789")))=0,ISNUMBER(FIND(MID(AZ935,13,1),"123456789ABCDEFGHIJKLMNOPQRSTUVWXYZ")),MID(AZ935,14,1)="Z")),"Wrong format",IF(MID("0123456789ABCDEFGHIJKLMNOPQRSTUVWXYZ",MOD(36-MOD(SUMPRODUCT(INT((FIND(MID(AZ935,{1,2,3,4,5,6,7,8,9,10,11,12,13,14},1),"0123456789ABCDEFGHIJKLMNOPQRSTUVWXYZ")-1)*{1,2,1,2,1,2,1,2,1,2,1,2,1,2}/36)+MOD((FIND(MID(AZ935,{1,2,3,4,5,6,7,8,9,10,11,12,13,14},1),"0123456789ABCDEFGHIJKLMNOPQRSTUVWXYZ")-1)*{1,2,1,2,1,2,1,2,1,2,1,2,1,2},36)),36),36)+1,1)=MID(AZ935,15,1),"OK","Typo? check digit wrong")),"Wrong format"))</f>
        <v/>
      </c>
      <c r="AW935" s="29">
        <f>IF(BA935="","",IF(AND(LEN(BA935)=10,SUMPRODUCT(--ISERROR(FIND(MID(BA935,{1,2,3,4,5,10},1),"ABCDEFGHIJKLMNOPQRSTUVWXYZ")))=0,SUMPRODUCT(--ISERROR(FIND(MID(BA935,{6,7,8,9},1),"0123456789")))=0),"OK","Wrong format"))</f>
        <v/>
      </c>
      <c r="AX935" s="29">
        <f>IF(TRIM(H935)="","",IF(AND(LEN(UPPER(TRIM(H935)))=10,SUMPRODUCT(--ISERROR(FIND(MID(UPPER(TRIM(H935)),{1,2,3,4,10},1),"ABCDEFGHIJKLMNOPQRSTUVWXYZ")))=0,SUMPRODUCT(--ISERROR(FIND(MID(UPPER(TRIM(H935)),{5,6,7,8,9},1),"0123456789")))=0),"OK","Wrong format"))</f>
        <v/>
      </c>
      <c r="AY935" s="30">
        <f>IF(NOT(COUNTA(A935:AE935)&gt;0),"",IF(BE935&lt;&gt;"","✖ "&amp;LEFT(BE935,LEN(BE935)-2),IF(BD935&gt;0,"✔ Ready — client + "&amp;BD935&amp;" service(s)","✔ Ready — client only")))</f>
        <v/>
      </c>
      <c r="AZ935" s="31">
        <f>UPPER(SUBSTITUTE(TRIM(F935)," ",""))</f>
        <v/>
      </c>
      <c r="BA935" s="31">
        <f>UPPER(SUBSTITUTE(TRIM(E935)," ",""))</f>
        <v/>
      </c>
      <c r="BB935" s="31">
        <f>IF(D935&lt;&gt;"",D935,IFERROR(VLOOKUP(MID(AS935,4,1),Lists!$E$2:$F$8,2,FALSE),""))</f>
        <v/>
      </c>
      <c r="BC935" s="31">
        <f>IFERROR(VLOOKUP(BB935,Lists!$A$2:$C$12,3,FALSE),"")</f>
        <v/>
      </c>
      <c r="BD935" s="31">
        <f>COUNTIF(W935:AC935,"Yes")</f>
        <v/>
      </c>
      <c r="BE935" s="31">
        <f>IF(TRIM(B935)="","Legal name missing; ","")&amp;IF(AND(AV935&lt;&gt;"",AV935&lt;&gt;"OK"),"GSTIN: "&amp;AV935&amp;"; ","")&amp;IF(AND(AW935&lt;&gt;"",AW935&lt;&gt;"OK"),"PAN wrong format; ","")&amp;IF(AND(BA935&lt;&gt;"",LEN(AZ935)=15,MID(AZ935,3,10)&lt;&gt;BA935),"PAN does not match GSTIN; ","")&amp;IF(AND(AX935&lt;&gt;"",AX935&lt;&gt;"OK"),"TAN wrong format; ","")&amp;IF(AS935="","PAN missing; ","")&amp;IF(BB935="","Entity type missing; ","")&amp;IF(AND(AZ935&lt;&gt;"",COUNTIF($AZ$6:$AZ$1005,AZ935)&gt;1),"GSTIN repeated in this sheet; ","")&amp;IF(AND(AS935&lt;&gt;"",COUNTIF($AS$6:$AS$1005,AS935)&gt;1),"PAN repeated in this sheet (same client? put extra GSTINs in Other GSTINs); ","")&amp;IF(AND(BD935&gt;0,V935=""),"Financial year missing; ","")&amp;IF(AND(BD935=0,V935&lt;&gt;""),"Financial year given but no service is Yes; ","")&amp;IF(AND(W935="Yes",AZ935=""),"GST needs a GSTIN; ","")&amp;IF(AND(W935="Yes",X935=""),"GST return frequency missing; ","")&amp;IF(AND(Y935="Yes",TRIM(H935)=""),"TDS needs a TAN; ","")&amp;IF(AND(AA935="Yes",BC935&lt;&gt;"",BC935&lt;&gt;"company",BC935&lt;&gt;"llp"),"ROC is only for a company / LLP; ","")&amp;IF(AND(AA935="Yes",OR(BC935="company",BC935="llp"),TRIM(I935)=""),"ROC needs the CIN / LLPIN; ","")&amp;IF((TRIM(AF935)="")&lt;&gt;(TRIM(AG935)=""),"GST login needs both user ID and password; ","")&amp;IF((TRIM(AH935)="")&lt;&gt;(TRIM(AI935)=""),"Income-tax login needs both user ID and password; ","")&amp;IF((TRIM(AJ935)="")&lt;&gt;(TRIM(AK935)=""),"Income-tax login needs both user ID and password; ","")&amp;IF((TRIM(AL935)="")&lt;&gt;(TRIM(AM935)=""),"TRACES login needs both user ID and password; ","")&amp;IF((TRIM(AN935)="")&lt;&gt;(TRIM(AO935)=""),"MCA login needs both user ID and password; ","")&amp;IF((TRIM(AP935)="")&lt;&gt;(TRIM(AQ935)=""),"E-way bill login needs both user ID and password; ","")</f>
        <v/>
      </c>
    </row>
    <row r="936">
      <c r="A936" s="32" t="n"/>
      <c r="B936" s="33" t="n"/>
      <c r="C936" s="33" t="n"/>
      <c r="D936" s="33" t="n"/>
      <c r="E936" s="32" t="n"/>
      <c r="F936" s="32" t="n"/>
      <c r="G936" s="32" t="n"/>
      <c r="H936" s="32" t="n"/>
      <c r="I936" s="32" t="n"/>
      <c r="J936" s="34" t="n"/>
      <c r="K936" s="33" t="n"/>
      <c r="L936" s="32" t="n"/>
      <c r="M936" s="33" t="n"/>
      <c r="N936" s="33" t="n"/>
      <c r="O936" s="33" t="n"/>
      <c r="P936" s="32" t="n"/>
      <c r="Q936" s="33" t="n"/>
      <c r="R936" s="33" t="n"/>
      <c r="S936" s="33" t="n"/>
      <c r="T936" s="33" t="n"/>
      <c r="U936" s="32" t="n"/>
      <c r="V936" s="33" t="n"/>
      <c r="W936" s="33" t="n"/>
      <c r="X936" s="33" t="n"/>
      <c r="Y936" s="33" t="n"/>
      <c r="Z936" s="33" t="n"/>
      <c r="AA936" s="33" t="n"/>
      <c r="AB936" s="33" t="n"/>
      <c r="AC936" s="33" t="n"/>
      <c r="AD936" s="33" t="n"/>
      <c r="AE936" s="33" t="n"/>
      <c r="AF936" s="32" t="n"/>
      <c r="AG936" s="32" t="n"/>
      <c r="AH936" s="32" t="n"/>
      <c r="AI936" s="32" t="n"/>
      <c r="AJ936" s="32" t="n"/>
      <c r="AK936" s="32" t="n"/>
      <c r="AL936" s="32" t="n"/>
      <c r="AM936" s="32" t="n"/>
      <c r="AN936" s="32" t="n"/>
      <c r="AO936" s="32" t="n"/>
      <c r="AP936" s="32" t="n"/>
      <c r="AQ936" s="32" t="n"/>
      <c r="AR936" s="29">
        <f>IF(NOT(COUNTA(A936:AE936)&gt;0),"",IF(A936="","New client","Update"))</f>
        <v/>
      </c>
      <c r="AS936" s="29">
        <f>IF(BA936&lt;&gt;"",BA936,IF(LEN(AZ936)=15,MID(AZ936,3,10),""))</f>
        <v/>
      </c>
      <c r="AT936" s="29">
        <f>IF(BB936="","",BB936&amp;IF(D936="","  (guessed from PAN)",""))</f>
        <v/>
      </c>
      <c r="AU936" s="29">
        <f>IF(AZ936="","",IFERROR(INDEX(Lists!$L$2:$L$38,MATCH(LEFT(AZ936,2),Lists!$K$2:$K$38,0)),"Unknown code"))</f>
        <v/>
      </c>
      <c r="AV936" s="29">
        <f>IF(AZ936="","",IFERROR(IF(NOT(AND(LEN(AZ936)=15,ISNUMBER(MATCH(LEFT(AZ936,2),Lists!$K$2:$K$38,0)),SUMPRODUCT(--ISERROR(FIND(MID(MID(AZ936,3,10),{1,2,3,4,5,10},1),"ABCDEFGHIJKLMNOPQRSTUVWXYZ")))=0,SUMPRODUCT(--ISERROR(FIND(MID(MID(AZ936,3,10),{6,7,8,9},1),"0123456789")))=0,ISNUMBER(FIND(MID(AZ936,13,1),"123456789ABCDEFGHIJKLMNOPQRSTUVWXYZ")),MID(AZ936,14,1)="Z")),"Wrong format",IF(MID("0123456789ABCDEFGHIJKLMNOPQRSTUVWXYZ",MOD(36-MOD(SUMPRODUCT(INT((FIND(MID(AZ936,{1,2,3,4,5,6,7,8,9,10,11,12,13,14},1),"0123456789ABCDEFGHIJKLMNOPQRSTUVWXYZ")-1)*{1,2,1,2,1,2,1,2,1,2,1,2,1,2}/36)+MOD((FIND(MID(AZ936,{1,2,3,4,5,6,7,8,9,10,11,12,13,14},1),"0123456789ABCDEFGHIJKLMNOPQRSTUVWXYZ")-1)*{1,2,1,2,1,2,1,2,1,2,1,2,1,2},36)),36),36)+1,1)=MID(AZ936,15,1),"OK","Typo? check digit wrong")),"Wrong format"))</f>
        <v/>
      </c>
      <c r="AW936" s="29">
        <f>IF(BA936="","",IF(AND(LEN(BA936)=10,SUMPRODUCT(--ISERROR(FIND(MID(BA936,{1,2,3,4,5,10},1),"ABCDEFGHIJKLMNOPQRSTUVWXYZ")))=0,SUMPRODUCT(--ISERROR(FIND(MID(BA936,{6,7,8,9},1),"0123456789")))=0),"OK","Wrong format"))</f>
        <v/>
      </c>
      <c r="AX936" s="29">
        <f>IF(TRIM(H936)="","",IF(AND(LEN(UPPER(TRIM(H936)))=10,SUMPRODUCT(--ISERROR(FIND(MID(UPPER(TRIM(H936)),{1,2,3,4,10},1),"ABCDEFGHIJKLMNOPQRSTUVWXYZ")))=0,SUMPRODUCT(--ISERROR(FIND(MID(UPPER(TRIM(H936)),{5,6,7,8,9},1),"0123456789")))=0),"OK","Wrong format"))</f>
        <v/>
      </c>
      <c r="AY936" s="30">
        <f>IF(NOT(COUNTA(A936:AE936)&gt;0),"",IF(BE936&lt;&gt;"","✖ "&amp;LEFT(BE936,LEN(BE936)-2),IF(BD936&gt;0,"✔ Ready — client + "&amp;BD936&amp;" service(s)","✔ Ready — client only")))</f>
        <v/>
      </c>
      <c r="AZ936" s="31">
        <f>UPPER(SUBSTITUTE(TRIM(F936)," ",""))</f>
        <v/>
      </c>
      <c r="BA936" s="31">
        <f>UPPER(SUBSTITUTE(TRIM(E936)," ",""))</f>
        <v/>
      </c>
      <c r="BB936" s="31">
        <f>IF(D936&lt;&gt;"",D936,IFERROR(VLOOKUP(MID(AS936,4,1),Lists!$E$2:$F$8,2,FALSE),""))</f>
        <v/>
      </c>
      <c r="BC936" s="31">
        <f>IFERROR(VLOOKUP(BB936,Lists!$A$2:$C$12,3,FALSE),"")</f>
        <v/>
      </c>
      <c r="BD936" s="31">
        <f>COUNTIF(W936:AC936,"Yes")</f>
        <v/>
      </c>
      <c r="BE936" s="31">
        <f>IF(TRIM(B936)="","Legal name missing; ","")&amp;IF(AND(AV936&lt;&gt;"",AV936&lt;&gt;"OK"),"GSTIN: "&amp;AV936&amp;"; ","")&amp;IF(AND(AW936&lt;&gt;"",AW936&lt;&gt;"OK"),"PAN wrong format; ","")&amp;IF(AND(BA936&lt;&gt;"",LEN(AZ936)=15,MID(AZ936,3,10)&lt;&gt;BA936),"PAN does not match GSTIN; ","")&amp;IF(AND(AX936&lt;&gt;"",AX936&lt;&gt;"OK"),"TAN wrong format; ","")&amp;IF(AS936="","PAN missing; ","")&amp;IF(BB936="","Entity type missing; ","")&amp;IF(AND(AZ936&lt;&gt;"",COUNTIF($AZ$6:$AZ$1005,AZ936)&gt;1),"GSTIN repeated in this sheet; ","")&amp;IF(AND(AS936&lt;&gt;"",COUNTIF($AS$6:$AS$1005,AS936)&gt;1),"PAN repeated in this sheet (same client? put extra GSTINs in Other GSTINs); ","")&amp;IF(AND(BD936&gt;0,V936=""),"Financial year missing; ","")&amp;IF(AND(BD936=0,V936&lt;&gt;""),"Financial year given but no service is Yes; ","")&amp;IF(AND(W936="Yes",AZ936=""),"GST needs a GSTIN; ","")&amp;IF(AND(W936="Yes",X936=""),"GST return frequency missing; ","")&amp;IF(AND(Y936="Yes",TRIM(H936)=""),"TDS needs a TAN; ","")&amp;IF(AND(AA936="Yes",BC936&lt;&gt;"",BC936&lt;&gt;"company",BC936&lt;&gt;"llp"),"ROC is only for a company / LLP; ","")&amp;IF(AND(AA936="Yes",OR(BC936="company",BC936="llp"),TRIM(I936)=""),"ROC needs the CIN / LLPIN; ","")&amp;IF((TRIM(AF936)="")&lt;&gt;(TRIM(AG936)=""),"GST login needs both user ID and password; ","")&amp;IF((TRIM(AH936)="")&lt;&gt;(TRIM(AI936)=""),"Income-tax login needs both user ID and password; ","")&amp;IF((TRIM(AJ936)="")&lt;&gt;(TRIM(AK936)=""),"Income-tax login needs both user ID and password; ","")&amp;IF((TRIM(AL936)="")&lt;&gt;(TRIM(AM936)=""),"TRACES login needs both user ID and password; ","")&amp;IF((TRIM(AN936)="")&lt;&gt;(TRIM(AO936)=""),"MCA login needs both user ID and password; ","")&amp;IF((TRIM(AP936)="")&lt;&gt;(TRIM(AQ936)=""),"E-way bill login needs both user ID and password; ","")</f>
        <v/>
      </c>
    </row>
    <row r="937">
      <c r="A937" s="32" t="n"/>
      <c r="B937" s="33" t="n"/>
      <c r="C937" s="33" t="n"/>
      <c r="D937" s="33" t="n"/>
      <c r="E937" s="32" t="n"/>
      <c r="F937" s="32" t="n"/>
      <c r="G937" s="32" t="n"/>
      <c r="H937" s="32" t="n"/>
      <c r="I937" s="32" t="n"/>
      <c r="J937" s="34" t="n"/>
      <c r="K937" s="33" t="n"/>
      <c r="L937" s="32" t="n"/>
      <c r="M937" s="33" t="n"/>
      <c r="N937" s="33" t="n"/>
      <c r="O937" s="33" t="n"/>
      <c r="P937" s="32" t="n"/>
      <c r="Q937" s="33" t="n"/>
      <c r="R937" s="33" t="n"/>
      <c r="S937" s="33" t="n"/>
      <c r="T937" s="33" t="n"/>
      <c r="U937" s="32" t="n"/>
      <c r="V937" s="33" t="n"/>
      <c r="W937" s="33" t="n"/>
      <c r="X937" s="33" t="n"/>
      <c r="Y937" s="33" t="n"/>
      <c r="Z937" s="33" t="n"/>
      <c r="AA937" s="33" t="n"/>
      <c r="AB937" s="33" t="n"/>
      <c r="AC937" s="33" t="n"/>
      <c r="AD937" s="33" t="n"/>
      <c r="AE937" s="33" t="n"/>
      <c r="AF937" s="32" t="n"/>
      <c r="AG937" s="32" t="n"/>
      <c r="AH937" s="32" t="n"/>
      <c r="AI937" s="32" t="n"/>
      <c r="AJ937" s="32" t="n"/>
      <c r="AK937" s="32" t="n"/>
      <c r="AL937" s="32" t="n"/>
      <c r="AM937" s="32" t="n"/>
      <c r="AN937" s="32" t="n"/>
      <c r="AO937" s="32" t="n"/>
      <c r="AP937" s="32" t="n"/>
      <c r="AQ937" s="32" t="n"/>
      <c r="AR937" s="29">
        <f>IF(NOT(COUNTA(A937:AE937)&gt;0),"",IF(A937="","New client","Update"))</f>
        <v/>
      </c>
      <c r="AS937" s="29">
        <f>IF(BA937&lt;&gt;"",BA937,IF(LEN(AZ937)=15,MID(AZ937,3,10),""))</f>
        <v/>
      </c>
      <c r="AT937" s="29">
        <f>IF(BB937="","",BB937&amp;IF(D937="","  (guessed from PAN)",""))</f>
        <v/>
      </c>
      <c r="AU937" s="29">
        <f>IF(AZ937="","",IFERROR(INDEX(Lists!$L$2:$L$38,MATCH(LEFT(AZ937,2),Lists!$K$2:$K$38,0)),"Unknown code"))</f>
        <v/>
      </c>
      <c r="AV937" s="29">
        <f>IF(AZ937="","",IFERROR(IF(NOT(AND(LEN(AZ937)=15,ISNUMBER(MATCH(LEFT(AZ937,2),Lists!$K$2:$K$38,0)),SUMPRODUCT(--ISERROR(FIND(MID(MID(AZ937,3,10),{1,2,3,4,5,10},1),"ABCDEFGHIJKLMNOPQRSTUVWXYZ")))=0,SUMPRODUCT(--ISERROR(FIND(MID(MID(AZ937,3,10),{6,7,8,9},1),"0123456789")))=0,ISNUMBER(FIND(MID(AZ937,13,1),"123456789ABCDEFGHIJKLMNOPQRSTUVWXYZ")),MID(AZ937,14,1)="Z")),"Wrong format",IF(MID("0123456789ABCDEFGHIJKLMNOPQRSTUVWXYZ",MOD(36-MOD(SUMPRODUCT(INT((FIND(MID(AZ937,{1,2,3,4,5,6,7,8,9,10,11,12,13,14},1),"0123456789ABCDEFGHIJKLMNOPQRSTUVWXYZ")-1)*{1,2,1,2,1,2,1,2,1,2,1,2,1,2}/36)+MOD((FIND(MID(AZ937,{1,2,3,4,5,6,7,8,9,10,11,12,13,14},1),"0123456789ABCDEFGHIJKLMNOPQRSTUVWXYZ")-1)*{1,2,1,2,1,2,1,2,1,2,1,2,1,2},36)),36),36)+1,1)=MID(AZ937,15,1),"OK","Typo? check digit wrong")),"Wrong format"))</f>
        <v/>
      </c>
      <c r="AW937" s="29">
        <f>IF(BA937="","",IF(AND(LEN(BA937)=10,SUMPRODUCT(--ISERROR(FIND(MID(BA937,{1,2,3,4,5,10},1),"ABCDEFGHIJKLMNOPQRSTUVWXYZ")))=0,SUMPRODUCT(--ISERROR(FIND(MID(BA937,{6,7,8,9},1),"0123456789")))=0),"OK","Wrong format"))</f>
        <v/>
      </c>
      <c r="AX937" s="29">
        <f>IF(TRIM(H937)="","",IF(AND(LEN(UPPER(TRIM(H937)))=10,SUMPRODUCT(--ISERROR(FIND(MID(UPPER(TRIM(H937)),{1,2,3,4,10},1),"ABCDEFGHIJKLMNOPQRSTUVWXYZ")))=0,SUMPRODUCT(--ISERROR(FIND(MID(UPPER(TRIM(H937)),{5,6,7,8,9},1),"0123456789")))=0),"OK","Wrong format"))</f>
        <v/>
      </c>
      <c r="AY937" s="30">
        <f>IF(NOT(COUNTA(A937:AE937)&gt;0),"",IF(BE937&lt;&gt;"","✖ "&amp;LEFT(BE937,LEN(BE937)-2),IF(BD937&gt;0,"✔ Ready — client + "&amp;BD937&amp;" service(s)","✔ Ready — client only")))</f>
        <v/>
      </c>
      <c r="AZ937" s="31">
        <f>UPPER(SUBSTITUTE(TRIM(F937)," ",""))</f>
        <v/>
      </c>
      <c r="BA937" s="31">
        <f>UPPER(SUBSTITUTE(TRIM(E937)," ",""))</f>
        <v/>
      </c>
      <c r="BB937" s="31">
        <f>IF(D937&lt;&gt;"",D937,IFERROR(VLOOKUP(MID(AS937,4,1),Lists!$E$2:$F$8,2,FALSE),""))</f>
        <v/>
      </c>
      <c r="BC937" s="31">
        <f>IFERROR(VLOOKUP(BB937,Lists!$A$2:$C$12,3,FALSE),"")</f>
        <v/>
      </c>
      <c r="BD937" s="31">
        <f>COUNTIF(W937:AC937,"Yes")</f>
        <v/>
      </c>
      <c r="BE937" s="31">
        <f>IF(TRIM(B937)="","Legal name missing; ","")&amp;IF(AND(AV937&lt;&gt;"",AV937&lt;&gt;"OK"),"GSTIN: "&amp;AV937&amp;"; ","")&amp;IF(AND(AW937&lt;&gt;"",AW937&lt;&gt;"OK"),"PAN wrong format; ","")&amp;IF(AND(BA937&lt;&gt;"",LEN(AZ937)=15,MID(AZ937,3,10)&lt;&gt;BA937),"PAN does not match GSTIN; ","")&amp;IF(AND(AX937&lt;&gt;"",AX937&lt;&gt;"OK"),"TAN wrong format; ","")&amp;IF(AS937="","PAN missing; ","")&amp;IF(BB937="","Entity type missing; ","")&amp;IF(AND(AZ937&lt;&gt;"",COUNTIF($AZ$6:$AZ$1005,AZ937)&gt;1),"GSTIN repeated in this sheet; ","")&amp;IF(AND(AS937&lt;&gt;"",COUNTIF($AS$6:$AS$1005,AS937)&gt;1),"PAN repeated in this sheet (same client? put extra GSTINs in Other GSTINs); ","")&amp;IF(AND(BD937&gt;0,V937=""),"Financial year missing; ","")&amp;IF(AND(BD937=0,V937&lt;&gt;""),"Financial year given but no service is Yes; ","")&amp;IF(AND(W937="Yes",AZ937=""),"GST needs a GSTIN; ","")&amp;IF(AND(W937="Yes",X937=""),"GST return frequency missing; ","")&amp;IF(AND(Y937="Yes",TRIM(H937)=""),"TDS needs a TAN; ","")&amp;IF(AND(AA937="Yes",BC937&lt;&gt;"",BC937&lt;&gt;"company",BC937&lt;&gt;"llp"),"ROC is only for a company / LLP; ","")&amp;IF(AND(AA937="Yes",OR(BC937="company",BC937="llp"),TRIM(I937)=""),"ROC needs the CIN / LLPIN; ","")&amp;IF((TRIM(AF937)="")&lt;&gt;(TRIM(AG937)=""),"GST login needs both user ID and password; ","")&amp;IF((TRIM(AH937)="")&lt;&gt;(TRIM(AI937)=""),"Income-tax login needs both user ID and password; ","")&amp;IF((TRIM(AJ937)="")&lt;&gt;(TRIM(AK937)=""),"Income-tax login needs both user ID and password; ","")&amp;IF((TRIM(AL937)="")&lt;&gt;(TRIM(AM937)=""),"TRACES login needs both user ID and password; ","")&amp;IF((TRIM(AN937)="")&lt;&gt;(TRIM(AO937)=""),"MCA login needs both user ID and password; ","")&amp;IF((TRIM(AP937)="")&lt;&gt;(TRIM(AQ937)=""),"E-way bill login needs both user ID and password; ","")</f>
        <v/>
      </c>
    </row>
    <row r="938">
      <c r="A938" s="32" t="n"/>
      <c r="B938" s="33" t="n"/>
      <c r="C938" s="33" t="n"/>
      <c r="D938" s="33" t="n"/>
      <c r="E938" s="32" t="n"/>
      <c r="F938" s="32" t="n"/>
      <c r="G938" s="32" t="n"/>
      <c r="H938" s="32" t="n"/>
      <c r="I938" s="32" t="n"/>
      <c r="J938" s="34" t="n"/>
      <c r="K938" s="33" t="n"/>
      <c r="L938" s="32" t="n"/>
      <c r="M938" s="33" t="n"/>
      <c r="N938" s="33" t="n"/>
      <c r="O938" s="33" t="n"/>
      <c r="P938" s="32" t="n"/>
      <c r="Q938" s="33" t="n"/>
      <c r="R938" s="33" t="n"/>
      <c r="S938" s="33" t="n"/>
      <c r="T938" s="33" t="n"/>
      <c r="U938" s="32" t="n"/>
      <c r="V938" s="33" t="n"/>
      <c r="W938" s="33" t="n"/>
      <c r="X938" s="33" t="n"/>
      <c r="Y938" s="33" t="n"/>
      <c r="Z938" s="33" t="n"/>
      <c r="AA938" s="33" t="n"/>
      <c r="AB938" s="33" t="n"/>
      <c r="AC938" s="33" t="n"/>
      <c r="AD938" s="33" t="n"/>
      <c r="AE938" s="33" t="n"/>
      <c r="AF938" s="32" t="n"/>
      <c r="AG938" s="32" t="n"/>
      <c r="AH938" s="32" t="n"/>
      <c r="AI938" s="32" t="n"/>
      <c r="AJ938" s="32" t="n"/>
      <c r="AK938" s="32" t="n"/>
      <c r="AL938" s="32" t="n"/>
      <c r="AM938" s="32" t="n"/>
      <c r="AN938" s="32" t="n"/>
      <c r="AO938" s="32" t="n"/>
      <c r="AP938" s="32" t="n"/>
      <c r="AQ938" s="32" t="n"/>
      <c r="AR938" s="29">
        <f>IF(NOT(COUNTA(A938:AE938)&gt;0),"",IF(A938="","New client","Update"))</f>
        <v/>
      </c>
      <c r="AS938" s="29">
        <f>IF(BA938&lt;&gt;"",BA938,IF(LEN(AZ938)=15,MID(AZ938,3,10),""))</f>
        <v/>
      </c>
      <c r="AT938" s="29">
        <f>IF(BB938="","",BB938&amp;IF(D938="","  (guessed from PAN)",""))</f>
        <v/>
      </c>
      <c r="AU938" s="29">
        <f>IF(AZ938="","",IFERROR(INDEX(Lists!$L$2:$L$38,MATCH(LEFT(AZ938,2),Lists!$K$2:$K$38,0)),"Unknown code"))</f>
        <v/>
      </c>
      <c r="AV938" s="29">
        <f>IF(AZ938="","",IFERROR(IF(NOT(AND(LEN(AZ938)=15,ISNUMBER(MATCH(LEFT(AZ938,2),Lists!$K$2:$K$38,0)),SUMPRODUCT(--ISERROR(FIND(MID(MID(AZ938,3,10),{1,2,3,4,5,10},1),"ABCDEFGHIJKLMNOPQRSTUVWXYZ")))=0,SUMPRODUCT(--ISERROR(FIND(MID(MID(AZ938,3,10),{6,7,8,9},1),"0123456789")))=0,ISNUMBER(FIND(MID(AZ938,13,1),"123456789ABCDEFGHIJKLMNOPQRSTUVWXYZ")),MID(AZ938,14,1)="Z")),"Wrong format",IF(MID("0123456789ABCDEFGHIJKLMNOPQRSTUVWXYZ",MOD(36-MOD(SUMPRODUCT(INT((FIND(MID(AZ938,{1,2,3,4,5,6,7,8,9,10,11,12,13,14},1),"0123456789ABCDEFGHIJKLMNOPQRSTUVWXYZ")-1)*{1,2,1,2,1,2,1,2,1,2,1,2,1,2}/36)+MOD((FIND(MID(AZ938,{1,2,3,4,5,6,7,8,9,10,11,12,13,14},1),"0123456789ABCDEFGHIJKLMNOPQRSTUVWXYZ")-1)*{1,2,1,2,1,2,1,2,1,2,1,2,1,2},36)),36),36)+1,1)=MID(AZ938,15,1),"OK","Typo? check digit wrong")),"Wrong format"))</f>
        <v/>
      </c>
      <c r="AW938" s="29">
        <f>IF(BA938="","",IF(AND(LEN(BA938)=10,SUMPRODUCT(--ISERROR(FIND(MID(BA938,{1,2,3,4,5,10},1),"ABCDEFGHIJKLMNOPQRSTUVWXYZ")))=0,SUMPRODUCT(--ISERROR(FIND(MID(BA938,{6,7,8,9},1),"0123456789")))=0),"OK","Wrong format"))</f>
        <v/>
      </c>
      <c r="AX938" s="29">
        <f>IF(TRIM(H938)="","",IF(AND(LEN(UPPER(TRIM(H938)))=10,SUMPRODUCT(--ISERROR(FIND(MID(UPPER(TRIM(H938)),{1,2,3,4,10},1),"ABCDEFGHIJKLMNOPQRSTUVWXYZ")))=0,SUMPRODUCT(--ISERROR(FIND(MID(UPPER(TRIM(H938)),{5,6,7,8,9},1),"0123456789")))=0),"OK","Wrong format"))</f>
        <v/>
      </c>
      <c r="AY938" s="30">
        <f>IF(NOT(COUNTA(A938:AE938)&gt;0),"",IF(BE938&lt;&gt;"","✖ "&amp;LEFT(BE938,LEN(BE938)-2),IF(BD938&gt;0,"✔ Ready — client + "&amp;BD938&amp;" service(s)","✔ Ready — client only")))</f>
        <v/>
      </c>
      <c r="AZ938" s="31">
        <f>UPPER(SUBSTITUTE(TRIM(F938)," ",""))</f>
        <v/>
      </c>
      <c r="BA938" s="31">
        <f>UPPER(SUBSTITUTE(TRIM(E938)," ",""))</f>
        <v/>
      </c>
      <c r="BB938" s="31">
        <f>IF(D938&lt;&gt;"",D938,IFERROR(VLOOKUP(MID(AS938,4,1),Lists!$E$2:$F$8,2,FALSE),""))</f>
        <v/>
      </c>
      <c r="BC938" s="31">
        <f>IFERROR(VLOOKUP(BB938,Lists!$A$2:$C$12,3,FALSE),"")</f>
        <v/>
      </c>
      <c r="BD938" s="31">
        <f>COUNTIF(W938:AC938,"Yes")</f>
        <v/>
      </c>
      <c r="BE938" s="31">
        <f>IF(TRIM(B938)="","Legal name missing; ","")&amp;IF(AND(AV938&lt;&gt;"",AV938&lt;&gt;"OK"),"GSTIN: "&amp;AV938&amp;"; ","")&amp;IF(AND(AW938&lt;&gt;"",AW938&lt;&gt;"OK"),"PAN wrong format; ","")&amp;IF(AND(BA938&lt;&gt;"",LEN(AZ938)=15,MID(AZ938,3,10)&lt;&gt;BA938),"PAN does not match GSTIN; ","")&amp;IF(AND(AX938&lt;&gt;"",AX938&lt;&gt;"OK"),"TAN wrong format; ","")&amp;IF(AS938="","PAN missing; ","")&amp;IF(BB938="","Entity type missing; ","")&amp;IF(AND(AZ938&lt;&gt;"",COUNTIF($AZ$6:$AZ$1005,AZ938)&gt;1),"GSTIN repeated in this sheet; ","")&amp;IF(AND(AS938&lt;&gt;"",COUNTIF($AS$6:$AS$1005,AS938)&gt;1),"PAN repeated in this sheet (same client? put extra GSTINs in Other GSTINs); ","")&amp;IF(AND(BD938&gt;0,V938=""),"Financial year missing; ","")&amp;IF(AND(BD938=0,V938&lt;&gt;""),"Financial year given but no service is Yes; ","")&amp;IF(AND(W938="Yes",AZ938=""),"GST needs a GSTIN; ","")&amp;IF(AND(W938="Yes",X938=""),"GST return frequency missing; ","")&amp;IF(AND(Y938="Yes",TRIM(H938)=""),"TDS needs a TAN; ","")&amp;IF(AND(AA938="Yes",BC938&lt;&gt;"",BC938&lt;&gt;"company",BC938&lt;&gt;"llp"),"ROC is only for a company / LLP; ","")&amp;IF(AND(AA938="Yes",OR(BC938="company",BC938="llp"),TRIM(I938)=""),"ROC needs the CIN / LLPIN; ","")&amp;IF((TRIM(AF938)="")&lt;&gt;(TRIM(AG938)=""),"GST login needs both user ID and password; ","")&amp;IF((TRIM(AH938)="")&lt;&gt;(TRIM(AI938)=""),"Income-tax login needs both user ID and password; ","")&amp;IF((TRIM(AJ938)="")&lt;&gt;(TRIM(AK938)=""),"Income-tax login needs both user ID and password; ","")&amp;IF((TRIM(AL938)="")&lt;&gt;(TRIM(AM938)=""),"TRACES login needs both user ID and password; ","")&amp;IF((TRIM(AN938)="")&lt;&gt;(TRIM(AO938)=""),"MCA login needs both user ID and password; ","")&amp;IF((TRIM(AP938)="")&lt;&gt;(TRIM(AQ938)=""),"E-way bill login needs both user ID and password; ","")</f>
        <v/>
      </c>
    </row>
    <row r="939">
      <c r="A939" s="32" t="n"/>
      <c r="B939" s="33" t="n"/>
      <c r="C939" s="33" t="n"/>
      <c r="D939" s="33" t="n"/>
      <c r="E939" s="32" t="n"/>
      <c r="F939" s="32" t="n"/>
      <c r="G939" s="32" t="n"/>
      <c r="H939" s="32" t="n"/>
      <c r="I939" s="32" t="n"/>
      <c r="J939" s="34" t="n"/>
      <c r="K939" s="33" t="n"/>
      <c r="L939" s="32" t="n"/>
      <c r="M939" s="33" t="n"/>
      <c r="N939" s="33" t="n"/>
      <c r="O939" s="33" t="n"/>
      <c r="P939" s="32" t="n"/>
      <c r="Q939" s="33" t="n"/>
      <c r="R939" s="33" t="n"/>
      <c r="S939" s="33" t="n"/>
      <c r="T939" s="33" t="n"/>
      <c r="U939" s="32" t="n"/>
      <c r="V939" s="33" t="n"/>
      <c r="W939" s="33" t="n"/>
      <c r="X939" s="33" t="n"/>
      <c r="Y939" s="33" t="n"/>
      <c r="Z939" s="33" t="n"/>
      <c r="AA939" s="33" t="n"/>
      <c r="AB939" s="33" t="n"/>
      <c r="AC939" s="33" t="n"/>
      <c r="AD939" s="33" t="n"/>
      <c r="AE939" s="33" t="n"/>
      <c r="AF939" s="32" t="n"/>
      <c r="AG939" s="32" t="n"/>
      <c r="AH939" s="32" t="n"/>
      <c r="AI939" s="32" t="n"/>
      <c r="AJ939" s="32" t="n"/>
      <c r="AK939" s="32" t="n"/>
      <c r="AL939" s="32" t="n"/>
      <c r="AM939" s="32" t="n"/>
      <c r="AN939" s="32" t="n"/>
      <c r="AO939" s="32" t="n"/>
      <c r="AP939" s="32" t="n"/>
      <c r="AQ939" s="32" t="n"/>
      <c r="AR939" s="29">
        <f>IF(NOT(COUNTA(A939:AE939)&gt;0),"",IF(A939="","New client","Update"))</f>
        <v/>
      </c>
      <c r="AS939" s="29">
        <f>IF(BA939&lt;&gt;"",BA939,IF(LEN(AZ939)=15,MID(AZ939,3,10),""))</f>
        <v/>
      </c>
      <c r="AT939" s="29">
        <f>IF(BB939="","",BB939&amp;IF(D939="","  (guessed from PAN)",""))</f>
        <v/>
      </c>
      <c r="AU939" s="29">
        <f>IF(AZ939="","",IFERROR(INDEX(Lists!$L$2:$L$38,MATCH(LEFT(AZ939,2),Lists!$K$2:$K$38,0)),"Unknown code"))</f>
        <v/>
      </c>
      <c r="AV939" s="29">
        <f>IF(AZ939="","",IFERROR(IF(NOT(AND(LEN(AZ939)=15,ISNUMBER(MATCH(LEFT(AZ939,2),Lists!$K$2:$K$38,0)),SUMPRODUCT(--ISERROR(FIND(MID(MID(AZ939,3,10),{1,2,3,4,5,10},1),"ABCDEFGHIJKLMNOPQRSTUVWXYZ")))=0,SUMPRODUCT(--ISERROR(FIND(MID(MID(AZ939,3,10),{6,7,8,9},1),"0123456789")))=0,ISNUMBER(FIND(MID(AZ939,13,1),"123456789ABCDEFGHIJKLMNOPQRSTUVWXYZ")),MID(AZ939,14,1)="Z")),"Wrong format",IF(MID("0123456789ABCDEFGHIJKLMNOPQRSTUVWXYZ",MOD(36-MOD(SUMPRODUCT(INT((FIND(MID(AZ939,{1,2,3,4,5,6,7,8,9,10,11,12,13,14},1),"0123456789ABCDEFGHIJKLMNOPQRSTUVWXYZ")-1)*{1,2,1,2,1,2,1,2,1,2,1,2,1,2}/36)+MOD((FIND(MID(AZ939,{1,2,3,4,5,6,7,8,9,10,11,12,13,14},1),"0123456789ABCDEFGHIJKLMNOPQRSTUVWXYZ")-1)*{1,2,1,2,1,2,1,2,1,2,1,2,1,2},36)),36),36)+1,1)=MID(AZ939,15,1),"OK","Typo? check digit wrong")),"Wrong format"))</f>
        <v/>
      </c>
      <c r="AW939" s="29">
        <f>IF(BA939="","",IF(AND(LEN(BA939)=10,SUMPRODUCT(--ISERROR(FIND(MID(BA939,{1,2,3,4,5,10},1),"ABCDEFGHIJKLMNOPQRSTUVWXYZ")))=0,SUMPRODUCT(--ISERROR(FIND(MID(BA939,{6,7,8,9},1),"0123456789")))=0),"OK","Wrong format"))</f>
        <v/>
      </c>
      <c r="AX939" s="29">
        <f>IF(TRIM(H939)="","",IF(AND(LEN(UPPER(TRIM(H939)))=10,SUMPRODUCT(--ISERROR(FIND(MID(UPPER(TRIM(H939)),{1,2,3,4,10},1),"ABCDEFGHIJKLMNOPQRSTUVWXYZ")))=0,SUMPRODUCT(--ISERROR(FIND(MID(UPPER(TRIM(H939)),{5,6,7,8,9},1),"0123456789")))=0),"OK","Wrong format"))</f>
        <v/>
      </c>
      <c r="AY939" s="30">
        <f>IF(NOT(COUNTA(A939:AE939)&gt;0),"",IF(BE939&lt;&gt;"","✖ "&amp;LEFT(BE939,LEN(BE939)-2),IF(BD939&gt;0,"✔ Ready — client + "&amp;BD939&amp;" service(s)","✔ Ready — client only")))</f>
        <v/>
      </c>
      <c r="AZ939" s="31">
        <f>UPPER(SUBSTITUTE(TRIM(F939)," ",""))</f>
        <v/>
      </c>
      <c r="BA939" s="31">
        <f>UPPER(SUBSTITUTE(TRIM(E939)," ",""))</f>
        <v/>
      </c>
      <c r="BB939" s="31">
        <f>IF(D939&lt;&gt;"",D939,IFERROR(VLOOKUP(MID(AS939,4,1),Lists!$E$2:$F$8,2,FALSE),""))</f>
        <v/>
      </c>
      <c r="BC939" s="31">
        <f>IFERROR(VLOOKUP(BB939,Lists!$A$2:$C$12,3,FALSE),"")</f>
        <v/>
      </c>
      <c r="BD939" s="31">
        <f>COUNTIF(W939:AC939,"Yes")</f>
        <v/>
      </c>
      <c r="BE939" s="31">
        <f>IF(TRIM(B939)="","Legal name missing; ","")&amp;IF(AND(AV939&lt;&gt;"",AV939&lt;&gt;"OK"),"GSTIN: "&amp;AV939&amp;"; ","")&amp;IF(AND(AW939&lt;&gt;"",AW939&lt;&gt;"OK"),"PAN wrong format; ","")&amp;IF(AND(BA939&lt;&gt;"",LEN(AZ939)=15,MID(AZ939,3,10)&lt;&gt;BA939),"PAN does not match GSTIN; ","")&amp;IF(AND(AX939&lt;&gt;"",AX939&lt;&gt;"OK"),"TAN wrong format; ","")&amp;IF(AS939="","PAN missing; ","")&amp;IF(BB939="","Entity type missing; ","")&amp;IF(AND(AZ939&lt;&gt;"",COUNTIF($AZ$6:$AZ$1005,AZ939)&gt;1),"GSTIN repeated in this sheet; ","")&amp;IF(AND(AS939&lt;&gt;"",COUNTIF($AS$6:$AS$1005,AS939)&gt;1),"PAN repeated in this sheet (same client? put extra GSTINs in Other GSTINs); ","")&amp;IF(AND(BD939&gt;0,V939=""),"Financial year missing; ","")&amp;IF(AND(BD939=0,V939&lt;&gt;""),"Financial year given but no service is Yes; ","")&amp;IF(AND(W939="Yes",AZ939=""),"GST needs a GSTIN; ","")&amp;IF(AND(W939="Yes",X939=""),"GST return frequency missing; ","")&amp;IF(AND(Y939="Yes",TRIM(H939)=""),"TDS needs a TAN; ","")&amp;IF(AND(AA939="Yes",BC939&lt;&gt;"",BC939&lt;&gt;"company",BC939&lt;&gt;"llp"),"ROC is only for a company / LLP; ","")&amp;IF(AND(AA939="Yes",OR(BC939="company",BC939="llp"),TRIM(I939)=""),"ROC needs the CIN / LLPIN; ","")&amp;IF((TRIM(AF939)="")&lt;&gt;(TRIM(AG939)=""),"GST login needs both user ID and password; ","")&amp;IF((TRIM(AH939)="")&lt;&gt;(TRIM(AI939)=""),"Income-tax login needs both user ID and password; ","")&amp;IF((TRIM(AJ939)="")&lt;&gt;(TRIM(AK939)=""),"Income-tax login needs both user ID and password; ","")&amp;IF((TRIM(AL939)="")&lt;&gt;(TRIM(AM939)=""),"TRACES login needs both user ID and password; ","")&amp;IF((TRIM(AN939)="")&lt;&gt;(TRIM(AO939)=""),"MCA login needs both user ID and password; ","")&amp;IF((TRIM(AP939)="")&lt;&gt;(TRIM(AQ939)=""),"E-way bill login needs both user ID and password; ","")</f>
        <v/>
      </c>
    </row>
    <row r="940">
      <c r="A940" s="32" t="n"/>
      <c r="B940" s="33" t="n"/>
      <c r="C940" s="33" t="n"/>
      <c r="D940" s="33" t="n"/>
      <c r="E940" s="32" t="n"/>
      <c r="F940" s="32" t="n"/>
      <c r="G940" s="32" t="n"/>
      <c r="H940" s="32" t="n"/>
      <c r="I940" s="32" t="n"/>
      <c r="J940" s="34" t="n"/>
      <c r="K940" s="33" t="n"/>
      <c r="L940" s="32" t="n"/>
      <c r="M940" s="33" t="n"/>
      <c r="N940" s="33" t="n"/>
      <c r="O940" s="33" t="n"/>
      <c r="P940" s="32" t="n"/>
      <c r="Q940" s="33" t="n"/>
      <c r="R940" s="33" t="n"/>
      <c r="S940" s="33" t="n"/>
      <c r="T940" s="33" t="n"/>
      <c r="U940" s="32" t="n"/>
      <c r="V940" s="33" t="n"/>
      <c r="W940" s="33" t="n"/>
      <c r="X940" s="33" t="n"/>
      <c r="Y940" s="33" t="n"/>
      <c r="Z940" s="33" t="n"/>
      <c r="AA940" s="33" t="n"/>
      <c r="AB940" s="33" t="n"/>
      <c r="AC940" s="33" t="n"/>
      <c r="AD940" s="33" t="n"/>
      <c r="AE940" s="33" t="n"/>
      <c r="AF940" s="32" t="n"/>
      <c r="AG940" s="32" t="n"/>
      <c r="AH940" s="32" t="n"/>
      <c r="AI940" s="32" t="n"/>
      <c r="AJ940" s="32" t="n"/>
      <c r="AK940" s="32" t="n"/>
      <c r="AL940" s="32" t="n"/>
      <c r="AM940" s="32" t="n"/>
      <c r="AN940" s="32" t="n"/>
      <c r="AO940" s="32" t="n"/>
      <c r="AP940" s="32" t="n"/>
      <c r="AQ940" s="32" t="n"/>
      <c r="AR940" s="29">
        <f>IF(NOT(COUNTA(A940:AE940)&gt;0),"",IF(A940="","New client","Update"))</f>
        <v/>
      </c>
      <c r="AS940" s="29">
        <f>IF(BA940&lt;&gt;"",BA940,IF(LEN(AZ940)=15,MID(AZ940,3,10),""))</f>
        <v/>
      </c>
      <c r="AT940" s="29">
        <f>IF(BB940="","",BB940&amp;IF(D940="","  (guessed from PAN)",""))</f>
        <v/>
      </c>
      <c r="AU940" s="29">
        <f>IF(AZ940="","",IFERROR(INDEX(Lists!$L$2:$L$38,MATCH(LEFT(AZ940,2),Lists!$K$2:$K$38,0)),"Unknown code"))</f>
        <v/>
      </c>
      <c r="AV940" s="29">
        <f>IF(AZ940="","",IFERROR(IF(NOT(AND(LEN(AZ940)=15,ISNUMBER(MATCH(LEFT(AZ940,2),Lists!$K$2:$K$38,0)),SUMPRODUCT(--ISERROR(FIND(MID(MID(AZ940,3,10),{1,2,3,4,5,10},1),"ABCDEFGHIJKLMNOPQRSTUVWXYZ")))=0,SUMPRODUCT(--ISERROR(FIND(MID(MID(AZ940,3,10),{6,7,8,9},1),"0123456789")))=0,ISNUMBER(FIND(MID(AZ940,13,1),"123456789ABCDEFGHIJKLMNOPQRSTUVWXYZ")),MID(AZ940,14,1)="Z")),"Wrong format",IF(MID("0123456789ABCDEFGHIJKLMNOPQRSTUVWXYZ",MOD(36-MOD(SUMPRODUCT(INT((FIND(MID(AZ940,{1,2,3,4,5,6,7,8,9,10,11,12,13,14},1),"0123456789ABCDEFGHIJKLMNOPQRSTUVWXYZ")-1)*{1,2,1,2,1,2,1,2,1,2,1,2,1,2}/36)+MOD((FIND(MID(AZ940,{1,2,3,4,5,6,7,8,9,10,11,12,13,14},1),"0123456789ABCDEFGHIJKLMNOPQRSTUVWXYZ")-1)*{1,2,1,2,1,2,1,2,1,2,1,2,1,2},36)),36),36)+1,1)=MID(AZ940,15,1),"OK","Typo? check digit wrong")),"Wrong format"))</f>
        <v/>
      </c>
      <c r="AW940" s="29">
        <f>IF(BA940="","",IF(AND(LEN(BA940)=10,SUMPRODUCT(--ISERROR(FIND(MID(BA940,{1,2,3,4,5,10},1),"ABCDEFGHIJKLMNOPQRSTUVWXYZ")))=0,SUMPRODUCT(--ISERROR(FIND(MID(BA940,{6,7,8,9},1),"0123456789")))=0),"OK","Wrong format"))</f>
        <v/>
      </c>
      <c r="AX940" s="29">
        <f>IF(TRIM(H940)="","",IF(AND(LEN(UPPER(TRIM(H940)))=10,SUMPRODUCT(--ISERROR(FIND(MID(UPPER(TRIM(H940)),{1,2,3,4,10},1),"ABCDEFGHIJKLMNOPQRSTUVWXYZ")))=0,SUMPRODUCT(--ISERROR(FIND(MID(UPPER(TRIM(H940)),{5,6,7,8,9},1),"0123456789")))=0),"OK","Wrong format"))</f>
        <v/>
      </c>
      <c r="AY940" s="30">
        <f>IF(NOT(COUNTA(A940:AE940)&gt;0),"",IF(BE940&lt;&gt;"","✖ "&amp;LEFT(BE940,LEN(BE940)-2),IF(BD940&gt;0,"✔ Ready — client + "&amp;BD940&amp;" service(s)","✔ Ready — client only")))</f>
        <v/>
      </c>
      <c r="AZ940" s="31">
        <f>UPPER(SUBSTITUTE(TRIM(F940)," ",""))</f>
        <v/>
      </c>
      <c r="BA940" s="31">
        <f>UPPER(SUBSTITUTE(TRIM(E940)," ",""))</f>
        <v/>
      </c>
      <c r="BB940" s="31">
        <f>IF(D940&lt;&gt;"",D940,IFERROR(VLOOKUP(MID(AS940,4,1),Lists!$E$2:$F$8,2,FALSE),""))</f>
        <v/>
      </c>
      <c r="BC940" s="31">
        <f>IFERROR(VLOOKUP(BB940,Lists!$A$2:$C$12,3,FALSE),"")</f>
        <v/>
      </c>
      <c r="BD940" s="31">
        <f>COUNTIF(W940:AC940,"Yes")</f>
        <v/>
      </c>
      <c r="BE940" s="31">
        <f>IF(TRIM(B940)="","Legal name missing; ","")&amp;IF(AND(AV940&lt;&gt;"",AV940&lt;&gt;"OK"),"GSTIN: "&amp;AV940&amp;"; ","")&amp;IF(AND(AW940&lt;&gt;"",AW940&lt;&gt;"OK"),"PAN wrong format; ","")&amp;IF(AND(BA940&lt;&gt;"",LEN(AZ940)=15,MID(AZ940,3,10)&lt;&gt;BA940),"PAN does not match GSTIN; ","")&amp;IF(AND(AX940&lt;&gt;"",AX940&lt;&gt;"OK"),"TAN wrong format; ","")&amp;IF(AS940="","PAN missing; ","")&amp;IF(BB940="","Entity type missing; ","")&amp;IF(AND(AZ940&lt;&gt;"",COUNTIF($AZ$6:$AZ$1005,AZ940)&gt;1),"GSTIN repeated in this sheet; ","")&amp;IF(AND(AS940&lt;&gt;"",COUNTIF($AS$6:$AS$1005,AS940)&gt;1),"PAN repeated in this sheet (same client? put extra GSTINs in Other GSTINs); ","")&amp;IF(AND(BD940&gt;0,V940=""),"Financial year missing; ","")&amp;IF(AND(BD940=0,V940&lt;&gt;""),"Financial year given but no service is Yes; ","")&amp;IF(AND(W940="Yes",AZ940=""),"GST needs a GSTIN; ","")&amp;IF(AND(W940="Yes",X940=""),"GST return frequency missing; ","")&amp;IF(AND(Y940="Yes",TRIM(H940)=""),"TDS needs a TAN; ","")&amp;IF(AND(AA940="Yes",BC940&lt;&gt;"",BC940&lt;&gt;"company",BC940&lt;&gt;"llp"),"ROC is only for a company / LLP; ","")&amp;IF(AND(AA940="Yes",OR(BC940="company",BC940="llp"),TRIM(I940)=""),"ROC needs the CIN / LLPIN; ","")&amp;IF((TRIM(AF940)="")&lt;&gt;(TRIM(AG940)=""),"GST login needs both user ID and password; ","")&amp;IF((TRIM(AH940)="")&lt;&gt;(TRIM(AI940)=""),"Income-tax login needs both user ID and password; ","")&amp;IF((TRIM(AJ940)="")&lt;&gt;(TRIM(AK940)=""),"Income-tax login needs both user ID and password; ","")&amp;IF((TRIM(AL940)="")&lt;&gt;(TRIM(AM940)=""),"TRACES login needs both user ID and password; ","")&amp;IF((TRIM(AN940)="")&lt;&gt;(TRIM(AO940)=""),"MCA login needs both user ID and password; ","")&amp;IF((TRIM(AP940)="")&lt;&gt;(TRIM(AQ940)=""),"E-way bill login needs both user ID and password; ","")</f>
        <v/>
      </c>
    </row>
    <row r="941">
      <c r="A941" s="32" t="n"/>
      <c r="B941" s="33" t="n"/>
      <c r="C941" s="33" t="n"/>
      <c r="D941" s="33" t="n"/>
      <c r="E941" s="32" t="n"/>
      <c r="F941" s="32" t="n"/>
      <c r="G941" s="32" t="n"/>
      <c r="H941" s="32" t="n"/>
      <c r="I941" s="32" t="n"/>
      <c r="J941" s="34" t="n"/>
      <c r="K941" s="33" t="n"/>
      <c r="L941" s="32" t="n"/>
      <c r="M941" s="33" t="n"/>
      <c r="N941" s="33" t="n"/>
      <c r="O941" s="33" t="n"/>
      <c r="P941" s="32" t="n"/>
      <c r="Q941" s="33" t="n"/>
      <c r="R941" s="33" t="n"/>
      <c r="S941" s="33" t="n"/>
      <c r="T941" s="33" t="n"/>
      <c r="U941" s="32" t="n"/>
      <c r="V941" s="33" t="n"/>
      <c r="W941" s="33" t="n"/>
      <c r="X941" s="33" t="n"/>
      <c r="Y941" s="33" t="n"/>
      <c r="Z941" s="33" t="n"/>
      <c r="AA941" s="33" t="n"/>
      <c r="AB941" s="33" t="n"/>
      <c r="AC941" s="33" t="n"/>
      <c r="AD941" s="33" t="n"/>
      <c r="AE941" s="33" t="n"/>
      <c r="AF941" s="32" t="n"/>
      <c r="AG941" s="32" t="n"/>
      <c r="AH941" s="32" t="n"/>
      <c r="AI941" s="32" t="n"/>
      <c r="AJ941" s="32" t="n"/>
      <c r="AK941" s="32" t="n"/>
      <c r="AL941" s="32" t="n"/>
      <c r="AM941" s="32" t="n"/>
      <c r="AN941" s="32" t="n"/>
      <c r="AO941" s="32" t="n"/>
      <c r="AP941" s="32" t="n"/>
      <c r="AQ941" s="32" t="n"/>
      <c r="AR941" s="29">
        <f>IF(NOT(COUNTA(A941:AE941)&gt;0),"",IF(A941="","New client","Update"))</f>
        <v/>
      </c>
      <c r="AS941" s="29">
        <f>IF(BA941&lt;&gt;"",BA941,IF(LEN(AZ941)=15,MID(AZ941,3,10),""))</f>
        <v/>
      </c>
      <c r="AT941" s="29">
        <f>IF(BB941="","",BB941&amp;IF(D941="","  (guessed from PAN)",""))</f>
        <v/>
      </c>
      <c r="AU941" s="29">
        <f>IF(AZ941="","",IFERROR(INDEX(Lists!$L$2:$L$38,MATCH(LEFT(AZ941,2),Lists!$K$2:$K$38,0)),"Unknown code"))</f>
        <v/>
      </c>
      <c r="AV941" s="29">
        <f>IF(AZ941="","",IFERROR(IF(NOT(AND(LEN(AZ941)=15,ISNUMBER(MATCH(LEFT(AZ941,2),Lists!$K$2:$K$38,0)),SUMPRODUCT(--ISERROR(FIND(MID(MID(AZ941,3,10),{1,2,3,4,5,10},1),"ABCDEFGHIJKLMNOPQRSTUVWXYZ")))=0,SUMPRODUCT(--ISERROR(FIND(MID(MID(AZ941,3,10),{6,7,8,9},1),"0123456789")))=0,ISNUMBER(FIND(MID(AZ941,13,1),"123456789ABCDEFGHIJKLMNOPQRSTUVWXYZ")),MID(AZ941,14,1)="Z")),"Wrong format",IF(MID("0123456789ABCDEFGHIJKLMNOPQRSTUVWXYZ",MOD(36-MOD(SUMPRODUCT(INT((FIND(MID(AZ941,{1,2,3,4,5,6,7,8,9,10,11,12,13,14},1),"0123456789ABCDEFGHIJKLMNOPQRSTUVWXYZ")-1)*{1,2,1,2,1,2,1,2,1,2,1,2,1,2}/36)+MOD((FIND(MID(AZ941,{1,2,3,4,5,6,7,8,9,10,11,12,13,14},1),"0123456789ABCDEFGHIJKLMNOPQRSTUVWXYZ")-1)*{1,2,1,2,1,2,1,2,1,2,1,2,1,2},36)),36),36)+1,1)=MID(AZ941,15,1),"OK","Typo? check digit wrong")),"Wrong format"))</f>
        <v/>
      </c>
      <c r="AW941" s="29">
        <f>IF(BA941="","",IF(AND(LEN(BA941)=10,SUMPRODUCT(--ISERROR(FIND(MID(BA941,{1,2,3,4,5,10},1),"ABCDEFGHIJKLMNOPQRSTUVWXYZ")))=0,SUMPRODUCT(--ISERROR(FIND(MID(BA941,{6,7,8,9},1),"0123456789")))=0),"OK","Wrong format"))</f>
        <v/>
      </c>
      <c r="AX941" s="29">
        <f>IF(TRIM(H941)="","",IF(AND(LEN(UPPER(TRIM(H941)))=10,SUMPRODUCT(--ISERROR(FIND(MID(UPPER(TRIM(H941)),{1,2,3,4,10},1),"ABCDEFGHIJKLMNOPQRSTUVWXYZ")))=0,SUMPRODUCT(--ISERROR(FIND(MID(UPPER(TRIM(H941)),{5,6,7,8,9},1),"0123456789")))=0),"OK","Wrong format"))</f>
        <v/>
      </c>
      <c r="AY941" s="30">
        <f>IF(NOT(COUNTA(A941:AE941)&gt;0),"",IF(BE941&lt;&gt;"","✖ "&amp;LEFT(BE941,LEN(BE941)-2),IF(BD941&gt;0,"✔ Ready — client + "&amp;BD941&amp;" service(s)","✔ Ready — client only")))</f>
        <v/>
      </c>
      <c r="AZ941" s="31">
        <f>UPPER(SUBSTITUTE(TRIM(F941)," ",""))</f>
        <v/>
      </c>
      <c r="BA941" s="31">
        <f>UPPER(SUBSTITUTE(TRIM(E941)," ",""))</f>
        <v/>
      </c>
      <c r="BB941" s="31">
        <f>IF(D941&lt;&gt;"",D941,IFERROR(VLOOKUP(MID(AS941,4,1),Lists!$E$2:$F$8,2,FALSE),""))</f>
        <v/>
      </c>
      <c r="BC941" s="31">
        <f>IFERROR(VLOOKUP(BB941,Lists!$A$2:$C$12,3,FALSE),"")</f>
        <v/>
      </c>
      <c r="BD941" s="31">
        <f>COUNTIF(W941:AC941,"Yes")</f>
        <v/>
      </c>
      <c r="BE941" s="31">
        <f>IF(TRIM(B941)="","Legal name missing; ","")&amp;IF(AND(AV941&lt;&gt;"",AV941&lt;&gt;"OK"),"GSTIN: "&amp;AV941&amp;"; ","")&amp;IF(AND(AW941&lt;&gt;"",AW941&lt;&gt;"OK"),"PAN wrong format; ","")&amp;IF(AND(BA941&lt;&gt;"",LEN(AZ941)=15,MID(AZ941,3,10)&lt;&gt;BA941),"PAN does not match GSTIN; ","")&amp;IF(AND(AX941&lt;&gt;"",AX941&lt;&gt;"OK"),"TAN wrong format; ","")&amp;IF(AS941="","PAN missing; ","")&amp;IF(BB941="","Entity type missing; ","")&amp;IF(AND(AZ941&lt;&gt;"",COUNTIF($AZ$6:$AZ$1005,AZ941)&gt;1),"GSTIN repeated in this sheet; ","")&amp;IF(AND(AS941&lt;&gt;"",COUNTIF($AS$6:$AS$1005,AS941)&gt;1),"PAN repeated in this sheet (same client? put extra GSTINs in Other GSTINs); ","")&amp;IF(AND(BD941&gt;0,V941=""),"Financial year missing; ","")&amp;IF(AND(BD941=0,V941&lt;&gt;""),"Financial year given but no service is Yes; ","")&amp;IF(AND(W941="Yes",AZ941=""),"GST needs a GSTIN; ","")&amp;IF(AND(W941="Yes",X941=""),"GST return frequency missing; ","")&amp;IF(AND(Y941="Yes",TRIM(H941)=""),"TDS needs a TAN; ","")&amp;IF(AND(AA941="Yes",BC941&lt;&gt;"",BC941&lt;&gt;"company",BC941&lt;&gt;"llp"),"ROC is only for a company / LLP; ","")&amp;IF(AND(AA941="Yes",OR(BC941="company",BC941="llp"),TRIM(I941)=""),"ROC needs the CIN / LLPIN; ","")&amp;IF((TRIM(AF941)="")&lt;&gt;(TRIM(AG941)=""),"GST login needs both user ID and password; ","")&amp;IF((TRIM(AH941)="")&lt;&gt;(TRIM(AI941)=""),"Income-tax login needs both user ID and password; ","")&amp;IF((TRIM(AJ941)="")&lt;&gt;(TRIM(AK941)=""),"Income-tax login needs both user ID and password; ","")&amp;IF((TRIM(AL941)="")&lt;&gt;(TRIM(AM941)=""),"TRACES login needs both user ID and password; ","")&amp;IF((TRIM(AN941)="")&lt;&gt;(TRIM(AO941)=""),"MCA login needs both user ID and password; ","")&amp;IF((TRIM(AP941)="")&lt;&gt;(TRIM(AQ941)=""),"E-way bill login needs both user ID and password; ","")</f>
        <v/>
      </c>
    </row>
    <row r="942">
      <c r="A942" s="32" t="n"/>
      <c r="B942" s="33" t="n"/>
      <c r="C942" s="33" t="n"/>
      <c r="D942" s="33" t="n"/>
      <c r="E942" s="32" t="n"/>
      <c r="F942" s="32" t="n"/>
      <c r="G942" s="32" t="n"/>
      <c r="H942" s="32" t="n"/>
      <c r="I942" s="32" t="n"/>
      <c r="J942" s="34" t="n"/>
      <c r="K942" s="33" t="n"/>
      <c r="L942" s="32" t="n"/>
      <c r="M942" s="33" t="n"/>
      <c r="N942" s="33" t="n"/>
      <c r="O942" s="33" t="n"/>
      <c r="P942" s="32" t="n"/>
      <c r="Q942" s="33" t="n"/>
      <c r="R942" s="33" t="n"/>
      <c r="S942" s="33" t="n"/>
      <c r="T942" s="33" t="n"/>
      <c r="U942" s="32" t="n"/>
      <c r="V942" s="33" t="n"/>
      <c r="W942" s="33" t="n"/>
      <c r="X942" s="33" t="n"/>
      <c r="Y942" s="33" t="n"/>
      <c r="Z942" s="33" t="n"/>
      <c r="AA942" s="33" t="n"/>
      <c r="AB942" s="33" t="n"/>
      <c r="AC942" s="33" t="n"/>
      <c r="AD942" s="33" t="n"/>
      <c r="AE942" s="33" t="n"/>
      <c r="AF942" s="32" t="n"/>
      <c r="AG942" s="32" t="n"/>
      <c r="AH942" s="32" t="n"/>
      <c r="AI942" s="32" t="n"/>
      <c r="AJ942" s="32" t="n"/>
      <c r="AK942" s="32" t="n"/>
      <c r="AL942" s="32" t="n"/>
      <c r="AM942" s="32" t="n"/>
      <c r="AN942" s="32" t="n"/>
      <c r="AO942" s="32" t="n"/>
      <c r="AP942" s="32" t="n"/>
      <c r="AQ942" s="32" t="n"/>
      <c r="AR942" s="29">
        <f>IF(NOT(COUNTA(A942:AE942)&gt;0),"",IF(A942="","New client","Update"))</f>
        <v/>
      </c>
      <c r="AS942" s="29">
        <f>IF(BA942&lt;&gt;"",BA942,IF(LEN(AZ942)=15,MID(AZ942,3,10),""))</f>
        <v/>
      </c>
      <c r="AT942" s="29">
        <f>IF(BB942="","",BB942&amp;IF(D942="","  (guessed from PAN)",""))</f>
        <v/>
      </c>
      <c r="AU942" s="29">
        <f>IF(AZ942="","",IFERROR(INDEX(Lists!$L$2:$L$38,MATCH(LEFT(AZ942,2),Lists!$K$2:$K$38,0)),"Unknown code"))</f>
        <v/>
      </c>
      <c r="AV942" s="29">
        <f>IF(AZ942="","",IFERROR(IF(NOT(AND(LEN(AZ942)=15,ISNUMBER(MATCH(LEFT(AZ942,2),Lists!$K$2:$K$38,0)),SUMPRODUCT(--ISERROR(FIND(MID(MID(AZ942,3,10),{1,2,3,4,5,10},1),"ABCDEFGHIJKLMNOPQRSTUVWXYZ")))=0,SUMPRODUCT(--ISERROR(FIND(MID(MID(AZ942,3,10),{6,7,8,9},1),"0123456789")))=0,ISNUMBER(FIND(MID(AZ942,13,1),"123456789ABCDEFGHIJKLMNOPQRSTUVWXYZ")),MID(AZ942,14,1)="Z")),"Wrong format",IF(MID("0123456789ABCDEFGHIJKLMNOPQRSTUVWXYZ",MOD(36-MOD(SUMPRODUCT(INT((FIND(MID(AZ942,{1,2,3,4,5,6,7,8,9,10,11,12,13,14},1),"0123456789ABCDEFGHIJKLMNOPQRSTUVWXYZ")-1)*{1,2,1,2,1,2,1,2,1,2,1,2,1,2}/36)+MOD((FIND(MID(AZ942,{1,2,3,4,5,6,7,8,9,10,11,12,13,14},1),"0123456789ABCDEFGHIJKLMNOPQRSTUVWXYZ")-1)*{1,2,1,2,1,2,1,2,1,2,1,2,1,2},36)),36),36)+1,1)=MID(AZ942,15,1),"OK","Typo? check digit wrong")),"Wrong format"))</f>
        <v/>
      </c>
      <c r="AW942" s="29">
        <f>IF(BA942="","",IF(AND(LEN(BA942)=10,SUMPRODUCT(--ISERROR(FIND(MID(BA942,{1,2,3,4,5,10},1),"ABCDEFGHIJKLMNOPQRSTUVWXYZ")))=0,SUMPRODUCT(--ISERROR(FIND(MID(BA942,{6,7,8,9},1),"0123456789")))=0),"OK","Wrong format"))</f>
        <v/>
      </c>
      <c r="AX942" s="29">
        <f>IF(TRIM(H942)="","",IF(AND(LEN(UPPER(TRIM(H942)))=10,SUMPRODUCT(--ISERROR(FIND(MID(UPPER(TRIM(H942)),{1,2,3,4,10},1),"ABCDEFGHIJKLMNOPQRSTUVWXYZ")))=0,SUMPRODUCT(--ISERROR(FIND(MID(UPPER(TRIM(H942)),{5,6,7,8,9},1),"0123456789")))=0),"OK","Wrong format"))</f>
        <v/>
      </c>
      <c r="AY942" s="30">
        <f>IF(NOT(COUNTA(A942:AE942)&gt;0),"",IF(BE942&lt;&gt;"","✖ "&amp;LEFT(BE942,LEN(BE942)-2),IF(BD942&gt;0,"✔ Ready — client + "&amp;BD942&amp;" service(s)","✔ Ready — client only")))</f>
        <v/>
      </c>
      <c r="AZ942" s="31">
        <f>UPPER(SUBSTITUTE(TRIM(F942)," ",""))</f>
        <v/>
      </c>
      <c r="BA942" s="31">
        <f>UPPER(SUBSTITUTE(TRIM(E942)," ",""))</f>
        <v/>
      </c>
      <c r="BB942" s="31">
        <f>IF(D942&lt;&gt;"",D942,IFERROR(VLOOKUP(MID(AS942,4,1),Lists!$E$2:$F$8,2,FALSE),""))</f>
        <v/>
      </c>
      <c r="BC942" s="31">
        <f>IFERROR(VLOOKUP(BB942,Lists!$A$2:$C$12,3,FALSE),"")</f>
        <v/>
      </c>
      <c r="BD942" s="31">
        <f>COUNTIF(W942:AC942,"Yes")</f>
        <v/>
      </c>
      <c r="BE942" s="31">
        <f>IF(TRIM(B942)="","Legal name missing; ","")&amp;IF(AND(AV942&lt;&gt;"",AV942&lt;&gt;"OK"),"GSTIN: "&amp;AV942&amp;"; ","")&amp;IF(AND(AW942&lt;&gt;"",AW942&lt;&gt;"OK"),"PAN wrong format; ","")&amp;IF(AND(BA942&lt;&gt;"",LEN(AZ942)=15,MID(AZ942,3,10)&lt;&gt;BA942),"PAN does not match GSTIN; ","")&amp;IF(AND(AX942&lt;&gt;"",AX942&lt;&gt;"OK"),"TAN wrong format; ","")&amp;IF(AS942="","PAN missing; ","")&amp;IF(BB942="","Entity type missing; ","")&amp;IF(AND(AZ942&lt;&gt;"",COUNTIF($AZ$6:$AZ$1005,AZ942)&gt;1),"GSTIN repeated in this sheet; ","")&amp;IF(AND(AS942&lt;&gt;"",COUNTIF($AS$6:$AS$1005,AS942)&gt;1),"PAN repeated in this sheet (same client? put extra GSTINs in Other GSTINs); ","")&amp;IF(AND(BD942&gt;0,V942=""),"Financial year missing; ","")&amp;IF(AND(BD942=0,V942&lt;&gt;""),"Financial year given but no service is Yes; ","")&amp;IF(AND(W942="Yes",AZ942=""),"GST needs a GSTIN; ","")&amp;IF(AND(W942="Yes",X942=""),"GST return frequency missing; ","")&amp;IF(AND(Y942="Yes",TRIM(H942)=""),"TDS needs a TAN; ","")&amp;IF(AND(AA942="Yes",BC942&lt;&gt;"",BC942&lt;&gt;"company",BC942&lt;&gt;"llp"),"ROC is only for a company / LLP; ","")&amp;IF(AND(AA942="Yes",OR(BC942="company",BC942="llp"),TRIM(I942)=""),"ROC needs the CIN / LLPIN; ","")&amp;IF((TRIM(AF942)="")&lt;&gt;(TRIM(AG942)=""),"GST login needs both user ID and password; ","")&amp;IF((TRIM(AH942)="")&lt;&gt;(TRIM(AI942)=""),"Income-tax login needs both user ID and password; ","")&amp;IF((TRIM(AJ942)="")&lt;&gt;(TRIM(AK942)=""),"Income-tax login needs both user ID and password; ","")&amp;IF((TRIM(AL942)="")&lt;&gt;(TRIM(AM942)=""),"TRACES login needs both user ID and password; ","")&amp;IF((TRIM(AN942)="")&lt;&gt;(TRIM(AO942)=""),"MCA login needs both user ID and password; ","")&amp;IF((TRIM(AP942)="")&lt;&gt;(TRIM(AQ942)=""),"E-way bill login needs both user ID and password; ","")</f>
        <v/>
      </c>
    </row>
    <row r="943">
      <c r="A943" s="32" t="n"/>
      <c r="B943" s="33" t="n"/>
      <c r="C943" s="33" t="n"/>
      <c r="D943" s="33" t="n"/>
      <c r="E943" s="32" t="n"/>
      <c r="F943" s="32" t="n"/>
      <c r="G943" s="32" t="n"/>
      <c r="H943" s="32" t="n"/>
      <c r="I943" s="32" t="n"/>
      <c r="J943" s="34" t="n"/>
      <c r="K943" s="33" t="n"/>
      <c r="L943" s="32" t="n"/>
      <c r="M943" s="33" t="n"/>
      <c r="N943" s="33" t="n"/>
      <c r="O943" s="33" t="n"/>
      <c r="P943" s="32" t="n"/>
      <c r="Q943" s="33" t="n"/>
      <c r="R943" s="33" t="n"/>
      <c r="S943" s="33" t="n"/>
      <c r="T943" s="33" t="n"/>
      <c r="U943" s="32" t="n"/>
      <c r="V943" s="33" t="n"/>
      <c r="W943" s="33" t="n"/>
      <c r="X943" s="33" t="n"/>
      <c r="Y943" s="33" t="n"/>
      <c r="Z943" s="33" t="n"/>
      <c r="AA943" s="33" t="n"/>
      <c r="AB943" s="33" t="n"/>
      <c r="AC943" s="33" t="n"/>
      <c r="AD943" s="33" t="n"/>
      <c r="AE943" s="33" t="n"/>
      <c r="AF943" s="32" t="n"/>
      <c r="AG943" s="32" t="n"/>
      <c r="AH943" s="32" t="n"/>
      <c r="AI943" s="32" t="n"/>
      <c r="AJ943" s="32" t="n"/>
      <c r="AK943" s="32" t="n"/>
      <c r="AL943" s="32" t="n"/>
      <c r="AM943" s="32" t="n"/>
      <c r="AN943" s="32" t="n"/>
      <c r="AO943" s="32" t="n"/>
      <c r="AP943" s="32" t="n"/>
      <c r="AQ943" s="32" t="n"/>
      <c r="AR943" s="29">
        <f>IF(NOT(COUNTA(A943:AE943)&gt;0),"",IF(A943="","New client","Update"))</f>
        <v/>
      </c>
      <c r="AS943" s="29">
        <f>IF(BA943&lt;&gt;"",BA943,IF(LEN(AZ943)=15,MID(AZ943,3,10),""))</f>
        <v/>
      </c>
      <c r="AT943" s="29">
        <f>IF(BB943="","",BB943&amp;IF(D943="","  (guessed from PAN)",""))</f>
        <v/>
      </c>
      <c r="AU943" s="29">
        <f>IF(AZ943="","",IFERROR(INDEX(Lists!$L$2:$L$38,MATCH(LEFT(AZ943,2),Lists!$K$2:$K$38,0)),"Unknown code"))</f>
        <v/>
      </c>
      <c r="AV943" s="29">
        <f>IF(AZ943="","",IFERROR(IF(NOT(AND(LEN(AZ943)=15,ISNUMBER(MATCH(LEFT(AZ943,2),Lists!$K$2:$K$38,0)),SUMPRODUCT(--ISERROR(FIND(MID(MID(AZ943,3,10),{1,2,3,4,5,10},1),"ABCDEFGHIJKLMNOPQRSTUVWXYZ")))=0,SUMPRODUCT(--ISERROR(FIND(MID(MID(AZ943,3,10),{6,7,8,9},1),"0123456789")))=0,ISNUMBER(FIND(MID(AZ943,13,1),"123456789ABCDEFGHIJKLMNOPQRSTUVWXYZ")),MID(AZ943,14,1)="Z")),"Wrong format",IF(MID("0123456789ABCDEFGHIJKLMNOPQRSTUVWXYZ",MOD(36-MOD(SUMPRODUCT(INT((FIND(MID(AZ943,{1,2,3,4,5,6,7,8,9,10,11,12,13,14},1),"0123456789ABCDEFGHIJKLMNOPQRSTUVWXYZ")-1)*{1,2,1,2,1,2,1,2,1,2,1,2,1,2}/36)+MOD((FIND(MID(AZ943,{1,2,3,4,5,6,7,8,9,10,11,12,13,14},1),"0123456789ABCDEFGHIJKLMNOPQRSTUVWXYZ")-1)*{1,2,1,2,1,2,1,2,1,2,1,2,1,2},36)),36),36)+1,1)=MID(AZ943,15,1),"OK","Typo? check digit wrong")),"Wrong format"))</f>
        <v/>
      </c>
      <c r="AW943" s="29">
        <f>IF(BA943="","",IF(AND(LEN(BA943)=10,SUMPRODUCT(--ISERROR(FIND(MID(BA943,{1,2,3,4,5,10},1),"ABCDEFGHIJKLMNOPQRSTUVWXYZ")))=0,SUMPRODUCT(--ISERROR(FIND(MID(BA943,{6,7,8,9},1),"0123456789")))=0),"OK","Wrong format"))</f>
        <v/>
      </c>
      <c r="AX943" s="29">
        <f>IF(TRIM(H943)="","",IF(AND(LEN(UPPER(TRIM(H943)))=10,SUMPRODUCT(--ISERROR(FIND(MID(UPPER(TRIM(H943)),{1,2,3,4,10},1),"ABCDEFGHIJKLMNOPQRSTUVWXYZ")))=0,SUMPRODUCT(--ISERROR(FIND(MID(UPPER(TRIM(H943)),{5,6,7,8,9},1),"0123456789")))=0),"OK","Wrong format"))</f>
        <v/>
      </c>
      <c r="AY943" s="30">
        <f>IF(NOT(COUNTA(A943:AE943)&gt;0),"",IF(BE943&lt;&gt;"","✖ "&amp;LEFT(BE943,LEN(BE943)-2),IF(BD943&gt;0,"✔ Ready — client + "&amp;BD943&amp;" service(s)","✔ Ready — client only")))</f>
        <v/>
      </c>
      <c r="AZ943" s="31">
        <f>UPPER(SUBSTITUTE(TRIM(F943)," ",""))</f>
        <v/>
      </c>
      <c r="BA943" s="31">
        <f>UPPER(SUBSTITUTE(TRIM(E943)," ",""))</f>
        <v/>
      </c>
      <c r="BB943" s="31">
        <f>IF(D943&lt;&gt;"",D943,IFERROR(VLOOKUP(MID(AS943,4,1),Lists!$E$2:$F$8,2,FALSE),""))</f>
        <v/>
      </c>
      <c r="BC943" s="31">
        <f>IFERROR(VLOOKUP(BB943,Lists!$A$2:$C$12,3,FALSE),"")</f>
        <v/>
      </c>
      <c r="BD943" s="31">
        <f>COUNTIF(W943:AC943,"Yes")</f>
        <v/>
      </c>
      <c r="BE943" s="31">
        <f>IF(TRIM(B943)="","Legal name missing; ","")&amp;IF(AND(AV943&lt;&gt;"",AV943&lt;&gt;"OK"),"GSTIN: "&amp;AV943&amp;"; ","")&amp;IF(AND(AW943&lt;&gt;"",AW943&lt;&gt;"OK"),"PAN wrong format; ","")&amp;IF(AND(BA943&lt;&gt;"",LEN(AZ943)=15,MID(AZ943,3,10)&lt;&gt;BA943),"PAN does not match GSTIN; ","")&amp;IF(AND(AX943&lt;&gt;"",AX943&lt;&gt;"OK"),"TAN wrong format; ","")&amp;IF(AS943="","PAN missing; ","")&amp;IF(BB943="","Entity type missing; ","")&amp;IF(AND(AZ943&lt;&gt;"",COUNTIF($AZ$6:$AZ$1005,AZ943)&gt;1),"GSTIN repeated in this sheet; ","")&amp;IF(AND(AS943&lt;&gt;"",COUNTIF($AS$6:$AS$1005,AS943)&gt;1),"PAN repeated in this sheet (same client? put extra GSTINs in Other GSTINs); ","")&amp;IF(AND(BD943&gt;0,V943=""),"Financial year missing; ","")&amp;IF(AND(BD943=0,V943&lt;&gt;""),"Financial year given but no service is Yes; ","")&amp;IF(AND(W943="Yes",AZ943=""),"GST needs a GSTIN; ","")&amp;IF(AND(W943="Yes",X943=""),"GST return frequency missing; ","")&amp;IF(AND(Y943="Yes",TRIM(H943)=""),"TDS needs a TAN; ","")&amp;IF(AND(AA943="Yes",BC943&lt;&gt;"",BC943&lt;&gt;"company",BC943&lt;&gt;"llp"),"ROC is only for a company / LLP; ","")&amp;IF(AND(AA943="Yes",OR(BC943="company",BC943="llp"),TRIM(I943)=""),"ROC needs the CIN / LLPIN; ","")&amp;IF((TRIM(AF943)="")&lt;&gt;(TRIM(AG943)=""),"GST login needs both user ID and password; ","")&amp;IF((TRIM(AH943)="")&lt;&gt;(TRIM(AI943)=""),"Income-tax login needs both user ID and password; ","")&amp;IF((TRIM(AJ943)="")&lt;&gt;(TRIM(AK943)=""),"Income-tax login needs both user ID and password; ","")&amp;IF((TRIM(AL943)="")&lt;&gt;(TRIM(AM943)=""),"TRACES login needs both user ID and password; ","")&amp;IF((TRIM(AN943)="")&lt;&gt;(TRIM(AO943)=""),"MCA login needs both user ID and password; ","")&amp;IF((TRIM(AP943)="")&lt;&gt;(TRIM(AQ943)=""),"E-way bill login needs both user ID and password; ","")</f>
        <v/>
      </c>
    </row>
    <row r="944">
      <c r="A944" s="32" t="n"/>
      <c r="B944" s="33" t="n"/>
      <c r="C944" s="33" t="n"/>
      <c r="D944" s="33" t="n"/>
      <c r="E944" s="32" t="n"/>
      <c r="F944" s="32" t="n"/>
      <c r="G944" s="32" t="n"/>
      <c r="H944" s="32" t="n"/>
      <c r="I944" s="32" t="n"/>
      <c r="J944" s="34" t="n"/>
      <c r="K944" s="33" t="n"/>
      <c r="L944" s="32" t="n"/>
      <c r="M944" s="33" t="n"/>
      <c r="N944" s="33" t="n"/>
      <c r="O944" s="33" t="n"/>
      <c r="P944" s="32" t="n"/>
      <c r="Q944" s="33" t="n"/>
      <c r="R944" s="33" t="n"/>
      <c r="S944" s="33" t="n"/>
      <c r="T944" s="33" t="n"/>
      <c r="U944" s="32" t="n"/>
      <c r="V944" s="33" t="n"/>
      <c r="W944" s="33" t="n"/>
      <c r="X944" s="33" t="n"/>
      <c r="Y944" s="33" t="n"/>
      <c r="Z944" s="33" t="n"/>
      <c r="AA944" s="33" t="n"/>
      <c r="AB944" s="33" t="n"/>
      <c r="AC944" s="33" t="n"/>
      <c r="AD944" s="33" t="n"/>
      <c r="AE944" s="33" t="n"/>
      <c r="AF944" s="32" t="n"/>
      <c r="AG944" s="32" t="n"/>
      <c r="AH944" s="32" t="n"/>
      <c r="AI944" s="32" t="n"/>
      <c r="AJ944" s="32" t="n"/>
      <c r="AK944" s="32" t="n"/>
      <c r="AL944" s="32" t="n"/>
      <c r="AM944" s="32" t="n"/>
      <c r="AN944" s="32" t="n"/>
      <c r="AO944" s="32" t="n"/>
      <c r="AP944" s="32" t="n"/>
      <c r="AQ944" s="32" t="n"/>
      <c r="AR944" s="29">
        <f>IF(NOT(COUNTA(A944:AE944)&gt;0),"",IF(A944="","New client","Update"))</f>
        <v/>
      </c>
      <c r="AS944" s="29">
        <f>IF(BA944&lt;&gt;"",BA944,IF(LEN(AZ944)=15,MID(AZ944,3,10),""))</f>
        <v/>
      </c>
      <c r="AT944" s="29">
        <f>IF(BB944="","",BB944&amp;IF(D944="","  (guessed from PAN)",""))</f>
        <v/>
      </c>
      <c r="AU944" s="29">
        <f>IF(AZ944="","",IFERROR(INDEX(Lists!$L$2:$L$38,MATCH(LEFT(AZ944,2),Lists!$K$2:$K$38,0)),"Unknown code"))</f>
        <v/>
      </c>
      <c r="AV944" s="29">
        <f>IF(AZ944="","",IFERROR(IF(NOT(AND(LEN(AZ944)=15,ISNUMBER(MATCH(LEFT(AZ944,2),Lists!$K$2:$K$38,0)),SUMPRODUCT(--ISERROR(FIND(MID(MID(AZ944,3,10),{1,2,3,4,5,10},1),"ABCDEFGHIJKLMNOPQRSTUVWXYZ")))=0,SUMPRODUCT(--ISERROR(FIND(MID(MID(AZ944,3,10),{6,7,8,9},1),"0123456789")))=0,ISNUMBER(FIND(MID(AZ944,13,1),"123456789ABCDEFGHIJKLMNOPQRSTUVWXYZ")),MID(AZ944,14,1)="Z")),"Wrong format",IF(MID("0123456789ABCDEFGHIJKLMNOPQRSTUVWXYZ",MOD(36-MOD(SUMPRODUCT(INT((FIND(MID(AZ944,{1,2,3,4,5,6,7,8,9,10,11,12,13,14},1),"0123456789ABCDEFGHIJKLMNOPQRSTUVWXYZ")-1)*{1,2,1,2,1,2,1,2,1,2,1,2,1,2}/36)+MOD((FIND(MID(AZ944,{1,2,3,4,5,6,7,8,9,10,11,12,13,14},1),"0123456789ABCDEFGHIJKLMNOPQRSTUVWXYZ")-1)*{1,2,1,2,1,2,1,2,1,2,1,2,1,2},36)),36),36)+1,1)=MID(AZ944,15,1),"OK","Typo? check digit wrong")),"Wrong format"))</f>
        <v/>
      </c>
      <c r="AW944" s="29">
        <f>IF(BA944="","",IF(AND(LEN(BA944)=10,SUMPRODUCT(--ISERROR(FIND(MID(BA944,{1,2,3,4,5,10},1),"ABCDEFGHIJKLMNOPQRSTUVWXYZ")))=0,SUMPRODUCT(--ISERROR(FIND(MID(BA944,{6,7,8,9},1),"0123456789")))=0),"OK","Wrong format"))</f>
        <v/>
      </c>
      <c r="AX944" s="29">
        <f>IF(TRIM(H944)="","",IF(AND(LEN(UPPER(TRIM(H944)))=10,SUMPRODUCT(--ISERROR(FIND(MID(UPPER(TRIM(H944)),{1,2,3,4,10},1),"ABCDEFGHIJKLMNOPQRSTUVWXYZ")))=0,SUMPRODUCT(--ISERROR(FIND(MID(UPPER(TRIM(H944)),{5,6,7,8,9},1),"0123456789")))=0),"OK","Wrong format"))</f>
        <v/>
      </c>
      <c r="AY944" s="30">
        <f>IF(NOT(COUNTA(A944:AE944)&gt;0),"",IF(BE944&lt;&gt;"","✖ "&amp;LEFT(BE944,LEN(BE944)-2),IF(BD944&gt;0,"✔ Ready — client + "&amp;BD944&amp;" service(s)","✔ Ready — client only")))</f>
        <v/>
      </c>
      <c r="AZ944" s="31">
        <f>UPPER(SUBSTITUTE(TRIM(F944)," ",""))</f>
        <v/>
      </c>
      <c r="BA944" s="31">
        <f>UPPER(SUBSTITUTE(TRIM(E944)," ",""))</f>
        <v/>
      </c>
      <c r="BB944" s="31">
        <f>IF(D944&lt;&gt;"",D944,IFERROR(VLOOKUP(MID(AS944,4,1),Lists!$E$2:$F$8,2,FALSE),""))</f>
        <v/>
      </c>
      <c r="BC944" s="31">
        <f>IFERROR(VLOOKUP(BB944,Lists!$A$2:$C$12,3,FALSE),"")</f>
        <v/>
      </c>
      <c r="BD944" s="31">
        <f>COUNTIF(W944:AC944,"Yes")</f>
        <v/>
      </c>
      <c r="BE944" s="31">
        <f>IF(TRIM(B944)="","Legal name missing; ","")&amp;IF(AND(AV944&lt;&gt;"",AV944&lt;&gt;"OK"),"GSTIN: "&amp;AV944&amp;"; ","")&amp;IF(AND(AW944&lt;&gt;"",AW944&lt;&gt;"OK"),"PAN wrong format; ","")&amp;IF(AND(BA944&lt;&gt;"",LEN(AZ944)=15,MID(AZ944,3,10)&lt;&gt;BA944),"PAN does not match GSTIN; ","")&amp;IF(AND(AX944&lt;&gt;"",AX944&lt;&gt;"OK"),"TAN wrong format; ","")&amp;IF(AS944="","PAN missing; ","")&amp;IF(BB944="","Entity type missing; ","")&amp;IF(AND(AZ944&lt;&gt;"",COUNTIF($AZ$6:$AZ$1005,AZ944)&gt;1),"GSTIN repeated in this sheet; ","")&amp;IF(AND(AS944&lt;&gt;"",COUNTIF($AS$6:$AS$1005,AS944)&gt;1),"PAN repeated in this sheet (same client? put extra GSTINs in Other GSTINs); ","")&amp;IF(AND(BD944&gt;0,V944=""),"Financial year missing; ","")&amp;IF(AND(BD944=0,V944&lt;&gt;""),"Financial year given but no service is Yes; ","")&amp;IF(AND(W944="Yes",AZ944=""),"GST needs a GSTIN; ","")&amp;IF(AND(W944="Yes",X944=""),"GST return frequency missing; ","")&amp;IF(AND(Y944="Yes",TRIM(H944)=""),"TDS needs a TAN; ","")&amp;IF(AND(AA944="Yes",BC944&lt;&gt;"",BC944&lt;&gt;"company",BC944&lt;&gt;"llp"),"ROC is only for a company / LLP; ","")&amp;IF(AND(AA944="Yes",OR(BC944="company",BC944="llp"),TRIM(I944)=""),"ROC needs the CIN / LLPIN; ","")&amp;IF((TRIM(AF944)="")&lt;&gt;(TRIM(AG944)=""),"GST login needs both user ID and password; ","")&amp;IF((TRIM(AH944)="")&lt;&gt;(TRIM(AI944)=""),"Income-tax login needs both user ID and password; ","")&amp;IF((TRIM(AJ944)="")&lt;&gt;(TRIM(AK944)=""),"Income-tax login needs both user ID and password; ","")&amp;IF((TRIM(AL944)="")&lt;&gt;(TRIM(AM944)=""),"TRACES login needs both user ID and password; ","")&amp;IF((TRIM(AN944)="")&lt;&gt;(TRIM(AO944)=""),"MCA login needs both user ID and password; ","")&amp;IF((TRIM(AP944)="")&lt;&gt;(TRIM(AQ944)=""),"E-way bill login needs both user ID and password; ","")</f>
        <v/>
      </c>
    </row>
    <row r="945">
      <c r="A945" s="32" t="n"/>
      <c r="B945" s="33" t="n"/>
      <c r="C945" s="33" t="n"/>
      <c r="D945" s="33" t="n"/>
      <c r="E945" s="32" t="n"/>
      <c r="F945" s="32" t="n"/>
      <c r="G945" s="32" t="n"/>
      <c r="H945" s="32" t="n"/>
      <c r="I945" s="32" t="n"/>
      <c r="J945" s="34" t="n"/>
      <c r="K945" s="33" t="n"/>
      <c r="L945" s="32" t="n"/>
      <c r="M945" s="33" t="n"/>
      <c r="N945" s="33" t="n"/>
      <c r="O945" s="33" t="n"/>
      <c r="P945" s="32" t="n"/>
      <c r="Q945" s="33" t="n"/>
      <c r="R945" s="33" t="n"/>
      <c r="S945" s="33" t="n"/>
      <c r="T945" s="33" t="n"/>
      <c r="U945" s="32" t="n"/>
      <c r="V945" s="33" t="n"/>
      <c r="W945" s="33" t="n"/>
      <c r="X945" s="33" t="n"/>
      <c r="Y945" s="33" t="n"/>
      <c r="Z945" s="33" t="n"/>
      <c r="AA945" s="33" t="n"/>
      <c r="AB945" s="33" t="n"/>
      <c r="AC945" s="33" t="n"/>
      <c r="AD945" s="33" t="n"/>
      <c r="AE945" s="33" t="n"/>
      <c r="AF945" s="32" t="n"/>
      <c r="AG945" s="32" t="n"/>
      <c r="AH945" s="32" t="n"/>
      <c r="AI945" s="32" t="n"/>
      <c r="AJ945" s="32" t="n"/>
      <c r="AK945" s="32" t="n"/>
      <c r="AL945" s="32" t="n"/>
      <c r="AM945" s="32" t="n"/>
      <c r="AN945" s="32" t="n"/>
      <c r="AO945" s="32" t="n"/>
      <c r="AP945" s="32" t="n"/>
      <c r="AQ945" s="32" t="n"/>
      <c r="AR945" s="29">
        <f>IF(NOT(COUNTA(A945:AE945)&gt;0),"",IF(A945="","New client","Update"))</f>
        <v/>
      </c>
      <c r="AS945" s="29">
        <f>IF(BA945&lt;&gt;"",BA945,IF(LEN(AZ945)=15,MID(AZ945,3,10),""))</f>
        <v/>
      </c>
      <c r="AT945" s="29">
        <f>IF(BB945="","",BB945&amp;IF(D945="","  (guessed from PAN)",""))</f>
        <v/>
      </c>
      <c r="AU945" s="29">
        <f>IF(AZ945="","",IFERROR(INDEX(Lists!$L$2:$L$38,MATCH(LEFT(AZ945,2),Lists!$K$2:$K$38,0)),"Unknown code"))</f>
        <v/>
      </c>
      <c r="AV945" s="29">
        <f>IF(AZ945="","",IFERROR(IF(NOT(AND(LEN(AZ945)=15,ISNUMBER(MATCH(LEFT(AZ945,2),Lists!$K$2:$K$38,0)),SUMPRODUCT(--ISERROR(FIND(MID(MID(AZ945,3,10),{1,2,3,4,5,10},1),"ABCDEFGHIJKLMNOPQRSTUVWXYZ")))=0,SUMPRODUCT(--ISERROR(FIND(MID(MID(AZ945,3,10),{6,7,8,9},1),"0123456789")))=0,ISNUMBER(FIND(MID(AZ945,13,1),"123456789ABCDEFGHIJKLMNOPQRSTUVWXYZ")),MID(AZ945,14,1)="Z")),"Wrong format",IF(MID("0123456789ABCDEFGHIJKLMNOPQRSTUVWXYZ",MOD(36-MOD(SUMPRODUCT(INT((FIND(MID(AZ945,{1,2,3,4,5,6,7,8,9,10,11,12,13,14},1),"0123456789ABCDEFGHIJKLMNOPQRSTUVWXYZ")-1)*{1,2,1,2,1,2,1,2,1,2,1,2,1,2}/36)+MOD((FIND(MID(AZ945,{1,2,3,4,5,6,7,8,9,10,11,12,13,14},1),"0123456789ABCDEFGHIJKLMNOPQRSTUVWXYZ")-1)*{1,2,1,2,1,2,1,2,1,2,1,2,1,2},36)),36),36)+1,1)=MID(AZ945,15,1),"OK","Typo? check digit wrong")),"Wrong format"))</f>
        <v/>
      </c>
      <c r="AW945" s="29">
        <f>IF(BA945="","",IF(AND(LEN(BA945)=10,SUMPRODUCT(--ISERROR(FIND(MID(BA945,{1,2,3,4,5,10},1),"ABCDEFGHIJKLMNOPQRSTUVWXYZ")))=0,SUMPRODUCT(--ISERROR(FIND(MID(BA945,{6,7,8,9},1),"0123456789")))=0),"OK","Wrong format"))</f>
        <v/>
      </c>
      <c r="AX945" s="29">
        <f>IF(TRIM(H945)="","",IF(AND(LEN(UPPER(TRIM(H945)))=10,SUMPRODUCT(--ISERROR(FIND(MID(UPPER(TRIM(H945)),{1,2,3,4,10},1),"ABCDEFGHIJKLMNOPQRSTUVWXYZ")))=0,SUMPRODUCT(--ISERROR(FIND(MID(UPPER(TRIM(H945)),{5,6,7,8,9},1),"0123456789")))=0),"OK","Wrong format"))</f>
        <v/>
      </c>
      <c r="AY945" s="30">
        <f>IF(NOT(COUNTA(A945:AE945)&gt;0),"",IF(BE945&lt;&gt;"","✖ "&amp;LEFT(BE945,LEN(BE945)-2),IF(BD945&gt;0,"✔ Ready — client + "&amp;BD945&amp;" service(s)","✔ Ready — client only")))</f>
        <v/>
      </c>
      <c r="AZ945" s="31">
        <f>UPPER(SUBSTITUTE(TRIM(F945)," ",""))</f>
        <v/>
      </c>
      <c r="BA945" s="31">
        <f>UPPER(SUBSTITUTE(TRIM(E945)," ",""))</f>
        <v/>
      </c>
      <c r="BB945" s="31">
        <f>IF(D945&lt;&gt;"",D945,IFERROR(VLOOKUP(MID(AS945,4,1),Lists!$E$2:$F$8,2,FALSE),""))</f>
        <v/>
      </c>
      <c r="BC945" s="31">
        <f>IFERROR(VLOOKUP(BB945,Lists!$A$2:$C$12,3,FALSE),"")</f>
        <v/>
      </c>
      <c r="BD945" s="31">
        <f>COUNTIF(W945:AC945,"Yes")</f>
        <v/>
      </c>
      <c r="BE945" s="31">
        <f>IF(TRIM(B945)="","Legal name missing; ","")&amp;IF(AND(AV945&lt;&gt;"",AV945&lt;&gt;"OK"),"GSTIN: "&amp;AV945&amp;"; ","")&amp;IF(AND(AW945&lt;&gt;"",AW945&lt;&gt;"OK"),"PAN wrong format; ","")&amp;IF(AND(BA945&lt;&gt;"",LEN(AZ945)=15,MID(AZ945,3,10)&lt;&gt;BA945),"PAN does not match GSTIN; ","")&amp;IF(AND(AX945&lt;&gt;"",AX945&lt;&gt;"OK"),"TAN wrong format; ","")&amp;IF(AS945="","PAN missing; ","")&amp;IF(BB945="","Entity type missing; ","")&amp;IF(AND(AZ945&lt;&gt;"",COUNTIF($AZ$6:$AZ$1005,AZ945)&gt;1),"GSTIN repeated in this sheet; ","")&amp;IF(AND(AS945&lt;&gt;"",COUNTIF($AS$6:$AS$1005,AS945)&gt;1),"PAN repeated in this sheet (same client? put extra GSTINs in Other GSTINs); ","")&amp;IF(AND(BD945&gt;0,V945=""),"Financial year missing; ","")&amp;IF(AND(BD945=0,V945&lt;&gt;""),"Financial year given but no service is Yes; ","")&amp;IF(AND(W945="Yes",AZ945=""),"GST needs a GSTIN; ","")&amp;IF(AND(W945="Yes",X945=""),"GST return frequency missing; ","")&amp;IF(AND(Y945="Yes",TRIM(H945)=""),"TDS needs a TAN; ","")&amp;IF(AND(AA945="Yes",BC945&lt;&gt;"",BC945&lt;&gt;"company",BC945&lt;&gt;"llp"),"ROC is only for a company / LLP; ","")&amp;IF(AND(AA945="Yes",OR(BC945="company",BC945="llp"),TRIM(I945)=""),"ROC needs the CIN / LLPIN; ","")&amp;IF((TRIM(AF945)="")&lt;&gt;(TRIM(AG945)=""),"GST login needs both user ID and password; ","")&amp;IF((TRIM(AH945)="")&lt;&gt;(TRIM(AI945)=""),"Income-tax login needs both user ID and password; ","")&amp;IF((TRIM(AJ945)="")&lt;&gt;(TRIM(AK945)=""),"Income-tax login needs both user ID and password; ","")&amp;IF((TRIM(AL945)="")&lt;&gt;(TRIM(AM945)=""),"TRACES login needs both user ID and password; ","")&amp;IF((TRIM(AN945)="")&lt;&gt;(TRIM(AO945)=""),"MCA login needs both user ID and password; ","")&amp;IF((TRIM(AP945)="")&lt;&gt;(TRIM(AQ945)=""),"E-way bill login needs both user ID and password; ","")</f>
        <v/>
      </c>
    </row>
    <row r="946">
      <c r="A946" s="32" t="n"/>
      <c r="B946" s="33" t="n"/>
      <c r="C946" s="33" t="n"/>
      <c r="D946" s="33" t="n"/>
      <c r="E946" s="32" t="n"/>
      <c r="F946" s="32" t="n"/>
      <c r="G946" s="32" t="n"/>
      <c r="H946" s="32" t="n"/>
      <c r="I946" s="32" t="n"/>
      <c r="J946" s="34" t="n"/>
      <c r="K946" s="33" t="n"/>
      <c r="L946" s="32" t="n"/>
      <c r="M946" s="33" t="n"/>
      <c r="N946" s="33" t="n"/>
      <c r="O946" s="33" t="n"/>
      <c r="P946" s="32" t="n"/>
      <c r="Q946" s="33" t="n"/>
      <c r="R946" s="33" t="n"/>
      <c r="S946" s="33" t="n"/>
      <c r="T946" s="33" t="n"/>
      <c r="U946" s="32" t="n"/>
      <c r="V946" s="33" t="n"/>
      <c r="W946" s="33" t="n"/>
      <c r="X946" s="33" t="n"/>
      <c r="Y946" s="33" t="n"/>
      <c r="Z946" s="33" t="n"/>
      <c r="AA946" s="33" t="n"/>
      <c r="AB946" s="33" t="n"/>
      <c r="AC946" s="33" t="n"/>
      <c r="AD946" s="33" t="n"/>
      <c r="AE946" s="33" t="n"/>
      <c r="AF946" s="32" t="n"/>
      <c r="AG946" s="32" t="n"/>
      <c r="AH946" s="32" t="n"/>
      <c r="AI946" s="32" t="n"/>
      <c r="AJ946" s="32" t="n"/>
      <c r="AK946" s="32" t="n"/>
      <c r="AL946" s="32" t="n"/>
      <c r="AM946" s="32" t="n"/>
      <c r="AN946" s="32" t="n"/>
      <c r="AO946" s="32" t="n"/>
      <c r="AP946" s="32" t="n"/>
      <c r="AQ946" s="32" t="n"/>
      <c r="AR946" s="29">
        <f>IF(NOT(COUNTA(A946:AE946)&gt;0),"",IF(A946="","New client","Update"))</f>
        <v/>
      </c>
      <c r="AS946" s="29">
        <f>IF(BA946&lt;&gt;"",BA946,IF(LEN(AZ946)=15,MID(AZ946,3,10),""))</f>
        <v/>
      </c>
      <c r="AT946" s="29">
        <f>IF(BB946="","",BB946&amp;IF(D946="","  (guessed from PAN)",""))</f>
        <v/>
      </c>
      <c r="AU946" s="29">
        <f>IF(AZ946="","",IFERROR(INDEX(Lists!$L$2:$L$38,MATCH(LEFT(AZ946,2),Lists!$K$2:$K$38,0)),"Unknown code"))</f>
        <v/>
      </c>
      <c r="AV946" s="29">
        <f>IF(AZ946="","",IFERROR(IF(NOT(AND(LEN(AZ946)=15,ISNUMBER(MATCH(LEFT(AZ946,2),Lists!$K$2:$K$38,0)),SUMPRODUCT(--ISERROR(FIND(MID(MID(AZ946,3,10),{1,2,3,4,5,10},1),"ABCDEFGHIJKLMNOPQRSTUVWXYZ")))=0,SUMPRODUCT(--ISERROR(FIND(MID(MID(AZ946,3,10),{6,7,8,9},1),"0123456789")))=0,ISNUMBER(FIND(MID(AZ946,13,1),"123456789ABCDEFGHIJKLMNOPQRSTUVWXYZ")),MID(AZ946,14,1)="Z")),"Wrong format",IF(MID("0123456789ABCDEFGHIJKLMNOPQRSTUVWXYZ",MOD(36-MOD(SUMPRODUCT(INT((FIND(MID(AZ946,{1,2,3,4,5,6,7,8,9,10,11,12,13,14},1),"0123456789ABCDEFGHIJKLMNOPQRSTUVWXYZ")-1)*{1,2,1,2,1,2,1,2,1,2,1,2,1,2}/36)+MOD((FIND(MID(AZ946,{1,2,3,4,5,6,7,8,9,10,11,12,13,14},1),"0123456789ABCDEFGHIJKLMNOPQRSTUVWXYZ")-1)*{1,2,1,2,1,2,1,2,1,2,1,2,1,2},36)),36),36)+1,1)=MID(AZ946,15,1),"OK","Typo? check digit wrong")),"Wrong format"))</f>
        <v/>
      </c>
      <c r="AW946" s="29">
        <f>IF(BA946="","",IF(AND(LEN(BA946)=10,SUMPRODUCT(--ISERROR(FIND(MID(BA946,{1,2,3,4,5,10},1),"ABCDEFGHIJKLMNOPQRSTUVWXYZ")))=0,SUMPRODUCT(--ISERROR(FIND(MID(BA946,{6,7,8,9},1),"0123456789")))=0),"OK","Wrong format"))</f>
        <v/>
      </c>
      <c r="AX946" s="29">
        <f>IF(TRIM(H946)="","",IF(AND(LEN(UPPER(TRIM(H946)))=10,SUMPRODUCT(--ISERROR(FIND(MID(UPPER(TRIM(H946)),{1,2,3,4,10},1),"ABCDEFGHIJKLMNOPQRSTUVWXYZ")))=0,SUMPRODUCT(--ISERROR(FIND(MID(UPPER(TRIM(H946)),{5,6,7,8,9},1),"0123456789")))=0),"OK","Wrong format"))</f>
        <v/>
      </c>
      <c r="AY946" s="30">
        <f>IF(NOT(COUNTA(A946:AE946)&gt;0),"",IF(BE946&lt;&gt;"","✖ "&amp;LEFT(BE946,LEN(BE946)-2),IF(BD946&gt;0,"✔ Ready — client + "&amp;BD946&amp;" service(s)","✔ Ready — client only")))</f>
        <v/>
      </c>
      <c r="AZ946" s="31">
        <f>UPPER(SUBSTITUTE(TRIM(F946)," ",""))</f>
        <v/>
      </c>
      <c r="BA946" s="31">
        <f>UPPER(SUBSTITUTE(TRIM(E946)," ",""))</f>
        <v/>
      </c>
      <c r="BB946" s="31">
        <f>IF(D946&lt;&gt;"",D946,IFERROR(VLOOKUP(MID(AS946,4,1),Lists!$E$2:$F$8,2,FALSE),""))</f>
        <v/>
      </c>
      <c r="BC946" s="31">
        <f>IFERROR(VLOOKUP(BB946,Lists!$A$2:$C$12,3,FALSE),"")</f>
        <v/>
      </c>
      <c r="BD946" s="31">
        <f>COUNTIF(W946:AC946,"Yes")</f>
        <v/>
      </c>
      <c r="BE946" s="31">
        <f>IF(TRIM(B946)="","Legal name missing; ","")&amp;IF(AND(AV946&lt;&gt;"",AV946&lt;&gt;"OK"),"GSTIN: "&amp;AV946&amp;"; ","")&amp;IF(AND(AW946&lt;&gt;"",AW946&lt;&gt;"OK"),"PAN wrong format; ","")&amp;IF(AND(BA946&lt;&gt;"",LEN(AZ946)=15,MID(AZ946,3,10)&lt;&gt;BA946),"PAN does not match GSTIN; ","")&amp;IF(AND(AX946&lt;&gt;"",AX946&lt;&gt;"OK"),"TAN wrong format; ","")&amp;IF(AS946="","PAN missing; ","")&amp;IF(BB946="","Entity type missing; ","")&amp;IF(AND(AZ946&lt;&gt;"",COUNTIF($AZ$6:$AZ$1005,AZ946)&gt;1),"GSTIN repeated in this sheet; ","")&amp;IF(AND(AS946&lt;&gt;"",COUNTIF($AS$6:$AS$1005,AS946)&gt;1),"PAN repeated in this sheet (same client? put extra GSTINs in Other GSTINs); ","")&amp;IF(AND(BD946&gt;0,V946=""),"Financial year missing; ","")&amp;IF(AND(BD946=0,V946&lt;&gt;""),"Financial year given but no service is Yes; ","")&amp;IF(AND(W946="Yes",AZ946=""),"GST needs a GSTIN; ","")&amp;IF(AND(W946="Yes",X946=""),"GST return frequency missing; ","")&amp;IF(AND(Y946="Yes",TRIM(H946)=""),"TDS needs a TAN; ","")&amp;IF(AND(AA946="Yes",BC946&lt;&gt;"",BC946&lt;&gt;"company",BC946&lt;&gt;"llp"),"ROC is only for a company / LLP; ","")&amp;IF(AND(AA946="Yes",OR(BC946="company",BC946="llp"),TRIM(I946)=""),"ROC needs the CIN / LLPIN; ","")&amp;IF((TRIM(AF946)="")&lt;&gt;(TRIM(AG946)=""),"GST login needs both user ID and password; ","")&amp;IF((TRIM(AH946)="")&lt;&gt;(TRIM(AI946)=""),"Income-tax login needs both user ID and password; ","")&amp;IF((TRIM(AJ946)="")&lt;&gt;(TRIM(AK946)=""),"Income-tax login needs both user ID and password; ","")&amp;IF((TRIM(AL946)="")&lt;&gt;(TRIM(AM946)=""),"TRACES login needs both user ID and password; ","")&amp;IF((TRIM(AN946)="")&lt;&gt;(TRIM(AO946)=""),"MCA login needs both user ID and password; ","")&amp;IF((TRIM(AP946)="")&lt;&gt;(TRIM(AQ946)=""),"E-way bill login needs both user ID and password; ","")</f>
        <v/>
      </c>
    </row>
    <row r="947">
      <c r="A947" s="32" t="n"/>
      <c r="B947" s="33" t="n"/>
      <c r="C947" s="33" t="n"/>
      <c r="D947" s="33" t="n"/>
      <c r="E947" s="32" t="n"/>
      <c r="F947" s="32" t="n"/>
      <c r="G947" s="32" t="n"/>
      <c r="H947" s="32" t="n"/>
      <c r="I947" s="32" t="n"/>
      <c r="J947" s="34" t="n"/>
      <c r="K947" s="33" t="n"/>
      <c r="L947" s="32" t="n"/>
      <c r="M947" s="33" t="n"/>
      <c r="N947" s="33" t="n"/>
      <c r="O947" s="33" t="n"/>
      <c r="P947" s="32" t="n"/>
      <c r="Q947" s="33" t="n"/>
      <c r="R947" s="33" t="n"/>
      <c r="S947" s="33" t="n"/>
      <c r="T947" s="33" t="n"/>
      <c r="U947" s="32" t="n"/>
      <c r="V947" s="33" t="n"/>
      <c r="W947" s="33" t="n"/>
      <c r="X947" s="33" t="n"/>
      <c r="Y947" s="33" t="n"/>
      <c r="Z947" s="33" t="n"/>
      <c r="AA947" s="33" t="n"/>
      <c r="AB947" s="33" t="n"/>
      <c r="AC947" s="33" t="n"/>
      <c r="AD947" s="33" t="n"/>
      <c r="AE947" s="33" t="n"/>
      <c r="AF947" s="32" t="n"/>
      <c r="AG947" s="32" t="n"/>
      <c r="AH947" s="32" t="n"/>
      <c r="AI947" s="32" t="n"/>
      <c r="AJ947" s="32" t="n"/>
      <c r="AK947" s="32" t="n"/>
      <c r="AL947" s="32" t="n"/>
      <c r="AM947" s="32" t="n"/>
      <c r="AN947" s="32" t="n"/>
      <c r="AO947" s="32" t="n"/>
      <c r="AP947" s="32" t="n"/>
      <c r="AQ947" s="32" t="n"/>
      <c r="AR947" s="29">
        <f>IF(NOT(COUNTA(A947:AE947)&gt;0),"",IF(A947="","New client","Update"))</f>
        <v/>
      </c>
      <c r="AS947" s="29">
        <f>IF(BA947&lt;&gt;"",BA947,IF(LEN(AZ947)=15,MID(AZ947,3,10),""))</f>
        <v/>
      </c>
      <c r="AT947" s="29">
        <f>IF(BB947="","",BB947&amp;IF(D947="","  (guessed from PAN)",""))</f>
        <v/>
      </c>
      <c r="AU947" s="29">
        <f>IF(AZ947="","",IFERROR(INDEX(Lists!$L$2:$L$38,MATCH(LEFT(AZ947,2),Lists!$K$2:$K$38,0)),"Unknown code"))</f>
        <v/>
      </c>
      <c r="AV947" s="29">
        <f>IF(AZ947="","",IFERROR(IF(NOT(AND(LEN(AZ947)=15,ISNUMBER(MATCH(LEFT(AZ947,2),Lists!$K$2:$K$38,0)),SUMPRODUCT(--ISERROR(FIND(MID(MID(AZ947,3,10),{1,2,3,4,5,10},1),"ABCDEFGHIJKLMNOPQRSTUVWXYZ")))=0,SUMPRODUCT(--ISERROR(FIND(MID(MID(AZ947,3,10),{6,7,8,9},1),"0123456789")))=0,ISNUMBER(FIND(MID(AZ947,13,1),"123456789ABCDEFGHIJKLMNOPQRSTUVWXYZ")),MID(AZ947,14,1)="Z")),"Wrong format",IF(MID("0123456789ABCDEFGHIJKLMNOPQRSTUVWXYZ",MOD(36-MOD(SUMPRODUCT(INT((FIND(MID(AZ947,{1,2,3,4,5,6,7,8,9,10,11,12,13,14},1),"0123456789ABCDEFGHIJKLMNOPQRSTUVWXYZ")-1)*{1,2,1,2,1,2,1,2,1,2,1,2,1,2}/36)+MOD((FIND(MID(AZ947,{1,2,3,4,5,6,7,8,9,10,11,12,13,14},1),"0123456789ABCDEFGHIJKLMNOPQRSTUVWXYZ")-1)*{1,2,1,2,1,2,1,2,1,2,1,2,1,2},36)),36),36)+1,1)=MID(AZ947,15,1),"OK","Typo? check digit wrong")),"Wrong format"))</f>
        <v/>
      </c>
      <c r="AW947" s="29">
        <f>IF(BA947="","",IF(AND(LEN(BA947)=10,SUMPRODUCT(--ISERROR(FIND(MID(BA947,{1,2,3,4,5,10},1),"ABCDEFGHIJKLMNOPQRSTUVWXYZ")))=0,SUMPRODUCT(--ISERROR(FIND(MID(BA947,{6,7,8,9},1),"0123456789")))=0),"OK","Wrong format"))</f>
        <v/>
      </c>
      <c r="AX947" s="29">
        <f>IF(TRIM(H947)="","",IF(AND(LEN(UPPER(TRIM(H947)))=10,SUMPRODUCT(--ISERROR(FIND(MID(UPPER(TRIM(H947)),{1,2,3,4,10},1),"ABCDEFGHIJKLMNOPQRSTUVWXYZ")))=0,SUMPRODUCT(--ISERROR(FIND(MID(UPPER(TRIM(H947)),{5,6,7,8,9},1),"0123456789")))=0),"OK","Wrong format"))</f>
        <v/>
      </c>
      <c r="AY947" s="30">
        <f>IF(NOT(COUNTA(A947:AE947)&gt;0),"",IF(BE947&lt;&gt;"","✖ "&amp;LEFT(BE947,LEN(BE947)-2),IF(BD947&gt;0,"✔ Ready — client + "&amp;BD947&amp;" service(s)","✔ Ready — client only")))</f>
        <v/>
      </c>
      <c r="AZ947" s="31">
        <f>UPPER(SUBSTITUTE(TRIM(F947)," ",""))</f>
        <v/>
      </c>
      <c r="BA947" s="31">
        <f>UPPER(SUBSTITUTE(TRIM(E947)," ",""))</f>
        <v/>
      </c>
      <c r="BB947" s="31">
        <f>IF(D947&lt;&gt;"",D947,IFERROR(VLOOKUP(MID(AS947,4,1),Lists!$E$2:$F$8,2,FALSE),""))</f>
        <v/>
      </c>
      <c r="BC947" s="31">
        <f>IFERROR(VLOOKUP(BB947,Lists!$A$2:$C$12,3,FALSE),"")</f>
        <v/>
      </c>
      <c r="BD947" s="31">
        <f>COUNTIF(W947:AC947,"Yes")</f>
        <v/>
      </c>
      <c r="BE947" s="31">
        <f>IF(TRIM(B947)="","Legal name missing; ","")&amp;IF(AND(AV947&lt;&gt;"",AV947&lt;&gt;"OK"),"GSTIN: "&amp;AV947&amp;"; ","")&amp;IF(AND(AW947&lt;&gt;"",AW947&lt;&gt;"OK"),"PAN wrong format; ","")&amp;IF(AND(BA947&lt;&gt;"",LEN(AZ947)=15,MID(AZ947,3,10)&lt;&gt;BA947),"PAN does not match GSTIN; ","")&amp;IF(AND(AX947&lt;&gt;"",AX947&lt;&gt;"OK"),"TAN wrong format; ","")&amp;IF(AS947="","PAN missing; ","")&amp;IF(BB947="","Entity type missing; ","")&amp;IF(AND(AZ947&lt;&gt;"",COUNTIF($AZ$6:$AZ$1005,AZ947)&gt;1),"GSTIN repeated in this sheet; ","")&amp;IF(AND(AS947&lt;&gt;"",COUNTIF($AS$6:$AS$1005,AS947)&gt;1),"PAN repeated in this sheet (same client? put extra GSTINs in Other GSTINs); ","")&amp;IF(AND(BD947&gt;0,V947=""),"Financial year missing; ","")&amp;IF(AND(BD947=0,V947&lt;&gt;""),"Financial year given but no service is Yes; ","")&amp;IF(AND(W947="Yes",AZ947=""),"GST needs a GSTIN; ","")&amp;IF(AND(W947="Yes",X947=""),"GST return frequency missing; ","")&amp;IF(AND(Y947="Yes",TRIM(H947)=""),"TDS needs a TAN; ","")&amp;IF(AND(AA947="Yes",BC947&lt;&gt;"",BC947&lt;&gt;"company",BC947&lt;&gt;"llp"),"ROC is only for a company / LLP; ","")&amp;IF(AND(AA947="Yes",OR(BC947="company",BC947="llp"),TRIM(I947)=""),"ROC needs the CIN / LLPIN; ","")&amp;IF((TRIM(AF947)="")&lt;&gt;(TRIM(AG947)=""),"GST login needs both user ID and password; ","")&amp;IF((TRIM(AH947)="")&lt;&gt;(TRIM(AI947)=""),"Income-tax login needs both user ID and password; ","")&amp;IF((TRIM(AJ947)="")&lt;&gt;(TRIM(AK947)=""),"Income-tax login needs both user ID and password; ","")&amp;IF((TRIM(AL947)="")&lt;&gt;(TRIM(AM947)=""),"TRACES login needs both user ID and password; ","")&amp;IF((TRIM(AN947)="")&lt;&gt;(TRIM(AO947)=""),"MCA login needs both user ID and password; ","")&amp;IF((TRIM(AP947)="")&lt;&gt;(TRIM(AQ947)=""),"E-way bill login needs both user ID and password; ","")</f>
        <v/>
      </c>
    </row>
    <row r="948">
      <c r="A948" s="32" t="n"/>
      <c r="B948" s="33" t="n"/>
      <c r="C948" s="33" t="n"/>
      <c r="D948" s="33" t="n"/>
      <c r="E948" s="32" t="n"/>
      <c r="F948" s="32" t="n"/>
      <c r="G948" s="32" t="n"/>
      <c r="H948" s="32" t="n"/>
      <c r="I948" s="32" t="n"/>
      <c r="J948" s="34" t="n"/>
      <c r="K948" s="33" t="n"/>
      <c r="L948" s="32" t="n"/>
      <c r="M948" s="33" t="n"/>
      <c r="N948" s="33" t="n"/>
      <c r="O948" s="33" t="n"/>
      <c r="P948" s="32" t="n"/>
      <c r="Q948" s="33" t="n"/>
      <c r="R948" s="33" t="n"/>
      <c r="S948" s="33" t="n"/>
      <c r="T948" s="33" t="n"/>
      <c r="U948" s="32" t="n"/>
      <c r="V948" s="33" t="n"/>
      <c r="W948" s="33" t="n"/>
      <c r="X948" s="33" t="n"/>
      <c r="Y948" s="33" t="n"/>
      <c r="Z948" s="33" t="n"/>
      <c r="AA948" s="33" t="n"/>
      <c r="AB948" s="33" t="n"/>
      <c r="AC948" s="33" t="n"/>
      <c r="AD948" s="33" t="n"/>
      <c r="AE948" s="33" t="n"/>
      <c r="AF948" s="32" t="n"/>
      <c r="AG948" s="32" t="n"/>
      <c r="AH948" s="32" t="n"/>
      <c r="AI948" s="32" t="n"/>
      <c r="AJ948" s="32" t="n"/>
      <c r="AK948" s="32" t="n"/>
      <c r="AL948" s="32" t="n"/>
      <c r="AM948" s="32" t="n"/>
      <c r="AN948" s="32" t="n"/>
      <c r="AO948" s="32" t="n"/>
      <c r="AP948" s="32" t="n"/>
      <c r="AQ948" s="32" t="n"/>
      <c r="AR948" s="29">
        <f>IF(NOT(COUNTA(A948:AE948)&gt;0),"",IF(A948="","New client","Update"))</f>
        <v/>
      </c>
      <c r="AS948" s="29">
        <f>IF(BA948&lt;&gt;"",BA948,IF(LEN(AZ948)=15,MID(AZ948,3,10),""))</f>
        <v/>
      </c>
      <c r="AT948" s="29">
        <f>IF(BB948="","",BB948&amp;IF(D948="","  (guessed from PAN)",""))</f>
        <v/>
      </c>
      <c r="AU948" s="29">
        <f>IF(AZ948="","",IFERROR(INDEX(Lists!$L$2:$L$38,MATCH(LEFT(AZ948,2),Lists!$K$2:$K$38,0)),"Unknown code"))</f>
        <v/>
      </c>
      <c r="AV948" s="29">
        <f>IF(AZ948="","",IFERROR(IF(NOT(AND(LEN(AZ948)=15,ISNUMBER(MATCH(LEFT(AZ948,2),Lists!$K$2:$K$38,0)),SUMPRODUCT(--ISERROR(FIND(MID(MID(AZ948,3,10),{1,2,3,4,5,10},1),"ABCDEFGHIJKLMNOPQRSTUVWXYZ")))=0,SUMPRODUCT(--ISERROR(FIND(MID(MID(AZ948,3,10),{6,7,8,9},1),"0123456789")))=0,ISNUMBER(FIND(MID(AZ948,13,1),"123456789ABCDEFGHIJKLMNOPQRSTUVWXYZ")),MID(AZ948,14,1)="Z")),"Wrong format",IF(MID("0123456789ABCDEFGHIJKLMNOPQRSTUVWXYZ",MOD(36-MOD(SUMPRODUCT(INT((FIND(MID(AZ948,{1,2,3,4,5,6,7,8,9,10,11,12,13,14},1),"0123456789ABCDEFGHIJKLMNOPQRSTUVWXYZ")-1)*{1,2,1,2,1,2,1,2,1,2,1,2,1,2}/36)+MOD((FIND(MID(AZ948,{1,2,3,4,5,6,7,8,9,10,11,12,13,14},1),"0123456789ABCDEFGHIJKLMNOPQRSTUVWXYZ")-1)*{1,2,1,2,1,2,1,2,1,2,1,2,1,2},36)),36),36)+1,1)=MID(AZ948,15,1),"OK","Typo? check digit wrong")),"Wrong format"))</f>
        <v/>
      </c>
      <c r="AW948" s="29">
        <f>IF(BA948="","",IF(AND(LEN(BA948)=10,SUMPRODUCT(--ISERROR(FIND(MID(BA948,{1,2,3,4,5,10},1),"ABCDEFGHIJKLMNOPQRSTUVWXYZ")))=0,SUMPRODUCT(--ISERROR(FIND(MID(BA948,{6,7,8,9},1),"0123456789")))=0),"OK","Wrong format"))</f>
        <v/>
      </c>
      <c r="AX948" s="29">
        <f>IF(TRIM(H948)="","",IF(AND(LEN(UPPER(TRIM(H948)))=10,SUMPRODUCT(--ISERROR(FIND(MID(UPPER(TRIM(H948)),{1,2,3,4,10},1),"ABCDEFGHIJKLMNOPQRSTUVWXYZ")))=0,SUMPRODUCT(--ISERROR(FIND(MID(UPPER(TRIM(H948)),{5,6,7,8,9},1),"0123456789")))=0),"OK","Wrong format"))</f>
        <v/>
      </c>
      <c r="AY948" s="30">
        <f>IF(NOT(COUNTA(A948:AE948)&gt;0),"",IF(BE948&lt;&gt;"","✖ "&amp;LEFT(BE948,LEN(BE948)-2),IF(BD948&gt;0,"✔ Ready — client + "&amp;BD948&amp;" service(s)","✔ Ready — client only")))</f>
        <v/>
      </c>
      <c r="AZ948" s="31">
        <f>UPPER(SUBSTITUTE(TRIM(F948)," ",""))</f>
        <v/>
      </c>
      <c r="BA948" s="31">
        <f>UPPER(SUBSTITUTE(TRIM(E948)," ",""))</f>
        <v/>
      </c>
      <c r="BB948" s="31">
        <f>IF(D948&lt;&gt;"",D948,IFERROR(VLOOKUP(MID(AS948,4,1),Lists!$E$2:$F$8,2,FALSE),""))</f>
        <v/>
      </c>
      <c r="BC948" s="31">
        <f>IFERROR(VLOOKUP(BB948,Lists!$A$2:$C$12,3,FALSE),"")</f>
        <v/>
      </c>
      <c r="BD948" s="31">
        <f>COUNTIF(W948:AC948,"Yes")</f>
        <v/>
      </c>
      <c r="BE948" s="31">
        <f>IF(TRIM(B948)="","Legal name missing; ","")&amp;IF(AND(AV948&lt;&gt;"",AV948&lt;&gt;"OK"),"GSTIN: "&amp;AV948&amp;"; ","")&amp;IF(AND(AW948&lt;&gt;"",AW948&lt;&gt;"OK"),"PAN wrong format; ","")&amp;IF(AND(BA948&lt;&gt;"",LEN(AZ948)=15,MID(AZ948,3,10)&lt;&gt;BA948),"PAN does not match GSTIN; ","")&amp;IF(AND(AX948&lt;&gt;"",AX948&lt;&gt;"OK"),"TAN wrong format; ","")&amp;IF(AS948="","PAN missing; ","")&amp;IF(BB948="","Entity type missing; ","")&amp;IF(AND(AZ948&lt;&gt;"",COUNTIF($AZ$6:$AZ$1005,AZ948)&gt;1),"GSTIN repeated in this sheet; ","")&amp;IF(AND(AS948&lt;&gt;"",COUNTIF($AS$6:$AS$1005,AS948)&gt;1),"PAN repeated in this sheet (same client? put extra GSTINs in Other GSTINs); ","")&amp;IF(AND(BD948&gt;0,V948=""),"Financial year missing; ","")&amp;IF(AND(BD948=0,V948&lt;&gt;""),"Financial year given but no service is Yes; ","")&amp;IF(AND(W948="Yes",AZ948=""),"GST needs a GSTIN; ","")&amp;IF(AND(W948="Yes",X948=""),"GST return frequency missing; ","")&amp;IF(AND(Y948="Yes",TRIM(H948)=""),"TDS needs a TAN; ","")&amp;IF(AND(AA948="Yes",BC948&lt;&gt;"",BC948&lt;&gt;"company",BC948&lt;&gt;"llp"),"ROC is only for a company / LLP; ","")&amp;IF(AND(AA948="Yes",OR(BC948="company",BC948="llp"),TRIM(I948)=""),"ROC needs the CIN / LLPIN; ","")&amp;IF((TRIM(AF948)="")&lt;&gt;(TRIM(AG948)=""),"GST login needs both user ID and password; ","")&amp;IF((TRIM(AH948)="")&lt;&gt;(TRIM(AI948)=""),"Income-tax login needs both user ID and password; ","")&amp;IF((TRIM(AJ948)="")&lt;&gt;(TRIM(AK948)=""),"Income-tax login needs both user ID and password; ","")&amp;IF((TRIM(AL948)="")&lt;&gt;(TRIM(AM948)=""),"TRACES login needs both user ID and password; ","")&amp;IF((TRIM(AN948)="")&lt;&gt;(TRIM(AO948)=""),"MCA login needs both user ID and password; ","")&amp;IF((TRIM(AP948)="")&lt;&gt;(TRIM(AQ948)=""),"E-way bill login needs both user ID and password; ","")</f>
        <v/>
      </c>
    </row>
    <row r="949">
      <c r="A949" s="32" t="n"/>
      <c r="B949" s="33" t="n"/>
      <c r="C949" s="33" t="n"/>
      <c r="D949" s="33" t="n"/>
      <c r="E949" s="32" t="n"/>
      <c r="F949" s="32" t="n"/>
      <c r="G949" s="32" t="n"/>
      <c r="H949" s="32" t="n"/>
      <c r="I949" s="32" t="n"/>
      <c r="J949" s="34" t="n"/>
      <c r="K949" s="33" t="n"/>
      <c r="L949" s="32" t="n"/>
      <c r="M949" s="33" t="n"/>
      <c r="N949" s="33" t="n"/>
      <c r="O949" s="33" t="n"/>
      <c r="P949" s="32" t="n"/>
      <c r="Q949" s="33" t="n"/>
      <c r="R949" s="33" t="n"/>
      <c r="S949" s="33" t="n"/>
      <c r="T949" s="33" t="n"/>
      <c r="U949" s="32" t="n"/>
      <c r="V949" s="33" t="n"/>
      <c r="W949" s="33" t="n"/>
      <c r="X949" s="33" t="n"/>
      <c r="Y949" s="33" t="n"/>
      <c r="Z949" s="33" t="n"/>
      <c r="AA949" s="33" t="n"/>
      <c r="AB949" s="33" t="n"/>
      <c r="AC949" s="33" t="n"/>
      <c r="AD949" s="33" t="n"/>
      <c r="AE949" s="33" t="n"/>
      <c r="AF949" s="32" t="n"/>
      <c r="AG949" s="32" t="n"/>
      <c r="AH949" s="32" t="n"/>
      <c r="AI949" s="32" t="n"/>
      <c r="AJ949" s="32" t="n"/>
      <c r="AK949" s="32" t="n"/>
      <c r="AL949" s="32" t="n"/>
      <c r="AM949" s="32" t="n"/>
      <c r="AN949" s="32" t="n"/>
      <c r="AO949" s="32" t="n"/>
      <c r="AP949" s="32" t="n"/>
      <c r="AQ949" s="32" t="n"/>
      <c r="AR949" s="29">
        <f>IF(NOT(COUNTA(A949:AE949)&gt;0),"",IF(A949="","New client","Update"))</f>
        <v/>
      </c>
      <c r="AS949" s="29">
        <f>IF(BA949&lt;&gt;"",BA949,IF(LEN(AZ949)=15,MID(AZ949,3,10),""))</f>
        <v/>
      </c>
      <c r="AT949" s="29">
        <f>IF(BB949="","",BB949&amp;IF(D949="","  (guessed from PAN)",""))</f>
        <v/>
      </c>
      <c r="AU949" s="29">
        <f>IF(AZ949="","",IFERROR(INDEX(Lists!$L$2:$L$38,MATCH(LEFT(AZ949,2),Lists!$K$2:$K$38,0)),"Unknown code"))</f>
        <v/>
      </c>
      <c r="AV949" s="29">
        <f>IF(AZ949="","",IFERROR(IF(NOT(AND(LEN(AZ949)=15,ISNUMBER(MATCH(LEFT(AZ949,2),Lists!$K$2:$K$38,0)),SUMPRODUCT(--ISERROR(FIND(MID(MID(AZ949,3,10),{1,2,3,4,5,10},1),"ABCDEFGHIJKLMNOPQRSTUVWXYZ")))=0,SUMPRODUCT(--ISERROR(FIND(MID(MID(AZ949,3,10),{6,7,8,9},1),"0123456789")))=0,ISNUMBER(FIND(MID(AZ949,13,1),"123456789ABCDEFGHIJKLMNOPQRSTUVWXYZ")),MID(AZ949,14,1)="Z")),"Wrong format",IF(MID("0123456789ABCDEFGHIJKLMNOPQRSTUVWXYZ",MOD(36-MOD(SUMPRODUCT(INT((FIND(MID(AZ949,{1,2,3,4,5,6,7,8,9,10,11,12,13,14},1),"0123456789ABCDEFGHIJKLMNOPQRSTUVWXYZ")-1)*{1,2,1,2,1,2,1,2,1,2,1,2,1,2}/36)+MOD((FIND(MID(AZ949,{1,2,3,4,5,6,7,8,9,10,11,12,13,14},1),"0123456789ABCDEFGHIJKLMNOPQRSTUVWXYZ")-1)*{1,2,1,2,1,2,1,2,1,2,1,2,1,2},36)),36),36)+1,1)=MID(AZ949,15,1),"OK","Typo? check digit wrong")),"Wrong format"))</f>
        <v/>
      </c>
      <c r="AW949" s="29">
        <f>IF(BA949="","",IF(AND(LEN(BA949)=10,SUMPRODUCT(--ISERROR(FIND(MID(BA949,{1,2,3,4,5,10},1),"ABCDEFGHIJKLMNOPQRSTUVWXYZ")))=0,SUMPRODUCT(--ISERROR(FIND(MID(BA949,{6,7,8,9},1),"0123456789")))=0),"OK","Wrong format"))</f>
        <v/>
      </c>
      <c r="AX949" s="29">
        <f>IF(TRIM(H949)="","",IF(AND(LEN(UPPER(TRIM(H949)))=10,SUMPRODUCT(--ISERROR(FIND(MID(UPPER(TRIM(H949)),{1,2,3,4,10},1),"ABCDEFGHIJKLMNOPQRSTUVWXYZ")))=0,SUMPRODUCT(--ISERROR(FIND(MID(UPPER(TRIM(H949)),{5,6,7,8,9},1),"0123456789")))=0),"OK","Wrong format"))</f>
        <v/>
      </c>
      <c r="AY949" s="30">
        <f>IF(NOT(COUNTA(A949:AE949)&gt;0),"",IF(BE949&lt;&gt;"","✖ "&amp;LEFT(BE949,LEN(BE949)-2),IF(BD949&gt;0,"✔ Ready — client + "&amp;BD949&amp;" service(s)","✔ Ready — client only")))</f>
        <v/>
      </c>
      <c r="AZ949" s="31">
        <f>UPPER(SUBSTITUTE(TRIM(F949)," ",""))</f>
        <v/>
      </c>
      <c r="BA949" s="31">
        <f>UPPER(SUBSTITUTE(TRIM(E949)," ",""))</f>
        <v/>
      </c>
      <c r="BB949" s="31">
        <f>IF(D949&lt;&gt;"",D949,IFERROR(VLOOKUP(MID(AS949,4,1),Lists!$E$2:$F$8,2,FALSE),""))</f>
        <v/>
      </c>
      <c r="BC949" s="31">
        <f>IFERROR(VLOOKUP(BB949,Lists!$A$2:$C$12,3,FALSE),"")</f>
        <v/>
      </c>
      <c r="BD949" s="31">
        <f>COUNTIF(W949:AC949,"Yes")</f>
        <v/>
      </c>
      <c r="BE949" s="31">
        <f>IF(TRIM(B949)="","Legal name missing; ","")&amp;IF(AND(AV949&lt;&gt;"",AV949&lt;&gt;"OK"),"GSTIN: "&amp;AV949&amp;"; ","")&amp;IF(AND(AW949&lt;&gt;"",AW949&lt;&gt;"OK"),"PAN wrong format; ","")&amp;IF(AND(BA949&lt;&gt;"",LEN(AZ949)=15,MID(AZ949,3,10)&lt;&gt;BA949),"PAN does not match GSTIN; ","")&amp;IF(AND(AX949&lt;&gt;"",AX949&lt;&gt;"OK"),"TAN wrong format; ","")&amp;IF(AS949="","PAN missing; ","")&amp;IF(BB949="","Entity type missing; ","")&amp;IF(AND(AZ949&lt;&gt;"",COUNTIF($AZ$6:$AZ$1005,AZ949)&gt;1),"GSTIN repeated in this sheet; ","")&amp;IF(AND(AS949&lt;&gt;"",COUNTIF($AS$6:$AS$1005,AS949)&gt;1),"PAN repeated in this sheet (same client? put extra GSTINs in Other GSTINs); ","")&amp;IF(AND(BD949&gt;0,V949=""),"Financial year missing; ","")&amp;IF(AND(BD949=0,V949&lt;&gt;""),"Financial year given but no service is Yes; ","")&amp;IF(AND(W949="Yes",AZ949=""),"GST needs a GSTIN; ","")&amp;IF(AND(W949="Yes",X949=""),"GST return frequency missing; ","")&amp;IF(AND(Y949="Yes",TRIM(H949)=""),"TDS needs a TAN; ","")&amp;IF(AND(AA949="Yes",BC949&lt;&gt;"",BC949&lt;&gt;"company",BC949&lt;&gt;"llp"),"ROC is only for a company / LLP; ","")&amp;IF(AND(AA949="Yes",OR(BC949="company",BC949="llp"),TRIM(I949)=""),"ROC needs the CIN / LLPIN; ","")&amp;IF((TRIM(AF949)="")&lt;&gt;(TRIM(AG949)=""),"GST login needs both user ID and password; ","")&amp;IF((TRIM(AH949)="")&lt;&gt;(TRIM(AI949)=""),"Income-tax login needs both user ID and password; ","")&amp;IF((TRIM(AJ949)="")&lt;&gt;(TRIM(AK949)=""),"Income-tax login needs both user ID and password; ","")&amp;IF((TRIM(AL949)="")&lt;&gt;(TRIM(AM949)=""),"TRACES login needs both user ID and password; ","")&amp;IF((TRIM(AN949)="")&lt;&gt;(TRIM(AO949)=""),"MCA login needs both user ID and password; ","")&amp;IF((TRIM(AP949)="")&lt;&gt;(TRIM(AQ949)=""),"E-way bill login needs both user ID and password; ","")</f>
        <v/>
      </c>
    </row>
    <row r="950">
      <c r="A950" s="32" t="n"/>
      <c r="B950" s="33" t="n"/>
      <c r="C950" s="33" t="n"/>
      <c r="D950" s="33" t="n"/>
      <c r="E950" s="32" t="n"/>
      <c r="F950" s="32" t="n"/>
      <c r="G950" s="32" t="n"/>
      <c r="H950" s="32" t="n"/>
      <c r="I950" s="32" t="n"/>
      <c r="J950" s="34" t="n"/>
      <c r="K950" s="33" t="n"/>
      <c r="L950" s="32" t="n"/>
      <c r="M950" s="33" t="n"/>
      <c r="N950" s="33" t="n"/>
      <c r="O950" s="33" t="n"/>
      <c r="P950" s="32" t="n"/>
      <c r="Q950" s="33" t="n"/>
      <c r="R950" s="33" t="n"/>
      <c r="S950" s="33" t="n"/>
      <c r="T950" s="33" t="n"/>
      <c r="U950" s="32" t="n"/>
      <c r="V950" s="33" t="n"/>
      <c r="W950" s="33" t="n"/>
      <c r="X950" s="33" t="n"/>
      <c r="Y950" s="33" t="n"/>
      <c r="Z950" s="33" t="n"/>
      <c r="AA950" s="33" t="n"/>
      <c r="AB950" s="33" t="n"/>
      <c r="AC950" s="33" t="n"/>
      <c r="AD950" s="33" t="n"/>
      <c r="AE950" s="33" t="n"/>
      <c r="AF950" s="32" t="n"/>
      <c r="AG950" s="32" t="n"/>
      <c r="AH950" s="32" t="n"/>
      <c r="AI950" s="32" t="n"/>
      <c r="AJ950" s="32" t="n"/>
      <c r="AK950" s="32" t="n"/>
      <c r="AL950" s="32" t="n"/>
      <c r="AM950" s="32" t="n"/>
      <c r="AN950" s="32" t="n"/>
      <c r="AO950" s="32" t="n"/>
      <c r="AP950" s="32" t="n"/>
      <c r="AQ950" s="32" t="n"/>
      <c r="AR950" s="29">
        <f>IF(NOT(COUNTA(A950:AE950)&gt;0),"",IF(A950="","New client","Update"))</f>
        <v/>
      </c>
      <c r="AS950" s="29">
        <f>IF(BA950&lt;&gt;"",BA950,IF(LEN(AZ950)=15,MID(AZ950,3,10),""))</f>
        <v/>
      </c>
      <c r="AT950" s="29">
        <f>IF(BB950="","",BB950&amp;IF(D950="","  (guessed from PAN)",""))</f>
        <v/>
      </c>
      <c r="AU950" s="29">
        <f>IF(AZ950="","",IFERROR(INDEX(Lists!$L$2:$L$38,MATCH(LEFT(AZ950,2),Lists!$K$2:$K$38,0)),"Unknown code"))</f>
        <v/>
      </c>
      <c r="AV950" s="29">
        <f>IF(AZ950="","",IFERROR(IF(NOT(AND(LEN(AZ950)=15,ISNUMBER(MATCH(LEFT(AZ950,2),Lists!$K$2:$K$38,0)),SUMPRODUCT(--ISERROR(FIND(MID(MID(AZ950,3,10),{1,2,3,4,5,10},1),"ABCDEFGHIJKLMNOPQRSTUVWXYZ")))=0,SUMPRODUCT(--ISERROR(FIND(MID(MID(AZ950,3,10),{6,7,8,9},1),"0123456789")))=0,ISNUMBER(FIND(MID(AZ950,13,1),"123456789ABCDEFGHIJKLMNOPQRSTUVWXYZ")),MID(AZ950,14,1)="Z")),"Wrong format",IF(MID("0123456789ABCDEFGHIJKLMNOPQRSTUVWXYZ",MOD(36-MOD(SUMPRODUCT(INT((FIND(MID(AZ950,{1,2,3,4,5,6,7,8,9,10,11,12,13,14},1),"0123456789ABCDEFGHIJKLMNOPQRSTUVWXYZ")-1)*{1,2,1,2,1,2,1,2,1,2,1,2,1,2}/36)+MOD((FIND(MID(AZ950,{1,2,3,4,5,6,7,8,9,10,11,12,13,14},1),"0123456789ABCDEFGHIJKLMNOPQRSTUVWXYZ")-1)*{1,2,1,2,1,2,1,2,1,2,1,2,1,2},36)),36),36)+1,1)=MID(AZ950,15,1),"OK","Typo? check digit wrong")),"Wrong format"))</f>
        <v/>
      </c>
      <c r="AW950" s="29">
        <f>IF(BA950="","",IF(AND(LEN(BA950)=10,SUMPRODUCT(--ISERROR(FIND(MID(BA950,{1,2,3,4,5,10},1),"ABCDEFGHIJKLMNOPQRSTUVWXYZ")))=0,SUMPRODUCT(--ISERROR(FIND(MID(BA950,{6,7,8,9},1),"0123456789")))=0),"OK","Wrong format"))</f>
        <v/>
      </c>
      <c r="AX950" s="29">
        <f>IF(TRIM(H950)="","",IF(AND(LEN(UPPER(TRIM(H950)))=10,SUMPRODUCT(--ISERROR(FIND(MID(UPPER(TRIM(H950)),{1,2,3,4,10},1),"ABCDEFGHIJKLMNOPQRSTUVWXYZ")))=0,SUMPRODUCT(--ISERROR(FIND(MID(UPPER(TRIM(H950)),{5,6,7,8,9},1),"0123456789")))=0),"OK","Wrong format"))</f>
        <v/>
      </c>
      <c r="AY950" s="30">
        <f>IF(NOT(COUNTA(A950:AE950)&gt;0),"",IF(BE950&lt;&gt;"","✖ "&amp;LEFT(BE950,LEN(BE950)-2),IF(BD950&gt;0,"✔ Ready — client + "&amp;BD950&amp;" service(s)","✔ Ready — client only")))</f>
        <v/>
      </c>
      <c r="AZ950" s="31">
        <f>UPPER(SUBSTITUTE(TRIM(F950)," ",""))</f>
        <v/>
      </c>
      <c r="BA950" s="31">
        <f>UPPER(SUBSTITUTE(TRIM(E950)," ",""))</f>
        <v/>
      </c>
      <c r="BB950" s="31">
        <f>IF(D950&lt;&gt;"",D950,IFERROR(VLOOKUP(MID(AS950,4,1),Lists!$E$2:$F$8,2,FALSE),""))</f>
        <v/>
      </c>
      <c r="BC950" s="31">
        <f>IFERROR(VLOOKUP(BB950,Lists!$A$2:$C$12,3,FALSE),"")</f>
        <v/>
      </c>
      <c r="BD950" s="31">
        <f>COUNTIF(W950:AC950,"Yes")</f>
        <v/>
      </c>
      <c r="BE950" s="31">
        <f>IF(TRIM(B950)="","Legal name missing; ","")&amp;IF(AND(AV950&lt;&gt;"",AV950&lt;&gt;"OK"),"GSTIN: "&amp;AV950&amp;"; ","")&amp;IF(AND(AW950&lt;&gt;"",AW950&lt;&gt;"OK"),"PAN wrong format; ","")&amp;IF(AND(BA950&lt;&gt;"",LEN(AZ950)=15,MID(AZ950,3,10)&lt;&gt;BA950),"PAN does not match GSTIN; ","")&amp;IF(AND(AX950&lt;&gt;"",AX950&lt;&gt;"OK"),"TAN wrong format; ","")&amp;IF(AS950="","PAN missing; ","")&amp;IF(BB950="","Entity type missing; ","")&amp;IF(AND(AZ950&lt;&gt;"",COUNTIF($AZ$6:$AZ$1005,AZ950)&gt;1),"GSTIN repeated in this sheet; ","")&amp;IF(AND(AS950&lt;&gt;"",COUNTIF($AS$6:$AS$1005,AS950)&gt;1),"PAN repeated in this sheet (same client? put extra GSTINs in Other GSTINs); ","")&amp;IF(AND(BD950&gt;0,V950=""),"Financial year missing; ","")&amp;IF(AND(BD950=0,V950&lt;&gt;""),"Financial year given but no service is Yes; ","")&amp;IF(AND(W950="Yes",AZ950=""),"GST needs a GSTIN; ","")&amp;IF(AND(W950="Yes",X950=""),"GST return frequency missing; ","")&amp;IF(AND(Y950="Yes",TRIM(H950)=""),"TDS needs a TAN; ","")&amp;IF(AND(AA950="Yes",BC950&lt;&gt;"",BC950&lt;&gt;"company",BC950&lt;&gt;"llp"),"ROC is only for a company / LLP; ","")&amp;IF(AND(AA950="Yes",OR(BC950="company",BC950="llp"),TRIM(I950)=""),"ROC needs the CIN / LLPIN; ","")&amp;IF((TRIM(AF950)="")&lt;&gt;(TRIM(AG950)=""),"GST login needs both user ID and password; ","")&amp;IF((TRIM(AH950)="")&lt;&gt;(TRIM(AI950)=""),"Income-tax login needs both user ID and password; ","")&amp;IF((TRIM(AJ950)="")&lt;&gt;(TRIM(AK950)=""),"Income-tax login needs both user ID and password; ","")&amp;IF((TRIM(AL950)="")&lt;&gt;(TRIM(AM950)=""),"TRACES login needs both user ID and password; ","")&amp;IF((TRIM(AN950)="")&lt;&gt;(TRIM(AO950)=""),"MCA login needs both user ID and password; ","")&amp;IF((TRIM(AP950)="")&lt;&gt;(TRIM(AQ950)=""),"E-way bill login needs both user ID and password; ","")</f>
        <v/>
      </c>
    </row>
    <row r="951">
      <c r="A951" s="32" t="n"/>
      <c r="B951" s="33" t="n"/>
      <c r="C951" s="33" t="n"/>
      <c r="D951" s="33" t="n"/>
      <c r="E951" s="32" t="n"/>
      <c r="F951" s="32" t="n"/>
      <c r="G951" s="32" t="n"/>
      <c r="H951" s="32" t="n"/>
      <c r="I951" s="32" t="n"/>
      <c r="J951" s="34" t="n"/>
      <c r="K951" s="33" t="n"/>
      <c r="L951" s="32" t="n"/>
      <c r="M951" s="33" t="n"/>
      <c r="N951" s="33" t="n"/>
      <c r="O951" s="33" t="n"/>
      <c r="P951" s="32" t="n"/>
      <c r="Q951" s="33" t="n"/>
      <c r="R951" s="33" t="n"/>
      <c r="S951" s="33" t="n"/>
      <c r="T951" s="33" t="n"/>
      <c r="U951" s="32" t="n"/>
      <c r="V951" s="33" t="n"/>
      <c r="W951" s="33" t="n"/>
      <c r="X951" s="33" t="n"/>
      <c r="Y951" s="33" t="n"/>
      <c r="Z951" s="33" t="n"/>
      <c r="AA951" s="33" t="n"/>
      <c r="AB951" s="33" t="n"/>
      <c r="AC951" s="33" t="n"/>
      <c r="AD951" s="33" t="n"/>
      <c r="AE951" s="33" t="n"/>
      <c r="AF951" s="32" t="n"/>
      <c r="AG951" s="32" t="n"/>
      <c r="AH951" s="32" t="n"/>
      <c r="AI951" s="32" t="n"/>
      <c r="AJ951" s="32" t="n"/>
      <c r="AK951" s="32" t="n"/>
      <c r="AL951" s="32" t="n"/>
      <c r="AM951" s="32" t="n"/>
      <c r="AN951" s="32" t="n"/>
      <c r="AO951" s="32" t="n"/>
      <c r="AP951" s="32" t="n"/>
      <c r="AQ951" s="32" t="n"/>
      <c r="AR951" s="29">
        <f>IF(NOT(COUNTA(A951:AE951)&gt;0),"",IF(A951="","New client","Update"))</f>
        <v/>
      </c>
      <c r="AS951" s="29">
        <f>IF(BA951&lt;&gt;"",BA951,IF(LEN(AZ951)=15,MID(AZ951,3,10),""))</f>
        <v/>
      </c>
      <c r="AT951" s="29">
        <f>IF(BB951="","",BB951&amp;IF(D951="","  (guessed from PAN)",""))</f>
        <v/>
      </c>
      <c r="AU951" s="29">
        <f>IF(AZ951="","",IFERROR(INDEX(Lists!$L$2:$L$38,MATCH(LEFT(AZ951,2),Lists!$K$2:$K$38,0)),"Unknown code"))</f>
        <v/>
      </c>
      <c r="AV951" s="29">
        <f>IF(AZ951="","",IFERROR(IF(NOT(AND(LEN(AZ951)=15,ISNUMBER(MATCH(LEFT(AZ951,2),Lists!$K$2:$K$38,0)),SUMPRODUCT(--ISERROR(FIND(MID(MID(AZ951,3,10),{1,2,3,4,5,10},1),"ABCDEFGHIJKLMNOPQRSTUVWXYZ")))=0,SUMPRODUCT(--ISERROR(FIND(MID(MID(AZ951,3,10),{6,7,8,9},1),"0123456789")))=0,ISNUMBER(FIND(MID(AZ951,13,1),"123456789ABCDEFGHIJKLMNOPQRSTUVWXYZ")),MID(AZ951,14,1)="Z")),"Wrong format",IF(MID("0123456789ABCDEFGHIJKLMNOPQRSTUVWXYZ",MOD(36-MOD(SUMPRODUCT(INT((FIND(MID(AZ951,{1,2,3,4,5,6,7,8,9,10,11,12,13,14},1),"0123456789ABCDEFGHIJKLMNOPQRSTUVWXYZ")-1)*{1,2,1,2,1,2,1,2,1,2,1,2,1,2}/36)+MOD((FIND(MID(AZ951,{1,2,3,4,5,6,7,8,9,10,11,12,13,14},1),"0123456789ABCDEFGHIJKLMNOPQRSTUVWXYZ")-1)*{1,2,1,2,1,2,1,2,1,2,1,2,1,2},36)),36),36)+1,1)=MID(AZ951,15,1),"OK","Typo? check digit wrong")),"Wrong format"))</f>
        <v/>
      </c>
      <c r="AW951" s="29">
        <f>IF(BA951="","",IF(AND(LEN(BA951)=10,SUMPRODUCT(--ISERROR(FIND(MID(BA951,{1,2,3,4,5,10},1),"ABCDEFGHIJKLMNOPQRSTUVWXYZ")))=0,SUMPRODUCT(--ISERROR(FIND(MID(BA951,{6,7,8,9},1),"0123456789")))=0),"OK","Wrong format"))</f>
        <v/>
      </c>
      <c r="AX951" s="29">
        <f>IF(TRIM(H951)="","",IF(AND(LEN(UPPER(TRIM(H951)))=10,SUMPRODUCT(--ISERROR(FIND(MID(UPPER(TRIM(H951)),{1,2,3,4,10},1),"ABCDEFGHIJKLMNOPQRSTUVWXYZ")))=0,SUMPRODUCT(--ISERROR(FIND(MID(UPPER(TRIM(H951)),{5,6,7,8,9},1),"0123456789")))=0),"OK","Wrong format"))</f>
        <v/>
      </c>
      <c r="AY951" s="30">
        <f>IF(NOT(COUNTA(A951:AE951)&gt;0),"",IF(BE951&lt;&gt;"","✖ "&amp;LEFT(BE951,LEN(BE951)-2),IF(BD951&gt;0,"✔ Ready — client + "&amp;BD951&amp;" service(s)","✔ Ready — client only")))</f>
        <v/>
      </c>
      <c r="AZ951" s="31">
        <f>UPPER(SUBSTITUTE(TRIM(F951)," ",""))</f>
        <v/>
      </c>
      <c r="BA951" s="31">
        <f>UPPER(SUBSTITUTE(TRIM(E951)," ",""))</f>
        <v/>
      </c>
      <c r="BB951" s="31">
        <f>IF(D951&lt;&gt;"",D951,IFERROR(VLOOKUP(MID(AS951,4,1),Lists!$E$2:$F$8,2,FALSE),""))</f>
        <v/>
      </c>
      <c r="BC951" s="31">
        <f>IFERROR(VLOOKUP(BB951,Lists!$A$2:$C$12,3,FALSE),"")</f>
        <v/>
      </c>
      <c r="BD951" s="31">
        <f>COUNTIF(W951:AC951,"Yes")</f>
        <v/>
      </c>
      <c r="BE951" s="31">
        <f>IF(TRIM(B951)="","Legal name missing; ","")&amp;IF(AND(AV951&lt;&gt;"",AV951&lt;&gt;"OK"),"GSTIN: "&amp;AV951&amp;"; ","")&amp;IF(AND(AW951&lt;&gt;"",AW951&lt;&gt;"OK"),"PAN wrong format; ","")&amp;IF(AND(BA951&lt;&gt;"",LEN(AZ951)=15,MID(AZ951,3,10)&lt;&gt;BA951),"PAN does not match GSTIN; ","")&amp;IF(AND(AX951&lt;&gt;"",AX951&lt;&gt;"OK"),"TAN wrong format; ","")&amp;IF(AS951="","PAN missing; ","")&amp;IF(BB951="","Entity type missing; ","")&amp;IF(AND(AZ951&lt;&gt;"",COUNTIF($AZ$6:$AZ$1005,AZ951)&gt;1),"GSTIN repeated in this sheet; ","")&amp;IF(AND(AS951&lt;&gt;"",COUNTIF($AS$6:$AS$1005,AS951)&gt;1),"PAN repeated in this sheet (same client? put extra GSTINs in Other GSTINs); ","")&amp;IF(AND(BD951&gt;0,V951=""),"Financial year missing; ","")&amp;IF(AND(BD951=0,V951&lt;&gt;""),"Financial year given but no service is Yes; ","")&amp;IF(AND(W951="Yes",AZ951=""),"GST needs a GSTIN; ","")&amp;IF(AND(W951="Yes",X951=""),"GST return frequency missing; ","")&amp;IF(AND(Y951="Yes",TRIM(H951)=""),"TDS needs a TAN; ","")&amp;IF(AND(AA951="Yes",BC951&lt;&gt;"",BC951&lt;&gt;"company",BC951&lt;&gt;"llp"),"ROC is only for a company / LLP; ","")&amp;IF(AND(AA951="Yes",OR(BC951="company",BC951="llp"),TRIM(I951)=""),"ROC needs the CIN / LLPIN; ","")&amp;IF((TRIM(AF951)="")&lt;&gt;(TRIM(AG951)=""),"GST login needs both user ID and password; ","")&amp;IF((TRIM(AH951)="")&lt;&gt;(TRIM(AI951)=""),"Income-tax login needs both user ID and password; ","")&amp;IF((TRIM(AJ951)="")&lt;&gt;(TRIM(AK951)=""),"Income-tax login needs both user ID and password; ","")&amp;IF((TRIM(AL951)="")&lt;&gt;(TRIM(AM951)=""),"TRACES login needs both user ID and password; ","")&amp;IF((TRIM(AN951)="")&lt;&gt;(TRIM(AO951)=""),"MCA login needs both user ID and password; ","")&amp;IF((TRIM(AP951)="")&lt;&gt;(TRIM(AQ951)=""),"E-way bill login needs both user ID and password; ","")</f>
        <v/>
      </c>
    </row>
    <row r="952">
      <c r="A952" s="32" t="n"/>
      <c r="B952" s="33" t="n"/>
      <c r="C952" s="33" t="n"/>
      <c r="D952" s="33" t="n"/>
      <c r="E952" s="32" t="n"/>
      <c r="F952" s="32" t="n"/>
      <c r="G952" s="32" t="n"/>
      <c r="H952" s="32" t="n"/>
      <c r="I952" s="32" t="n"/>
      <c r="J952" s="34" t="n"/>
      <c r="K952" s="33" t="n"/>
      <c r="L952" s="32" t="n"/>
      <c r="M952" s="33" t="n"/>
      <c r="N952" s="33" t="n"/>
      <c r="O952" s="33" t="n"/>
      <c r="P952" s="32" t="n"/>
      <c r="Q952" s="33" t="n"/>
      <c r="R952" s="33" t="n"/>
      <c r="S952" s="33" t="n"/>
      <c r="T952" s="33" t="n"/>
      <c r="U952" s="32" t="n"/>
      <c r="V952" s="33" t="n"/>
      <c r="W952" s="33" t="n"/>
      <c r="X952" s="33" t="n"/>
      <c r="Y952" s="33" t="n"/>
      <c r="Z952" s="33" t="n"/>
      <c r="AA952" s="33" t="n"/>
      <c r="AB952" s="33" t="n"/>
      <c r="AC952" s="33" t="n"/>
      <c r="AD952" s="33" t="n"/>
      <c r="AE952" s="33" t="n"/>
      <c r="AF952" s="32" t="n"/>
      <c r="AG952" s="32" t="n"/>
      <c r="AH952" s="32" t="n"/>
      <c r="AI952" s="32" t="n"/>
      <c r="AJ952" s="32" t="n"/>
      <c r="AK952" s="32" t="n"/>
      <c r="AL952" s="32" t="n"/>
      <c r="AM952" s="32" t="n"/>
      <c r="AN952" s="32" t="n"/>
      <c r="AO952" s="32" t="n"/>
      <c r="AP952" s="32" t="n"/>
      <c r="AQ952" s="32" t="n"/>
      <c r="AR952" s="29">
        <f>IF(NOT(COUNTA(A952:AE952)&gt;0),"",IF(A952="","New client","Update"))</f>
        <v/>
      </c>
      <c r="AS952" s="29">
        <f>IF(BA952&lt;&gt;"",BA952,IF(LEN(AZ952)=15,MID(AZ952,3,10),""))</f>
        <v/>
      </c>
      <c r="AT952" s="29">
        <f>IF(BB952="","",BB952&amp;IF(D952="","  (guessed from PAN)",""))</f>
        <v/>
      </c>
      <c r="AU952" s="29">
        <f>IF(AZ952="","",IFERROR(INDEX(Lists!$L$2:$L$38,MATCH(LEFT(AZ952,2),Lists!$K$2:$K$38,0)),"Unknown code"))</f>
        <v/>
      </c>
      <c r="AV952" s="29">
        <f>IF(AZ952="","",IFERROR(IF(NOT(AND(LEN(AZ952)=15,ISNUMBER(MATCH(LEFT(AZ952,2),Lists!$K$2:$K$38,0)),SUMPRODUCT(--ISERROR(FIND(MID(MID(AZ952,3,10),{1,2,3,4,5,10},1),"ABCDEFGHIJKLMNOPQRSTUVWXYZ")))=0,SUMPRODUCT(--ISERROR(FIND(MID(MID(AZ952,3,10),{6,7,8,9},1),"0123456789")))=0,ISNUMBER(FIND(MID(AZ952,13,1),"123456789ABCDEFGHIJKLMNOPQRSTUVWXYZ")),MID(AZ952,14,1)="Z")),"Wrong format",IF(MID("0123456789ABCDEFGHIJKLMNOPQRSTUVWXYZ",MOD(36-MOD(SUMPRODUCT(INT((FIND(MID(AZ952,{1,2,3,4,5,6,7,8,9,10,11,12,13,14},1),"0123456789ABCDEFGHIJKLMNOPQRSTUVWXYZ")-1)*{1,2,1,2,1,2,1,2,1,2,1,2,1,2}/36)+MOD((FIND(MID(AZ952,{1,2,3,4,5,6,7,8,9,10,11,12,13,14},1),"0123456789ABCDEFGHIJKLMNOPQRSTUVWXYZ")-1)*{1,2,1,2,1,2,1,2,1,2,1,2,1,2},36)),36),36)+1,1)=MID(AZ952,15,1),"OK","Typo? check digit wrong")),"Wrong format"))</f>
        <v/>
      </c>
      <c r="AW952" s="29">
        <f>IF(BA952="","",IF(AND(LEN(BA952)=10,SUMPRODUCT(--ISERROR(FIND(MID(BA952,{1,2,3,4,5,10},1),"ABCDEFGHIJKLMNOPQRSTUVWXYZ")))=0,SUMPRODUCT(--ISERROR(FIND(MID(BA952,{6,7,8,9},1),"0123456789")))=0),"OK","Wrong format"))</f>
        <v/>
      </c>
      <c r="AX952" s="29">
        <f>IF(TRIM(H952)="","",IF(AND(LEN(UPPER(TRIM(H952)))=10,SUMPRODUCT(--ISERROR(FIND(MID(UPPER(TRIM(H952)),{1,2,3,4,10},1),"ABCDEFGHIJKLMNOPQRSTUVWXYZ")))=0,SUMPRODUCT(--ISERROR(FIND(MID(UPPER(TRIM(H952)),{5,6,7,8,9},1),"0123456789")))=0),"OK","Wrong format"))</f>
        <v/>
      </c>
      <c r="AY952" s="30">
        <f>IF(NOT(COUNTA(A952:AE952)&gt;0),"",IF(BE952&lt;&gt;"","✖ "&amp;LEFT(BE952,LEN(BE952)-2),IF(BD952&gt;0,"✔ Ready — client + "&amp;BD952&amp;" service(s)","✔ Ready — client only")))</f>
        <v/>
      </c>
      <c r="AZ952" s="31">
        <f>UPPER(SUBSTITUTE(TRIM(F952)," ",""))</f>
        <v/>
      </c>
      <c r="BA952" s="31">
        <f>UPPER(SUBSTITUTE(TRIM(E952)," ",""))</f>
        <v/>
      </c>
      <c r="BB952" s="31">
        <f>IF(D952&lt;&gt;"",D952,IFERROR(VLOOKUP(MID(AS952,4,1),Lists!$E$2:$F$8,2,FALSE),""))</f>
        <v/>
      </c>
      <c r="BC952" s="31">
        <f>IFERROR(VLOOKUP(BB952,Lists!$A$2:$C$12,3,FALSE),"")</f>
        <v/>
      </c>
      <c r="BD952" s="31">
        <f>COUNTIF(W952:AC952,"Yes")</f>
        <v/>
      </c>
      <c r="BE952" s="31">
        <f>IF(TRIM(B952)="","Legal name missing; ","")&amp;IF(AND(AV952&lt;&gt;"",AV952&lt;&gt;"OK"),"GSTIN: "&amp;AV952&amp;"; ","")&amp;IF(AND(AW952&lt;&gt;"",AW952&lt;&gt;"OK"),"PAN wrong format; ","")&amp;IF(AND(BA952&lt;&gt;"",LEN(AZ952)=15,MID(AZ952,3,10)&lt;&gt;BA952),"PAN does not match GSTIN; ","")&amp;IF(AND(AX952&lt;&gt;"",AX952&lt;&gt;"OK"),"TAN wrong format; ","")&amp;IF(AS952="","PAN missing; ","")&amp;IF(BB952="","Entity type missing; ","")&amp;IF(AND(AZ952&lt;&gt;"",COUNTIF($AZ$6:$AZ$1005,AZ952)&gt;1),"GSTIN repeated in this sheet; ","")&amp;IF(AND(AS952&lt;&gt;"",COUNTIF($AS$6:$AS$1005,AS952)&gt;1),"PAN repeated in this sheet (same client? put extra GSTINs in Other GSTINs); ","")&amp;IF(AND(BD952&gt;0,V952=""),"Financial year missing; ","")&amp;IF(AND(BD952=0,V952&lt;&gt;""),"Financial year given but no service is Yes; ","")&amp;IF(AND(W952="Yes",AZ952=""),"GST needs a GSTIN; ","")&amp;IF(AND(W952="Yes",X952=""),"GST return frequency missing; ","")&amp;IF(AND(Y952="Yes",TRIM(H952)=""),"TDS needs a TAN; ","")&amp;IF(AND(AA952="Yes",BC952&lt;&gt;"",BC952&lt;&gt;"company",BC952&lt;&gt;"llp"),"ROC is only for a company / LLP; ","")&amp;IF(AND(AA952="Yes",OR(BC952="company",BC952="llp"),TRIM(I952)=""),"ROC needs the CIN / LLPIN; ","")&amp;IF((TRIM(AF952)="")&lt;&gt;(TRIM(AG952)=""),"GST login needs both user ID and password; ","")&amp;IF((TRIM(AH952)="")&lt;&gt;(TRIM(AI952)=""),"Income-tax login needs both user ID and password; ","")&amp;IF((TRIM(AJ952)="")&lt;&gt;(TRIM(AK952)=""),"Income-tax login needs both user ID and password; ","")&amp;IF((TRIM(AL952)="")&lt;&gt;(TRIM(AM952)=""),"TRACES login needs both user ID and password; ","")&amp;IF((TRIM(AN952)="")&lt;&gt;(TRIM(AO952)=""),"MCA login needs both user ID and password; ","")&amp;IF((TRIM(AP952)="")&lt;&gt;(TRIM(AQ952)=""),"E-way bill login needs both user ID and password; ","")</f>
        <v/>
      </c>
    </row>
    <row r="953">
      <c r="A953" s="32" t="n"/>
      <c r="B953" s="33" t="n"/>
      <c r="C953" s="33" t="n"/>
      <c r="D953" s="33" t="n"/>
      <c r="E953" s="32" t="n"/>
      <c r="F953" s="32" t="n"/>
      <c r="G953" s="32" t="n"/>
      <c r="H953" s="32" t="n"/>
      <c r="I953" s="32" t="n"/>
      <c r="J953" s="34" t="n"/>
      <c r="K953" s="33" t="n"/>
      <c r="L953" s="32" t="n"/>
      <c r="M953" s="33" t="n"/>
      <c r="N953" s="33" t="n"/>
      <c r="O953" s="33" t="n"/>
      <c r="P953" s="32" t="n"/>
      <c r="Q953" s="33" t="n"/>
      <c r="R953" s="33" t="n"/>
      <c r="S953" s="33" t="n"/>
      <c r="T953" s="33" t="n"/>
      <c r="U953" s="32" t="n"/>
      <c r="V953" s="33" t="n"/>
      <c r="W953" s="33" t="n"/>
      <c r="X953" s="33" t="n"/>
      <c r="Y953" s="33" t="n"/>
      <c r="Z953" s="33" t="n"/>
      <c r="AA953" s="33" t="n"/>
      <c r="AB953" s="33" t="n"/>
      <c r="AC953" s="33" t="n"/>
      <c r="AD953" s="33" t="n"/>
      <c r="AE953" s="33" t="n"/>
      <c r="AF953" s="32" t="n"/>
      <c r="AG953" s="32" t="n"/>
      <c r="AH953" s="32" t="n"/>
      <c r="AI953" s="32" t="n"/>
      <c r="AJ953" s="32" t="n"/>
      <c r="AK953" s="32" t="n"/>
      <c r="AL953" s="32" t="n"/>
      <c r="AM953" s="32" t="n"/>
      <c r="AN953" s="32" t="n"/>
      <c r="AO953" s="32" t="n"/>
      <c r="AP953" s="32" t="n"/>
      <c r="AQ953" s="32" t="n"/>
      <c r="AR953" s="29">
        <f>IF(NOT(COUNTA(A953:AE953)&gt;0),"",IF(A953="","New client","Update"))</f>
        <v/>
      </c>
      <c r="AS953" s="29">
        <f>IF(BA953&lt;&gt;"",BA953,IF(LEN(AZ953)=15,MID(AZ953,3,10),""))</f>
        <v/>
      </c>
      <c r="AT953" s="29">
        <f>IF(BB953="","",BB953&amp;IF(D953="","  (guessed from PAN)",""))</f>
        <v/>
      </c>
      <c r="AU953" s="29">
        <f>IF(AZ953="","",IFERROR(INDEX(Lists!$L$2:$L$38,MATCH(LEFT(AZ953,2),Lists!$K$2:$K$38,0)),"Unknown code"))</f>
        <v/>
      </c>
      <c r="AV953" s="29">
        <f>IF(AZ953="","",IFERROR(IF(NOT(AND(LEN(AZ953)=15,ISNUMBER(MATCH(LEFT(AZ953,2),Lists!$K$2:$K$38,0)),SUMPRODUCT(--ISERROR(FIND(MID(MID(AZ953,3,10),{1,2,3,4,5,10},1),"ABCDEFGHIJKLMNOPQRSTUVWXYZ")))=0,SUMPRODUCT(--ISERROR(FIND(MID(MID(AZ953,3,10),{6,7,8,9},1),"0123456789")))=0,ISNUMBER(FIND(MID(AZ953,13,1),"123456789ABCDEFGHIJKLMNOPQRSTUVWXYZ")),MID(AZ953,14,1)="Z")),"Wrong format",IF(MID("0123456789ABCDEFGHIJKLMNOPQRSTUVWXYZ",MOD(36-MOD(SUMPRODUCT(INT((FIND(MID(AZ953,{1,2,3,4,5,6,7,8,9,10,11,12,13,14},1),"0123456789ABCDEFGHIJKLMNOPQRSTUVWXYZ")-1)*{1,2,1,2,1,2,1,2,1,2,1,2,1,2}/36)+MOD((FIND(MID(AZ953,{1,2,3,4,5,6,7,8,9,10,11,12,13,14},1),"0123456789ABCDEFGHIJKLMNOPQRSTUVWXYZ")-1)*{1,2,1,2,1,2,1,2,1,2,1,2,1,2},36)),36),36)+1,1)=MID(AZ953,15,1),"OK","Typo? check digit wrong")),"Wrong format"))</f>
        <v/>
      </c>
      <c r="AW953" s="29">
        <f>IF(BA953="","",IF(AND(LEN(BA953)=10,SUMPRODUCT(--ISERROR(FIND(MID(BA953,{1,2,3,4,5,10},1),"ABCDEFGHIJKLMNOPQRSTUVWXYZ")))=0,SUMPRODUCT(--ISERROR(FIND(MID(BA953,{6,7,8,9},1),"0123456789")))=0),"OK","Wrong format"))</f>
        <v/>
      </c>
      <c r="AX953" s="29">
        <f>IF(TRIM(H953)="","",IF(AND(LEN(UPPER(TRIM(H953)))=10,SUMPRODUCT(--ISERROR(FIND(MID(UPPER(TRIM(H953)),{1,2,3,4,10},1),"ABCDEFGHIJKLMNOPQRSTUVWXYZ")))=0,SUMPRODUCT(--ISERROR(FIND(MID(UPPER(TRIM(H953)),{5,6,7,8,9},1),"0123456789")))=0),"OK","Wrong format"))</f>
        <v/>
      </c>
      <c r="AY953" s="30">
        <f>IF(NOT(COUNTA(A953:AE953)&gt;0),"",IF(BE953&lt;&gt;"","✖ "&amp;LEFT(BE953,LEN(BE953)-2),IF(BD953&gt;0,"✔ Ready — client + "&amp;BD953&amp;" service(s)","✔ Ready — client only")))</f>
        <v/>
      </c>
      <c r="AZ953" s="31">
        <f>UPPER(SUBSTITUTE(TRIM(F953)," ",""))</f>
        <v/>
      </c>
      <c r="BA953" s="31">
        <f>UPPER(SUBSTITUTE(TRIM(E953)," ",""))</f>
        <v/>
      </c>
      <c r="BB953" s="31">
        <f>IF(D953&lt;&gt;"",D953,IFERROR(VLOOKUP(MID(AS953,4,1),Lists!$E$2:$F$8,2,FALSE),""))</f>
        <v/>
      </c>
      <c r="BC953" s="31">
        <f>IFERROR(VLOOKUP(BB953,Lists!$A$2:$C$12,3,FALSE),"")</f>
        <v/>
      </c>
      <c r="BD953" s="31">
        <f>COUNTIF(W953:AC953,"Yes")</f>
        <v/>
      </c>
      <c r="BE953" s="31">
        <f>IF(TRIM(B953)="","Legal name missing; ","")&amp;IF(AND(AV953&lt;&gt;"",AV953&lt;&gt;"OK"),"GSTIN: "&amp;AV953&amp;"; ","")&amp;IF(AND(AW953&lt;&gt;"",AW953&lt;&gt;"OK"),"PAN wrong format; ","")&amp;IF(AND(BA953&lt;&gt;"",LEN(AZ953)=15,MID(AZ953,3,10)&lt;&gt;BA953),"PAN does not match GSTIN; ","")&amp;IF(AND(AX953&lt;&gt;"",AX953&lt;&gt;"OK"),"TAN wrong format; ","")&amp;IF(AS953="","PAN missing; ","")&amp;IF(BB953="","Entity type missing; ","")&amp;IF(AND(AZ953&lt;&gt;"",COUNTIF($AZ$6:$AZ$1005,AZ953)&gt;1),"GSTIN repeated in this sheet; ","")&amp;IF(AND(AS953&lt;&gt;"",COUNTIF($AS$6:$AS$1005,AS953)&gt;1),"PAN repeated in this sheet (same client? put extra GSTINs in Other GSTINs); ","")&amp;IF(AND(BD953&gt;0,V953=""),"Financial year missing; ","")&amp;IF(AND(BD953=0,V953&lt;&gt;""),"Financial year given but no service is Yes; ","")&amp;IF(AND(W953="Yes",AZ953=""),"GST needs a GSTIN; ","")&amp;IF(AND(W953="Yes",X953=""),"GST return frequency missing; ","")&amp;IF(AND(Y953="Yes",TRIM(H953)=""),"TDS needs a TAN; ","")&amp;IF(AND(AA953="Yes",BC953&lt;&gt;"",BC953&lt;&gt;"company",BC953&lt;&gt;"llp"),"ROC is only for a company / LLP; ","")&amp;IF(AND(AA953="Yes",OR(BC953="company",BC953="llp"),TRIM(I953)=""),"ROC needs the CIN / LLPIN; ","")&amp;IF((TRIM(AF953)="")&lt;&gt;(TRIM(AG953)=""),"GST login needs both user ID and password; ","")&amp;IF((TRIM(AH953)="")&lt;&gt;(TRIM(AI953)=""),"Income-tax login needs both user ID and password; ","")&amp;IF((TRIM(AJ953)="")&lt;&gt;(TRIM(AK953)=""),"Income-tax login needs both user ID and password; ","")&amp;IF((TRIM(AL953)="")&lt;&gt;(TRIM(AM953)=""),"TRACES login needs both user ID and password; ","")&amp;IF((TRIM(AN953)="")&lt;&gt;(TRIM(AO953)=""),"MCA login needs both user ID and password; ","")&amp;IF((TRIM(AP953)="")&lt;&gt;(TRIM(AQ953)=""),"E-way bill login needs both user ID and password; ","")</f>
        <v/>
      </c>
    </row>
    <row r="954">
      <c r="A954" s="32" t="n"/>
      <c r="B954" s="33" t="n"/>
      <c r="C954" s="33" t="n"/>
      <c r="D954" s="33" t="n"/>
      <c r="E954" s="32" t="n"/>
      <c r="F954" s="32" t="n"/>
      <c r="G954" s="32" t="n"/>
      <c r="H954" s="32" t="n"/>
      <c r="I954" s="32" t="n"/>
      <c r="J954" s="34" t="n"/>
      <c r="K954" s="33" t="n"/>
      <c r="L954" s="32" t="n"/>
      <c r="M954" s="33" t="n"/>
      <c r="N954" s="33" t="n"/>
      <c r="O954" s="33" t="n"/>
      <c r="P954" s="32" t="n"/>
      <c r="Q954" s="33" t="n"/>
      <c r="R954" s="33" t="n"/>
      <c r="S954" s="33" t="n"/>
      <c r="T954" s="33" t="n"/>
      <c r="U954" s="32" t="n"/>
      <c r="V954" s="33" t="n"/>
      <c r="W954" s="33" t="n"/>
      <c r="X954" s="33" t="n"/>
      <c r="Y954" s="33" t="n"/>
      <c r="Z954" s="33" t="n"/>
      <c r="AA954" s="33" t="n"/>
      <c r="AB954" s="33" t="n"/>
      <c r="AC954" s="33" t="n"/>
      <c r="AD954" s="33" t="n"/>
      <c r="AE954" s="33" t="n"/>
      <c r="AF954" s="32" t="n"/>
      <c r="AG954" s="32" t="n"/>
      <c r="AH954" s="32" t="n"/>
      <c r="AI954" s="32" t="n"/>
      <c r="AJ954" s="32" t="n"/>
      <c r="AK954" s="32" t="n"/>
      <c r="AL954" s="32" t="n"/>
      <c r="AM954" s="32" t="n"/>
      <c r="AN954" s="32" t="n"/>
      <c r="AO954" s="32" t="n"/>
      <c r="AP954" s="32" t="n"/>
      <c r="AQ954" s="32" t="n"/>
      <c r="AR954" s="29">
        <f>IF(NOT(COUNTA(A954:AE954)&gt;0),"",IF(A954="","New client","Update"))</f>
        <v/>
      </c>
      <c r="AS954" s="29">
        <f>IF(BA954&lt;&gt;"",BA954,IF(LEN(AZ954)=15,MID(AZ954,3,10),""))</f>
        <v/>
      </c>
      <c r="AT954" s="29">
        <f>IF(BB954="","",BB954&amp;IF(D954="","  (guessed from PAN)",""))</f>
        <v/>
      </c>
      <c r="AU954" s="29">
        <f>IF(AZ954="","",IFERROR(INDEX(Lists!$L$2:$L$38,MATCH(LEFT(AZ954,2),Lists!$K$2:$K$38,0)),"Unknown code"))</f>
        <v/>
      </c>
      <c r="AV954" s="29">
        <f>IF(AZ954="","",IFERROR(IF(NOT(AND(LEN(AZ954)=15,ISNUMBER(MATCH(LEFT(AZ954,2),Lists!$K$2:$K$38,0)),SUMPRODUCT(--ISERROR(FIND(MID(MID(AZ954,3,10),{1,2,3,4,5,10},1),"ABCDEFGHIJKLMNOPQRSTUVWXYZ")))=0,SUMPRODUCT(--ISERROR(FIND(MID(MID(AZ954,3,10),{6,7,8,9},1),"0123456789")))=0,ISNUMBER(FIND(MID(AZ954,13,1),"123456789ABCDEFGHIJKLMNOPQRSTUVWXYZ")),MID(AZ954,14,1)="Z")),"Wrong format",IF(MID("0123456789ABCDEFGHIJKLMNOPQRSTUVWXYZ",MOD(36-MOD(SUMPRODUCT(INT((FIND(MID(AZ954,{1,2,3,4,5,6,7,8,9,10,11,12,13,14},1),"0123456789ABCDEFGHIJKLMNOPQRSTUVWXYZ")-1)*{1,2,1,2,1,2,1,2,1,2,1,2,1,2}/36)+MOD((FIND(MID(AZ954,{1,2,3,4,5,6,7,8,9,10,11,12,13,14},1),"0123456789ABCDEFGHIJKLMNOPQRSTUVWXYZ")-1)*{1,2,1,2,1,2,1,2,1,2,1,2,1,2},36)),36),36)+1,1)=MID(AZ954,15,1),"OK","Typo? check digit wrong")),"Wrong format"))</f>
        <v/>
      </c>
      <c r="AW954" s="29">
        <f>IF(BA954="","",IF(AND(LEN(BA954)=10,SUMPRODUCT(--ISERROR(FIND(MID(BA954,{1,2,3,4,5,10},1),"ABCDEFGHIJKLMNOPQRSTUVWXYZ")))=0,SUMPRODUCT(--ISERROR(FIND(MID(BA954,{6,7,8,9},1),"0123456789")))=0),"OK","Wrong format"))</f>
        <v/>
      </c>
      <c r="AX954" s="29">
        <f>IF(TRIM(H954)="","",IF(AND(LEN(UPPER(TRIM(H954)))=10,SUMPRODUCT(--ISERROR(FIND(MID(UPPER(TRIM(H954)),{1,2,3,4,10},1),"ABCDEFGHIJKLMNOPQRSTUVWXYZ")))=0,SUMPRODUCT(--ISERROR(FIND(MID(UPPER(TRIM(H954)),{5,6,7,8,9},1),"0123456789")))=0),"OK","Wrong format"))</f>
        <v/>
      </c>
      <c r="AY954" s="30">
        <f>IF(NOT(COUNTA(A954:AE954)&gt;0),"",IF(BE954&lt;&gt;"","✖ "&amp;LEFT(BE954,LEN(BE954)-2),IF(BD954&gt;0,"✔ Ready — client + "&amp;BD954&amp;" service(s)","✔ Ready — client only")))</f>
        <v/>
      </c>
      <c r="AZ954" s="31">
        <f>UPPER(SUBSTITUTE(TRIM(F954)," ",""))</f>
        <v/>
      </c>
      <c r="BA954" s="31">
        <f>UPPER(SUBSTITUTE(TRIM(E954)," ",""))</f>
        <v/>
      </c>
      <c r="BB954" s="31">
        <f>IF(D954&lt;&gt;"",D954,IFERROR(VLOOKUP(MID(AS954,4,1),Lists!$E$2:$F$8,2,FALSE),""))</f>
        <v/>
      </c>
      <c r="BC954" s="31">
        <f>IFERROR(VLOOKUP(BB954,Lists!$A$2:$C$12,3,FALSE),"")</f>
        <v/>
      </c>
      <c r="BD954" s="31">
        <f>COUNTIF(W954:AC954,"Yes")</f>
        <v/>
      </c>
      <c r="BE954" s="31">
        <f>IF(TRIM(B954)="","Legal name missing; ","")&amp;IF(AND(AV954&lt;&gt;"",AV954&lt;&gt;"OK"),"GSTIN: "&amp;AV954&amp;"; ","")&amp;IF(AND(AW954&lt;&gt;"",AW954&lt;&gt;"OK"),"PAN wrong format; ","")&amp;IF(AND(BA954&lt;&gt;"",LEN(AZ954)=15,MID(AZ954,3,10)&lt;&gt;BA954),"PAN does not match GSTIN; ","")&amp;IF(AND(AX954&lt;&gt;"",AX954&lt;&gt;"OK"),"TAN wrong format; ","")&amp;IF(AS954="","PAN missing; ","")&amp;IF(BB954="","Entity type missing; ","")&amp;IF(AND(AZ954&lt;&gt;"",COUNTIF($AZ$6:$AZ$1005,AZ954)&gt;1),"GSTIN repeated in this sheet; ","")&amp;IF(AND(AS954&lt;&gt;"",COUNTIF($AS$6:$AS$1005,AS954)&gt;1),"PAN repeated in this sheet (same client? put extra GSTINs in Other GSTINs); ","")&amp;IF(AND(BD954&gt;0,V954=""),"Financial year missing; ","")&amp;IF(AND(BD954=0,V954&lt;&gt;""),"Financial year given but no service is Yes; ","")&amp;IF(AND(W954="Yes",AZ954=""),"GST needs a GSTIN; ","")&amp;IF(AND(W954="Yes",X954=""),"GST return frequency missing; ","")&amp;IF(AND(Y954="Yes",TRIM(H954)=""),"TDS needs a TAN; ","")&amp;IF(AND(AA954="Yes",BC954&lt;&gt;"",BC954&lt;&gt;"company",BC954&lt;&gt;"llp"),"ROC is only for a company / LLP; ","")&amp;IF(AND(AA954="Yes",OR(BC954="company",BC954="llp"),TRIM(I954)=""),"ROC needs the CIN / LLPIN; ","")&amp;IF((TRIM(AF954)="")&lt;&gt;(TRIM(AG954)=""),"GST login needs both user ID and password; ","")&amp;IF((TRIM(AH954)="")&lt;&gt;(TRIM(AI954)=""),"Income-tax login needs both user ID and password; ","")&amp;IF((TRIM(AJ954)="")&lt;&gt;(TRIM(AK954)=""),"Income-tax login needs both user ID and password; ","")&amp;IF((TRIM(AL954)="")&lt;&gt;(TRIM(AM954)=""),"TRACES login needs both user ID and password; ","")&amp;IF((TRIM(AN954)="")&lt;&gt;(TRIM(AO954)=""),"MCA login needs both user ID and password; ","")&amp;IF((TRIM(AP954)="")&lt;&gt;(TRIM(AQ954)=""),"E-way bill login needs both user ID and password; ","")</f>
        <v/>
      </c>
    </row>
    <row r="955">
      <c r="A955" s="32" t="n"/>
      <c r="B955" s="33" t="n"/>
      <c r="C955" s="33" t="n"/>
      <c r="D955" s="33" t="n"/>
      <c r="E955" s="32" t="n"/>
      <c r="F955" s="32" t="n"/>
      <c r="G955" s="32" t="n"/>
      <c r="H955" s="32" t="n"/>
      <c r="I955" s="32" t="n"/>
      <c r="J955" s="34" t="n"/>
      <c r="K955" s="33" t="n"/>
      <c r="L955" s="32" t="n"/>
      <c r="M955" s="33" t="n"/>
      <c r="N955" s="33" t="n"/>
      <c r="O955" s="33" t="n"/>
      <c r="P955" s="32" t="n"/>
      <c r="Q955" s="33" t="n"/>
      <c r="R955" s="33" t="n"/>
      <c r="S955" s="33" t="n"/>
      <c r="T955" s="33" t="n"/>
      <c r="U955" s="32" t="n"/>
      <c r="V955" s="33" t="n"/>
      <c r="W955" s="33" t="n"/>
      <c r="X955" s="33" t="n"/>
      <c r="Y955" s="33" t="n"/>
      <c r="Z955" s="33" t="n"/>
      <c r="AA955" s="33" t="n"/>
      <c r="AB955" s="33" t="n"/>
      <c r="AC955" s="33" t="n"/>
      <c r="AD955" s="33" t="n"/>
      <c r="AE955" s="33" t="n"/>
      <c r="AF955" s="32" t="n"/>
      <c r="AG955" s="32" t="n"/>
      <c r="AH955" s="32" t="n"/>
      <c r="AI955" s="32" t="n"/>
      <c r="AJ955" s="32" t="n"/>
      <c r="AK955" s="32" t="n"/>
      <c r="AL955" s="32" t="n"/>
      <c r="AM955" s="32" t="n"/>
      <c r="AN955" s="32" t="n"/>
      <c r="AO955" s="32" t="n"/>
      <c r="AP955" s="32" t="n"/>
      <c r="AQ955" s="32" t="n"/>
      <c r="AR955" s="29">
        <f>IF(NOT(COUNTA(A955:AE955)&gt;0),"",IF(A955="","New client","Update"))</f>
        <v/>
      </c>
      <c r="AS955" s="29">
        <f>IF(BA955&lt;&gt;"",BA955,IF(LEN(AZ955)=15,MID(AZ955,3,10),""))</f>
        <v/>
      </c>
      <c r="AT955" s="29">
        <f>IF(BB955="","",BB955&amp;IF(D955="","  (guessed from PAN)",""))</f>
        <v/>
      </c>
      <c r="AU955" s="29">
        <f>IF(AZ955="","",IFERROR(INDEX(Lists!$L$2:$L$38,MATCH(LEFT(AZ955,2),Lists!$K$2:$K$38,0)),"Unknown code"))</f>
        <v/>
      </c>
      <c r="AV955" s="29">
        <f>IF(AZ955="","",IFERROR(IF(NOT(AND(LEN(AZ955)=15,ISNUMBER(MATCH(LEFT(AZ955,2),Lists!$K$2:$K$38,0)),SUMPRODUCT(--ISERROR(FIND(MID(MID(AZ955,3,10),{1,2,3,4,5,10},1),"ABCDEFGHIJKLMNOPQRSTUVWXYZ")))=0,SUMPRODUCT(--ISERROR(FIND(MID(MID(AZ955,3,10),{6,7,8,9},1),"0123456789")))=0,ISNUMBER(FIND(MID(AZ955,13,1),"123456789ABCDEFGHIJKLMNOPQRSTUVWXYZ")),MID(AZ955,14,1)="Z")),"Wrong format",IF(MID("0123456789ABCDEFGHIJKLMNOPQRSTUVWXYZ",MOD(36-MOD(SUMPRODUCT(INT((FIND(MID(AZ955,{1,2,3,4,5,6,7,8,9,10,11,12,13,14},1),"0123456789ABCDEFGHIJKLMNOPQRSTUVWXYZ")-1)*{1,2,1,2,1,2,1,2,1,2,1,2,1,2}/36)+MOD((FIND(MID(AZ955,{1,2,3,4,5,6,7,8,9,10,11,12,13,14},1),"0123456789ABCDEFGHIJKLMNOPQRSTUVWXYZ")-1)*{1,2,1,2,1,2,1,2,1,2,1,2,1,2},36)),36),36)+1,1)=MID(AZ955,15,1),"OK","Typo? check digit wrong")),"Wrong format"))</f>
        <v/>
      </c>
      <c r="AW955" s="29">
        <f>IF(BA955="","",IF(AND(LEN(BA955)=10,SUMPRODUCT(--ISERROR(FIND(MID(BA955,{1,2,3,4,5,10},1),"ABCDEFGHIJKLMNOPQRSTUVWXYZ")))=0,SUMPRODUCT(--ISERROR(FIND(MID(BA955,{6,7,8,9},1),"0123456789")))=0),"OK","Wrong format"))</f>
        <v/>
      </c>
      <c r="AX955" s="29">
        <f>IF(TRIM(H955)="","",IF(AND(LEN(UPPER(TRIM(H955)))=10,SUMPRODUCT(--ISERROR(FIND(MID(UPPER(TRIM(H955)),{1,2,3,4,10},1),"ABCDEFGHIJKLMNOPQRSTUVWXYZ")))=0,SUMPRODUCT(--ISERROR(FIND(MID(UPPER(TRIM(H955)),{5,6,7,8,9},1),"0123456789")))=0),"OK","Wrong format"))</f>
        <v/>
      </c>
      <c r="AY955" s="30">
        <f>IF(NOT(COUNTA(A955:AE955)&gt;0),"",IF(BE955&lt;&gt;"","✖ "&amp;LEFT(BE955,LEN(BE955)-2),IF(BD955&gt;0,"✔ Ready — client + "&amp;BD955&amp;" service(s)","✔ Ready — client only")))</f>
        <v/>
      </c>
      <c r="AZ955" s="31">
        <f>UPPER(SUBSTITUTE(TRIM(F955)," ",""))</f>
        <v/>
      </c>
      <c r="BA955" s="31">
        <f>UPPER(SUBSTITUTE(TRIM(E955)," ",""))</f>
        <v/>
      </c>
      <c r="BB955" s="31">
        <f>IF(D955&lt;&gt;"",D955,IFERROR(VLOOKUP(MID(AS955,4,1),Lists!$E$2:$F$8,2,FALSE),""))</f>
        <v/>
      </c>
      <c r="BC955" s="31">
        <f>IFERROR(VLOOKUP(BB955,Lists!$A$2:$C$12,3,FALSE),"")</f>
        <v/>
      </c>
      <c r="BD955" s="31">
        <f>COUNTIF(W955:AC955,"Yes")</f>
        <v/>
      </c>
      <c r="BE955" s="31">
        <f>IF(TRIM(B955)="","Legal name missing; ","")&amp;IF(AND(AV955&lt;&gt;"",AV955&lt;&gt;"OK"),"GSTIN: "&amp;AV955&amp;"; ","")&amp;IF(AND(AW955&lt;&gt;"",AW955&lt;&gt;"OK"),"PAN wrong format; ","")&amp;IF(AND(BA955&lt;&gt;"",LEN(AZ955)=15,MID(AZ955,3,10)&lt;&gt;BA955),"PAN does not match GSTIN; ","")&amp;IF(AND(AX955&lt;&gt;"",AX955&lt;&gt;"OK"),"TAN wrong format; ","")&amp;IF(AS955="","PAN missing; ","")&amp;IF(BB955="","Entity type missing; ","")&amp;IF(AND(AZ955&lt;&gt;"",COUNTIF($AZ$6:$AZ$1005,AZ955)&gt;1),"GSTIN repeated in this sheet; ","")&amp;IF(AND(AS955&lt;&gt;"",COUNTIF($AS$6:$AS$1005,AS955)&gt;1),"PAN repeated in this sheet (same client? put extra GSTINs in Other GSTINs); ","")&amp;IF(AND(BD955&gt;0,V955=""),"Financial year missing; ","")&amp;IF(AND(BD955=0,V955&lt;&gt;""),"Financial year given but no service is Yes; ","")&amp;IF(AND(W955="Yes",AZ955=""),"GST needs a GSTIN; ","")&amp;IF(AND(W955="Yes",X955=""),"GST return frequency missing; ","")&amp;IF(AND(Y955="Yes",TRIM(H955)=""),"TDS needs a TAN; ","")&amp;IF(AND(AA955="Yes",BC955&lt;&gt;"",BC955&lt;&gt;"company",BC955&lt;&gt;"llp"),"ROC is only for a company / LLP; ","")&amp;IF(AND(AA955="Yes",OR(BC955="company",BC955="llp"),TRIM(I955)=""),"ROC needs the CIN / LLPIN; ","")&amp;IF((TRIM(AF955)="")&lt;&gt;(TRIM(AG955)=""),"GST login needs both user ID and password; ","")&amp;IF((TRIM(AH955)="")&lt;&gt;(TRIM(AI955)=""),"Income-tax login needs both user ID and password; ","")&amp;IF((TRIM(AJ955)="")&lt;&gt;(TRIM(AK955)=""),"Income-tax login needs both user ID and password; ","")&amp;IF((TRIM(AL955)="")&lt;&gt;(TRIM(AM955)=""),"TRACES login needs both user ID and password; ","")&amp;IF((TRIM(AN955)="")&lt;&gt;(TRIM(AO955)=""),"MCA login needs both user ID and password; ","")&amp;IF((TRIM(AP955)="")&lt;&gt;(TRIM(AQ955)=""),"E-way bill login needs both user ID and password; ","")</f>
        <v/>
      </c>
    </row>
    <row r="956">
      <c r="A956" s="32" t="n"/>
      <c r="B956" s="33" t="n"/>
      <c r="C956" s="33" t="n"/>
      <c r="D956" s="33" t="n"/>
      <c r="E956" s="32" t="n"/>
      <c r="F956" s="32" t="n"/>
      <c r="G956" s="32" t="n"/>
      <c r="H956" s="32" t="n"/>
      <c r="I956" s="32" t="n"/>
      <c r="J956" s="34" t="n"/>
      <c r="K956" s="33" t="n"/>
      <c r="L956" s="32" t="n"/>
      <c r="M956" s="33" t="n"/>
      <c r="N956" s="33" t="n"/>
      <c r="O956" s="33" t="n"/>
      <c r="P956" s="32" t="n"/>
      <c r="Q956" s="33" t="n"/>
      <c r="R956" s="33" t="n"/>
      <c r="S956" s="33" t="n"/>
      <c r="T956" s="33" t="n"/>
      <c r="U956" s="32" t="n"/>
      <c r="V956" s="33" t="n"/>
      <c r="W956" s="33" t="n"/>
      <c r="X956" s="33" t="n"/>
      <c r="Y956" s="33" t="n"/>
      <c r="Z956" s="33" t="n"/>
      <c r="AA956" s="33" t="n"/>
      <c r="AB956" s="33" t="n"/>
      <c r="AC956" s="33" t="n"/>
      <c r="AD956" s="33" t="n"/>
      <c r="AE956" s="33" t="n"/>
      <c r="AF956" s="32" t="n"/>
      <c r="AG956" s="32" t="n"/>
      <c r="AH956" s="32" t="n"/>
      <c r="AI956" s="32" t="n"/>
      <c r="AJ956" s="32" t="n"/>
      <c r="AK956" s="32" t="n"/>
      <c r="AL956" s="32" t="n"/>
      <c r="AM956" s="32" t="n"/>
      <c r="AN956" s="32" t="n"/>
      <c r="AO956" s="32" t="n"/>
      <c r="AP956" s="32" t="n"/>
      <c r="AQ956" s="32" t="n"/>
      <c r="AR956" s="29">
        <f>IF(NOT(COUNTA(A956:AE956)&gt;0),"",IF(A956="","New client","Update"))</f>
        <v/>
      </c>
      <c r="AS956" s="29">
        <f>IF(BA956&lt;&gt;"",BA956,IF(LEN(AZ956)=15,MID(AZ956,3,10),""))</f>
        <v/>
      </c>
      <c r="AT956" s="29">
        <f>IF(BB956="","",BB956&amp;IF(D956="","  (guessed from PAN)",""))</f>
        <v/>
      </c>
      <c r="AU956" s="29">
        <f>IF(AZ956="","",IFERROR(INDEX(Lists!$L$2:$L$38,MATCH(LEFT(AZ956,2),Lists!$K$2:$K$38,0)),"Unknown code"))</f>
        <v/>
      </c>
      <c r="AV956" s="29">
        <f>IF(AZ956="","",IFERROR(IF(NOT(AND(LEN(AZ956)=15,ISNUMBER(MATCH(LEFT(AZ956,2),Lists!$K$2:$K$38,0)),SUMPRODUCT(--ISERROR(FIND(MID(MID(AZ956,3,10),{1,2,3,4,5,10},1),"ABCDEFGHIJKLMNOPQRSTUVWXYZ")))=0,SUMPRODUCT(--ISERROR(FIND(MID(MID(AZ956,3,10),{6,7,8,9},1),"0123456789")))=0,ISNUMBER(FIND(MID(AZ956,13,1),"123456789ABCDEFGHIJKLMNOPQRSTUVWXYZ")),MID(AZ956,14,1)="Z")),"Wrong format",IF(MID("0123456789ABCDEFGHIJKLMNOPQRSTUVWXYZ",MOD(36-MOD(SUMPRODUCT(INT((FIND(MID(AZ956,{1,2,3,4,5,6,7,8,9,10,11,12,13,14},1),"0123456789ABCDEFGHIJKLMNOPQRSTUVWXYZ")-1)*{1,2,1,2,1,2,1,2,1,2,1,2,1,2}/36)+MOD((FIND(MID(AZ956,{1,2,3,4,5,6,7,8,9,10,11,12,13,14},1),"0123456789ABCDEFGHIJKLMNOPQRSTUVWXYZ")-1)*{1,2,1,2,1,2,1,2,1,2,1,2,1,2},36)),36),36)+1,1)=MID(AZ956,15,1),"OK","Typo? check digit wrong")),"Wrong format"))</f>
        <v/>
      </c>
      <c r="AW956" s="29">
        <f>IF(BA956="","",IF(AND(LEN(BA956)=10,SUMPRODUCT(--ISERROR(FIND(MID(BA956,{1,2,3,4,5,10},1),"ABCDEFGHIJKLMNOPQRSTUVWXYZ")))=0,SUMPRODUCT(--ISERROR(FIND(MID(BA956,{6,7,8,9},1),"0123456789")))=0),"OK","Wrong format"))</f>
        <v/>
      </c>
      <c r="AX956" s="29">
        <f>IF(TRIM(H956)="","",IF(AND(LEN(UPPER(TRIM(H956)))=10,SUMPRODUCT(--ISERROR(FIND(MID(UPPER(TRIM(H956)),{1,2,3,4,10},1),"ABCDEFGHIJKLMNOPQRSTUVWXYZ")))=0,SUMPRODUCT(--ISERROR(FIND(MID(UPPER(TRIM(H956)),{5,6,7,8,9},1),"0123456789")))=0),"OK","Wrong format"))</f>
        <v/>
      </c>
      <c r="AY956" s="30">
        <f>IF(NOT(COUNTA(A956:AE956)&gt;0),"",IF(BE956&lt;&gt;"","✖ "&amp;LEFT(BE956,LEN(BE956)-2),IF(BD956&gt;0,"✔ Ready — client + "&amp;BD956&amp;" service(s)","✔ Ready — client only")))</f>
        <v/>
      </c>
      <c r="AZ956" s="31">
        <f>UPPER(SUBSTITUTE(TRIM(F956)," ",""))</f>
        <v/>
      </c>
      <c r="BA956" s="31">
        <f>UPPER(SUBSTITUTE(TRIM(E956)," ",""))</f>
        <v/>
      </c>
      <c r="BB956" s="31">
        <f>IF(D956&lt;&gt;"",D956,IFERROR(VLOOKUP(MID(AS956,4,1),Lists!$E$2:$F$8,2,FALSE),""))</f>
        <v/>
      </c>
      <c r="BC956" s="31">
        <f>IFERROR(VLOOKUP(BB956,Lists!$A$2:$C$12,3,FALSE),"")</f>
        <v/>
      </c>
      <c r="BD956" s="31">
        <f>COUNTIF(W956:AC956,"Yes")</f>
        <v/>
      </c>
      <c r="BE956" s="31">
        <f>IF(TRIM(B956)="","Legal name missing; ","")&amp;IF(AND(AV956&lt;&gt;"",AV956&lt;&gt;"OK"),"GSTIN: "&amp;AV956&amp;"; ","")&amp;IF(AND(AW956&lt;&gt;"",AW956&lt;&gt;"OK"),"PAN wrong format; ","")&amp;IF(AND(BA956&lt;&gt;"",LEN(AZ956)=15,MID(AZ956,3,10)&lt;&gt;BA956),"PAN does not match GSTIN; ","")&amp;IF(AND(AX956&lt;&gt;"",AX956&lt;&gt;"OK"),"TAN wrong format; ","")&amp;IF(AS956="","PAN missing; ","")&amp;IF(BB956="","Entity type missing; ","")&amp;IF(AND(AZ956&lt;&gt;"",COUNTIF($AZ$6:$AZ$1005,AZ956)&gt;1),"GSTIN repeated in this sheet; ","")&amp;IF(AND(AS956&lt;&gt;"",COUNTIF($AS$6:$AS$1005,AS956)&gt;1),"PAN repeated in this sheet (same client? put extra GSTINs in Other GSTINs); ","")&amp;IF(AND(BD956&gt;0,V956=""),"Financial year missing; ","")&amp;IF(AND(BD956=0,V956&lt;&gt;""),"Financial year given but no service is Yes; ","")&amp;IF(AND(W956="Yes",AZ956=""),"GST needs a GSTIN; ","")&amp;IF(AND(W956="Yes",X956=""),"GST return frequency missing; ","")&amp;IF(AND(Y956="Yes",TRIM(H956)=""),"TDS needs a TAN; ","")&amp;IF(AND(AA956="Yes",BC956&lt;&gt;"",BC956&lt;&gt;"company",BC956&lt;&gt;"llp"),"ROC is only for a company / LLP; ","")&amp;IF(AND(AA956="Yes",OR(BC956="company",BC956="llp"),TRIM(I956)=""),"ROC needs the CIN / LLPIN; ","")&amp;IF((TRIM(AF956)="")&lt;&gt;(TRIM(AG956)=""),"GST login needs both user ID and password; ","")&amp;IF((TRIM(AH956)="")&lt;&gt;(TRIM(AI956)=""),"Income-tax login needs both user ID and password; ","")&amp;IF((TRIM(AJ956)="")&lt;&gt;(TRIM(AK956)=""),"Income-tax login needs both user ID and password; ","")&amp;IF((TRIM(AL956)="")&lt;&gt;(TRIM(AM956)=""),"TRACES login needs both user ID and password; ","")&amp;IF((TRIM(AN956)="")&lt;&gt;(TRIM(AO956)=""),"MCA login needs both user ID and password; ","")&amp;IF((TRIM(AP956)="")&lt;&gt;(TRIM(AQ956)=""),"E-way bill login needs both user ID and password; ","")</f>
        <v/>
      </c>
    </row>
    <row r="957">
      <c r="A957" s="32" t="n"/>
      <c r="B957" s="33" t="n"/>
      <c r="C957" s="33" t="n"/>
      <c r="D957" s="33" t="n"/>
      <c r="E957" s="32" t="n"/>
      <c r="F957" s="32" t="n"/>
      <c r="G957" s="32" t="n"/>
      <c r="H957" s="32" t="n"/>
      <c r="I957" s="32" t="n"/>
      <c r="J957" s="34" t="n"/>
      <c r="K957" s="33" t="n"/>
      <c r="L957" s="32" t="n"/>
      <c r="M957" s="33" t="n"/>
      <c r="N957" s="33" t="n"/>
      <c r="O957" s="33" t="n"/>
      <c r="P957" s="32" t="n"/>
      <c r="Q957" s="33" t="n"/>
      <c r="R957" s="33" t="n"/>
      <c r="S957" s="33" t="n"/>
      <c r="T957" s="33" t="n"/>
      <c r="U957" s="32" t="n"/>
      <c r="V957" s="33" t="n"/>
      <c r="W957" s="33" t="n"/>
      <c r="X957" s="33" t="n"/>
      <c r="Y957" s="33" t="n"/>
      <c r="Z957" s="33" t="n"/>
      <c r="AA957" s="33" t="n"/>
      <c r="AB957" s="33" t="n"/>
      <c r="AC957" s="33" t="n"/>
      <c r="AD957" s="33" t="n"/>
      <c r="AE957" s="33" t="n"/>
      <c r="AF957" s="32" t="n"/>
      <c r="AG957" s="32" t="n"/>
      <c r="AH957" s="32" t="n"/>
      <c r="AI957" s="32" t="n"/>
      <c r="AJ957" s="32" t="n"/>
      <c r="AK957" s="32" t="n"/>
      <c r="AL957" s="32" t="n"/>
      <c r="AM957" s="32" t="n"/>
      <c r="AN957" s="32" t="n"/>
      <c r="AO957" s="32" t="n"/>
      <c r="AP957" s="32" t="n"/>
      <c r="AQ957" s="32" t="n"/>
      <c r="AR957" s="29">
        <f>IF(NOT(COUNTA(A957:AE957)&gt;0),"",IF(A957="","New client","Update"))</f>
        <v/>
      </c>
      <c r="AS957" s="29">
        <f>IF(BA957&lt;&gt;"",BA957,IF(LEN(AZ957)=15,MID(AZ957,3,10),""))</f>
        <v/>
      </c>
      <c r="AT957" s="29">
        <f>IF(BB957="","",BB957&amp;IF(D957="","  (guessed from PAN)",""))</f>
        <v/>
      </c>
      <c r="AU957" s="29">
        <f>IF(AZ957="","",IFERROR(INDEX(Lists!$L$2:$L$38,MATCH(LEFT(AZ957,2),Lists!$K$2:$K$38,0)),"Unknown code"))</f>
        <v/>
      </c>
      <c r="AV957" s="29">
        <f>IF(AZ957="","",IFERROR(IF(NOT(AND(LEN(AZ957)=15,ISNUMBER(MATCH(LEFT(AZ957,2),Lists!$K$2:$K$38,0)),SUMPRODUCT(--ISERROR(FIND(MID(MID(AZ957,3,10),{1,2,3,4,5,10},1),"ABCDEFGHIJKLMNOPQRSTUVWXYZ")))=0,SUMPRODUCT(--ISERROR(FIND(MID(MID(AZ957,3,10),{6,7,8,9},1),"0123456789")))=0,ISNUMBER(FIND(MID(AZ957,13,1),"123456789ABCDEFGHIJKLMNOPQRSTUVWXYZ")),MID(AZ957,14,1)="Z")),"Wrong format",IF(MID("0123456789ABCDEFGHIJKLMNOPQRSTUVWXYZ",MOD(36-MOD(SUMPRODUCT(INT((FIND(MID(AZ957,{1,2,3,4,5,6,7,8,9,10,11,12,13,14},1),"0123456789ABCDEFGHIJKLMNOPQRSTUVWXYZ")-1)*{1,2,1,2,1,2,1,2,1,2,1,2,1,2}/36)+MOD((FIND(MID(AZ957,{1,2,3,4,5,6,7,8,9,10,11,12,13,14},1),"0123456789ABCDEFGHIJKLMNOPQRSTUVWXYZ")-1)*{1,2,1,2,1,2,1,2,1,2,1,2,1,2},36)),36),36)+1,1)=MID(AZ957,15,1),"OK","Typo? check digit wrong")),"Wrong format"))</f>
        <v/>
      </c>
      <c r="AW957" s="29">
        <f>IF(BA957="","",IF(AND(LEN(BA957)=10,SUMPRODUCT(--ISERROR(FIND(MID(BA957,{1,2,3,4,5,10},1),"ABCDEFGHIJKLMNOPQRSTUVWXYZ")))=0,SUMPRODUCT(--ISERROR(FIND(MID(BA957,{6,7,8,9},1),"0123456789")))=0),"OK","Wrong format"))</f>
        <v/>
      </c>
      <c r="AX957" s="29">
        <f>IF(TRIM(H957)="","",IF(AND(LEN(UPPER(TRIM(H957)))=10,SUMPRODUCT(--ISERROR(FIND(MID(UPPER(TRIM(H957)),{1,2,3,4,10},1),"ABCDEFGHIJKLMNOPQRSTUVWXYZ")))=0,SUMPRODUCT(--ISERROR(FIND(MID(UPPER(TRIM(H957)),{5,6,7,8,9},1),"0123456789")))=0),"OK","Wrong format"))</f>
        <v/>
      </c>
      <c r="AY957" s="30">
        <f>IF(NOT(COUNTA(A957:AE957)&gt;0),"",IF(BE957&lt;&gt;"","✖ "&amp;LEFT(BE957,LEN(BE957)-2),IF(BD957&gt;0,"✔ Ready — client + "&amp;BD957&amp;" service(s)","✔ Ready — client only")))</f>
        <v/>
      </c>
      <c r="AZ957" s="31">
        <f>UPPER(SUBSTITUTE(TRIM(F957)," ",""))</f>
        <v/>
      </c>
      <c r="BA957" s="31">
        <f>UPPER(SUBSTITUTE(TRIM(E957)," ",""))</f>
        <v/>
      </c>
      <c r="BB957" s="31">
        <f>IF(D957&lt;&gt;"",D957,IFERROR(VLOOKUP(MID(AS957,4,1),Lists!$E$2:$F$8,2,FALSE),""))</f>
        <v/>
      </c>
      <c r="BC957" s="31">
        <f>IFERROR(VLOOKUP(BB957,Lists!$A$2:$C$12,3,FALSE),"")</f>
        <v/>
      </c>
      <c r="BD957" s="31">
        <f>COUNTIF(W957:AC957,"Yes")</f>
        <v/>
      </c>
      <c r="BE957" s="31">
        <f>IF(TRIM(B957)="","Legal name missing; ","")&amp;IF(AND(AV957&lt;&gt;"",AV957&lt;&gt;"OK"),"GSTIN: "&amp;AV957&amp;"; ","")&amp;IF(AND(AW957&lt;&gt;"",AW957&lt;&gt;"OK"),"PAN wrong format; ","")&amp;IF(AND(BA957&lt;&gt;"",LEN(AZ957)=15,MID(AZ957,3,10)&lt;&gt;BA957),"PAN does not match GSTIN; ","")&amp;IF(AND(AX957&lt;&gt;"",AX957&lt;&gt;"OK"),"TAN wrong format; ","")&amp;IF(AS957="","PAN missing; ","")&amp;IF(BB957="","Entity type missing; ","")&amp;IF(AND(AZ957&lt;&gt;"",COUNTIF($AZ$6:$AZ$1005,AZ957)&gt;1),"GSTIN repeated in this sheet; ","")&amp;IF(AND(AS957&lt;&gt;"",COUNTIF($AS$6:$AS$1005,AS957)&gt;1),"PAN repeated in this sheet (same client? put extra GSTINs in Other GSTINs); ","")&amp;IF(AND(BD957&gt;0,V957=""),"Financial year missing; ","")&amp;IF(AND(BD957=0,V957&lt;&gt;""),"Financial year given but no service is Yes; ","")&amp;IF(AND(W957="Yes",AZ957=""),"GST needs a GSTIN; ","")&amp;IF(AND(W957="Yes",X957=""),"GST return frequency missing; ","")&amp;IF(AND(Y957="Yes",TRIM(H957)=""),"TDS needs a TAN; ","")&amp;IF(AND(AA957="Yes",BC957&lt;&gt;"",BC957&lt;&gt;"company",BC957&lt;&gt;"llp"),"ROC is only for a company / LLP; ","")&amp;IF(AND(AA957="Yes",OR(BC957="company",BC957="llp"),TRIM(I957)=""),"ROC needs the CIN / LLPIN; ","")&amp;IF((TRIM(AF957)="")&lt;&gt;(TRIM(AG957)=""),"GST login needs both user ID and password; ","")&amp;IF((TRIM(AH957)="")&lt;&gt;(TRIM(AI957)=""),"Income-tax login needs both user ID and password; ","")&amp;IF((TRIM(AJ957)="")&lt;&gt;(TRIM(AK957)=""),"Income-tax login needs both user ID and password; ","")&amp;IF((TRIM(AL957)="")&lt;&gt;(TRIM(AM957)=""),"TRACES login needs both user ID and password; ","")&amp;IF((TRIM(AN957)="")&lt;&gt;(TRIM(AO957)=""),"MCA login needs both user ID and password; ","")&amp;IF((TRIM(AP957)="")&lt;&gt;(TRIM(AQ957)=""),"E-way bill login needs both user ID and password; ","")</f>
        <v/>
      </c>
    </row>
    <row r="958">
      <c r="A958" s="32" t="n"/>
      <c r="B958" s="33" t="n"/>
      <c r="C958" s="33" t="n"/>
      <c r="D958" s="33" t="n"/>
      <c r="E958" s="32" t="n"/>
      <c r="F958" s="32" t="n"/>
      <c r="G958" s="32" t="n"/>
      <c r="H958" s="32" t="n"/>
      <c r="I958" s="32" t="n"/>
      <c r="J958" s="34" t="n"/>
      <c r="K958" s="33" t="n"/>
      <c r="L958" s="32" t="n"/>
      <c r="M958" s="33" t="n"/>
      <c r="N958" s="33" t="n"/>
      <c r="O958" s="33" t="n"/>
      <c r="P958" s="32" t="n"/>
      <c r="Q958" s="33" t="n"/>
      <c r="R958" s="33" t="n"/>
      <c r="S958" s="33" t="n"/>
      <c r="T958" s="33" t="n"/>
      <c r="U958" s="32" t="n"/>
      <c r="V958" s="33" t="n"/>
      <c r="W958" s="33" t="n"/>
      <c r="X958" s="33" t="n"/>
      <c r="Y958" s="33" t="n"/>
      <c r="Z958" s="33" t="n"/>
      <c r="AA958" s="33" t="n"/>
      <c r="AB958" s="33" t="n"/>
      <c r="AC958" s="33" t="n"/>
      <c r="AD958" s="33" t="n"/>
      <c r="AE958" s="33" t="n"/>
      <c r="AF958" s="32" t="n"/>
      <c r="AG958" s="32" t="n"/>
      <c r="AH958" s="32" t="n"/>
      <c r="AI958" s="32" t="n"/>
      <c r="AJ958" s="32" t="n"/>
      <c r="AK958" s="32" t="n"/>
      <c r="AL958" s="32" t="n"/>
      <c r="AM958" s="32" t="n"/>
      <c r="AN958" s="32" t="n"/>
      <c r="AO958" s="32" t="n"/>
      <c r="AP958" s="32" t="n"/>
      <c r="AQ958" s="32" t="n"/>
      <c r="AR958" s="29">
        <f>IF(NOT(COUNTA(A958:AE958)&gt;0),"",IF(A958="","New client","Update"))</f>
        <v/>
      </c>
      <c r="AS958" s="29">
        <f>IF(BA958&lt;&gt;"",BA958,IF(LEN(AZ958)=15,MID(AZ958,3,10),""))</f>
        <v/>
      </c>
      <c r="AT958" s="29">
        <f>IF(BB958="","",BB958&amp;IF(D958="","  (guessed from PAN)",""))</f>
        <v/>
      </c>
      <c r="AU958" s="29">
        <f>IF(AZ958="","",IFERROR(INDEX(Lists!$L$2:$L$38,MATCH(LEFT(AZ958,2),Lists!$K$2:$K$38,0)),"Unknown code"))</f>
        <v/>
      </c>
      <c r="AV958" s="29">
        <f>IF(AZ958="","",IFERROR(IF(NOT(AND(LEN(AZ958)=15,ISNUMBER(MATCH(LEFT(AZ958,2),Lists!$K$2:$K$38,0)),SUMPRODUCT(--ISERROR(FIND(MID(MID(AZ958,3,10),{1,2,3,4,5,10},1),"ABCDEFGHIJKLMNOPQRSTUVWXYZ")))=0,SUMPRODUCT(--ISERROR(FIND(MID(MID(AZ958,3,10),{6,7,8,9},1),"0123456789")))=0,ISNUMBER(FIND(MID(AZ958,13,1),"123456789ABCDEFGHIJKLMNOPQRSTUVWXYZ")),MID(AZ958,14,1)="Z")),"Wrong format",IF(MID("0123456789ABCDEFGHIJKLMNOPQRSTUVWXYZ",MOD(36-MOD(SUMPRODUCT(INT((FIND(MID(AZ958,{1,2,3,4,5,6,7,8,9,10,11,12,13,14},1),"0123456789ABCDEFGHIJKLMNOPQRSTUVWXYZ")-1)*{1,2,1,2,1,2,1,2,1,2,1,2,1,2}/36)+MOD((FIND(MID(AZ958,{1,2,3,4,5,6,7,8,9,10,11,12,13,14},1),"0123456789ABCDEFGHIJKLMNOPQRSTUVWXYZ")-1)*{1,2,1,2,1,2,1,2,1,2,1,2,1,2},36)),36),36)+1,1)=MID(AZ958,15,1),"OK","Typo? check digit wrong")),"Wrong format"))</f>
        <v/>
      </c>
      <c r="AW958" s="29">
        <f>IF(BA958="","",IF(AND(LEN(BA958)=10,SUMPRODUCT(--ISERROR(FIND(MID(BA958,{1,2,3,4,5,10},1),"ABCDEFGHIJKLMNOPQRSTUVWXYZ")))=0,SUMPRODUCT(--ISERROR(FIND(MID(BA958,{6,7,8,9},1),"0123456789")))=0),"OK","Wrong format"))</f>
        <v/>
      </c>
      <c r="AX958" s="29">
        <f>IF(TRIM(H958)="","",IF(AND(LEN(UPPER(TRIM(H958)))=10,SUMPRODUCT(--ISERROR(FIND(MID(UPPER(TRIM(H958)),{1,2,3,4,10},1),"ABCDEFGHIJKLMNOPQRSTUVWXYZ")))=0,SUMPRODUCT(--ISERROR(FIND(MID(UPPER(TRIM(H958)),{5,6,7,8,9},1),"0123456789")))=0),"OK","Wrong format"))</f>
        <v/>
      </c>
      <c r="AY958" s="30">
        <f>IF(NOT(COUNTA(A958:AE958)&gt;0),"",IF(BE958&lt;&gt;"","✖ "&amp;LEFT(BE958,LEN(BE958)-2),IF(BD958&gt;0,"✔ Ready — client + "&amp;BD958&amp;" service(s)","✔ Ready — client only")))</f>
        <v/>
      </c>
      <c r="AZ958" s="31">
        <f>UPPER(SUBSTITUTE(TRIM(F958)," ",""))</f>
        <v/>
      </c>
      <c r="BA958" s="31">
        <f>UPPER(SUBSTITUTE(TRIM(E958)," ",""))</f>
        <v/>
      </c>
      <c r="BB958" s="31">
        <f>IF(D958&lt;&gt;"",D958,IFERROR(VLOOKUP(MID(AS958,4,1),Lists!$E$2:$F$8,2,FALSE),""))</f>
        <v/>
      </c>
      <c r="BC958" s="31">
        <f>IFERROR(VLOOKUP(BB958,Lists!$A$2:$C$12,3,FALSE),"")</f>
        <v/>
      </c>
      <c r="BD958" s="31">
        <f>COUNTIF(W958:AC958,"Yes")</f>
        <v/>
      </c>
      <c r="BE958" s="31">
        <f>IF(TRIM(B958)="","Legal name missing; ","")&amp;IF(AND(AV958&lt;&gt;"",AV958&lt;&gt;"OK"),"GSTIN: "&amp;AV958&amp;"; ","")&amp;IF(AND(AW958&lt;&gt;"",AW958&lt;&gt;"OK"),"PAN wrong format; ","")&amp;IF(AND(BA958&lt;&gt;"",LEN(AZ958)=15,MID(AZ958,3,10)&lt;&gt;BA958),"PAN does not match GSTIN; ","")&amp;IF(AND(AX958&lt;&gt;"",AX958&lt;&gt;"OK"),"TAN wrong format; ","")&amp;IF(AS958="","PAN missing; ","")&amp;IF(BB958="","Entity type missing; ","")&amp;IF(AND(AZ958&lt;&gt;"",COUNTIF($AZ$6:$AZ$1005,AZ958)&gt;1),"GSTIN repeated in this sheet; ","")&amp;IF(AND(AS958&lt;&gt;"",COUNTIF($AS$6:$AS$1005,AS958)&gt;1),"PAN repeated in this sheet (same client? put extra GSTINs in Other GSTINs); ","")&amp;IF(AND(BD958&gt;0,V958=""),"Financial year missing; ","")&amp;IF(AND(BD958=0,V958&lt;&gt;""),"Financial year given but no service is Yes; ","")&amp;IF(AND(W958="Yes",AZ958=""),"GST needs a GSTIN; ","")&amp;IF(AND(W958="Yes",X958=""),"GST return frequency missing; ","")&amp;IF(AND(Y958="Yes",TRIM(H958)=""),"TDS needs a TAN; ","")&amp;IF(AND(AA958="Yes",BC958&lt;&gt;"",BC958&lt;&gt;"company",BC958&lt;&gt;"llp"),"ROC is only for a company / LLP; ","")&amp;IF(AND(AA958="Yes",OR(BC958="company",BC958="llp"),TRIM(I958)=""),"ROC needs the CIN / LLPIN; ","")&amp;IF((TRIM(AF958)="")&lt;&gt;(TRIM(AG958)=""),"GST login needs both user ID and password; ","")&amp;IF((TRIM(AH958)="")&lt;&gt;(TRIM(AI958)=""),"Income-tax login needs both user ID and password; ","")&amp;IF((TRIM(AJ958)="")&lt;&gt;(TRIM(AK958)=""),"Income-tax login needs both user ID and password; ","")&amp;IF((TRIM(AL958)="")&lt;&gt;(TRIM(AM958)=""),"TRACES login needs both user ID and password; ","")&amp;IF((TRIM(AN958)="")&lt;&gt;(TRIM(AO958)=""),"MCA login needs both user ID and password; ","")&amp;IF((TRIM(AP958)="")&lt;&gt;(TRIM(AQ958)=""),"E-way bill login needs both user ID and password; ","")</f>
        <v/>
      </c>
    </row>
    <row r="959">
      <c r="A959" s="32" t="n"/>
      <c r="B959" s="33" t="n"/>
      <c r="C959" s="33" t="n"/>
      <c r="D959" s="33" t="n"/>
      <c r="E959" s="32" t="n"/>
      <c r="F959" s="32" t="n"/>
      <c r="G959" s="32" t="n"/>
      <c r="H959" s="32" t="n"/>
      <c r="I959" s="32" t="n"/>
      <c r="J959" s="34" t="n"/>
      <c r="K959" s="33" t="n"/>
      <c r="L959" s="32" t="n"/>
      <c r="M959" s="33" t="n"/>
      <c r="N959" s="33" t="n"/>
      <c r="O959" s="33" t="n"/>
      <c r="P959" s="32" t="n"/>
      <c r="Q959" s="33" t="n"/>
      <c r="R959" s="33" t="n"/>
      <c r="S959" s="33" t="n"/>
      <c r="T959" s="33" t="n"/>
      <c r="U959" s="32" t="n"/>
      <c r="V959" s="33" t="n"/>
      <c r="W959" s="33" t="n"/>
      <c r="X959" s="33" t="n"/>
      <c r="Y959" s="33" t="n"/>
      <c r="Z959" s="33" t="n"/>
      <c r="AA959" s="33" t="n"/>
      <c r="AB959" s="33" t="n"/>
      <c r="AC959" s="33" t="n"/>
      <c r="AD959" s="33" t="n"/>
      <c r="AE959" s="33" t="n"/>
      <c r="AF959" s="32" t="n"/>
      <c r="AG959" s="32" t="n"/>
      <c r="AH959" s="32" t="n"/>
      <c r="AI959" s="32" t="n"/>
      <c r="AJ959" s="32" t="n"/>
      <c r="AK959" s="32" t="n"/>
      <c r="AL959" s="32" t="n"/>
      <c r="AM959" s="32" t="n"/>
      <c r="AN959" s="32" t="n"/>
      <c r="AO959" s="32" t="n"/>
      <c r="AP959" s="32" t="n"/>
      <c r="AQ959" s="32" t="n"/>
      <c r="AR959" s="29">
        <f>IF(NOT(COUNTA(A959:AE959)&gt;0),"",IF(A959="","New client","Update"))</f>
        <v/>
      </c>
      <c r="AS959" s="29">
        <f>IF(BA959&lt;&gt;"",BA959,IF(LEN(AZ959)=15,MID(AZ959,3,10),""))</f>
        <v/>
      </c>
      <c r="AT959" s="29">
        <f>IF(BB959="","",BB959&amp;IF(D959="","  (guessed from PAN)",""))</f>
        <v/>
      </c>
      <c r="AU959" s="29">
        <f>IF(AZ959="","",IFERROR(INDEX(Lists!$L$2:$L$38,MATCH(LEFT(AZ959,2),Lists!$K$2:$K$38,0)),"Unknown code"))</f>
        <v/>
      </c>
      <c r="AV959" s="29">
        <f>IF(AZ959="","",IFERROR(IF(NOT(AND(LEN(AZ959)=15,ISNUMBER(MATCH(LEFT(AZ959,2),Lists!$K$2:$K$38,0)),SUMPRODUCT(--ISERROR(FIND(MID(MID(AZ959,3,10),{1,2,3,4,5,10},1),"ABCDEFGHIJKLMNOPQRSTUVWXYZ")))=0,SUMPRODUCT(--ISERROR(FIND(MID(MID(AZ959,3,10),{6,7,8,9},1),"0123456789")))=0,ISNUMBER(FIND(MID(AZ959,13,1),"123456789ABCDEFGHIJKLMNOPQRSTUVWXYZ")),MID(AZ959,14,1)="Z")),"Wrong format",IF(MID("0123456789ABCDEFGHIJKLMNOPQRSTUVWXYZ",MOD(36-MOD(SUMPRODUCT(INT((FIND(MID(AZ959,{1,2,3,4,5,6,7,8,9,10,11,12,13,14},1),"0123456789ABCDEFGHIJKLMNOPQRSTUVWXYZ")-1)*{1,2,1,2,1,2,1,2,1,2,1,2,1,2}/36)+MOD((FIND(MID(AZ959,{1,2,3,4,5,6,7,8,9,10,11,12,13,14},1),"0123456789ABCDEFGHIJKLMNOPQRSTUVWXYZ")-1)*{1,2,1,2,1,2,1,2,1,2,1,2,1,2},36)),36),36)+1,1)=MID(AZ959,15,1),"OK","Typo? check digit wrong")),"Wrong format"))</f>
        <v/>
      </c>
      <c r="AW959" s="29">
        <f>IF(BA959="","",IF(AND(LEN(BA959)=10,SUMPRODUCT(--ISERROR(FIND(MID(BA959,{1,2,3,4,5,10},1),"ABCDEFGHIJKLMNOPQRSTUVWXYZ")))=0,SUMPRODUCT(--ISERROR(FIND(MID(BA959,{6,7,8,9},1),"0123456789")))=0),"OK","Wrong format"))</f>
        <v/>
      </c>
      <c r="AX959" s="29">
        <f>IF(TRIM(H959)="","",IF(AND(LEN(UPPER(TRIM(H959)))=10,SUMPRODUCT(--ISERROR(FIND(MID(UPPER(TRIM(H959)),{1,2,3,4,10},1),"ABCDEFGHIJKLMNOPQRSTUVWXYZ")))=0,SUMPRODUCT(--ISERROR(FIND(MID(UPPER(TRIM(H959)),{5,6,7,8,9},1),"0123456789")))=0),"OK","Wrong format"))</f>
        <v/>
      </c>
      <c r="AY959" s="30">
        <f>IF(NOT(COUNTA(A959:AE959)&gt;0),"",IF(BE959&lt;&gt;"","✖ "&amp;LEFT(BE959,LEN(BE959)-2),IF(BD959&gt;0,"✔ Ready — client + "&amp;BD959&amp;" service(s)","✔ Ready — client only")))</f>
        <v/>
      </c>
      <c r="AZ959" s="31">
        <f>UPPER(SUBSTITUTE(TRIM(F959)," ",""))</f>
        <v/>
      </c>
      <c r="BA959" s="31">
        <f>UPPER(SUBSTITUTE(TRIM(E959)," ",""))</f>
        <v/>
      </c>
      <c r="BB959" s="31">
        <f>IF(D959&lt;&gt;"",D959,IFERROR(VLOOKUP(MID(AS959,4,1),Lists!$E$2:$F$8,2,FALSE),""))</f>
        <v/>
      </c>
      <c r="BC959" s="31">
        <f>IFERROR(VLOOKUP(BB959,Lists!$A$2:$C$12,3,FALSE),"")</f>
        <v/>
      </c>
      <c r="BD959" s="31">
        <f>COUNTIF(W959:AC959,"Yes")</f>
        <v/>
      </c>
      <c r="BE959" s="31">
        <f>IF(TRIM(B959)="","Legal name missing; ","")&amp;IF(AND(AV959&lt;&gt;"",AV959&lt;&gt;"OK"),"GSTIN: "&amp;AV959&amp;"; ","")&amp;IF(AND(AW959&lt;&gt;"",AW959&lt;&gt;"OK"),"PAN wrong format; ","")&amp;IF(AND(BA959&lt;&gt;"",LEN(AZ959)=15,MID(AZ959,3,10)&lt;&gt;BA959),"PAN does not match GSTIN; ","")&amp;IF(AND(AX959&lt;&gt;"",AX959&lt;&gt;"OK"),"TAN wrong format; ","")&amp;IF(AS959="","PAN missing; ","")&amp;IF(BB959="","Entity type missing; ","")&amp;IF(AND(AZ959&lt;&gt;"",COUNTIF($AZ$6:$AZ$1005,AZ959)&gt;1),"GSTIN repeated in this sheet; ","")&amp;IF(AND(AS959&lt;&gt;"",COUNTIF($AS$6:$AS$1005,AS959)&gt;1),"PAN repeated in this sheet (same client? put extra GSTINs in Other GSTINs); ","")&amp;IF(AND(BD959&gt;0,V959=""),"Financial year missing; ","")&amp;IF(AND(BD959=0,V959&lt;&gt;""),"Financial year given but no service is Yes; ","")&amp;IF(AND(W959="Yes",AZ959=""),"GST needs a GSTIN; ","")&amp;IF(AND(W959="Yes",X959=""),"GST return frequency missing; ","")&amp;IF(AND(Y959="Yes",TRIM(H959)=""),"TDS needs a TAN; ","")&amp;IF(AND(AA959="Yes",BC959&lt;&gt;"",BC959&lt;&gt;"company",BC959&lt;&gt;"llp"),"ROC is only for a company / LLP; ","")&amp;IF(AND(AA959="Yes",OR(BC959="company",BC959="llp"),TRIM(I959)=""),"ROC needs the CIN / LLPIN; ","")&amp;IF((TRIM(AF959)="")&lt;&gt;(TRIM(AG959)=""),"GST login needs both user ID and password; ","")&amp;IF((TRIM(AH959)="")&lt;&gt;(TRIM(AI959)=""),"Income-tax login needs both user ID and password; ","")&amp;IF((TRIM(AJ959)="")&lt;&gt;(TRIM(AK959)=""),"Income-tax login needs both user ID and password; ","")&amp;IF((TRIM(AL959)="")&lt;&gt;(TRIM(AM959)=""),"TRACES login needs both user ID and password; ","")&amp;IF((TRIM(AN959)="")&lt;&gt;(TRIM(AO959)=""),"MCA login needs both user ID and password; ","")&amp;IF((TRIM(AP959)="")&lt;&gt;(TRIM(AQ959)=""),"E-way bill login needs both user ID and password; ","")</f>
        <v/>
      </c>
    </row>
    <row r="960">
      <c r="A960" s="32" t="n"/>
      <c r="B960" s="33" t="n"/>
      <c r="C960" s="33" t="n"/>
      <c r="D960" s="33" t="n"/>
      <c r="E960" s="32" t="n"/>
      <c r="F960" s="32" t="n"/>
      <c r="G960" s="32" t="n"/>
      <c r="H960" s="32" t="n"/>
      <c r="I960" s="32" t="n"/>
      <c r="J960" s="34" t="n"/>
      <c r="K960" s="33" t="n"/>
      <c r="L960" s="32" t="n"/>
      <c r="M960" s="33" t="n"/>
      <c r="N960" s="33" t="n"/>
      <c r="O960" s="33" t="n"/>
      <c r="P960" s="32" t="n"/>
      <c r="Q960" s="33" t="n"/>
      <c r="R960" s="33" t="n"/>
      <c r="S960" s="33" t="n"/>
      <c r="T960" s="33" t="n"/>
      <c r="U960" s="32" t="n"/>
      <c r="V960" s="33" t="n"/>
      <c r="W960" s="33" t="n"/>
      <c r="X960" s="33" t="n"/>
      <c r="Y960" s="33" t="n"/>
      <c r="Z960" s="33" t="n"/>
      <c r="AA960" s="33" t="n"/>
      <c r="AB960" s="33" t="n"/>
      <c r="AC960" s="33" t="n"/>
      <c r="AD960" s="33" t="n"/>
      <c r="AE960" s="33" t="n"/>
      <c r="AF960" s="32" t="n"/>
      <c r="AG960" s="32" t="n"/>
      <c r="AH960" s="32" t="n"/>
      <c r="AI960" s="32" t="n"/>
      <c r="AJ960" s="32" t="n"/>
      <c r="AK960" s="32" t="n"/>
      <c r="AL960" s="32" t="n"/>
      <c r="AM960" s="32" t="n"/>
      <c r="AN960" s="32" t="n"/>
      <c r="AO960" s="32" t="n"/>
      <c r="AP960" s="32" t="n"/>
      <c r="AQ960" s="32" t="n"/>
      <c r="AR960" s="29">
        <f>IF(NOT(COUNTA(A960:AE960)&gt;0),"",IF(A960="","New client","Update"))</f>
        <v/>
      </c>
      <c r="AS960" s="29">
        <f>IF(BA960&lt;&gt;"",BA960,IF(LEN(AZ960)=15,MID(AZ960,3,10),""))</f>
        <v/>
      </c>
      <c r="AT960" s="29">
        <f>IF(BB960="","",BB960&amp;IF(D960="","  (guessed from PAN)",""))</f>
        <v/>
      </c>
      <c r="AU960" s="29">
        <f>IF(AZ960="","",IFERROR(INDEX(Lists!$L$2:$L$38,MATCH(LEFT(AZ960,2),Lists!$K$2:$K$38,0)),"Unknown code"))</f>
        <v/>
      </c>
      <c r="AV960" s="29">
        <f>IF(AZ960="","",IFERROR(IF(NOT(AND(LEN(AZ960)=15,ISNUMBER(MATCH(LEFT(AZ960,2),Lists!$K$2:$K$38,0)),SUMPRODUCT(--ISERROR(FIND(MID(MID(AZ960,3,10),{1,2,3,4,5,10},1),"ABCDEFGHIJKLMNOPQRSTUVWXYZ")))=0,SUMPRODUCT(--ISERROR(FIND(MID(MID(AZ960,3,10),{6,7,8,9},1),"0123456789")))=0,ISNUMBER(FIND(MID(AZ960,13,1),"123456789ABCDEFGHIJKLMNOPQRSTUVWXYZ")),MID(AZ960,14,1)="Z")),"Wrong format",IF(MID("0123456789ABCDEFGHIJKLMNOPQRSTUVWXYZ",MOD(36-MOD(SUMPRODUCT(INT((FIND(MID(AZ960,{1,2,3,4,5,6,7,8,9,10,11,12,13,14},1),"0123456789ABCDEFGHIJKLMNOPQRSTUVWXYZ")-1)*{1,2,1,2,1,2,1,2,1,2,1,2,1,2}/36)+MOD((FIND(MID(AZ960,{1,2,3,4,5,6,7,8,9,10,11,12,13,14},1),"0123456789ABCDEFGHIJKLMNOPQRSTUVWXYZ")-1)*{1,2,1,2,1,2,1,2,1,2,1,2,1,2},36)),36),36)+1,1)=MID(AZ960,15,1),"OK","Typo? check digit wrong")),"Wrong format"))</f>
        <v/>
      </c>
      <c r="AW960" s="29">
        <f>IF(BA960="","",IF(AND(LEN(BA960)=10,SUMPRODUCT(--ISERROR(FIND(MID(BA960,{1,2,3,4,5,10},1),"ABCDEFGHIJKLMNOPQRSTUVWXYZ")))=0,SUMPRODUCT(--ISERROR(FIND(MID(BA960,{6,7,8,9},1),"0123456789")))=0),"OK","Wrong format"))</f>
        <v/>
      </c>
      <c r="AX960" s="29">
        <f>IF(TRIM(H960)="","",IF(AND(LEN(UPPER(TRIM(H960)))=10,SUMPRODUCT(--ISERROR(FIND(MID(UPPER(TRIM(H960)),{1,2,3,4,10},1),"ABCDEFGHIJKLMNOPQRSTUVWXYZ")))=0,SUMPRODUCT(--ISERROR(FIND(MID(UPPER(TRIM(H960)),{5,6,7,8,9},1),"0123456789")))=0),"OK","Wrong format"))</f>
        <v/>
      </c>
      <c r="AY960" s="30">
        <f>IF(NOT(COUNTA(A960:AE960)&gt;0),"",IF(BE960&lt;&gt;"","✖ "&amp;LEFT(BE960,LEN(BE960)-2),IF(BD960&gt;0,"✔ Ready — client + "&amp;BD960&amp;" service(s)","✔ Ready — client only")))</f>
        <v/>
      </c>
      <c r="AZ960" s="31">
        <f>UPPER(SUBSTITUTE(TRIM(F960)," ",""))</f>
        <v/>
      </c>
      <c r="BA960" s="31">
        <f>UPPER(SUBSTITUTE(TRIM(E960)," ",""))</f>
        <v/>
      </c>
      <c r="BB960" s="31">
        <f>IF(D960&lt;&gt;"",D960,IFERROR(VLOOKUP(MID(AS960,4,1),Lists!$E$2:$F$8,2,FALSE),""))</f>
        <v/>
      </c>
      <c r="BC960" s="31">
        <f>IFERROR(VLOOKUP(BB960,Lists!$A$2:$C$12,3,FALSE),"")</f>
        <v/>
      </c>
      <c r="BD960" s="31">
        <f>COUNTIF(W960:AC960,"Yes")</f>
        <v/>
      </c>
      <c r="BE960" s="31">
        <f>IF(TRIM(B960)="","Legal name missing; ","")&amp;IF(AND(AV960&lt;&gt;"",AV960&lt;&gt;"OK"),"GSTIN: "&amp;AV960&amp;"; ","")&amp;IF(AND(AW960&lt;&gt;"",AW960&lt;&gt;"OK"),"PAN wrong format; ","")&amp;IF(AND(BA960&lt;&gt;"",LEN(AZ960)=15,MID(AZ960,3,10)&lt;&gt;BA960),"PAN does not match GSTIN; ","")&amp;IF(AND(AX960&lt;&gt;"",AX960&lt;&gt;"OK"),"TAN wrong format; ","")&amp;IF(AS960="","PAN missing; ","")&amp;IF(BB960="","Entity type missing; ","")&amp;IF(AND(AZ960&lt;&gt;"",COUNTIF($AZ$6:$AZ$1005,AZ960)&gt;1),"GSTIN repeated in this sheet; ","")&amp;IF(AND(AS960&lt;&gt;"",COUNTIF($AS$6:$AS$1005,AS960)&gt;1),"PAN repeated in this sheet (same client? put extra GSTINs in Other GSTINs); ","")&amp;IF(AND(BD960&gt;0,V960=""),"Financial year missing; ","")&amp;IF(AND(BD960=0,V960&lt;&gt;""),"Financial year given but no service is Yes; ","")&amp;IF(AND(W960="Yes",AZ960=""),"GST needs a GSTIN; ","")&amp;IF(AND(W960="Yes",X960=""),"GST return frequency missing; ","")&amp;IF(AND(Y960="Yes",TRIM(H960)=""),"TDS needs a TAN; ","")&amp;IF(AND(AA960="Yes",BC960&lt;&gt;"",BC960&lt;&gt;"company",BC960&lt;&gt;"llp"),"ROC is only for a company / LLP; ","")&amp;IF(AND(AA960="Yes",OR(BC960="company",BC960="llp"),TRIM(I960)=""),"ROC needs the CIN / LLPIN; ","")&amp;IF((TRIM(AF960)="")&lt;&gt;(TRIM(AG960)=""),"GST login needs both user ID and password; ","")&amp;IF((TRIM(AH960)="")&lt;&gt;(TRIM(AI960)=""),"Income-tax login needs both user ID and password; ","")&amp;IF((TRIM(AJ960)="")&lt;&gt;(TRIM(AK960)=""),"Income-tax login needs both user ID and password; ","")&amp;IF((TRIM(AL960)="")&lt;&gt;(TRIM(AM960)=""),"TRACES login needs both user ID and password; ","")&amp;IF((TRIM(AN960)="")&lt;&gt;(TRIM(AO960)=""),"MCA login needs both user ID and password; ","")&amp;IF((TRIM(AP960)="")&lt;&gt;(TRIM(AQ960)=""),"E-way bill login needs both user ID and password; ","")</f>
        <v/>
      </c>
    </row>
    <row r="961">
      <c r="A961" s="32" t="n"/>
      <c r="B961" s="33" t="n"/>
      <c r="C961" s="33" t="n"/>
      <c r="D961" s="33" t="n"/>
      <c r="E961" s="32" t="n"/>
      <c r="F961" s="32" t="n"/>
      <c r="G961" s="32" t="n"/>
      <c r="H961" s="32" t="n"/>
      <c r="I961" s="32" t="n"/>
      <c r="J961" s="34" t="n"/>
      <c r="K961" s="33" t="n"/>
      <c r="L961" s="32" t="n"/>
      <c r="M961" s="33" t="n"/>
      <c r="N961" s="33" t="n"/>
      <c r="O961" s="33" t="n"/>
      <c r="P961" s="32" t="n"/>
      <c r="Q961" s="33" t="n"/>
      <c r="R961" s="33" t="n"/>
      <c r="S961" s="33" t="n"/>
      <c r="T961" s="33" t="n"/>
      <c r="U961" s="32" t="n"/>
      <c r="V961" s="33" t="n"/>
      <c r="W961" s="33" t="n"/>
      <c r="X961" s="33" t="n"/>
      <c r="Y961" s="33" t="n"/>
      <c r="Z961" s="33" t="n"/>
      <c r="AA961" s="33" t="n"/>
      <c r="AB961" s="33" t="n"/>
      <c r="AC961" s="33" t="n"/>
      <c r="AD961" s="33" t="n"/>
      <c r="AE961" s="33" t="n"/>
      <c r="AF961" s="32" t="n"/>
      <c r="AG961" s="32" t="n"/>
      <c r="AH961" s="32" t="n"/>
      <c r="AI961" s="32" t="n"/>
      <c r="AJ961" s="32" t="n"/>
      <c r="AK961" s="32" t="n"/>
      <c r="AL961" s="32" t="n"/>
      <c r="AM961" s="32" t="n"/>
      <c r="AN961" s="32" t="n"/>
      <c r="AO961" s="32" t="n"/>
      <c r="AP961" s="32" t="n"/>
      <c r="AQ961" s="32" t="n"/>
      <c r="AR961" s="29">
        <f>IF(NOT(COUNTA(A961:AE961)&gt;0),"",IF(A961="","New client","Update"))</f>
        <v/>
      </c>
      <c r="AS961" s="29">
        <f>IF(BA961&lt;&gt;"",BA961,IF(LEN(AZ961)=15,MID(AZ961,3,10),""))</f>
        <v/>
      </c>
      <c r="AT961" s="29">
        <f>IF(BB961="","",BB961&amp;IF(D961="","  (guessed from PAN)",""))</f>
        <v/>
      </c>
      <c r="AU961" s="29">
        <f>IF(AZ961="","",IFERROR(INDEX(Lists!$L$2:$L$38,MATCH(LEFT(AZ961,2),Lists!$K$2:$K$38,0)),"Unknown code"))</f>
        <v/>
      </c>
      <c r="AV961" s="29">
        <f>IF(AZ961="","",IFERROR(IF(NOT(AND(LEN(AZ961)=15,ISNUMBER(MATCH(LEFT(AZ961,2),Lists!$K$2:$K$38,0)),SUMPRODUCT(--ISERROR(FIND(MID(MID(AZ961,3,10),{1,2,3,4,5,10},1),"ABCDEFGHIJKLMNOPQRSTUVWXYZ")))=0,SUMPRODUCT(--ISERROR(FIND(MID(MID(AZ961,3,10),{6,7,8,9},1),"0123456789")))=0,ISNUMBER(FIND(MID(AZ961,13,1),"123456789ABCDEFGHIJKLMNOPQRSTUVWXYZ")),MID(AZ961,14,1)="Z")),"Wrong format",IF(MID("0123456789ABCDEFGHIJKLMNOPQRSTUVWXYZ",MOD(36-MOD(SUMPRODUCT(INT((FIND(MID(AZ961,{1,2,3,4,5,6,7,8,9,10,11,12,13,14},1),"0123456789ABCDEFGHIJKLMNOPQRSTUVWXYZ")-1)*{1,2,1,2,1,2,1,2,1,2,1,2,1,2}/36)+MOD((FIND(MID(AZ961,{1,2,3,4,5,6,7,8,9,10,11,12,13,14},1),"0123456789ABCDEFGHIJKLMNOPQRSTUVWXYZ")-1)*{1,2,1,2,1,2,1,2,1,2,1,2,1,2},36)),36),36)+1,1)=MID(AZ961,15,1),"OK","Typo? check digit wrong")),"Wrong format"))</f>
        <v/>
      </c>
      <c r="AW961" s="29">
        <f>IF(BA961="","",IF(AND(LEN(BA961)=10,SUMPRODUCT(--ISERROR(FIND(MID(BA961,{1,2,3,4,5,10},1),"ABCDEFGHIJKLMNOPQRSTUVWXYZ")))=0,SUMPRODUCT(--ISERROR(FIND(MID(BA961,{6,7,8,9},1),"0123456789")))=0),"OK","Wrong format"))</f>
        <v/>
      </c>
      <c r="AX961" s="29">
        <f>IF(TRIM(H961)="","",IF(AND(LEN(UPPER(TRIM(H961)))=10,SUMPRODUCT(--ISERROR(FIND(MID(UPPER(TRIM(H961)),{1,2,3,4,10},1),"ABCDEFGHIJKLMNOPQRSTUVWXYZ")))=0,SUMPRODUCT(--ISERROR(FIND(MID(UPPER(TRIM(H961)),{5,6,7,8,9},1),"0123456789")))=0),"OK","Wrong format"))</f>
        <v/>
      </c>
      <c r="AY961" s="30">
        <f>IF(NOT(COUNTA(A961:AE961)&gt;0),"",IF(BE961&lt;&gt;"","✖ "&amp;LEFT(BE961,LEN(BE961)-2),IF(BD961&gt;0,"✔ Ready — client + "&amp;BD961&amp;" service(s)","✔ Ready — client only")))</f>
        <v/>
      </c>
      <c r="AZ961" s="31">
        <f>UPPER(SUBSTITUTE(TRIM(F961)," ",""))</f>
        <v/>
      </c>
      <c r="BA961" s="31">
        <f>UPPER(SUBSTITUTE(TRIM(E961)," ",""))</f>
        <v/>
      </c>
      <c r="BB961" s="31">
        <f>IF(D961&lt;&gt;"",D961,IFERROR(VLOOKUP(MID(AS961,4,1),Lists!$E$2:$F$8,2,FALSE),""))</f>
        <v/>
      </c>
      <c r="BC961" s="31">
        <f>IFERROR(VLOOKUP(BB961,Lists!$A$2:$C$12,3,FALSE),"")</f>
        <v/>
      </c>
      <c r="BD961" s="31">
        <f>COUNTIF(W961:AC961,"Yes")</f>
        <v/>
      </c>
      <c r="BE961" s="31">
        <f>IF(TRIM(B961)="","Legal name missing; ","")&amp;IF(AND(AV961&lt;&gt;"",AV961&lt;&gt;"OK"),"GSTIN: "&amp;AV961&amp;"; ","")&amp;IF(AND(AW961&lt;&gt;"",AW961&lt;&gt;"OK"),"PAN wrong format; ","")&amp;IF(AND(BA961&lt;&gt;"",LEN(AZ961)=15,MID(AZ961,3,10)&lt;&gt;BA961),"PAN does not match GSTIN; ","")&amp;IF(AND(AX961&lt;&gt;"",AX961&lt;&gt;"OK"),"TAN wrong format; ","")&amp;IF(AS961="","PAN missing; ","")&amp;IF(BB961="","Entity type missing; ","")&amp;IF(AND(AZ961&lt;&gt;"",COUNTIF($AZ$6:$AZ$1005,AZ961)&gt;1),"GSTIN repeated in this sheet; ","")&amp;IF(AND(AS961&lt;&gt;"",COUNTIF($AS$6:$AS$1005,AS961)&gt;1),"PAN repeated in this sheet (same client? put extra GSTINs in Other GSTINs); ","")&amp;IF(AND(BD961&gt;0,V961=""),"Financial year missing; ","")&amp;IF(AND(BD961=0,V961&lt;&gt;""),"Financial year given but no service is Yes; ","")&amp;IF(AND(W961="Yes",AZ961=""),"GST needs a GSTIN; ","")&amp;IF(AND(W961="Yes",X961=""),"GST return frequency missing; ","")&amp;IF(AND(Y961="Yes",TRIM(H961)=""),"TDS needs a TAN; ","")&amp;IF(AND(AA961="Yes",BC961&lt;&gt;"",BC961&lt;&gt;"company",BC961&lt;&gt;"llp"),"ROC is only for a company / LLP; ","")&amp;IF(AND(AA961="Yes",OR(BC961="company",BC961="llp"),TRIM(I961)=""),"ROC needs the CIN / LLPIN; ","")&amp;IF((TRIM(AF961)="")&lt;&gt;(TRIM(AG961)=""),"GST login needs both user ID and password; ","")&amp;IF((TRIM(AH961)="")&lt;&gt;(TRIM(AI961)=""),"Income-tax login needs both user ID and password; ","")&amp;IF((TRIM(AJ961)="")&lt;&gt;(TRIM(AK961)=""),"Income-tax login needs both user ID and password; ","")&amp;IF((TRIM(AL961)="")&lt;&gt;(TRIM(AM961)=""),"TRACES login needs both user ID and password; ","")&amp;IF((TRIM(AN961)="")&lt;&gt;(TRIM(AO961)=""),"MCA login needs both user ID and password; ","")&amp;IF((TRIM(AP961)="")&lt;&gt;(TRIM(AQ961)=""),"E-way bill login needs both user ID and password; ","")</f>
        <v/>
      </c>
    </row>
    <row r="962">
      <c r="A962" s="32" t="n"/>
      <c r="B962" s="33" t="n"/>
      <c r="C962" s="33" t="n"/>
      <c r="D962" s="33" t="n"/>
      <c r="E962" s="32" t="n"/>
      <c r="F962" s="32" t="n"/>
      <c r="G962" s="32" t="n"/>
      <c r="H962" s="32" t="n"/>
      <c r="I962" s="32" t="n"/>
      <c r="J962" s="34" t="n"/>
      <c r="K962" s="33" t="n"/>
      <c r="L962" s="32" t="n"/>
      <c r="M962" s="33" t="n"/>
      <c r="N962" s="33" t="n"/>
      <c r="O962" s="33" t="n"/>
      <c r="P962" s="32" t="n"/>
      <c r="Q962" s="33" t="n"/>
      <c r="R962" s="33" t="n"/>
      <c r="S962" s="33" t="n"/>
      <c r="T962" s="33" t="n"/>
      <c r="U962" s="32" t="n"/>
      <c r="V962" s="33" t="n"/>
      <c r="W962" s="33" t="n"/>
      <c r="X962" s="33" t="n"/>
      <c r="Y962" s="33" t="n"/>
      <c r="Z962" s="33" t="n"/>
      <c r="AA962" s="33" t="n"/>
      <c r="AB962" s="33" t="n"/>
      <c r="AC962" s="33" t="n"/>
      <c r="AD962" s="33" t="n"/>
      <c r="AE962" s="33" t="n"/>
      <c r="AF962" s="32" t="n"/>
      <c r="AG962" s="32" t="n"/>
      <c r="AH962" s="32" t="n"/>
      <c r="AI962" s="32" t="n"/>
      <c r="AJ962" s="32" t="n"/>
      <c r="AK962" s="32" t="n"/>
      <c r="AL962" s="32" t="n"/>
      <c r="AM962" s="32" t="n"/>
      <c r="AN962" s="32" t="n"/>
      <c r="AO962" s="32" t="n"/>
      <c r="AP962" s="32" t="n"/>
      <c r="AQ962" s="32" t="n"/>
      <c r="AR962" s="29">
        <f>IF(NOT(COUNTA(A962:AE962)&gt;0),"",IF(A962="","New client","Update"))</f>
        <v/>
      </c>
      <c r="AS962" s="29">
        <f>IF(BA962&lt;&gt;"",BA962,IF(LEN(AZ962)=15,MID(AZ962,3,10),""))</f>
        <v/>
      </c>
      <c r="AT962" s="29">
        <f>IF(BB962="","",BB962&amp;IF(D962="","  (guessed from PAN)",""))</f>
        <v/>
      </c>
      <c r="AU962" s="29">
        <f>IF(AZ962="","",IFERROR(INDEX(Lists!$L$2:$L$38,MATCH(LEFT(AZ962,2),Lists!$K$2:$K$38,0)),"Unknown code"))</f>
        <v/>
      </c>
      <c r="AV962" s="29">
        <f>IF(AZ962="","",IFERROR(IF(NOT(AND(LEN(AZ962)=15,ISNUMBER(MATCH(LEFT(AZ962,2),Lists!$K$2:$K$38,0)),SUMPRODUCT(--ISERROR(FIND(MID(MID(AZ962,3,10),{1,2,3,4,5,10},1),"ABCDEFGHIJKLMNOPQRSTUVWXYZ")))=0,SUMPRODUCT(--ISERROR(FIND(MID(MID(AZ962,3,10),{6,7,8,9},1),"0123456789")))=0,ISNUMBER(FIND(MID(AZ962,13,1),"123456789ABCDEFGHIJKLMNOPQRSTUVWXYZ")),MID(AZ962,14,1)="Z")),"Wrong format",IF(MID("0123456789ABCDEFGHIJKLMNOPQRSTUVWXYZ",MOD(36-MOD(SUMPRODUCT(INT((FIND(MID(AZ962,{1,2,3,4,5,6,7,8,9,10,11,12,13,14},1),"0123456789ABCDEFGHIJKLMNOPQRSTUVWXYZ")-1)*{1,2,1,2,1,2,1,2,1,2,1,2,1,2}/36)+MOD((FIND(MID(AZ962,{1,2,3,4,5,6,7,8,9,10,11,12,13,14},1),"0123456789ABCDEFGHIJKLMNOPQRSTUVWXYZ")-1)*{1,2,1,2,1,2,1,2,1,2,1,2,1,2},36)),36),36)+1,1)=MID(AZ962,15,1),"OK","Typo? check digit wrong")),"Wrong format"))</f>
        <v/>
      </c>
      <c r="AW962" s="29">
        <f>IF(BA962="","",IF(AND(LEN(BA962)=10,SUMPRODUCT(--ISERROR(FIND(MID(BA962,{1,2,3,4,5,10},1),"ABCDEFGHIJKLMNOPQRSTUVWXYZ")))=0,SUMPRODUCT(--ISERROR(FIND(MID(BA962,{6,7,8,9},1),"0123456789")))=0),"OK","Wrong format"))</f>
        <v/>
      </c>
      <c r="AX962" s="29">
        <f>IF(TRIM(H962)="","",IF(AND(LEN(UPPER(TRIM(H962)))=10,SUMPRODUCT(--ISERROR(FIND(MID(UPPER(TRIM(H962)),{1,2,3,4,10},1),"ABCDEFGHIJKLMNOPQRSTUVWXYZ")))=0,SUMPRODUCT(--ISERROR(FIND(MID(UPPER(TRIM(H962)),{5,6,7,8,9},1),"0123456789")))=0),"OK","Wrong format"))</f>
        <v/>
      </c>
      <c r="AY962" s="30">
        <f>IF(NOT(COUNTA(A962:AE962)&gt;0),"",IF(BE962&lt;&gt;"","✖ "&amp;LEFT(BE962,LEN(BE962)-2),IF(BD962&gt;0,"✔ Ready — client + "&amp;BD962&amp;" service(s)","✔ Ready — client only")))</f>
        <v/>
      </c>
      <c r="AZ962" s="31">
        <f>UPPER(SUBSTITUTE(TRIM(F962)," ",""))</f>
        <v/>
      </c>
      <c r="BA962" s="31">
        <f>UPPER(SUBSTITUTE(TRIM(E962)," ",""))</f>
        <v/>
      </c>
      <c r="BB962" s="31">
        <f>IF(D962&lt;&gt;"",D962,IFERROR(VLOOKUP(MID(AS962,4,1),Lists!$E$2:$F$8,2,FALSE),""))</f>
        <v/>
      </c>
      <c r="BC962" s="31">
        <f>IFERROR(VLOOKUP(BB962,Lists!$A$2:$C$12,3,FALSE),"")</f>
        <v/>
      </c>
      <c r="BD962" s="31">
        <f>COUNTIF(W962:AC962,"Yes")</f>
        <v/>
      </c>
      <c r="BE962" s="31">
        <f>IF(TRIM(B962)="","Legal name missing; ","")&amp;IF(AND(AV962&lt;&gt;"",AV962&lt;&gt;"OK"),"GSTIN: "&amp;AV962&amp;"; ","")&amp;IF(AND(AW962&lt;&gt;"",AW962&lt;&gt;"OK"),"PAN wrong format; ","")&amp;IF(AND(BA962&lt;&gt;"",LEN(AZ962)=15,MID(AZ962,3,10)&lt;&gt;BA962),"PAN does not match GSTIN; ","")&amp;IF(AND(AX962&lt;&gt;"",AX962&lt;&gt;"OK"),"TAN wrong format; ","")&amp;IF(AS962="","PAN missing; ","")&amp;IF(BB962="","Entity type missing; ","")&amp;IF(AND(AZ962&lt;&gt;"",COUNTIF($AZ$6:$AZ$1005,AZ962)&gt;1),"GSTIN repeated in this sheet; ","")&amp;IF(AND(AS962&lt;&gt;"",COUNTIF($AS$6:$AS$1005,AS962)&gt;1),"PAN repeated in this sheet (same client? put extra GSTINs in Other GSTINs); ","")&amp;IF(AND(BD962&gt;0,V962=""),"Financial year missing; ","")&amp;IF(AND(BD962=0,V962&lt;&gt;""),"Financial year given but no service is Yes; ","")&amp;IF(AND(W962="Yes",AZ962=""),"GST needs a GSTIN; ","")&amp;IF(AND(W962="Yes",X962=""),"GST return frequency missing; ","")&amp;IF(AND(Y962="Yes",TRIM(H962)=""),"TDS needs a TAN; ","")&amp;IF(AND(AA962="Yes",BC962&lt;&gt;"",BC962&lt;&gt;"company",BC962&lt;&gt;"llp"),"ROC is only for a company / LLP; ","")&amp;IF(AND(AA962="Yes",OR(BC962="company",BC962="llp"),TRIM(I962)=""),"ROC needs the CIN / LLPIN; ","")&amp;IF((TRIM(AF962)="")&lt;&gt;(TRIM(AG962)=""),"GST login needs both user ID and password; ","")&amp;IF((TRIM(AH962)="")&lt;&gt;(TRIM(AI962)=""),"Income-tax login needs both user ID and password; ","")&amp;IF((TRIM(AJ962)="")&lt;&gt;(TRIM(AK962)=""),"Income-tax login needs both user ID and password; ","")&amp;IF((TRIM(AL962)="")&lt;&gt;(TRIM(AM962)=""),"TRACES login needs both user ID and password; ","")&amp;IF((TRIM(AN962)="")&lt;&gt;(TRIM(AO962)=""),"MCA login needs both user ID and password; ","")&amp;IF((TRIM(AP962)="")&lt;&gt;(TRIM(AQ962)=""),"E-way bill login needs both user ID and password; ","")</f>
        <v/>
      </c>
    </row>
    <row r="963">
      <c r="A963" s="32" t="n"/>
      <c r="B963" s="33" t="n"/>
      <c r="C963" s="33" t="n"/>
      <c r="D963" s="33" t="n"/>
      <c r="E963" s="32" t="n"/>
      <c r="F963" s="32" t="n"/>
      <c r="G963" s="32" t="n"/>
      <c r="H963" s="32" t="n"/>
      <c r="I963" s="32" t="n"/>
      <c r="J963" s="34" t="n"/>
      <c r="K963" s="33" t="n"/>
      <c r="L963" s="32" t="n"/>
      <c r="M963" s="33" t="n"/>
      <c r="N963" s="33" t="n"/>
      <c r="O963" s="33" t="n"/>
      <c r="P963" s="32" t="n"/>
      <c r="Q963" s="33" t="n"/>
      <c r="R963" s="33" t="n"/>
      <c r="S963" s="33" t="n"/>
      <c r="T963" s="33" t="n"/>
      <c r="U963" s="32" t="n"/>
      <c r="V963" s="33" t="n"/>
      <c r="W963" s="33" t="n"/>
      <c r="X963" s="33" t="n"/>
      <c r="Y963" s="33" t="n"/>
      <c r="Z963" s="33" t="n"/>
      <c r="AA963" s="33" t="n"/>
      <c r="AB963" s="33" t="n"/>
      <c r="AC963" s="33" t="n"/>
      <c r="AD963" s="33" t="n"/>
      <c r="AE963" s="33" t="n"/>
      <c r="AF963" s="32" t="n"/>
      <c r="AG963" s="32" t="n"/>
      <c r="AH963" s="32" t="n"/>
      <c r="AI963" s="32" t="n"/>
      <c r="AJ963" s="32" t="n"/>
      <c r="AK963" s="32" t="n"/>
      <c r="AL963" s="32" t="n"/>
      <c r="AM963" s="32" t="n"/>
      <c r="AN963" s="32" t="n"/>
      <c r="AO963" s="32" t="n"/>
      <c r="AP963" s="32" t="n"/>
      <c r="AQ963" s="32" t="n"/>
      <c r="AR963" s="29">
        <f>IF(NOT(COUNTA(A963:AE963)&gt;0),"",IF(A963="","New client","Update"))</f>
        <v/>
      </c>
      <c r="AS963" s="29">
        <f>IF(BA963&lt;&gt;"",BA963,IF(LEN(AZ963)=15,MID(AZ963,3,10),""))</f>
        <v/>
      </c>
      <c r="AT963" s="29">
        <f>IF(BB963="","",BB963&amp;IF(D963="","  (guessed from PAN)",""))</f>
        <v/>
      </c>
      <c r="AU963" s="29">
        <f>IF(AZ963="","",IFERROR(INDEX(Lists!$L$2:$L$38,MATCH(LEFT(AZ963,2),Lists!$K$2:$K$38,0)),"Unknown code"))</f>
        <v/>
      </c>
      <c r="AV963" s="29">
        <f>IF(AZ963="","",IFERROR(IF(NOT(AND(LEN(AZ963)=15,ISNUMBER(MATCH(LEFT(AZ963,2),Lists!$K$2:$K$38,0)),SUMPRODUCT(--ISERROR(FIND(MID(MID(AZ963,3,10),{1,2,3,4,5,10},1),"ABCDEFGHIJKLMNOPQRSTUVWXYZ")))=0,SUMPRODUCT(--ISERROR(FIND(MID(MID(AZ963,3,10),{6,7,8,9},1),"0123456789")))=0,ISNUMBER(FIND(MID(AZ963,13,1),"123456789ABCDEFGHIJKLMNOPQRSTUVWXYZ")),MID(AZ963,14,1)="Z")),"Wrong format",IF(MID("0123456789ABCDEFGHIJKLMNOPQRSTUVWXYZ",MOD(36-MOD(SUMPRODUCT(INT((FIND(MID(AZ963,{1,2,3,4,5,6,7,8,9,10,11,12,13,14},1),"0123456789ABCDEFGHIJKLMNOPQRSTUVWXYZ")-1)*{1,2,1,2,1,2,1,2,1,2,1,2,1,2}/36)+MOD((FIND(MID(AZ963,{1,2,3,4,5,6,7,8,9,10,11,12,13,14},1),"0123456789ABCDEFGHIJKLMNOPQRSTUVWXYZ")-1)*{1,2,1,2,1,2,1,2,1,2,1,2,1,2},36)),36),36)+1,1)=MID(AZ963,15,1),"OK","Typo? check digit wrong")),"Wrong format"))</f>
        <v/>
      </c>
      <c r="AW963" s="29">
        <f>IF(BA963="","",IF(AND(LEN(BA963)=10,SUMPRODUCT(--ISERROR(FIND(MID(BA963,{1,2,3,4,5,10},1),"ABCDEFGHIJKLMNOPQRSTUVWXYZ")))=0,SUMPRODUCT(--ISERROR(FIND(MID(BA963,{6,7,8,9},1),"0123456789")))=0),"OK","Wrong format"))</f>
        <v/>
      </c>
      <c r="AX963" s="29">
        <f>IF(TRIM(H963)="","",IF(AND(LEN(UPPER(TRIM(H963)))=10,SUMPRODUCT(--ISERROR(FIND(MID(UPPER(TRIM(H963)),{1,2,3,4,10},1),"ABCDEFGHIJKLMNOPQRSTUVWXYZ")))=0,SUMPRODUCT(--ISERROR(FIND(MID(UPPER(TRIM(H963)),{5,6,7,8,9},1),"0123456789")))=0),"OK","Wrong format"))</f>
        <v/>
      </c>
      <c r="AY963" s="30">
        <f>IF(NOT(COUNTA(A963:AE963)&gt;0),"",IF(BE963&lt;&gt;"","✖ "&amp;LEFT(BE963,LEN(BE963)-2),IF(BD963&gt;0,"✔ Ready — client + "&amp;BD963&amp;" service(s)","✔ Ready — client only")))</f>
        <v/>
      </c>
      <c r="AZ963" s="31">
        <f>UPPER(SUBSTITUTE(TRIM(F963)," ",""))</f>
        <v/>
      </c>
      <c r="BA963" s="31">
        <f>UPPER(SUBSTITUTE(TRIM(E963)," ",""))</f>
        <v/>
      </c>
      <c r="BB963" s="31">
        <f>IF(D963&lt;&gt;"",D963,IFERROR(VLOOKUP(MID(AS963,4,1),Lists!$E$2:$F$8,2,FALSE),""))</f>
        <v/>
      </c>
      <c r="BC963" s="31">
        <f>IFERROR(VLOOKUP(BB963,Lists!$A$2:$C$12,3,FALSE),"")</f>
        <v/>
      </c>
      <c r="BD963" s="31">
        <f>COUNTIF(W963:AC963,"Yes")</f>
        <v/>
      </c>
      <c r="BE963" s="31">
        <f>IF(TRIM(B963)="","Legal name missing; ","")&amp;IF(AND(AV963&lt;&gt;"",AV963&lt;&gt;"OK"),"GSTIN: "&amp;AV963&amp;"; ","")&amp;IF(AND(AW963&lt;&gt;"",AW963&lt;&gt;"OK"),"PAN wrong format; ","")&amp;IF(AND(BA963&lt;&gt;"",LEN(AZ963)=15,MID(AZ963,3,10)&lt;&gt;BA963),"PAN does not match GSTIN; ","")&amp;IF(AND(AX963&lt;&gt;"",AX963&lt;&gt;"OK"),"TAN wrong format; ","")&amp;IF(AS963="","PAN missing; ","")&amp;IF(BB963="","Entity type missing; ","")&amp;IF(AND(AZ963&lt;&gt;"",COUNTIF($AZ$6:$AZ$1005,AZ963)&gt;1),"GSTIN repeated in this sheet; ","")&amp;IF(AND(AS963&lt;&gt;"",COUNTIF($AS$6:$AS$1005,AS963)&gt;1),"PAN repeated in this sheet (same client? put extra GSTINs in Other GSTINs); ","")&amp;IF(AND(BD963&gt;0,V963=""),"Financial year missing; ","")&amp;IF(AND(BD963=0,V963&lt;&gt;""),"Financial year given but no service is Yes; ","")&amp;IF(AND(W963="Yes",AZ963=""),"GST needs a GSTIN; ","")&amp;IF(AND(W963="Yes",X963=""),"GST return frequency missing; ","")&amp;IF(AND(Y963="Yes",TRIM(H963)=""),"TDS needs a TAN; ","")&amp;IF(AND(AA963="Yes",BC963&lt;&gt;"",BC963&lt;&gt;"company",BC963&lt;&gt;"llp"),"ROC is only for a company / LLP; ","")&amp;IF(AND(AA963="Yes",OR(BC963="company",BC963="llp"),TRIM(I963)=""),"ROC needs the CIN / LLPIN; ","")&amp;IF((TRIM(AF963)="")&lt;&gt;(TRIM(AG963)=""),"GST login needs both user ID and password; ","")&amp;IF((TRIM(AH963)="")&lt;&gt;(TRIM(AI963)=""),"Income-tax login needs both user ID and password; ","")&amp;IF((TRIM(AJ963)="")&lt;&gt;(TRIM(AK963)=""),"Income-tax login needs both user ID and password; ","")&amp;IF((TRIM(AL963)="")&lt;&gt;(TRIM(AM963)=""),"TRACES login needs both user ID and password; ","")&amp;IF((TRIM(AN963)="")&lt;&gt;(TRIM(AO963)=""),"MCA login needs both user ID and password; ","")&amp;IF((TRIM(AP963)="")&lt;&gt;(TRIM(AQ963)=""),"E-way bill login needs both user ID and password; ","")</f>
        <v/>
      </c>
    </row>
    <row r="964">
      <c r="A964" s="32" t="n"/>
      <c r="B964" s="33" t="n"/>
      <c r="C964" s="33" t="n"/>
      <c r="D964" s="33" t="n"/>
      <c r="E964" s="32" t="n"/>
      <c r="F964" s="32" t="n"/>
      <c r="G964" s="32" t="n"/>
      <c r="H964" s="32" t="n"/>
      <c r="I964" s="32" t="n"/>
      <c r="J964" s="34" t="n"/>
      <c r="K964" s="33" t="n"/>
      <c r="L964" s="32" t="n"/>
      <c r="M964" s="33" t="n"/>
      <c r="N964" s="33" t="n"/>
      <c r="O964" s="33" t="n"/>
      <c r="P964" s="32" t="n"/>
      <c r="Q964" s="33" t="n"/>
      <c r="R964" s="33" t="n"/>
      <c r="S964" s="33" t="n"/>
      <c r="T964" s="33" t="n"/>
      <c r="U964" s="32" t="n"/>
      <c r="V964" s="33" t="n"/>
      <c r="W964" s="33" t="n"/>
      <c r="X964" s="33" t="n"/>
      <c r="Y964" s="33" t="n"/>
      <c r="Z964" s="33" t="n"/>
      <c r="AA964" s="33" t="n"/>
      <c r="AB964" s="33" t="n"/>
      <c r="AC964" s="33" t="n"/>
      <c r="AD964" s="33" t="n"/>
      <c r="AE964" s="33" t="n"/>
      <c r="AF964" s="32" t="n"/>
      <c r="AG964" s="32" t="n"/>
      <c r="AH964" s="32" t="n"/>
      <c r="AI964" s="32" t="n"/>
      <c r="AJ964" s="32" t="n"/>
      <c r="AK964" s="32" t="n"/>
      <c r="AL964" s="32" t="n"/>
      <c r="AM964" s="32" t="n"/>
      <c r="AN964" s="32" t="n"/>
      <c r="AO964" s="32" t="n"/>
      <c r="AP964" s="32" t="n"/>
      <c r="AQ964" s="32" t="n"/>
      <c r="AR964" s="29">
        <f>IF(NOT(COUNTA(A964:AE964)&gt;0),"",IF(A964="","New client","Update"))</f>
        <v/>
      </c>
      <c r="AS964" s="29">
        <f>IF(BA964&lt;&gt;"",BA964,IF(LEN(AZ964)=15,MID(AZ964,3,10),""))</f>
        <v/>
      </c>
      <c r="AT964" s="29">
        <f>IF(BB964="","",BB964&amp;IF(D964="","  (guessed from PAN)",""))</f>
        <v/>
      </c>
      <c r="AU964" s="29">
        <f>IF(AZ964="","",IFERROR(INDEX(Lists!$L$2:$L$38,MATCH(LEFT(AZ964,2),Lists!$K$2:$K$38,0)),"Unknown code"))</f>
        <v/>
      </c>
      <c r="AV964" s="29">
        <f>IF(AZ964="","",IFERROR(IF(NOT(AND(LEN(AZ964)=15,ISNUMBER(MATCH(LEFT(AZ964,2),Lists!$K$2:$K$38,0)),SUMPRODUCT(--ISERROR(FIND(MID(MID(AZ964,3,10),{1,2,3,4,5,10},1),"ABCDEFGHIJKLMNOPQRSTUVWXYZ")))=0,SUMPRODUCT(--ISERROR(FIND(MID(MID(AZ964,3,10),{6,7,8,9},1),"0123456789")))=0,ISNUMBER(FIND(MID(AZ964,13,1),"123456789ABCDEFGHIJKLMNOPQRSTUVWXYZ")),MID(AZ964,14,1)="Z")),"Wrong format",IF(MID("0123456789ABCDEFGHIJKLMNOPQRSTUVWXYZ",MOD(36-MOD(SUMPRODUCT(INT((FIND(MID(AZ964,{1,2,3,4,5,6,7,8,9,10,11,12,13,14},1),"0123456789ABCDEFGHIJKLMNOPQRSTUVWXYZ")-1)*{1,2,1,2,1,2,1,2,1,2,1,2,1,2}/36)+MOD((FIND(MID(AZ964,{1,2,3,4,5,6,7,8,9,10,11,12,13,14},1),"0123456789ABCDEFGHIJKLMNOPQRSTUVWXYZ")-1)*{1,2,1,2,1,2,1,2,1,2,1,2,1,2},36)),36),36)+1,1)=MID(AZ964,15,1),"OK","Typo? check digit wrong")),"Wrong format"))</f>
        <v/>
      </c>
      <c r="AW964" s="29">
        <f>IF(BA964="","",IF(AND(LEN(BA964)=10,SUMPRODUCT(--ISERROR(FIND(MID(BA964,{1,2,3,4,5,10},1),"ABCDEFGHIJKLMNOPQRSTUVWXYZ")))=0,SUMPRODUCT(--ISERROR(FIND(MID(BA964,{6,7,8,9},1),"0123456789")))=0),"OK","Wrong format"))</f>
        <v/>
      </c>
      <c r="AX964" s="29">
        <f>IF(TRIM(H964)="","",IF(AND(LEN(UPPER(TRIM(H964)))=10,SUMPRODUCT(--ISERROR(FIND(MID(UPPER(TRIM(H964)),{1,2,3,4,10},1),"ABCDEFGHIJKLMNOPQRSTUVWXYZ")))=0,SUMPRODUCT(--ISERROR(FIND(MID(UPPER(TRIM(H964)),{5,6,7,8,9},1),"0123456789")))=0),"OK","Wrong format"))</f>
        <v/>
      </c>
      <c r="AY964" s="30">
        <f>IF(NOT(COUNTA(A964:AE964)&gt;0),"",IF(BE964&lt;&gt;"","✖ "&amp;LEFT(BE964,LEN(BE964)-2),IF(BD964&gt;0,"✔ Ready — client + "&amp;BD964&amp;" service(s)","✔ Ready — client only")))</f>
        <v/>
      </c>
      <c r="AZ964" s="31">
        <f>UPPER(SUBSTITUTE(TRIM(F964)," ",""))</f>
        <v/>
      </c>
      <c r="BA964" s="31">
        <f>UPPER(SUBSTITUTE(TRIM(E964)," ",""))</f>
        <v/>
      </c>
      <c r="BB964" s="31">
        <f>IF(D964&lt;&gt;"",D964,IFERROR(VLOOKUP(MID(AS964,4,1),Lists!$E$2:$F$8,2,FALSE),""))</f>
        <v/>
      </c>
      <c r="BC964" s="31">
        <f>IFERROR(VLOOKUP(BB964,Lists!$A$2:$C$12,3,FALSE),"")</f>
        <v/>
      </c>
      <c r="BD964" s="31">
        <f>COUNTIF(W964:AC964,"Yes")</f>
        <v/>
      </c>
      <c r="BE964" s="31">
        <f>IF(TRIM(B964)="","Legal name missing; ","")&amp;IF(AND(AV964&lt;&gt;"",AV964&lt;&gt;"OK"),"GSTIN: "&amp;AV964&amp;"; ","")&amp;IF(AND(AW964&lt;&gt;"",AW964&lt;&gt;"OK"),"PAN wrong format; ","")&amp;IF(AND(BA964&lt;&gt;"",LEN(AZ964)=15,MID(AZ964,3,10)&lt;&gt;BA964),"PAN does not match GSTIN; ","")&amp;IF(AND(AX964&lt;&gt;"",AX964&lt;&gt;"OK"),"TAN wrong format; ","")&amp;IF(AS964="","PAN missing; ","")&amp;IF(BB964="","Entity type missing; ","")&amp;IF(AND(AZ964&lt;&gt;"",COUNTIF($AZ$6:$AZ$1005,AZ964)&gt;1),"GSTIN repeated in this sheet; ","")&amp;IF(AND(AS964&lt;&gt;"",COUNTIF($AS$6:$AS$1005,AS964)&gt;1),"PAN repeated in this sheet (same client? put extra GSTINs in Other GSTINs); ","")&amp;IF(AND(BD964&gt;0,V964=""),"Financial year missing; ","")&amp;IF(AND(BD964=0,V964&lt;&gt;""),"Financial year given but no service is Yes; ","")&amp;IF(AND(W964="Yes",AZ964=""),"GST needs a GSTIN; ","")&amp;IF(AND(W964="Yes",X964=""),"GST return frequency missing; ","")&amp;IF(AND(Y964="Yes",TRIM(H964)=""),"TDS needs a TAN; ","")&amp;IF(AND(AA964="Yes",BC964&lt;&gt;"",BC964&lt;&gt;"company",BC964&lt;&gt;"llp"),"ROC is only for a company / LLP; ","")&amp;IF(AND(AA964="Yes",OR(BC964="company",BC964="llp"),TRIM(I964)=""),"ROC needs the CIN / LLPIN; ","")&amp;IF((TRIM(AF964)="")&lt;&gt;(TRIM(AG964)=""),"GST login needs both user ID and password; ","")&amp;IF((TRIM(AH964)="")&lt;&gt;(TRIM(AI964)=""),"Income-tax login needs both user ID and password; ","")&amp;IF((TRIM(AJ964)="")&lt;&gt;(TRIM(AK964)=""),"Income-tax login needs both user ID and password; ","")&amp;IF((TRIM(AL964)="")&lt;&gt;(TRIM(AM964)=""),"TRACES login needs both user ID and password; ","")&amp;IF((TRIM(AN964)="")&lt;&gt;(TRIM(AO964)=""),"MCA login needs both user ID and password; ","")&amp;IF((TRIM(AP964)="")&lt;&gt;(TRIM(AQ964)=""),"E-way bill login needs both user ID and password; ","")</f>
        <v/>
      </c>
    </row>
    <row r="965">
      <c r="A965" s="32" t="n"/>
      <c r="B965" s="33" t="n"/>
      <c r="C965" s="33" t="n"/>
      <c r="D965" s="33" t="n"/>
      <c r="E965" s="32" t="n"/>
      <c r="F965" s="32" t="n"/>
      <c r="G965" s="32" t="n"/>
      <c r="H965" s="32" t="n"/>
      <c r="I965" s="32" t="n"/>
      <c r="J965" s="34" t="n"/>
      <c r="K965" s="33" t="n"/>
      <c r="L965" s="32" t="n"/>
      <c r="M965" s="33" t="n"/>
      <c r="N965" s="33" t="n"/>
      <c r="O965" s="33" t="n"/>
      <c r="P965" s="32" t="n"/>
      <c r="Q965" s="33" t="n"/>
      <c r="R965" s="33" t="n"/>
      <c r="S965" s="33" t="n"/>
      <c r="T965" s="33" t="n"/>
      <c r="U965" s="32" t="n"/>
      <c r="V965" s="33" t="n"/>
      <c r="W965" s="33" t="n"/>
      <c r="X965" s="33" t="n"/>
      <c r="Y965" s="33" t="n"/>
      <c r="Z965" s="33" t="n"/>
      <c r="AA965" s="33" t="n"/>
      <c r="AB965" s="33" t="n"/>
      <c r="AC965" s="33" t="n"/>
      <c r="AD965" s="33" t="n"/>
      <c r="AE965" s="33" t="n"/>
      <c r="AF965" s="32" t="n"/>
      <c r="AG965" s="32" t="n"/>
      <c r="AH965" s="32" t="n"/>
      <c r="AI965" s="32" t="n"/>
      <c r="AJ965" s="32" t="n"/>
      <c r="AK965" s="32" t="n"/>
      <c r="AL965" s="32" t="n"/>
      <c r="AM965" s="32" t="n"/>
      <c r="AN965" s="32" t="n"/>
      <c r="AO965" s="32" t="n"/>
      <c r="AP965" s="32" t="n"/>
      <c r="AQ965" s="32" t="n"/>
      <c r="AR965" s="29">
        <f>IF(NOT(COUNTA(A965:AE965)&gt;0),"",IF(A965="","New client","Update"))</f>
        <v/>
      </c>
      <c r="AS965" s="29">
        <f>IF(BA965&lt;&gt;"",BA965,IF(LEN(AZ965)=15,MID(AZ965,3,10),""))</f>
        <v/>
      </c>
      <c r="AT965" s="29">
        <f>IF(BB965="","",BB965&amp;IF(D965="","  (guessed from PAN)",""))</f>
        <v/>
      </c>
      <c r="AU965" s="29">
        <f>IF(AZ965="","",IFERROR(INDEX(Lists!$L$2:$L$38,MATCH(LEFT(AZ965,2),Lists!$K$2:$K$38,0)),"Unknown code"))</f>
        <v/>
      </c>
      <c r="AV965" s="29">
        <f>IF(AZ965="","",IFERROR(IF(NOT(AND(LEN(AZ965)=15,ISNUMBER(MATCH(LEFT(AZ965,2),Lists!$K$2:$K$38,0)),SUMPRODUCT(--ISERROR(FIND(MID(MID(AZ965,3,10),{1,2,3,4,5,10},1),"ABCDEFGHIJKLMNOPQRSTUVWXYZ")))=0,SUMPRODUCT(--ISERROR(FIND(MID(MID(AZ965,3,10),{6,7,8,9},1),"0123456789")))=0,ISNUMBER(FIND(MID(AZ965,13,1),"123456789ABCDEFGHIJKLMNOPQRSTUVWXYZ")),MID(AZ965,14,1)="Z")),"Wrong format",IF(MID("0123456789ABCDEFGHIJKLMNOPQRSTUVWXYZ",MOD(36-MOD(SUMPRODUCT(INT((FIND(MID(AZ965,{1,2,3,4,5,6,7,8,9,10,11,12,13,14},1),"0123456789ABCDEFGHIJKLMNOPQRSTUVWXYZ")-1)*{1,2,1,2,1,2,1,2,1,2,1,2,1,2}/36)+MOD((FIND(MID(AZ965,{1,2,3,4,5,6,7,8,9,10,11,12,13,14},1),"0123456789ABCDEFGHIJKLMNOPQRSTUVWXYZ")-1)*{1,2,1,2,1,2,1,2,1,2,1,2,1,2},36)),36),36)+1,1)=MID(AZ965,15,1),"OK","Typo? check digit wrong")),"Wrong format"))</f>
        <v/>
      </c>
      <c r="AW965" s="29">
        <f>IF(BA965="","",IF(AND(LEN(BA965)=10,SUMPRODUCT(--ISERROR(FIND(MID(BA965,{1,2,3,4,5,10},1),"ABCDEFGHIJKLMNOPQRSTUVWXYZ")))=0,SUMPRODUCT(--ISERROR(FIND(MID(BA965,{6,7,8,9},1),"0123456789")))=0),"OK","Wrong format"))</f>
        <v/>
      </c>
      <c r="AX965" s="29">
        <f>IF(TRIM(H965)="","",IF(AND(LEN(UPPER(TRIM(H965)))=10,SUMPRODUCT(--ISERROR(FIND(MID(UPPER(TRIM(H965)),{1,2,3,4,10},1),"ABCDEFGHIJKLMNOPQRSTUVWXYZ")))=0,SUMPRODUCT(--ISERROR(FIND(MID(UPPER(TRIM(H965)),{5,6,7,8,9},1),"0123456789")))=0),"OK","Wrong format"))</f>
        <v/>
      </c>
      <c r="AY965" s="30">
        <f>IF(NOT(COUNTA(A965:AE965)&gt;0),"",IF(BE965&lt;&gt;"","✖ "&amp;LEFT(BE965,LEN(BE965)-2),IF(BD965&gt;0,"✔ Ready — client + "&amp;BD965&amp;" service(s)","✔ Ready — client only")))</f>
        <v/>
      </c>
      <c r="AZ965" s="31">
        <f>UPPER(SUBSTITUTE(TRIM(F965)," ",""))</f>
        <v/>
      </c>
      <c r="BA965" s="31">
        <f>UPPER(SUBSTITUTE(TRIM(E965)," ",""))</f>
        <v/>
      </c>
      <c r="BB965" s="31">
        <f>IF(D965&lt;&gt;"",D965,IFERROR(VLOOKUP(MID(AS965,4,1),Lists!$E$2:$F$8,2,FALSE),""))</f>
        <v/>
      </c>
      <c r="BC965" s="31">
        <f>IFERROR(VLOOKUP(BB965,Lists!$A$2:$C$12,3,FALSE),"")</f>
        <v/>
      </c>
      <c r="BD965" s="31">
        <f>COUNTIF(W965:AC965,"Yes")</f>
        <v/>
      </c>
      <c r="BE965" s="31">
        <f>IF(TRIM(B965)="","Legal name missing; ","")&amp;IF(AND(AV965&lt;&gt;"",AV965&lt;&gt;"OK"),"GSTIN: "&amp;AV965&amp;"; ","")&amp;IF(AND(AW965&lt;&gt;"",AW965&lt;&gt;"OK"),"PAN wrong format; ","")&amp;IF(AND(BA965&lt;&gt;"",LEN(AZ965)=15,MID(AZ965,3,10)&lt;&gt;BA965),"PAN does not match GSTIN; ","")&amp;IF(AND(AX965&lt;&gt;"",AX965&lt;&gt;"OK"),"TAN wrong format; ","")&amp;IF(AS965="","PAN missing; ","")&amp;IF(BB965="","Entity type missing; ","")&amp;IF(AND(AZ965&lt;&gt;"",COUNTIF($AZ$6:$AZ$1005,AZ965)&gt;1),"GSTIN repeated in this sheet; ","")&amp;IF(AND(AS965&lt;&gt;"",COUNTIF($AS$6:$AS$1005,AS965)&gt;1),"PAN repeated in this sheet (same client? put extra GSTINs in Other GSTINs); ","")&amp;IF(AND(BD965&gt;0,V965=""),"Financial year missing; ","")&amp;IF(AND(BD965=0,V965&lt;&gt;""),"Financial year given but no service is Yes; ","")&amp;IF(AND(W965="Yes",AZ965=""),"GST needs a GSTIN; ","")&amp;IF(AND(W965="Yes",X965=""),"GST return frequency missing; ","")&amp;IF(AND(Y965="Yes",TRIM(H965)=""),"TDS needs a TAN; ","")&amp;IF(AND(AA965="Yes",BC965&lt;&gt;"",BC965&lt;&gt;"company",BC965&lt;&gt;"llp"),"ROC is only for a company / LLP; ","")&amp;IF(AND(AA965="Yes",OR(BC965="company",BC965="llp"),TRIM(I965)=""),"ROC needs the CIN / LLPIN; ","")&amp;IF((TRIM(AF965)="")&lt;&gt;(TRIM(AG965)=""),"GST login needs both user ID and password; ","")&amp;IF((TRIM(AH965)="")&lt;&gt;(TRIM(AI965)=""),"Income-tax login needs both user ID and password; ","")&amp;IF((TRIM(AJ965)="")&lt;&gt;(TRIM(AK965)=""),"Income-tax login needs both user ID and password; ","")&amp;IF((TRIM(AL965)="")&lt;&gt;(TRIM(AM965)=""),"TRACES login needs both user ID and password; ","")&amp;IF((TRIM(AN965)="")&lt;&gt;(TRIM(AO965)=""),"MCA login needs both user ID and password; ","")&amp;IF((TRIM(AP965)="")&lt;&gt;(TRIM(AQ965)=""),"E-way bill login needs both user ID and password; ","")</f>
        <v/>
      </c>
    </row>
    <row r="966">
      <c r="A966" s="32" t="n"/>
      <c r="B966" s="33" t="n"/>
      <c r="C966" s="33" t="n"/>
      <c r="D966" s="33" t="n"/>
      <c r="E966" s="32" t="n"/>
      <c r="F966" s="32" t="n"/>
      <c r="G966" s="32" t="n"/>
      <c r="H966" s="32" t="n"/>
      <c r="I966" s="32" t="n"/>
      <c r="J966" s="34" t="n"/>
      <c r="K966" s="33" t="n"/>
      <c r="L966" s="32" t="n"/>
      <c r="M966" s="33" t="n"/>
      <c r="N966" s="33" t="n"/>
      <c r="O966" s="33" t="n"/>
      <c r="P966" s="32" t="n"/>
      <c r="Q966" s="33" t="n"/>
      <c r="R966" s="33" t="n"/>
      <c r="S966" s="33" t="n"/>
      <c r="T966" s="33" t="n"/>
      <c r="U966" s="32" t="n"/>
      <c r="V966" s="33" t="n"/>
      <c r="W966" s="33" t="n"/>
      <c r="X966" s="33" t="n"/>
      <c r="Y966" s="33" t="n"/>
      <c r="Z966" s="33" t="n"/>
      <c r="AA966" s="33" t="n"/>
      <c r="AB966" s="33" t="n"/>
      <c r="AC966" s="33" t="n"/>
      <c r="AD966" s="33" t="n"/>
      <c r="AE966" s="33" t="n"/>
      <c r="AF966" s="32" t="n"/>
      <c r="AG966" s="32" t="n"/>
      <c r="AH966" s="32" t="n"/>
      <c r="AI966" s="32" t="n"/>
      <c r="AJ966" s="32" t="n"/>
      <c r="AK966" s="32" t="n"/>
      <c r="AL966" s="32" t="n"/>
      <c r="AM966" s="32" t="n"/>
      <c r="AN966" s="32" t="n"/>
      <c r="AO966" s="32" t="n"/>
      <c r="AP966" s="32" t="n"/>
      <c r="AQ966" s="32" t="n"/>
      <c r="AR966" s="29">
        <f>IF(NOT(COUNTA(A966:AE966)&gt;0),"",IF(A966="","New client","Update"))</f>
        <v/>
      </c>
      <c r="AS966" s="29">
        <f>IF(BA966&lt;&gt;"",BA966,IF(LEN(AZ966)=15,MID(AZ966,3,10),""))</f>
        <v/>
      </c>
      <c r="AT966" s="29">
        <f>IF(BB966="","",BB966&amp;IF(D966="","  (guessed from PAN)",""))</f>
        <v/>
      </c>
      <c r="AU966" s="29">
        <f>IF(AZ966="","",IFERROR(INDEX(Lists!$L$2:$L$38,MATCH(LEFT(AZ966,2),Lists!$K$2:$K$38,0)),"Unknown code"))</f>
        <v/>
      </c>
      <c r="AV966" s="29">
        <f>IF(AZ966="","",IFERROR(IF(NOT(AND(LEN(AZ966)=15,ISNUMBER(MATCH(LEFT(AZ966,2),Lists!$K$2:$K$38,0)),SUMPRODUCT(--ISERROR(FIND(MID(MID(AZ966,3,10),{1,2,3,4,5,10},1),"ABCDEFGHIJKLMNOPQRSTUVWXYZ")))=0,SUMPRODUCT(--ISERROR(FIND(MID(MID(AZ966,3,10),{6,7,8,9},1),"0123456789")))=0,ISNUMBER(FIND(MID(AZ966,13,1),"123456789ABCDEFGHIJKLMNOPQRSTUVWXYZ")),MID(AZ966,14,1)="Z")),"Wrong format",IF(MID("0123456789ABCDEFGHIJKLMNOPQRSTUVWXYZ",MOD(36-MOD(SUMPRODUCT(INT((FIND(MID(AZ966,{1,2,3,4,5,6,7,8,9,10,11,12,13,14},1),"0123456789ABCDEFGHIJKLMNOPQRSTUVWXYZ")-1)*{1,2,1,2,1,2,1,2,1,2,1,2,1,2}/36)+MOD((FIND(MID(AZ966,{1,2,3,4,5,6,7,8,9,10,11,12,13,14},1),"0123456789ABCDEFGHIJKLMNOPQRSTUVWXYZ")-1)*{1,2,1,2,1,2,1,2,1,2,1,2,1,2},36)),36),36)+1,1)=MID(AZ966,15,1),"OK","Typo? check digit wrong")),"Wrong format"))</f>
        <v/>
      </c>
      <c r="AW966" s="29">
        <f>IF(BA966="","",IF(AND(LEN(BA966)=10,SUMPRODUCT(--ISERROR(FIND(MID(BA966,{1,2,3,4,5,10},1),"ABCDEFGHIJKLMNOPQRSTUVWXYZ")))=0,SUMPRODUCT(--ISERROR(FIND(MID(BA966,{6,7,8,9},1),"0123456789")))=0),"OK","Wrong format"))</f>
        <v/>
      </c>
      <c r="AX966" s="29">
        <f>IF(TRIM(H966)="","",IF(AND(LEN(UPPER(TRIM(H966)))=10,SUMPRODUCT(--ISERROR(FIND(MID(UPPER(TRIM(H966)),{1,2,3,4,10},1),"ABCDEFGHIJKLMNOPQRSTUVWXYZ")))=0,SUMPRODUCT(--ISERROR(FIND(MID(UPPER(TRIM(H966)),{5,6,7,8,9},1),"0123456789")))=0),"OK","Wrong format"))</f>
        <v/>
      </c>
      <c r="AY966" s="30">
        <f>IF(NOT(COUNTA(A966:AE966)&gt;0),"",IF(BE966&lt;&gt;"","✖ "&amp;LEFT(BE966,LEN(BE966)-2),IF(BD966&gt;0,"✔ Ready — client + "&amp;BD966&amp;" service(s)","✔ Ready — client only")))</f>
        <v/>
      </c>
      <c r="AZ966" s="31">
        <f>UPPER(SUBSTITUTE(TRIM(F966)," ",""))</f>
        <v/>
      </c>
      <c r="BA966" s="31">
        <f>UPPER(SUBSTITUTE(TRIM(E966)," ",""))</f>
        <v/>
      </c>
      <c r="BB966" s="31">
        <f>IF(D966&lt;&gt;"",D966,IFERROR(VLOOKUP(MID(AS966,4,1),Lists!$E$2:$F$8,2,FALSE),""))</f>
        <v/>
      </c>
      <c r="BC966" s="31">
        <f>IFERROR(VLOOKUP(BB966,Lists!$A$2:$C$12,3,FALSE),"")</f>
        <v/>
      </c>
      <c r="BD966" s="31">
        <f>COUNTIF(W966:AC966,"Yes")</f>
        <v/>
      </c>
      <c r="BE966" s="31">
        <f>IF(TRIM(B966)="","Legal name missing; ","")&amp;IF(AND(AV966&lt;&gt;"",AV966&lt;&gt;"OK"),"GSTIN: "&amp;AV966&amp;"; ","")&amp;IF(AND(AW966&lt;&gt;"",AW966&lt;&gt;"OK"),"PAN wrong format; ","")&amp;IF(AND(BA966&lt;&gt;"",LEN(AZ966)=15,MID(AZ966,3,10)&lt;&gt;BA966),"PAN does not match GSTIN; ","")&amp;IF(AND(AX966&lt;&gt;"",AX966&lt;&gt;"OK"),"TAN wrong format; ","")&amp;IF(AS966="","PAN missing; ","")&amp;IF(BB966="","Entity type missing; ","")&amp;IF(AND(AZ966&lt;&gt;"",COUNTIF($AZ$6:$AZ$1005,AZ966)&gt;1),"GSTIN repeated in this sheet; ","")&amp;IF(AND(AS966&lt;&gt;"",COUNTIF($AS$6:$AS$1005,AS966)&gt;1),"PAN repeated in this sheet (same client? put extra GSTINs in Other GSTINs); ","")&amp;IF(AND(BD966&gt;0,V966=""),"Financial year missing; ","")&amp;IF(AND(BD966=0,V966&lt;&gt;""),"Financial year given but no service is Yes; ","")&amp;IF(AND(W966="Yes",AZ966=""),"GST needs a GSTIN; ","")&amp;IF(AND(W966="Yes",X966=""),"GST return frequency missing; ","")&amp;IF(AND(Y966="Yes",TRIM(H966)=""),"TDS needs a TAN; ","")&amp;IF(AND(AA966="Yes",BC966&lt;&gt;"",BC966&lt;&gt;"company",BC966&lt;&gt;"llp"),"ROC is only for a company / LLP; ","")&amp;IF(AND(AA966="Yes",OR(BC966="company",BC966="llp"),TRIM(I966)=""),"ROC needs the CIN / LLPIN; ","")&amp;IF((TRIM(AF966)="")&lt;&gt;(TRIM(AG966)=""),"GST login needs both user ID and password; ","")&amp;IF((TRIM(AH966)="")&lt;&gt;(TRIM(AI966)=""),"Income-tax login needs both user ID and password; ","")&amp;IF((TRIM(AJ966)="")&lt;&gt;(TRIM(AK966)=""),"Income-tax login needs both user ID and password; ","")&amp;IF((TRIM(AL966)="")&lt;&gt;(TRIM(AM966)=""),"TRACES login needs both user ID and password; ","")&amp;IF((TRIM(AN966)="")&lt;&gt;(TRIM(AO966)=""),"MCA login needs both user ID and password; ","")&amp;IF((TRIM(AP966)="")&lt;&gt;(TRIM(AQ966)=""),"E-way bill login needs both user ID and password; ","")</f>
        <v/>
      </c>
    </row>
    <row r="967">
      <c r="A967" s="32" t="n"/>
      <c r="B967" s="33" t="n"/>
      <c r="C967" s="33" t="n"/>
      <c r="D967" s="33" t="n"/>
      <c r="E967" s="32" t="n"/>
      <c r="F967" s="32" t="n"/>
      <c r="G967" s="32" t="n"/>
      <c r="H967" s="32" t="n"/>
      <c r="I967" s="32" t="n"/>
      <c r="J967" s="34" t="n"/>
      <c r="K967" s="33" t="n"/>
      <c r="L967" s="32" t="n"/>
      <c r="M967" s="33" t="n"/>
      <c r="N967" s="33" t="n"/>
      <c r="O967" s="33" t="n"/>
      <c r="P967" s="32" t="n"/>
      <c r="Q967" s="33" t="n"/>
      <c r="R967" s="33" t="n"/>
      <c r="S967" s="33" t="n"/>
      <c r="T967" s="33" t="n"/>
      <c r="U967" s="32" t="n"/>
      <c r="V967" s="33" t="n"/>
      <c r="W967" s="33" t="n"/>
      <c r="X967" s="33" t="n"/>
      <c r="Y967" s="33" t="n"/>
      <c r="Z967" s="33" t="n"/>
      <c r="AA967" s="33" t="n"/>
      <c r="AB967" s="33" t="n"/>
      <c r="AC967" s="33" t="n"/>
      <c r="AD967" s="33" t="n"/>
      <c r="AE967" s="33" t="n"/>
      <c r="AF967" s="32" t="n"/>
      <c r="AG967" s="32" t="n"/>
      <c r="AH967" s="32" t="n"/>
      <c r="AI967" s="32" t="n"/>
      <c r="AJ967" s="32" t="n"/>
      <c r="AK967" s="32" t="n"/>
      <c r="AL967" s="32" t="n"/>
      <c r="AM967" s="32" t="n"/>
      <c r="AN967" s="32" t="n"/>
      <c r="AO967" s="32" t="n"/>
      <c r="AP967" s="32" t="n"/>
      <c r="AQ967" s="32" t="n"/>
      <c r="AR967" s="29">
        <f>IF(NOT(COUNTA(A967:AE967)&gt;0),"",IF(A967="","New client","Update"))</f>
        <v/>
      </c>
      <c r="AS967" s="29">
        <f>IF(BA967&lt;&gt;"",BA967,IF(LEN(AZ967)=15,MID(AZ967,3,10),""))</f>
        <v/>
      </c>
      <c r="AT967" s="29">
        <f>IF(BB967="","",BB967&amp;IF(D967="","  (guessed from PAN)",""))</f>
        <v/>
      </c>
      <c r="AU967" s="29">
        <f>IF(AZ967="","",IFERROR(INDEX(Lists!$L$2:$L$38,MATCH(LEFT(AZ967,2),Lists!$K$2:$K$38,0)),"Unknown code"))</f>
        <v/>
      </c>
      <c r="AV967" s="29">
        <f>IF(AZ967="","",IFERROR(IF(NOT(AND(LEN(AZ967)=15,ISNUMBER(MATCH(LEFT(AZ967,2),Lists!$K$2:$K$38,0)),SUMPRODUCT(--ISERROR(FIND(MID(MID(AZ967,3,10),{1,2,3,4,5,10},1),"ABCDEFGHIJKLMNOPQRSTUVWXYZ")))=0,SUMPRODUCT(--ISERROR(FIND(MID(MID(AZ967,3,10),{6,7,8,9},1),"0123456789")))=0,ISNUMBER(FIND(MID(AZ967,13,1),"123456789ABCDEFGHIJKLMNOPQRSTUVWXYZ")),MID(AZ967,14,1)="Z")),"Wrong format",IF(MID("0123456789ABCDEFGHIJKLMNOPQRSTUVWXYZ",MOD(36-MOD(SUMPRODUCT(INT((FIND(MID(AZ967,{1,2,3,4,5,6,7,8,9,10,11,12,13,14},1),"0123456789ABCDEFGHIJKLMNOPQRSTUVWXYZ")-1)*{1,2,1,2,1,2,1,2,1,2,1,2,1,2}/36)+MOD((FIND(MID(AZ967,{1,2,3,4,5,6,7,8,9,10,11,12,13,14},1),"0123456789ABCDEFGHIJKLMNOPQRSTUVWXYZ")-1)*{1,2,1,2,1,2,1,2,1,2,1,2,1,2},36)),36),36)+1,1)=MID(AZ967,15,1),"OK","Typo? check digit wrong")),"Wrong format"))</f>
        <v/>
      </c>
      <c r="AW967" s="29">
        <f>IF(BA967="","",IF(AND(LEN(BA967)=10,SUMPRODUCT(--ISERROR(FIND(MID(BA967,{1,2,3,4,5,10},1),"ABCDEFGHIJKLMNOPQRSTUVWXYZ")))=0,SUMPRODUCT(--ISERROR(FIND(MID(BA967,{6,7,8,9},1),"0123456789")))=0),"OK","Wrong format"))</f>
        <v/>
      </c>
      <c r="AX967" s="29">
        <f>IF(TRIM(H967)="","",IF(AND(LEN(UPPER(TRIM(H967)))=10,SUMPRODUCT(--ISERROR(FIND(MID(UPPER(TRIM(H967)),{1,2,3,4,10},1),"ABCDEFGHIJKLMNOPQRSTUVWXYZ")))=0,SUMPRODUCT(--ISERROR(FIND(MID(UPPER(TRIM(H967)),{5,6,7,8,9},1),"0123456789")))=0),"OK","Wrong format"))</f>
        <v/>
      </c>
      <c r="AY967" s="30">
        <f>IF(NOT(COUNTA(A967:AE967)&gt;0),"",IF(BE967&lt;&gt;"","✖ "&amp;LEFT(BE967,LEN(BE967)-2),IF(BD967&gt;0,"✔ Ready — client + "&amp;BD967&amp;" service(s)","✔ Ready — client only")))</f>
        <v/>
      </c>
      <c r="AZ967" s="31">
        <f>UPPER(SUBSTITUTE(TRIM(F967)," ",""))</f>
        <v/>
      </c>
      <c r="BA967" s="31">
        <f>UPPER(SUBSTITUTE(TRIM(E967)," ",""))</f>
        <v/>
      </c>
      <c r="BB967" s="31">
        <f>IF(D967&lt;&gt;"",D967,IFERROR(VLOOKUP(MID(AS967,4,1),Lists!$E$2:$F$8,2,FALSE),""))</f>
        <v/>
      </c>
      <c r="BC967" s="31">
        <f>IFERROR(VLOOKUP(BB967,Lists!$A$2:$C$12,3,FALSE),"")</f>
        <v/>
      </c>
      <c r="BD967" s="31">
        <f>COUNTIF(W967:AC967,"Yes")</f>
        <v/>
      </c>
      <c r="BE967" s="31">
        <f>IF(TRIM(B967)="","Legal name missing; ","")&amp;IF(AND(AV967&lt;&gt;"",AV967&lt;&gt;"OK"),"GSTIN: "&amp;AV967&amp;"; ","")&amp;IF(AND(AW967&lt;&gt;"",AW967&lt;&gt;"OK"),"PAN wrong format; ","")&amp;IF(AND(BA967&lt;&gt;"",LEN(AZ967)=15,MID(AZ967,3,10)&lt;&gt;BA967),"PAN does not match GSTIN; ","")&amp;IF(AND(AX967&lt;&gt;"",AX967&lt;&gt;"OK"),"TAN wrong format; ","")&amp;IF(AS967="","PAN missing; ","")&amp;IF(BB967="","Entity type missing; ","")&amp;IF(AND(AZ967&lt;&gt;"",COUNTIF($AZ$6:$AZ$1005,AZ967)&gt;1),"GSTIN repeated in this sheet; ","")&amp;IF(AND(AS967&lt;&gt;"",COUNTIF($AS$6:$AS$1005,AS967)&gt;1),"PAN repeated in this sheet (same client? put extra GSTINs in Other GSTINs); ","")&amp;IF(AND(BD967&gt;0,V967=""),"Financial year missing; ","")&amp;IF(AND(BD967=0,V967&lt;&gt;""),"Financial year given but no service is Yes; ","")&amp;IF(AND(W967="Yes",AZ967=""),"GST needs a GSTIN; ","")&amp;IF(AND(W967="Yes",X967=""),"GST return frequency missing; ","")&amp;IF(AND(Y967="Yes",TRIM(H967)=""),"TDS needs a TAN; ","")&amp;IF(AND(AA967="Yes",BC967&lt;&gt;"",BC967&lt;&gt;"company",BC967&lt;&gt;"llp"),"ROC is only for a company / LLP; ","")&amp;IF(AND(AA967="Yes",OR(BC967="company",BC967="llp"),TRIM(I967)=""),"ROC needs the CIN / LLPIN; ","")&amp;IF((TRIM(AF967)="")&lt;&gt;(TRIM(AG967)=""),"GST login needs both user ID and password; ","")&amp;IF((TRIM(AH967)="")&lt;&gt;(TRIM(AI967)=""),"Income-tax login needs both user ID and password; ","")&amp;IF((TRIM(AJ967)="")&lt;&gt;(TRIM(AK967)=""),"Income-tax login needs both user ID and password; ","")&amp;IF((TRIM(AL967)="")&lt;&gt;(TRIM(AM967)=""),"TRACES login needs both user ID and password; ","")&amp;IF((TRIM(AN967)="")&lt;&gt;(TRIM(AO967)=""),"MCA login needs both user ID and password; ","")&amp;IF((TRIM(AP967)="")&lt;&gt;(TRIM(AQ967)=""),"E-way bill login needs both user ID and password; ","")</f>
        <v/>
      </c>
    </row>
    <row r="968">
      <c r="A968" s="32" t="n"/>
      <c r="B968" s="33" t="n"/>
      <c r="C968" s="33" t="n"/>
      <c r="D968" s="33" t="n"/>
      <c r="E968" s="32" t="n"/>
      <c r="F968" s="32" t="n"/>
      <c r="G968" s="32" t="n"/>
      <c r="H968" s="32" t="n"/>
      <c r="I968" s="32" t="n"/>
      <c r="J968" s="34" t="n"/>
      <c r="K968" s="33" t="n"/>
      <c r="L968" s="32" t="n"/>
      <c r="M968" s="33" t="n"/>
      <c r="N968" s="33" t="n"/>
      <c r="O968" s="33" t="n"/>
      <c r="P968" s="32" t="n"/>
      <c r="Q968" s="33" t="n"/>
      <c r="R968" s="33" t="n"/>
      <c r="S968" s="33" t="n"/>
      <c r="T968" s="33" t="n"/>
      <c r="U968" s="32" t="n"/>
      <c r="V968" s="33" t="n"/>
      <c r="W968" s="33" t="n"/>
      <c r="X968" s="33" t="n"/>
      <c r="Y968" s="33" t="n"/>
      <c r="Z968" s="33" t="n"/>
      <c r="AA968" s="33" t="n"/>
      <c r="AB968" s="33" t="n"/>
      <c r="AC968" s="33" t="n"/>
      <c r="AD968" s="33" t="n"/>
      <c r="AE968" s="33" t="n"/>
      <c r="AF968" s="32" t="n"/>
      <c r="AG968" s="32" t="n"/>
      <c r="AH968" s="32" t="n"/>
      <c r="AI968" s="32" t="n"/>
      <c r="AJ968" s="32" t="n"/>
      <c r="AK968" s="32" t="n"/>
      <c r="AL968" s="32" t="n"/>
      <c r="AM968" s="32" t="n"/>
      <c r="AN968" s="32" t="n"/>
      <c r="AO968" s="32" t="n"/>
      <c r="AP968" s="32" t="n"/>
      <c r="AQ968" s="32" t="n"/>
      <c r="AR968" s="29">
        <f>IF(NOT(COUNTA(A968:AE968)&gt;0),"",IF(A968="","New client","Update"))</f>
        <v/>
      </c>
      <c r="AS968" s="29">
        <f>IF(BA968&lt;&gt;"",BA968,IF(LEN(AZ968)=15,MID(AZ968,3,10),""))</f>
        <v/>
      </c>
      <c r="AT968" s="29">
        <f>IF(BB968="","",BB968&amp;IF(D968="","  (guessed from PAN)",""))</f>
        <v/>
      </c>
      <c r="AU968" s="29">
        <f>IF(AZ968="","",IFERROR(INDEX(Lists!$L$2:$L$38,MATCH(LEFT(AZ968,2),Lists!$K$2:$K$38,0)),"Unknown code"))</f>
        <v/>
      </c>
      <c r="AV968" s="29">
        <f>IF(AZ968="","",IFERROR(IF(NOT(AND(LEN(AZ968)=15,ISNUMBER(MATCH(LEFT(AZ968,2),Lists!$K$2:$K$38,0)),SUMPRODUCT(--ISERROR(FIND(MID(MID(AZ968,3,10),{1,2,3,4,5,10},1),"ABCDEFGHIJKLMNOPQRSTUVWXYZ")))=0,SUMPRODUCT(--ISERROR(FIND(MID(MID(AZ968,3,10),{6,7,8,9},1),"0123456789")))=0,ISNUMBER(FIND(MID(AZ968,13,1),"123456789ABCDEFGHIJKLMNOPQRSTUVWXYZ")),MID(AZ968,14,1)="Z")),"Wrong format",IF(MID("0123456789ABCDEFGHIJKLMNOPQRSTUVWXYZ",MOD(36-MOD(SUMPRODUCT(INT((FIND(MID(AZ968,{1,2,3,4,5,6,7,8,9,10,11,12,13,14},1),"0123456789ABCDEFGHIJKLMNOPQRSTUVWXYZ")-1)*{1,2,1,2,1,2,1,2,1,2,1,2,1,2}/36)+MOD((FIND(MID(AZ968,{1,2,3,4,5,6,7,8,9,10,11,12,13,14},1),"0123456789ABCDEFGHIJKLMNOPQRSTUVWXYZ")-1)*{1,2,1,2,1,2,1,2,1,2,1,2,1,2},36)),36),36)+1,1)=MID(AZ968,15,1),"OK","Typo? check digit wrong")),"Wrong format"))</f>
        <v/>
      </c>
      <c r="AW968" s="29">
        <f>IF(BA968="","",IF(AND(LEN(BA968)=10,SUMPRODUCT(--ISERROR(FIND(MID(BA968,{1,2,3,4,5,10},1),"ABCDEFGHIJKLMNOPQRSTUVWXYZ")))=0,SUMPRODUCT(--ISERROR(FIND(MID(BA968,{6,7,8,9},1),"0123456789")))=0),"OK","Wrong format"))</f>
        <v/>
      </c>
      <c r="AX968" s="29">
        <f>IF(TRIM(H968)="","",IF(AND(LEN(UPPER(TRIM(H968)))=10,SUMPRODUCT(--ISERROR(FIND(MID(UPPER(TRIM(H968)),{1,2,3,4,10},1),"ABCDEFGHIJKLMNOPQRSTUVWXYZ")))=0,SUMPRODUCT(--ISERROR(FIND(MID(UPPER(TRIM(H968)),{5,6,7,8,9},1),"0123456789")))=0),"OK","Wrong format"))</f>
        <v/>
      </c>
      <c r="AY968" s="30">
        <f>IF(NOT(COUNTA(A968:AE968)&gt;0),"",IF(BE968&lt;&gt;"","✖ "&amp;LEFT(BE968,LEN(BE968)-2),IF(BD968&gt;0,"✔ Ready — client + "&amp;BD968&amp;" service(s)","✔ Ready — client only")))</f>
        <v/>
      </c>
      <c r="AZ968" s="31">
        <f>UPPER(SUBSTITUTE(TRIM(F968)," ",""))</f>
        <v/>
      </c>
      <c r="BA968" s="31">
        <f>UPPER(SUBSTITUTE(TRIM(E968)," ",""))</f>
        <v/>
      </c>
      <c r="BB968" s="31">
        <f>IF(D968&lt;&gt;"",D968,IFERROR(VLOOKUP(MID(AS968,4,1),Lists!$E$2:$F$8,2,FALSE),""))</f>
        <v/>
      </c>
      <c r="BC968" s="31">
        <f>IFERROR(VLOOKUP(BB968,Lists!$A$2:$C$12,3,FALSE),"")</f>
        <v/>
      </c>
      <c r="BD968" s="31">
        <f>COUNTIF(W968:AC968,"Yes")</f>
        <v/>
      </c>
      <c r="BE968" s="31">
        <f>IF(TRIM(B968)="","Legal name missing; ","")&amp;IF(AND(AV968&lt;&gt;"",AV968&lt;&gt;"OK"),"GSTIN: "&amp;AV968&amp;"; ","")&amp;IF(AND(AW968&lt;&gt;"",AW968&lt;&gt;"OK"),"PAN wrong format; ","")&amp;IF(AND(BA968&lt;&gt;"",LEN(AZ968)=15,MID(AZ968,3,10)&lt;&gt;BA968),"PAN does not match GSTIN; ","")&amp;IF(AND(AX968&lt;&gt;"",AX968&lt;&gt;"OK"),"TAN wrong format; ","")&amp;IF(AS968="","PAN missing; ","")&amp;IF(BB968="","Entity type missing; ","")&amp;IF(AND(AZ968&lt;&gt;"",COUNTIF($AZ$6:$AZ$1005,AZ968)&gt;1),"GSTIN repeated in this sheet; ","")&amp;IF(AND(AS968&lt;&gt;"",COUNTIF($AS$6:$AS$1005,AS968)&gt;1),"PAN repeated in this sheet (same client? put extra GSTINs in Other GSTINs); ","")&amp;IF(AND(BD968&gt;0,V968=""),"Financial year missing; ","")&amp;IF(AND(BD968=0,V968&lt;&gt;""),"Financial year given but no service is Yes; ","")&amp;IF(AND(W968="Yes",AZ968=""),"GST needs a GSTIN; ","")&amp;IF(AND(W968="Yes",X968=""),"GST return frequency missing; ","")&amp;IF(AND(Y968="Yes",TRIM(H968)=""),"TDS needs a TAN; ","")&amp;IF(AND(AA968="Yes",BC968&lt;&gt;"",BC968&lt;&gt;"company",BC968&lt;&gt;"llp"),"ROC is only for a company / LLP; ","")&amp;IF(AND(AA968="Yes",OR(BC968="company",BC968="llp"),TRIM(I968)=""),"ROC needs the CIN / LLPIN; ","")&amp;IF((TRIM(AF968)="")&lt;&gt;(TRIM(AG968)=""),"GST login needs both user ID and password; ","")&amp;IF((TRIM(AH968)="")&lt;&gt;(TRIM(AI968)=""),"Income-tax login needs both user ID and password; ","")&amp;IF((TRIM(AJ968)="")&lt;&gt;(TRIM(AK968)=""),"Income-tax login needs both user ID and password; ","")&amp;IF((TRIM(AL968)="")&lt;&gt;(TRIM(AM968)=""),"TRACES login needs both user ID and password; ","")&amp;IF((TRIM(AN968)="")&lt;&gt;(TRIM(AO968)=""),"MCA login needs both user ID and password; ","")&amp;IF((TRIM(AP968)="")&lt;&gt;(TRIM(AQ968)=""),"E-way bill login needs both user ID and password; ","")</f>
        <v/>
      </c>
    </row>
    <row r="969">
      <c r="A969" s="32" t="n"/>
      <c r="B969" s="33" t="n"/>
      <c r="C969" s="33" t="n"/>
      <c r="D969" s="33" t="n"/>
      <c r="E969" s="32" t="n"/>
      <c r="F969" s="32" t="n"/>
      <c r="G969" s="32" t="n"/>
      <c r="H969" s="32" t="n"/>
      <c r="I969" s="32" t="n"/>
      <c r="J969" s="34" t="n"/>
      <c r="K969" s="33" t="n"/>
      <c r="L969" s="32" t="n"/>
      <c r="M969" s="33" t="n"/>
      <c r="N969" s="33" t="n"/>
      <c r="O969" s="33" t="n"/>
      <c r="P969" s="32" t="n"/>
      <c r="Q969" s="33" t="n"/>
      <c r="R969" s="33" t="n"/>
      <c r="S969" s="33" t="n"/>
      <c r="T969" s="33" t="n"/>
      <c r="U969" s="32" t="n"/>
      <c r="V969" s="33" t="n"/>
      <c r="W969" s="33" t="n"/>
      <c r="X969" s="33" t="n"/>
      <c r="Y969" s="33" t="n"/>
      <c r="Z969" s="33" t="n"/>
      <c r="AA969" s="33" t="n"/>
      <c r="AB969" s="33" t="n"/>
      <c r="AC969" s="33" t="n"/>
      <c r="AD969" s="33" t="n"/>
      <c r="AE969" s="33" t="n"/>
      <c r="AF969" s="32" t="n"/>
      <c r="AG969" s="32" t="n"/>
      <c r="AH969" s="32" t="n"/>
      <c r="AI969" s="32" t="n"/>
      <c r="AJ969" s="32" t="n"/>
      <c r="AK969" s="32" t="n"/>
      <c r="AL969" s="32" t="n"/>
      <c r="AM969" s="32" t="n"/>
      <c r="AN969" s="32" t="n"/>
      <c r="AO969" s="32" t="n"/>
      <c r="AP969" s="32" t="n"/>
      <c r="AQ969" s="32" t="n"/>
      <c r="AR969" s="29">
        <f>IF(NOT(COUNTA(A969:AE969)&gt;0),"",IF(A969="","New client","Update"))</f>
        <v/>
      </c>
      <c r="AS969" s="29">
        <f>IF(BA969&lt;&gt;"",BA969,IF(LEN(AZ969)=15,MID(AZ969,3,10),""))</f>
        <v/>
      </c>
      <c r="AT969" s="29">
        <f>IF(BB969="","",BB969&amp;IF(D969="","  (guessed from PAN)",""))</f>
        <v/>
      </c>
      <c r="AU969" s="29">
        <f>IF(AZ969="","",IFERROR(INDEX(Lists!$L$2:$L$38,MATCH(LEFT(AZ969,2),Lists!$K$2:$K$38,0)),"Unknown code"))</f>
        <v/>
      </c>
      <c r="AV969" s="29">
        <f>IF(AZ969="","",IFERROR(IF(NOT(AND(LEN(AZ969)=15,ISNUMBER(MATCH(LEFT(AZ969,2),Lists!$K$2:$K$38,0)),SUMPRODUCT(--ISERROR(FIND(MID(MID(AZ969,3,10),{1,2,3,4,5,10},1),"ABCDEFGHIJKLMNOPQRSTUVWXYZ")))=0,SUMPRODUCT(--ISERROR(FIND(MID(MID(AZ969,3,10),{6,7,8,9},1),"0123456789")))=0,ISNUMBER(FIND(MID(AZ969,13,1),"123456789ABCDEFGHIJKLMNOPQRSTUVWXYZ")),MID(AZ969,14,1)="Z")),"Wrong format",IF(MID("0123456789ABCDEFGHIJKLMNOPQRSTUVWXYZ",MOD(36-MOD(SUMPRODUCT(INT((FIND(MID(AZ969,{1,2,3,4,5,6,7,8,9,10,11,12,13,14},1),"0123456789ABCDEFGHIJKLMNOPQRSTUVWXYZ")-1)*{1,2,1,2,1,2,1,2,1,2,1,2,1,2}/36)+MOD((FIND(MID(AZ969,{1,2,3,4,5,6,7,8,9,10,11,12,13,14},1),"0123456789ABCDEFGHIJKLMNOPQRSTUVWXYZ")-1)*{1,2,1,2,1,2,1,2,1,2,1,2,1,2},36)),36),36)+1,1)=MID(AZ969,15,1),"OK","Typo? check digit wrong")),"Wrong format"))</f>
        <v/>
      </c>
      <c r="AW969" s="29">
        <f>IF(BA969="","",IF(AND(LEN(BA969)=10,SUMPRODUCT(--ISERROR(FIND(MID(BA969,{1,2,3,4,5,10},1),"ABCDEFGHIJKLMNOPQRSTUVWXYZ")))=0,SUMPRODUCT(--ISERROR(FIND(MID(BA969,{6,7,8,9},1),"0123456789")))=0),"OK","Wrong format"))</f>
        <v/>
      </c>
      <c r="AX969" s="29">
        <f>IF(TRIM(H969)="","",IF(AND(LEN(UPPER(TRIM(H969)))=10,SUMPRODUCT(--ISERROR(FIND(MID(UPPER(TRIM(H969)),{1,2,3,4,10},1),"ABCDEFGHIJKLMNOPQRSTUVWXYZ")))=0,SUMPRODUCT(--ISERROR(FIND(MID(UPPER(TRIM(H969)),{5,6,7,8,9},1),"0123456789")))=0),"OK","Wrong format"))</f>
        <v/>
      </c>
      <c r="AY969" s="30">
        <f>IF(NOT(COUNTA(A969:AE969)&gt;0),"",IF(BE969&lt;&gt;"","✖ "&amp;LEFT(BE969,LEN(BE969)-2),IF(BD969&gt;0,"✔ Ready — client + "&amp;BD969&amp;" service(s)","✔ Ready — client only")))</f>
        <v/>
      </c>
      <c r="AZ969" s="31">
        <f>UPPER(SUBSTITUTE(TRIM(F969)," ",""))</f>
        <v/>
      </c>
      <c r="BA969" s="31">
        <f>UPPER(SUBSTITUTE(TRIM(E969)," ",""))</f>
        <v/>
      </c>
      <c r="BB969" s="31">
        <f>IF(D969&lt;&gt;"",D969,IFERROR(VLOOKUP(MID(AS969,4,1),Lists!$E$2:$F$8,2,FALSE),""))</f>
        <v/>
      </c>
      <c r="BC969" s="31">
        <f>IFERROR(VLOOKUP(BB969,Lists!$A$2:$C$12,3,FALSE),"")</f>
        <v/>
      </c>
      <c r="BD969" s="31">
        <f>COUNTIF(W969:AC969,"Yes")</f>
        <v/>
      </c>
      <c r="BE969" s="31">
        <f>IF(TRIM(B969)="","Legal name missing; ","")&amp;IF(AND(AV969&lt;&gt;"",AV969&lt;&gt;"OK"),"GSTIN: "&amp;AV969&amp;"; ","")&amp;IF(AND(AW969&lt;&gt;"",AW969&lt;&gt;"OK"),"PAN wrong format; ","")&amp;IF(AND(BA969&lt;&gt;"",LEN(AZ969)=15,MID(AZ969,3,10)&lt;&gt;BA969),"PAN does not match GSTIN; ","")&amp;IF(AND(AX969&lt;&gt;"",AX969&lt;&gt;"OK"),"TAN wrong format; ","")&amp;IF(AS969="","PAN missing; ","")&amp;IF(BB969="","Entity type missing; ","")&amp;IF(AND(AZ969&lt;&gt;"",COUNTIF($AZ$6:$AZ$1005,AZ969)&gt;1),"GSTIN repeated in this sheet; ","")&amp;IF(AND(AS969&lt;&gt;"",COUNTIF($AS$6:$AS$1005,AS969)&gt;1),"PAN repeated in this sheet (same client? put extra GSTINs in Other GSTINs); ","")&amp;IF(AND(BD969&gt;0,V969=""),"Financial year missing; ","")&amp;IF(AND(BD969=0,V969&lt;&gt;""),"Financial year given but no service is Yes; ","")&amp;IF(AND(W969="Yes",AZ969=""),"GST needs a GSTIN; ","")&amp;IF(AND(W969="Yes",X969=""),"GST return frequency missing; ","")&amp;IF(AND(Y969="Yes",TRIM(H969)=""),"TDS needs a TAN; ","")&amp;IF(AND(AA969="Yes",BC969&lt;&gt;"",BC969&lt;&gt;"company",BC969&lt;&gt;"llp"),"ROC is only for a company / LLP; ","")&amp;IF(AND(AA969="Yes",OR(BC969="company",BC969="llp"),TRIM(I969)=""),"ROC needs the CIN / LLPIN; ","")&amp;IF((TRIM(AF969)="")&lt;&gt;(TRIM(AG969)=""),"GST login needs both user ID and password; ","")&amp;IF((TRIM(AH969)="")&lt;&gt;(TRIM(AI969)=""),"Income-tax login needs both user ID and password; ","")&amp;IF((TRIM(AJ969)="")&lt;&gt;(TRIM(AK969)=""),"Income-tax login needs both user ID and password; ","")&amp;IF((TRIM(AL969)="")&lt;&gt;(TRIM(AM969)=""),"TRACES login needs both user ID and password; ","")&amp;IF((TRIM(AN969)="")&lt;&gt;(TRIM(AO969)=""),"MCA login needs both user ID and password; ","")&amp;IF((TRIM(AP969)="")&lt;&gt;(TRIM(AQ969)=""),"E-way bill login needs both user ID and password; ","")</f>
        <v/>
      </c>
    </row>
    <row r="970">
      <c r="A970" s="32" t="n"/>
      <c r="B970" s="33" t="n"/>
      <c r="C970" s="33" t="n"/>
      <c r="D970" s="33" t="n"/>
      <c r="E970" s="32" t="n"/>
      <c r="F970" s="32" t="n"/>
      <c r="G970" s="32" t="n"/>
      <c r="H970" s="32" t="n"/>
      <c r="I970" s="32" t="n"/>
      <c r="J970" s="34" t="n"/>
      <c r="K970" s="33" t="n"/>
      <c r="L970" s="32" t="n"/>
      <c r="M970" s="33" t="n"/>
      <c r="N970" s="33" t="n"/>
      <c r="O970" s="33" t="n"/>
      <c r="P970" s="32" t="n"/>
      <c r="Q970" s="33" t="n"/>
      <c r="R970" s="33" t="n"/>
      <c r="S970" s="33" t="n"/>
      <c r="T970" s="33" t="n"/>
      <c r="U970" s="32" t="n"/>
      <c r="V970" s="33" t="n"/>
      <c r="W970" s="33" t="n"/>
      <c r="X970" s="33" t="n"/>
      <c r="Y970" s="33" t="n"/>
      <c r="Z970" s="33" t="n"/>
      <c r="AA970" s="33" t="n"/>
      <c r="AB970" s="33" t="n"/>
      <c r="AC970" s="33" t="n"/>
      <c r="AD970" s="33" t="n"/>
      <c r="AE970" s="33" t="n"/>
      <c r="AF970" s="32" t="n"/>
      <c r="AG970" s="32" t="n"/>
      <c r="AH970" s="32" t="n"/>
      <c r="AI970" s="32" t="n"/>
      <c r="AJ970" s="32" t="n"/>
      <c r="AK970" s="32" t="n"/>
      <c r="AL970" s="32" t="n"/>
      <c r="AM970" s="32" t="n"/>
      <c r="AN970" s="32" t="n"/>
      <c r="AO970" s="32" t="n"/>
      <c r="AP970" s="32" t="n"/>
      <c r="AQ970" s="32" t="n"/>
      <c r="AR970" s="29">
        <f>IF(NOT(COUNTA(A970:AE970)&gt;0),"",IF(A970="","New client","Update"))</f>
        <v/>
      </c>
      <c r="AS970" s="29">
        <f>IF(BA970&lt;&gt;"",BA970,IF(LEN(AZ970)=15,MID(AZ970,3,10),""))</f>
        <v/>
      </c>
      <c r="AT970" s="29">
        <f>IF(BB970="","",BB970&amp;IF(D970="","  (guessed from PAN)",""))</f>
        <v/>
      </c>
      <c r="AU970" s="29">
        <f>IF(AZ970="","",IFERROR(INDEX(Lists!$L$2:$L$38,MATCH(LEFT(AZ970,2),Lists!$K$2:$K$38,0)),"Unknown code"))</f>
        <v/>
      </c>
      <c r="AV970" s="29">
        <f>IF(AZ970="","",IFERROR(IF(NOT(AND(LEN(AZ970)=15,ISNUMBER(MATCH(LEFT(AZ970,2),Lists!$K$2:$K$38,0)),SUMPRODUCT(--ISERROR(FIND(MID(MID(AZ970,3,10),{1,2,3,4,5,10},1),"ABCDEFGHIJKLMNOPQRSTUVWXYZ")))=0,SUMPRODUCT(--ISERROR(FIND(MID(MID(AZ970,3,10),{6,7,8,9},1),"0123456789")))=0,ISNUMBER(FIND(MID(AZ970,13,1),"123456789ABCDEFGHIJKLMNOPQRSTUVWXYZ")),MID(AZ970,14,1)="Z")),"Wrong format",IF(MID("0123456789ABCDEFGHIJKLMNOPQRSTUVWXYZ",MOD(36-MOD(SUMPRODUCT(INT((FIND(MID(AZ970,{1,2,3,4,5,6,7,8,9,10,11,12,13,14},1),"0123456789ABCDEFGHIJKLMNOPQRSTUVWXYZ")-1)*{1,2,1,2,1,2,1,2,1,2,1,2,1,2}/36)+MOD((FIND(MID(AZ970,{1,2,3,4,5,6,7,8,9,10,11,12,13,14},1),"0123456789ABCDEFGHIJKLMNOPQRSTUVWXYZ")-1)*{1,2,1,2,1,2,1,2,1,2,1,2,1,2},36)),36),36)+1,1)=MID(AZ970,15,1),"OK","Typo? check digit wrong")),"Wrong format"))</f>
        <v/>
      </c>
      <c r="AW970" s="29">
        <f>IF(BA970="","",IF(AND(LEN(BA970)=10,SUMPRODUCT(--ISERROR(FIND(MID(BA970,{1,2,3,4,5,10},1),"ABCDEFGHIJKLMNOPQRSTUVWXYZ")))=0,SUMPRODUCT(--ISERROR(FIND(MID(BA970,{6,7,8,9},1),"0123456789")))=0),"OK","Wrong format"))</f>
        <v/>
      </c>
      <c r="AX970" s="29">
        <f>IF(TRIM(H970)="","",IF(AND(LEN(UPPER(TRIM(H970)))=10,SUMPRODUCT(--ISERROR(FIND(MID(UPPER(TRIM(H970)),{1,2,3,4,10},1),"ABCDEFGHIJKLMNOPQRSTUVWXYZ")))=0,SUMPRODUCT(--ISERROR(FIND(MID(UPPER(TRIM(H970)),{5,6,7,8,9},1),"0123456789")))=0),"OK","Wrong format"))</f>
        <v/>
      </c>
      <c r="AY970" s="30">
        <f>IF(NOT(COUNTA(A970:AE970)&gt;0),"",IF(BE970&lt;&gt;"","✖ "&amp;LEFT(BE970,LEN(BE970)-2),IF(BD970&gt;0,"✔ Ready — client + "&amp;BD970&amp;" service(s)","✔ Ready — client only")))</f>
        <v/>
      </c>
      <c r="AZ970" s="31">
        <f>UPPER(SUBSTITUTE(TRIM(F970)," ",""))</f>
        <v/>
      </c>
      <c r="BA970" s="31">
        <f>UPPER(SUBSTITUTE(TRIM(E970)," ",""))</f>
        <v/>
      </c>
      <c r="BB970" s="31">
        <f>IF(D970&lt;&gt;"",D970,IFERROR(VLOOKUP(MID(AS970,4,1),Lists!$E$2:$F$8,2,FALSE),""))</f>
        <v/>
      </c>
      <c r="BC970" s="31">
        <f>IFERROR(VLOOKUP(BB970,Lists!$A$2:$C$12,3,FALSE),"")</f>
        <v/>
      </c>
      <c r="BD970" s="31">
        <f>COUNTIF(W970:AC970,"Yes")</f>
        <v/>
      </c>
      <c r="BE970" s="31">
        <f>IF(TRIM(B970)="","Legal name missing; ","")&amp;IF(AND(AV970&lt;&gt;"",AV970&lt;&gt;"OK"),"GSTIN: "&amp;AV970&amp;"; ","")&amp;IF(AND(AW970&lt;&gt;"",AW970&lt;&gt;"OK"),"PAN wrong format; ","")&amp;IF(AND(BA970&lt;&gt;"",LEN(AZ970)=15,MID(AZ970,3,10)&lt;&gt;BA970),"PAN does not match GSTIN; ","")&amp;IF(AND(AX970&lt;&gt;"",AX970&lt;&gt;"OK"),"TAN wrong format; ","")&amp;IF(AS970="","PAN missing; ","")&amp;IF(BB970="","Entity type missing; ","")&amp;IF(AND(AZ970&lt;&gt;"",COUNTIF($AZ$6:$AZ$1005,AZ970)&gt;1),"GSTIN repeated in this sheet; ","")&amp;IF(AND(AS970&lt;&gt;"",COUNTIF($AS$6:$AS$1005,AS970)&gt;1),"PAN repeated in this sheet (same client? put extra GSTINs in Other GSTINs); ","")&amp;IF(AND(BD970&gt;0,V970=""),"Financial year missing; ","")&amp;IF(AND(BD970=0,V970&lt;&gt;""),"Financial year given but no service is Yes; ","")&amp;IF(AND(W970="Yes",AZ970=""),"GST needs a GSTIN; ","")&amp;IF(AND(W970="Yes",X970=""),"GST return frequency missing; ","")&amp;IF(AND(Y970="Yes",TRIM(H970)=""),"TDS needs a TAN; ","")&amp;IF(AND(AA970="Yes",BC970&lt;&gt;"",BC970&lt;&gt;"company",BC970&lt;&gt;"llp"),"ROC is only for a company / LLP; ","")&amp;IF(AND(AA970="Yes",OR(BC970="company",BC970="llp"),TRIM(I970)=""),"ROC needs the CIN / LLPIN; ","")&amp;IF((TRIM(AF970)="")&lt;&gt;(TRIM(AG970)=""),"GST login needs both user ID and password; ","")&amp;IF((TRIM(AH970)="")&lt;&gt;(TRIM(AI970)=""),"Income-tax login needs both user ID and password; ","")&amp;IF((TRIM(AJ970)="")&lt;&gt;(TRIM(AK970)=""),"Income-tax login needs both user ID and password; ","")&amp;IF((TRIM(AL970)="")&lt;&gt;(TRIM(AM970)=""),"TRACES login needs both user ID and password; ","")&amp;IF((TRIM(AN970)="")&lt;&gt;(TRIM(AO970)=""),"MCA login needs both user ID and password; ","")&amp;IF((TRIM(AP970)="")&lt;&gt;(TRIM(AQ970)=""),"E-way bill login needs both user ID and password; ","")</f>
        <v/>
      </c>
    </row>
    <row r="971">
      <c r="A971" s="32" t="n"/>
      <c r="B971" s="33" t="n"/>
      <c r="C971" s="33" t="n"/>
      <c r="D971" s="33" t="n"/>
      <c r="E971" s="32" t="n"/>
      <c r="F971" s="32" t="n"/>
      <c r="G971" s="32" t="n"/>
      <c r="H971" s="32" t="n"/>
      <c r="I971" s="32" t="n"/>
      <c r="J971" s="34" t="n"/>
      <c r="K971" s="33" t="n"/>
      <c r="L971" s="32" t="n"/>
      <c r="M971" s="33" t="n"/>
      <c r="N971" s="33" t="n"/>
      <c r="O971" s="33" t="n"/>
      <c r="P971" s="32" t="n"/>
      <c r="Q971" s="33" t="n"/>
      <c r="R971" s="33" t="n"/>
      <c r="S971" s="33" t="n"/>
      <c r="T971" s="33" t="n"/>
      <c r="U971" s="32" t="n"/>
      <c r="V971" s="33" t="n"/>
      <c r="W971" s="33" t="n"/>
      <c r="X971" s="33" t="n"/>
      <c r="Y971" s="33" t="n"/>
      <c r="Z971" s="33" t="n"/>
      <c r="AA971" s="33" t="n"/>
      <c r="AB971" s="33" t="n"/>
      <c r="AC971" s="33" t="n"/>
      <c r="AD971" s="33" t="n"/>
      <c r="AE971" s="33" t="n"/>
      <c r="AF971" s="32" t="n"/>
      <c r="AG971" s="32" t="n"/>
      <c r="AH971" s="32" t="n"/>
      <c r="AI971" s="32" t="n"/>
      <c r="AJ971" s="32" t="n"/>
      <c r="AK971" s="32" t="n"/>
      <c r="AL971" s="32" t="n"/>
      <c r="AM971" s="32" t="n"/>
      <c r="AN971" s="32" t="n"/>
      <c r="AO971" s="32" t="n"/>
      <c r="AP971" s="32" t="n"/>
      <c r="AQ971" s="32" t="n"/>
      <c r="AR971" s="29">
        <f>IF(NOT(COUNTA(A971:AE971)&gt;0),"",IF(A971="","New client","Update"))</f>
        <v/>
      </c>
      <c r="AS971" s="29">
        <f>IF(BA971&lt;&gt;"",BA971,IF(LEN(AZ971)=15,MID(AZ971,3,10),""))</f>
        <v/>
      </c>
      <c r="AT971" s="29">
        <f>IF(BB971="","",BB971&amp;IF(D971="","  (guessed from PAN)",""))</f>
        <v/>
      </c>
      <c r="AU971" s="29">
        <f>IF(AZ971="","",IFERROR(INDEX(Lists!$L$2:$L$38,MATCH(LEFT(AZ971,2),Lists!$K$2:$K$38,0)),"Unknown code"))</f>
        <v/>
      </c>
      <c r="AV971" s="29">
        <f>IF(AZ971="","",IFERROR(IF(NOT(AND(LEN(AZ971)=15,ISNUMBER(MATCH(LEFT(AZ971,2),Lists!$K$2:$K$38,0)),SUMPRODUCT(--ISERROR(FIND(MID(MID(AZ971,3,10),{1,2,3,4,5,10},1),"ABCDEFGHIJKLMNOPQRSTUVWXYZ")))=0,SUMPRODUCT(--ISERROR(FIND(MID(MID(AZ971,3,10),{6,7,8,9},1),"0123456789")))=0,ISNUMBER(FIND(MID(AZ971,13,1),"123456789ABCDEFGHIJKLMNOPQRSTUVWXYZ")),MID(AZ971,14,1)="Z")),"Wrong format",IF(MID("0123456789ABCDEFGHIJKLMNOPQRSTUVWXYZ",MOD(36-MOD(SUMPRODUCT(INT((FIND(MID(AZ971,{1,2,3,4,5,6,7,8,9,10,11,12,13,14},1),"0123456789ABCDEFGHIJKLMNOPQRSTUVWXYZ")-1)*{1,2,1,2,1,2,1,2,1,2,1,2,1,2}/36)+MOD((FIND(MID(AZ971,{1,2,3,4,5,6,7,8,9,10,11,12,13,14},1),"0123456789ABCDEFGHIJKLMNOPQRSTUVWXYZ")-1)*{1,2,1,2,1,2,1,2,1,2,1,2,1,2},36)),36),36)+1,1)=MID(AZ971,15,1),"OK","Typo? check digit wrong")),"Wrong format"))</f>
        <v/>
      </c>
      <c r="AW971" s="29">
        <f>IF(BA971="","",IF(AND(LEN(BA971)=10,SUMPRODUCT(--ISERROR(FIND(MID(BA971,{1,2,3,4,5,10},1),"ABCDEFGHIJKLMNOPQRSTUVWXYZ")))=0,SUMPRODUCT(--ISERROR(FIND(MID(BA971,{6,7,8,9},1),"0123456789")))=0),"OK","Wrong format"))</f>
        <v/>
      </c>
      <c r="AX971" s="29">
        <f>IF(TRIM(H971)="","",IF(AND(LEN(UPPER(TRIM(H971)))=10,SUMPRODUCT(--ISERROR(FIND(MID(UPPER(TRIM(H971)),{1,2,3,4,10},1),"ABCDEFGHIJKLMNOPQRSTUVWXYZ")))=0,SUMPRODUCT(--ISERROR(FIND(MID(UPPER(TRIM(H971)),{5,6,7,8,9},1),"0123456789")))=0),"OK","Wrong format"))</f>
        <v/>
      </c>
      <c r="AY971" s="30">
        <f>IF(NOT(COUNTA(A971:AE971)&gt;0),"",IF(BE971&lt;&gt;"","✖ "&amp;LEFT(BE971,LEN(BE971)-2),IF(BD971&gt;0,"✔ Ready — client + "&amp;BD971&amp;" service(s)","✔ Ready — client only")))</f>
        <v/>
      </c>
      <c r="AZ971" s="31">
        <f>UPPER(SUBSTITUTE(TRIM(F971)," ",""))</f>
        <v/>
      </c>
      <c r="BA971" s="31">
        <f>UPPER(SUBSTITUTE(TRIM(E971)," ",""))</f>
        <v/>
      </c>
      <c r="BB971" s="31">
        <f>IF(D971&lt;&gt;"",D971,IFERROR(VLOOKUP(MID(AS971,4,1),Lists!$E$2:$F$8,2,FALSE),""))</f>
        <v/>
      </c>
      <c r="BC971" s="31">
        <f>IFERROR(VLOOKUP(BB971,Lists!$A$2:$C$12,3,FALSE),"")</f>
        <v/>
      </c>
      <c r="BD971" s="31">
        <f>COUNTIF(W971:AC971,"Yes")</f>
        <v/>
      </c>
      <c r="BE971" s="31">
        <f>IF(TRIM(B971)="","Legal name missing; ","")&amp;IF(AND(AV971&lt;&gt;"",AV971&lt;&gt;"OK"),"GSTIN: "&amp;AV971&amp;"; ","")&amp;IF(AND(AW971&lt;&gt;"",AW971&lt;&gt;"OK"),"PAN wrong format; ","")&amp;IF(AND(BA971&lt;&gt;"",LEN(AZ971)=15,MID(AZ971,3,10)&lt;&gt;BA971),"PAN does not match GSTIN; ","")&amp;IF(AND(AX971&lt;&gt;"",AX971&lt;&gt;"OK"),"TAN wrong format; ","")&amp;IF(AS971="","PAN missing; ","")&amp;IF(BB971="","Entity type missing; ","")&amp;IF(AND(AZ971&lt;&gt;"",COUNTIF($AZ$6:$AZ$1005,AZ971)&gt;1),"GSTIN repeated in this sheet; ","")&amp;IF(AND(AS971&lt;&gt;"",COUNTIF($AS$6:$AS$1005,AS971)&gt;1),"PAN repeated in this sheet (same client? put extra GSTINs in Other GSTINs); ","")&amp;IF(AND(BD971&gt;0,V971=""),"Financial year missing; ","")&amp;IF(AND(BD971=0,V971&lt;&gt;""),"Financial year given but no service is Yes; ","")&amp;IF(AND(W971="Yes",AZ971=""),"GST needs a GSTIN; ","")&amp;IF(AND(W971="Yes",X971=""),"GST return frequency missing; ","")&amp;IF(AND(Y971="Yes",TRIM(H971)=""),"TDS needs a TAN; ","")&amp;IF(AND(AA971="Yes",BC971&lt;&gt;"",BC971&lt;&gt;"company",BC971&lt;&gt;"llp"),"ROC is only for a company / LLP; ","")&amp;IF(AND(AA971="Yes",OR(BC971="company",BC971="llp"),TRIM(I971)=""),"ROC needs the CIN / LLPIN; ","")&amp;IF((TRIM(AF971)="")&lt;&gt;(TRIM(AG971)=""),"GST login needs both user ID and password; ","")&amp;IF((TRIM(AH971)="")&lt;&gt;(TRIM(AI971)=""),"Income-tax login needs both user ID and password; ","")&amp;IF((TRIM(AJ971)="")&lt;&gt;(TRIM(AK971)=""),"Income-tax login needs both user ID and password; ","")&amp;IF((TRIM(AL971)="")&lt;&gt;(TRIM(AM971)=""),"TRACES login needs both user ID and password; ","")&amp;IF((TRIM(AN971)="")&lt;&gt;(TRIM(AO971)=""),"MCA login needs both user ID and password; ","")&amp;IF((TRIM(AP971)="")&lt;&gt;(TRIM(AQ971)=""),"E-way bill login needs both user ID and password; ","")</f>
        <v/>
      </c>
    </row>
    <row r="972">
      <c r="A972" s="32" t="n"/>
      <c r="B972" s="33" t="n"/>
      <c r="C972" s="33" t="n"/>
      <c r="D972" s="33" t="n"/>
      <c r="E972" s="32" t="n"/>
      <c r="F972" s="32" t="n"/>
      <c r="G972" s="32" t="n"/>
      <c r="H972" s="32" t="n"/>
      <c r="I972" s="32" t="n"/>
      <c r="J972" s="34" t="n"/>
      <c r="K972" s="33" t="n"/>
      <c r="L972" s="32" t="n"/>
      <c r="M972" s="33" t="n"/>
      <c r="N972" s="33" t="n"/>
      <c r="O972" s="33" t="n"/>
      <c r="P972" s="32" t="n"/>
      <c r="Q972" s="33" t="n"/>
      <c r="R972" s="33" t="n"/>
      <c r="S972" s="33" t="n"/>
      <c r="T972" s="33" t="n"/>
      <c r="U972" s="32" t="n"/>
      <c r="V972" s="33" t="n"/>
      <c r="W972" s="33" t="n"/>
      <c r="X972" s="33" t="n"/>
      <c r="Y972" s="33" t="n"/>
      <c r="Z972" s="33" t="n"/>
      <c r="AA972" s="33" t="n"/>
      <c r="AB972" s="33" t="n"/>
      <c r="AC972" s="33" t="n"/>
      <c r="AD972" s="33" t="n"/>
      <c r="AE972" s="33" t="n"/>
      <c r="AF972" s="32" t="n"/>
      <c r="AG972" s="32" t="n"/>
      <c r="AH972" s="32" t="n"/>
      <c r="AI972" s="32" t="n"/>
      <c r="AJ972" s="32" t="n"/>
      <c r="AK972" s="32" t="n"/>
      <c r="AL972" s="32" t="n"/>
      <c r="AM972" s="32" t="n"/>
      <c r="AN972" s="32" t="n"/>
      <c r="AO972" s="32" t="n"/>
      <c r="AP972" s="32" t="n"/>
      <c r="AQ972" s="32" t="n"/>
      <c r="AR972" s="29">
        <f>IF(NOT(COUNTA(A972:AE972)&gt;0),"",IF(A972="","New client","Update"))</f>
        <v/>
      </c>
      <c r="AS972" s="29">
        <f>IF(BA972&lt;&gt;"",BA972,IF(LEN(AZ972)=15,MID(AZ972,3,10),""))</f>
        <v/>
      </c>
      <c r="AT972" s="29">
        <f>IF(BB972="","",BB972&amp;IF(D972="","  (guessed from PAN)",""))</f>
        <v/>
      </c>
      <c r="AU972" s="29">
        <f>IF(AZ972="","",IFERROR(INDEX(Lists!$L$2:$L$38,MATCH(LEFT(AZ972,2),Lists!$K$2:$K$38,0)),"Unknown code"))</f>
        <v/>
      </c>
      <c r="AV972" s="29">
        <f>IF(AZ972="","",IFERROR(IF(NOT(AND(LEN(AZ972)=15,ISNUMBER(MATCH(LEFT(AZ972,2),Lists!$K$2:$K$38,0)),SUMPRODUCT(--ISERROR(FIND(MID(MID(AZ972,3,10),{1,2,3,4,5,10},1),"ABCDEFGHIJKLMNOPQRSTUVWXYZ")))=0,SUMPRODUCT(--ISERROR(FIND(MID(MID(AZ972,3,10),{6,7,8,9},1),"0123456789")))=0,ISNUMBER(FIND(MID(AZ972,13,1),"123456789ABCDEFGHIJKLMNOPQRSTUVWXYZ")),MID(AZ972,14,1)="Z")),"Wrong format",IF(MID("0123456789ABCDEFGHIJKLMNOPQRSTUVWXYZ",MOD(36-MOD(SUMPRODUCT(INT((FIND(MID(AZ972,{1,2,3,4,5,6,7,8,9,10,11,12,13,14},1),"0123456789ABCDEFGHIJKLMNOPQRSTUVWXYZ")-1)*{1,2,1,2,1,2,1,2,1,2,1,2,1,2}/36)+MOD((FIND(MID(AZ972,{1,2,3,4,5,6,7,8,9,10,11,12,13,14},1),"0123456789ABCDEFGHIJKLMNOPQRSTUVWXYZ")-1)*{1,2,1,2,1,2,1,2,1,2,1,2,1,2},36)),36),36)+1,1)=MID(AZ972,15,1),"OK","Typo? check digit wrong")),"Wrong format"))</f>
        <v/>
      </c>
      <c r="AW972" s="29">
        <f>IF(BA972="","",IF(AND(LEN(BA972)=10,SUMPRODUCT(--ISERROR(FIND(MID(BA972,{1,2,3,4,5,10},1),"ABCDEFGHIJKLMNOPQRSTUVWXYZ")))=0,SUMPRODUCT(--ISERROR(FIND(MID(BA972,{6,7,8,9},1),"0123456789")))=0),"OK","Wrong format"))</f>
        <v/>
      </c>
      <c r="AX972" s="29">
        <f>IF(TRIM(H972)="","",IF(AND(LEN(UPPER(TRIM(H972)))=10,SUMPRODUCT(--ISERROR(FIND(MID(UPPER(TRIM(H972)),{1,2,3,4,10},1),"ABCDEFGHIJKLMNOPQRSTUVWXYZ")))=0,SUMPRODUCT(--ISERROR(FIND(MID(UPPER(TRIM(H972)),{5,6,7,8,9},1),"0123456789")))=0),"OK","Wrong format"))</f>
        <v/>
      </c>
      <c r="AY972" s="30">
        <f>IF(NOT(COUNTA(A972:AE972)&gt;0),"",IF(BE972&lt;&gt;"","✖ "&amp;LEFT(BE972,LEN(BE972)-2),IF(BD972&gt;0,"✔ Ready — client + "&amp;BD972&amp;" service(s)","✔ Ready — client only")))</f>
        <v/>
      </c>
      <c r="AZ972" s="31">
        <f>UPPER(SUBSTITUTE(TRIM(F972)," ",""))</f>
        <v/>
      </c>
      <c r="BA972" s="31">
        <f>UPPER(SUBSTITUTE(TRIM(E972)," ",""))</f>
        <v/>
      </c>
      <c r="BB972" s="31">
        <f>IF(D972&lt;&gt;"",D972,IFERROR(VLOOKUP(MID(AS972,4,1),Lists!$E$2:$F$8,2,FALSE),""))</f>
        <v/>
      </c>
      <c r="BC972" s="31">
        <f>IFERROR(VLOOKUP(BB972,Lists!$A$2:$C$12,3,FALSE),"")</f>
        <v/>
      </c>
      <c r="BD972" s="31">
        <f>COUNTIF(W972:AC972,"Yes")</f>
        <v/>
      </c>
      <c r="BE972" s="31">
        <f>IF(TRIM(B972)="","Legal name missing; ","")&amp;IF(AND(AV972&lt;&gt;"",AV972&lt;&gt;"OK"),"GSTIN: "&amp;AV972&amp;"; ","")&amp;IF(AND(AW972&lt;&gt;"",AW972&lt;&gt;"OK"),"PAN wrong format; ","")&amp;IF(AND(BA972&lt;&gt;"",LEN(AZ972)=15,MID(AZ972,3,10)&lt;&gt;BA972),"PAN does not match GSTIN; ","")&amp;IF(AND(AX972&lt;&gt;"",AX972&lt;&gt;"OK"),"TAN wrong format; ","")&amp;IF(AS972="","PAN missing; ","")&amp;IF(BB972="","Entity type missing; ","")&amp;IF(AND(AZ972&lt;&gt;"",COUNTIF($AZ$6:$AZ$1005,AZ972)&gt;1),"GSTIN repeated in this sheet; ","")&amp;IF(AND(AS972&lt;&gt;"",COUNTIF($AS$6:$AS$1005,AS972)&gt;1),"PAN repeated in this sheet (same client? put extra GSTINs in Other GSTINs); ","")&amp;IF(AND(BD972&gt;0,V972=""),"Financial year missing; ","")&amp;IF(AND(BD972=0,V972&lt;&gt;""),"Financial year given but no service is Yes; ","")&amp;IF(AND(W972="Yes",AZ972=""),"GST needs a GSTIN; ","")&amp;IF(AND(W972="Yes",X972=""),"GST return frequency missing; ","")&amp;IF(AND(Y972="Yes",TRIM(H972)=""),"TDS needs a TAN; ","")&amp;IF(AND(AA972="Yes",BC972&lt;&gt;"",BC972&lt;&gt;"company",BC972&lt;&gt;"llp"),"ROC is only for a company / LLP; ","")&amp;IF(AND(AA972="Yes",OR(BC972="company",BC972="llp"),TRIM(I972)=""),"ROC needs the CIN / LLPIN; ","")&amp;IF((TRIM(AF972)="")&lt;&gt;(TRIM(AG972)=""),"GST login needs both user ID and password; ","")&amp;IF((TRIM(AH972)="")&lt;&gt;(TRIM(AI972)=""),"Income-tax login needs both user ID and password; ","")&amp;IF((TRIM(AJ972)="")&lt;&gt;(TRIM(AK972)=""),"Income-tax login needs both user ID and password; ","")&amp;IF((TRIM(AL972)="")&lt;&gt;(TRIM(AM972)=""),"TRACES login needs both user ID and password; ","")&amp;IF((TRIM(AN972)="")&lt;&gt;(TRIM(AO972)=""),"MCA login needs both user ID and password; ","")&amp;IF((TRIM(AP972)="")&lt;&gt;(TRIM(AQ972)=""),"E-way bill login needs both user ID and password; ","")</f>
        <v/>
      </c>
    </row>
    <row r="973">
      <c r="A973" s="32" t="n"/>
      <c r="B973" s="33" t="n"/>
      <c r="C973" s="33" t="n"/>
      <c r="D973" s="33" t="n"/>
      <c r="E973" s="32" t="n"/>
      <c r="F973" s="32" t="n"/>
      <c r="G973" s="32" t="n"/>
      <c r="H973" s="32" t="n"/>
      <c r="I973" s="32" t="n"/>
      <c r="J973" s="34" t="n"/>
      <c r="K973" s="33" t="n"/>
      <c r="L973" s="32" t="n"/>
      <c r="M973" s="33" t="n"/>
      <c r="N973" s="33" t="n"/>
      <c r="O973" s="33" t="n"/>
      <c r="P973" s="32" t="n"/>
      <c r="Q973" s="33" t="n"/>
      <c r="R973" s="33" t="n"/>
      <c r="S973" s="33" t="n"/>
      <c r="T973" s="33" t="n"/>
      <c r="U973" s="32" t="n"/>
      <c r="V973" s="33" t="n"/>
      <c r="W973" s="33" t="n"/>
      <c r="X973" s="33" t="n"/>
      <c r="Y973" s="33" t="n"/>
      <c r="Z973" s="33" t="n"/>
      <c r="AA973" s="33" t="n"/>
      <c r="AB973" s="33" t="n"/>
      <c r="AC973" s="33" t="n"/>
      <c r="AD973" s="33" t="n"/>
      <c r="AE973" s="33" t="n"/>
      <c r="AF973" s="32" t="n"/>
      <c r="AG973" s="32" t="n"/>
      <c r="AH973" s="32" t="n"/>
      <c r="AI973" s="32" t="n"/>
      <c r="AJ973" s="32" t="n"/>
      <c r="AK973" s="32" t="n"/>
      <c r="AL973" s="32" t="n"/>
      <c r="AM973" s="32" t="n"/>
      <c r="AN973" s="32" t="n"/>
      <c r="AO973" s="32" t="n"/>
      <c r="AP973" s="32" t="n"/>
      <c r="AQ973" s="32" t="n"/>
      <c r="AR973" s="29">
        <f>IF(NOT(COUNTA(A973:AE973)&gt;0),"",IF(A973="","New client","Update"))</f>
        <v/>
      </c>
      <c r="AS973" s="29">
        <f>IF(BA973&lt;&gt;"",BA973,IF(LEN(AZ973)=15,MID(AZ973,3,10),""))</f>
        <v/>
      </c>
      <c r="AT973" s="29">
        <f>IF(BB973="","",BB973&amp;IF(D973="","  (guessed from PAN)",""))</f>
        <v/>
      </c>
      <c r="AU973" s="29">
        <f>IF(AZ973="","",IFERROR(INDEX(Lists!$L$2:$L$38,MATCH(LEFT(AZ973,2),Lists!$K$2:$K$38,0)),"Unknown code"))</f>
        <v/>
      </c>
      <c r="AV973" s="29">
        <f>IF(AZ973="","",IFERROR(IF(NOT(AND(LEN(AZ973)=15,ISNUMBER(MATCH(LEFT(AZ973,2),Lists!$K$2:$K$38,0)),SUMPRODUCT(--ISERROR(FIND(MID(MID(AZ973,3,10),{1,2,3,4,5,10},1),"ABCDEFGHIJKLMNOPQRSTUVWXYZ")))=0,SUMPRODUCT(--ISERROR(FIND(MID(MID(AZ973,3,10),{6,7,8,9},1),"0123456789")))=0,ISNUMBER(FIND(MID(AZ973,13,1),"123456789ABCDEFGHIJKLMNOPQRSTUVWXYZ")),MID(AZ973,14,1)="Z")),"Wrong format",IF(MID("0123456789ABCDEFGHIJKLMNOPQRSTUVWXYZ",MOD(36-MOD(SUMPRODUCT(INT((FIND(MID(AZ973,{1,2,3,4,5,6,7,8,9,10,11,12,13,14},1),"0123456789ABCDEFGHIJKLMNOPQRSTUVWXYZ")-1)*{1,2,1,2,1,2,1,2,1,2,1,2,1,2}/36)+MOD((FIND(MID(AZ973,{1,2,3,4,5,6,7,8,9,10,11,12,13,14},1),"0123456789ABCDEFGHIJKLMNOPQRSTUVWXYZ")-1)*{1,2,1,2,1,2,1,2,1,2,1,2,1,2},36)),36),36)+1,1)=MID(AZ973,15,1),"OK","Typo? check digit wrong")),"Wrong format"))</f>
        <v/>
      </c>
      <c r="AW973" s="29">
        <f>IF(BA973="","",IF(AND(LEN(BA973)=10,SUMPRODUCT(--ISERROR(FIND(MID(BA973,{1,2,3,4,5,10},1),"ABCDEFGHIJKLMNOPQRSTUVWXYZ")))=0,SUMPRODUCT(--ISERROR(FIND(MID(BA973,{6,7,8,9},1),"0123456789")))=0),"OK","Wrong format"))</f>
        <v/>
      </c>
      <c r="AX973" s="29">
        <f>IF(TRIM(H973)="","",IF(AND(LEN(UPPER(TRIM(H973)))=10,SUMPRODUCT(--ISERROR(FIND(MID(UPPER(TRIM(H973)),{1,2,3,4,10},1),"ABCDEFGHIJKLMNOPQRSTUVWXYZ")))=0,SUMPRODUCT(--ISERROR(FIND(MID(UPPER(TRIM(H973)),{5,6,7,8,9},1),"0123456789")))=0),"OK","Wrong format"))</f>
        <v/>
      </c>
      <c r="AY973" s="30">
        <f>IF(NOT(COUNTA(A973:AE973)&gt;0),"",IF(BE973&lt;&gt;"","✖ "&amp;LEFT(BE973,LEN(BE973)-2),IF(BD973&gt;0,"✔ Ready — client + "&amp;BD973&amp;" service(s)","✔ Ready — client only")))</f>
        <v/>
      </c>
      <c r="AZ973" s="31">
        <f>UPPER(SUBSTITUTE(TRIM(F973)," ",""))</f>
        <v/>
      </c>
      <c r="BA973" s="31">
        <f>UPPER(SUBSTITUTE(TRIM(E973)," ",""))</f>
        <v/>
      </c>
      <c r="BB973" s="31">
        <f>IF(D973&lt;&gt;"",D973,IFERROR(VLOOKUP(MID(AS973,4,1),Lists!$E$2:$F$8,2,FALSE),""))</f>
        <v/>
      </c>
      <c r="BC973" s="31">
        <f>IFERROR(VLOOKUP(BB973,Lists!$A$2:$C$12,3,FALSE),"")</f>
        <v/>
      </c>
      <c r="BD973" s="31">
        <f>COUNTIF(W973:AC973,"Yes")</f>
        <v/>
      </c>
      <c r="BE973" s="31">
        <f>IF(TRIM(B973)="","Legal name missing; ","")&amp;IF(AND(AV973&lt;&gt;"",AV973&lt;&gt;"OK"),"GSTIN: "&amp;AV973&amp;"; ","")&amp;IF(AND(AW973&lt;&gt;"",AW973&lt;&gt;"OK"),"PAN wrong format; ","")&amp;IF(AND(BA973&lt;&gt;"",LEN(AZ973)=15,MID(AZ973,3,10)&lt;&gt;BA973),"PAN does not match GSTIN; ","")&amp;IF(AND(AX973&lt;&gt;"",AX973&lt;&gt;"OK"),"TAN wrong format; ","")&amp;IF(AS973="","PAN missing; ","")&amp;IF(BB973="","Entity type missing; ","")&amp;IF(AND(AZ973&lt;&gt;"",COUNTIF($AZ$6:$AZ$1005,AZ973)&gt;1),"GSTIN repeated in this sheet; ","")&amp;IF(AND(AS973&lt;&gt;"",COUNTIF($AS$6:$AS$1005,AS973)&gt;1),"PAN repeated in this sheet (same client? put extra GSTINs in Other GSTINs); ","")&amp;IF(AND(BD973&gt;0,V973=""),"Financial year missing; ","")&amp;IF(AND(BD973=0,V973&lt;&gt;""),"Financial year given but no service is Yes; ","")&amp;IF(AND(W973="Yes",AZ973=""),"GST needs a GSTIN; ","")&amp;IF(AND(W973="Yes",X973=""),"GST return frequency missing; ","")&amp;IF(AND(Y973="Yes",TRIM(H973)=""),"TDS needs a TAN; ","")&amp;IF(AND(AA973="Yes",BC973&lt;&gt;"",BC973&lt;&gt;"company",BC973&lt;&gt;"llp"),"ROC is only for a company / LLP; ","")&amp;IF(AND(AA973="Yes",OR(BC973="company",BC973="llp"),TRIM(I973)=""),"ROC needs the CIN / LLPIN; ","")&amp;IF((TRIM(AF973)="")&lt;&gt;(TRIM(AG973)=""),"GST login needs both user ID and password; ","")&amp;IF((TRIM(AH973)="")&lt;&gt;(TRIM(AI973)=""),"Income-tax login needs both user ID and password; ","")&amp;IF((TRIM(AJ973)="")&lt;&gt;(TRIM(AK973)=""),"Income-tax login needs both user ID and password; ","")&amp;IF((TRIM(AL973)="")&lt;&gt;(TRIM(AM973)=""),"TRACES login needs both user ID and password; ","")&amp;IF((TRIM(AN973)="")&lt;&gt;(TRIM(AO973)=""),"MCA login needs both user ID and password; ","")&amp;IF((TRIM(AP973)="")&lt;&gt;(TRIM(AQ973)=""),"E-way bill login needs both user ID and password; ","")</f>
        <v/>
      </c>
    </row>
    <row r="974">
      <c r="A974" s="32" t="n"/>
      <c r="B974" s="33" t="n"/>
      <c r="C974" s="33" t="n"/>
      <c r="D974" s="33" t="n"/>
      <c r="E974" s="32" t="n"/>
      <c r="F974" s="32" t="n"/>
      <c r="G974" s="32" t="n"/>
      <c r="H974" s="32" t="n"/>
      <c r="I974" s="32" t="n"/>
      <c r="J974" s="34" t="n"/>
      <c r="K974" s="33" t="n"/>
      <c r="L974" s="32" t="n"/>
      <c r="M974" s="33" t="n"/>
      <c r="N974" s="33" t="n"/>
      <c r="O974" s="33" t="n"/>
      <c r="P974" s="32" t="n"/>
      <c r="Q974" s="33" t="n"/>
      <c r="R974" s="33" t="n"/>
      <c r="S974" s="33" t="n"/>
      <c r="T974" s="33" t="n"/>
      <c r="U974" s="32" t="n"/>
      <c r="V974" s="33" t="n"/>
      <c r="W974" s="33" t="n"/>
      <c r="X974" s="33" t="n"/>
      <c r="Y974" s="33" t="n"/>
      <c r="Z974" s="33" t="n"/>
      <c r="AA974" s="33" t="n"/>
      <c r="AB974" s="33" t="n"/>
      <c r="AC974" s="33" t="n"/>
      <c r="AD974" s="33" t="n"/>
      <c r="AE974" s="33" t="n"/>
      <c r="AF974" s="32" t="n"/>
      <c r="AG974" s="32" t="n"/>
      <c r="AH974" s="32" t="n"/>
      <c r="AI974" s="32" t="n"/>
      <c r="AJ974" s="32" t="n"/>
      <c r="AK974" s="32" t="n"/>
      <c r="AL974" s="32" t="n"/>
      <c r="AM974" s="32" t="n"/>
      <c r="AN974" s="32" t="n"/>
      <c r="AO974" s="32" t="n"/>
      <c r="AP974" s="32" t="n"/>
      <c r="AQ974" s="32" t="n"/>
      <c r="AR974" s="29">
        <f>IF(NOT(COUNTA(A974:AE974)&gt;0),"",IF(A974="","New client","Update"))</f>
        <v/>
      </c>
      <c r="AS974" s="29">
        <f>IF(BA974&lt;&gt;"",BA974,IF(LEN(AZ974)=15,MID(AZ974,3,10),""))</f>
        <v/>
      </c>
      <c r="AT974" s="29">
        <f>IF(BB974="","",BB974&amp;IF(D974="","  (guessed from PAN)",""))</f>
        <v/>
      </c>
      <c r="AU974" s="29">
        <f>IF(AZ974="","",IFERROR(INDEX(Lists!$L$2:$L$38,MATCH(LEFT(AZ974,2),Lists!$K$2:$K$38,0)),"Unknown code"))</f>
        <v/>
      </c>
      <c r="AV974" s="29">
        <f>IF(AZ974="","",IFERROR(IF(NOT(AND(LEN(AZ974)=15,ISNUMBER(MATCH(LEFT(AZ974,2),Lists!$K$2:$K$38,0)),SUMPRODUCT(--ISERROR(FIND(MID(MID(AZ974,3,10),{1,2,3,4,5,10},1),"ABCDEFGHIJKLMNOPQRSTUVWXYZ")))=0,SUMPRODUCT(--ISERROR(FIND(MID(MID(AZ974,3,10),{6,7,8,9},1),"0123456789")))=0,ISNUMBER(FIND(MID(AZ974,13,1),"123456789ABCDEFGHIJKLMNOPQRSTUVWXYZ")),MID(AZ974,14,1)="Z")),"Wrong format",IF(MID("0123456789ABCDEFGHIJKLMNOPQRSTUVWXYZ",MOD(36-MOD(SUMPRODUCT(INT((FIND(MID(AZ974,{1,2,3,4,5,6,7,8,9,10,11,12,13,14},1),"0123456789ABCDEFGHIJKLMNOPQRSTUVWXYZ")-1)*{1,2,1,2,1,2,1,2,1,2,1,2,1,2}/36)+MOD((FIND(MID(AZ974,{1,2,3,4,5,6,7,8,9,10,11,12,13,14},1),"0123456789ABCDEFGHIJKLMNOPQRSTUVWXYZ")-1)*{1,2,1,2,1,2,1,2,1,2,1,2,1,2},36)),36),36)+1,1)=MID(AZ974,15,1),"OK","Typo? check digit wrong")),"Wrong format"))</f>
        <v/>
      </c>
      <c r="AW974" s="29">
        <f>IF(BA974="","",IF(AND(LEN(BA974)=10,SUMPRODUCT(--ISERROR(FIND(MID(BA974,{1,2,3,4,5,10},1),"ABCDEFGHIJKLMNOPQRSTUVWXYZ")))=0,SUMPRODUCT(--ISERROR(FIND(MID(BA974,{6,7,8,9},1),"0123456789")))=0),"OK","Wrong format"))</f>
        <v/>
      </c>
      <c r="AX974" s="29">
        <f>IF(TRIM(H974)="","",IF(AND(LEN(UPPER(TRIM(H974)))=10,SUMPRODUCT(--ISERROR(FIND(MID(UPPER(TRIM(H974)),{1,2,3,4,10},1),"ABCDEFGHIJKLMNOPQRSTUVWXYZ")))=0,SUMPRODUCT(--ISERROR(FIND(MID(UPPER(TRIM(H974)),{5,6,7,8,9},1),"0123456789")))=0),"OK","Wrong format"))</f>
        <v/>
      </c>
      <c r="AY974" s="30">
        <f>IF(NOT(COUNTA(A974:AE974)&gt;0),"",IF(BE974&lt;&gt;"","✖ "&amp;LEFT(BE974,LEN(BE974)-2),IF(BD974&gt;0,"✔ Ready — client + "&amp;BD974&amp;" service(s)","✔ Ready — client only")))</f>
        <v/>
      </c>
      <c r="AZ974" s="31">
        <f>UPPER(SUBSTITUTE(TRIM(F974)," ",""))</f>
        <v/>
      </c>
      <c r="BA974" s="31">
        <f>UPPER(SUBSTITUTE(TRIM(E974)," ",""))</f>
        <v/>
      </c>
      <c r="BB974" s="31">
        <f>IF(D974&lt;&gt;"",D974,IFERROR(VLOOKUP(MID(AS974,4,1),Lists!$E$2:$F$8,2,FALSE),""))</f>
        <v/>
      </c>
      <c r="BC974" s="31">
        <f>IFERROR(VLOOKUP(BB974,Lists!$A$2:$C$12,3,FALSE),"")</f>
        <v/>
      </c>
      <c r="BD974" s="31">
        <f>COUNTIF(W974:AC974,"Yes")</f>
        <v/>
      </c>
      <c r="BE974" s="31">
        <f>IF(TRIM(B974)="","Legal name missing; ","")&amp;IF(AND(AV974&lt;&gt;"",AV974&lt;&gt;"OK"),"GSTIN: "&amp;AV974&amp;"; ","")&amp;IF(AND(AW974&lt;&gt;"",AW974&lt;&gt;"OK"),"PAN wrong format; ","")&amp;IF(AND(BA974&lt;&gt;"",LEN(AZ974)=15,MID(AZ974,3,10)&lt;&gt;BA974),"PAN does not match GSTIN; ","")&amp;IF(AND(AX974&lt;&gt;"",AX974&lt;&gt;"OK"),"TAN wrong format; ","")&amp;IF(AS974="","PAN missing; ","")&amp;IF(BB974="","Entity type missing; ","")&amp;IF(AND(AZ974&lt;&gt;"",COUNTIF($AZ$6:$AZ$1005,AZ974)&gt;1),"GSTIN repeated in this sheet; ","")&amp;IF(AND(AS974&lt;&gt;"",COUNTIF($AS$6:$AS$1005,AS974)&gt;1),"PAN repeated in this sheet (same client? put extra GSTINs in Other GSTINs); ","")&amp;IF(AND(BD974&gt;0,V974=""),"Financial year missing; ","")&amp;IF(AND(BD974=0,V974&lt;&gt;""),"Financial year given but no service is Yes; ","")&amp;IF(AND(W974="Yes",AZ974=""),"GST needs a GSTIN; ","")&amp;IF(AND(W974="Yes",X974=""),"GST return frequency missing; ","")&amp;IF(AND(Y974="Yes",TRIM(H974)=""),"TDS needs a TAN; ","")&amp;IF(AND(AA974="Yes",BC974&lt;&gt;"",BC974&lt;&gt;"company",BC974&lt;&gt;"llp"),"ROC is only for a company / LLP; ","")&amp;IF(AND(AA974="Yes",OR(BC974="company",BC974="llp"),TRIM(I974)=""),"ROC needs the CIN / LLPIN; ","")&amp;IF((TRIM(AF974)="")&lt;&gt;(TRIM(AG974)=""),"GST login needs both user ID and password; ","")&amp;IF((TRIM(AH974)="")&lt;&gt;(TRIM(AI974)=""),"Income-tax login needs both user ID and password; ","")&amp;IF((TRIM(AJ974)="")&lt;&gt;(TRIM(AK974)=""),"Income-tax login needs both user ID and password; ","")&amp;IF((TRIM(AL974)="")&lt;&gt;(TRIM(AM974)=""),"TRACES login needs both user ID and password; ","")&amp;IF((TRIM(AN974)="")&lt;&gt;(TRIM(AO974)=""),"MCA login needs both user ID and password; ","")&amp;IF((TRIM(AP974)="")&lt;&gt;(TRIM(AQ974)=""),"E-way bill login needs both user ID and password; ","")</f>
        <v/>
      </c>
    </row>
    <row r="975">
      <c r="A975" s="32" t="n"/>
      <c r="B975" s="33" t="n"/>
      <c r="C975" s="33" t="n"/>
      <c r="D975" s="33" t="n"/>
      <c r="E975" s="32" t="n"/>
      <c r="F975" s="32" t="n"/>
      <c r="G975" s="32" t="n"/>
      <c r="H975" s="32" t="n"/>
      <c r="I975" s="32" t="n"/>
      <c r="J975" s="34" t="n"/>
      <c r="K975" s="33" t="n"/>
      <c r="L975" s="32" t="n"/>
      <c r="M975" s="33" t="n"/>
      <c r="N975" s="33" t="n"/>
      <c r="O975" s="33" t="n"/>
      <c r="P975" s="32" t="n"/>
      <c r="Q975" s="33" t="n"/>
      <c r="R975" s="33" t="n"/>
      <c r="S975" s="33" t="n"/>
      <c r="T975" s="33" t="n"/>
      <c r="U975" s="32" t="n"/>
      <c r="V975" s="33" t="n"/>
      <c r="W975" s="33" t="n"/>
      <c r="X975" s="33" t="n"/>
      <c r="Y975" s="33" t="n"/>
      <c r="Z975" s="33" t="n"/>
      <c r="AA975" s="33" t="n"/>
      <c r="AB975" s="33" t="n"/>
      <c r="AC975" s="33" t="n"/>
      <c r="AD975" s="33" t="n"/>
      <c r="AE975" s="33" t="n"/>
      <c r="AF975" s="32" t="n"/>
      <c r="AG975" s="32" t="n"/>
      <c r="AH975" s="32" t="n"/>
      <c r="AI975" s="32" t="n"/>
      <c r="AJ975" s="32" t="n"/>
      <c r="AK975" s="32" t="n"/>
      <c r="AL975" s="32" t="n"/>
      <c r="AM975" s="32" t="n"/>
      <c r="AN975" s="32" t="n"/>
      <c r="AO975" s="32" t="n"/>
      <c r="AP975" s="32" t="n"/>
      <c r="AQ975" s="32" t="n"/>
      <c r="AR975" s="29">
        <f>IF(NOT(COUNTA(A975:AE975)&gt;0),"",IF(A975="","New client","Update"))</f>
        <v/>
      </c>
      <c r="AS975" s="29">
        <f>IF(BA975&lt;&gt;"",BA975,IF(LEN(AZ975)=15,MID(AZ975,3,10),""))</f>
        <v/>
      </c>
      <c r="AT975" s="29">
        <f>IF(BB975="","",BB975&amp;IF(D975="","  (guessed from PAN)",""))</f>
        <v/>
      </c>
      <c r="AU975" s="29">
        <f>IF(AZ975="","",IFERROR(INDEX(Lists!$L$2:$L$38,MATCH(LEFT(AZ975,2),Lists!$K$2:$K$38,0)),"Unknown code"))</f>
        <v/>
      </c>
      <c r="AV975" s="29">
        <f>IF(AZ975="","",IFERROR(IF(NOT(AND(LEN(AZ975)=15,ISNUMBER(MATCH(LEFT(AZ975,2),Lists!$K$2:$K$38,0)),SUMPRODUCT(--ISERROR(FIND(MID(MID(AZ975,3,10),{1,2,3,4,5,10},1),"ABCDEFGHIJKLMNOPQRSTUVWXYZ")))=0,SUMPRODUCT(--ISERROR(FIND(MID(MID(AZ975,3,10),{6,7,8,9},1),"0123456789")))=0,ISNUMBER(FIND(MID(AZ975,13,1),"123456789ABCDEFGHIJKLMNOPQRSTUVWXYZ")),MID(AZ975,14,1)="Z")),"Wrong format",IF(MID("0123456789ABCDEFGHIJKLMNOPQRSTUVWXYZ",MOD(36-MOD(SUMPRODUCT(INT((FIND(MID(AZ975,{1,2,3,4,5,6,7,8,9,10,11,12,13,14},1),"0123456789ABCDEFGHIJKLMNOPQRSTUVWXYZ")-1)*{1,2,1,2,1,2,1,2,1,2,1,2,1,2}/36)+MOD((FIND(MID(AZ975,{1,2,3,4,5,6,7,8,9,10,11,12,13,14},1),"0123456789ABCDEFGHIJKLMNOPQRSTUVWXYZ")-1)*{1,2,1,2,1,2,1,2,1,2,1,2,1,2},36)),36),36)+1,1)=MID(AZ975,15,1),"OK","Typo? check digit wrong")),"Wrong format"))</f>
        <v/>
      </c>
      <c r="AW975" s="29">
        <f>IF(BA975="","",IF(AND(LEN(BA975)=10,SUMPRODUCT(--ISERROR(FIND(MID(BA975,{1,2,3,4,5,10},1),"ABCDEFGHIJKLMNOPQRSTUVWXYZ")))=0,SUMPRODUCT(--ISERROR(FIND(MID(BA975,{6,7,8,9},1),"0123456789")))=0),"OK","Wrong format"))</f>
        <v/>
      </c>
      <c r="AX975" s="29">
        <f>IF(TRIM(H975)="","",IF(AND(LEN(UPPER(TRIM(H975)))=10,SUMPRODUCT(--ISERROR(FIND(MID(UPPER(TRIM(H975)),{1,2,3,4,10},1),"ABCDEFGHIJKLMNOPQRSTUVWXYZ")))=0,SUMPRODUCT(--ISERROR(FIND(MID(UPPER(TRIM(H975)),{5,6,7,8,9},1),"0123456789")))=0),"OK","Wrong format"))</f>
        <v/>
      </c>
      <c r="AY975" s="30">
        <f>IF(NOT(COUNTA(A975:AE975)&gt;0),"",IF(BE975&lt;&gt;"","✖ "&amp;LEFT(BE975,LEN(BE975)-2),IF(BD975&gt;0,"✔ Ready — client + "&amp;BD975&amp;" service(s)","✔ Ready — client only")))</f>
        <v/>
      </c>
      <c r="AZ975" s="31">
        <f>UPPER(SUBSTITUTE(TRIM(F975)," ",""))</f>
        <v/>
      </c>
      <c r="BA975" s="31">
        <f>UPPER(SUBSTITUTE(TRIM(E975)," ",""))</f>
        <v/>
      </c>
      <c r="BB975" s="31">
        <f>IF(D975&lt;&gt;"",D975,IFERROR(VLOOKUP(MID(AS975,4,1),Lists!$E$2:$F$8,2,FALSE),""))</f>
        <v/>
      </c>
      <c r="BC975" s="31">
        <f>IFERROR(VLOOKUP(BB975,Lists!$A$2:$C$12,3,FALSE),"")</f>
        <v/>
      </c>
      <c r="BD975" s="31">
        <f>COUNTIF(W975:AC975,"Yes")</f>
        <v/>
      </c>
      <c r="BE975" s="31">
        <f>IF(TRIM(B975)="","Legal name missing; ","")&amp;IF(AND(AV975&lt;&gt;"",AV975&lt;&gt;"OK"),"GSTIN: "&amp;AV975&amp;"; ","")&amp;IF(AND(AW975&lt;&gt;"",AW975&lt;&gt;"OK"),"PAN wrong format; ","")&amp;IF(AND(BA975&lt;&gt;"",LEN(AZ975)=15,MID(AZ975,3,10)&lt;&gt;BA975),"PAN does not match GSTIN; ","")&amp;IF(AND(AX975&lt;&gt;"",AX975&lt;&gt;"OK"),"TAN wrong format; ","")&amp;IF(AS975="","PAN missing; ","")&amp;IF(BB975="","Entity type missing; ","")&amp;IF(AND(AZ975&lt;&gt;"",COUNTIF($AZ$6:$AZ$1005,AZ975)&gt;1),"GSTIN repeated in this sheet; ","")&amp;IF(AND(AS975&lt;&gt;"",COUNTIF($AS$6:$AS$1005,AS975)&gt;1),"PAN repeated in this sheet (same client? put extra GSTINs in Other GSTINs); ","")&amp;IF(AND(BD975&gt;0,V975=""),"Financial year missing; ","")&amp;IF(AND(BD975=0,V975&lt;&gt;""),"Financial year given but no service is Yes; ","")&amp;IF(AND(W975="Yes",AZ975=""),"GST needs a GSTIN; ","")&amp;IF(AND(W975="Yes",X975=""),"GST return frequency missing; ","")&amp;IF(AND(Y975="Yes",TRIM(H975)=""),"TDS needs a TAN; ","")&amp;IF(AND(AA975="Yes",BC975&lt;&gt;"",BC975&lt;&gt;"company",BC975&lt;&gt;"llp"),"ROC is only for a company / LLP; ","")&amp;IF(AND(AA975="Yes",OR(BC975="company",BC975="llp"),TRIM(I975)=""),"ROC needs the CIN / LLPIN; ","")&amp;IF((TRIM(AF975)="")&lt;&gt;(TRIM(AG975)=""),"GST login needs both user ID and password; ","")&amp;IF((TRIM(AH975)="")&lt;&gt;(TRIM(AI975)=""),"Income-tax login needs both user ID and password; ","")&amp;IF((TRIM(AJ975)="")&lt;&gt;(TRIM(AK975)=""),"Income-tax login needs both user ID and password; ","")&amp;IF((TRIM(AL975)="")&lt;&gt;(TRIM(AM975)=""),"TRACES login needs both user ID and password; ","")&amp;IF((TRIM(AN975)="")&lt;&gt;(TRIM(AO975)=""),"MCA login needs both user ID and password; ","")&amp;IF((TRIM(AP975)="")&lt;&gt;(TRIM(AQ975)=""),"E-way bill login needs both user ID and password; ","")</f>
        <v/>
      </c>
    </row>
    <row r="976">
      <c r="A976" s="32" t="n"/>
      <c r="B976" s="33" t="n"/>
      <c r="C976" s="33" t="n"/>
      <c r="D976" s="33" t="n"/>
      <c r="E976" s="32" t="n"/>
      <c r="F976" s="32" t="n"/>
      <c r="G976" s="32" t="n"/>
      <c r="H976" s="32" t="n"/>
      <c r="I976" s="32" t="n"/>
      <c r="J976" s="34" t="n"/>
      <c r="K976" s="33" t="n"/>
      <c r="L976" s="32" t="n"/>
      <c r="M976" s="33" t="n"/>
      <c r="N976" s="33" t="n"/>
      <c r="O976" s="33" t="n"/>
      <c r="P976" s="32" t="n"/>
      <c r="Q976" s="33" t="n"/>
      <c r="R976" s="33" t="n"/>
      <c r="S976" s="33" t="n"/>
      <c r="T976" s="33" t="n"/>
      <c r="U976" s="32" t="n"/>
      <c r="V976" s="33" t="n"/>
      <c r="W976" s="33" t="n"/>
      <c r="X976" s="33" t="n"/>
      <c r="Y976" s="33" t="n"/>
      <c r="Z976" s="33" t="n"/>
      <c r="AA976" s="33" t="n"/>
      <c r="AB976" s="33" t="n"/>
      <c r="AC976" s="33" t="n"/>
      <c r="AD976" s="33" t="n"/>
      <c r="AE976" s="33" t="n"/>
      <c r="AF976" s="32" t="n"/>
      <c r="AG976" s="32" t="n"/>
      <c r="AH976" s="32" t="n"/>
      <c r="AI976" s="32" t="n"/>
      <c r="AJ976" s="32" t="n"/>
      <c r="AK976" s="32" t="n"/>
      <c r="AL976" s="32" t="n"/>
      <c r="AM976" s="32" t="n"/>
      <c r="AN976" s="32" t="n"/>
      <c r="AO976" s="32" t="n"/>
      <c r="AP976" s="32" t="n"/>
      <c r="AQ976" s="32" t="n"/>
      <c r="AR976" s="29">
        <f>IF(NOT(COUNTA(A976:AE976)&gt;0),"",IF(A976="","New client","Update"))</f>
        <v/>
      </c>
      <c r="AS976" s="29">
        <f>IF(BA976&lt;&gt;"",BA976,IF(LEN(AZ976)=15,MID(AZ976,3,10),""))</f>
        <v/>
      </c>
      <c r="AT976" s="29">
        <f>IF(BB976="","",BB976&amp;IF(D976="","  (guessed from PAN)",""))</f>
        <v/>
      </c>
      <c r="AU976" s="29">
        <f>IF(AZ976="","",IFERROR(INDEX(Lists!$L$2:$L$38,MATCH(LEFT(AZ976,2),Lists!$K$2:$K$38,0)),"Unknown code"))</f>
        <v/>
      </c>
      <c r="AV976" s="29">
        <f>IF(AZ976="","",IFERROR(IF(NOT(AND(LEN(AZ976)=15,ISNUMBER(MATCH(LEFT(AZ976,2),Lists!$K$2:$K$38,0)),SUMPRODUCT(--ISERROR(FIND(MID(MID(AZ976,3,10),{1,2,3,4,5,10},1),"ABCDEFGHIJKLMNOPQRSTUVWXYZ")))=0,SUMPRODUCT(--ISERROR(FIND(MID(MID(AZ976,3,10),{6,7,8,9},1),"0123456789")))=0,ISNUMBER(FIND(MID(AZ976,13,1),"123456789ABCDEFGHIJKLMNOPQRSTUVWXYZ")),MID(AZ976,14,1)="Z")),"Wrong format",IF(MID("0123456789ABCDEFGHIJKLMNOPQRSTUVWXYZ",MOD(36-MOD(SUMPRODUCT(INT((FIND(MID(AZ976,{1,2,3,4,5,6,7,8,9,10,11,12,13,14},1),"0123456789ABCDEFGHIJKLMNOPQRSTUVWXYZ")-1)*{1,2,1,2,1,2,1,2,1,2,1,2,1,2}/36)+MOD((FIND(MID(AZ976,{1,2,3,4,5,6,7,8,9,10,11,12,13,14},1),"0123456789ABCDEFGHIJKLMNOPQRSTUVWXYZ")-1)*{1,2,1,2,1,2,1,2,1,2,1,2,1,2},36)),36),36)+1,1)=MID(AZ976,15,1),"OK","Typo? check digit wrong")),"Wrong format"))</f>
        <v/>
      </c>
      <c r="AW976" s="29">
        <f>IF(BA976="","",IF(AND(LEN(BA976)=10,SUMPRODUCT(--ISERROR(FIND(MID(BA976,{1,2,3,4,5,10},1),"ABCDEFGHIJKLMNOPQRSTUVWXYZ")))=0,SUMPRODUCT(--ISERROR(FIND(MID(BA976,{6,7,8,9},1),"0123456789")))=0),"OK","Wrong format"))</f>
        <v/>
      </c>
      <c r="AX976" s="29">
        <f>IF(TRIM(H976)="","",IF(AND(LEN(UPPER(TRIM(H976)))=10,SUMPRODUCT(--ISERROR(FIND(MID(UPPER(TRIM(H976)),{1,2,3,4,10},1),"ABCDEFGHIJKLMNOPQRSTUVWXYZ")))=0,SUMPRODUCT(--ISERROR(FIND(MID(UPPER(TRIM(H976)),{5,6,7,8,9},1),"0123456789")))=0),"OK","Wrong format"))</f>
        <v/>
      </c>
      <c r="AY976" s="30">
        <f>IF(NOT(COUNTA(A976:AE976)&gt;0),"",IF(BE976&lt;&gt;"","✖ "&amp;LEFT(BE976,LEN(BE976)-2),IF(BD976&gt;0,"✔ Ready — client + "&amp;BD976&amp;" service(s)","✔ Ready — client only")))</f>
        <v/>
      </c>
      <c r="AZ976" s="31">
        <f>UPPER(SUBSTITUTE(TRIM(F976)," ",""))</f>
        <v/>
      </c>
      <c r="BA976" s="31">
        <f>UPPER(SUBSTITUTE(TRIM(E976)," ",""))</f>
        <v/>
      </c>
      <c r="BB976" s="31">
        <f>IF(D976&lt;&gt;"",D976,IFERROR(VLOOKUP(MID(AS976,4,1),Lists!$E$2:$F$8,2,FALSE),""))</f>
        <v/>
      </c>
      <c r="BC976" s="31">
        <f>IFERROR(VLOOKUP(BB976,Lists!$A$2:$C$12,3,FALSE),"")</f>
        <v/>
      </c>
      <c r="BD976" s="31">
        <f>COUNTIF(W976:AC976,"Yes")</f>
        <v/>
      </c>
      <c r="BE976" s="31">
        <f>IF(TRIM(B976)="","Legal name missing; ","")&amp;IF(AND(AV976&lt;&gt;"",AV976&lt;&gt;"OK"),"GSTIN: "&amp;AV976&amp;"; ","")&amp;IF(AND(AW976&lt;&gt;"",AW976&lt;&gt;"OK"),"PAN wrong format; ","")&amp;IF(AND(BA976&lt;&gt;"",LEN(AZ976)=15,MID(AZ976,3,10)&lt;&gt;BA976),"PAN does not match GSTIN; ","")&amp;IF(AND(AX976&lt;&gt;"",AX976&lt;&gt;"OK"),"TAN wrong format; ","")&amp;IF(AS976="","PAN missing; ","")&amp;IF(BB976="","Entity type missing; ","")&amp;IF(AND(AZ976&lt;&gt;"",COUNTIF($AZ$6:$AZ$1005,AZ976)&gt;1),"GSTIN repeated in this sheet; ","")&amp;IF(AND(AS976&lt;&gt;"",COUNTIF($AS$6:$AS$1005,AS976)&gt;1),"PAN repeated in this sheet (same client? put extra GSTINs in Other GSTINs); ","")&amp;IF(AND(BD976&gt;0,V976=""),"Financial year missing; ","")&amp;IF(AND(BD976=0,V976&lt;&gt;""),"Financial year given but no service is Yes; ","")&amp;IF(AND(W976="Yes",AZ976=""),"GST needs a GSTIN; ","")&amp;IF(AND(W976="Yes",X976=""),"GST return frequency missing; ","")&amp;IF(AND(Y976="Yes",TRIM(H976)=""),"TDS needs a TAN; ","")&amp;IF(AND(AA976="Yes",BC976&lt;&gt;"",BC976&lt;&gt;"company",BC976&lt;&gt;"llp"),"ROC is only for a company / LLP; ","")&amp;IF(AND(AA976="Yes",OR(BC976="company",BC976="llp"),TRIM(I976)=""),"ROC needs the CIN / LLPIN; ","")&amp;IF((TRIM(AF976)="")&lt;&gt;(TRIM(AG976)=""),"GST login needs both user ID and password; ","")&amp;IF((TRIM(AH976)="")&lt;&gt;(TRIM(AI976)=""),"Income-tax login needs both user ID and password; ","")&amp;IF((TRIM(AJ976)="")&lt;&gt;(TRIM(AK976)=""),"Income-tax login needs both user ID and password; ","")&amp;IF((TRIM(AL976)="")&lt;&gt;(TRIM(AM976)=""),"TRACES login needs both user ID and password; ","")&amp;IF((TRIM(AN976)="")&lt;&gt;(TRIM(AO976)=""),"MCA login needs both user ID and password; ","")&amp;IF((TRIM(AP976)="")&lt;&gt;(TRIM(AQ976)=""),"E-way bill login needs both user ID and password; ","")</f>
        <v/>
      </c>
    </row>
    <row r="977">
      <c r="A977" s="32" t="n"/>
      <c r="B977" s="33" t="n"/>
      <c r="C977" s="33" t="n"/>
      <c r="D977" s="33" t="n"/>
      <c r="E977" s="32" t="n"/>
      <c r="F977" s="32" t="n"/>
      <c r="G977" s="32" t="n"/>
      <c r="H977" s="32" t="n"/>
      <c r="I977" s="32" t="n"/>
      <c r="J977" s="34" t="n"/>
      <c r="K977" s="33" t="n"/>
      <c r="L977" s="32" t="n"/>
      <c r="M977" s="33" t="n"/>
      <c r="N977" s="33" t="n"/>
      <c r="O977" s="33" t="n"/>
      <c r="P977" s="32" t="n"/>
      <c r="Q977" s="33" t="n"/>
      <c r="R977" s="33" t="n"/>
      <c r="S977" s="33" t="n"/>
      <c r="T977" s="33" t="n"/>
      <c r="U977" s="32" t="n"/>
      <c r="V977" s="33" t="n"/>
      <c r="W977" s="33" t="n"/>
      <c r="X977" s="33" t="n"/>
      <c r="Y977" s="33" t="n"/>
      <c r="Z977" s="33" t="n"/>
      <c r="AA977" s="33" t="n"/>
      <c r="AB977" s="33" t="n"/>
      <c r="AC977" s="33" t="n"/>
      <c r="AD977" s="33" t="n"/>
      <c r="AE977" s="33" t="n"/>
      <c r="AF977" s="32" t="n"/>
      <c r="AG977" s="32" t="n"/>
      <c r="AH977" s="32" t="n"/>
      <c r="AI977" s="32" t="n"/>
      <c r="AJ977" s="32" t="n"/>
      <c r="AK977" s="32" t="n"/>
      <c r="AL977" s="32" t="n"/>
      <c r="AM977" s="32" t="n"/>
      <c r="AN977" s="32" t="n"/>
      <c r="AO977" s="32" t="n"/>
      <c r="AP977" s="32" t="n"/>
      <c r="AQ977" s="32" t="n"/>
      <c r="AR977" s="29">
        <f>IF(NOT(COUNTA(A977:AE977)&gt;0),"",IF(A977="","New client","Update"))</f>
        <v/>
      </c>
      <c r="AS977" s="29">
        <f>IF(BA977&lt;&gt;"",BA977,IF(LEN(AZ977)=15,MID(AZ977,3,10),""))</f>
        <v/>
      </c>
      <c r="AT977" s="29">
        <f>IF(BB977="","",BB977&amp;IF(D977="","  (guessed from PAN)",""))</f>
        <v/>
      </c>
      <c r="AU977" s="29">
        <f>IF(AZ977="","",IFERROR(INDEX(Lists!$L$2:$L$38,MATCH(LEFT(AZ977,2),Lists!$K$2:$K$38,0)),"Unknown code"))</f>
        <v/>
      </c>
      <c r="AV977" s="29">
        <f>IF(AZ977="","",IFERROR(IF(NOT(AND(LEN(AZ977)=15,ISNUMBER(MATCH(LEFT(AZ977,2),Lists!$K$2:$K$38,0)),SUMPRODUCT(--ISERROR(FIND(MID(MID(AZ977,3,10),{1,2,3,4,5,10},1),"ABCDEFGHIJKLMNOPQRSTUVWXYZ")))=0,SUMPRODUCT(--ISERROR(FIND(MID(MID(AZ977,3,10),{6,7,8,9},1),"0123456789")))=0,ISNUMBER(FIND(MID(AZ977,13,1),"123456789ABCDEFGHIJKLMNOPQRSTUVWXYZ")),MID(AZ977,14,1)="Z")),"Wrong format",IF(MID("0123456789ABCDEFGHIJKLMNOPQRSTUVWXYZ",MOD(36-MOD(SUMPRODUCT(INT((FIND(MID(AZ977,{1,2,3,4,5,6,7,8,9,10,11,12,13,14},1),"0123456789ABCDEFGHIJKLMNOPQRSTUVWXYZ")-1)*{1,2,1,2,1,2,1,2,1,2,1,2,1,2}/36)+MOD((FIND(MID(AZ977,{1,2,3,4,5,6,7,8,9,10,11,12,13,14},1),"0123456789ABCDEFGHIJKLMNOPQRSTUVWXYZ")-1)*{1,2,1,2,1,2,1,2,1,2,1,2,1,2},36)),36),36)+1,1)=MID(AZ977,15,1),"OK","Typo? check digit wrong")),"Wrong format"))</f>
        <v/>
      </c>
      <c r="AW977" s="29">
        <f>IF(BA977="","",IF(AND(LEN(BA977)=10,SUMPRODUCT(--ISERROR(FIND(MID(BA977,{1,2,3,4,5,10},1),"ABCDEFGHIJKLMNOPQRSTUVWXYZ")))=0,SUMPRODUCT(--ISERROR(FIND(MID(BA977,{6,7,8,9},1),"0123456789")))=0),"OK","Wrong format"))</f>
        <v/>
      </c>
      <c r="AX977" s="29">
        <f>IF(TRIM(H977)="","",IF(AND(LEN(UPPER(TRIM(H977)))=10,SUMPRODUCT(--ISERROR(FIND(MID(UPPER(TRIM(H977)),{1,2,3,4,10},1),"ABCDEFGHIJKLMNOPQRSTUVWXYZ")))=0,SUMPRODUCT(--ISERROR(FIND(MID(UPPER(TRIM(H977)),{5,6,7,8,9},1),"0123456789")))=0),"OK","Wrong format"))</f>
        <v/>
      </c>
      <c r="AY977" s="30">
        <f>IF(NOT(COUNTA(A977:AE977)&gt;0),"",IF(BE977&lt;&gt;"","✖ "&amp;LEFT(BE977,LEN(BE977)-2),IF(BD977&gt;0,"✔ Ready — client + "&amp;BD977&amp;" service(s)","✔ Ready — client only")))</f>
        <v/>
      </c>
      <c r="AZ977" s="31">
        <f>UPPER(SUBSTITUTE(TRIM(F977)," ",""))</f>
        <v/>
      </c>
      <c r="BA977" s="31">
        <f>UPPER(SUBSTITUTE(TRIM(E977)," ",""))</f>
        <v/>
      </c>
      <c r="BB977" s="31">
        <f>IF(D977&lt;&gt;"",D977,IFERROR(VLOOKUP(MID(AS977,4,1),Lists!$E$2:$F$8,2,FALSE),""))</f>
        <v/>
      </c>
      <c r="BC977" s="31">
        <f>IFERROR(VLOOKUP(BB977,Lists!$A$2:$C$12,3,FALSE),"")</f>
        <v/>
      </c>
      <c r="BD977" s="31">
        <f>COUNTIF(W977:AC977,"Yes")</f>
        <v/>
      </c>
      <c r="BE977" s="31">
        <f>IF(TRIM(B977)="","Legal name missing; ","")&amp;IF(AND(AV977&lt;&gt;"",AV977&lt;&gt;"OK"),"GSTIN: "&amp;AV977&amp;"; ","")&amp;IF(AND(AW977&lt;&gt;"",AW977&lt;&gt;"OK"),"PAN wrong format; ","")&amp;IF(AND(BA977&lt;&gt;"",LEN(AZ977)=15,MID(AZ977,3,10)&lt;&gt;BA977),"PAN does not match GSTIN; ","")&amp;IF(AND(AX977&lt;&gt;"",AX977&lt;&gt;"OK"),"TAN wrong format; ","")&amp;IF(AS977="","PAN missing; ","")&amp;IF(BB977="","Entity type missing; ","")&amp;IF(AND(AZ977&lt;&gt;"",COUNTIF($AZ$6:$AZ$1005,AZ977)&gt;1),"GSTIN repeated in this sheet; ","")&amp;IF(AND(AS977&lt;&gt;"",COUNTIF($AS$6:$AS$1005,AS977)&gt;1),"PAN repeated in this sheet (same client? put extra GSTINs in Other GSTINs); ","")&amp;IF(AND(BD977&gt;0,V977=""),"Financial year missing; ","")&amp;IF(AND(BD977=0,V977&lt;&gt;""),"Financial year given but no service is Yes; ","")&amp;IF(AND(W977="Yes",AZ977=""),"GST needs a GSTIN; ","")&amp;IF(AND(W977="Yes",X977=""),"GST return frequency missing; ","")&amp;IF(AND(Y977="Yes",TRIM(H977)=""),"TDS needs a TAN; ","")&amp;IF(AND(AA977="Yes",BC977&lt;&gt;"",BC977&lt;&gt;"company",BC977&lt;&gt;"llp"),"ROC is only for a company / LLP; ","")&amp;IF(AND(AA977="Yes",OR(BC977="company",BC977="llp"),TRIM(I977)=""),"ROC needs the CIN / LLPIN; ","")&amp;IF((TRIM(AF977)="")&lt;&gt;(TRIM(AG977)=""),"GST login needs both user ID and password; ","")&amp;IF((TRIM(AH977)="")&lt;&gt;(TRIM(AI977)=""),"Income-tax login needs both user ID and password; ","")&amp;IF((TRIM(AJ977)="")&lt;&gt;(TRIM(AK977)=""),"Income-tax login needs both user ID and password; ","")&amp;IF((TRIM(AL977)="")&lt;&gt;(TRIM(AM977)=""),"TRACES login needs both user ID and password; ","")&amp;IF((TRIM(AN977)="")&lt;&gt;(TRIM(AO977)=""),"MCA login needs both user ID and password; ","")&amp;IF((TRIM(AP977)="")&lt;&gt;(TRIM(AQ977)=""),"E-way bill login needs both user ID and password; ","")</f>
        <v/>
      </c>
    </row>
    <row r="978">
      <c r="A978" s="32" t="n"/>
      <c r="B978" s="33" t="n"/>
      <c r="C978" s="33" t="n"/>
      <c r="D978" s="33" t="n"/>
      <c r="E978" s="32" t="n"/>
      <c r="F978" s="32" t="n"/>
      <c r="G978" s="32" t="n"/>
      <c r="H978" s="32" t="n"/>
      <c r="I978" s="32" t="n"/>
      <c r="J978" s="34" t="n"/>
      <c r="K978" s="33" t="n"/>
      <c r="L978" s="32" t="n"/>
      <c r="M978" s="33" t="n"/>
      <c r="N978" s="33" t="n"/>
      <c r="O978" s="33" t="n"/>
      <c r="P978" s="32" t="n"/>
      <c r="Q978" s="33" t="n"/>
      <c r="R978" s="33" t="n"/>
      <c r="S978" s="33" t="n"/>
      <c r="T978" s="33" t="n"/>
      <c r="U978" s="32" t="n"/>
      <c r="V978" s="33" t="n"/>
      <c r="W978" s="33" t="n"/>
      <c r="X978" s="33" t="n"/>
      <c r="Y978" s="33" t="n"/>
      <c r="Z978" s="33" t="n"/>
      <c r="AA978" s="33" t="n"/>
      <c r="AB978" s="33" t="n"/>
      <c r="AC978" s="33" t="n"/>
      <c r="AD978" s="33" t="n"/>
      <c r="AE978" s="33" t="n"/>
      <c r="AF978" s="32" t="n"/>
      <c r="AG978" s="32" t="n"/>
      <c r="AH978" s="32" t="n"/>
      <c r="AI978" s="32" t="n"/>
      <c r="AJ978" s="32" t="n"/>
      <c r="AK978" s="32" t="n"/>
      <c r="AL978" s="32" t="n"/>
      <c r="AM978" s="32" t="n"/>
      <c r="AN978" s="32" t="n"/>
      <c r="AO978" s="32" t="n"/>
      <c r="AP978" s="32" t="n"/>
      <c r="AQ978" s="32" t="n"/>
      <c r="AR978" s="29">
        <f>IF(NOT(COUNTA(A978:AE978)&gt;0),"",IF(A978="","New client","Update"))</f>
        <v/>
      </c>
      <c r="AS978" s="29">
        <f>IF(BA978&lt;&gt;"",BA978,IF(LEN(AZ978)=15,MID(AZ978,3,10),""))</f>
        <v/>
      </c>
      <c r="AT978" s="29">
        <f>IF(BB978="","",BB978&amp;IF(D978="","  (guessed from PAN)",""))</f>
        <v/>
      </c>
      <c r="AU978" s="29">
        <f>IF(AZ978="","",IFERROR(INDEX(Lists!$L$2:$L$38,MATCH(LEFT(AZ978,2),Lists!$K$2:$K$38,0)),"Unknown code"))</f>
        <v/>
      </c>
      <c r="AV978" s="29">
        <f>IF(AZ978="","",IFERROR(IF(NOT(AND(LEN(AZ978)=15,ISNUMBER(MATCH(LEFT(AZ978,2),Lists!$K$2:$K$38,0)),SUMPRODUCT(--ISERROR(FIND(MID(MID(AZ978,3,10),{1,2,3,4,5,10},1),"ABCDEFGHIJKLMNOPQRSTUVWXYZ")))=0,SUMPRODUCT(--ISERROR(FIND(MID(MID(AZ978,3,10),{6,7,8,9},1),"0123456789")))=0,ISNUMBER(FIND(MID(AZ978,13,1),"123456789ABCDEFGHIJKLMNOPQRSTUVWXYZ")),MID(AZ978,14,1)="Z")),"Wrong format",IF(MID("0123456789ABCDEFGHIJKLMNOPQRSTUVWXYZ",MOD(36-MOD(SUMPRODUCT(INT((FIND(MID(AZ978,{1,2,3,4,5,6,7,8,9,10,11,12,13,14},1),"0123456789ABCDEFGHIJKLMNOPQRSTUVWXYZ")-1)*{1,2,1,2,1,2,1,2,1,2,1,2,1,2}/36)+MOD((FIND(MID(AZ978,{1,2,3,4,5,6,7,8,9,10,11,12,13,14},1),"0123456789ABCDEFGHIJKLMNOPQRSTUVWXYZ")-1)*{1,2,1,2,1,2,1,2,1,2,1,2,1,2},36)),36),36)+1,1)=MID(AZ978,15,1),"OK","Typo? check digit wrong")),"Wrong format"))</f>
        <v/>
      </c>
      <c r="AW978" s="29">
        <f>IF(BA978="","",IF(AND(LEN(BA978)=10,SUMPRODUCT(--ISERROR(FIND(MID(BA978,{1,2,3,4,5,10},1),"ABCDEFGHIJKLMNOPQRSTUVWXYZ")))=0,SUMPRODUCT(--ISERROR(FIND(MID(BA978,{6,7,8,9},1),"0123456789")))=0),"OK","Wrong format"))</f>
        <v/>
      </c>
      <c r="AX978" s="29">
        <f>IF(TRIM(H978)="","",IF(AND(LEN(UPPER(TRIM(H978)))=10,SUMPRODUCT(--ISERROR(FIND(MID(UPPER(TRIM(H978)),{1,2,3,4,10},1),"ABCDEFGHIJKLMNOPQRSTUVWXYZ")))=0,SUMPRODUCT(--ISERROR(FIND(MID(UPPER(TRIM(H978)),{5,6,7,8,9},1),"0123456789")))=0),"OK","Wrong format"))</f>
        <v/>
      </c>
      <c r="AY978" s="30">
        <f>IF(NOT(COUNTA(A978:AE978)&gt;0),"",IF(BE978&lt;&gt;"","✖ "&amp;LEFT(BE978,LEN(BE978)-2),IF(BD978&gt;0,"✔ Ready — client + "&amp;BD978&amp;" service(s)","✔ Ready — client only")))</f>
        <v/>
      </c>
      <c r="AZ978" s="31">
        <f>UPPER(SUBSTITUTE(TRIM(F978)," ",""))</f>
        <v/>
      </c>
      <c r="BA978" s="31">
        <f>UPPER(SUBSTITUTE(TRIM(E978)," ",""))</f>
        <v/>
      </c>
      <c r="BB978" s="31">
        <f>IF(D978&lt;&gt;"",D978,IFERROR(VLOOKUP(MID(AS978,4,1),Lists!$E$2:$F$8,2,FALSE),""))</f>
        <v/>
      </c>
      <c r="BC978" s="31">
        <f>IFERROR(VLOOKUP(BB978,Lists!$A$2:$C$12,3,FALSE),"")</f>
        <v/>
      </c>
      <c r="BD978" s="31">
        <f>COUNTIF(W978:AC978,"Yes")</f>
        <v/>
      </c>
      <c r="BE978" s="31">
        <f>IF(TRIM(B978)="","Legal name missing; ","")&amp;IF(AND(AV978&lt;&gt;"",AV978&lt;&gt;"OK"),"GSTIN: "&amp;AV978&amp;"; ","")&amp;IF(AND(AW978&lt;&gt;"",AW978&lt;&gt;"OK"),"PAN wrong format; ","")&amp;IF(AND(BA978&lt;&gt;"",LEN(AZ978)=15,MID(AZ978,3,10)&lt;&gt;BA978),"PAN does not match GSTIN; ","")&amp;IF(AND(AX978&lt;&gt;"",AX978&lt;&gt;"OK"),"TAN wrong format; ","")&amp;IF(AS978="","PAN missing; ","")&amp;IF(BB978="","Entity type missing; ","")&amp;IF(AND(AZ978&lt;&gt;"",COUNTIF($AZ$6:$AZ$1005,AZ978)&gt;1),"GSTIN repeated in this sheet; ","")&amp;IF(AND(AS978&lt;&gt;"",COUNTIF($AS$6:$AS$1005,AS978)&gt;1),"PAN repeated in this sheet (same client? put extra GSTINs in Other GSTINs); ","")&amp;IF(AND(BD978&gt;0,V978=""),"Financial year missing; ","")&amp;IF(AND(BD978=0,V978&lt;&gt;""),"Financial year given but no service is Yes; ","")&amp;IF(AND(W978="Yes",AZ978=""),"GST needs a GSTIN; ","")&amp;IF(AND(W978="Yes",X978=""),"GST return frequency missing; ","")&amp;IF(AND(Y978="Yes",TRIM(H978)=""),"TDS needs a TAN; ","")&amp;IF(AND(AA978="Yes",BC978&lt;&gt;"",BC978&lt;&gt;"company",BC978&lt;&gt;"llp"),"ROC is only for a company / LLP; ","")&amp;IF(AND(AA978="Yes",OR(BC978="company",BC978="llp"),TRIM(I978)=""),"ROC needs the CIN / LLPIN; ","")&amp;IF((TRIM(AF978)="")&lt;&gt;(TRIM(AG978)=""),"GST login needs both user ID and password; ","")&amp;IF((TRIM(AH978)="")&lt;&gt;(TRIM(AI978)=""),"Income-tax login needs both user ID and password; ","")&amp;IF((TRIM(AJ978)="")&lt;&gt;(TRIM(AK978)=""),"Income-tax login needs both user ID and password; ","")&amp;IF((TRIM(AL978)="")&lt;&gt;(TRIM(AM978)=""),"TRACES login needs both user ID and password; ","")&amp;IF((TRIM(AN978)="")&lt;&gt;(TRIM(AO978)=""),"MCA login needs both user ID and password; ","")&amp;IF((TRIM(AP978)="")&lt;&gt;(TRIM(AQ978)=""),"E-way bill login needs both user ID and password; ","")</f>
        <v/>
      </c>
    </row>
    <row r="979">
      <c r="A979" s="32" t="n"/>
      <c r="B979" s="33" t="n"/>
      <c r="C979" s="33" t="n"/>
      <c r="D979" s="33" t="n"/>
      <c r="E979" s="32" t="n"/>
      <c r="F979" s="32" t="n"/>
      <c r="G979" s="32" t="n"/>
      <c r="H979" s="32" t="n"/>
      <c r="I979" s="32" t="n"/>
      <c r="J979" s="34" t="n"/>
      <c r="K979" s="33" t="n"/>
      <c r="L979" s="32" t="n"/>
      <c r="M979" s="33" t="n"/>
      <c r="N979" s="33" t="n"/>
      <c r="O979" s="33" t="n"/>
      <c r="P979" s="32" t="n"/>
      <c r="Q979" s="33" t="n"/>
      <c r="R979" s="33" t="n"/>
      <c r="S979" s="33" t="n"/>
      <c r="T979" s="33" t="n"/>
      <c r="U979" s="32" t="n"/>
      <c r="V979" s="33" t="n"/>
      <c r="W979" s="33" t="n"/>
      <c r="X979" s="33" t="n"/>
      <c r="Y979" s="33" t="n"/>
      <c r="Z979" s="33" t="n"/>
      <c r="AA979" s="33" t="n"/>
      <c r="AB979" s="33" t="n"/>
      <c r="AC979" s="33" t="n"/>
      <c r="AD979" s="33" t="n"/>
      <c r="AE979" s="33" t="n"/>
      <c r="AF979" s="32" t="n"/>
      <c r="AG979" s="32" t="n"/>
      <c r="AH979" s="32" t="n"/>
      <c r="AI979" s="32" t="n"/>
      <c r="AJ979" s="32" t="n"/>
      <c r="AK979" s="32" t="n"/>
      <c r="AL979" s="32" t="n"/>
      <c r="AM979" s="32" t="n"/>
      <c r="AN979" s="32" t="n"/>
      <c r="AO979" s="32" t="n"/>
      <c r="AP979" s="32" t="n"/>
      <c r="AQ979" s="32" t="n"/>
      <c r="AR979" s="29">
        <f>IF(NOT(COUNTA(A979:AE979)&gt;0),"",IF(A979="","New client","Update"))</f>
        <v/>
      </c>
      <c r="AS979" s="29">
        <f>IF(BA979&lt;&gt;"",BA979,IF(LEN(AZ979)=15,MID(AZ979,3,10),""))</f>
        <v/>
      </c>
      <c r="AT979" s="29">
        <f>IF(BB979="","",BB979&amp;IF(D979="","  (guessed from PAN)",""))</f>
        <v/>
      </c>
      <c r="AU979" s="29">
        <f>IF(AZ979="","",IFERROR(INDEX(Lists!$L$2:$L$38,MATCH(LEFT(AZ979,2),Lists!$K$2:$K$38,0)),"Unknown code"))</f>
        <v/>
      </c>
      <c r="AV979" s="29">
        <f>IF(AZ979="","",IFERROR(IF(NOT(AND(LEN(AZ979)=15,ISNUMBER(MATCH(LEFT(AZ979,2),Lists!$K$2:$K$38,0)),SUMPRODUCT(--ISERROR(FIND(MID(MID(AZ979,3,10),{1,2,3,4,5,10},1),"ABCDEFGHIJKLMNOPQRSTUVWXYZ")))=0,SUMPRODUCT(--ISERROR(FIND(MID(MID(AZ979,3,10),{6,7,8,9},1),"0123456789")))=0,ISNUMBER(FIND(MID(AZ979,13,1),"123456789ABCDEFGHIJKLMNOPQRSTUVWXYZ")),MID(AZ979,14,1)="Z")),"Wrong format",IF(MID("0123456789ABCDEFGHIJKLMNOPQRSTUVWXYZ",MOD(36-MOD(SUMPRODUCT(INT((FIND(MID(AZ979,{1,2,3,4,5,6,7,8,9,10,11,12,13,14},1),"0123456789ABCDEFGHIJKLMNOPQRSTUVWXYZ")-1)*{1,2,1,2,1,2,1,2,1,2,1,2,1,2}/36)+MOD((FIND(MID(AZ979,{1,2,3,4,5,6,7,8,9,10,11,12,13,14},1),"0123456789ABCDEFGHIJKLMNOPQRSTUVWXYZ")-1)*{1,2,1,2,1,2,1,2,1,2,1,2,1,2},36)),36),36)+1,1)=MID(AZ979,15,1),"OK","Typo? check digit wrong")),"Wrong format"))</f>
        <v/>
      </c>
      <c r="AW979" s="29">
        <f>IF(BA979="","",IF(AND(LEN(BA979)=10,SUMPRODUCT(--ISERROR(FIND(MID(BA979,{1,2,3,4,5,10},1),"ABCDEFGHIJKLMNOPQRSTUVWXYZ")))=0,SUMPRODUCT(--ISERROR(FIND(MID(BA979,{6,7,8,9},1),"0123456789")))=0),"OK","Wrong format"))</f>
        <v/>
      </c>
      <c r="AX979" s="29">
        <f>IF(TRIM(H979)="","",IF(AND(LEN(UPPER(TRIM(H979)))=10,SUMPRODUCT(--ISERROR(FIND(MID(UPPER(TRIM(H979)),{1,2,3,4,10},1),"ABCDEFGHIJKLMNOPQRSTUVWXYZ")))=0,SUMPRODUCT(--ISERROR(FIND(MID(UPPER(TRIM(H979)),{5,6,7,8,9},1),"0123456789")))=0),"OK","Wrong format"))</f>
        <v/>
      </c>
      <c r="AY979" s="30">
        <f>IF(NOT(COUNTA(A979:AE979)&gt;0),"",IF(BE979&lt;&gt;"","✖ "&amp;LEFT(BE979,LEN(BE979)-2),IF(BD979&gt;0,"✔ Ready — client + "&amp;BD979&amp;" service(s)","✔ Ready — client only")))</f>
        <v/>
      </c>
      <c r="AZ979" s="31">
        <f>UPPER(SUBSTITUTE(TRIM(F979)," ",""))</f>
        <v/>
      </c>
      <c r="BA979" s="31">
        <f>UPPER(SUBSTITUTE(TRIM(E979)," ",""))</f>
        <v/>
      </c>
      <c r="BB979" s="31">
        <f>IF(D979&lt;&gt;"",D979,IFERROR(VLOOKUP(MID(AS979,4,1),Lists!$E$2:$F$8,2,FALSE),""))</f>
        <v/>
      </c>
      <c r="BC979" s="31">
        <f>IFERROR(VLOOKUP(BB979,Lists!$A$2:$C$12,3,FALSE),"")</f>
        <v/>
      </c>
      <c r="BD979" s="31">
        <f>COUNTIF(W979:AC979,"Yes")</f>
        <v/>
      </c>
      <c r="BE979" s="31">
        <f>IF(TRIM(B979)="","Legal name missing; ","")&amp;IF(AND(AV979&lt;&gt;"",AV979&lt;&gt;"OK"),"GSTIN: "&amp;AV979&amp;"; ","")&amp;IF(AND(AW979&lt;&gt;"",AW979&lt;&gt;"OK"),"PAN wrong format; ","")&amp;IF(AND(BA979&lt;&gt;"",LEN(AZ979)=15,MID(AZ979,3,10)&lt;&gt;BA979),"PAN does not match GSTIN; ","")&amp;IF(AND(AX979&lt;&gt;"",AX979&lt;&gt;"OK"),"TAN wrong format; ","")&amp;IF(AS979="","PAN missing; ","")&amp;IF(BB979="","Entity type missing; ","")&amp;IF(AND(AZ979&lt;&gt;"",COUNTIF($AZ$6:$AZ$1005,AZ979)&gt;1),"GSTIN repeated in this sheet; ","")&amp;IF(AND(AS979&lt;&gt;"",COUNTIF($AS$6:$AS$1005,AS979)&gt;1),"PAN repeated in this sheet (same client? put extra GSTINs in Other GSTINs); ","")&amp;IF(AND(BD979&gt;0,V979=""),"Financial year missing; ","")&amp;IF(AND(BD979=0,V979&lt;&gt;""),"Financial year given but no service is Yes; ","")&amp;IF(AND(W979="Yes",AZ979=""),"GST needs a GSTIN; ","")&amp;IF(AND(W979="Yes",X979=""),"GST return frequency missing; ","")&amp;IF(AND(Y979="Yes",TRIM(H979)=""),"TDS needs a TAN; ","")&amp;IF(AND(AA979="Yes",BC979&lt;&gt;"",BC979&lt;&gt;"company",BC979&lt;&gt;"llp"),"ROC is only for a company / LLP; ","")&amp;IF(AND(AA979="Yes",OR(BC979="company",BC979="llp"),TRIM(I979)=""),"ROC needs the CIN / LLPIN; ","")&amp;IF((TRIM(AF979)="")&lt;&gt;(TRIM(AG979)=""),"GST login needs both user ID and password; ","")&amp;IF((TRIM(AH979)="")&lt;&gt;(TRIM(AI979)=""),"Income-tax login needs both user ID and password; ","")&amp;IF((TRIM(AJ979)="")&lt;&gt;(TRIM(AK979)=""),"Income-tax login needs both user ID and password; ","")&amp;IF((TRIM(AL979)="")&lt;&gt;(TRIM(AM979)=""),"TRACES login needs both user ID and password; ","")&amp;IF((TRIM(AN979)="")&lt;&gt;(TRIM(AO979)=""),"MCA login needs both user ID and password; ","")&amp;IF((TRIM(AP979)="")&lt;&gt;(TRIM(AQ979)=""),"E-way bill login needs both user ID and password; ","")</f>
        <v/>
      </c>
    </row>
    <row r="980">
      <c r="A980" s="32" t="n"/>
      <c r="B980" s="33" t="n"/>
      <c r="C980" s="33" t="n"/>
      <c r="D980" s="33" t="n"/>
      <c r="E980" s="32" t="n"/>
      <c r="F980" s="32" t="n"/>
      <c r="G980" s="32" t="n"/>
      <c r="H980" s="32" t="n"/>
      <c r="I980" s="32" t="n"/>
      <c r="J980" s="34" t="n"/>
      <c r="K980" s="33" t="n"/>
      <c r="L980" s="32" t="n"/>
      <c r="M980" s="33" t="n"/>
      <c r="N980" s="33" t="n"/>
      <c r="O980" s="33" t="n"/>
      <c r="P980" s="32" t="n"/>
      <c r="Q980" s="33" t="n"/>
      <c r="R980" s="33" t="n"/>
      <c r="S980" s="33" t="n"/>
      <c r="T980" s="33" t="n"/>
      <c r="U980" s="32" t="n"/>
      <c r="V980" s="33" t="n"/>
      <c r="W980" s="33" t="n"/>
      <c r="X980" s="33" t="n"/>
      <c r="Y980" s="33" t="n"/>
      <c r="Z980" s="33" t="n"/>
      <c r="AA980" s="33" t="n"/>
      <c r="AB980" s="33" t="n"/>
      <c r="AC980" s="33" t="n"/>
      <c r="AD980" s="33" t="n"/>
      <c r="AE980" s="33" t="n"/>
      <c r="AF980" s="32" t="n"/>
      <c r="AG980" s="32" t="n"/>
      <c r="AH980" s="32" t="n"/>
      <c r="AI980" s="32" t="n"/>
      <c r="AJ980" s="32" t="n"/>
      <c r="AK980" s="32" t="n"/>
      <c r="AL980" s="32" t="n"/>
      <c r="AM980" s="32" t="n"/>
      <c r="AN980" s="32" t="n"/>
      <c r="AO980" s="32" t="n"/>
      <c r="AP980" s="32" t="n"/>
      <c r="AQ980" s="32" t="n"/>
      <c r="AR980" s="29">
        <f>IF(NOT(COUNTA(A980:AE980)&gt;0),"",IF(A980="","New client","Update"))</f>
        <v/>
      </c>
      <c r="AS980" s="29">
        <f>IF(BA980&lt;&gt;"",BA980,IF(LEN(AZ980)=15,MID(AZ980,3,10),""))</f>
        <v/>
      </c>
      <c r="AT980" s="29">
        <f>IF(BB980="","",BB980&amp;IF(D980="","  (guessed from PAN)",""))</f>
        <v/>
      </c>
      <c r="AU980" s="29">
        <f>IF(AZ980="","",IFERROR(INDEX(Lists!$L$2:$L$38,MATCH(LEFT(AZ980,2),Lists!$K$2:$K$38,0)),"Unknown code"))</f>
        <v/>
      </c>
      <c r="AV980" s="29">
        <f>IF(AZ980="","",IFERROR(IF(NOT(AND(LEN(AZ980)=15,ISNUMBER(MATCH(LEFT(AZ980,2),Lists!$K$2:$K$38,0)),SUMPRODUCT(--ISERROR(FIND(MID(MID(AZ980,3,10),{1,2,3,4,5,10},1),"ABCDEFGHIJKLMNOPQRSTUVWXYZ")))=0,SUMPRODUCT(--ISERROR(FIND(MID(MID(AZ980,3,10),{6,7,8,9},1),"0123456789")))=0,ISNUMBER(FIND(MID(AZ980,13,1),"123456789ABCDEFGHIJKLMNOPQRSTUVWXYZ")),MID(AZ980,14,1)="Z")),"Wrong format",IF(MID("0123456789ABCDEFGHIJKLMNOPQRSTUVWXYZ",MOD(36-MOD(SUMPRODUCT(INT((FIND(MID(AZ980,{1,2,3,4,5,6,7,8,9,10,11,12,13,14},1),"0123456789ABCDEFGHIJKLMNOPQRSTUVWXYZ")-1)*{1,2,1,2,1,2,1,2,1,2,1,2,1,2}/36)+MOD((FIND(MID(AZ980,{1,2,3,4,5,6,7,8,9,10,11,12,13,14},1),"0123456789ABCDEFGHIJKLMNOPQRSTUVWXYZ")-1)*{1,2,1,2,1,2,1,2,1,2,1,2,1,2},36)),36),36)+1,1)=MID(AZ980,15,1),"OK","Typo? check digit wrong")),"Wrong format"))</f>
        <v/>
      </c>
      <c r="AW980" s="29">
        <f>IF(BA980="","",IF(AND(LEN(BA980)=10,SUMPRODUCT(--ISERROR(FIND(MID(BA980,{1,2,3,4,5,10},1),"ABCDEFGHIJKLMNOPQRSTUVWXYZ")))=0,SUMPRODUCT(--ISERROR(FIND(MID(BA980,{6,7,8,9},1),"0123456789")))=0),"OK","Wrong format"))</f>
        <v/>
      </c>
      <c r="AX980" s="29">
        <f>IF(TRIM(H980)="","",IF(AND(LEN(UPPER(TRIM(H980)))=10,SUMPRODUCT(--ISERROR(FIND(MID(UPPER(TRIM(H980)),{1,2,3,4,10},1),"ABCDEFGHIJKLMNOPQRSTUVWXYZ")))=0,SUMPRODUCT(--ISERROR(FIND(MID(UPPER(TRIM(H980)),{5,6,7,8,9},1),"0123456789")))=0),"OK","Wrong format"))</f>
        <v/>
      </c>
      <c r="AY980" s="30">
        <f>IF(NOT(COUNTA(A980:AE980)&gt;0),"",IF(BE980&lt;&gt;"","✖ "&amp;LEFT(BE980,LEN(BE980)-2),IF(BD980&gt;0,"✔ Ready — client + "&amp;BD980&amp;" service(s)","✔ Ready — client only")))</f>
        <v/>
      </c>
      <c r="AZ980" s="31">
        <f>UPPER(SUBSTITUTE(TRIM(F980)," ",""))</f>
        <v/>
      </c>
      <c r="BA980" s="31">
        <f>UPPER(SUBSTITUTE(TRIM(E980)," ",""))</f>
        <v/>
      </c>
      <c r="BB980" s="31">
        <f>IF(D980&lt;&gt;"",D980,IFERROR(VLOOKUP(MID(AS980,4,1),Lists!$E$2:$F$8,2,FALSE),""))</f>
        <v/>
      </c>
      <c r="BC980" s="31">
        <f>IFERROR(VLOOKUP(BB980,Lists!$A$2:$C$12,3,FALSE),"")</f>
        <v/>
      </c>
      <c r="BD980" s="31">
        <f>COUNTIF(W980:AC980,"Yes")</f>
        <v/>
      </c>
      <c r="BE980" s="31">
        <f>IF(TRIM(B980)="","Legal name missing; ","")&amp;IF(AND(AV980&lt;&gt;"",AV980&lt;&gt;"OK"),"GSTIN: "&amp;AV980&amp;"; ","")&amp;IF(AND(AW980&lt;&gt;"",AW980&lt;&gt;"OK"),"PAN wrong format; ","")&amp;IF(AND(BA980&lt;&gt;"",LEN(AZ980)=15,MID(AZ980,3,10)&lt;&gt;BA980),"PAN does not match GSTIN; ","")&amp;IF(AND(AX980&lt;&gt;"",AX980&lt;&gt;"OK"),"TAN wrong format; ","")&amp;IF(AS980="","PAN missing; ","")&amp;IF(BB980="","Entity type missing; ","")&amp;IF(AND(AZ980&lt;&gt;"",COUNTIF($AZ$6:$AZ$1005,AZ980)&gt;1),"GSTIN repeated in this sheet; ","")&amp;IF(AND(AS980&lt;&gt;"",COUNTIF($AS$6:$AS$1005,AS980)&gt;1),"PAN repeated in this sheet (same client? put extra GSTINs in Other GSTINs); ","")&amp;IF(AND(BD980&gt;0,V980=""),"Financial year missing; ","")&amp;IF(AND(BD980=0,V980&lt;&gt;""),"Financial year given but no service is Yes; ","")&amp;IF(AND(W980="Yes",AZ980=""),"GST needs a GSTIN; ","")&amp;IF(AND(W980="Yes",X980=""),"GST return frequency missing; ","")&amp;IF(AND(Y980="Yes",TRIM(H980)=""),"TDS needs a TAN; ","")&amp;IF(AND(AA980="Yes",BC980&lt;&gt;"",BC980&lt;&gt;"company",BC980&lt;&gt;"llp"),"ROC is only for a company / LLP; ","")&amp;IF(AND(AA980="Yes",OR(BC980="company",BC980="llp"),TRIM(I980)=""),"ROC needs the CIN / LLPIN; ","")&amp;IF((TRIM(AF980)="")&lt;&gt;(TRIM(AG980)=""),"GST login needs both user ID and password; ","")&amp;IF((TRIM(AH980)="")&lt;&gt;(TRIM(AI980)=""),"Income-tax login needs both user ID and password; ","")&amp;IF((TRIM(AJ980)="")&lt;&gt;(TRIM(AK980)=""),"Income-tax login needs both user ID and password; ","")&amp;IF((TRIM(AL980)="")&lt;&gt;(TRIM(AM980)=""),"TRACES login needs both user ID and password; ","")&amp;IF((TRIM(AN980)="")&lt;&gt;(TRIM(AO980)=""),"MCA login needs both user ID and password; ","")&amp;IF((TRIM(AP980)="")&lt;&gt;(TRIM(AQ980)=""),"E-way bill login needs both user ID and password; ","")</f>
        <v/>
      </c>
    </row>
    <row r="981">
      <c r="A981" s="32" t="n"/>
      <c r="B981" s="33" t="n"/>
      <c r="C981" s="33" t="n"/>
      <c r="D981" s="33" t="n"/>
      <c r="E981" s="32" t="n"/>
      <c r="F981" s="32" t="n"/>
      <c r="G981" s="32" t="n"/>
      <c r="H981" s="32" t="n"/>
      <c r="I981" s="32" t="n"/>
      <c r="J981" s="34" t="n"/>
      <c r="K981" s="33" t="n"/>
      <c r="L981" s="32" t="n"/>
      <c r="M981" s="33" t="n"/>
      <c r="N981" s="33" t="n"/>
      <c r="O981" s="33" t="n"/>
      <c r="P981" s="32" t="n"/>
      <c r="Q981" s="33" t="n"/>
      <c r="R981" s="33" t="n"/>
      <c r="S981" s="33" t="n"/>
      <c r="T981" s="33" t="n"/>
      <c r="U981" s="32" t="n"/>
      <c r="V981" s="33" t="n"/>
      <c r="W981" s="33" t="n"/>
      <c r="X981" s="33" t="n"/>
      <c r="Y981" s="33" t="n"/>
      <c r="Z981" s="33" t="n"/>
      <c r="AA981" s="33" t="n"/>
      <c r="AB981" s="33" t="n"/>
      <c r="AC981" s="33" t="n"/>
      <c r="AD981" s="33" t="n"/>
      <c r="AE981" s="33" t="n"/>
      <c r="AF981" s="32" t="n"/>
      <c r="AG981" s="32" t="n"/>
      <c r="AH981" s="32" t="n"/>
      <c r="AI981" s="32" t="n"/>
      <c r="AJ981" s="32" t="n"/>
      <c r="AK981" s="32" t="n"/>
      <c r="AL981" s="32" t="n"/>
      <c r="AM981" s="32" t="n"/>
      <c r="AN981" s="32" t="n"/>
      <c r="AO981" s="32" t="n"/>
      <c r="AP981" s="32" t="n"/>
      <c r="AQ981" s="32" t="n"/>
      <c r="AR981" s="29">
        <f>IF(NOT(COUNTA(A981:AE981)&gt;0),"",IF(A981="","New client","Update"))</f>
        <v/>
      </c>
      <c r="AS981" s="29">
        <f>IF(BA981&lt;&gt;"",BA981,IF(LEN(AZ981)=15,MID(AZ981,3,10),""))</f>
        <v/>
      </c>
      <c r="AT981" s="29">
        <f>IF(BB981="","",BB981&amp;IF(D981="","  (guessed from PAN)",""))</f>
        <v/>
      </c>
      <c r="AU981" s="29">
        <f>IF(AZ981="","",IFERROR(INDEX(Lists!$L$2:$L$38,MATCH(LEFT(AZ981,2),Lists!$K$2:$K$38,0)),"Unknown code"))</f>
        <v/>
      </c>
      <c r="AV981" s="29">
        <f>IF(AZ981="","",IFERROR(IF(NOT(AND(LEN(AZ981)=15,ISNUMBER(MATCH(LEFT(AZ981,2),Lists!$K$2:$K$38,0)),SUMPRODUCT(--ISERROR(FIND(MID(MID(AZ981,3,10),{1,2,3,4,5,10},1),"ABCDEFGHIJKLMNOPQRSTUVWXYZ")))=0,SUMPRODUCT(--ISERROR(FIND(MID(MID(AZ981,3,10),{6,7,8,9},1),"0123456789")))=0,ISNUMBER(FIND(MID(AZ981,13,1),"123456789ABCDEFGHIJKLMNOPQRSTUVWXYZ")),MID(AZ981,14,1)="Z")),"Wrong format",IF(MID("0123456789ABCDEFGHIJKLMNOPQRSTUVWXYZ",MOD(36-MOD(SUMPRODUCT(INT((FIND(MID(AZ981,{1,2,3,4,5,6,7,8,9,10,11,12,13,14},1),"0123456789ABCDEFGHIJKLMNOPQRSTUVWXYZ")-1)*{1,2,1,2,1,2,1,2,1,2,1,2,1,2}/36)+MOD((FIND(MID(AZ981,{1,2,3,4,5,6,7,8,9,10,11,12,13,14},1),"0123456789ABCDEFGHIJKLMNOPQRSTUVWXYZ")-1)*{1,2,1,2,1,2,1,2,1,2,1,2,1,2},36)),36),36)+1,1)=MID(AZ981,15,1),"OK","Typo? check digit wrong")),"Wrong format"))</f>
        <v/>
      </c>
      <c r="AW981" s="29">
        <f>IF(BA981="","",IF(AND(LEN(BA981)=10,SUMPRODUCT(--ISERROR(FIND(MID(BA981,{1,2,3,4,5,10},1),"ABCDEFGHIJKLMNOPQRSTUVWXYZ")))=0,SUMPRODUCT(--ISERROR(FIND(MID(BA981,{6,7,8,9},1),"0123456789")))=0),"OK","Wrong format"))</f>
        <v/>
      </c>
      <c r="AX981" s="29">
        <f>IF(TRIM(H981)="","",IF(AND(LEN(UPPER(TRIM(H981)))=10,SUMPRODUCT(--ISERROR(FIND(MID(UPPER(TRIM(H981)),{1,2,3,4,10},1),"ABCDEFGHIJKLMNOPQRSTUVWXYZ")))=0,SUMPRODUCT(--ISERROR(FIND(MID(UPPER(TRIM(H981)),{5,6,7,8,9},1),"0123456789")))=0),"OK","Wrong format"))</f>
        <v/>
      </c>
      <c r="AY981" s="30">
        <f>IF(NOT(COUNTA(A981:AE981)&gt;0),"",IF(BE981&lt;&gt;"","✖ "&amp;LEFT(BE981,LEN(BE981)-2),IF(BD981&gt;0,"✔ Ready — client + "&amp;BD981&amp;" service(s)","✔ Ready — client only")))</f>
        <v/>
      </c>
      <c r="AZ981" s="31">
        <f>UPPER(SUBSTITUTE(TRIM(F981)," ",""))</f>
        <v/>
      </c>
      <c r="BA981" s="31">
        <f>UPPER(SUBSTITUTE(TRIM(E981)," ",""))</f>
        <v/>
      </c>
      <c r="BB981" s="31">
        <f>IF(D981&lt;&gt;"",D981,IFERROR(VLOOKUP(MID(AS981,4,1),Lists!$E$2:$F$8,2,FALSE),""))</f>
        <v/>
      </c>
      <c r="BC981" s="31">
        <f>IFERROR(VLOOKUP(BB981,Lists!$A$2:$C$12,3,FALSE),"")</f>
        <v/>
      </c>
      <c r="BD981" s="31">
        <f>COUNTIF(W981:AC981,"Yes")</f>
        <v/>
      </c>
      <c r="BE981" s="31">
        <f>IF(TRIM(B981)="","Legal name missing; ","")&amp;IF(AND(AV981&lt;&gt;"",AV981&lt;&gt;"OK"),"GSTIN: "&amp;AV981&amp;"; ","")&amp;IF(AND(AW981&lt;&gt;"",AW981&lt;&gt;"OK"),"PAN wrong format; ","")&amp;IF(AND(BA981&lt;&gt;"",LEN(AZ981)=15,MID(AZ981,3,10)&lt;&gt;BA981),"PAN does not match GSTIN; ","")&amp;IF(AND(AX981&lt;&gt;"",AX981&lt;&gt;"OK"),"TAN wrong format; ","")&amp;IF(AS981="","PAN missing; ","")&amp;IF(BB981="","Entity type missing; ","")&amp;IF(AND(AZ981&lt;&gt;"",COUNTIF($AZ$6:$AZ$1005,AZ981)&gt;1),"GSTIN repeated in this sheet; ","")&amp;IF(AND(AS981&lt;&gt;"",COUNTIF($AS$6:$AS$1005,AS981)&gt;1),"PAN repeated in this sheet (same client? put extra GSTINs in Other GSTINs); ","")&amp;IF(AND(BD981&gt;0,V981=""),"Financial year missing; ","")&amp;IF(AND(BD981=0,V981&lt;&gt;""),"Financial year given but no service is Yes; ","")&amp;IF(AND(W981="Yes",AZ981=""),"GST needs a GSTIN; ","")&amp;IF(AND(W981="Yes",X981=""),"GST return frequency missing; ","")&amp;IF(AND(Y981="Yes",TRIM(H981)=""),"TDS needs a TAN; ","")&amp;IF(AND(AA981="Yes",BC981&lt;&gt;"",BC981&lt;&gt;"company",BC981&lt;&gt;"llp"),"ROC is only for a company / LLP; ","")&amp;IF(AND(AA981="Yes",OR(BC981="company",BC981="llp"),TRIM(I981)=""),"ROC needs the CIN / LLPIN; ","")&amp;IF((TRIM(AF981)="")&lt;&gt;(TRIM(AG981)=""),"GST login needs both user ID and password; ","")&amp;IF((TRIM(AH981)="")&lt;&gt;(TRIM(AI981)=""),"Income-tax login needs both user ID and password; ","")&amp;IF((TRIM(AJ981)="")&lt;&gt;(TRIM(AK981)=""),"Income-tax login needs both user ID and password; ","")&amp;IF((TRIM(AL981)="")&lt;&gt;(TRIM(AM981)=""),"TRACES login needs both user ID and password; ","")&amp;IF((TRIM(AN981)="")&lt;&gt;(TRIM(AO981)=""),"MCA login needs both user ID and password; ","")&amp;IF((TRIM(AP981)="")&lt;&gt;(TRIM(AQ981)=""),"E-way bill login needs both user ID and password; ","")</f>
        <v/>
      </c>
    </row>
    <row r="982">
      <c r="A982" s="32" t="n"/>
      <c r="B982" s="33" t="n"/>
      <c r="C982" s="33" t="n"/>
      <c r="D982" s="33" t="n"/>
      <c r="E982" s="32" t="n"/>
      <c r="F982" s="32" t="n"/>
      <c r="G982" s="32" t="n"/>
      <c r="H982" s="32" t="n"/>
      <c r="I982" s="32" t="n"/>
      <c r="J982" s="34" t="n"/>
      <c r="K982" s="33" t="n"/>
      <c r="L982" s="32" t="n"/>
      <c r="M982" s="33" t="n"/>
      <c r="N982" s="33" t="n"/>
      <c r="O982" s="33" t="n"/>
      <c r="P982" s="32" t="n"/>
      <c r="Q982" s="33" t="n"/>
      <c r="R982" s="33" t="n"/>
      <c r="S982" s="33" t="n"/>
      <c r="T982" s="33" t="n"/>
      <c r="U982" s="32" t="n"/>
      <c r="V982" s="33" t="n"/>
      <c r="W982" s="33" t="n"/>
      <c r="X982" s="33" t="n"/>
      <c r="Y982" s="33" t="n"/>
      <c r="Z982" s="33" t="n"/>
      <c r="AA982" s="33" t="n"/>
      <c r="AB982" s="33" t="n"/>
      <c r="AC982" s="33" t="n"/>
      <c r="AD982" s="33" t="n"/>
      <c r="AE982" s="33" t="n"/>
      <c r="AF982" s="32" t="n"/>
      <c r="AG982" s="32" t="n"/>
      <c r="AH982" s="32" t="n"/>
      <c r="AI982" s="32" t="n"/>
      <c r="AJ982" s="32" t="n"/>
      <c r="AK982" s="32" t="n"/>
      <c r="AL982" s="32" t="n"/>
      <c r="AM982" s="32" t="n"/>
      <c r="AN982" s="32" t="n"/>
      <c r="AO982" s="32" t="n"/>
      <c r="AP982" s="32" t="n"/>
      <c r="AQ982" s="32" t="n"/>
      <c r="AR982" s="29">
        <f>IF(NOT(COUNTA(A982:AE982)&gt;0),"",IF(A982="","New client","Update"))</f>
        <v/>
      </c>
      <c r="AS982" s="29">
        <f>IF(BA982&lt;&gt;"",BA982,IF(LEN(AZ982)=15,MID(AZ982,3,10),""))</f>
        <v/>
      </c>
      <c r="AT982" s="29">
        <f>IF(BB982="","",BB982&amp;IF(D982="","  (guessed from PAN)",""))</f>
        <v/>
      </c>
      <c r="AU982" s="29">
        <f>IF(AZ982="","",IFERROR(INDEX(Lists!$L$2:$L$38,MATCH(LEFT(AZ982,2),Lists!$K$2:$K$38,0)),"Unknown code"))</f>
        <v/>
      </c>
      <c r="AV982" s="29">
        <f>IF(AZ982="","",IFERROR(IF(NOT(AND(LEN(AZ982)=15,ISNUMBER(MATCH(LEFT(AZ982,2),Lists!$K$2:$K$38,0)),SUMPRODUCT(--ISERROR(FIND(MID(MID(AZ982,3,10),{1,2,3,4,5,10},1),"ABCDEFGHIJKLMNOPQRSTUVWXYZ")))=0,SUMPRODUCT(--ISERROR(FIND(MID(MID(AZ982,3,10),{6,7,8,9},1),"0123456789")))=0,ISNUMBER(FIND(MID(AZ982,13,1),"123456789ABCDEFGHIJKLMNOPQRSTUVWXYZ")),MID(AZ982,14,1)="Z")),"Wrong format",IF(MID("0123456789ABCDEFGHIJKLMNOPQRSTUVWXYZ",MOD(36-MOD(SUMPRODUCT(INT((FIND(MID(AZ982,{1,2,3,4,5,6,7,8,9,10,11,12,13,14},1),"0123456789ABCDEFGHIJKLMNOPQRSTUVWXYZ")-1)*{1,2,1,2,1,2,1,2,1,2,1,2,1,2}/36)+MOD((FIND(MID(AZ982,{1,2,3,4,5,6,7,8,9,10,11,12,13,14},1),"0123456789ABCDEFGHIJKLMNOPQRSTUVWXYZ")-1)*{1,2,1,2,1,2,1,2,1,2,1,2,1,2},36)),36),36)+1,1)=MID(AZ982,15,1),"OK","Typo? check digit wrong")),"Wrong format"))</f>
        <v/>
      </c>
      <c r="AW982" s="29">
        <f>IF(BA982="","",IF(AND(LEN(BA982)=10,SUMPRODUCT(--ISERROR(FIND(MID(BA982,{1,2,3,4,5,10},1),"ABCDEFGHIJKLMNOPQRSTUVWXYZ")))=0,SUMPRODUCT(--ISERROR(FIND(MID(BA982,{6,7,8,9},1),"0123456789")))=0),"OK","Wrong format"))</f>
        <v/>
      </c>
      <c r="AX982" s="29">
        <f>IF(TRIM(H982)="","",IF(AND(LEN(UPPER(TRIM(H982)))=10,SUMPRODUCT(--ISERROR(FIND(MID(UPPER(TRIM(H982)),{1,2,3,4,10},1),"ABCDEFGHIJKLMNOPQRSTUVWXYZ")))=0,SUMPRODUCT(--ISERROR(FIND(MID(UPPER(TRIM(H982)),{5,6,7,8,9},1),"0123456789")))=0),"OK","Wrong format"))</f>
        <v/>
      </c>
      <c r="AY982" s="30">
        <f>IF(NOT(COUNTA(A982:AE982)&gt;0),"",IF(BE982&lt;&gt;"","✖ "&amp;LEFT(BE982,LEN(BE982)-2),IF(BD982&gt;0,"✔ Ready — client + "&amp;BD982&amp;" service(s)","✔ Ready — client only")))</f>
        <v/>
      </c>
      <c r="AZ982" s="31">
        <f>UPPER(SUBSTITUTE(TRIM(F982)," ",""))</f>
        <v/>
      </c>
      <c r="BA982" s="31">
        <f>UPPER(SUBSTITUTE(TRIM(E982)," ",""))</f>
        <v/>
      </c>
      <c r="BB982" s="31">
        <f>IF(D982&lt;&gt;"",D982,IFERROR(VLOOKUP(MID(AS982,4,1),Lists!$E$2:$F$8,2,FALSE),""))</f>
        <v/>
      </c>
      <c r="BC982" s="31">
        <f>IFERROR(VLOOKUP(BB982,Lists!$A$2:$C$12,3,FALSE),"")</f>
        <v/>
      </c>
      <c r="BD982" s="31">
        <f>COUNTIF(W982:AC982,"Yes")</f>
        <v/>
      </c>
      <c r="BE982" s="31">
        <f>IF(TRIM(B982)="","Legal name missing; ","")&amp;IF(AND(AV982&lt;&gt;"",AV982&lt;&gt;"OK"),"GSTIN: "&amp;AV982&amp;"; ","")&amp;IF(AND(AW982&lt;&gt;"",AW982&lt;&gt;"OK"),"PAN wrong format; ","")&amp;IF(AND(BA982&lt;&gt;"",LEN(AZ982)=15,MID(AZ982,3,10)&lt;&gt;BA982),"PAN does not match GSTIN; ","")&amp;IF(AND(AX982&lt;&gt;"",AX982&lt;&gt;"OK"),"TAN wrong format; ","")&amp;IF(AS982="","PAN missing; ","")&amp;IF(BB982="","Entity type missing; ","")&amp;IF(AND(AZ982&lt;&gt;"",COUNTIF($AZ$6:$AZ$1005,AZ982)&gt;1),"GSTIN repeated in this sheet; ","")&amp;IF(AND(AS982&lt;&gt;"",COUNTIF($AS$6:$AS$1005,AS982)&gt;1),"PAN repeated in this sheet (same client? put extra GSTINs in Other GSTINs); ","")&amp;IF(AND(BD982&gt;0,V982=""),"Financial year missing; ","")&amp;IF(AND(BD982=0,V982&lt;&gt;""),"Financial year given but no service is Yes; ","")&amp;IF(AND(W982="Yes",AZ982=""),"GST needs a GSTIN; ","")&amp;IF(AND(W982="Yes",X982=""),"GST return frequency missing; ","")&amp;IF(AND(Y982="Yes",TRIM(H982)=""),"TDS needs a TAN; ","")&amp;IF(AND(AA982="Yes",BC982&lt;&gt;"",BC982&lt;&gt;"company",BC982&lt;&gt;"llp"),"ROC is only for a company / LLP; ","")&amp;IF(AND(AA982="Yes",OR(BC982="company",BC982="llp"),TRIM(I982)=""),"ROC needs the CIN / LLPIN; ","")&amp;IF((TRIM(AF982)="")&lt;&gt;(TRIM(AG982)=""),"GST login needs both user ID and password; ","")&amp;IF((TRIM(AH982)="")&lt;&gt;(TRIM(AI982)=""),"Income-tax login needs both user ID and password; ","")&amp;IF((TRIM(AJ982)="")&lt;&gt;(TRIM(AK982)=""),"Income-tax login needs both user ID and password; ","")&amp;IF((TRIM(AL982)="")&lt;&gt;(TRIM(AM982)=""),"TRACES login needs both user ID and password; ","")&amp;IF((TRIM(AN982)="")&lt;&gt;(TRIM(AO982)=""),"MCA login needs both user ID and password; ","")&amp;IF((TRIM(AP982)="")&lt;&gt;(TRIM(AQ982)=""),"E-way bill login needs both user ID and password; ","")</f>
        <v/>
      </c>
    </row>
    <row r="983">
      <c r="A983" s="32" t="n"/>
      <c r="B983" s="33" t="n"/>
      <c r="C983" s="33" t="n"/>
      <c r="D983" s="33" t="n"/>
      <c r="E983" s="32" t="n"/>
      <c r="F983" s="32" t="n"/>
      <c r="G983" s="32" t="n"/>
      <c r="H983" s="32" t="n"/>
      <c r="I983" s="32" t="n"/>
      <c r="J983" s="34" t="n"/>
      <c r="K983" s="33" t="n"/>
      <c r="L983" s="32" t="n"/>
      <c r="M983" s="33" t="n"/>
      <c r="N983" s="33" t="n"/>
      <c r="O983" s="33" t="n"/>
      <c r="P983" s="32" t="n"/>
      <c r="Q983" s="33" t="n"/>
      <c r="R983" s="33" t="n"/>
      <c r="S983" s="33" t="n"/>
      <c r="T983" s="33" t="n"/>
      <c r="U983" s="32" t="n"/>
      <c r="V983" s="33" t="n"/>
      <c r="W983" s="33" t="n"/>
      <c r="X983" s="33" t="n"/>
      <c r="Y983" s="33" t="n"/>
      <c r="Z983" s="33" t="n"/>
      <c r="AA983" s="33" t="n"/>
      <c r="AB983" s="33" t="n"/>
      <c r="AC983" s="33" t="n"/>
      <c r="AD983" s="33" t="n"/>
      <c r="AE983" s="33" t="n"/>
      <c r="AF983" s="32" t="n"/>
      <c r="AG983" s="32" t="n"/>
      <c r="AH983" s="32" t="n"/>
      <c r="AI983" s="32" t="n"/>
      <c r="AJ983" s="32" t="n"/>
      <c r="AK983" s="32" t="n"/>
      <c r="AL983" s="32" t="n"/>
      <c r="AM983" s="32" t="n"/>
      <c r="AN983" s="32" t="n"/>
      <c r="AO983" s="32" t="n"/>
      <c r="AP983" s="32" t="n"/>
      <c r="AQ983" s="32" t="n"/>
      <c r="AR983" s="29">
        <f>IF(NOT(COUNTA(A983:AE983)&gt;0),"",IF(A983="","New client","Update"))</f>
        <v/>
      </c>
      <c r="AS983" s="29">
        <f>IF(BA983&lt;&gt;"",BA983,IF(LEN(AZ983)=15,MID(AZ983,3,10),""))</f>
        <v/>
      </c>
      <c r="AT983" s="29">
        <f>IF(BB983="","",BB983&amp;IF(D983="","  (guessed from PAN)",""))</f>
        <v/>
      </c>
      <c r="AU983" s="29">
        <f>IF(AZ983="","",IFERROR(INDEX(Lists!$L$2:$L$38,MATCH(LEFT(AZ983,2),Lists!$K$2:$K$38,0)),"Unknown code"))</f>
        <v/>
      </c>
      <c r="AV983" s="29">
        <f>IF(AZ983="","",IFERROR(IF(NOT(AND(LEN(AZ983)=15,ISNUMBER(MATCH(LEFT(AZ983,2),Lists!$K$2:$K$38,0)),SUMPRODUCT(--ISERROR(FIND(MID(MID(AZ983,3,10),{1,2,3,4,5,10},1),"ABCDEFGHIJKLMNOPQRSTUVWXYZ")))=0,SUMPRODUCT(--ISERROR(FIND(MID(MID(AZ983,3,10),{6,7,8,9},1),"0123456789")))=0,ISNUMBER(FIND(MID(AZ983,13,1),"123456789ABCDEFGHIJKLMNOPQRSTUVWXYZ")),MID(AZ983,14,1)="Z")),"Wrong format",IF(MID("0123456789ABCDEFGHIJKLMNOPQRSTUVWXYZ",MOD(36-MOD(SUMPRODUCT(INT((FIND(MID(AZ983,{1,2,3,4,5,6,7,8,9,10,11,12,13,14},1),"0123456789ABCDEFGHIJKLMNOPQRSTUVWXYZ")-1)*{1,2,1,2,1,2,1,2,1,2,1,2,1,2}/36)+MOD((FIND(MID(AZ983,{1,2,3,4,5,6,7,8,9,10,11,12,13,14},1),"0123456789ABCDEFGHIJKLMNOPQRSTUVWXYZ")-1)*{1,2,1,2,1,2,1,2,1,2,1,2,1,2},36)),36),36)+1,1)=MID(AZ983,15,1),"OK","Typo? check digit wrong")),"Wrong format"))</f>
        <v/>
      </c>
      <c r="AW983" s="29">
        <f>IF(BA983="","",IF(AND(LEN(BA983)=10,SUMPRODUCT(--ISERROR(FIND(MID(BA983,{1,2,3,4,5,10},1),"ABCDEFGHIJKLMNOPQRSTUVWXYZ")))=0,SUMPRODUCT(--ISERROR(FIND(MID(BA983,{6,7,8,9},1),"0123456789")))=0),"OK","Wrong format"))</f>
        <v/>
      </c>
      <c r="AX983" s="29">
        <f>IF(TRIM(H983)="","",IF(AND(LEN(UPPER(TRIM(H983)))=10,SUMPRODUCT(--ISERROR(FIND(MID(UPPER(TRIM(H983)),{1,2,3,4,10},1),"ABCDEFGHIJKLMNOPQRSTUVWXYZ")))=0,SUMPRODUCT(--ISERROR(FIND(MID(UPPER(TRIM(H983)),{5,6,7,8,9},1),"0123456789")))=0),"OK","Wrong format"))</f>
        <v/>
      </c>
      <c r="AY983" s="30">
        <f>IF(NOT(COUNTA(A983:AE983)&gt;0),"",IF(BE983&lt;&gt;"","✖ "&amp;LEFT(BE983,LEN(BE983)-2),IF(BD983&gt;0,"✔ Ready — client + "&amp;BD983&amp;" service(s)","✔ Ready — client only")))</f>
        <v/>
      </c>
      <c r="AZ983" s="31">
        <f>UPPER(SUBSTITUTE(TRIM(F983)," ",""))</f>
        <v/>
      </c>
      <c r="BA983" s="31">
        <f>UPPER(SUBSTITUTE(TRIM(E983)," ",""))</f>
        <v/>
      </c>
      <c r="BB983" s="31">
        <f>IF(D983&lt;&gt;"",D983,IFERROR(VLOOKUP(MID(AS983,4,1),Lists!$E$2:$F$8,2,FALSE),""))</f>
        <v/>
      </c>
      <c r="BC983" s="31">
        <f>IFERROR(VLOOKUP(BB983,Lists!$A$2:$C$12,3,FALSE),"")</f>
        <v/>
      </c>
      <c r="BD983" s="31">
        <f>COUNTIF(W983:AC983,"Yes")</f>
        <v/>
      </c>
      <c r="BE983" s="31">
        <f>IF(TRIM(B983)="","Legal name missing; ","")&amp;IF(AND(AV983&lt;&gt;"",AV983&lt;&gt;"OK"),"GSTIN: "&amp;AV983&amp;"; ","")&amp;IF(AND(AW983&lt;&gt;"",AW983&lt;&gt;"OK"),"PAN wrong format; ","")&amp;IF(AND(BA983&lt;&gt;"",LEN(AZ983)=15,MID(AZ983,3,10)&lt;&gt;BA983),"PAN does not match GSTIN; ","")&amp;IF(AND(AX983&lt;&gt;"",AX983&lt;&gt;"OK"),"TAN wrong format; ","")&amp;IF(AS983="","PAN missing; ","")&amp;IF(BB983="","Entity type missing; ","")&amp;IF(AND(AZ983&lt;&gt;"",COUNTIF($AZ$6:$AZ$1005,AZ983)&gt;1),"GSTIN repeated in this sheet; ","")&amp;IF(AND(AS983&lt;&gt;"",COUNTIF($AS$6:$AS$1005,AS983)&gt;1),"PAN repeated in this sheet (same client? put extra GSTINs in Other GSTINs); ","")&amp;IF(AND(BD983&gt;0,V983=""),"Financial year missing; ","")&amp;IF(AND(BD983=0,V983&lt;&gt;""),"Financial year given but no service is Yes; ","")&amp;IF(AND(W983="Yes",AZ983=""),"GST needs a GSTIN; ","")&amp;IF(AND(W983="Yes",X983=""),"GST return frequency missing; ","")&amp;IF(AND(Y983="Yes",TRIM(H983)=""),"TDS needs a TAN; ","")&amp;IF(AND(AA983="Yes",BC983&lt;&gt;"",BC983&lt;&gt;"company",BC983&lt;&gt;"llp"),"ROC is only for a company / LLP; ","")&amp;IF(AND(AA983="Yes",OR(BC983="company",BC983="llp"),TRIM(I983)=""),"ROC needs the CIN / LLPIN; ","")&amp;IF((TRIM(AF983)="")&lt;&gt;(TRIM(AG983)=""),"GST login needs both user ID and password; ","")&amp;IF((TRIM(AH983)="")&lt;&gt;(TRIM(AI983)=""),"Income-tax login needs both user ID and password; ","")&amp;IF((TRIM(AJ983)="")&lt;&gt;(TRIM(AK983)=""),"Income-tax login needs both user ID and password; ","")&amp;IF((TRIM(AL983)="")&lt;&gt;(TRIM(AM983)=""),"TRACES login needs both user ID and password; ","")&amp;IF((TRIM(AN983)="")&lt;&gt;(TRIM(AO983)=""),"MCA login needs both user ID and password; ","")&amp;IF((TRIM(AP983)="")&lt;&gt;(TRIM(AQ983)=""),"E-way bill login needs both user ID and password; ","")</f>
        <v/>
      </c>
    </row>
    <row r="984">
      <c r="A984" s="32" t="n"/>
      <c r="B984" s="33" t="n"/>
      <c r="C984" s="33" t="n"/>
      <c r="D984" s="33" t="n"/>
      <c r="E984" s="32" t="n"/>
      <c r="F984" s="32" t="n"/>
      <c r="G984" s="32" t="n"/>
      <c r="H984" s="32" t="n"/>
      <c r="I984" s="32" t="n"/>
      <c r="J984" s="34" t="n"/>
      <c r="K984" s="33" t="n"/>
      <c r="L984" s="32" t="n"/>
      <c r="M984" s="33" t="n"/>
      <c r="N984" s="33" t="n"/>
      <c r="O984" s="33" t="n"/>
      <c r="P984" s="32" t="n"/>
      <c r="Q984" s="33" t="n"/>
      <c r="R984" s="33" t="n"/>
      <c r="S984" s="33" t="n"/>
      <c r="T984" s="33" t="n"/>
      <c r="U984" s="32" t="n"/>
      <c r="V984" s="33" t="n"/>
      <c r="W984" s="33" t="n"/>
      <c r="X984" s="33" t="n"/>
      <c r="Y984" s="33" t="n"/>
      <c r="Z984" s="33" t="n"/>
      <c r="AA984" s="33" t="n"/>
      <c r="AB984" s="33" t="n"/>
      <c r="AC984" s="33" t="n"/>
      <c r="AD984" s="33" t="n"/>
      <c r="AE984" s="33" t="n"/>
      <c r="AF984" s="32" t="n"/>
      <c r="AG984" s="32" t="n"/>
      <c r="AH984" s="32" t="n"/>
      <c r="AI984" s="32" t="n"/>
      <c r="AJ984" s="32" t="n"/>
      <c r="AK984" s="32" t="n"/>
      <c r="AL984" s="32" t="n"/>
      <c r="AM984" s="32" t="n"/>
      <c r="AN984" s="32" t="n"/>
      <c r="AO984" s="32" t="n"/>
      <c r="AP984" s="32" t="n"/>
      <c r="AQ984" s="32" t="n"/>
      <c r="AR984" s="29">
        <f>IF(NOT(COUNTA(A984:AE984)&gt;0),"",IF(A984="","New client","Update"))</f>
        <v/>
      </c>
      <c r="AS984" s="29">
        <f>IF(BA984&lt;&gt;"",BA984,IF(LEN(AZ984)=15,MID(AZ984,3,10),""))</f>
        <v/>
      </c>
      <c r="AT984" s="29">
        <f>IF(BB984="","",BB984&amp;IF(D984="","  (guessed from PAN)",""))</f>
        <v/>
      </c>
      <c r="AU984" s="29">
        <f>IF(AZ984="","",IFERROR(INDEX(Lists!$L$2:$L$38,MATCH(LEFT(AZ984,2),Lists!$K$2:$K$38,0)),"Unknown code"))</f>
        <v/>
      </c>
      <c r="AV984" s="29">
        <f>IF(AZ984="","",IFERROR(IF(NOT(AND(LEN(AZ984)=15,ISNUMBER(MATCH(LEFT(AZ984,2),Lists!$K$2:$K$38,0)),SUMPRODUCT(--ISERROR(FIND(MID(MID(AZ984,3,10),{1,2,3,4,5,10},1),"ABCDEFGHIJKLMNOPQRSTUVWXYZ")))=0,SUMPRODUCT(--ISERROR(FIND(MID(MID(AZ984,3,10),{6,7,8,9},1),"0123456789")))=0,ISNUMBER(FIND(MID(AZ984,13,1),"123456789ABCDEFGHIJKLMNOPQRSTUVWXYZ")),MID(AZ984,14,1)="Z")),"Wrong format",IF(MID("0123456789ABCDEFGHIJKLMNOPQRSTUVWXYZ",MOD(36-MOD(SUMPRODUCT(INT((FIND(MID(AZ984,{1,2,3,4,5,6,7,8,9,10,11,12,13,14},1),"0123456789ABCDEFGHIJKLMNOPQRSTUVWXYZ")-1)*{1,2,1,2,1,2,1,2,1,2,1,2,1,2}/36)+MOD((FIND(MID(AZ984,{1,2,3,4,5,6,7,8,9,10,11,12,13,14},1),"0123456789ABCDEFGHIJKLMNOPQRSTUVWXYZ")-1)*{1,2,1,2,1,2,1,2,1,2,1,2,1,2},36)),36),36)+1,1)=MID(AZ984,15,1),"OK","Typo? check digit wrong")),"Wrong format"))</f>
        <v/>
      </c>
      <c r="AW984" s="29">
        <f>IF(BA984="","",IF(AND(LEN(BA984)=10,SUMPRODUCT(--ISERROR(FIND(MID(BA984,{1,2,3,4,5,10},1),"ABCDEFGHIJKLMNOPQRSTUVWXYZ")))=0,SUMPRODUCT(--ISERROR(FIND(MID(BA984,{6,7,8,9},1),"0123456789")))=0),"OK","Wrong format"))</f>
        <v/>
      </c>
      <c r="AX984" s="29">
        <f>IF(TRIM(H984)="","",IF(AND(LEN(UPPER(TRIM(H984)))=10,SUMPRODUCT(--ISERROR(FIND(MID(UPPER(TRIM(H984)),{1,2,3,4,10},1),"ABCDEFGHIJKLMNOPQRSTUVWXYZ")))=0,SUMPRODUCT(--ISERROR(FIND(MID(UPPER(TRIM(H984)),{5,6,7,8,9},1),"0123456789")))=0),"OK","Wrong format"))</f>
        <v/>
      </c>
      <c r="AY984" s="30">
        <f>IF(NOT(COUNTA(A984:AE984)&gt;0),"",IF(BE984&lt;&gt;"","✖ "&amp;LEFT(BE984,LEN(BE984)-2),IF(BD984&gt;0,"✔ Ready — client + "&amp;BD984&amp;" service(s)","✔ Ready — client only")))</f>
        <v/>
      </c>
      <c r="AZ984" s="31">
        <f>UPPER(SUBSTITUTE(TRIM(F984)," ",""))</f>
        <v/>
      </c>
      <c r="BA984" s="31">
        <f>UPPER(SUBSTITUTE(TRIM(E984)," ",""))</f>
        <v/>
      </c>
      <c r="BB984" s="31">
        <f>IF(D984&lt;&gt;"",D984,IFERROR(VLOOKUP(MID(AS984,4,1),Lists!$E$2:$F$8,2,FALSE),""))</f>
        <v/>
      </c>
      <c r="BC984" s="31">
        <f>IFERROR(VLOOKUP(BB984,Lists!$A$2:$C$12,3,FALSE),"")</f>
        <v/>
      </c>
      <c r="BD984" s="31">
        <f>COUNTIF(W984:AC984,"Yes")</f>
        <v/>
      </c>
      <c r="BE984" s="31">
        <f>IF(TRIM(B984)="","Legal name missing; ","")&amp;IF(AND(AV984&lt;&gt;"",AV984&lt;&gt;"OK"),"GSTIN: "&amp;AV984&amp;"; ","")&amp;IF(AND(AW984&lt;&gt;"",AW984&lt;&gt;"OK"),"PAN wrong format; ","")&amp;IF(AND(BA984&lt;&gt;"",LEN(AZ984)=15,MID(AZ984,3,10)&lt;&gt;BA984),"PAN does not match GSTIN; ","")&amp;IF(AND(AX984&lt;&gt;"",AX984&lt;&gt;"OK"),"TAN wrong format; ","")&amp;IF(AS984="","PAN missing; ","")&amp;IF(BB984="","Entity type missing; ","")&amp;IF(AND(AZ984&lt;&gt;"",COUNTIF($AZ$6:$AZ$1005,AZ984)&gt;1),"GSTIN repeated in this sheet; ","")&amp;IF(AND(AS984&lt;&gt;"",COUNTIF($AS$6:$AS$1005,AS984)&gt;1),"PAN repeated in this sheet (same client? put extra GSTINs in Other GSTINs); ","")&amp;IF(AND(BD984&gt;0,V984=""),"Financial year missing; ","")&amp;IF(AND(BD984=0,V984&lt;&gt;""),"Financial year given but no service is Yes; ","")&amp;IF(AND(W984="Yes",AZ984=""),"GST needs a GSTIN; ","")&amp;IF(AND(W984="Yes",X984=""),"GST return frequency missing; ","")&amp;IF(AND(Y984="Yes",TRIM(H984)=""),"TDS needs a TAN; ","")&amp;IF(AND(AA984="Yes",BC984&lt;&gt;"",BC984&lt;&gt;"company",BC984&lt;&gt;"llp"),"ROC is only for a company / LLP; ","")&amp;IF(AND(AA984="Yes",OR(BC984="company",BC984="llp"),TRIM(I984)=""),"ROC needs the CIN / LLPIN; ","")&amp;IF((TRIM(AF984)="")&lt;&gt;(TRIM(AG984)=""),"GST login needs both user ID and password; ","")&amp;IF((TRIM(AH984)="")&lt;&gt;(TRIM(AI984)=""),"Income-tax login needs both user ID and password; ","")&amp;IF((TRIM(AJ984)="")&lt;&gt;(TRIM(AK984)=""),"Income-tax login needs both user ID and password; ","")&amp;IF((TRIM(AL984)="")&lt;&gt;(TRIM(AM984)=""),"TRACES login needs both user ID and password; ","")&amp;IF((TRIM(AN984)="")&lt;&gt;(TRIM(AO984)=""),"MCA login needs both user ID and password; ","")&amp;IF((TRIM(AP984)="")&lt;&gt;(TRIM(AQ984)=""),"E-way bill login needs both user ID and password; ","")</f>
        <v/>
      </c>
    </row>
    <row r="985">
      <c r="A985" s="32" t="n"/>
      <c r="B985" s="33" t="n"/>
      <c r="C985" s="33" t="n"/>
      <c r="D985" s="33" t="n"/>
      <c r="E985" s="32" t="n"/>
      <c r="F985" s="32" t="n"/>
      <c r="G985" s="32" t="n"/>
      <c r="H985" s="32" t="n"/>
      <c r="I985" s="32" t="n"/>
      <c r="J985" s="34" t="n"/>
      <c r="K985" s="33" t="n"/>
      <c r="L985" s="32" t="n"/>
      <c r="M985" s="33" t="n"/>
      <c r="N985" s="33" t="n"/>
      <c r="O985" s="33" t="n"/>
      <c r="P985" s="32" t="n"/>
      <c r="Q985" s="33" t="n"/>
      <c r="R985" s="33" t="n"/>
      <c r="S985" s="33" t="n"/>
      <c r="T985" s="33" t="n"/>
      <c r="U985" s="32" t="n"/>
      <c r="V985" s="33" t="n"/>
      <c r="W985" s="33" t="n"/>
      <c r="X985" s="33" t="n"/>
      <c r="Y985" s="33" t="n"/>
      <c r="Z985" s="33" t="n"/>
      <c r="AA985" s="33" t="n"/>
      <c r="AB985" s="33" t="n"/>
      <c r="AC985" s="33" t="n"/>
      <c r="AD985" s="33" t="n"/>
      <c r="AE985" s="33" t="n"/>
      <c r="AF985" s="32" t="n"/>
      <c r="AG985" s="32" t="n"/>
      <c r="AH985" s="32" t="n"/>
      <c r="AI985" s="32" t="n"/>
      <c r="AJ985" s="32" t="n"/>
      <c r="AK985" s="32" t="n"/>
      <c r="AL985" s="32" t="n"/>
      <c r="AM985" s="32" t="n"/>
      <c r="AN985" s="32" t="n"/>
      <c r="AO985" s="32" t="n"/>
      <c r="AP985" s="32" t="n"/>
      <c r="AQ985" s="32" t="n"/>
      <c r="AR985" s="29">
        <f>IF(NOT(COUNTA(A985:AE985)&gt;0),"",IF(A985="","New client","Update"))</f>
        <v/>
      </c>
      <c r="AS985" s="29">
        <f>IF(BA985&lt;&gt;"",BA985,IF(LEN(AZ985)=15,MID(AZ985,3,10),""))</f>
        <v/>
      </c>
      <c r="AT985" s="29">
        <f>IF(BB985="","",BB985&amp;IF(D985="","  (guessed from PAN)",""))</f>
        <v/>
      </c>
      <c r="AU985" s="29">
        <f>IF(AZ985="","",IFERROR(INDEX(Lists!$L$2:$L$38,MATCH(LEFT(AZ985,2),Lists!$K$2:$K$38,0)),"Unknown code"))</f>
        <v/>
      </c>
      <c r="AV985" s="29">
        <f>IF(AZ985="","",IFERROR(IF(NOT(AND(LEN(AZ985)=15,ISNUMBER(MATCH(LEFT(AZ985,2),Lists!$K$2:$K$38,0)),SUMPRODUCT(--ISERROR(FIND(MID(MID(AZ985,3,10),{1,2,3,4,5,10},1),"ABCDEFGHIJKLMNOPQRSTUVWXYZ")))=0,SUMPRODUCT(--ISERROR(FIND(MID(MID(AZ985,3,10),{6,7,8,9},1),"0123456789")))=0,ISNUMBER(FIND(MID(AZ985,13,1),"123456789ABCDEFGHIJKLMNOPQRSTUVWXYZ")),MID(AZ985,14,1)="Z")),"Wrong format",IF(MID("0123456789ABCDEFGHIJKLMNOPQRSTUVWXYZ",MOD(36-MOD(SUMPRODUCT(INT((FIND(MID(AZ985,{1,2,3,4,5,6,7,8,9,10,11,12,13,14},1),"0123456789ABCDEFGHIJKLMNOPQRSTUVWXYZ")-1)*{1,2,1,2,1,2,1,2,1,2,1,2,1,2}/36)+MOD((FIND(MID(AZ985,{1,2,3,4,5,6,7,8,9,10,11,12,13,14},1),"0123456789ABCDEFGHIJKLMNOPQRSTUVWXYZ")-1)*{1,2,1,2,1,2,1,2,1,2,1,2,1,2},36)),36),36)+1,1)=MID(AZ985,15,1),"OK","Typo? check digit wrong")),"Wrong format"))</f>
        <v/>
      </c>
      <c r="AW985" s="29">
        <f>IF(BA985="","",IF(AND(LEN(BA985)=10,SUMPRODUCT(--ISERROR(FIND(MID(BA985,{1,2,3,4,5,10},1),"ABCDEFGHIJKLMNOPQRSTUVWXYZ")))=0,SUMPRODUCT(--ISERROR(FIND(MID(BA985,{6,7,8,9},1),"0123456789")))=0),"OK","Wrong format"))</f>
        <v/>
      </c>
      <c r="AX985" s="29">
        <f>IF(TRIM(H985)="","",IF(AND(LEN(UPPER(TRIM(H985)))=10,SUMPRODUCT(--ISERROR(FIND(MID(UPPER(TRIM(H985)),{1,2,3,4,10},1),"ABCDEFGHIJKLMNOPQRSTUVWXYZ")))=0,SUMPRODUCT(--ISERROR(FIND(MID(UPPER(TRIM(H985)),{5,6,7,8,9},1),"0123456789")))=0),"OK","Wrong format"))</f>
        <v/>
      </c>
      <c r="AY985" s="30">
        <f>IF(NOT(COUNTA(A985:AE985)&gt;0),"",IF(BE985&lt;&gt;"","✖ "&amp;LEFT(BE985,LEN(BE985)-2),IF(BD985&gt;0,"✔ Ready — client + "&amp;BD985&amp;" service(s)","✔ Ready — client only")))</f>
        <v/>
      </c>
      <c r="AZ985" s="31">
        <f>UPPER(SUBSTITUTE(TRIM(F985)," ",""))</f>
        <v/>
      </c>
      <c r="BA985" s="31">
        <f>UPPER(SUBSTITUTE(TRIM(E985)," ",""))</f>
        <v/>
      </c>
      <c r="BB985" s="31">
        <f>IF(D985&lt;&gt;"",D985,IFERROR(VLOOKUP(MID(AS985,4,1),Lists!$E$2:$F$8,2,FALSE),""))</f>
        <v/>
      </c>
      <c r="BC985" s="31">
        <f>IFERROR(VLOOKUP(BB985,Lists!$A$2:$C$12,3,FALSE),"")</f>
        <v/>
      </c>
      <c r="BD985" s="31">
        <f>COUNTIF(W985:AC985,"Yes")</f>
        <v/>
      </c>
      <c r="BE985" s="31">
        <f>IF(TRIM(B985)="","Legal name missing; ","")&amp;IF(AND(AV985&lt;&gt;"",AV985&lt;&gt;"OK"),"GSTIN: "&amp;AV985&amp;"; ","")&amp;IF(AND(AW985&lt;&gt;"",AW985&lt;&gt;"OK"),"PAN wrong format; ","")&amp;IF(AND(BA985&lt;&gt;"",LEN(AZ985)=15,MID(AZ985,3,10)&lt;&gt;BA985),"PAN does not match GSTIN; ","")&amp;IF(AND(AX985&lt;&gt;"",AX985&lt;&gt;"OK"),"TAN wrong format; ","")&amp;IF(AS985="","PAN missing; ","")&amp;IF(BB985="","Entity type missing; ","")&amp;IF(AND(AZ985&lt;&gt;"",COUNTIF($AZ$6:$AZ$1005,AZ985)&gt;1),"GSTIN repeated in this sheet; ","")&amp;IF(AND(AS985&lt;&gt;"",COUNTIF($AS$6:$AS$1005,AS985)&gt;1),"PAN repeated in this sheet (same client? put extra GSTINs in Other GSTINs); ","")&amp;IF(AND(BD985&gt;0,V985=""),"Financial year missing; ","")&amp;IF(AND(BD985=0,V985&lt;&gt;""),"Financial year given but no service is Yes; ","")&amp;IF(AND(W985="Yes",AZ985=""),"GST needs a GSTIN; ","")&amp;IF(AND(W985="Yes",X985=""),"GST return frequency missing; ","")&amp;IF(AND(Y985="Yes",TRIM(H985)=""),"TDS needs a TAN; ","")&amp;IF(AND(AA985="Yes",BC985&lt;&gt;"",BC985&lt;&gt;"company",BC985&lt;&gt;"llp"),"ROC is only for a company / LLP; ","")&amp;IF(AND(AA985="Yes",OR(BC985="company",BC985="llp"),TRIM(I985)=""),"ROC needs the CIN / LLPIN; ","")&amp;IF((TRIM(AF985)="")&lt;&gt;(TRIM(AG985)=""),"GST login needs both user ID and password; ","")&amp;IF((TRIM(AH985)="")&lt;&gt;(TRIM(AI985)=""),"Income-tax login needs both user ID and password; ","")&amp;IF((TRIM(AJ985)="")&lt;&gt;(TRIM(AK985)=""),"Income-tax login needs both user ID and password; ","")&amp;IF((TRIM(AL985)="")&lt;&gt;(TRIM(AM985)=""),"TRACES login needs both user ID and password; ","")&amp;IF((TRIM(AN985)="")&lt;&gt;(TRIM(AO985)=""),"MCA login needs both user ID and password; ","")&amp;IF((TRIM(AP985)="")&lt;&gt;(TRIM(AQ985)=""),"E-way bill login needs both user ID and password; ","")</f>
        <v/>
      </c>
    </row>
    <row r="986">
      <c r="A986" s="32" t="n"/>
      <c r="B986" s="33" t="n"/>
      <c r="C986" s="33" t="n"/>
      <c r="D986" s="33" t="n"/>
      <c r="E986" s="32" t="n"/>
      <c r="F986" s="32" t="n"/>
      <c r="G986" s="32" t="n"/>
      <c r="H986" s="32" t="n"/>
      <c r="I986" s="32" t="n"/>
      <c r="J986" s="34" t="n"/>
      <c r="K986" s="33" t="n"/>
      <c r="L986" s="32" t="n"/>
      <c r="M986" s="33" t="n"/>
      <c r="N986" s="33" t="n"/>
      <c r="O986" s="33" t="n"/>
      <c r="P986" s="32" t="n"/>
      <c r="Q986" s="33" t="n"/>
      <c r="R986" s="33" t="n"/>
      <c r="S986" s="33" t="n"/>
      <c r="T986" s="33" t="n"/>
      <c r="U986" s="32" t="n"/>
      <c r="V986" s="33" t="n"/>
      <c r="W986" s="33" t="n"/>
      <c r="X986" s="33" t="n"/>
      <c r="Y986" s="33" t="n"/>
      <c r="Z986" s="33" t="n"/>
      <c r="AA986" s="33" t="n"/>
      <c r="AB986" s="33" t="n"/>
      <c r="AC986" s="33" t="n"/>
      <c r="AD986" s="33" t="n"/>
      <c r="AE986" s="33" t="n"/>
      <c r="AF986" s="32" t="n"/>
      <c r="AG986" s="32" t="n"/>
      <c r="AH986" s="32" t="n"/>
      <c r="AI986" s="32" t="n"/>
      <c r="AJ986" s="32" t="n"/>
      <c r="AK986" s="32" t="n"/>
      <c r="AL986" s="32" t="n"/>
      <c r="AM986" s="32" t="n"/>
      <c r="AN986" s="32" t="n"/>
      <c r="AO986" s="32" t="n"/>
      <c r="AP986" s="32" t="n"/>
      <c r="AQ986" s="32" t="n"/>
      <c r="AR986" s="29">
        <f>IF(NOT(COUNTA(A986:AE986)&gt;0),"",IF(A986="","New client","Update"))</f>
        <v/>
      </c>
      <c r="AS986" s="29">
        <f>IF(BA986&lt;&gt;"",BA986,IF(LEN(AZ986)=15,MID(AZ986,3,10),""))</f>
        <v/>
      </c>
      <c r="AT986" s="29">
        <f>IF(BB986="","",BB986&amp;IF(D986="","  (guessed from PAN)",""))</f>
        <v/>
      </c>
      <c r="AU986" s="29">
        <f>IF(AZ986="","",IFERROR(INDEX(Lists!$L$2:$L$38,MATCH(LEFT(AZ986,2),Lists!$K$2:$K$38,0)),"Unknown code"))</f>
        <v/>
      </c>
      <c r="AV986" s="29">
        <f>IF(AZ986="","",IFERROR(IF(NOT(AND(LEN(AZ986)=15,ISNUMBER(MATCH(LEFT(AZ986,2),Lists!$K$2:$K$38,0)),SUMPRODUCT(--ISERROR(FIND(MID(MID(AZ986,3,10),{1,2,3,4,5,10},1),"ABCDEFGHIJKLMNOPQRSTUVWXYZ")))=0,SUMPRODUCT(--ISERROR(FIND(MID(MID(AZ986,3,10),{6,7,8,9},1),"0123456789")))=0,ISNUMBER(FIND(MID(AZ986,13,1),"123456789ABCDEFGHIJKLMNOPQRSTUVWXYZ")),MID(AZ986,14,1)="Z")),"Wrong format",IF(MID("0123456789ABCDEFGHIJKLMNOPQRSTUVWXYZ",MOD(36-MOD(SUMPRODUCT(INT((FIND(MID(AZ986,{1,2,3,4,5,6,7,8,9,10,11,12,13,14},1),"0123456789ABCDEFGHIJKLMNOPQRSTUVWXYZ")-1)*{1,2,1,2,1,2,1,2,1,2,1,2,1,2}/36)+MOD((FIND(MID(AZ986,{1,2,3,4,5,6,7,8,9,10,11,12,13,14},1),"0123456789ABCDEFGHIJKLMNOPQRSTUVWXYZ")-1)*{1,2,1,2,1,2,1,2,1,2,1,2,1,2},36)),36),36)+1,1)=MID(AZ986,15,1),"OK","Typo? check digit wrong")),"Wrong format"))</f>
        <v/>
      </c>
      <c r="AW986" s="29">
        <f>IF(BA986="","",IF(AND(LEN(BA986)=10,SUMPRODUCT(--ISERROR(FIND(MID(BA986,{1,2,3,4,5,10},1),"ABCDEFGHIJKLMNOPQRSTUVWXYZ")))=0,SUMPRODUCT(--ISERROR(FIND(MID(BA986,{6,7,8,9},1),"0123456789")))=0),"OK","Wrong format"))</f>
        <v/>
      </c>
      <c r="AX986" s="29">
        <f>IF(TRIM(H986)="","",IF(AND(LEN(UPPER(TRIM(H986)))=10,SUMPRODUCT(--ISERROR(FIND(MID(UPPER(TRIM(H986)),{1,2,3,4,10},1),"ABCDEFGHIJKLMNOPQRSTUVWXYZ")))=0,SUMPRODUCT(--ISERROR(FIND(MID(UPPER(TRIM(H986)),{5,6,7,8,9},1),"0123456789")))=0),"OK","Wrong format"))</f>
        <v/>
      </c>
      <c r="AY986" s="30">
        <f>IF(NOT(COUNTA(A986:AE986)&gt;0),"",IF(BE986&lt;&gt;"","✖ "&amp;LEFT(BE986,LEN(BE986)-2),IF(BD986&gt;0,"✔ Ready — client + "&amp;BD986&amp;" service(s)","✔ Ready — client only")))</f>
        <v/>
      </c>
      <c r="AZ986" s="31">
        <f>UPPER(SUBSTITUTE(TRIM(F986)," ",""))</f>
        <v/>
      </c>
      <c r="BA986" s="31">
        <f>UPPER(SUBSTITUTE(TRIM(E986)," ",""))</f>
        <v/>
      </c>
      <c r="BB986" s="31">
        <f>IF(D986&lt;&gt;"",D986,IFERROR(VLOOKUP(MID(AS986,4,1),Lists!$E$2:$F$8,2,FALSE),""))</f>
        <v/>
      </c>
      <c r="BC986" s="31">
        <f>IFERROR(VLOOKUP(BB986,Lists!$A$2:$C$12,3,FALSE),"")</f>
        <v/>
      </c>
      <c r="BD986" s="31">
        <f>COUNTIF(W986:AC986,"Yes")</f>
        <v/>
      </c>
      <c r="BE986" s="31">
        <f>IF(TRIM(B986)="","Legal name missing; ","")&amp;IF(AND(AV986&lt;&gt;"",AV986&lt;&gt;"OK"),"GSTIN: "&amp;AV986&amp;"; ","")&amp;IF(AND(AW986&lt;&gt;"",AW986&lt;&gt;"OK"),"PAN wrong format; ","")&amp;IF(AND(BA986&lt;&gt;"",LEN(AZ986)=15,MID(AZ986,3,10)&lt;&gt;BA986),"PAN does not match GSTIN; ","")&amp;IF(AND(AX986&lt;&gt;"",AX986&lt;&gt;"OK"),"TAN wrong format; ","")&amp;IF(AS986="","PAN missing; ","")&amp;IF(BB986="","Entity type missing; ","")&amp;IF(AND(AZ986&lt;&gt;"",COUNTIF($AZ$6:$AZ$1005,AZ986)&gt;1),"GSTIN repeated in this sheet; ","")&amp;IF(AND(AS986&lt;&gt;"",COUNTIF($AS$6:$AS$1005,AS986)&gt;1),"PAN repeated in this sheet (same client? put extra GSTINs in Other GSTINs); ","")&amp;IF(AND(BD986&gt;0,V986=""),"Financial year missing; ","")&amp;IF(AND(BD986=0,V986&lt;&gt;""),"Financial year given but no service is Yes; ","")&amp;IF(AND(W986="Yes",AZ986=""),"GST needs a GSTIN; ","")&amp;IF(AND(W986="Yes",X986=""),"GST return frequency missing; ","")&amp;IF(AND(Y986="Yes",TRIM(H986)=""),"TDS needs a TAN; ","")&amp;IF(AND(AA986="Yes",BC986&lt;&gt;"",BC986&lt;&gt;"company",BC986&lt;&gt;"llp"),"ROC is only for a company / LLP; ","")&amp;IF(AND(AA986="Yes",OR(BC986="company",BC986="llp"),TRIM(I986)=""),"ROC needs the CIN / LLPIN; ","")&amp;IF((TRIM(AF986)="")&lt;&gt;(TRIM(AG986)=""),"GST login needs both user ID and password; ","")&amp;IF((TRIM(AH986)="")&lt;&gt;(TRIM(AI986)=""),"Income-tax login needs both user ID and password; ","")&amp;IF((TRIM(AJ986)="")&lt;&gt;(TRIM(AK986)=""),"Income-tax login needs both user ID and password; ","")&amp;IF((TRIM(AL986)="")&lt;&gt;(TRIM(AM986)=""),"TRACES login needs both user ID and password; ","")&amp;IF((TRIM(AN986)="")&lt;&gt;(TRIM(AO986)=""),"MCA login needs both user ID and password; ","")&amp;IF((TRIM(AP986)="")&lt;&gt;(TRIM(AQ986)=""),"E-way bill login needs both user ID and password; ","")</f>
        <v/>
      </c>
    </row>
    <row r="987">
      <c r="A987" s="32" t="n"/>
      <c r="B987" s="33" t="n"/>
      <c r="C987" s="33" t="n"/>
      <c r="D987" s="33" t="n"/>
      <c r="E987" s="32" t="n"/>
      <c r="F987" s="32" t="n"/>
      <c r="G987" s="32" t="n"/>
      <c r="H987" s="32" t="n"/>
      <c r="I987" s="32" t="n"/>
      <c r="J987" s="34" t="n"/>
      <c r="K987" s="33" t="n"/>
      <c r="L987" s="32" t="n"/>
      <c r="M987" s="33" t="n"/>
      <c r="N987" s="33" t="n"/>
      <c r="O987" s="33" t="n"/>
      <c r="P987" s="32" t="n"/>
      <c r="Q987" s="33" t="n"/>
      <c r="R987" s="33" t="n"/>
      <c r="S987" s="33" t="n"/>
      <c r="T987" s="33" t="n"/>
      <c r="U987" s="32" t="n"/>
      <c r="V987" s="33" t="n"/>
      <c r="W987" s="33" t="n"/>
      <c r="X987" s="33" t="n"/>
      <c r="Y987" s="33" t="n"/>
      <c r="Z987" s="33" t="n"/>
      <c r="AA987" s="33" t="n"/>
      <c r="AB987" s="33" t="n"/>
      <c r="AC987" s="33" t="n"/>
      <c r="AD987" s="33" t="n"/>
      <c r="AE987" s="33" t="n"/>
      <c r="AF987" s="32" t="n"/>
      <c r="AG987" s="32" t="n"/>
      <c r="AH987" s="32" t="n"/>
      <c r="AI987" s="32" t="n"/>
      <c r="AJ987" s="32" t="n"/>
      <c r="AK987" s="32" t="n"/>
      <c r="AL987" s="32" t="n"/>
      <c r="AM987" s="32" t="n"/>
      <c r="AN987" s="32" t="n"/>
      <c r="AO987" s="32" t="n"/>
      <c r="AP987" s="32" t="n"/>
      <c r="AQ987" s="32" t="n"/>
      <c r="AR987" s="29">
        <f>IF(NOT(COUNTA(A987:AE987)&gt;0),"",IF(A987="","New client","Update"))</f>
        <v/>
      </c>
      <c r="AS987" s="29">
        <f>IF(BA987&lt;&gt;"",BA987,IF(LEN(AZ987)=15,MID(AZ987,3,10),""))</f>
        <v/>
      </c>
      <c r="AT987" s="29">
        <f>IF(BB987="","",BB987&amp;IF(D987="","  (guessed from PAN)",""))</f>
        <v/>
      </c>
      <c r="AU987" s="29">
        <f>IF(AZ987="","",IFERROR(INDEX(Lists!$L$2:$L$38,MATCH(LEFT(AZ987,2),Lists!$K$2:$K$38,0)),"Unknown code"))</f>
        <v/>
      </c>
      <c r="AV987" s="29">
        <f>IF(AZ987="","",IFERROR(IF(NOT(AND(LEN(AZ987)=15,ISNUMBER(MATCH(LEFT(AZ987,2),Lists!$K$2:$K$38,0)),SUMPRODUCT(--ISERROR(FIND(MID(MID(AZ987,3,10),{1,2,3,4,5,10},1),"ABCDEFGHIJKLMNOPQRSTUVWXYZ")))=0,SUMPRODUCT(--ISERROR(FIND(MID(MID(AZ987,3,10),{6,7,8,9},1),"0123456789")))=0,ISNUMBER(FIND(MID(AZ987,13,1),"123456789ABCDEFGHIJKLMNOPQRSTUVWXYZ")),MID(AZ987,14,1)="Z")),"Wrong format",IF(MID("0123456789ABCDEFGHIJKLMNOPQRSTUVWXYZ",MOD(36-MOD(SUMPRODUCT(INT((FIND(MID(AZ987,{1,2,3,4,5,6,7,8,9,10,11,12,13,14},1),"0123456789ABCDEFGHIJKLMNOPQRSTUVWXYZ")-1)*{1,2,1,2,1,2,1,2,1,2,1,2,1,2}/36)+MOD((FIND(MID(AZ987,{1,2,3,4,5,6,7,8,9,10,11,12,13,14},1),"0123456789ABCDEFGHIJKLMNOPQRSTUVWXYZ")-1)*{1,2,1,2,1,2,1,2,1,2,1,2,1,2},36)),36),36)+1,1)=MID(AZ987,15,1),"OK","Typo? check digit wrong")),"Wrong format"))</f>
        <v/>
      </c>
      <c r="AW987" s="29">
        <f>IF(BA987="","",IF(AND(LEN(BA987)=10,SUMPRODUCT(--ISERROR(FIND(MID(BA987,{1,2,3,4,5,10},1),"ABCDEFGHIJKLMNOPQRSTUVWXYZ")))=0,SUMPRODUCT(--ISERROR(FIND(MID(BA987,{6,7,8,9},1),"0123456789")))=0),"OK","Wrong format"))</f>
        <v/>
      </c>
      <c r="AX987" s="29">
        <f>IF(TRIM(H987)="","",IF(AND(LEN(UPPER(TRIM(H987)))=10,SUMPRODUCT(--ISERROR(FIND(MID(UPPER(TRIM(H987)),{1,2,3,4,10},1),"ABCDEFGHIJKLMNOPQRSTUVWXYZ")))=0,SUMPRODUCT(--ISERROR(FIND(MID(UPPER(TRIM(H987)),{5,6,7,8,9},1),"0123456789")))=0),"OK","Wrong format"))</f>
        <v/>
      </c>
      <c r="AY987" s="30">
        <f>IF(NOT(COUNTA(A987:AE987)&gt;0),"",IF(BE987&lt;&gt;"","✖ "&amp;LEFT(BE987,LEN(BE987)-2),IF(BD987&gt;0,"✔ Ready — client + "&amp;BD987&amp;" service(s)","✔ Ready — client only")))</f>
        <v/>
      </c>
      <c r="AZ987" s="31">
        <f>UPPER(SUBSTITUTE(TRIM(F987)," ",""))</f>
        <v/>
      </c>
      <c r="BA987" s="31">
        <f>UPPER(SUBSTITUTE(TRIM(E987)," ",""))</f>
        <v/>
      </c>
      <c r="BB987" s="31">
        <f>IF(D987&lt;&gt;"",D987,IFERROR(VLOOKUP(MID(AS987,4,1),Lists!$E$2:$F$8,2,FALSE),""))</f>
        <v/>
      </c>
      <c r="BC987" s="31">
        <f>IFERROR(VLOOKUP(BB987,Lists!$A$2:$C$12,3,FALSE),"")</f>
        <v/>
      </c>
      <c r="BD987" s="31">
        <f>COUNTIF(W987:AC987,"Yes")</f>
        <v/>
      </c>
      <c r="BE987" s="31">
        <f>IF(TRIM(B987)="","Legal name missing; ","")&amp;IF(AND(AV987&lt;&gt;"",AV987&lt;&gt;"OK"),"GSTIN: "&amp;AV987&amp;"; ","")&amp;IF(AND(AW987&lt;&gt;"",AW987&lt;&gt;"OK"),"PAN wrong format; ","")&amp;IF(AND(BA987&lt;&gt;"",LEN(AZ987)=15,MID(AZ987,3,10)&lt;&gt;BA987),"PAN does not match GSTIN; ","")&amp;IF(AND(AX987&lt;&gt;"",AX987&lt;&gt;"OK"),"TAN wrong format; ","")&amp;IF(AS987="","PAN missing; ","")&amp;IF(BB987="","Entity type missing; ","")&amp;IF(AND(AZ987&lt;&gt;"",COUNTIF($AZ$6:$AZ$1005,AZ987)&gt;1),"GSTIN repeated in this sheet; ","")&amp;IF(AND(AS987&lt;&gt;"",COUNTIF($AS$6:$AS$1005,AS987)&gt;1),"PAN repeated in this sheet (same client? put extra GSTINs in Other GSTINs); ","")&amp;IF(AND(BD987&gt;0,V987=""),"Financial year missing; ","")&amp;IF(AND(BD987=0,V987&lt;&gt;""),"Financial year given but no service is Yes; ","")&amp;IF(AND(W987="Yes",AZ987=""),"GST needs a GSTIN; ","")&amp;IF(AND(W987="Yes",X987=""),"GST return frequency missing; ","")&amp;IF(AND(Y987="Yes",TRIM(H987)=""),"TDS needs a TAN; ","")&amp;IF(AND(AA987="Yes",BC987&lt;&gt;"",BC987&lt;&gt;"company",BC987&lt;&gt;"llp"),"ROC is only for a company / LLP; ","")&amp;IF(AND(AA987="Yes",OR(BC987="company",BC987="llp"),TRIM(I987)=""),"ROC needs the CIN / LLPIN; ","")&amp;IF((TRIM(AF987)="")&lt;&gt;(TRIM(AG987)=""),"GST login needs both user ID and password; ","")&amp;IF((TRIM(AH987)="")&lt;&gt;(TRIM(AI987)=""),"Income-tax login needs both user ID and password; ","")&amp;IF((TRIM(AJ987)="")&lt;&gt;(TRIM(AK987)=""),"Income-tax login needs both user ID and password; ","")&amp;IF((TRIM(AL987)="")&lt;&gt;(TRIM(AM987)=""),"TRACES login needs both user ID and password; ","")&amp;IF((TRIM(AN987)="")&lt;&gt;(TRIM(AO987)=""),"MCA login needs both user ID and password; ","")&amp;IF((TRIM(AP987)="")&lt;&gt;(TRIM(AQ987)=""),"E-way bill login needs both user ID and password; ","")</f>
        <v/>
      </c>
    </row>
    <row r="988">
      <c r="A988" s="32" t="n"/>
      <c r="B988" s="33" t="n"/>
      <c r="C988" s="33" t="n"/>
      <c r="D988" s="33" t="n"/>
      <c r="E988" s="32" t="n"/>
      <c r="F988" s="32" t="n"/>
      <c r="G988" s="32" t="n"/>
      <c r="H988" s="32" t="n"/>
      <c r="I988" s="32" t="n"/>
      <c r="J988" s="34" t="n"/>
      <c r="K988" s="33" t="n"/>
      <c r="L988" s="32" t="n"/>
      <c r="M988" s="33" t="n"/>
      <c r="N988" s="33" t="n"/>
      <c r="O988" s="33" t="n"/>
      <c r="P988" s="32" t="n"/>
      <c r="Q988" s="33" t="n"/>
      <c r="R988" s="33" t="n"/>
      <c r="S988" s="33" t="n"/>
      <c r="T988" s="33" t="n"/>
      <c r="U988" s="32" t="n"/>
      <c r="V988" s="33" t="n"/>
      <c r="W988" s="33" t="n"/>
      <c r="X988" s="33" t="n"/>
      <c r="Y988" s="33" t="n"/>
      <c r="Z988" s="33" t="n"/>
      <c r="AA988" s="33" t="n"/>
      <c r="AB988" s="33" t="n"/>
      <c r="AC988" s="33" t="n"/>
      <c r="AD988" s="33" t="n"/>
      <c r="AE988" s="33" t="n"/>
      <c r="AF988" s="32" t="n"/>
      <c r="AG988" s="32" t="n"/>
      <c r="AH988" s="32" t="n"/>
      <c r="AI988" s="32" t="n"/>
      <c r="AJ988" s="32" t="n"/>
      <c r="AK988" s="32" t="n"/>
      <c r="AL988" s="32" t="n"/>
      <c r="AM988" s="32" t="n"/>
      <c r="AN988" s="32" t="n"/>
      <c r="AO988" s="32" t="n"/>
      <c r="AP988" s="32" t="n"/>
      <c r="AQ988" s="32" t="n"/>
      <c r="AR988" s="29">
        <f>IF(NOT(COUNTA(A988:AE988)&gt;0),"",IF(A988="","New client","Update"))</f>
        <v/>
      </c>
      <c r="AS988" s="29">
        <f>IF(BA988&lt;&gt;"",BA988,IF(LEN(AZ988)=15,MID(AZ988,3,10),""))</f>
        <v/>
      </c>
      <c r="AT988" s="29">
        <f>IF(BB988="","",BB988&amp;IF(D988="","  (guessed from PAN)",""))</f>
        <v/>
      </c>
      <c r="AU988" s="29">
        <f>IF(AZ988="","",IFERROR(INDEX(Lists!$L$2:$L$38,MATCH(LEFT(AZ988,2),Lists!$K$2:$K$38,0)),"Unknown code"))</f>
        <v/>
      </c>
      <c r="AV988" s="29">
        <f>IF(AZ988="","",IFERROR(IF(NOT(AND(LEN(AZ988)=15,ISNUMBER(MATCH(LEFT(AZ988,2),Lists!$K$2:$K$38,0)),SUMPRODUCT(--ISERROR(FIND(MID(MID(AZ988,3,10),{1,2,3,4,5,10},1),"ABCDEFGHIJKLMNOPQRSTUVWXYZ")))=0,SUMPRODUCT(--ISERROR(FIND(MID(MID(AZ988,3,10),{6,7,8,9},1),"0123456789")))=0,ISNUMBER(FIND(MID(AZ988,13,1),"123456789ABCDEFGHIJKLMNOPQRSTUVWXYZ")),MID(AZ988,14,1)="Z")),"Wrong format",IF(MID("0123456789ABCDEFGHIJKLMNOPQRSTUVWXYZ",MOD(36-MOD(SUMPRODUCT(INT((FIND(MID(AZ988,{1,2,3,4,5,6,7,8,9,10,11,12,13,14},1),"0123456789ABCDEFGHIJKLMNOPQRSTUVWXYZ")-1)*{1,2,1,2,1,2,1,2,1,2,1,2,1,2}/36)+MOD((FIND(MID(AZ988,{1,2,3,4,5,6,7,8,9,10,11,12,13,14},1),"0123456789ABCDEFGHIJKLMNOPQRSTUVWXYZ")-1)*{1,2,1,2,1,2,1,2,1,2,1,2,1,2},36)),36),36)+1,1)=MID(AZ988,15,1),"OK","Typo? check digit wrong")),"Wrong format"))</f>
        <v/>
      </c>
      <c r="AW988" s="29">
        <f>IF(BA988="","",IF(AND(LEN(BA988)=10,SUMPRODUCT(--ISERROR(FIND(MID(BA988,{1,2,3,4,5,10},1),"ABCDEFGHIJKLMNOPQRSTUVWXYZ")))=0,SUMPRODUCT(--ISERROR(FIND(MID(BA988,{6,7,8,9},1),"0123456789")))=0),"OK","Wrong format"))</f>
        <v/>
      </c>
      <c r="AX988" s="29">
        <f>IF(TRIM(H988)="","",IF(AND(LEN(UPPER(TRIM(H988)))=10,SUMPRODUCT(--ISERROR(FIND(MID(UPPER(TRIM(H988)),{1,2,3,4,10},1),"ABCDEFGHIJKLMNOPQRSTUVWXYZ")))=0,SUMPRODUCT(--ISERROR(FIND(MID(UPPER(TRIM(H988)),{5,6,7,8,9},1),"0123456789")))=0),"OK","Wrong format"))</f>
        <v/>
      </c>
      <c r="AY988" s="30">
        <f>IF(NOT(COUNTA(A988:AE988)&gt;0),"",IF(BE988&lt;&gt;"","✖ "&amp;LEFT(BE988,LEN(BE988)-2),IF(BD988&gt;0,"✔ Ready — client + "&amp;BD988&amp;" service(s)","✔ Ready — client only")))</f>
        <v/>
      </c>
      <c r="AZ988" s="31">
        <f>UPPER(SUBSTITUTE(TRIM(F988)," ",""))</f>
        <v/>
      </c>
      <c r="BA988" s="31">
        <f>UPPER(SUBSTITUTE(TRIM(E988)," ",""))</f>
        <v/>
      </c>
      <c r="BB988" s="31">
        <f>IF(D988&lt;&gt;"",D988,IFERROR(VLOOKUP(MID(AS988,4,1),Lists!$E$2:$F$8,2,FALSE),""))</f>
        <v/>
      </c>
      <c r="BC988" s="31">
        <f>IFERROR(VLOOKUP(BB988,Lists!$A$2:$C$12,3,FALSE),"")</f>
        <v/>
      </c>
      <c r="BD988" s="31">
        <f>COUNTIF(W988:AC988,"Yes")</f>
        <v/>
      </c>
      <c r="BE988" s="31">
        <f>IF(TRIM(B988)="","Legal name missing; ","")&amp;IF(AND(AV988&lt;&gt;"",AV988&lt;&gt;"OK"),"GSTIN: "&amp;AV988&amp;"; ","")&amp;IF(AND(AW988&lt;&gt;"",AW988&lt;&gt;"OK"),"PAN wrong format; ","")&amp;IF(AND(BA988&lt;&gt;"",LEN(AZ988)=15,MID(AZ988,3,10)&lt;&gt;BA988),"PAN does not match GSTIN; ","")&amp;IF(AND(AX988&lt;&gt;"",AX988&lt;&gt;"OK"),"TAN wrong format; ","")&amp;IF(AS988="","PAN missing; ","")&amp;IF(BB988="","Entity type missing; ","")&amp;IF(AND(AZ988&lt;&gt;"",COUNTIF($AZ$6:$AZ$1005,AZ988)&gt;1),"GSTIN repeated in this sheet; ","")&amp;IF(AND(AS988&lt;&gt;"",COUNTIF($AS$6:$AS$1005,AS988)&gt;1),"PAN repeated in this sheet (same client? put extra GSTINs in Other GSTINs); ","")&amp;IF(AND(BD988&gt;0,V988=""),"Financial year missing; ","")&amp;IF(AND(BD988=0,V988&lt;&gt;""),"Financial year given but no service is Yes; ","")&amp;IF(AND(W988="Yes",AZ988=""),"GST needs a GSTIN; ","")&amp;IF(AND(W988="Yes",X988=""),"GST return frequency missing; ","")&amp;IF(AND(Y988="Yes",TRIM(H988)=""),"TDS needs a TAN; ","")&amp;IF(AND(AA988="Yes",BC988&lt;&gt;"",BC988&lt;&gt;"company",BC988&lt;&gt;"llp"),"ROC is only for a company / LLP; ","")&amp;IF(AND(AA988="Yes",OR(BC988="company",BC988="llp"),TRIM(I988)=""),"ROC needs the CIN / LLPIN; ","")&amp;IF((TRIM(AF988)="")&lt;&gt;(TRIM(AG988)=""),"GST login needs both user ID and password; ","")&amp;IF((TRIM(AH988)="")&lt;&gt;(TRIM(AI988)=""),"Income-tax login needs both user ID and password; ","")&amp;IF((TRIM(AJ988)="")&lt;&gt;(TRIM(AK988)=""),"Income-tax login needs both user ID and password; ","")&amp;IF((TRIM(AL988)="")&lt;&gt;(TRIM(AM988)=""),"TRACES login needs both user ID and password; ","")&amp;IF((TRIM(AN988)="")&lt;&gt;(TRIM(AO988)=""),"MCA login needs both user ID and password; ","")&amp;IF((TRIM(AP988)="")&lt;&gt;(TRIM(AQ988)=""),"E-way bill login needs both user ID and password; ","")</f>
        <v/>
      </c>
    </row>
    <row r="989">
      <c r="A989" s="32" t="n"/>
      <c r="B989" s="33" t="n"/>
      <c r="C989" s="33" t="n"/>
      <c r="D989" s="33" t="n"/>
      <c r="E989" s="32" t="n"/>
      <c r="F989" s="32" t="n"/>
      <c r="G989" s="32" t="n"/>
      <c r="H989" s="32" t="n"/>
      <c r="I989" s="32" t="n"/>
      <c r="J989" s="34" t="n"/>
      <c r="K989" s="33" t="n"/>
      <c r="L989" s="32" t="n"/>
      <c r="M989" s="33" t="n"/>
      <c r="N989" s="33" t="n"/>
      <c r="O989" s="33" t="n"/>
      <c r="P989" s="32" t="n"/>
      <c r="Q989" s="33" t="n"/>
      <c r="R989" s="33" t="n"/>
      <c r="S989" s="33" t="n"/>
      <c r="T989" s="33" t="n"/>
      <c r="U989" s="32" t="n"/>
      <c r="V989" s="33" t="n"/>
      <c r="W989" s="33" t="n"/>
      <c r="X989" s="33" t="n"/>
      <c r="Y989" s="33" t="n"/>
      <c r="Z989" s="33" t="n"/>
      <c r="AA989" s="33" t="n"/>
      <c r="AB989" s="33" t="n"/>
      <c r="AC989" s="33" t="n"/>
      <c r="AD989" s="33" t="n"/>
      <c r="AE989" s="33" t="n"/>
      <c r="AF989" s="32" t="n"/>
      <c r="AG989" s="32" t="n"/>
      <c r="AH989" s="32" t="n"/>
      <c r="AI989" s="32" t="n"/>
      <c r="AJ989" s="32" t="n"/>
      <c r="AK989" s="32" t="n"/>
      <c r="AL989" s="32" t="n"/>
      <c r="AM989" s="32" t="n"/>
      <c r="AN989" s="32" t="n"/>
      <c r="AO989" s="32" t="n"/>
      <c r="AP989" s="32" t="n"/>
      <c r="AQ989" s="32" t="n"/>
      <c r="AR989" s="29">
        <f>IF(NOT(COUNTA(A989:AE989)&gt;0),"",IF(A989="","New client","Update"))</f>
        <v/>
      </c>
      <c r="AS989" s="29">
        <f>IF(BA989&lt;&gt;"",BA989,IF(LEN(AZ989)=15,MID(AZ989,3,10),""))</f>
        <v/>
      </c>
      <c r="AT989" s="29">
        <f>IF(BB989="","",BB989&amp;IF(D989="","  (guessed from PAN)",""))</f>
        <v/>
      </c>
      <c r="AU989" s="29">
        <f>IF(AZ989="","",IFERROR(INDEX(Lists!$L$2:$L$38,MATCH(LEFT(AZ989,2),Lists!$K$2:$K$38,0)),"Unknown code"))</f>
        <v/>
      </c>
      <c r="AV989" s="29">
        <f>IF(AZ989="","",IFERROR(IF(NOT(AND(LEN(AZ989)=15,ISNUMBER(MATCH(LEFT(AZ989,2),Lists!$K$2:$K$38,0)),SUMPRODUCT(--ISERROR(FIND(MID(MID(AZ989,3,10),{1,2,3,4,5,10},1),"ABCDEFGHIJKLMNOPQRSTUVWXYZ")))=0,SUMPRODUCT(--ISERROR(FIND(MID(MID(AZ989,3,10),{6,7,8,9},1),"0123456789")))=0,ISNUMBER(FIND(MID(AZ989,13,1),"123456789ABCDEFGHIJKLMNOPQRSTUVWXYZ")),MID(AZ989,14,1)="Z")),"Wrong format",IF(MID("0123456789ABCDEFGHIJKLMNOPQRSTUVWXYZ",MOD(36-MOD(SUMPRODUCT(INT((FIND(MID(AZ989,{1,2,3,4,5,6,7,8,9,10,11,12,13,14},1),"0123456789ABCDEFGHIJKLMNOPQRSTUVWXYZ")-1)*{1,2,1,2,1,2,1,2,1,2,1,2,1,2}/36)+MOD((FIND(MID(AZ989,{1,2,3,4,5,6,7,8,9,10,11,12,13,14},1),"0123456789ABCDEFGHIJKLMNOPQRSTUVWXYZ")-1)*{1,2,1,2,1,2,1,2,1,2,1,2,1,2},36)),36),36)+1,1)=MID(AZ989,15,1),"OK","Typo? check digit wrong")),"Wrong format"))</f>
        <v/>
      </c>
      <c r="AW989" s="29">
        <f>IF(BA989="","",IF(AND(LEN(BA989)=10,SUMPRODUCT(--ISERROR(FIND(MID(BA989,{1,2,3,4,5,10},1),"ABCDEFGHIJKLMNOPQRSTUVWXYZ")))=0,SUMPRODUCT(--ISERROR(FIND(MID(BA989,{6,7,8,9},1),"0123456789")))=0),"OK","Wrong format"))</f>
        <v/>
      </c>
      <c r="AX989" s="29">
        <f>IF(TRIM(H989)="","",IF(AND(LEN(UPPER(TRIM(H989)))=10,SUMPRODUCT(--ISERROR(FIND(MID(UPPER(TRIM(H989)),{1,2,3,4,10},1),"ABCDEFGHIJKLMNOPQRSTUVWXYZ")))=0,SUMPRODUCT(--ISERROR(FIND(MID(UPPER(TRIM(H989)),{5,6,7,8,9},1),"0123456789")))=0),"OK","Wrong format"))</f>
        <v/>
      </c>
      <c r="AY989" s="30">
        <f>IF(NOT(COUNTA(A989:AE989)&gt;0),"",IF(BE989&lt;&gt;"","✖ "&amp;LEFT(BE989,LEN(BE989)-2),IF(BD989&gt;0,"✔ Ready — client + "&amp;BD989&amp;" service(s)","✔ Ready — client only")))</f>
        <v/>
      </c>
      <c r="AZ989" s="31">
        <f>UPPER(SUBSTITUTE(TRIM(F989)," ",""))</f>
        <v/>
      </c>
      <c r="BA989" s="31">
        <f>UPPER(SUBSTITUTE(TRIM(E989)," ",""))</f>
        <v/>
      </c>
      <c r="BB989" s="31">
        <f>IF(D989&lt;&gt;"",D989,IFERROR(VLOOKUP(MID(AS989,4,1),Lists!$E$2:$F$8,2,FALSE),""))</f>
        <v/>
      </c>
      <c r="BC989" s="31">
        <f>IFERROR(VLOOKUP(BB989,Lists!$A$2:$C$12,3,FALSE),"")</f>
        <v/>
      </c>
      <c r="BD989" s="31">
        <f>COUNTIF(W989:AC989,"Yes")</f>
        <v/>
      </c>
      <c r="BE989" s="31">
        <f>IF(TRIM(B989)="","Legal name missing; ","")&amp;IF(AND(AV989&lt;&gt;"",AV989&lt;&gt;"OK"),"GSTIN: "&amp;AV989&amp;"; ","")&amp;IF(AND(AW989&lt;&gt;"",AW989&lt;&gt;"OK"),"PAN wrong format; ","")&amp;IF(AND(BA989&lt;&gt;"",LEN(AZ989)=15,MID(AZ989,3,10)&lt;&gt;BA989),"PAN does not match GSTIN; ","")&amp;IF(AND(AX989&lt;&gt;"",AX989&lt;&gt;"OK"),"TAN wrong format; ","")&amp;IF(AS989="","PAN missing; ","")&amp;IF(BB989="","Entity type missing; ","")&amp;IF(AND(AZ989&lt;&gt;"",COUNTIF($AZ$6:$AZ$1005,AZ989)&gt;1),"GSTIN repeated in this sheet; ","")&amp;IF(AND(AS989&lt;&gt;"",COUNTIF($AS$6:$AS$1005,AS989)&gt;1),"PAN repeated in this sheet (same client? put extra GSTINs in Other GSTINs); ","")&amp;IF(AND(BD989&gt;0,V989=""),"Financial year missing; ","")&amp;IF(AND(BD989=0,V989&lt;&gt;""),"Financial year given but no service is Yes; ","")&amp;IF(AND(W989="Yes",AZ989=""),"GST needs a GSTIN; ","")&amp;IF(AND(W989="Yes",X989=""),"GST return frequency missing; ","")&amp;IF(AND(Y989="Yes",TRIM(H989)=""),"TDS needs a TAN; ","")&amp;IF(AND(AA989="Yes",BC989&lt;&gt;"",BC989&lt;&gt;"company",BC989&lt;&gt;"llp"),"ROC is only for a company / LLP; ","")&amp;IF(AND(AA989="Yes",OR(BC989="company",BC989="llp"),TRIM(I989)=""),"ROC needs the CIN / LLPIN; ","")&amp;IF((TRIM(AF989)="")&lt;&gt;(TRIM(AG989)=""),"GST login needs both user ID and password; ","")&amp;IF((TRIM(AH989)="")&lt;&gt;(TRIM(AI989)=""),"Income-tax login needs both user ID and password; ","")&amp;IF((TRIM(AJ989)="")&lt;&gt;(TRIM(AK989)=""),"Income-tax login needs both user ID and password; ","")&amp;IF((TRIM(AL989)="")&lt;&gt;(TRIM(AM989)=""),"TRACES login needs both user ID and password; ","")&amp;IF((TRIM(AN989)="")&lt;&gt;(TRIM(AO989)=""),"MCA login needs both user ID and password; ","")&amp;IF((TRIM(AP989)="")&lt;&gt;(TRIM(AQ989)=""),"E-way bill login needs both user ID and password; ","")</f>
        <v/>
      </c>
    </row>
    <row r="990">
      <c r="A990" s="32" t="n"/>
      <c r="B990" s="33" t="n"/>
      <c r="C990" s="33" t="n"/>
      <c r="D990" s="33" t="n"/>
      <c r="E990" s="32" t="n"/>
      <c r="F990" s="32" t="n"/>
      <c r="G990" s="32" t="n"/>
      <c r="H990" s="32" t="n"/>
      <c r="I990" s="32" t="n"/>
      <c r="J990" s="34" t="n"/>
      <c r="K990" s="33" t="n"/>
      <c r="L990" s="32" t="n"/>
      <c r="M990" s="33" t="n"/>
      <c r="N990" s="33" t="n"/>
      <c r="O990" s="33" t="n"/>
      <c r="P990" s="32" t="n"/>
      <c r="Q990" s="33" t="n"/>
      <c r="R990" s="33" t="n"/>
      <c r="S990" s="33" t="n"/>
      <c r="T990" s="33" t="n"/>
      <c r="U990" s="32" t="n"/>
      <c r="V990" s="33" t="n"/>
      <c r="W990" s="33" t="n"/>
      <c r="X990" s="33" t="n"/>
      <c r="Y990" s="33" t="n"/>
      <c r="Z990" s="33" t="n"/>
      <c r="AA990" s="33" t="n"/>
      <c r="AB990" s="33" t="n"/>
      <c r="AC990" s="33" t="n"/>
      <c r="AD990" s="33" t="n"/>
      <c r="AE990" s="33" t="n"/>
      <c r="AF990" s="32" t="n"/>
      <c r="AG990" s="32" t="n"/>
      <c r="AH990" s="32" t="n"/>
      <c r="AI990" s="32" t="n"/>
      <c r="AJ990" s="32" t="n"/>
      <c r="AK990" s="32" t="n"/>
      <c r="AL990" s="32" t="n"/>
      <c r="AM990" s="32" t="n"/>
      <c r="AN990" s="32" t="n"/>
      <c r="AO990" s="32" t="n"/>
      <c r="AP990" s="32" t="n"/>
      <c r="AQ990" s="32" t="n"/>
      <c r="AR990" s="29">
        <f>IF(NOT(COUNTA(A990:AE990)&gt;0),"",IF(A990="","New client","Update"))</f>
        <v/>
      </c>
      <c r="AS990" s="29">
        <f>IF(BA990&lt;&gt;"",BA990,IF(LEN(AZ990)=15,MID(AZ990,3,10),""))</f>
        <v/>
      </c>
      <c r="AT990" s="29">
        <f>IF(BB990="","",BB990&amp;IF(D990="","  (guessed from PAN)",""))</f>
        <v/>
      </c>
      <c r="AU990" s="29">
        <f>IF(AZ990="","",IFERROR(INDEX(Lists!$L$2:$L$38,MATCH(LEFT(AZ990,2),Lists!$K$2:$K$38,0)),"Unknown code"))</f>
        <v/>
      </c>
      <c r="AV990" s="29">
        <f>IF(AZ990="","",IFERROR(IF(NOT(AND(LEN(AZ990)=15,ISNUMBER(MATCH(LEFT(AZ990,2),Lists!$K$2:$K$38,0)),SUMPRODUCT(--ISERROR(FIND(MID(MID(AZ990,3,10),{1,2,3,4,5,10},1),"ABCDEFGHIJKLMNOPQRSTUVWXYZ")))=0,SUMPRODUCT(--ISERROR(FIND(MID(MID(AZ990,3,10),{6,7,8,9},1),"0123456789")))=0,ISNUMBER(FIND(MID(AZ990,13,1),"123456789ABCDEFGHIJKLMNOPQRSTUVWXYZ")),MID(AZ990,14,1)="Z")),"Wrong format",IF(MID("0123456789ABCDEFGHIJKLMNOPQRSTUVWXYZ",MOD(36-MOD(SUMPRODUCT(INT((FIND(MID(AZ990,{1,2,3,4,5,6,7,8,9,10,11,12,13,14},1),"0123456789ABCDEFGHIJKLMNOPQRSTUVWXYZ")-1)*{1,2,1,2,1,2,1,2,1,2,1,2,1,2}/36)+MOD((FIND(MID(AZ990,{1,2,3,4,5,6,7,8,9,10,11,12,13,14},1),"0123456789ABCDEFGHIJKLMNOPQRSTUVWXYZ")-1)*{1,2,1,2,1,2,1,2,1,2,1,2,1,2},36)),36),36)+1,1)=MID(AZ990,15,1),"OK","Typo? check digit wrong")),"Wrong format"))</f>
        <v/>
      </c>
      <c r="AW990" s="29">
        <f>IF(BA990="","",IF(AND(LEN(BA990)=10,SUMPRODUCT(--ISERROR(FIND(MID(BA990,{1,2,3,4,5,10},1),"ABCDEFGHIJKLMNOPQRSTUVWXYZ")))=0,SUMPRODUCT(--ISERROR(FIND(MID(BA990,{6,7,8,9},1),"0123456789")))=0),"OK","Wrong format"))</f>
        <v/>
      </c>
      <c r="AX990" s="29">
        <f>IF(TRIM(H990)="","",IF(AND(LEN(UPPER(TRIM(H990)))=10,SUMPRODUCT(--ISERROR(FIND(MID(UPPER(TRIM(H990)),{1,2,3,4,10},1),"ABCDEFGHIJKLMNOPQRSTUVWXYZ")))=0,SUMPRODUCT(--ISERROR(FIND(MID(UPPER(TRIM(H990)),{5,6,7,8,9},1),"0123456789")))=0),"OK","Wrong format"))</f>
        <v/>
      </c>
      <c r="AY990" s="30">
        <f>IF(NOT(COUNTA(A990:AE990)&gt;0),"",IF(BE990&lt;&gt;"","✖ "&amp;LEFT(BE990,LEN(BE990)-2),IF(BD990&gt;0,"✔ Ready — client + "&amp;BD990&amp;" service(s)","✔ Ready — client only")))</f>
        <v/>
      </c>
      <c r="AZ990" s="31">
        <f>UPPER(SUBSTITUTE(TRIM(F990)," ",""))</f>
        <v/>
      </c>
      <c r="BA990" s="31">
        <f>UPPER(SUBSTITUTE(TRIM(E990)," ",""))</f>
        <v/>
      </c>
      <c r="BB990" s="31">
        <f>IF(D990&lt;&gt;"",D990,IFERROR(VLOOKUP(MID(AS990,4,1),Lists!$E$2:$F$8,2,FALSE),""))</f>
        <v/>
      </c>
      <c r="BC990" s="31">
        <f>IFERROR(VLOOKUP(BB990,Lists!$A$2:$C$12,3,FALSE),"")</f>
        <v/>
      </c>
      <c r="BD990" s="31">
        <f>COUNTIF(W990:AC990,"Yes")</f>
        <v/>
      </c>
      <c r="BE990" s="31">
        <f>IF(TRIM(B990)="","Legal name missing; ","")&amp;IF(AND(AV990&lt;&gt;"",AV990&lt;&gt;"OK"),"GSTIN: "&amp;AV990&amp;"; ","")&amp;IF(AND(AW990&lt;&gt;"",AW990&lt;&gt;"OK"),"PAN wrong format; ","")&amp;IF(AND(BA990&lt;&gt;"",LEN(AZ990)=15,MID(AZ990,3,10)&lt;&gt;BA990),"PAN does not match GSTIN; ","")&amp;IF(AND(AX990&lt;&gt;"",AX990&lt;&gt;"OK"),"TAN wrong format; ","")&amp;IF(AS990="","PAN missing; ","")&amp;IF(BB990="","Entity type missing; ","")&amp;IF(AND(AZ990&lt;&gt;"",COUNTIF($AZ$6:$AZ$1005,AZ990)&gt;1),"GSTIN repeated in this sheet; ","")&amp;IF(AND(AS990&lt;&gt;"",COUNTIF($AS$6:$AS$1005,AS990)&gt;1),"PAN repeated in this sheet (same client? put extra GSTINs in Other GSTINs); ","")&amp;IF(AND(BD990&gt;0,V990=""),"Financial year missing; ","")&amp;IF(AND(BD990=0,V990&lt;&gt;""),"Financial year given but no service is Yes; ","")&amp;IF(AND(W990="Yes",AZ990=""),"GST needs a GSTIN; ","")&amp;IF(AND(W990="Yes",X990=""),"GST return frequency missing; ","")&amp;IF(AND(Y990="Yes",TRIM(H990)=""),"TDS needs a TAN; ","")&amp;IF(AND(AA990="Yes",BC990&lt;&gt;"",BC990&lt;&gt;"company",BC990&lt;&gt;"llp"),"ROC is only for a company / LLP; ","")&amp;IF(AND(AA990="Yes",OR(BC990="company",BC990="llp"),TRIM(I990)=""),"ROC needs the CIN / LLPIN; ","")&amp;IF((TRIM(AF990)="")&lt;&gt;(TRIM(AG990)=""),"GST login needs both user ID and password; ","")&amp;IF((TRIM(AH990)="")&lt;&gt;(TRIM(AI990)=""),"Income-tax login needs both user ID and password; ","")&amp;IF((TRIM(AJ990)="")&lt;&gt;(TRIM(AK990)=""),"Income-tax login needs both user ID and password; ","")&amp;IF((TRIM(AL990)="")&lt;&gt;(TRIM(AM990)=""),"TRACES login needs both user ID and password; ","")&amp;IF((TRIM(AN990)="")&lt;&gt;(TRIM(AO990)=""),"MCA login needs both user ID and password; ","")&amp;IF((TRIM(AP990)="")&lt;&gt;(TRIM(AQ990)=""),"E-way bill login needs both user ID and password; ","")</f>
        <v/>
      </c>
    </row>
    <row r="991">
      <c r="A991" s="32" t="n"/>
      <c r="B991" s="33" t="n"/>
      <c r="C991" s="33" t="n"/>
      <c r="D991" s="33" t="n"/>
      <c r="E991" s="32" t="n"/>
      <c r="F991" s="32" t="n"/>
      <c r="G991" s="32" t="n"/>
      <c r="H991" s="32" t="n"/>
      <c r="I991" s="32" t="n"/>
      <c r="J991" s="34" t="n"/>
      <c r="K991" s="33" t="n"/>
      <c r="L991" s="32" t="n"/>
      <c r="M991" s="33" t="n"/>
      <c r="N991" s="33" t="n"/>
      <c r="O991" s="33" t="n"/>
      <c r="P991" s="32" t="n"/>
      <c r="Q991" s="33" t="n"/>
      <c r="R991" s="33" t="n"/>
      <c r="S991" s="33" t="n"/>
      <c r="T991" s="33" t="n"/>
      <c r="U991" s="32" t="n"/>
      <c r="V991" s="33" t="n"/>
      <c r="W991" s="33" t="n"/>
      <c r="X991" s="33" t="n"/>
      <c r="Y991" s="33" t="n"/>
      <c r="Z991" s="33" t="n"/>
      <c r="AA991" s="33" t="n"/>
      <c r="AB991" s="33" t="n"/>
      <c r="AC991" s="33" t="n"/>
      <c r="AD991" s="33" t="n"/>
      <c r="AE991" s="33" t="n"/>
      <c r="AF991" s="32" t="n"/>
      <c r="AG991" s="32" t="n"/>
      <c r="AH991" s="32" t="n"/>
      <c r="AI991" s="32" t="n"/>
      <c r="AJ991" s="32" t="n"/>
      <c r="AK991" s="32" t="n"/>
      <c r="AL991" s="32" t="n"/>
      <c r="AM991" s="32" t="n"/>
      <c r="AN991" s="32" t="n"/>
      <c r="AO991" s="32" t="n"/>
      <c r="AP991" s="32" t="n"/>
      <c r="AQ991" s="32" t="n"/>
      <c r="AR991" s="29">
        <f>IF(NOT(COUNTA(A991:AE991)&gt;0),"",IF(A991="","New client","Update"))</f>
        <v/>
      </c>
      <c r="AS991" s="29">
        <f>IF(BA991&lt;&gt;"",BA991,IF(LEN(AZ991)=15,MID(AZ991,3,10),""))</f>
        <v/>
      </c>
      <c r="AT991" s="29">
        <f>IF(BB991="","",BB991&amp;IF(D991="","  (guessed from PAN)",""))</f>
        <v/>
      </c>
      <c r="AU991" s="29">
        <f>IF(AZ991="","",IFERROR(INDEX(Lists!$L$2:$L$38,MATCH(LEFT(AZ991,2),Lists!$K$2:$K$38,0)),"Unknown code"))</f>
        <v/>
      </c>
      <c r="AV991" s="29">
        <f>IF(AZ991="","",IFERROR(IF(NOT(AND(LEN(AZ991)=15,ISNUMBER(MATCH(LEFT(AZ991,2),Lists!$K$2:$K$38,0)),SUMPRODUCT(--ISERROR(FIND(MID(MID(AZ991,3,10),{1,2,3,4,5,10},1),"ABCDEFGHIJKLMNOPQRSTUVWXYZ")))=0,SUMPRODUCT(--ISERROR(FIND(MID(MID(AZ991,3,10),{6,7,8,9},1),"0123456789")))=0,ISNUMBER(FIND(MID(AZ991,13,1),"123456789ABCDEFGHIJKLMNOPQRSTUVWXYZ")),MID(AZ991,14,1)="Z")),"Wrong format",IF(MID("0123456789ABCDEFGHIJKLMNOPQRSTUVWXYZ",MOD(36-MOD(SUMPRODUCT(INT((FIND(MID(AZ991,{1,2,3,4,5,6,7,8,9,10,11,12,13,14},1),"0123456789ABCDEFGHIJKLMNOPQRSTUVWXYZ")-1)*{1,2,1,2,1,2,1,2,1,2,1,2,1,2}/36)+MOD((FIND(MID(AZ991,{1,2,3,4,5,6,7,8,9,10,11,12,13,14},1),"0123456789ABCDEFGHIJKLMNOPQRSTUVWXYZ")-1)*{1,2,1,2,1,2,1,2,1,2,1,2,1,2},36)),36),36)+1,1)=MID(AZ991,15,1),"OK","Typo? check digit wrong")),"Wrong format"))</f>
        <v/>
      </c>
      <c r="AW991" s="29">
        <f>IF(BA991="","",IF(AND(LEN(BA991)=10,SUMPRODUCT(--ISERROR(FIND(MID(BA991,{1,2,3,4,5,10},1),"ABCDEFGHIJKLMNOPQRSTUVWXYZ")))=0,SUMPRODUCT(--ISERROR(FIND(MID(BA991,{6,7,8,9},1),"0123456789")))=0),"OK","Wrong format"))</f>
        <v/>
      </c>
      <c r="AX991" s="29">
        <f>IF(TRIM(H991)="","",IF(AND(LEN(UPPER(TRIM(H991)))=10,SUMPRODUCT(--ISERROR(FIND(MID(UPPER(TRIM(H991)),{1,2,3,4,10},1),"ABCDEFGHIJKLMNOPQRSTUVWXYZ")))=0,SUMPRODUCT(--ISERROR(FIND(MID(UPPER(TRIM(H991)),{5,6,7,8,9},1),"0123456789")))=0),"OK","Wrong format"))</f>
        <v/>
      </c>
      <c r="AY991" s="30">
        <f>IF(NOT(COUNTA(A991:AE991)&gt;0),"",IF(BE991&lt;&gt;"","✖ "&amp;LEFT(BE991,LEN(BE991)-2),IF(BD991&gt;0,"✔ Ready — client + "&amp;BD991&amp;" service(s)","✔ Ready — client only")))</f>
        <v/>
      </c>
      <c r="AZ991" s="31">
        <f>UPPER(SUBSTITUTE(TRIM(F991)," ",""))</f>
        <v/>
      </c>
      <c r="BA991" s="31">
        <f>UPPER(SUBSTITUTE(TRIM(E991)," ",""))</f>
        <v/>
      </c>
      <c r="BB991" s="31">
        <f>IF(D991&lt;&gt;"",D991,IFERROR(VLOOKUP(MID(AS991,4,1),Lists!$E$2:$F$8,2,FALSE),""))</f>
        <v/>
      </c>
      <c r="BC991" s="31">
        <f>IFERROR(VLOOKUP(BB991,Lists!$A$2:$C$12,3,FALSE),"")</f>
        <v/>
      </c>
      <c r="BD991" s="31">
        <f>COUNTIF(W991:AC991,"Yes")</f>
        <v/>
      </c>
      <c r="BE991" s="31">
        <f>IF(TRIM(B991)="","Legal name missing; ","")&amp;IF(AND(AV991&lt;&gt;"",AV991&lt;&gt;"OK"),"GSTIN: "&amp;AV991&amp;"; ","")&amp;IF(AND(AW991&lt;&gt;"",AW991&lt;&gt;"OK"),"PAN wrong format; ","")&amp;IF(AND(BA991&lt;&gt;"",LEN(AZ991)=15,MID(AZ991,3,10)&lt;&gt;BA991),"PAN does not match GSTIN; ","")&amp;IF(AND(AX991&lt;&gt;"",AX991&lt;&gt;"OK"),"TAN wrong format; ","")&amp;IF(AS991="","PAN missing; ","")&amp;IF(BB991="","Entity type missing; ","")&amp;IF(AND(AZ991&lt;&gt;"",COUNTIF($AZ$6:$AZ$1005,AZ991)&gt;1),"GSTIN repeated in this sheet; ","")&amp;IF(AND(AS991&lt;&gt;"",COUNTIF($AS$6:$AS$1005,AS991)&gt;1),"PAN repeated in this sheet (same client? put extra GSTINs in Other GSTINs); ","")&amp;IF(AND(BD991&gt;0,V991=""),"Financial year missing; ","")&amp;IF(AND(BD991=0,V991&lt;&gt;""),"Financial year given but no service is Yes; ","")&amp;IF(AND(W991="Yes",AZ991=""),"GST needs a GSTIN; ","")&amp;IF(AND(W991="Yes",X991=""),"GST return frequency missing; ","")&amp;IF(AND(Y991="Yes",TRIM(H991)=""),"TDS needs a TAN; ","")&amp;IF(AND(AA991="Yes",BC991&lt;&gt;"",BC991&lt;&gt;"company",BC991&lt;&gt;"llp"),"ROC is only for a company / LLP; ","")&amp;IF(AND(AA991="Yes",OR(BC991="company",BC991="llp"),TRIM(I991)=""),"ROC needs the CIN / LLPIN; ","")&amp;IF((TRIM(AF991)="")&lt;&gt;(TRIM(AG991)=""),"GST login needs both user ID and password; ","")&amp;IF((TRIM(AH991)="")&lt;&gt;(TRIM(AI991)=""),"Income-tax login needs both user ID and password; ","")&amp;IF((TRIM(AJ991)="")&lt;&gt;(TRIM(AK991)=""),"Income-tax login needs both user ID and password; ","")&amp;IF((TRIM(AL991)="")&lt;&gt;(TRIM(AM991)=""),"TRACES login needs both user ID and password; ","")&amp;IF((TRIM(AN991)="")&lt;&gt;(TRIM(AO991)=""),"MCA login needs both user ID and password; ","")&amp;IF((TRIM(AP991)="")&lt;&gt;(TRIM(AQ991)=""),"E-way bill login needs both user ID and password; ","")</f>
        <v/>
      </c>
    </row>
    <row r="992">
      <c r="A992" s="32" t="n"/>
      <c r="B992" s="33" t="n"/>
      <c r="C992" s="33" t="n"/>
      <c r="D992" s="33" t="n"/>
      <c r="E992" s="32" t="n"/>
      <c r="F992" s="32" t="n"/>
      <c r="G992" s="32" t="n"/>
      <c r="H992" s="32" t="n"/>
      <c r="I992" s="32" t="n"/>
      <c r="J992" s="34" t="n"/>
      <c r="K992" s="33" t="n"/>
      <c r="L992" s="32" t="n"/>
      <c r="M992" s="33" t="n"/>
      <c r="N992" s="33" t="n"/>
      <c r="O992" s="33" t="n"/>
      <c r="P992" s="32" t="n"/>
      <c r="Q992" s="33" t="n"/>
      <c r="R992" s="33" t="n"/>
      <c r="S992" s="33" t="n"/>
      <c r="T992" s="33" t="n"/>
      <c r="U992" s="32" t="n"/>
      <c r="V992" s="33" t="n"/>
      <c r="W992" s="33" t="n"/>
      <c r="X992" s="33" t="n"/>
      <c r="Y992" s="33" t="n"/>
      <c r="Z992" s="33" t="n"/>
      <c r="AA992" s="33" t="n"/>
      <c r="AB992" s="33" t="n"/>
      <c r="AC992" s="33" t="n"/>
      <c r="AD992" s="33" t="n"/>
      <c r="AE992" s="33" t="n"/>
      <c r="AF992" s="32" t="n"/>
      <c r="AG992" s="32" t="n"/>
      <c r="AH992" s="32" t="n"/>
      <c r="AI992" s="32" t="n"/>
      <c r="AJ992" s="32" t="n"/>
      <c r="AK992" s="32" t="n"/>
      <c r="AL992" s="32" t="n"/>
      <c r="AM992" s="32" t="n"/>
      <c r="AN992" s="32" t="n"/>
      <c r="AO992" s="32" t="n"/>
      <c r="AP992" s="32" t="n"/>
      <c r="AQ992" s="32" t="n"/>
      <c r="AR992" s="29">
        <f>IF(NOT(COUNTA(A992:AE992)&gt;0),"",IF(A992="","New client","Update"))</f>
        <v/>
      </c>
      <c r="AS992" s="29">
        <f>IF(BA992&lt;&gt;"",BA992,IF(LEN(AZ992)=15,MID(AZ992,3,10),""))</f>
        <v/>
      </c>
      <c r="AT992" s="29">
        <f>IF(BB992="","",BB992&amp;IF(D992="","  (guessed from PAN)",""))</f>
        <v/>
      </c>
      <c r="AU992" s="29">
        <f>IF(AZ992="","",IFERROR(INDEX(Lists!$L$2:$L$38,MATCH(LEFT(AZ992,2),Lists!$K$2:$K$38,0)),"Unknown code"))</f>
        <v/>
      </c>
      <c r="AV992" s="29">
        <f>IF(AZ992="","",IFERROR(IF(NOT(AND(LEN(AZ992)=15,ISNUMBER(MATCH(LEFT(AZ992,2),Lists!$K$2:$K$38,0)),SUMPRODUCT(--ISERROR(FIND(MID(MID(AZ992,3,10),{1,2,3,4,5,10},1),"ABCDEFGHIJKLMNOPQRSTUVWXYZ")))=0,SUMPRODUCT(--ISERROR(FIND(MID(MID(AZ992,3,10),{6,7,8,9},1),"0123456789")))=0,ISNUMBER(FIND(MID(AZ992,13,1),"123456789ABCDEFGHIJKLMNOPQRSTUVWXYZ")),MID(AZ992,14,1)="Z")),"Wrong format",IF(MID("0123456789ABCDEFGHIJKLMNOPQRSTUVWXYZ",MOD(36-MOD(SUMPRODUCT(INT((FIND(MID(AZ992,{1,2,3,4,5,6,7,8,9,10,11,12,13,14},1),"0123456789ABCDEFGHIJKLMNOPQRSTUVWXYZ")-1)*{1,2,1,2,1,2,1,2,1,2,1,2,1,2}/36)+MOD((FIND(MID(AZ992,{1,2,3,4,5,6,7,8,9,10,11,12,13,14},1),"0123456789ABCDEFGHIJKLMNOPQRSTUVWXYZ")-1)*{1,2,1,2,1,2,1,2,1,2,1,2,1,2},36)),36),36)+1,1)=MID(AZ992,15,1),"OK","Typo? check digit wrong")),"Wrong format"))</f>
        <v/>
      </c>
      <c r="AW992" s="29">
        <f>IF(BA992="","",IF(AND(LEN(BA992)=10,SUMPRODUCT(--ISERROR(FIND(MID(BA992,{1,2,3,4,5,10},1),"ABCDEFGHIJKLMNOPQRSTUVWXYZ")))=0,SUMPRODUCT(--ISERROR(FIND(MID(BA992,{6,7,8,9},1),"0123456789")))=0),"OK","Wrong format"))</f>
        <v/>
      </c>
      <c r="AX992" s="29">
        <f>IF(TRIM(H992)="","",IF(AND(LEN(UPPER(TRIM(H992)))=10,SUMPRODUCT(--ISERROR(FIND(MID(UPPER(TRIM(H992)),{1,2,3,4,10},1),"ABCDEFGHIJKLMNOPQRSTUVWXYZ")))=0,SUMPRODUCT(--ISERROR(FIND(MID(UPPER(TRIM(H992)),{5,6,7,8,9},1),"0123456789")))=0),"OK","Wrong format"))</f>
        <v/>
      </c>
      <c r="AY992" s="30">
        <f>IF(NOT(COUNTA(A992:AE992)&gt;0),"",IF(BE992&lt;&gt;"","✖ "&amp;LEFT(BE992,LEN(BE992)-2),IF(BD992&gt;0,"✔ Ready — client + "&amp;BD992&amp;" service(s)","✔ Ready — client only")))</f>
        <v/>
      </c>
      <c r="AZ992" s="31">
        <f>UPPER(SUBSTITUTE(TRIM(F992)," ",""))</f>
        <v/>
      </c>
      <c r="BA992" s="31">
        <f>UPPER(SUBSTITUTE(TRIM(E992)," ",""))</f>
        <v/>
      </c>
      <c r="BB992" s="31">
        <f>IF(D992&lt;&gt;"",D992,IFERROR(VLOOKUP(MID(AS992,4,1),Lists!$E$2:$F$8,2,FALSE),""))</f>
        <v/>
      </c>
      <c r="BC992" s="31">
        <f>IFERROR(VLOOKUP(BB992,Lists!$A$2:$C$12,3,FALSE),"")</f>
        <v/>
      </c>
      <c r="BD992" s="31">
        <f>COUNTIF(W992:AC992,"Yes")</f>
        <v/>
      </c>
      <c r="BE992" s="31">
        <f>IF(TRIM(B992)="","Legal name missing; ","")&amp;IF(AND(AV992&lt;&gt;"",AV992&lt;&gt;"OK"),"GSTIN: "&amp;AV992&amp;"; ","")&amp;IF(AND(AW992&lt;&gt;"",AW992&lt;&gt;"OK"),"PAN wrong format; ","")&amp;IF(AND(BA992&lt;&gt;"",LEN(AZ992)=15,MID(AZ992,3,10)&lt;&gt;BA992),"PAN does not match GSTIN; ","")&amp;IF(AND(AX992&lt;&gt;"",AX992&lt;&gt;"OK"),"TAN wrong format; ","")&amp;IF(AS992="","PAN missing; ","")&amp;IF(BB992="","Entity type missing; ","")&amp;IF(AND(AZ992&lt;&gt;"",COUNTIF($AZ$6:$AZ$1005,AZ992)&gt;1),"GSTIN repeated in this sheet; ","")&amp;IF(AND(AS992&lt;&gt;"",COUNTIF($AS$6:$AS$1005,AS992)&gt;1),"PAN repeated in this sheet (same client? put extra GSTINs in Other GSTINs); ","")&amp;IF(AND(BD992&gt;0,V992=""),"Financial year missing; ","")&amp;IF(AND(BD992=0,V992&lt;&gt;""),"Financial year given but no service is Yes; ","")&amp;IF(AND(W992="Yes",AZ992=""),"GST needs a GSTIN; ","")&amp;IF(AND(W992="Yes",X992=""),"GST return frequency missing; ","")&amp;IF(AND(Y992="Yes",TRIM(H992)=""),"TDS needs a TAN; ","")&amp;IF(AND(AA992="Yes",BC992&lt;&gt;"",BC992&lt;&gt;"company",BC992&lt;&gt;"llp"),"ROC is only for a company / LLP; ","")&amp;IF(AND(AA992="Yes",OR(BC992="company",BC992="llp"),TRIM(I992)=""),"ROC needs the CIN / LLPIN; ","")&amp;IF((TRIM(AF992)="")&lt;&gt;(TRIM(AG992)=""),"GST login needs both user ID and password; ","")&amp;IF((TRIM(AH992)="")&lt;&gt;(TRIM(AI992)=""),"Income-tax login needs both user ID and password; ","")&amp;IF((TRIM(AJ992)="")&lt;&gt;(TRIM(AK992)=""),"Income-tax login needs both user ID and password; ","")&amp;IF((TRIM(AL992)="")&lt;&gt;(TRIM(AM992)=""),"TRACES login needs both user ID and password; ","")&amp;IF((TRIM(AN992)="")&lt;&gt;(TRIM(AO992)=""),"MCA login needs both user ID and password; ","")&amp;IF((TRIM(AP992)="")&lt;&gt;(TRIM(AQ992)=""),"E-way bill login needs both user ID and password; ","")</f>
        <v/>
      </c>
    </row>
    <row r="993">
      <c r="A993" s="32" t="n"/>
      <c r="B993" s="33" t="n"/>
      <c r="C993" s="33" t="n"/>
      <c r="D993" s="33" t="n"/>
      <c r="E993" s="32" t="n"/>
      <c r="F993" s="32" t="n"/>
      <c r="G993" s="32" t="n"/>
      <c r="H993" s="32" t="n"/>
      <c r="I993" s="32" t="n"/>
      <c r="J993" s="34" t="n"/>
      <c r="K993" s="33" t="n"/>
      <c r="L993" s="32" t="n"/>
      <c r="M993" s="33" t="n"/>
      <c r="N993" s="33" t="n"/>
      <c r="O993" s="33" t="n"/>
      <c r="P993" s="32" t="n"/>
      <c r="Q993" s="33" t="n"/>
      <c r="R993" s="33" t="n"/>
      <c r="S993" s="33" t="n"/>
      <c r="T993" s="33" t="n"/>
      <c r="U993" s="32" t="n"/>
      <c r="V993" s="33" t="n"/>
      <c r="W993" s="33" t="n"/>
      <c r="X993" s="33" t="n"/>
      <c r="Y993" s="33" t="n"/>
      <c r="Z993" s="33" t="n"/>
      <c r="AA993" s="33" t="n"/>
      <c r="AB993" s="33" t="n"/>
      <c r="AC993" s="33" t="n"/>
      <c r="AD993" s="33" t="n"/>
      <c r="AE993" s="33" t="n"/>
      <c r="AF993" s="32" t="n"/>
      <c r="AG993" s="32" t="n"/>
      <c r="AH993" s="32" t="n"/>
      <c r="AI993" s="32" t="n"/>
      <c r="AJ993" s="32" t="n"/>
      <c r="AK993" s="32" t="n"/>
      <c r="AL993" s="32" t="n"/>
      <c r="AM993" s="32" t="n"/>
      <c r="AN993" s="32" t="n"/>
      <c r="AO993" s="32" t="n"/>
      <c r="AP993" s="32" t="n"/>
      <c r="AQ993" s="32" t="n"/>
      <c r="AR993" s="29">
        <f>IF(NOT(COUNTA(A993:AE993)&gt;0),"",IF(A993="","New client","Update"))</f>
        <v/>
      </c>
      <c r="AS993" s="29">
        <f>IF(BA993&lt;&gt;"",BA993,IF(LEN(AZ993)=15,MID(AZ993,3,10),""))</f>
        <v/>
      </c>
      <c r="AT993" s="29">
        <f>IF(BB993="","",BB993&amp;IF(D993="","  (guessed from PAN)",""))</f>
        <v/>
      </c>
      <c r="AU993" s="29">
        <f>IF(AZ993="","",IFERROR(INDEX(Lists!$L$2:$L$38,MATCH(LEFT(AZ993,2),Lists!$K$2:$K$38,0)),"Unknown code"))</f>
        <v/>
      </c>
      <c r="AV993" s="29">
        <f>IF(AZ993="","",IFERROR(IF(NOT(AND(LEN(AZ993)=15,ISNUMBER(MATCH(LEFT(AZ993,2),Lists!$K$2:$K$38,0)),SUMPRODUCT(--ISERROR(FIND(MID(MID(AZ993,3,10),{1,2,3,4,5,10},1),"ABCDEFGHIJKLMNOPQRSTUVWXYZ")))=0,SUMPRODUCT(--ISERROR(FIND(MID(MID(AZ993,3,10),{6,7,8,9},1),"0123456789")))=0,ISNUMBER(FIND(MID(AZ993,13,1),"123456789ABCDEFGHIJKLMNOPQRSTUVWXYZ")),MID(AZ993,14,1)="Z")),"Wrong format",IF(MID("0123456789ABCDEFGHIJKLMNOPQRSTUVWXYZ",MOD(36-MOD(SUMPRODUCT(INT((FIND(MID(AZ993,{1,2,3,4,5,6,7,8,9,10,11,12,13,14},1),"0123456789ABCDEFGHIJKLMNOPQRSTUVWXYZ")-1)*{1,2,1,2,1,2,1,2,1,2,1,2,1,2}/36)+MOD((FIND(MID(AZ993,{1,2,3,4,5,6,7,8,9,10,11,12,13,14},1),"0123456789ABCDEFGHIJKLMNOPQRSTUVWXYZ")-1)*{1,2,1,2,1,2,1,2,1,2,1,2,1,2},36)),36),36)+1,1)=MID(AZ993,15,1),"OK","Typo? check digit wrong")),"Wrong format"))</f>
        <v/>
      </c>
      <c r="AW993" s="29">
        <f>IF(BA993="","",IF(AND(LEN(BA993)=10,SUMPRODUCT(--ISERROR(FIND(MID(BA993,{1,2,3,4,5,10},1),"ABCDEFGHIJKLMNOPQRSTUVWXYZ")))=0,SUMPRODUCT(--ISERROR(FIND(MID(BA993,{6,7,8,9},1),"0123456789")))=0),"OK","Wrong format"))</f>
        <v/>
      </c>
      <c r="AX993" s="29">
        <f>IF(TRIM(H993)="","",IF(AND(LEN(UPPER(TRIM(H993)))=10,SUMPRODUCT(--ISERROR(FIND(MID(UPPER(TRIM(H993)),{1,2,3,4,10},1),"ABCDEFGHIJKLMNOPQRSTUVWXYZ")))=0,SUMPRODUCT(--ISERROR(FIND(MID(UPPER(TRIM(H993)),{5,6,7,8,9},1),"0123456789")))=0),"OK","Wrong format"))</f>
        <v/>
      </c>
      <c r="AY993" s="30">
        <f>IF(NOT(COUNTA(A993:AE993)&gt;0),"",IF(BE993&lt;&gt;"","✖ "&amp;LEFT(BE993,LEN(BE993)-2),IF(BD993&gt;0,"✔ Ready — client + "&amp;BD993&amp;" service(s)","✔ Ready — client only")))</f>
        <v/>
      </c>
      <c r="AZ993" s="31">
        <f>UPPER(SUBSTITUTE(TRIM(F993)," ",""))</f>
        <v/>
      </c>
      <c r="BA993" s="31">
        <f>UPPER(SUBSTITUTE(TRIM(E993)," ",""))</f>
        <v/>
      </c>
      <c r="BB993" s="31">
        <f>IF(D993&lt;&gt;"",D993,IFERROR(VLOOKUP(MID(AS993,4,1),Lists!$E$2:$F$8,2,FALSE),""))</f>
        <v/>
      </c>
      <c r="BC993" s="31">
        <f>IFERROR(VLOOKUP(BB993,Lists!$A$2:$C$12,3,FALSE),"")</f>
        <v/>
      </c>
      <c r="BD993" s="31">
        <f>COUNTIF(W993:AC993,"Yes")</f>
        <v/>
      </c>
      <c r="BE993" s="31">
        <f>IF(TRIM(B993)="","Legal name missing; ","")&amp;IF(AND(AV993&lt;&gt;"",AV993&lt;&gt;"OK"),"GSTIN: "&amp;AV993&amp;"; ","")&amp;IF(AND(AW993&lt;&gt;"",AW993&lt;&gt;"OK"),"PAN wrong format; ","")&amp;IF(AND(BA993&lt;&gt;"",LEN(AZ993)=15,MID(AZ993,3,10)&lt;&gt;BA993),"PAN does not match GSTIN; ","")&amp;IF(AND(AX993&lt;&gt;"",AX993&lt;&gt;"OK"),"TAN wrong format; ","")&amp;IF(AS993="","PAN missing; ","")&amp;IF(BB993="","Entity type missing; ","")&amp;IF(AND(AZ993&lt;&gt;"",COUNTIF($AZ$6:$AZ$1005,AZ993)&gt;1),"GSTIN repeated in this sheet; ","")&amp;IF(AND(AS993&lt;&gt;"",COUNTIF($AS$6:$AS$1005,AS993)&gt;1),"PAN repeated in this sheet (same client? put extra GSTINs in Other GSTINs); ","")&amp;IF(AND(BD993&gt;0,V993=""),"Financial year missing; ","")&amp;IF(AND(BD993=0,V993&lt;&gt;""),"Financial year given but no service is Yes; ","")&amp;IF(AND(W993="Yes",AZ993=""),"GST needs a GSTIN; ","")&amp;IF(AND(W993="Yes",X993=""),"GST return frequency missing; ","")&amp;IF(AND(Y993="Yes",TRIM(H993)=""),"TDS needs a TAN; ","")&amp;IF(AND(AA993="Yes",BC993&lt;&gt;"",BC993&lt;&gt;"company",BC993&lt;&gt;"llp"),"ROC is only for a company / LLP; ","")&amp;IF(AND(AA993="Yes",OR(BC993="company",BC993="llp"),TRIM(I993)=""),"ROC needs the CIN / LLPIN; ","")&amp;IF((TRIM(AF993)="")&lt;&gt;(TRIM(AG993)=""),"GST login needs both user ID and password; ","")&amp;IF((TRIM(AH993)="")&lt;&gt;(TRIM(AI993)=""),"Income-tax login needs both user ID and password; ","")&amp;IF((TRIM(AJ993)="")&lt;&gt;(TRIM(AK993)=""),"Income-tax login needs both user ID and password; ","")&amp;IF((TRIM(AL993)="")&lt;&gt;(TRIM(AM993)=""),"TRACES login needs both user ID and password; ","")&amp;IF((TRIM(AN993)="")&lt;&gt;(TRIM(AO993)=""),"MCA login needs both user ID and password; ","")&amp;IF((TRIM(AP993)="")&lt;&gt;(TRIM(AQ993)=""),"E-way bill login needs both user ID and password; ","")</f>
        <v/>
      </c>
    </row>
    <row r="994">
      <c r="A994" s="32" t="n"/>
      <c r="B994" s="33" t="n"/>
      <c r="C994" s="33" t="n"/>
      <c r="D994" s="33" t="n"/>
      <c r="E994" s="32" t="n"/>
      <c r="F994" s="32" t="n"/>
      <c r="G994" s="32" t="n"/>
      <c r="H994" s="32" t="n"/>
      <c r="I994" s="32" t="n"/>
      <c r="J994" s="34" t="n"/>
      <c r="K994" s="33" t="n"/>
      <c r="L994" s="32" t="n"/>
      <c r="M994" s="33" t="n"/>
      <c r="N994" s="33" t="n"/>
      <c r="O994" s="33" t="n"/>
      <c r="P994" s="32" t="n"/>
      <c r="Q994" s="33" t="n"/>
      <c r="R994" s="33" t="n"/>
      <c r="S994" s="33" t="n"/>
      <c r="T994" s="33" t="n"/>
      <c r="U994" s="32" t="n"/>
      <c r="V994" s="33" t="n"/>
      <c r="W994" s="33" t="n"/>
      <c r="X994" s="33" t="n"/>
      <c r="Y994" s="33" t="n"/>
      <c r="Z994" s="33" t="n"/>
      <c r="AA994" s="33" t="n"/>
      <c r="AB994" s="33" t="n"/>
      <c r="AC994" s="33" t="n"/>
      <c r="AD994" s="33" t="n"/>
      <c r="AE994" s="33" t="n"/>
      <c r="AF994" s="32" t="n"/>
      <c r="AG994" s="32" t="n"/>
      <c r="AH994" s="32" t="n"/>
      <c r="AI994" s="32" t="n"/>
      <c r="AJ994" s="32" t="n"/>
      <c r="AK994" s="32" t="n"/>
      <c r="AL994" s="32" t="n"/>
      <c r="AM994" s="32" t="n"/>
      <c r="AN994" s="32" t="n"/>
      <c r="AO994" s="32" t="n"/>
      <c r="AP994" s="32" t="n"/>
      <c r="AQ994" s="32" t="n"/>
      <c r="AR994" s="29">
        <f>IF(NOT(COUNTA(A994:AE994)&gt;0),"",IF(A994="","New client","Update"))</f>
        <v/>
      </c>
      <c r="AS994" s="29">
        <f>IF(BA994&lt;&gt;"",BA994,IF(LEN(AZ994)=15,MID(AZ994,3,10),""))</f>
        <v/>
      </c>
      <c r="AT994" s="29">
        <f>IF(BB994="","",BB994&amp;IF(D994="","  (guessed from PAN)",""))</f>
        <v/>
      </c>
      <c r="AU994" s="29">
        <f>IF(AZ994="","",IFERROR(INDEX(Lists!$L$2:$L$38,MATCH(LEFT(AZ994,2),Lists!$K$2:$K$38,0)),"Unknown code"))</f>
        <v/>
      </c>
      <c r="AV994" s="29">
        <f>IF(AZ994="","",IFERROR(IF(NOT(AND(LEN(AZ994)=15,ISNUMBER(MATCH(LEFT(AZ994,2),Lists!$K$2:$K$38,0)),SUMPRODUCT(--ISERROR(FIND(MID(MID(AZ994,3,10),{1,2,3,4,5,10},1),"ABCDEFGHIJKLMNOPQRSTUVWXYZ")))=0,SUMPRODUCT(--ISERROR(FIND(MID(MID(AZ994,3,10),{6,7,8,9},1),"0123456789")))=0,ISNUMBER(FIND(MID(AZ994,13,1),"123456789ABCDEFGHIJKLMNOPQRSTUVWXYZ")),MID(AZ994,14,1)="Z")),"Wrong format",IF(MID("0123456789ABCDEFGHIJKLMNOPQRSTUVWXYZ",MOD(36-MOD(SUMPRODUCT(INT((FIND(MID(AZ994,{1,2,3,4,5,6,7,8,9,10,11,12,13,14},1),"0123456789ABCDEFGHIJKLMNOPQRSTUVWXYZ")-1)*{1,2,1,2,1,2,1,2,1,2,1,2,1,2}/36)+MOD((FIND(MID(AZ994,{1,2,3,4,5,6,7,8,9,10,11,12,13,14},1),"0123456789ABCDEFGHIJKLMNOPQRSTUVWXYZ")-1)*{1,2,1,2,1,2,1,2,1,2,1,2,1,2},36)),36),36)+1,1)=MID(AZ994,15,1),"OK","Typo? check digit wrong")),"Wrong format"))</f>
        <v/>
      </c>
      <c r="AW994" s="29">
        <f>IF(BA994="","",IF(AND(LEN(BA994)=10,SUMPRODUCT(--ISERROR(FIND(MID(BA994,{1,2,3,4,5,10},1),"ABCDEFGHIJKLMNOPQRSTUVWXYZ")))=0,SUMPRODUCT(--ISERROR(FIND(MID(BA994,{6,7,8,9},1),"0123456789")))=0),"OK","Wrong format"))</f>
        <v/>
      </c>
      <c r="AX994" s="29">
        <f>IF(TRIM(H994)="","",IF(AND(LEN(UPPER(TRIM(H994)))=10,SUMPRODUCT(--ISERROR(FIND(MID(UPPER(TRIM(H994)),{1,2,3,4,10},1),"ABCDEFGHIJKLMNOPQRSTUVWXYZ")))=0,SUMPRODUCT(--ISERROR(FIND(MID(UPPER(TRIM(H994)),{5,6,7,8,9},1),"0123456789")))=0),"OK","Wrong format"))</f>
        <v/>
      </c>
      <c r="AY994" s="30">
        <f>IF(NOT(COUNTA(A994:AE994)&gt;0),"",IF(BE994&lt;&gt;"","✖ "&amp;LEFT(BE994,LEN(BE994)-2),IF(BD994&gt;0,"✔ Ready — client + "&amp;BD994&amp;" service(s)","✔ Ready — client only")))</f>
        <v/>
      </c>
      <c r="AZ994" s="31">
        <f>UPPER(SUBSTITUTE(TRIM(F994)," ",""))</f>
        <v/>
      </c>
      <c r="BA994" s="31">
        <f>UPPER(SUBSTITUTE(TRIM(E994)," ",""))</f>
        <v/>
      </c>
      <c r="BB994" s="31">
        <f>IF(D994&lt;&gt;"",D994,IFERROR(VLOOKUP(MID(AS994,4,1),Lists!$E$2:$F$8,2,FALSE),""))</f>
        <v/>
      </c>
      <c r="BC994" s="31">
        <f>IFERROR(VLOOKUP(BB994,Lists!$A$2:$C$12,3,FALSE),"")</f>
        <v/>
      </c>
      <c r="BD994" s="31">
        <f>COUNTIF(W994:AC994,"Yes")</f>
        <v/>
      </c>
      <c r="BE994" s="31">
        <f>IF(TRIM(B994)="","Legal name missing; ","")&amp;IF(AND(AV994&lt;&gt;"",AV994&lt;&gt;"OK"),"GSTIN: "&amp;AV994&amp;"; ","")&amp;IF(AND(AW994&lt;&gt;"",AW994&lt;&gt;"OK"),"PAN wrong format; ","")&amp;IF(AND(BA994&lt;&gt;"",LEN(AZ994)=15,MID(AZ994,3,10)&lt;&gt;BA994),"PAN does not match GSTIN; ","")&amp;IF(AND(AX994&lt;&gt;"",AX994&lt;&gt;"OK"),"TAN wrong format; ","")&amp;IF(AS994="","PAN missing; ","")&amp;IF(BB994="","Entity type missing; ","")&amp;IF(AND(AZ994&lt;&gt;"",COUNTIF($AZ$6:$AZ$1005,AZ994)&gt;1),"GSTIN repeated in this sheet; ","")&amp;IF(AND(AS994&lt;&gt;"",COUNTIF($AS$6:$AS$1005,AS994)&gt;1),"PAN repeated in this sheet (same client? put extra GSTINs in Other GSTINs); ","")&amp;IF(AND(BD994&gt;0,V994=""),"Financial year missing; ","")&amp;IF(AND(BD994=0,V994&lt;&gt;""),"Financial year given but no service is Yes; ","")&amp;IF(AND(W994="Yes",AZ994=""),"GST needs a GSTIN; ","")&amp;IF(AND(W994="Yes",X994=""),"GST return frequency missing; ","")&amp;IF(AND(Y994="Yes",TRIM(H994)=""),"TDS needs a TAN; ","")&amp;IF(AND(AA994="Yes",BC994&lt;&gt;"",BC994&lt;&gt;"company",BC994&lt;&gt;"llp"),"ROC is only for a company / LLP; ","")&amp;IF(AND(AA994="Yes",OR(BC994="company",BC994="llp"),TRIM(I994)=""),"ROC needs the CIN / LLPIN; ","")&amp;IF((TRIM(AF994)="")&lt;&gt;(TRIM(AG994)=""),"GST login needs both user ID and password; ","")&amp;IF((TRIM(AH994)="")&lt;&gt;(TRIM(AI994)=""),"Income-tax login needs both user ID and password; ","")&amp;IF((TRIM(AJ994)="")&lt;&gt;(TRIM(AK994)=""),"Income-tax login needs both user ID and password; ","")&amp;IF((TRIM(AL994)="")&lt;&gt;(TRIM(AM994)=""),"TRACES login needs both user ID and password; ","")&amp;IF((TRIM(AN994)="")&lt;&gt;(TRIM(AO994)=""),"MCA login needs both user ID and password; ","")&amp;IF((TRIM(AP994)="")&lt;&gt;(TRIM(AQ994)=""),"E-way bill login needs both user ID and password; ","")</f>
        <v/>
      </c>
    </row>
    <row r="995">
      <c r="A995" s="32" t="n"/>
      <c r="B995" s="33" t="n"/>
      <c r="C995" s="33" t="n"/>
      <c r="D995" s="33" t="n"/>
      <c r="E995" s="32" t="n"/>
      <c r="F995" s="32" t="n"/>
      <c r="G995" s="32" t="n"/>
      <c r="H995" s="32" t="n"/>
      <c r="I995" s="32" t="n"/>
      <c r="J995" s="34" t="n"/>
      <c r="K995" s="33" t="n"/>
      <c r="L995" s="32" t="n"/>
      <c r="M995" s="33" t="n"/>
      <c r="N995" s="33" t="n"/>
      <c r="O995" s="33" t="n"/>
      <c r="P995" s="32" t="n"/>
      <c r="Q995" s="33" t="n"/>
      <c r="R995" s="33" t="n"/>
      <c r="S995" s="33" t="n"/>
      <c r="T995" s="33" t="n"/>
      <c r="U995" s="32" t="n"/>
      <c r="V995" s="33" t="n"/>
      <c r="W995" s="33" t="n"/>
      <c r="X995" s="33" t="n"/>
      <c r="Y995" s="33" t="n"/>
      <c r="Z995" s="33" t="n"/>
      <c r="AA995" s="33" t="n"/>
      <c r="AB995" s="33" t="n"/>
      <c r="AC995" s="33" t="n"/>
      <c r="AD995" s="33" t="n"/>
      <c r="AE995" s="33" t="n"/>
      <c r="AF995" s="32" t="n"/>
      <c r="AG995" s="32" t="n"/>
      <c r="AH995" s="32" t="n"/>
      <c r="AI995" s="32" t="n"/>
      <c r="AJ995" s="32" t="n"/>
      <c r="AK995" s="32" t="n"/>
      <c r="AL995" s="32" t="n"/>
      <c r="AM995" s="32" t="n"/>
      <c r="AN995" s="32" t="n"/>
      <c r="AO995" s="32" t="n"/>
      <c r="AP995" s="32" t="n"/>
      <c r="AQ995" s="32" t="n"/>
      <c r="AR995" s="29">
        <f>IF(NOT(COUNTA(A995:AE995)&gt;0),"",IF(A995="","New client","Update"))</f>
        <v/>
      </c>
      <c r="AS995" s="29">
        <f>IF(BA995&lt;&gt;"",BA995,IF(LEN(AZ995)=15,MID(AZ995,3,10),""))</f>
        <v/>
      </c>
      <c r="AT995" s="29">
        <f>IF(BB995="","",BB995&amp;IF(D995="","  (guessed from PAN)",""))</f>
        <v/>
      </c>
      <c r="AU995" s="29">
        <f>IF(AZ995="","",IFERROR(INDEX(Lists!$L$2:$L$38,MATCH(LEFT(AZ995,2),Lists!$K$2:$K$38,0)),"Unknown code"))</f>
        <v/>
      </c>
      <c r="AV995" s="29">
        <f>IF(AZ995="","",IFERROR(IF(NOT(AND(LEN(AZ995)=15,ISNUMBER(MATCH(LEFT(AZ995,2),Lists!$K$2:$K$38,0)),SUMPRODUCT(--ISERROR(FIND(MID(MID(AZ995,3,10),{1,2,3,4,5,10},1),"ABCDEFGHIJKLMNOPQRSTUVWXYZ")))=0,SUMPRODUCT(--ISERROR(FIND(MID(MID(AZ995,3,10),{6,7,8,9},1),"0123456789")))=0,ISNUMBER(FIND(MID(AZ995,13,1),"123456789ABCDEFGHIJKLMNOPQRSTUVWXYZ")),MID(AZ995,14,1)="Z")),"Wrong format",IF(MID("0123456789ABCDEFGHIJKLMNOPQRSTUVWXYZ",MOD(36-MOD(SUMPRODUCT(INT((FIND(MID(AZ995,{1,2,3,4,5,6,7,8,9,10,11,12,13,14},1),"0123456789ABCDEFGHIJKLMNOPQRSTUVWXYZ")-1)*{1,2,1,2,1,2,1,2,1,2,1,2,1,2}/36)+MOD((FIND(MID(AZ995,{1,2,3,4,5,6,7,8,9,10,11,12,13,14},1),"0123456789ABCDEFGHIJKLMNOPQRSTUVWXYZ")-1)*{1,2,1,2,1,2,1,2,1,2,1,2,1,2},36)),36),36)+1,1)=MID(AZ995,15,1),"OK","Typo? check digit wrong")),"Wrong format"))</f>
        <v/>
      </c>
      <c r="AW995" s="29">
        <f>IF(BA995="","",IF(AND(LEN(BA995)=10,SUMPRODUCT(--ISERROR(FIND(MID(BA995,{1,2,3,4,5,10},1),"ABCDEFGHIJKLMNOPQRSTUVWXYZ")))=0,SUMPRODUCT(--ISERROR(FIND(MID(BA995,{6,7,8,9},1),"0123456789")))=0),"OK","Wrong format"))</f>
        <v/>
      </c>
      <c r="AX995" s="29">
        <f>IF(TRIM(H995)="","",IF(AND(LEN(UPPER(TRIM(H995)))=10,SUMPRODUCT(--ISERROR(FIND(MID(UPPER(TRIM(H995)),{1,2,3,4,10},1),"ABCDEFGHIJKLMNOPQRSTUVWXYZ")))=0,SUMPRODUCT(--ISERROR(FIND(MID(UPPER(TRIM(H995)),{5,6,7,8,9},1),"0123456789")))=0),"OK","Wrong format"))</f>
        <v/>
      </c>
      <c r="AY995" s="30">
        <f>IF(NOT(COUNTA(A995:AE995)&gt;0),"",IF(BE995&lt;&gt;"","✖ "&amp;LEFT(BE995,LEN(BE995)-2),IF(BD995&gt;0,"✔ Ready — client + "&amp;BD995&amp;" service(s)","✔ Ready — client only")))</f>
        <v/>
      </c>
      <c r="AZ995" s="31">
        <f>UPPER(SUBSTITUTE(TRIM(F995)," ",""))</f>
        <v/>
      </c>
      <c r="BA995" s="31">
        <f>UPPER(SUBSTITUTE(TRIM(E995)," ",""))</f>
        <v/>
      </c>
      <c r="BB995" s="31">
        <f>IF(D995&lt;&gt;"",D995,IFERROR(VLOOKUP(MID(AS995,4,1),Lists!$E$2:$F$8,2,FALSE),""))</f>
        <v/>
      </c>
      <c r="BC995" s="31">
        <f>IFERROR(VLOOKUP(BB995,Lists!$A$2:$C$12,3,FALSE),"")</f>
        <v/>
      </c>
      <c r="BD995" s="31">
        <f>COUNTIF(W995:AC995,"Yes")</f>
        <v/>
      </c>
      <c r="BE995" s="31">
        <f>IF(TRIM(B995)="","Legal name missing; ","")&amp;IF(AND(AV995&lt;&gt;"",AV995&lt;&gt;"OK"),"GSTIN: "&amp;AV995&amp;"; ","")&amp;IF(AND(AW995&lt;&gt;"",AW995&lt;&gt;"OK"),"PAN wrong format; ","")&amp;IF(AND(BA995&lt;&gt;"",LEN(AZ995)=15,MID(AZ995,3,10)&lt;&gt;BA995),"PAN does not match GSTIN; ","")&amp;IF(AND(AX995&lt;&gt;"",AX995&lt;&gt;"OK"),"TAN wrong format; ","")&amp;IF(AS995="","PAN missing; ","")&amp;IF(BB995="","Entity type missing; ","")&amp;IF(AND(AZ995&lt;&gt;"",COUNTIF($AZ$6:$AZ$1005,AZ995)&gt;1),"GSTIN repeated in this sheet; ","")&amp;IF(AND(AS995&lt;&gt;"",COUNTIF($AS$6:$AS$1005,AS995)&gt;1),"PAN repeated in this sheet (same client? put extra GSTINs in Other GSTINs); ","")&amp;IF(AND(BD995&gt;0,V995=""),"Financial year missing; ","")&amp;IF(AND(BD995=0,V995&lt;&gt;""),"Financial year given but no service is Yes; ","")&amp;IF(AND(W995="Yes",AZ995=""),"GST needs a GSTIN; ","")&amp;IF(AND(W995="Yes",X995=""),"GST return frequency missing; ","")&amp;IF(AND(Y995="Yes",TRIM(H995)=""),"TDS needs a TAN; ","")&amp;IF(AND(AA995="Yes",BC995&lt;&gt;"",BC995&lt;&gt;"company",BC995&lt;&gt;"llp"),"ROC is only for a company / LLP; ","")&amp;IF(AND(AA995="Yes",OR(BC995="company",BC995="llp"),TRIM(I995)=""),"ROC needs the CIN / LLPIN; ","")&amp;IF((TRIM(AF995)="")&lt;&gt;(TRIM(AG995)=""),"GST login needs both user ID and password; ","")&amp;IF((TRIM(AH995)="")&lt;&gt;(TRIM(AI995)=""),"Income-tax login needs both user ID and password; ","")&amp;IF((TRIM(AJ995)="")&lt;&gt;(TRIM(AK995)=""),"Income-tax login needs both user ID and password; ","")&amp;IF((TRIM(AL995)="")&lt;&gt;(TRIM(AM995)=""),"TRACES login needs both user ID and password; ","")&amp;IF((TRIM(AN995)="")&lt;&gt;(TRIM(AO995)=""),"MCA login needs both user ID and password; ","")&amp;IF((TRIM(AP995)="")&lt;&gt;(TRIM(AQ995)=""),"E-way bill login needs both user ID and password; ","")</f>
        <v/>
      </c>
    </row>
    <row r="996">
      <c r="A996" s="32" t="n"/>
      <c r="B996" s="33" t="n"/>
      <c r="C996" s="33" t="n"/>
      <c r="D996" s="33" t="n"/>
      <c r="E996" s="32" t="n"/>
      <c r="F996" s="32" t="n"/>
      <c r="G996" s="32" t="n"/>
      <c r="H996" s="32" t="n"/>
      <c r="I996" s="32" t="n"/>
      <c r="J996" s="34" t="n"/>
      <c r="K996" s="33" t="n"/>
      <c r="L996" s="32" t="n"/>
      <c r="M996" s="33" t="n"/>
      <c r="N996" s="33" t="n"/>
      <c r="O996" s="33" t="n"/>
      <c r="P996" s="32" t="n"/>
      <c r="Q996" s="33" t="n"/>
      <c r="R996" s="33" t="n"/>
      <c r="S996" s="33" t="n"/>
      <c r="T996" s="33" t="n"/>
      <c r="U996" s="32" t="n"/>
      <c r="V996" s="33" t="n"/>
      <c r="W996" s="33" t="n"/>
      <c r="X996" s="33" t="n"/>
      <c r="Y996" s="33" t="n"/>
      <c r="Z996" s="33" t="n"/>
      <c r="AA996" s="33" t="n"/>
      <c r="AB996" s="33" t="n"/>
      <c r="AC996" s="33" t="n"/>
      <c r="AD996" s="33" t="n"/>
      <c r="AE996" s="33" t="n"/>
      <c r="AF996" s="32" t="n"/>
      <c r="AG996" s="32" t="n"/>
      <c r="AH996" s="32" t="n"/>
      <c r="AI996" s="32" t="n"/>
      <c r="AJ996" s="32" t="n"/>
      <c r="AK996" s="32" t="n"/>
      <c r="AL996" s="32" t="n"/>
      <c r="AM996" s="32" t="n"/>
      <c r="AN996" s="32" t="n"/>
      <c r="AO996" s="32" t="n"/>
      <c r="AP996" s="32" t="n"/>
      <c r="AQ996" s="32" t="n"/>
      <c r="AR996" s="29">
        <f>IF(NOT(COUNTA(A996:AE996)&gt;0),"",IF(A996="","New client","Update"))</f>
        <v/>
      </c>
      <c r="AS996" s="29">
        <f>IF(BA996&lt;&gt;"",BA996,IF(LEN(AZ996)=15,MID(AZ996,3,10),""))</f>
        <v/>
      </c>
      <c r="AT996" s="29">
        <f>IF(BB996="","",BB996&amp;IF(D996="","  (guessed from PAN)",""))</f>
        <v/>
      </c>
      <c r="AU996" s="29">
        <f>IF(AZ996="","",IFERROR(INDEX(Lists!$L$2:$L$38,MATCH(LEFT(AZ996,2),Lists!$K$2:$K$38,0)),"Unknown code"))</f>
        <v/>
      </c>
      <c r="AV996" s="29">
        <f>IF(AZ996="","",IFERROR(IF(NOT(AND(LEN(AZ996)=15,ISNUMBER(MATCH(LEFT(AZ996,2),Lists!$K$2:$K$38,0)),SUMPRODUCT(--ISERROR(FIND(MID(MID(AZ996,3,10),{1,2,3,4,5,10},1),"ABCDEFGHIJKLMNOPQRSTUVWXYZ")))=0,SUMPRODUCT(--ISERROR(FIND(MID(MID(AZ996,3,10),{6,7,8,9},1),"0123456789")))=0,ISNUMBER(FIND(MID(AZ996,13,1),"123456789ABCDEFGHIJKLMNOPQRSTUVWXYZ")),MID(AZ996,14,1)="Z")),"Wrong format",IF(MID("0123456789ABCDEFGHIJKLMNOPQRSTUVWXYZ",MOD(36-MOD(SUMPRODUCT(INT((FIND(MID(AZ996,{1,2,3,4,5,6,7,8,9,10,11,12,13,14},1),"0123456789ABCDEFGHIJKLMNOPQRSTUVWXYZ")-1)*{1,2,1,2,1,2,1,2,1,2,1,2,1,2}/36)+MOD((FIND(MID(AZ996,{1,2,3,4,5,6,7,8,9,10,11,12,13,14},1),"0123456789ABCDEFGHIJKLMNOPQRSTUVWXYZ")-1)*{1,2,1,2,1,2,1,2,1,2,1,2,1,2},36)),36),36)+1,1)=MID(AZ996,15,1),"OK","Typo? check digit wrong")),"Wrong format"))</f>
        <v/>
      </c>
      <c r="AW996" s="29">
        <f>IF(BA996="","",IF(AND(LEN(BA996)=10,SUMPRODUCT(--ISERROR(FIND(MID(BA996,{1,2,3,4,5,10},1),"ABCDEFGHIJKLMNOPQRSTUVWXYZ")))=0,SUMPRODUCT(--ISERROR(FIND(MID(BA996,{6,7,8,9},1),"0123456789")))=0),"OK","Wrong format"))</f>
        <v/>
      </c>
      <c r="AX996" s="29">
        <f>IF(TRIM(H996)="","",IF(AND(LEN(UPPER(TRIM(H996)))=10,SUMPRODUCT(--ISERROR(FIND(MID(UPPER(TRIM(H996)),{1,2,3,4,10},1),"ABCDEFGHIJKLMNOPQRSTUVWXYZ")))=0,SUMPRODUCT(--ISERROR(FIND(MID(UPPER(TRIM(H996)),{5,6,7,8,9},1),"0123456789")))=0),"OK","Wrong format"))</f>
        <v/>
      </c>
      <c r="AY996" s="30">
        <f>IF(NOT(COUNTA(A996:AE996)&gt;0),"",IF(BE996&lt;&gt;"","✖ "&amp;LEFT(BE996,LEN(BE996)-2),IF(BD996&gt;0,"✔ Ready — client + "&amp;BD996&amp;" service(s)","✔ Ready — client only")))</f>
        <v/>
      </c>
      <c r="AZ996" s="31">
        <f>UPPER(SUBSTITUTE(TRIM(F996)," ",""))</f>
        <v/>
      </c>
      <c r="BA996" s="31">
        <f>UPPER(SUBSTITUTE(TRIM(E996)," ",""))</f>
        <v/>
      </c>
      <c r="BB996" s="31">
        <f>IF(D996&lt;&gt;"",D996,IFERROR(VLOOKUP(MID(AS996,4,1),Lists!$E$2:$F$8,2,FALSE),""))</f>
        <v/>
      </c>
      <c r="BC996" s="31">
        <f>IFERROR(VLOOKUP(BB996,Lists!$A$2:$C$12,3,FALSE),"")</f>
        <v/>
      </c>
      <c r="BD996" s="31">
        <f>COUNTIF(W996:AC996,"Yes")</f>
        <v/>
      </c>
      <c r="BE996" s="31">
        <f>IF(TRIM(B996)="","Legal name missing; ","")&amp;IF(AND(AV996&lt;&gt;"",AV996&lt;&gt;"OK"),"GSTIN: "&amp;AV996&amp;"; ","")&amp;IF(AND(AW996&lt;&gt;"",AW996&lt;&gt;"OK"),"PAN wrong format; ","")&amp;IF(AND(BA996&lt;&gt;"",LEN(AZ996)=15,MID(AZ996,3,10)&lt;&gt;BA996),"PAN does not match GSTIN; ","")&amp;IF(AND(AX996&lt;&gt;"",AX996&lt;&gt;"OK"),"TAN wrong format; ","")&amp;IF(AS996="","PAN missing; ","")&amp;IF(BB996="","Entity type missing; ","")&amp;IF(AND(AZ996&lt;&gt;"",COUNTIF($AZ$6:$AZ$1005,AZ996)&gt;1),"GSTIN repeated in this sheet; ","")&amp;IF(AND(AS996&lt;&gt;"",COUNTIF($AS$6:$AS$1005,AS996)&gt;1),"PAN repeated in this sheet (same client? put extra GSTINs in Other GSTINs); ","")&amp;IF(AND(BD996&gt;0,V996=""),"Financial year missing; ","")&amp;IF(AND(BD996=0,V996&lt;&gt;""),"Financial year given but no service is Yes; ","")&amp;IF(AND(W996="Yes",AZ996=""),"GST needs a GSTIN; ","")&amp;IF(AND(W996="Yes",X996=""),"GST return frequency missing; ","")&amp;IF(AND(Y996="Yes",TRIM(H996)=""),"TDS needs a TAN; ","")&amp;IF(AND(AA996="Yes",BC996&lt;&gt;"",BC996&lt;&gt;"company",BC996&lt;&gt;"llp"),"ROC is only for a company / LLP; ","")&amp;IF(AND(AA996="Yes",OR(BC996="company",BC996="llp"),TRIM(I996)=""),"ROC needs the CIN / LLPIN; ","")&amp;IF((TRIM(AF996)="")&lt;&gt;(TRIM(AG996)=""),"GST login needs both user ID and password; ","")&amp;IF((TRIM(AH996)="")&lt;&gt;(TRIM(AI996)=""),"Income-tax login needs both user ID and password; ","")&amp;IF((TRIM(AJ996)="")&lt;&gt;(TRIM(AK996)=""),"Income-tax login needs both user ID and password; ","")&amp;IF((TRIM(AL996)="")&lt;&gt;(TRIM(AM996)=""),"TRACES login needs both user ID and password; ","")&amp;IF((TRIM(AN996)="")&lt;&gt;(TRIM(AO996)=""),"MCA login needs both user ID and password; ","")&amp;IF((TRIM(AP996)="")&lt;&gt;(TRIM(AQ996)=""),"E-way bill login needs both user ID and password; ","")</f>
        <v/>
      </c>
    </row>
    <row r="997">
      <c r="A997" s="32" t="n"/>
      <c r="B997" s="33" t="n"/>
      <c r="C997" s="33" t="n"/>
      <c r="D997" s="33" t="n"/>
      <c r="E997" s="32" t="n"/>
      <c r="F997" s="32" t="n"/>
      <c r="G997" s="32" t="n"/>
      <c r="H997" s="32" t="n"/>
      <c r="I997" s="32" t="n"/>
      <c r="J997" s="34" t="n"/>
      <c r="K997" s="33" t="n"/>
      <c r="L997" s="32" t="n"/>
      <c r="M997" s="33" t="n"/>
      <c r="N997" s="33" t="n"/>
      <c r="O997" s="33" t="n"/>
      <c r="P997" s="32" t="n"/>
      <c r="Q997" s="33" t="n"/>
      <c r="R997" s="33" t="n"/>
      <c r="S997" s="33" t="n"/>
      <c r="T997" s="33" t="n"/>
      <c r="U997" s="32" t="n"/>
      <c r="V997" s="33" t="n"/>
      <c r="W997" s="33" t="n"/>
      <c r="X997" s="33" t="n"/>
      <c r="Y997" s="33" t="n"/>
      <c r="Z997" s="33" t="n"/>
      <c r="AA997" s="33" t="n"/>
      <c r="AB997" s="33" t="n"/>
      <c r="AC997" s="33" t="n"/>
      <c r="AD997" s="33" t="n"/>
      <c r="AE997" s="33" t="n"/>
      <c r="AF997" s="32" t="n"/>
      <c r="AG997" s="32" t="n"/>
      <c r="AH997" s="32" t="n"/>
      <c r="AI997" s="32" t="n"/>
      <c r="AJ997" s="32" t="n"/>
      <c r="AK997" s="32" t="n"/>
      <c r="AL997" s="32" t="n"/>
      <c r="AM997" s="32" t="n"/>
      <c r="AN997" s="32" t="n"/>
      <c r="AO997" s="32" t="n"/>
      <c r="AP997" s="32" t="n"/>
      <c r="AQ997" s="32" t="n"/>
      <c r="AR997" s="29">
        <f>IF(NOT(COUNTA(A997:AE997)&gt;0),"",IF(A997="","New client","Update"))</f>
        <v/>
      </c>
      <c r="AS997" s="29">
        <f>IF(BA997&lt;&gt;"",BA997,IF(LEN(AZ997)=15,MID(AZ997,3,10),""))</f>
        <v/>
      </c>
      <c r="AT997" s="29">
        <f>IF(BB997="","",BB997&amp;IF(D997="","  (guessed from PAN)",""))</f>
        <v/>
      </c>
      <c r="AU997" s="29">
        <f>IF(AZ997="","",IFERROR(INDEX(Lists!$L$2:$L$38,MATCH(LEFT(AZ997,2),Lists!$K$2:$K$38,0)),"Unknown code"))</f>
        <v/>
      </c>
      <c r="AV997" s="29">
        <f>IF(AZ997="","",IFERROR(IF(NOT(AND(LEN(AZ997)=15,ISNUMBER(MATCH(LEFT(AZ997,2),Lists!$K$2:$K$38,0)),SUMPRODUCT(--ISERROR(FIND(MID(MID(AZ997,3,10),{1,2,3,4,5,10},1),"ABCDEFGHIJKLMNOPQRSTUVWXYZ")))=0,SUMPRODUCT(--ISERROR(FIND(MID(MID(AZ997,3,10),{6,7,8,9},1),"0123456789")))=0,ISNUMBER(FIND(MID(AZ997,13,1),"123456789ABCDEFGHIJKLMNOPQRSTUVWXYZ")),MID(AZ997,14,1)="Z")),"Wrong format",IF(MID("0123456789ABCDEFGHIJKLMNOPQRSTUVWXYZ",MOD(36-MOD(SUMPRODUCT(INT((FIND(MID(AZ997,{1,2,3,4,5,6,7,8,9,10,11,12,13,14},1),"0123456789ABCDEFGHIJKLMNOPQRSTUVWXYZ")-1)*{1,2,1,2,1,2,1,2,1,2,1,2,1,2}/36)+MOD((FIND(MID(AZ997,{1,2,3,4,5,6,7,8,9,10,11,12,13,14},1),"0123456789ABCDEFGHIJKLMNOPQRSTUVWXYZ")-1)*{1,2,1,2,1,2,1,2,1,2,1,2,1,2},36)),36),36)+1,1)=MID(AZ997,15,1),"OK","Typo? check digit wrong")),"Wrong format"))</f>
        <v/>
      </c>
      <c r="AW997" s="29">
        <f>IF(BA997="","",IF(AND(LEN(BA997)=10,SUMPRODUCT(--ISERROR(FIND(MID(BA997,{1,2,3,4,5,10},1),"ABCDEFGHIJKLMNOPQRSTUVWXYZ")))=0,SUMPRODUCT(--ISERROR(FIND(MID(BA997,{6,7,8,9},1),"0123456789")))=0),"OK","Wrong format"))</f>
        <v/>
      </c>
      <c r="AX997" s="29">
        <f>IF(TRIM(H997)="","",IF(AND(LEN(UPPER(TRIM(H997)))=10,SUMPRODUCT(--ISERROR(FIND(MID(UPPER(TRIM(H997)),{1,2,3,4,10},1),"ABCDEFGHIJKLMNOPQRSTUVWXYZ")))=0,SUMPRODUCT(--ISERROR(FIND(MID(UPPER(TRIM(H997)),{5,6,7,8,9},1),"0123456789")))=0),"OK","Wrong format"))</f>
        <v/>
      </c>
      <c r="AY997" s="30">
        <f>IF(NOT(COUNTA(A997:AE997)&gt;0),"",IF(BE997&lt;&gt;"","✖ "&amp;LEFT(BE997,LEN(BE997)-2),IF(BD997&gt;0,"✔ Ready — client + "&amp;BD997&amp;" service(s)","✔ Ready — client only")))</f>
        <v/>
      </c>
      <c r="AZ997" s="31">
        <f>UPPER(SUBSTITUTE(TRIM(F997)," ",""))</f>
        <v/>
      </c>
      <c r="BA997" s="31">
        <f>UPPER(SUBSTITUTE(TRIM(E997)," ",""))</f>
        <v/>
      </c>
      <c r="BB997" s="31">
        <f>IF(D997&lt;&gt;"",D997,IFERROR(VLOOKUP(MID(AS997,4,1),Lists!$E$2:$F$8,2,FALSE),""))</f>
        <v/>
      </c>
      <c r="BC997" s="31">
        <f>IFERROR(VLOOKUP(BB997,Lists!$A$2:$C$12,3,FALSE),"")</f>
        <v/>
      </c>
      <c r="BD997" s="31">
        <f>COUNTIF(W997:AC997,"Yes")</f>
        <v/>
      </c>
      <c r="BE997" s="31">
        <f>IF(TRIM(B997)="","Legal name missing; ","")&amp;IF(AND(AV997&lt;&gt;"",AV997&lt;&gt;"OK"),"GSTIN: "&amp;AV997&amp;"; ","")&amp;IF(AND(AW997&lt;&gt;"",AW997&lt;&gt;"OK"),"PAN wrong format; ","")&amp;IF(AND(BA997&lt;&gt;"",LEN(AZ997)=15,MID(AZ997,3,10)&lt;&gt;BA997),"PAN does not match GSTIN; ","")&amp;IF(AND(AX997&lt;&gt;"",AX997&lt;&gt;"OK"),"TAN wrong format; ","")&amp;IF(AS997="","PAN missing; ","")&amp;IF(BB997="","Entity type missing; ","")&amp;IF(AND(AZ997&lt;&gt;"",COUNTIF($AZ$6:$AZ$1005,AZ997)&gt;1),"GSTIN repeated in this sheet; ","")&amp;IF(AND(AS997&lt;&gt;"",COUNTIF($AS$6:$AS$1005,AS997)&gt;1),"PAN repeated in this sheet (same client? put extra GSTINs in Other GSTINs); ","")&amp;IF(AND(BD997&gt;0,V997=""),"Financial year missing; ","")&amp;IF(AND(BD997=0,V997&lt;&gt;""),"Financial year given but no service is Yes; ","")&amp;IF(AND(W997="Yes",AZ997=""),"GST needs a GSTIN; ","")&amp;IF(AND(W997="Yes",X997=""),"GST return frequency missing; ","")&amp;IF(AND(Y997="Yes",TRIM(H997)=""),"TDS needs a TAN; ","")&amp;IF(AND(AA997="Yes",BC997&lt;&gt;"",BC997&lt;&gt;"company",BC997&lt;&gt;"llp"),"ROC is only for a company / LLP; ","")&amp;IF(AND(AA997="Yes",OR(BC997="company",BC997="llp"),TRIM(I997)=""),"ROC needs the CIN / LLPIN; ","")&amp;IF((TRIM(AF997)="")&lt;&gt;(TRIM(AG997)=""),"GST login needs both user ID and password; ","")&amp;IF((TRIM(AH997)="")&lt;&gt;(TRIM(AI997)=""),"Income-tax login needs both user ID and password; ","")&amp;IF((TRIM(AJ997)="")&lt;&gt;(TRIM(AK997)=""),"Income-tax login needs both user ID and password; ","")&amp;IF((TRIM(AL997)="")&lt;&gt;(TRIM(AM997)=""),"TRACES login needs both user ID and password; ","")&amp;IF((TRIM(AN997)="")&lt;&gt;(TRIM(AO997)=""),"MCA login needs both user ID and password; ","")&amp;IF((TRIM(AP997)="")&lt;&gt;(TRIM(AQ997)=""),"E-way bill login needs both user ID and password; ","")</f>
        <v/>
      </c>
    </row>
    <row r="998">
      <c r="A998" s="32" t="n"/>
      <c r="B998" s="33" t="n"/>
      <c r="C998" s="33" t="n"/>
      <c r="D998" s="33" t="n"/>
      <c r="E998" s="32" t="n"/>
      <c r="F998" s="32" t="n"/>
      <c r="G998" s="32" t="n"/>
      <c r="H998" s="32" t="n"/>
      <c r="I998" s="32" t="n"/>
      <c r="J998" s="34" t="n"/>
      <c r="K998" s="33" t="n"/>
      <c r="L998" s="32" t="n"/>
      <c r="M998" s="33" t="n"/>
      <c r="N998" s="33" t="n"/>
      <c r="O998" s="33" t="n"/>
      <c r="P998" s="32" t="n"/>
      <c r="Q998" s="33" t="n"/>
      <c r="R998" s="33" t="n"/>
      <c r="S998" s="33" t="n"/>
      <c r="T998" s="33" t="n"/>
      <c r="U998" s="32" t="n"/>
      <c r="V998" s="33" t="n"/>
      <c r="W998" s="33" t="n"/>
      <c r="X998" s="33" t="n"/>
      <c r="Y998" s="33" t="n"/>
      <c r="Z998" s="33" t="n"/>
      <c r="AA998" s="33" t="n"/>
      <c r="AB998" s="33" t="n"/>
      <c r="AC998" s="33" t="n"/>
      <c r="AD998" s="33" t="n"/>
      <c r="AE998" s="33" t="n"/>
      <c r="AF998" s="32" t="n"/>
      <c r="AG998" s="32" t="n"/>
      <c r="AH998" s="32" t="n"/>
      <c r="AI998" s="32" t="n"/>
      <c r="AJ998" s="32" t="n"/>
      <c r="AK998" s="32" t="n"/>
      <c r="AL998" s="32" t="n"/>
      <c r="AM998" s="32" t="n"/>
      <c r="AN998" s="32" t="n"/>
      <c r="AO998" s="32" t="n"/>
      <c r="AP998" s="32" t="n"/>
      <c r="AQ998" s="32" t="n"/>
      <c r="AR998" s="29">
        <f>IF(NOT(COUNTA(A998:AE998)&gt;0),"",IF(A998="","New client","Update"))</f>
        <v/>
      </c>
      <c r="AS998" s="29">
        <f>IF(BA998&lt;&gt;"",BA998,IF(LEN(AZ998)=15,MID(AZ998,3,10),""))</f>
        <v/>
      </c>
      <c r="AT998" s="29">
        <f>IF(BB998="","",BB998&amp;IF(D998="","  (guessed from PAN)",""))</f>
        <v/>
      </c>
      <c r="AU998" s="29">
        <f>IF(AZ998="","",IFERROR(INDEX(Lists!$L$2:$L$38,MATCH(LEFT(AZ998,2),Lists!$K$2:$K$38,0)),"Unknown code"))</f>
        <v/>
      </c>
      <c r="AV998" s="29">
        <f>IF(AZ998="","",IFERROR(IF(NOT(AND(LEN(AZ998)=15,ISNUMBER(MATCH(LEFT(AZ998,2),Lists!$K$2:$K$38,0)),SUMPRODUCT(--ISERROR(FIND(MID(MID(AZ998,3,10),{1,2,3,4,5,10},1),"ABCDEFGHIJKLMNOPQRSTUVWXYZ")))=0,SUMPRODUCT(--ISERROR(FIND(MID(MID(AZ998,3,10),{6,7,8,9},1),"0123456789")))=0,ISNUMBER(FIND(MID(AZ998,13,1),"123456789ABCDEFGHIJKLMNOPQRSTUVWXYZ")),MID(AZ998,14,1)="Z")),"Wrong format",IF(MID("0123456789ABCDEFGHIJKLMNOPQRSTUVWXYZ",MOD(36-MOD(SUMPRODUCT(INT((FIND(MID(AZ998,{1,2,3,4,5,6,7,8,9,10,11,12,13,14},1),"0123456789ABCDEFGHIJKLMNOPQRSTUVWXYZ")-1)*{1,2,1,2,1,2,1,2,1,2,1,2,1,2}/36)+MOD((FIND(MID(AZ998,{1,2,3,4,5,6,7,8,9,10,11,12,13,14},1),"0123456789ABCDEFGHIJKLMNOPQRSTUVWXYZ")-1)*{1,2,1,2,1,2,1,2,1,2,1,2,1,2},36)),36),36)+1,1)=MID(AZ998,15,1),"OK","Typo? check digit wrong")),"Wrong format"))</f>
        <v/>
      </c>
      <c r="AW998" s="29">
        <f>IF(BA998="","",IF(AND(LEN(BA998)=10,SUMPRODUCT(--ISERROR(FIND(MID(BA998,{1,2,3,4,5,10},1),"ABCDEFGHIJKLMNOPQRSTUVWXYZ")))=0,SUMPRODUCT(--ISERROR(FIND(MID(BA998,{6,7,8,9},1),"0123456789")))=0),"OK","Wrong format"))</f>
        <v/>
      </c>
      <c r="AX998" s="29">
        <f>IF(TRIM(H998)="","",IF(AND(LEN(UPPER(TRIM(H998)))=10,SUMPRODUCT(--ISERROR(FIND(MID(UPPER(TRIM(H998)),{1,2,3,4,10},1),"ABCDEFGHIJKLMNOPQRSTUVWXYZ")))=0,SUMPRODUCT(--ISERROR(FIND(MID(UPPER(TRIM(H998)),{5,6,7,8,9},1),"0123456789")))=0),"OK","Wrong format"))</f>
        <v/>
      </c>
      <c r="AY998" s="30">
        <f>IF(NOT(COUNTA(A998:AE998)&gt;0),"",IF(BE998&lt;&gt;"","✖ "&amp;LEFT(BE998,LEN(BE998)-2),IF(BD998&gt;0,"✔ Ready — client + "&amp;BD998&amp;" service(s)","✔ Ready — client only")))</f>
        <v/>
      </c>
      <c r="AZ998" s="31">
        <f>UPPER(SUBSTITUTE(TRIM(F998)," ",""))</f>
        <v/>
      </c>
      <c r="BA998" s="31">
        <f>UPPER(SUBSTITUTE(TRIM(E998)," ",""))</f>
        <v/>
      </c>
      <c r="BB998" s="31">
        <f>IF(D998&lt;&gt;"",D998,IFERROR(VLOOKUP(MID(AS998,4,1),Lists!$E$2:$F$8,2,FALSE),""))</f>
        <v/>
      </c>
      <c r="BC998" s="31">
        <f>IFERROR(VLOOKUP(BB998,Lists!$A$2:$C$12,3,FALSE),"")</f>
        <v/>
      </c>
      <c r="BD998" s="31">
        <f>COUNTIF(W998:AC998,"Yes")</f>
        <v/>
      </c>
      <c r="BE998" s="31">
        <f>IF(TRIM(B998)="","Legal name missing; ","")&amp;IF(AND(AV998&lt;&gt;"",AV998&lt;&gt;"OK"),"GSTIN: "&amp;AV998&amp;"; ","")&amp;IF(AND(AW998&lt;&gt;"",AW998&lt;&gt;"OK"),"PAN wrong format; ","")&amp;IF(AND(BA998&lt;&gt;"",LEN(AZ998)=15,MID(AZ998,3,10)&lt;&gt;BA998),"PAN does not match GSTIN; ","")&amp;IF(AND(AX998&lt;&gt;"",AX998&lt;&gt;"OK"),"TAN wrong format; ","")&amp;IF(AS998="","PAN missing; ","")&amp;IF(BB998="","Entity type missing; ","")&amp;IF(AND(AZ998&lt;&gt;"",COUNTIF($AZ$6:$AZ$1005,AZ998)&gt;1),"GSTIN repeated in this sheet; ","")&amp;IF(AND(AS998&lt;&gt;"",COUNTIF($AS$6:$AS$1005,AS998)&gt;1),"PAN repeated in this sheet (same client? put extra GSTINs in Other GSTINs); ","")&amp;IF(AND(BD998&gt;0,V998=""),"Financial year missing; ","")&amp;IF(AND(BD998=0,V998&lt;&gt;""),"Financial year given but no service is Yes; ","")&amp;IF(AND(W998="Yes",AZ998=""),"GST needs a GSTIN; ","")&amp;IF(AND(W998="Yes",X998=""),"GST return frequency missing; ","")&amp;IF(AND(Y998="Yes",TRIM(H998)=""),"TDS needs a TAN; ","")&amp;IF(AND(AA998="Yes",BC998&lt;&gt;"",BC998&lt;&gt;"company",BC998&lt;&gt;"llp"),"ROC is only for a company / LLP; ","")&amp;IF(AND(AA998="Yes",OR(BC998="company",BC998="llp"),TRIM(I998)=""),"ROC needs the CIN / LLPIN; ","")&amp;IF((TRIM(AF998)="")&lt;&gt;(TRIM(AG998)=""),"GST login needs both user ID and password; ","")&amp;IF((TRIM(AH998)="")&lt;&gt;(TRIM(AI998)=""),"Income-tax login needs both user ID and password; ","")&amp;IF((TRIM(AJ998)="")&lt;&gt;(TRIM(AK998)=""),"Income-tax login needs both user ID and password; ","")&amp;IF((TRIM(AL998)="")&lt;&gt;(TRIM(AM998)=""),"TRACES login needs both user ID and password; ","")&amp;IF((TRIM(AN998)="")&lt;&gt;(TRIM(AO998)=""),"MCA login needs both user ID and password; ","")&amp;IF((TRIM(AP998)="")&lt;&gt;(TRIM(AQ998)=""),"E-way bill login needs both user ID and password; ","")</f>
        <v/>
      </c>
    </row>
    <row r="999">
      <c r="A999" s="32" t="n"/>
      <c r="B999" s="33" t="n"/>
      <c r="C999" s="33" t="n"/>
      <c r="D999" s="33" t="n"/>
      <c r="E999" s="32" t="n"/>
      <c r="F999" s="32" t="n"/>
      <c r="G999" s="32" t="n"/>
      <c r="H999" s="32" t="n"/>
      <c r="I999" s="32" t="n"/>
      <c r="J999" s="34" t="n"/>
      <c r="K999" s="33" t="n"/>
      <c r="L999" s="32" t="n"/>
      <c r="M999" s="33" t="n"/>
      <c r="N999" s="33" t="n"/>
      <c r="O999" s="33" t="n"/>
      <c r="P999" s="32" t="n"/>
      <c r="Q999" s="33" t="n"/>
      <c r="R999" s="33" t="n"/>
      <c r="S999" s="33" t="n"/>
      <c r="T999" s="33" t="n"/>
      <c r="U999" s="32" t="n"/>
      <c r="V999" s="33" t="n"/>
      <c r="W999" s="33" t="n"/>
      <c r="X999" s="33" t="n"/>
      <c r="Y999" s="33" t="n"/>
      <c r="Z999" s="33" t="n"/>
      <c r="AA999" s="33" t="n"/>
      <c r="AB999" s="33" t="n"/>
      <c r="AC999" s="33" t="n"/>
      <c r="AD999" s="33" t="n"/>
      <c r="AE999" s="33" t="n"/>
      <c r="AF999" s="32" t="n"/>
      <c r="AG999" s="32" t="n"/>
      <c r="AH999" s="32" t="n"/>
      <c r="AI999" s="32" t="n"/>
      <c r="AJ999" s="32" t="n"/>
      <c r="AK999" s="32" t="n"/>
      <c r="AL999" s="32" t="n"/>
      <c r="AM999" s="32" t="n"/>
      <c r="AN999" s="32" t="n"/>
      <c r="AO999" s="32" t="n"/>
      <c r="AP999" s="32" t="n"/>
      <c r="AQ999" s="32" t="n"/>
      <c r="AR999" s="29">
        <f>IF(NOT(COUNTA(A999:AE999)&gt;0),"",IF(A999="","New client","Update"))</f>
        <v/>
      </c>
      <c r="AS999" s="29">
        <f>IF(BA999&lt;&gt;"",BA999,IF(LEN(AZ999)=15,MID(AZ999,3,10),""))</f>
        <v/>
      </c>
      <c r="AT999" s="29">
        <f>IF(BB999="","",BB999&amp;IF(D999="","  (guessed from PAN)",""))</f>
        <v/>
      </c>
      <c r="AU999" s="29">
        <f>IF(AZ999="","",IFERROR(INDEX(Lists!$L$2:$L$38,MATCH(LEFT(AZ999,2),Lists!$K$2:$K$38,0)),"Unknown code"))</f>
        <v/>
      </c>
      <c r="AV999" s="29">
        <f>IF(AZ999="","",IFERROR(IF(NOT(AND(LEN(AZ999)=15,ISNUMBER(MATCH(LEFT(AZ999,2),Lists!$K$2:$K$38,0)),SUMPRODUCT(--ISERROR(FIND(MID(MID(AZ999,3,10),{1,2,3,4,5,10},1),"ABCDEFGHIJKLMNOPQRSTUVWXYZ")))=0,SUMPRODUCT(--ISERROR(FIND(MID(MID(AZ999,3,10),{6,7,8,9},1),"0123456789")))=0,ISNUMBER(FIND(MID(AZ999,13,1),"123456789ABCDEFGHIJKLMNOPQRSTUVWXYZ")),MID(AZ999,14,1)="Z")),"Wrong format",IF(MID("0123456789ABCDEFGHIJKLMNOPQRSTUVWXYZ",MOD(36-MOD(SUMPRODUCT(INT((FIND(MID(AZ999,{1,2,3,4,5,6,7,8,9,10,11,12,13,14},1),"0123456789ABCDEFGHIJKLMNOPQRSTUVWXYZ")-1)*{1,2,1,2,1,2,1,2,1,2,1,2,1,2}/36)+MOD((FIND(MID(AZ999,{1,2,3,4,5,6,7,8,9,10,11,12,13,14},1),"0123456789ABCDEFGHIJKLMNOPQRSTUVWXYZ")-1)*{1,2,1,2,1,2,1,2,1,2,1,2,1,2},36)),36),36)+1,1)=MID(AZ999,15,1),"OK","Typo? check digit wrong")),"Wrong format"))</f>
        <v/>
      </c>
      <c r="AW999" s="29">
        <f>IF(BA999="","",IF(AND(LEN(BA999)=10,SUMPRODUCT(--ISERROR(FIND(MID(BA999,{1,2,3,4,5,10},1),"ABCDEFGHIJKLMNOPQRSTUVWXYZ")))=0,SUMPRODUCT(--ISERROR(FIND(MID(BA999,{6,7,8,9},1),"0123456789")))=0),"OK","Wrong format"))</f>
        <v/>
      </c>
      <c r="AX999" s="29">
        <f>IF(TRIM(H999)="","",IF(AND(LEN(UPPER(TRIM(H999)))=10,SUMPRODUCT(--ISERROR(FIND(MID(UPPER(TRIM(H999)),{1,2,3,4,10},1),"ABCDEFGHIJKLMNOPQRSTUVWXYZ")))=0,SUMPRODUCT(--ISERROR(FIND(MID(UPPER(TRIM(H999)),{5,6,7,8,9},1),"0123456789")))=0),"OK","Wrong format"))</f>
        <v/>
      </c>
      <c r="AY999" s="30">
        <f>IF(NOT(COUNTA(A999:AE999)&gt;0),"",IF(BE999&lt;&gt;"","✖ "&amp;LEFT(BE999,LEN(BE999)-2),IF(BD999&gt;0,"✔ Ready — client + "&amp;BD999&amp;" service(s)","✔ Ready — client only")))</f>
        <v/>
      </c>
      <c r="AZ999" s="31">
        <f>UPPER(SUBSTITUTE(TRIM(F999)," ",""))</f>
        <v/>
      </c>
      <c r="BA999" s="31">
        <f>UPPER(SUBSTITUTE(TRIM(E999)," ",""))</f>
        <v/>
      </c>
      <c r="BB999" s="31">
        <f>IF(D999&lt;&gt;"",D999,IFERROR(VLOOKUP(MID(AS999,4,1),Lists!$E$2:$F$8,2,FALSE),""))</f>
        <v/>
      </c>
      <c r="BC999" s="31">
        <f>IFERROR(VLOOKUP(BB999,Lists!$A$2:$C$12,3,FALSE),"")</f>
        <v/>
      </c>
      <c r="BD999" s="31">
        <f>COUNTIF(W999:AC999,"Yes")</f>
        <v/>
      </c>
      <c r="BE999" s="31">
        <f>IF(TRIM(B999)="","Legal name missing; ","")&amp;IF(AND(AV999&lt;&gt;"",AV999&lt;&gt;"OK"),"GSTIN: "&amp;AV999&amp;"; ","")&amp;IF(AND(AW999&lt;&gt;"",AW999&lt;&gt;"OK"),"PAN wrong format; ","")&amp;IF(AND(BA999&lt;&gt;"",LEN(AZ999)=15,MID(AZ999,3,10)&lt;&gt;BA999),"PAN does not match GSTIN; ","")&amp;IF(AND(AX999&lt;&gt;"",AX999&lt;&gt;"OK"),"TAN wrong format; ","")&amp;IF(AS999="","PAN missing; ","")&amp;IF(BB999="","Entity type missing; ","")&amp;IF(AND(AZ999&lt;&gt;"",COUNTIF($AZ$6:$AZ$1005,AZ999)&gt;1),"GSTIN repeated in this sheet; ","")&amp;IF(AND(AS999&lt;&gt;"",COUNTIF($AS$6:$AS$1005,AS999)&gt;1),"PAN repeated in this sheet (same client? put extra GSTINs in Other GSTINs); ","")&amp;IF(AND(BD999&gt;0,V999=""),"Financial year missing; ","")&amp;IF(AND(BD999=0,V999&lt;&gt;""),"Financial year given but no service is Yes; ","")&amp;IF(AND(W999="Yes",AZ999=""),"GST needs a GSTIN; ","")&amp;IF(AND(W999="Yes",X999=""),"GST return frequency missing; ","")&amp;IF(AND(Y999="Yes",TRIM(H999)=""),"TDS needs a TAN; ","")&amp;IF(AND(AA999="Yes",BC999&lt;&gt;"",BC999&lt;&gt;"company",BC999&lt;&gt;"llp"),"ROC is only for a company / LLP; ","")&amp;IF(AND(AA999="Yes",OR(BC999="company",BC999="llp"),TRIM(I999)=""),"ROC needs the CIN / LLPIN; ","")&amp;IF((TRIM(AF999)="")&lt;&gt;(TRIM(AG999)=""),"GST login needs both user ID and password; ","")&amp;IF((TRIM(AH999)="")&lt;&gt;(TRIM(AI999)=""),"Income-tax login needs both user ID and password; ","")&amp;IF((TRIM(AJ999)="")&lt;&gt;(TRIM(AK999)=""),"Income-tax login needs both user ID and password; ","")&amp;IF((TRIM(AL999)="")&lt;&gt;(TRIM(AM999)=""),"TRACES login needs both user ID and password; ","")&amp;IF((TRIM(AN999)="")&lt;&gt;(TRIM(AO999)=""),"MCA login needs both user ID and password; ","")&amp;IF((TRIM(AP999)="")&lt;&gt;(TRIM(AQ999)=""),"E-way bill login needs both user ID and password; ","")</f>
        <v/>
      </c>
    </row>
    <row r="1000">
      <c r="A1000" s="32" t="n"/>
      <c r="B1000" s="33" t="n"/>
      <c r="C1000" s="33" t="n"/>
      <c r="D1000" s="33" t="n"/>
      <c r="E1000" s="32" t="n"/>
      <c r="F1000" s="32" t="n"/>
      <c r="G1000" s="32" t="n"/>
      <c r="H1000" s="32" t="n"/>
      <c r="I1000" s="32" t="n"/>
      <c r="J1000" s="34" t="n"/>
      <c r="K1000" s="33" t="n"/>
      <c r="L1000" s="32" t="n"/>
      <c r="M1000" s="33" t="n"/>
      <c r="N1000" s="33" t="n"/>
      <c r="O1000" s="33" t="n"/>
      <c r="P1000" s="32" t="n"/>
      <c r="Q1000" s="33" t="n"/>
      <c r="R1000" s="33" t="n"/>
      <c r="S1000" s="33" t="n"/>
      <c r="T1000" s="33" t="n"/>
      <c r="U1000" s="32" t="n"/>
      <c r="V1000" s="33" t="n"/>
      <c r="W1000" s="33" t="n"/>
      <c r="X1000" s="33" t="n"/>
      <c r="Y1000" s="33" t="n"/>
      <c r="Z1000" s="33" t="n"/>
      <c r="AA1000" s="33" t="n"/>
      <c r="AB1000" s="33" t="n"/>
      <c r="AC1000" s="33" t="n"/>
      <c r="AD1000" s="33" t="n"/>
      <c r="AE1000" s="33" t="n"/>
      <c r="AF1000" s="32" t="n"/>
      <c r="AG1000" s="32" t="n"/>
      <c r="AH1000" s="32" t="n"/>
      <c r="AI1000" s="32" t="n"/>
      <c r="AJ1000" s="32" t="n"/>
      <c r="AK1000" s="32" t="n"/>
      <c r="AL1000" s="32" t="n"/>
      <c r="AM1000" s="32" t="n"/>
      <c r="AN1000" s="32" t="n"/>
      <c r="AO1000" s="32" t="n"/>
      <c r="AP1000" s="32" t="n"/>
      <c r="AQ1000" s="32" t="n"/>
      <c r="AR1000" s="29">
        <f>IF(NOT(COUNTA(A1000:AE1000)&gt;0),"",IF(A1000="","New client","Update"))</f>
        <v/>
      </c>
      <c r="AS1000" s="29">
        <f>IF(BA1000&lt;&gt;"",BA1000,IF(LEN(AZ1000)=15,MID(AZ1000,3,10),""))</f>
        <v/>
      </c>
      <c r="AT1000" s="29">
        <f>IF(BB1000="","",BB1000&amp;IF(D1000="","  (guessed from PAN)",""))</f>
        <v/>
      </c>
      <c r="AU1000" s="29">
        <f>IF(AZ1000="","",IFERROR(INDEX(Lists!$L$2:$L$38,MATCH(LEFT(AZ1000,2),Lists!$K$2:$K$38,0)),"Unknown code"))</f>
        <v/>
      </c>
      <c r="AV1000" s="29">
        <f>IF(AZ1000="","",IFERROR(IF(NOT(AND(LEN(AZ1000)=15,ISNUMBER(MATCH(LEFT(AZ1000,2),Lists!$K$2:$K$38,0)),SUMPRODUCT(--ISERROR(FIND(MID(MID(AZ1000,3,10),{1,2,3,4,5,10},1),"ABCDEFGHIJKLMNOPQRSTUVWXYZ")))=0,SUMPRODUCT(--ISERROR(FIND(MID(MID(AZ1000,3,10),{6,7,8,9},1),"0123456789")))=0,ISNUMBER(FIND(MID(AZ1000,13,1),"123456789ABCDEFGHIJKLMNOPQRSTUVWXYZ")),MID(AZ1000,14,1)="Z")),"Wrong format",IF(MID("0123456789ABCDEFGHIJKLMNOPQRSTUVWXYZ",MOD(36-MOD(SUMPRODUCT(INT((FIND(MID(AZ1000,{1,2,3,4,5,6,7,8,9,10,11,12,13,14},1),"0123456789ABCDEFGHIJKLMNOPQRSTUVWXYZ")-1)*{1,2,1,2,1,2,1,2,1,2,1,2,1,2}/36)+MOD((FIND(MID(AZ1000,{1,2,3,4,5,6,7,8,9,10,11,12,13,14},1),"0123456789ABCDEFGHIJKLMNOPQRSTUVWXYZ")-1)*{1,2,1,2,1,2,1,2,1,2,1,2,1,2},36)),36),36)+1,1)=MID(AZ1000,15,1),"OK","Typo? check digit wrong")),"Wrong format"))</f>
        <v/>
      </c>
      <c r="AW1000" s="29">
        <f>IF(BA1000="","",IF(AND(LEN(BA1000)=10,SUMPRODUCT(--ISERROR(FIND(MID(BA1000,{1,2,3,4,5,10},1),"ABCDEFGHIJKLMNOPQRSTUVWXYZ")))=0,SUMPRODUCT(--ISERROR(FIND(MID(BA1000,{6,7,8,9},1),"0123456789")))=0),"OK","Wrong format"))</f>
        <v/>
      </c>
      <c r="AX1000" s="29">
        <f>IF(TRIM(H1000)="","",IF(AND(LEN(UPPER(TRIM(H1000)))=10,SUMPRODUCT(--ISERROR(FIND(MID(UPPER(TRIM(H1000)),{1,2,3,4,10},1),"ABCDEFGHIJKLMNOPQRSTUVWXYZ")))=0,SUMPRODUCT(--ISERROR(FIND(MID(UPPER(TRIM(H1000)),{5,6,7,8,9},1),"0123456789")))=0),"OK","Wrong format"))</f>
        <v/>
      </c>
      <c r="AY1000" s="30">
        <f>IF(NOT(COUNTA(A1000:AE1000)&gt;0),"",IF(BE1000&lt;&gt;"","✖ "&amp;LEFT(BE1000,LEN(BE1000)-2),IF(BD1000&gt;0,"✔ Ready — client + "&amp;BD1000&amp;" service(s)","✔ Ready — client only")))</f>
        <v/>
      </c>
      <c r="AZ1000" s="31">
        <f>UPPER(SUBSTITUTE(TRIM(F1000)," ",""))</f>
        <v/>
      </c>
      <c r="BA1000" s="31">
        <f>UPPER(SUBSTITUTE(TRIM(E1000)," ",""))</f>
        <v/>
      </c>
      <c r="BB1000" s="31">
        <f>IF(D1000&lt;&gt;"",D1000,IFERROR(VLOOKUP(MID(AS1000,4,1),Lists!$E$2:$F$8,2,FALSE),""))</f>
        <v/>
      </c>
      <c r="BC1000" s="31">
        <f>IFERROR(VLOOKUP(BB1000,Lists!$A$2:$C$12,3,FALSE),"")</f>
        <v/>
      </c>
      <c r="BD1000" s="31">
        <f>COUNTIF(W1000:AC1000,"Yes")</f>
        <v/>
      </c>
      <c r="BE1000" s="31">
        <f>IF(TRIM(B1000)="","Legal name missing; ","")&amp;IF(AND(AV1000&lt;&gt;"",AV1000&lt;&gt;"OK"),"GSTIN: "&amp;AV1000&amp;"; ","")&amp;IF(AND(AW1000&lt;&gt;"",AW1000&lt;&gt;"OK"),"PAN wrong format; ","")&amp;IF(AND(BA1000&lt;&gt;"",LEN(AZ1000)=15,MID(AZ1000,3,10)&lt;&gt;BA1000),"PAN does not match GSTIN; ","")&amp;IF(AND(AX1000&lt;&gt;"",AX1000&lt;&gt;"OK"),"TAN wrong format; ","")&amp;IF(AS1000="","PAN missing; ","")&amp;IF(BB1000="","Entity type missing; ","")&amp;IF(AND(AZ1000&lt;&gt;"",COUNTIF($AZ$6:$AZ$1005,AZ1000)&gt;1),"GSTIN repeated in this sheet; ","")&amp;IF(AND(AS1000&lt;&gt;"",COUNTIF($AS$6:$AS$1005,AS1000)&gt;1),"PAN repeated in this sheet (same client? put extra GSTINs in Other GSTINs); ","")&amp;IF(AND(BD1000&gt;0,V1000=""),"Financial year missing; ","")&amp;IF(AND(BD1000=0,V1000&lt;&gt;""),"Financial year given but no service is Yes; ","")&amp;IF(AND(W1000="Yes",AZ1000=""),"GST needs a GSTIN; ","")&amp;IF(AND(W1000="Yes",X1000=""),"GST return frequency missing; ","")&amp;IF(AND(Y1000="Yes",TRIM(H1000)=""),"TDS needs a TAN; ","")&amp;IF(AND(AA1000="Yes",BC1000&lt;&gt;"",BC1000&lt;&gt;"company",BC1000&lt;&gt;"llp"),"ROC is only for a company / LLP; ","")&amp;IF(AND(AA1000="Yes",OR(BC1000="company",BC1000="llp"),TRIM(I1000)=""),"ROC needs the CIN / LLPIN; ","")&amp;IF((TRIM(AF1000)="")&lt;&gt;(TRIM(AG1000)=""),"GST login needs both user ID and password; ","")&amp;IF((TRIM(AH1000)="")&lt;&gt;(TRIM(AI1000)=""),"Income-tax login needs both user ID and password; ","")&amp;IF((TRIM(AJ1000)="")&lt;&gt;(TRIM(AK1000)=""),"Income-tax login needs both user ID and password; ","")&amp;IF((TRIM(AL1000)="")&lt;&gt;(TRIM(AM1000)=""),"TRACES login needs both user ID and password; ","")&amp;IF((TRIM(AN1000)="")&lt;&gt;(TRIM(AO1000)=""),"MCA login needs both user ID and password; ","")&amp;IF((TRIM(AP1000)="")&lt;&gt;(TRIM(AQ1000)=""),"E-way bill login needs both user ID and password; ","")</f>
        <v/>
      </c>
    </row>
    <row r="1001">
      <c r="A1001" s="32" t="n"/>
      <c r="B1001" s="33" t="n"/>
      <c r="C1001" s="33" t="n"/>
      <c r="D1001" s="33" t="n"/>
      <c r="E1001" s="32" t="n"/>
      <c r="F1001" s="32" t="n"/>
      <c r="G1001" s="32" t="n"/>
      <c r="H1001" s="32" t="n"/>
      <c r="I1001" s="32" t="n"/>
      <c r="J1001" s="34" t="n"/>
      <c r="K1001" s="33" t="n"/>
      <c r="L1001" s="32" t="n"/>
      <c r="M1001" s="33" t="n"/>
      <c r="N1001" s="33" t="n"/>
      <c r="O1001" s="33" t="n"/>
      <c r="P1001" s="32" t="n"/>
      <c r="Q1001" s="33" t="n"/>
      <c r="R1001" s="33" t="n"/>
      <c r="S1001" s="33" t="n"/>
      <c r="T1001" s="33" t="n"/>
      <c r="U1001" s="32" t="n"/>
      <c r="V1001" s="33" t="n"/>
      <c r="W1001" s="33" t="n"/>
      <c r="X1001" s="33" t="n"/>
      <c r="Y1001" s="33" t="n"/>
      <c r="Z1001" s="33" t="n"/>
      <c r="AA1001" s="33" t="n"/>
      <c r="AB1001" s="33" t="n"/>
      <c r="AC1001" s="33" t="n"/>
      <c r="AD1001" s="33" t="n"/>
      <c r="AE1001" s="33" t="n"/>
      <c r="AF1001" s="32" t="n"/>
      <c r="AG1001" s="32" t="n"/>
      <c r="AH1001" s="32" t="n"/>
      <c r="AI1001" s="32" t="n"/>
      <c r="AJ1001" s="32" t="n"/>
      <c r="AK1001" s="32" t="n"/>
      <c r="AL1001" s="32" t="n"/>
      <c r="AM1001" s="32" t="n"/>
      <c r="AN1001" s="32" t="n"/>
      <c r="AO1001" s="32" t="n"/>
      <c r="AP1001" s="32" t="n"/>
      <c r="AQ1001" s="32" t="n"/>
      <c r="AR1001" s="29">
        <f>IF(NOT(COUNTA(A1001:AE1001)&gt;0),"",IF(A1001="","New client","Update"))</f>
        <v/>
      </c>
      <c r="AS1001" s="29">
        <f>IF(BA1001&lt;&gt;"",BA1001,IF(LEN(AZ1001)=15,MID(AZ1001,3,10),""))</f>
        <v/>
      </c>
      <c r="AT1001" s="29">
        <f>IF(BB1001="","",BB1001&amp;IF(D1001="","  (guessed from PAN)",""))</f>
        <v/>
      </c>
      <c r="AU1001" s="29">
        <f>IF(AZ1001="","",IFERROR(INDEX(Lists!$L$2:$L$38,MATCH(LEFT(AZ1001,2),Lists!$K$2:$K$38,0)),"Unknown code"))</f>
        <v/>
      </c>
      <c r="AV1001" s="29">
        <f>IF(AZ1001="","",IFERROR(IF(NOT(AND(LEN(AZ1001)=15,ISNUMBER(MATCH(LEFT(AZ1001,2),Lists!$K$2:$K$38,0)),SUMPRODUCT(--ISERROR(FIND(MID(MID(AZ1001,3,10),{1,2,3,4,5,10},1),"ABCDEFGHIJKLMNOPQRSTUVWXYZ")))=0,SUMPRODUCT(--ISERROR(FIND(MID(MID(AZ1001,3,10),{6,7,8,9},1),"0123456789")))=0,ISNUMBER(FIND(MID(AZ1001,13,1),"123456789ABCDEFGHIJKLMNOPQRSTUVWXYZ")),MID(AZ1001,14,1)="Z")),"Wrong format",IF(MID("0123456789ABCDEFGHIJKLMNOPQRSTUVWXYZ",MOD(36-MOD(SUMPRODUCT(INT((FIND(MID(AZ1001,{1,2,3,4,5,6,7,8,9,10,11,12,13,14},1),"0123456789ABCDEFGHIJKLMNOPQRSTUVWXYZ")-1)*{1,2,1,2,1,2,1,2,1,2,1,2,1,2}/36)+MOD((FIND(MID(AZ1001,{1,2,3,4,5,6,7,8,9,10,11,12,13,14},1),"0123456789ABCDEFGHIJKLMNOPQRSTUVWXYZ")-1)*{1,2,1,2,1,2,1,2,1,2,1,2,1,2},36)),36),36)+1,1)=MID(AZ1001,15,1),"OK","Typo? check digit wrong")),"Wrong format"))</f>
        <v/>
      </c>
      <c r="AW1001" s="29">
        <f>IF(BA1001="","",IF(AND(LEN(BA1001)=10,SUMPRODUCT(--ISERROR(FIND(MID(BA1001,{1,2,3,4,5,10},1),"ABCDEFGHIJKLMNOPQRSTUVWXYZ")))=0,SUMPRODUCT(--ISERROR(FIND(MID(BA1001,{6,7,8,9},1),"0123456789")))=0),"OK","Wrong format"))</f>
        <v/>
      </c>
      <c r="AX1001" s="29">
        <f>IF(TRIM(H1001)="","",IF(AND(LEN(UPPER(TRIM(H1001)))=10,SUMPRODUCT(--ISERROR(FIND(MID(UPPER(TRIM(H1001)),{1,2,3,4,10},1),"ABCDEFGHIJKLMNOPQRSTUVWXYZ")))=0,SUMPRODUCT(--ISERROR(FIND(MID(UPPER(TRIM(H1001)),{5,6,7,8,9},1),"0123456789")))=0),"OK","Wrong format"))</f>
        <v/>
      </c>
      <c r="AY1001" s="30">
        <f>IF(NOT(COUNTA(A1001:AE1001)&gt;0),"",IF(BE1001&lt;&gt;"","✖ "&amp;LEFT(BE1001,LEN(BE1001)-2),IF(BD1001&gt;0,"✔ Ready — client + "&amp;BD1001&amp;" service(s)","✔ Ready — client only")))</f>
        <v/>
      </c>
      <c r="AZ1001" s="31">
        <f>UPPER(SUBSTITUTE(TRIM(F1001)," ",""))</f>
        <v/>
      </c>
      <c r="BA1001" s="31">
        <f>UPPER(SUBSTITUTE(TRIM(E1001)," ",""))</f>
        <v/>
      </c>
      <c r="BB1001" s="31">
        <f>IF(D1001&lt;&gt;"",D1001,IFERROR(VLOOKUP(MID(AS1001,4,1),Lists!$E$2:$F$8,2,FALSE),""))</f>
        <v/>
      </c>
      <c r="BC1001" s="31">
        <f>IFERROR(VLOOKUP(BB1001,Lists!$A$2:$C$12,3,FALSE),"")</f>
        <v/>
      </c>
      <c r="BD1001" s="31">
        <f>COUNTIF(W1001:AC1001,"Yes")</f>
        <v/>
      </c>
      <c r="BE1001" s="31">
        <f>IF(TRIM(B1001)="","Legal name missing; ","")&amp;IF(AND(AV1001&lt;&gt;"",AV1001&lt;&gt;"OK"),"GSTIN: "&amp;AV1001&amp;"; ","")&amp;IF(AND(AW1001&lt;&gt;"",AW1001&lt;&gt;"OK"),"PAN wrong format; ","")&amp;IF(AND(BA1001&lt;&gt;"",LEN(AZ1001)=15,MID(AZ1001,3,10)&lt;&gt;BA1001),"PAN does not match GSTIN; ","")&amp;IF(AND(AX1001&lt;&gt;"",AX1001&lt;&gt;"OK"),"TAN wrong format; ","")&amp;IF(AS1001="","PAN missing; ","")&amp;IF(BB1001="","Entity type missing; ","")&amp;IF(AND(AZ1001&lt;&gt;"",COUNTIF($AZ$6:$AZ$1005,AZ1001)&gt;1),"GSTIN repeated in this sheet; ","")&amp;IF(AND(AS1001&lt;&gt;"",COUNTIF($AS$6:$AS$1005,AS1001)&gt;1),"PAN repeated in this sheet (same client? put extra GSTINs in Other GSTINs); ","")&amp;IF(AND(BD1001&gt;0,V1001=""),"Financial year missing; ","")&amp;IF(AND(BD1001=0,V1001&lt;&gt;""),"Financial year given but no service is Yes; ","")&amp;IF(AND(W1001="Yes",AZ1001=""),"GST needs a GSTIN; ","")&amp;IF(AND(W1001="Yes",X1001=""),"GST return frequency missing; ","")&amp;IF(AND(Y1001="Yes",TRIM(H1001)=""),"TDS needs a TAN; ","")&amp;IF(AND(AA1001="Yes",BC1001&lt;&gt;"",BC1001&lt;&gt;"company",BC1001&lt;&gt;"llp"),"ROC is only for a company / LLP; ","")&amp;IF(AND(AA1001="Yes",OR(BC1001="company",BC1001="llp"),TRIM(I1001)=""),"ROC needs the CIN / LLPIN; ","")&amp;IF((TRIM(AF1001)="")&lt;&gt;(TRIM(AG1001)=""),"GST login needs both user ID and password; ","")&amp;IF((TRIM(AH1001)="")&lt;&gt;(TRIM(AI1001)=""),"Income-tax login needs both user ID and password; ","")&amp;IF((TRIM(AJ1001)="")&lt;&gt;(TRIM(AK1001)=""),"Income-tax login needs both user ID and password; ","")&amp;IF((TRIM(AL1001)="")&lt;&gt;(TRIM(AM1001)=""),"TRACES login needs both user ID and password; ","")&amp;IF((TRIM(AN1001)="")&lt;&gt;(TRIM(AO1001)=""),"MCA login needs both user ID and password; ","")&amp;IF((TRIM(AP1001)="")&lt;&gt;(TRIM(AQ1001)=""),"E-way bill login needs both user ID and password; ","")</f>
        <v/>
      </c>
    </row>
    <row r="1002">
      <c r="A1002" s="32" t="n"/>
      <c r="B1002" s="33" t="n"/>
      <c r="C1002" s="33" t="n"/>
      <c r="D1002" s="33" t="n"/>
      <c r="E1002" s="32" t="n"/>
      <c r="F1002" s="32" t="n"/>
      <c r="G1002" s="32" t="n"/>
      <c r="H1002" s="32" t="n"/>
      <c r="I1002" s="32" t="n"/>
      <c r="J1002" s="34" t="n"/>
      <c r="K1002" s="33" t="n"/>
      <c r="L1002" s="32" t="n"/>
      <c r="M1002" s="33" t="n"/>
      <c r="N1002" s="33" t="n"/>
      <c r="O1002" s="33" t="n"/>
      <c r="P1002" s="32" t="n"/>
      <c r="Q1002" s="33" t="n"/>
      <c r="R1002" s="33" t="n"/>
      <c r="S1002" s="33" t="n"/>
      <c r="T1002" s="33" t="n"/>
      <c r="U1002" s="32" t="n"/>
      <c r="V1002" s="33" t="n"/>
      <c r="W1002" s="33" t="n"/>
      <c r="X1002" s="33" t="n"/>
      <c r="Y1002" s="33" t="n"/>
      <c r="Z1002" s="33" t="n"/>
      <c r="AA1002" s="33" t="n"/>
      <c r="AB1002" s="33" t="n"/>
      <c r="AC1002" s="33" t="n"/>
      <c r="AD1002" s="33" t="n"/>
      <c r="AE1002" s="33" t="n"/>
      <c r="AF1002" s="32" t="n"/>
      <c r="AG1002" s="32" t="n"/>
      <c r="AH1002" s="32" t="n"/>
      <c r="AI1002" s="32" t="n"/>
      <c r="AJ1002" s="32" t="n"/>
      <c r="AK1002" s="32" t="n"/>
      <c r="AL1002" s="32" t="n"/>
      <c r="AM1002" s="32" t="n"/>
      <c r="AN1002" s="32" t="n"/>
      <c r="AO1002" s="32" t="n"/>
      <c r="AP1002" s="32" t="n"/>
      <c r="AQ1002" s="32" t="n"/>
      <c r="AR1002" s="29">
        <f>IF(NOT(COUNTA(A1002:AE1002)&gt;0),"",IF(A1002="","New client","Update"))</f>
        <v/>
      </c>
      <c r="AS1002" s="29">
        <f>IF(BA1002&lt;&gt;"",BA1002,IF(LEN(AZ1002)=15,MID(AZ1002,3,10),""))</f>
        <v/>
      </c>
      <c r="AT1002" s="29">
        <f>IF(BB1002="","",BB1002&amp;IF(D1002="","  (guessed from PAN)",""))</f>
        <v/>
      </c>
      <c r="AU1002" s="29">
        <f>IF(AZ1002="","",IFERROR(INDEX(Lists!$L$2:$L$38,MATCH(LEFT(AZ1002,2),Lists!$K$2:$K$38,0)),"Unknown code"))</f>
        <v/>
      </c>
      <c r="AV1002" s="29">
        <f>IF(AZ1002="","",IFERROR(IF(NOT(AND(LEN(AZ1002)=15,ISNUMBER(MATCH(LEFT(AZ1002,2),Lists!$K$2:$K$38,0)),SUMPRODUCT(--ISERROR(FIND(MID(MID(AZ1002,3,10),{1,2,3,4,5,10},1),"ABCDEFGHIJKLMNOPQRSTUVWXYZ")))=0,SUMPRODUCT(--ISERROR(FIND(MID(MID(AZ1002,3,10),{6,7,8,9},1),"0123456789")))=0,ISNUMBER(FIND(MID(AZ1002,13,1),"123456789ABCDEFGHIJKLMNOPQRSTUVWXYZ")),MID(AZ1002,14,1)="Z")),"Wrong format",IF(MID("0123456789ABCDEFGHIJKLMNOPQRSTUVWXYZ",MOD(36-MOD(SUMPRODUCT(INT((FIND(MID(AZ1002,{1,2,3,4,5,6,7,8,9,10,11,12,13,14},1),"0123456789ABCDEFGHIJKLMNOPQRSTUVWXYZ")-1)*{1,2,1,2,1,2,1,2,1,2,1,2,1,2}/36)+MOD((FIND(MID(AZ1002,{1,2,3,4,5,6,7,8,9,10,11,12,13,14},1),"0123456789ABCDEFGHIJKLMNOPQRSTUVWXYZ")-1)*{1,2,1,2,1,2,1,2,1,2,1,2,1,2},36)),36),36)+1,1)=MID(AZ1002,15,1),"OK","Typo? check digit wrong")),"Wrong format"))</f>
        <v/>
      </c>
      <c r="AW1002" s="29">
        <f>IF(BA1002="","",IF(AND(LEN(BA1002)=10,SUMPRODUCT(--ISERROR(FIND(MID(BA1002,{1,2,3,4,5,10},1),"ABCDEFGHIJKLMNOPQRSTUVWXYZ")))=0,SUMPRODUCT(--ISERROR(FIND(MID(BA1002,{6,7,8,9},1),"0123456789")))=0),"OK","Wrong format"))</f>
        <v/>
      </c>
      <c r="AX1002" s="29">
        <f>IF(TRIM(H1002)="","",IF(AND(LEN(UPPER(TRIM(H1002)))=10,SUMPRODUCT(--ISERROR(FIND(MID(UPPER(TRIM(H1002)),{1,2,3,4,10},1),"ABCDEFGHIJKLMNOPQRSTUVWXYZ")))=0,SUMPRODUCT(--ISERROR(FIND(MID(UPPER(TRIM(H1002)),{5,6,7,8,9},1),"0123456789")))=0),"OK","Wrong format"))</f>
        <v/>
      </c>
      <c r="AY1002" s="30">
        <f>IF(NOT(COUNTA(A1002:AE1002)&gt;0),"",IF(BE1002&lt;&gt;"","✖ "&amp;LEFT(BE1002,LEN(BE1002)-2),IF(BD1002&gt;0,"✔ Ready — client + "&amp;BD1002&amp;" service(s)","✔ Ready — client only")))</f>
        <v/>
      </c>
      <c r="AZ1002" s="31">
        <f>UPPER(SUBSTITUTE(TRIM(F1002)," ",""))</f>
        <v/>
      </c>
      <c r="BA1002" s="31">
        <f>UPPER(SUBSTITUTE(TRIM(E1002)," ",""))</f>
        <v/>
      </c>
      <c r="BB1002" s="31">
        <f>IF(D1002&lt;&gt;"",D1002,IFERROR(VLOOKUP(MID(AS1002,4,1),Lists!$E$2:$F$8,2,FALSE),""))</f>
        <v/>
      </c>
      <c r="BC1002" s="31">
        <f>IFERROR(VLOOKUP(BB1002,Lists!$A$2:$C$12,3,FALSE),"")</f>
        <v/>
      </c>
      <c r="BD1002" s="31">
        <f>COUNTIF(W1002:AC1002,"Yes")</f>
        <v/>
      </c>
      <c r="BE1002" s="31">
        <f>IF(TRIM(B1002)="","Legal name missing; ","")&amp;IF(AND(AV1002&lt;&gt;"",AV1002&lt;&gt;"OK"),"GSTIN: "&amp;AV1002&amp;"; ","")&amp;IF(AND(AW1002&lt;&gt;"",AW1002&lt;&gt;"OK"),"PAN wrong format; ","")&amp;IF(AND(BA1002&lt;&gt;"",LEN(AZ1002)=15,MID(AZ1002,3,10)&lt;&gt;BA1002),"PAN does not match GSTIN; ","")&amp;IF(AND(AX1002&lt;&gt;"",AX1002&lt;&gt;"OK"),"TAN wrong format; ","")&amp;IF(AS1002="","PAN missing; ","")&amp;IF(BB1002="","Entity type missing; ","")&amp;IF(AND(AZ1002&lt;&gt;"",COUNTIF($AZ$6:$AZ$1005,AZ1002)&gt;1),"GSTIN repeated in this sheet; ","")&amp;IF(AND(AS1002&lt;&gt;"",COUNTIF($AS$6:$AS$1005,AS1002)&gt;1),"PAN repeated in this sheet (same client? put extra GSTINs in Other GSTINs); ","")&amp;IF(AND(BD1002&gt;0,V1002=""),"Financial year missing; ","")&amp;IF(AND(BD1002=0,V1002&lt;&gt;""),"Financial year given but no service is Yes; ","")&amp;IF(AND(W1002="Yes",AZ1002=""),"GST needs a GSTIN; ","")&amp;IF(AND(W1002="Yes",X1002=""),"GST return frequency missing; ","")&amp;IF(AND(Y1002="Yes",TRIM(H1002)=""),"TDS needs a TAN; ","")&amp;IF(AND(AA1002="Yes",BC1002&lt;&gt;"",BC1002&lt;&gt;"company",BC1002&lt;&gt;"llp"),"ROC is only for a company / LLP; ","")&amp;IF(AND(AA1002="Yes",OR(BC1002="company",BC1002="llp"),TRIM(I1002)=""),"ROC needs the CIN / LLPIN; ","")&amp;IF((TRIM(AF1002)="")&lt;&gt;(TRIM(AG1002)=""),"GST login needs both user ID and password; ","")&amp;IF((TRIM(AH1002)="")&lt;&gt;(TRIM(AI1002)=""),"Income-tax login needs both user ID and password; ","")&amp;IF((TRIM(AJ1002)="")&lt;&gt;(TRIM(AK1002)=""),"Income-tax login needs both user ID and password; ","")&amp;IF((TRIM(AL1002)="")&lt;&gt;(TRIM(AM1002)=""),"TRACES login needs both user ID and password; ","")&amp;IF((TRIM(AN1002)="")&lt;&gt;(TRIM(AO1002)=""),"MCA login needs both user ID and password; ","")&amp;IF((TRIM(AP1002)="")&lt;&gt;(TRIM(AQ1002)=""),"E-way bill login needs both user ID and password; ","")</f>
        <v/>
      </c>
    </row>
    <row r="1003">
      <c r="A1003" s="32" t="n"/>
      <c r="B1003" s="33" t="n"/>
      <c r="C1003" s="33" t="n"/>
      <c r="D1003" s="33" t="n"/>
      <c r="E1003" s="32" t="n"/>
      <c r="F1003" s="32" t="n"/>
      <c r="G1003" s="32" t="n"/>
      <c r="H1003" s="32" t="n"/>
      <c r="I1003" s="32" t="n"/>
      <c r="J1003" s="34" t="n"/>
      <c r="K1003" s="33" t="n"/>
      <c r="L1003" s="32" t="n"/>
      <c r="M1003" s="33" t="n"/>
      <c r="N1003" s="33" t="n"/>
      <c r="O1003" s="33" t="n"/>
      <c r="P1003" s="32" t="n"/>
      <c r="Q1003" s="33" t="n"/>
      <c r="R1003" s="33" t="n"/>
      <c r="S1003" s="33" t="n"/>
      <c r="T1003" s="33" t="n"/>
      <c r="U1003" s="32" t="n"/>
      <c r="V1003" s="33" t="n"/>
      <c r="W1003" s="33" t="n"/>
      <c r="X1003" s="33" t="n"/>
      <c r="Y1003" s="33" t="n"/>
      <c r="Z1003" s="33" t="n"/>
      <c r="AA1003" s="33" t="n"/>
      <c r="AB1003" s="33" t="n"/>
      <c r="AC1003" s="33" t="n"/>
      <c r="AD1003" s="33" t="n"/>
      <c r="AE1003" s="33" t="n"/>
      <c r="AF1003" s="32" t="n"/>
      <c r="AG1003" s="32" t="n"/>
      <c r="AH1003" s="32" t="n"/>
      <c r="AI1003" s="32" t="n"/>
      <c r="AJ1003" s="32" t="n"/>
      <c r="AK1003" s="32" t="n"/>
      <c r="AL1003" s="32" t="n"/>
      <c r="AM1003" s="32" t="n"/>
      <c r="AN1003" s="32" t="n"/>
      <c r="AO1003" s="32" t="n"/>
      <c r="AP1003" s="32" t="n"/>
      <c r="AQ1003" s="32" t="n"/>
      <c r="AR1003" s="29">
        <f>IF(NOT(COUNTA(A1003:AE1003)&gt;0),"",IF(A1003="","New client","Update"))</f>
        <v/>
      </c>
      <c r="AS1003" s="29">
        <f>IF(BA1003&lt;&gt;"",BA1003,IF(LEN(AZ1003)=15,MID(AZ1003,3,10),""))</f>
        <v/>
      </c>
      <c r="AT1003" s="29">
        <f>IF(BB1003="","",BB1003&amp;IF(D1003="","  (guessed from PAN)",""))</f>
        <v/>
      </c>
      <c r="AU1003" s="29">
        <f>IF(AZ1003="","",IFERROR(INDEX(Lists!$L$2:$L$38,MATCH(LEFT(AZ1003,2),Lists!$K$2:$K$38,0)),"Unknown code"))</f>
        <v/>
      </c>
      <c r="AV1003" s="29">
        <f>IF(AZ1003="","",IFERROR(IF(NOT(AND(LEN(AZ1003)=15,ISNUMBER(MATCH(LEFT(AZ1003,2),Lists!$K$2:$K$38,0)),SUMPRODUCT(--ISERROR(FIND(MID(MID(AZ1003,3,10),{1,2,3,4,5,10},1),"ABCDEFGHIJKLMNOPQRSTUVWXYZ")))=0,SUMPRODUCT(--ISERROR(FIND(MID(MID(AZ1003,3,10),{6,7,8,9},1),"0123456789")))=0,ISNUMBER(FIND(MID(AZ1003,13,1),"123456789ABCDEFGHIJKLMNOPQRSTUVWXYZ")),MID(AZ1003,14,1)="Z")),"Wrong format",IF(MID("0123456789ABCDEFGHIJKLMNOPQRSTUVWXYZ",MOD(36-MOD(SUMPRODUCT(INT((FIND(MID(AZ1003,{1,2,3,4,5,6,7,8,9,10,11,12,13,14},1),"0123456789ABCDEFGHIJKLMNOPQRSTUVWXYZ")-1)*{1,2,1,2,1,2,1,2,1,2,1,2,1,2}/36)+MOD((FIND(MID(AZ1003,{1,2,3,4,5,6,7,8,9,10,11,12,13,14},1),"0123456789ABCDEFGHIJKLMNOPQRSTUVWXYZ")-1)*{1,2,1,2,1,2,1,2,1,2,1,2,1,2},36)),36),36)+1,1)=MID(AZ1003,15,1),"OK","Typo? check digit wrong")),"Wrong format"))</f>
        <v/>
      </c>
      <c r="AW1003" s="29">
        <f>IF(BA1003="","",IF(AND(LEN(BA1003)=10,SUMPRODUCT(--ISERROR(FIND(MID(BA1003,{1,2,3,4,5,10},1),"ABCDEFGHIJKLMNOPQRSTUVWXYZ")))=0,SUMPRODUCT(--ISERROR(FIND(MID(BA1003,{6,7,8,9},1),"0123456789")))=0),"OK","Wrong format"))</f>
        <v/>
      </c>
      <c r="AX1003" s="29">
        <f>IF(TRIM(H1003)="","",IF(AND(LEN(UPPER(TRIM(H1003)))=10,SUMPRODUCT(--ISERROR(FIND(MID(UPPER(TRIM(H1003)),{1,2,3,4,10},1),"ABCDEFGHIJKLMNOPQRSTUVWXYZ")))=0,SUMPRODUCT(--ISERROR(FIND(MID(UPPER(TRIM(H1003)),{5,6,7,8,9},1),"0123456789")))=0),"OK","Wrong format"))</f>
        <v/>
      </c>
      <c r="AY1003" s="30">
        <f>IF(NOT(COUNTA(A1003:AE1003)&gt;0),"",IF(BE1003&lt;&gt;"","✖ "&amp;LEFT(BE1003,LEN(BE1003)-2),IF(BD1003&gt;0,"✔ Ready — client + "&amp;BD1003&amp;" service(s)","✔ Ready — client only")))</f>
        <v/>
      </c>
      <c r="AZ1003" s="31">
        <f>UPPER(SUBSTITUTE(TRIM(F1003)," ",""))</f>
        <v/>
      </c>
      <c r="BA1003" s="31">
        <f>UPPER(SUBSTITUTE(TRIM(E1003)," ",""))</f>
        <v/>
      </c>
      <c r="BB1003" s="31">
        <f>IF(D1003&lt;&gt;"",D1003,IFERROR(VLOOKUP(MID(AS1003,4,1),Lists!$E$2:$F$8,2,FALSE),""))</f>
        <v/>
      </c>
      <c r="BC1003" s="31">
        <f>IFERROR(VLOOKUP(BB1003,Lists!$A$2:$C$12,3,FALSE),"")</f>
        <v/>
      </c>
      <c r="BD1003" s="31">
        <f>COUNTIF(W1003:AC1003,"Yes")</f>
        <v/>
      </c>
      <c r="BE1003" s="31">
        <f>IF(TRIM(B1003)="","Legal name missing; ","")&amp;IF(AND(AV1003&lt;&gt;"",AV1003&lt;&gt;"OK"),"GSTIN: "&amp;AV1003&amp;"; ","")&amp;IF(AND(AW1003&lt;&gt;"",AW1003&lt;&gt;"OK"),"PAN wrong format; ","")&amp;IF(AND(BA1003&lt;&gt;"",LEN(AZ1003)=15,MID(AZ1003,3,10)&lt;&gt;BA1003),"PAN does not match GSTIN; ","")&amp;IF(AND(AX1003&lt;&gt;"",AX1003&lt;&gt;"OK"),"TAN wrong format; ","")&amp;IF(AS1003="","PAN missing; ","")&amp;IF(BB1003="","Entity type missing; ","")&amp;IF(AND(AZ1003&lt;&gt;"",COUNTIF($AZ$6:$AZ$1005,AZ1003)&gt;1),"GSTIN repeated in this sheet; ","")&amp;IF(AND(AS1003&lt;&gt;"",COUNTIF($AS$6:$AS$1005,AS1003)&gt;1),"PAN repeated in this sheet (same client? put extra GSTINs in Other GSTINs); ","")&amp;IF(AND(BD1003&gt;0,V1003=""),"Financial year missing; ","")&amp;IF(AND(BD1003=0,V1003&lt;&gt;""),"Financial year given but no service is Yes; ","")&amp;IF(AND(W1003="Yes",AZ1003=""),"GST needs a GSTIN; ","")&amp;IF(AND(W1003="Yes",X1003=""),"GST return frequency missing; ","")&amp;IF(AND(Y1003="Yes",TRIM(H1003)=""),"TDS needs a TAN; ","")&amp;IF(AND(AA1003="Yes",BC1003&lt;&gt;"",BC1003&lt;&gt;"company",BC1003&lt;&gt;"llp"),"ROC is only for a company / LLP; ","")&amp;IF(AND(AA1003="Yes",OR(BC1003="company",BC1003="llp"),TRIM(I1003)=""),"ROC needs the CIN / LLPIN; ","")&amp;IF((TRIM(AF1003)="")&lt;&gt;(TRIM(AG1003)=""),"GST login needs both user ID and password; ","")&amp;IF((TRIM(AH1003)="")&lt;&gt;(TRIM(AI1003)=""),"Income-tax login needs both user ID and password; ","")&amp;IF((TRIM(AJ1003)="")&lt;&gt;(TRIM(AK1003)=""),"Income-tax login needs both user ID and password; ","")&amp;IF((TRIM(AL1003)="")&lt;&gt;(TRIM(AM1003)=""),"TRACES login needs both user ID and password; ","")&amp;IF((TRIM(AN1003)="")&lt;&gt;(TRIM(AO1003)=""),"MCA login needs both user ID and password; ","")&amp;IF((TRIM(AP1003)="")&lt;&gt;(TRIM(AQ1003)=""),"E-way bill login needs both user ID and password; ","")</f>
        <v/>
      </c>
    </row>
    <row r="1004">
      <c r="A1004" s="32" t="n"/>
      <c r="B1004" s="33" t="n"/>
      <c r="C1004" s="33" t="n"/>
      <c r="D1004" s="33" t="n"/>
      <c r="E1004" s="32" t="n"/>
      <c r="F1004" s="32" t="n"/>
      <c r="G1004" s="32" t="n"/>
      <c r="H1004" s="32" t="n"/>
      <c r="I1004" s="32" t="n"/>
      <c r="J1004" s="34" t="n"/>
      <c r="K1004" s="33" t="n"/>
      <c r="L1004" s="32" t="n"/>
      <c r="M1004" s="33" t="n"/>
      <c r="N1004" s="33" t="n"/>
      <c r="O1004" s="33" t="n"/>
      <c r="P1004" s="32" t="n"/>
      <c r="Q1004" s="33" t="n"/>
      <c r="R1004" s="33" t="n"/>
      <c r="S1004" s="33" t="n"/>
      <c r="T1004" s="33" t="n"/>
      <c r="U1004" s="32" t="n"/>
      <c r="V1004" s="33" t="n"/>
      <c r="W1004" s="33" t="n"/>
      <c r="X1004" s="33" t="n"/>
      <c r="Y1004" s="33" t="n"/>
      <c r="Z1004" s="33" t="n"/>
      <c r="AA1004" s="33" t="n"/>
      <c r="AB1004" s="33" t="n"/>
      <c r="AC1004" s="33" t="n"/>
      <c r="AD1004" s="33" t="n"/>
      <c r="AE1004" s="33" t="n"/>
      <c r="AF1004" s="32" t="n"/>
      <c r="AG1004" s="32" t="n"/>
      <c r="AH1004" s="32" t="n"/>
      <c r="AI1004" s="32" t="n"/>
      <c r="AJ1004" s="32" t="n"/>
      <c r="AK1004" s="32" t="n"/>
      <c r="AL1004" s="32" t="n"/>
      <c r="AM1004" s="32" t="n"/>
      <c r="AN1004" s="32" t="n"/>
      <c r="AO1004" s="32" t="n"/>
      <c r="AP1004" s="32" t="n"/>
      <c r="AQ1004" s="32" t="n"/>
      <c r="AR1004" s="29">
        <f>IF(NOT(COUNTA(A1004:AE1004)&gt;0),"",IF(A1004="","New client","Update"))</f>
        <v/>
      </c>
      <c r="AS1004" s="29">
        <f>IF(BA1004&lt;&gt;"",BA1004,IF(LEN(AZ1004)=15,MID(AZ1004,3,10),""))</f>
        <v/>
      </c>
      <c r="AT1004" s="29">
        <f>IF(BB1004="","",BB1004&amp;IF(D1004="","  (guessed from PAN)",""))</f>
        <v/>
      </c>
      <c r="AU1004" s="29">
        <f>IF(AZ1004="","",IFERROR(INDEX(Lists!$L$2:$L$38,MATCH(LEFT(AZ1004,2),Lists!$K$2:$K$38,0)),"Unknown code"))</f>
        <v/>
      </c>
      <c r="AV1004" s="29">
        <f>IF(AZ1004="","",IFERROR(IF(NOT(AND(LEN(AZ1004)=15,ISNUMBER(MATCH(LEFT(AZ1004,2),Lists!$K$2:$K$38,0)),SUMPRODUCT(--ISERROR(FIND(MID(MID(AZ1004,3,10),{1,2,3,4,5,10},1),"ABCDEFGHIJKLMNOPQRSTUVWXYZ")))=0,SUMPRODUCT(--ISERROR(FIND(MID(MID(AZ1004,3,10),{6,7,8,9},1),"0123456789")))=0,ISNUMBER(FIND(MID(AZ1004,13,1),"123456789ABCDEFGHIJKLMNOPQRSTUVWXYZ")),MID(AZ1004,14,1)="Z")),"Wrong format",IF(MID("0123456789ABCDEFGHIJKLMNOPQRSTUVWXYZ",MOD(36-MOD(SUMPRODUCT(INT((FIND(MID(AZ1004,{1,2,3,4,5,6,7,8,9,10,11,12,13,14},1),"0123456789ABCDEFGHIJKLMNOPQRSTUVWXYZ")-1)*{1,2,1,2,1,2,1,2,1,2,1,2,1,2}/36)+MOD((FIND(MID(AZ1004,{1,2,3,4,5,6,7,8,9,10,11,12,13,14},1),"0123456789ABCDEFGHIJKLMNOPQRSTUVWXYZ")-1)*{1,2,1,2,1,2,1,2,1,2,1,2,1,2},36)),36),36)+1,1)=MID(AZ1004,15,1),"OK","Typo? check digit wrong")),"Wrong format"))</f>
        <v/>
      </c>
      <c r="AW1004" s="29">
        <f>IF(BA1004="","",IF(AND(LEN(BA1004)=10,SUMPRODUCT(--ISERROR(FIND(MID(BA1004,{1,2,3,4,5,10},1),"ABCDEFGHIJKLMNOPQRSTUVWXYZ")))=0,SUMPRODUCT(--ISERROR(FIND(MID(BA1004,{6,7,8,9},1),"0123456789")))=0),"OK","Wrong format"))</f>
        <v/>
      </c>
      <c r="AX1004" s="29">
        <f>IF(TRIM(H1004)="","",IF(AND(LEN(UPPER(TRIM(H1004)))=10,SUMPRODUCT(--ISERROR(FIND(MID(UPPER(TRIM(H1004)),{1,2,3,4,10},1),"ABCDEFGHIJKLMNOPQRSTUVWXYZ")))=0,SUMPRODUCT(--ISERROR(FIND(MID(UPPER(TRIM(H1004)),{5,6,7,8,9},1),"0123456789")))=0),"OK","Wrong format"))</f>
        <v/>
      </c>
      <c r="AY1004" s="30">
        <f>IF(NOT(COUNTA(A1004:AE1004)&gt;0),"",IF(BE1004&lt;&gt;"","✖ "&amp;LEFT(BE1004,LEN(BE1004)-2),IF(BD1004&gt;0,"✔ Ready — client + "&amp;BD1004&amp;" service(s)","✔ Ready — client only")))</f>
        <v/>
      </c>
      <c r="AZ1004" s="31">
        <f>UPPER(SUBSTITUTE(TRIM(F1004)," ",""))</f>
        <v/>
      </c>
      <c r="BA1004" s="31">
        <f>UPPER(SUBSTITUTE(TRIM(E1004)," ",""))</f>
        <v/>
      </c>
      <c r="BB1004" s="31">
        <f>IF(D1004&lt;&gt;"",D1004,IFERROR(VLOOKUP(MID(AS1004,4,1),Lists!$E$2:$F$8,2,FALSE),""))</f>
        <v/>
      </c>
      <c r="BC1004" s="31">
        <f>IFERROR(VLOOKUP(BB1004,Lists!$A$2:$C$12,3,FALSE),"")</f>
        <v/>
      </c>
      <c r="BD1004" s="31">
        <f>COUNTIF(W1004:AC1004,"Yes")</f>
        <v/>
      </c>
      <c r="BE1004" s="31">
        <f>IF(TRIM(B1004)="","Legal name missing; ","")&amp;IF(AND(AV1004&lt;&gt;"",AV1004&lt;&gt;"OK"),"GSTIN: "&amp;AV1004&amp;"; ","")&amp;IF(AND(AW1004&lt;&gt;"",AW1004&lt;&gt;"OK"),"PAN wrong format; ","")&amp;IF(AND(BA1004&lt;&gt;"",LEN(AZ1004)=15,MID(AZ1004,3,10)&lt;&gt;BA1004),"PAN does not match GSTIN; ","")&amp;IF(AND(AX1004&lt;&gt;"",AX1004&lt;&gt;"OK"),"TAN wrong format; ","")&amp;IF(AS1004="","PAN missing; ","")&amp;IF(BB1004="","Entity type missing; ","")&amp;IF(AND(AZ1004&lt;&gt;"",COUNTIF($AZ$6:$AZ$1005,AZ1004)&gt;1),"GSTIN repeated in this sheet; ","")&amp;IF(AND(AS1004&lt;&gt;"",COUNTIF($AS$6:$AS$1005,AS1004)&gt;1),"PAN repeated in this sheet (same client? put extra GSTINs in Other GSTINs); ","")&amp;IF(AND(BD1004&gt;0,V1004=""),"Financial year missing; ","")&amp;IF(AND(BD1004=0,V1004&lt;&gt;""),"Financial year given but no service is Yes; ","")&amp;IF(AND(W1004="Yes",AZ1004=""),"GST needs a GSTIN; ","")&amp;IF(AND(W1004="Yes",X1004=""),"GST return frequency missing; ","")&amp;IF(AND(Y1004="Yes",TRIM(H1004)=""),"TDS needs a TAN; ","")&amp;IF(AND(AA1004="Yes",BC1004&lt;&gt;"",BC1004&lt;&gt;"company",BC1004&lt;&gt;"llp"),"ROC is only for a company / LLP; ","")&amp;IF(AND(AA1004="Yes",OR(BC1004="company",BC1004="llp"),TRIM(I1004)=""),"ROC needs the CIN / LLPIN; ","")&amp;IF((TRIM(AF1004)="")&lt;&gt;(TRIM(AG1004)=""),"GST login needs both user ID and password; ","")&amp;IF((TRIM(AH1004)="")&lt;&gt;(TRIM(AI1004)=""),"Income-tax login needs both user ID and password; ","")&amp;IF((TRIM(AJ1004)="")&lt;&gt;(TRIM(AK1004)=""),"Income-tax login needs both user ID and password; ","")&amp;IF((TRIM(AL1004)="")&lt;&gt;(TRIM(AM1004)=""),"TRACES login needs both user ID and password; ","")&amp;IF((TRIM(AN1004)="")&lt;&gt;(TRIM(AO1004)=""),"MCA login needs both user ID and password; ","")&amp;IF((TRIM(AP1004)="")&lt;&gt;(TRIM(AQ1004)=""),"E-way bill login needs both user ID and password; ","")</f>
        <v/>
      </c>
    </row>
    <row r="1005">
      <c r="A1005" s="32" t="n"/>
      <c r="B1005" s="33" t="n"/>
      <c r="C1005" s="33" t="n"/>
      <c r="D1005" s="33" t="n"/>
      <c r="E1005" s="32" t="n"/>
      <c r="F1005" s="32" t="n"/>
      <c r="G1005" s="32" t="n"/>
      <c r="H1005" s="32" t="n"/>
      <c r="I1005" s="32" t="n"/>
      <c r="J1005" s="34" t="n"/>
      <c r="K1005" s="33" t="n"/>
      <c r="L1005" s="32" t="n"/>
      <c r="M1005" s="33" t="n"/>
      <c r="N1005" s="33" t="n"/>
      <c r="O1005" s="33" t="n"/>
      <c r="P1005" s="32" t="n"/>
      <c r="Q1005" s="33" t="n"/>
      <c r="R1005" s="33" t="n"/>
      <c r="S1005" s="33" t="n"/>
      <c r="T1005" s="33" t="n"/>
      <c r="U1005" s="32" t="n"/>
      <c r="V1005" s="33" t="n"/>
      <c r="W1005" s="33" t="n"/>
      <c r="X1005" s="33" t="n"/>
      <c r="Y1005" s="33" t="n"/>
      <c r="Z1005" s="33" t="n"/>
      <c r="AA1005" s="33" t="n"/>
      <c r="AB1005" s="33" t="n"/>
      <c r="AC1005" s="33" t="n"/>
      <c r="AD1005" s="33" t="n"/>
      <c r="AE1005" s="33" t="n"/>
      <c r="AF1005" s="32" t="n"/>
      <c r="AG1005" s="32" t="n"/>
      <c r="AH1005" s="32" t="n"/>
      <c r="AI1005" s="32" t="n"/>
      <c r="AJ1005" s="32" t="n"/>
      <c r="AK1005" s="32" t="n"/>
      <c r="AL1005" s="32" t="n"/>
      <c r="AM1005" s="32" t="n"/>
      <c r="AN1005" s="32" t="n"/>
      <c r="AO1005" s="32" t="n"/>
      <c r="AP1005" s="32" t="n"/>
      <c r="AQ1005" s="32" t="n"/>
      <c r="AR1005" s="29">
        <f>IF(NOT(COUNTA(A1005:AE1005)&gt;0),"",IF(A1005="","New client","Update"))</f>
        <v/>
      </c>
      <c r="AS1005" s="29">
        <f>IF(BA1005&lt;&gt;"",BA1005,IF(LEN(AZ1005)=15,MID(AZ1005,3,10),""))</f>
        <v/>
      </c>
      <c r="AT1005" s="29">
        <f>IF(BB1005="","",BB1005&amp;IF(D1005="","  (guessed from PAN)",""))</f>
        <v/>
      </c>
      <c r="AU1005" s="29">
        <f>IF(AZ1005="","",IFERROR(INDEX(Lists!$L$2:$L$38,MATCH(LEFT(AZ1005,2),Lists!$K$2:$K$38,0)),"Unknown code"))</f>
        <v/>
      </c>
      <c r="AV1005" s="29">
        <f>IF(AZ1005="","",IFERROR(IF(NOT(AND(LEN(AZ1005)=15,ISNUMBER(MATCH(LEFT(AZ1005,2),Lists!$K$2:$K$38,0)),SUMPRODUCT(--ISERROR(FIND(MID(MID(AZ1005,3,10),{1,2,3,4,5,10},1),"ABCDEFGHIJKLMNOPQRSTUVWXYZ")))=0,SUMPRODUCT(--ISERROR(FIND(MID(MID(AZ1005,3,10),{6,7,8,9},1),"0123456789")))=0,ISNUMBER(FIND(MID(AZ1005,13,1),"123456789ABCDEFGHIJKLMNOPQRSTUVWXYZ")),MID(AZ1005,14,1)="Z")),"Wrong format",IF(MID("0123456789ABCDEFGHIJKLMNOPQRSTUVWXYZ",MOD(36-MOD(SUMPRODUCT(INT((FIND(MID(AZ1005,{1,2,3,4,5,6,7,8,9,10,11,12,13,14},1),"0123456789ABCDEFGHIJKLMNOPQRSTUVWXYZ")-1)*{1,2,1,2,1,2,1,2,1,2,1,2,1,2}/36)+MOD((FIND(MID(AZ1005,{1,2,3,4,5,6,7,8,9,10,11,12,13,14},1),"0123456789ABCDEFGHIJKLMNOPQRSTUVWXYZ")-1)*{1,2,1,2,1,2,1,2,1,2,1,2,1,2},36)),36),36)+1,1)=MID(AZ1005,15,1),"OK","Typo? check digit wrong")),"Wrong format"))</f>
        <v/>
      </c>
      <c r="AW1005" s="29">
        <f>IF(BA1005="","",IF(AND(LEN(BA1005)=10,SUMPRODUCT(--ISERROR(FIND(MID(BA1005,{1,2,3,4,5,10},1),"ABCDEFGHIJKLMNOPQRSTUVWXYZ")))=0,SUMPRODUCT(--ISERROR(FIND(MID(BA1005,{6,7,8,9},1),"0123456789")))=0),"OK","Wrong format"))</f>
        <v/>
      </c>
      <c r="AX1005" s="29">
        <f>IF(TRIM(H1005)="","",IF(AND(LEN(UPPER(TRIM(H1005)))=10,SUMPRODUCT(--ISERROR(FIND(MID(UPPER(TRIM(H1005)),{1,2,3,4,10},1),"ABCDEFGHIJKLMNOPQRSTUVWXYZ")))=0,SUMPRODUCT(--ISERROR(FIND(MID(UPPER(TRIM(H1005)),{5,6,7,8,9},1),"0123456789")))=0),"OK","Wrong format"))</f>
        <v/>
      </c>
      <c r="AY1005" s="30">
        <f>IF(NOT(COUNTA(A1005:AE1005)&gt;0),"",IF(BE1005&lt;&gt;"","✖ "&amp;LEFT(BE1005,LEN(BE1005)-2),IF(BD1005&gt;0,"✔ Ready — client + "&amp;BD1005&amp;" service(s)","✔ Ready — client only")))</f>
        <v/>
      </c>
      <c r="AZ1005" s="31">
        <f>UPPER(SUBSTITUTE(TRIM(F1005)," ",""))</f>
        <v/>
      </c>
      <c r="BA1005" s="31">
        <f>UPPER(SUBSTITUTE(TRIM(E1005)," ",""))</f>
        <v/>
      </c>
      <c r="BB1005" s="31">
        <f>IF(D1005&lt;&gt;"",D1005,IFERROR(VLOOKUP(MID(AS1005,4,1),Lists!$E$2:$F$8,2,FALSE),""))</f>
        <v/>
      </c>
      <c r="BC1005" s="31">
        <f>IFERROR(VLOOKUP(BB1005,Lists!$A$2:$C$12,3,FALSE),"")</f>
        <v/>
      </c>
      <c r="BD1005" s="31">
        <f>COUNTIF(W1005:AC1005,"Yes")</f>
        <v/>
      </c>
      <c r="BE1005" s="31">
        <f>IF(TRIM(B1005)="","Legal name missing; ","")&amp;IF(AND(AV1005&lt;&gt;"",AV1005&lt;&gt;"OK"),"GSTIN: "&amp;AV1005&amp;"; ","")&amp;IF(AND(AW1005&lt;&gt;"",AW1005&lt;&gt;"OK"),"PAN wrong format; ","")&amp;IF(AND(BA1005&lt;&gt;"",LEN(AZ1005)=15,MID(AZ1005,3,10)&lt;&gt;BA1005),"PAN does not match GSTIN; ","")&amp;IF(AND(AX1005&lt;&gt;"",AX1005&lt;&gt;"OK"),"TAN wrong format; ","")&amp;IF(AS1005="","PAN missing; ","")&amp;IF(BB1005="","Entity type missing; ","")&amp;IF(AND(AZ1005&lt;&gt;"",COUNTIF($AZ$6:$AZ$1005,AZ1005)&gt;1),"GSTIN repeated in this sheet; ","")&amp;IF(AND(AS1005&lt;&gt;"",COUNTIF($AS$6:$AS$1005,AS1005)&gt;1),"PAN repeated in this sheet (same client? put extra GSTINs in Other GSTINs); ","")&amp;IF(AND(BD1005&gt;0,V1005=""),"Financial year missing; ","")&amp;IF(AND(BD1005=0,V1005&lt;&gt;""),"Financial year given but no service is Yes; ","")&amp;IF(AND(W1005="Yes",AZ1005=""),"GST needs a GSTIN; ","")&amp;IF(AND(W1005="Yes",X1005=""),"GST return frequency missing; ","")&amp;IF(AND(Y1005="Yes",TRIM(H1005)=""),"TDS needs a TAN; ","")&amp;IF(AND(AA1005="Yes",BC1005&lt;&gt;"",BC1005&lt;&gt;"company",BC1005&lt;&gt;"llp"),"ROC is only for a company / LLP; ","")&amp;IF(AND(AA1005="Yes",OR(BC1005="company",BC1005="llp"),TRIM(I1005)=""),"ROC needs the CIN / LLPIN; ","")&amp;IF((TRIM(AF1005)="")&lt;&gt;(TRIM(AG1005)=""),"GST login needs both user ID and password; ","")&amp;IF((TRIM(AH1005)="")&lt;&gt;(TRIM(AI1005)=""),"Income-tax login needs both user ID and password; ","")&amp;IF((TRIM(AJ1005)="")&lt;&gt;(TRIM(AK1005)=""),"Income-tax login needs both user ID and password; ","")&amp;IF((TRIM(AL1005)="")&lt;&gt;(TRIM(AM1005)=""),"TRACES login needs both user ID and password; ","")&amp;IF((TRIM(AN1005)="")&lt;&gt;(TRIM(AO1005)=""),"MCA login needs both user ID and password; ","")&amp;IF((TRIM(AP1005)="")&lt;&gt;(TRIM(AQ1005)=""),"E-way bill login needs both user ID and password; ","")</f>
        <v/>
      </c>
    </row>
  </sheetData>
  <autoFilter ref="A4:AY1005"/>
  <mergeCells count="9">
    <mergeCell ref="A2:AY2"/>
    <mergeCell ref="AF3:AQ3"/>
    <mergeCell ref="E3:L3"/>
    <mergeCell ref="M3:P3"/>
    <mergeCell ref="Q3:U3"/>
    <mergeCell ref="A1:AY1"/>
    <mergeCell ref="A3:D3"/>
    <mergeCell ref="V3:AE3"/>
    <mergeCell ref="AR3:AY3"/>
  </mergeCells>
  <conditionalFormatting sqref="AY5:AY1005">
    <cfRule type="expression" priority="1" dxfId="0">
      <formula>LEFT(AY5,1)="✔"</formula>
    </cfRule>
    <cfRule type="expression" priority="2" dxfId="1">
      <formula>LEFT(AY5,1)="✖"</formula>
    </cfRule>
  </conditionalFormatting>
  <conditionalFormatting sqref="AV5:AV1005">
    <cfRule type="expression" priority="3" dxfId="2">
      <formula>AV5="OK"</formula>
    </cfRule>
    <cfRule type="expression" priority="4" dxfId="3">
      <formula>AND(AV5&lt;&gt;"",AV5&lt;&gt;"OK")</formula>
    </cfRule>
  </conditionalFormatting>
  <conditionalFormatting sqref="AW5:AW1005">
    <cfRule type="expression" priority="5" dxfId="2">
      <formula>AW5="OK"</formula>
    </cfRule>
    <cfRule type="expression" priority="6" dxfId="3">
      <formula>AND(AW5&lt;&gt;"",AW5&lt;&gt;"OK")</formula>
    </cfRule>
  </conditionalFormatting>
  <conditionalFormatting sqref="AX5:AX1005">
    <cfRule type="expression" priority="7" dxfId="2">
      <formula>AX5="OK"</formula>
    </cfRule>
    <cfRule type="expression" priority="8" dxfId="3">
      <formula>AND(AX5&lt;&gt;"",AX5&lt;&gt;"OK")</formula>
    </cfRule>
  </conditionalFormatting>
  <conditionalFormatting sqref="AT5:AT1005">
    <cfRule type="expression" priority="9" dxfId="4">
      <formula>ISNUMBER(SEARCH("guessed",AT5))</formula>
    </cfRule>
  </conditionalFormatting>
  <dataValidations count="16">
    <dataValidation sqref="D5:D1005" showDropDown="0" showInputMessage="0" showErrorMessage="1" allowBlank="1" errorTitle="Not in the list" error="Pick a value from the list." type="list">
      <formula1>=Lists!$A$2:$A$12</formula1>
    </dataValidation>
    <dataValidation sqref="K5:K1005" showDropDown="0" showInputMessage="0" showErrorMessage="1" allowBlank="1" errorTitle="Not in the list" error="Pick a value from the list." type="list">
      <formula1>=Lists!$H$2:$H$9</formula1>
    </dataValidation>
    <dataValidation sqref="T5:T1005" showDropDown="0" showInputMessage="0" showErrorMessage="1" allowBlank="1" errorTitle="Not in the list" error="Pick a value from the list." type="list">
      <formula1>=Lists!$L$2:$L$38</formula1>
    </dataValidation>
    <dataValidation sqref="V5:V1005" showDropDown="0" showInputMessage="0" showErrorMessage="1" allowBlank="1" errorTitle="Not in the list" error="Pick a value from the list." type="list">
      <formula1>=Lists!$N$2:$N$5</formula1>
    </dataValidation>
    <dataValidation sqref="X5:X1005" showDropDown="0" showInputMessage="0" showErrorMessage="1" allowBlank="1" errorTitle="Not in the list" error="Pick a value from the list." type="list">
      <formula1>=Lists!$R$2:$R$3</formula1>
    </dataValidation>
    <dataValidation sqref="W5:W1005" showDropDown="0" showInputMessage="0" showErrorMessage="1" allowBlank="1" errorTitle="Not in the list" error="Pick a value from the list." type="list">
      <formula1>=Lists!$P$2:$P$3</formula1>
    </dataValidation>
    <dataValidation sqref="Y5:Y1005" showDropDown="0" showInputMessage="0" showErrorMessage="1" allowBlank="1" errorTitle="Not in the list" error="Pick a value from the list." type="list">
      <formula1>=Lists!$P$2:$P$3</formula1>
    </dataValidation>
    <dataValidation sqref="Z5:Z1005" showDropDown="0" showInputMessage="0" showErrorMessage="1" allowBlank="1" errorTitle="Not in the list" error="Pick a value from the list." type="list">
      <formula1>=Lists!$P$2:$P$3</formula1>
    </dataValidation>
    <dataValidation sqref="AA5:AA1005" showDropDown="0" showInputMessage="0" showErrorMessage="1" allowBlank="1" errorTitle="Not in the list" error="Pick a value from the list." type="list">
      <formula1>=Lists!$P$2:$P$3</formula1>
    </dataValidation>
    <dataValidation sqref="AB5:AB1005" showDropDown="0" showInputMessage="0" showErrorMessage="1" allowBlank="1" errorTitle="Not in the list" error="Pick a value from the list." type="list">
      <formula1>=Lists!$P$2:$P$3</formula1>
    </dataValidation>
    <dataValidation sqref="AC5:AC1005" showDropDown="0" showInputMessage="0" showErrorMessage="1" allowBlank="1" errorTitle="Not in the list" error="Pick a value from the list." type="list">
      <formula1>=Lists!$P$2:$P$3</formula1>
    </dataValidation>
    <dataValidation sqref="J5:J1005" showDropDown="0" showInputMessage="0" showErrorMessage="1" allowBlank="1" errorTitle="Not a date" error="Type a date, e.g. 10-04-2015." type="date" operator="between">
      <formula1>DATE(1900,1,1)</formula1>
      <formula2>DATE(2100,12,31)</formula2>
    </dataValidation>
    <dataValidation sqref="E5:E1005" showDropDown="0" showInputMessage="0" showErrorMessage="1" allowBlank="1" errorTitle="Too long" error="PAN is 10 characters." type="textLength" operator="lessThanOrEqual">
      <formula1>12</formula1>
    </dataValidation>
    <dataValidation sqref="F5:F1005" showDropDown="0" showInputMessage="0" showErrorMessage="1" allowBlank="1" errorTitle="Too long" error="GSTIN (main) is 15 characters." type="textLength" operator="lessThanOrEqual">
      <formula1>17</formula1>
    </dataValidation>
    <dataValidation sqref="H5:H1005" showDropDown="0" showInputMessage="0" showErrorMessage="1" allowBlank="1" errorTitle="Too long" error="TAN is 10 characters." type="textLength" operator="lessThanOrEqual">
      <formula1>12</formula1>
    </dataValidation>
    <dataValidation sqref="U5:U1005" showDropDown="0" showInputMessage="0" showErrorMessage="1" allowBlank="1" errorTitle="Too long" error="Pincode is 6 characters." type="textLength" operator="lessThanOrEqual">
      <formula1>8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B4B8A"/>
    <outlinePr summaryBelow="1" summaryRight="1"/>
    <pageSetUpPr fitToPage="1"/>
  </sheetPr>
  <dimension ref="A1:G1503"/>
  <sheetViews>
    <sheetView zoomScale="10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22" customWidth="1" min="5" max="5"/>
    <col width="18" customWidth="1" min="6" max="6"/>
    <col width="34" customWidth="1" min="7" max="7"/>
  </cols>
  <sheetData>
    <row r="1">
      <c r="A1" s="35" t="inlineStr">
        <is>
          <t>More portal logins (optional) — other GSTINs, TRACES taxpayer, E-invoice; one row per login</t>
        </is>
      </c>
    </row>
    <row r="2" ht="30" customHeight="1">
      <c r="A2" s="36" t="inlineStr">
        <is>
          <t>A client's main logins go on its own row on 'Clients' (Logins columns). Passwords are sealed (encrypted) when imported. Export masks them unless you choose Export with passwords — such a file holds real passwords: share it only with people who may see them, and delete it after use.</t>
        </is>
      </c>
    </row>
    <row r="3">
      <c r="A3" s="18" t="inlineStr">
        <is>
          <t>Client code</t>
        </is>
      </c>
      <c r="B3" s="18" t="inlineStr">
        <is>
          <t>Legal name (as on Clients)</t>
        </is>
      </c>
      <c r="C3" s="18" t="inlineStr">
        <is>
          <t>Portal</t>
        </is>
      </c>
      <c r="D3" s="18" t="inlineStr">
        <is>
          <t>For GSTIN / TAN</t>
        </is>
      </c>
      <c r="E3" s="18" t="inlineStr">
        <is>
          <t>User ID</t>
        </is>
      </c>
      <c r="F3" s="18" t="inlineStr">
        <is>
          <t>Password</t>
        </is>
      </c>
      <c r="G3" s="24" t="inlineStr">
        <is>
          <t>Check</t>
        </is>
      </c>
    </row>
    <row r="4">
      <c r="A4" s="37" t="inlineStr">
        <is>
          <t>EXAMPLE</t>
        </is>
      </c>
      <c r="B4" s="38" t="inlineStr">
        <is>
          <t>Sharma Traders</t>
        </is>
      </c>
      <c r="C4" s="38" t="inlineStr">
        <is>
          <t>GST</t>
        </is>
      </c>
      <c r="D4" s="37" t="inlineStr">
        <is>
          <t>07ABCPS1234K1ZO</t>
        </is>
      </c>
      <c r="E4" s="37" t="inlineStr">
        <is>
          <t>sharma_gst</t>
        </is>
      </c>
      <c r="F4" s="37" t="inlineStr">
        <is>
          <t>••••••••</t>
        </is>
      </c>
      <c r="G4" s="39">
        <f>IF(COUNTA(A4:F4)=0,"",IF(A4="EXAMPLE","Example (skipped)",IF(OR(C4="",E4="",F4=""),"✖ Portal, User ID and Password are all needed",IF(AND(A4="",COUNTIF(Clients!$B$5:$B$1005,B4)=0),"Not on Clients — will match a portal client by name",IF(AND(C4="GST",D4&lt;&gt;"",COUNTIF(Clients!$AZ$5:$AZ$1005,UPPER(D4))=0,COUNTIF(Clients!$G$5:$G$1005,"*"&amp;UPPER(D4)&amp;"*")=0),"GSTIN not on Clients — will be checked in the portal","✔ OK")))))</f>
        <v/>
      </c>
    </row>
    <row r="5">
      <c r="A5" s="40" t="n"/>
      <c r="B5" s="41" t="n"/>
      <c r="C5" s="41" t="n"/>
      <c r="D5" s="40" t="n"/>
      <c r="E5" s="40" t="n"/>
      <c r="F5" s="40" t="n"/>
      <c r="G5" s="39">
        <f>IF(COUNTA(A5:F5)=0,"",IF(A5="EXAMPLE","Example (skipped)",IF(OR(C5="",E5="",F5=""),"✖ Portal, User ID and Password are all needed",IF(AND(A5="",COUNTIF(Clients!$B$5:$B$1005,B5)=0),"Not on Clients — will match a portal client by name",IF(AND(C5="GST",D5&lt;&gt;"",COUNTIF(Clients!$AZ$5:$AZ$1005,UPPER(D5))=0,COUNTIF(Clients!$G$5:$G$1005,"*"&amp;UPPER(D5)&amp;"*")=0),"GSTIN not on Clients — will be checked in the portal","✔ OK")))))</f>
        <v/>
      </c>
    </row>
    <row r="6">
      <c r="A6" s="40" t="n"/>
      <c r="B6" s="41" t="n"/>
      <c r="C6" s="41" t="n"/>
      <c r="D6" s="40" t="n"/>
      <c r="E6" s="40" t="n"/>
      <c r="F6" s="40" t="n"/>
      <c r="G6" s="39">
        <f>IF(COUNTA(A6:F6)=0,"",IF(A6="EXAMPLE","Example (skipped)",IF(OR(C6="",E6="",F6=""),"✖ Portal, User ID and Password are all needed",IF(AND(A6="",COUNTIF(Clients!$B$5:$B$1005,B6)=0),"Not on Clients — will match a portal client by name",IF(AND(C6="GST",D6&lt;&gt;"",COUNTIF(Clients!$AZ$5:$AZ$1005,UPPER(D6))=0,COUNTIF(Clients!$G$5:$G$1005,"*"&amp;UPPER(D6)&amp;"*")=0),"GSTIN not on Clients — will be checked in the portal","✔ OK")))))</f>
        <v/>
      </c>
    </row>
    <row r="7">
      <c r="A7" s="40" t="n"/>
      <c r="B7" s="41" t="n"/>
      <c r="C7" s="41" t="n"/>
      <c r="D7" s="40" t="n"/>
      <c r="E7" s="40" t="n"/>
      <c r="F7" s="40" t="n"/>
      <c r="G7" s="39">
        <f>IF(COUNTA(A7:F7)=0,"",IF(A7="EXAMPLE","Example (skipped)",IF(OR(C7="",E7="",F7=""),"✖ Portal, User ID and Password are all needed",IF(AND(A7="",COUNTIF(Clients!$B$5:$B$1005,B7)=0),"Not on Clients — will match a portal client by name",IF(AND(C7="GST",D7&lt;&gt;"",COUNTIF(Clients!$AZ$5:$AZ$1005,UPPER(D7))=0,COUNTIF(Clients!$G$5:$G$1005,"*"&amp;UPPER(D7)&amp;"*")=0),"GSTIN not on Clients — will be checked in the portal","✔ OK")))))</f>
        <v/>
      </c>
    </row>
    <row r="8">
      <c r="A8" s="40" t="n"/>
      <c r="B8" s="41" t="n"/>
      <c r="C8" s="41" t="n"/>
      <c r="D8" s="40" t="n"/>
      <c r="E8" s="40" t="n"/>
      <c r="F8" s="40" t="n"/>
      <c r="G8" s="39">
        <f>IF(COUNTA(A8:F8)=0,"",IF(A8="EXAMPLE","Example (skipped)",IF(OR(C8="",E8="",F8=""),"✖ Portal, User ID and Password are all needed",IF(AND(A8="",COUNTIF(Clients!$B$5:$B$1005,B8)=0),"Not on Clients — will match a portal client by name",IF(AND(C8="GST",D8&lt;&gt;"",COUNTIF(Clients!$AZ$5:$AZ$1005,UPPER(D8))=0,COUNTIF(Clients!$G$5:$G$1005,"*"&amp;UPPER(D8)&amp;"*")=0),"GSTIN not on Clients — will be checked in the portal","✔ OK")))))</f>
        <v/>
      </c>
    </row>
    <row r="9">
      <c r="A9" s="40" t="n"/>
      <c r="B9" s="41" t="n"/>
      <c r="C9" s="41" t="n"/>
      <c r="D9" s="40" t="n"/>
      <c r="E9" s="40" t="n"/>
      <c r="F9" s="40" t="n"/>
      <c r="G9" s="39">
        <f>IF(COUNTA(A9:F9)=0,"",IF(A9="EXAMPLE","Example (skipped)",IF(OR(C9="",E9="",F9=""),"✖ Portal, User ID and Password are all needed",IF(AND(A9="",COUNTIF(Clients!$B$5:$B$1005,B9)=0),"Not on Clients — will match a portal client by name",IF(AND(C9="GST",D9&lt;&gt;"",COUNTIF(Clients!$AZ$5:$AZ$1005,UPPER(D9))=0,COUNTIF(Clients!$G$5:$G$1005,"*"&amp;UPPER(D9)&amp;"*")=0),"GSTIN not on Clients — will be checked in the portal","✔ OK")))))</f>
        <v/>
      </c>
    </row>
    <row r="10">
      <c r="A10" s="40" t="n"/>
      <c r="B10" s="41" t="n"/>
      <c r="C10" s="41" t="n"/>
      <c r="D10" s="40" t="n"/>
      <c r="E10" s="40" t="n"/>
      <c r="F10" s="40" t="n"/>
      <c r="G10" s="39">
        <f>IF(COUNTA(A10:F10)=0,"",IF(A10="EXAMPLE","Example (skipped)",IF(OR(C10="",E10="",F10=""),"✖ Portal, User ID and Password are all needed",IF(AND(A10="",COUNTIF(Clients!$B$5:$B$1005,B10)=0),"Not on Clients — will match a portal client by name",IF(AND(C10="GST",D10&lt;&gt;"",COUNTIF(Clients!$AZ$5:$AZ$1005,UPPER(D10))=0,COUNTIF(Clients!$G$5:$G$1005,"*"&amp;UPPER(D10)&amp;"*")=0),"GSTIN not on Clients — will be checked in the portal","✔ OK")))))</f>
        <v/>
      </c>
    </row>
    <row r="11">
      <c r="A11" s="40" t="n"/>
      <c r="B11" s="41" t="n"/>
      <c r="C11" s="41" t="n"/>
      <c r="D11" s="40" t="n"/>
      <c r="E11" s="40" t="n"/>
      <c r="F11" s="40" t="n"/>
      <c r="G11" s="39">
        <f>IF(COUNTA(A11:F11)=0,"",IF(A11="EXAMPLE","Example (skipped)",IF(OR(C11="",E11="",F11=""),"✖ Portal, User ID and Password are all needed",IF(AND(A11="",COUNTIF(Clients!$B$5:$B$1005,B11)=0),"Not on Clients — will match a portal client by name",IF(AND(C11="GST",D11&lt;&gt;"",COUNTIF(Clients!$AZ$5:$AZ$1005,UPPER(D11))=0,COUNTIF(Clients!$G$5:$G$1005,"*"&amp;UPPER(D11)&amp;"*")=0),"GSTIN not on Clients — will be checked in the portal","✔ OK")))))</f>
        <v/>
      </c>
    </row>
    <row r="12">
      <c r="A12" s="40" t="n"/>
      <c r="B12" s="41" t="n"/>
      <c r="C12" s="41" t="n"/>
      <c r="D12" s="40" t="n"/>
      <c r="E12" s="40" t="n"/>
      <c r="F12" s="40" t="n"/>
      <c r="G12" s="39">
        <f>IF(COUNTA(A12:F12)=0,"",IF(A12="EXAMPLE","Example (skipped)",IF(OR(C12="",E12="",F12=""),"✖ Portal, User ID and Password are all needed",IF(AND(A12="",COUNTIF(Clients!$B$5:$B$1005,B12)=0),"Not on Clients — will match a portal client by name",IF(AND(C12="GST",D12&lt;&gt;"",COUNTIF(Clients!$AZ$5:$AZ$1005,UPPER(D12))=0,COUNTIF(Clients!$G$5:$G$1005,"*"&amp;UPPER(D12)&amp;"*")=0),"GSTIN not on Clients — will be checked in the portal","✔ OK")))))</f>
        <v/>
      </c>
    </row>
    <row r="13">
      <c r="A13" s="40" t="n"/>
      <c r="B13" s="41" t="n"/>
      <c r="C13" s="41" t="n"/>
      <c r="D13" s="40" t="n"/>
      <c r="E13" s="40" t="n"/>
      <c r="F13" s="40" t="n"/>
      <c r="G13" s="39">
        <f>IF(COUNTA(A13:F13)=0,"",IF(A13="EXAMPLE","Example (skipped)",IF(OR(C13="",E13="",F13=""),"✖ Portal, User ID and Password are all needed",IF(AND(A13="",COUNTIF(Clients!$B$5:$B$1005,B13)=0),"Not on Clients — will match a portal client by name",IF(AND(C13="GST",D13&lt;&gt;"",COUNTIF(Clients!$AZ$5:$AZ$1005,UPPER(D13))=0,COUNTIF(Clients!$G$5:$G$1005,"*"&amp;UPPER(D13)&amp;"*")=0),"GSTIN not on Clients — will be checked in the portal","✔ OK")))))</f>
        <v/>
      </c>
    </row>
    <row r="14">
      <c r="A14" s="40" t="n"/>
      <c r="B14" s="41" t="n"/>
      <c r="C14" s="41" t="n"/>
      <c r="D14" s="40" t="n"/>
      <c r="E14" s="40" t="n"/>
      <c r="F14" s="40" t="n"/>
      <c r="G14" s="39">
        <f>IF(COUNTA(A14:F14)=0,"",IF(A14="EXAMPLE","Example (skipped)",IF(OR(C14="",E14="",F14=""),"✖ Portal, User ID and Password are all needed",IF(AND(A14="",COUNTIF(Clients!$B$5:$B$1005,B14)=0),"Not on Clients — will match a portal client by name",IF(AND(C14="GST",D14&lt;&gt;"",COUNTIF(Clients!$AZ$5:$AZ$1005,UPPER(D14))=0,COUNTIF(Clients!$G$5:$G$1005,"*"&amp;UPPER(D14)&amp;"*")=0),"GSTIN not on Clients — will be checked in the portal","✔ OK")))))</f>
        <v/>
      </c>
    </row>
    <row r="15">
      <c r="A15" s="40" t="n"/>
      <c r="B15" s="41" t="n"/>
      <c r="C15" s="41" t="n"/>
      <c r="D15" s="40" t="n"/>
      <c r="E15" s="40" t="n"/>
      <c r="F15" s="40" t="n"/>
      <c r="G15" s="39">
        <f>IF(COUNTA(A15:F15)=0,"",IF(A15="EXAMPLE","Example (skipped)",IF(OR(C15="",E15="",F15=""),"✖ Portal, User ID and Password are all needed",IF(AND(A15="",COUNTIF(Clients!$B$5:$B$1005,B15)=0),"Not on Clients — will match a portal client by name",IF(AND(C15="GST",D15&lt;&gt;"",COUNTIF(Clients!$AZ$5:$AZ$1005,UPPER(D15))=0,COUNTIF(Clients!$G$5:$G$1005,"*"&amp;UPPER(D15)&amp;"*")=0),"GSTIN not on Clients — will be checked in the portal","✔ OK")))))</f>
        <v/>
      </c>
    </row>
    <row r="16">
      <c r="A16" s="40" t="n"/>
      <c r="B16" s="41" t="n"/>
      <c r="C16" s="41" t="n"/>
      <c r="D16" s="40" t="n"/>
      <c r="E16" s="40" t="n"/>
      <c r="F16" s="40" t="n"/>
      <c r="G16" s="39">
        <f>IF(COUNTA(A16:F16)=0,"",IF(A16="EXAMPLE","Example (skipped)",IF(OR(C16="",E16="",F16=""),"✖ Portal, User ID and Password are all needed",IF(AND(A16="",COUNTIF(Clients!$B$5:$B$1005,B16)=0),"Not on Clients — will match a portal client by name",IF(AND(C16="GST",D16&lt;&gt;"",COUNTIF(Clients!$AZ$5:$AZ$1005,UPPER(D16))=0,COUNTIF(Clients!$G$5:$G$1005,"*"&amp;UPPER(D16)&amp;"*")=0),"GSTIN not on Clients — will be checked in the portal","✔ OK")))))</f>
        <v/>
      </c>
    </row>
    <row r="17">
      <c r="A17" s="40" t="n"/>
      <c r="B17" s="41" t="n"/>
      <c r="C17" s="41" t="n"/>
      <c r="D17" s="40" t="n"/>
      <c r="E17" s="40" t="n"/>
      <c r="F17" s="40" t="n"/>
      <c r="G17" s="39">
        <f>IF(COUNTA(A17:F17)=0,"",IF(A17="EXAMPLE","Example (skipped)",IF(OR(C17="",E17="",F17=""),"✖ Portal, User ID and Password are all needed",IF(AND(A17="",COUNTIF(Clients!$B$5:$B$1005,B17)=0),"Not on Clients — will match a portal client by name",IF(AND(C17="GST",D17&lt;&gt;"",COUNTIF(Clients!$AZ$5:$AZ$1005,UPPER(D17))=0,COUNTIF(Clients!$G$5:$G$1005,"*"&amp;UPPER(D17)&amp;"*")=0),"GSTIN not on Clients — will be checked in the portal","✔ OK")))))</f>
        <v/>
      </c>
    </row>
    <row r="18">
      <c r="A18" s="40" t="n"/>
      <c r="B18" s="41" t="n"/>
      <c r="C18" s="41" t="n"/>
      <c r="D18" s="40" t="n"/>
      <c r="E18" s="40" t="n"/>
      <c r="F18" s="40" t="n"/>
      <c r="G18" s="39">
        <f>IF(COUNTA(A18:F18)=0,"",IF(A18="EXAMPLE","Example (skipped)",IF(OR(C18="",E18="",F18=""),"✖ Portal, User ID and Password are all needed",IF(AND(A18="",COUNTIF(Clients!$B$5:$B$1005,B18)=0),"Not on Clients — will match a portal client by name",IF(AND(C18="GST",D18&lt;&gt;"",COUNTIF(Clients!$AZ$5:$AZ$1005,UPPER(D18))=0,COUNTIF(Clients!$G$5:$G$1005,"*"&amp;UPPER(D18)&amp;"*")=0),"GSTIN not on Clients — will be checked in the portal","✔ OK")))))</f>
        <v/>
      </c>
    </row>
    <row r="19">
      <c r="A19" s="40" t="n"/>
      <c r="B19" s="41" t="n"/>
      <c r="C19" s="41" t="n"/>
      <c r="D19" s="40" t="n"/>
      <c r="E19" s="40" t="n"/>
      <c r="F19" s="40" t="n"/>
      <c r="G19" s="39">
        <f>IF(COUNTA(A19:F19)=0,"",IF(A19="EXAMPLE","Example (skipped)",IF(OR(C19="",E19="",F19=""),"✖ Portal, User ID and Password are all needed",IF(AND(A19="",COUNTIF(Clients!$B$5:$B$1005,B19)=0),"Not on Clients — will match a portal client by name",IF(AND(C19="GST",D19&lt;&gt;"",COUNTIF(Clients!$AZ$5:$AZ$1005,UPPER(D19))=0,COUNTIF(Clients!$G$5:$G$1005,"*"&amp;UPPER(D19)&amp;"*")=0),"GSTIN not on Clients — will be checked in the portal","✔ OK")))))</f>
        <v/>
      </c>
    </row>
    <row r="20">
      <c r="A20" s="40" t="n"/>
      <c r="B20" s="41" t="n"/>
      <c r="C20" s="41" t="n"/>
      <c r="D20" s="40" t="n"/>
      <c r="E20" s="40" t="n"/>
      <c r="F20" s="40" t="n"/>
      <c r="G20" s="39">
        <f>IF(COUNTA(A20:F20)=0,"",IF(A20="EXAMPLE","Example (skipped)",IF(OR(C20="",E20="",F20=""),"✖ Portal, User ID and Password are all needed",IF(AND(A20="",COUNTIF(Clients!$B$5:$B$1005,B20)=0),"Not on Clients — will match a portal client by name",IF(AND(C20="GST",D20&lt;&gt;"",COUNTIF(Clients!$AZ$5:$AZ$1005,UPPER(D20))=0,COUNTIF(Clients!$G$5:$G$1005,"*"&amp;UPPER(D20)&amp;"*")=0),"GSTIN not on Clients — will be checked in the portal","✔ OK")))))</f>
        <v/>
      </c>
    </row>
    <row r="21">
      <c r="A21" s="40" t="n"/>
      <c r="B21" s="41" t="n"/>
      <c r="C21" s="41" t="n"/>
      <c r="D21" s="40" t="n"/>
      <c r="E21" s="40" t="n"/>
      <c r="F21" s="40" t="n"/>
      <c r="G21" s="39">
        <f>IF(COUNTA(A21:F21)=0,"",IF(A21="EXAMPLE","Example (skipped)",IF(OR(C21="",E21="",F21=""),"✖ Portal, User ID and Password are all needed",IF(AND(A21="",COUNTIF(Clients!$B$5:$B$1005,B21)=0),"Not on Clients — will match a portal client by name",IF(AND(C21="GST",D21&lt;&gt;"",COUNTIF(Clients!$AZ$5:$AZ$1005,UPPER(D21))=0,COUNTIF(Clients!$G$5:$G$1005,"*"&amp;UPPER(D21)&amp;"*")=0),"GSTIN not on Clients — will be checked in the portal","✔ OK")))))</f>
        <v/>
      </c>
    </row>
    <row r="22">
      <c r="A22" s="40" t="n"/>
      <c r="B22" s="41" t="n"/>
      <c r="C22" s="41" t="n"/>
      <c r="D22" s="40" t="n"/>
      <c r="E22" s="40" t="n"/>
      <c r="F22" s="40" t="n"/>
      <c r="G22" s="39">
        <f>IF(COUNTA(A22:F22)=0,"",IF(A22="EXAMPLE","Example (skipped)",IF(OR(C22="",E22="",F22=""),"✖ Portal, User ID and Password are all needed",IF(AND(A22="",COUNTIF(Clients!$B$5:$B$1005,B22)=0),"Not on Clients — will match a portal client by name",IF(AND(C22="GST",D22&lt;&gt;"",COUNTIF(Clients!$AZ$5:$AZ$1005,UPPER(D22))=0,COUNTIF(Clients!$G$5:$G$1005,"*"&amp;UPPER(D22)&amp;"*")=0),"GSTIN not on Clients — will be checked in the portal","✔ OK")))))</f>
        <v/>
      </c>
    </row>
    <row r="23">
      <c r="A23" s="40" t="n"/>
      <c r="B23" s="41" t="n"/>
      <c r="C23" s="41" t="n"/>
      <c r="D23" s="40" t="n"/>
      <c r="E23" s="40" t="n"/>
      <c r="F23" s="40" t="n"/>
      <c r="G23" s="39">
        <f>IF(COUNTA(A23:F23)=0,"",IF(A23="EXAMPLE","Example (skipped)",IF(OR(C23="",E23="",F23=""),"✖ Portal, User ID and Password are all needed",IF(AND(A23="",COUNTIF(Clients!$B$5:$B$1005,B23)=0),"Not on Clients — will match a portal client by name",IF(AND(C23="GST",D23&lt;&gt;"",COUNTIF(Clients!$AZ$5:$AZ$1005,UPPER(D23))=0,COUNTIF(Clients!$G$5:$G$1005,"*"&amp;UPPER(D23)&amp;"*")=0),"GSTIN not on Clients — will be checked in the portal","✔ OK")))))</f>
        <v/>
      </c>
    </row>
    <row r="24">
      <c r="A24" s="40" t="n"/>
      <c r="B24" s="41" t="n"/>
      <c r="C24" s="41" t="n"/>
      <c r="D24" s="40" t="n"/>
      <c r="E24" s="40" t="n"/>
      <c r="F24" s="40" t="n"/>
      <c r="G24" s="39">
        <f>IF(COUNTA(A24:F24)=0,"",IF(A24="EXAMPLE","Example (skipped)",IF(OR(C24="",E24="",F24=""),"✖ Portal, User ID and Password are all needed",IF(AND(A24="",COUNTIF(Clients!$B$5:$B$1005,B24)=0),"Not on Clients — will match a portal client by name",IF(AND(C24="GST",D24&lt;&gt;"",COUNTIF(Clients!$AZ$5:$AZ$1005,UPPER(D24))=0,COUNTIF(Clients!$G$5:$G$1005,"*"&amp;UPPER(D24)&amp;"*")=0),"GSTIN not on Clients — will be checked in the portal","✔ OK")))))</f>
        <v/>
      </c>
    </row>
    <row r="25">
      <c r="A25" s="40" t="n"/>
      <c r="B25" s="41" t="n"/>
      <c r="C25" s="41" t="n"/>
      <c r="D25" s="40" t="n"/>
      <c r="E25" s="40" t="n"/>
      <c r="F25" s="40" t="n"/>
      <c r="G25" s="39">
        <f>IF(COUNTA(A25:F25)=0,"",IF(A25="EXAMPLE","Example (skipped)",IF(OR(C25="",E25="",F25=""),"✖ Portal, User ID and Password are all needed",IF(AND(A25="",COUNTIF(Clients!$B$5:$B$1005,B25)=0),"Not on Clients — will match a portal client by name",IF(AND(C25="GST",D25&lt;&gt;"",COUNTIF(Clients!$AZ$5:$AZ$1005,UPPER(D25))=0,COUNTIF(Clients!$G$5:$G$1005,"*"&amp;UPPER(D25)&amp;"*")=0),"GSTIN not on Clients — will be checked in the portal","✔ OK")))))</f>
        <v/>
      </c>
    </row>
    <row r="26">
      <c r="A26" s="40" t="n"/>
      <c r="B26" s="41" t="n"/>
      <c r="C26" s="41" t="n"/>
      <c r="D26" s="40" t="n"/>
      <c r="E26" s="40" t="n"/>
      <c r="F26" s="40" t="n"/>
      <c r="G26" s="39">
        <f>IF(COUNTA(A26:F26)=0,"",IF(A26="EXAMPLE","Example (skipped)",IF(OR(C26="",E26="",F26=""),"✖ Portal, User ID and Password are all needed",IF(AND(A26="",COUNTIF(Clients!$B$5:$B$1005,B26)=0),"Not on Clients — will match a portal client by name",IF(AND(C26="GST",D26&lt;&gt;"",COUNTIF(Clients!$AZ$5:$AZ$1005,UPPER(D26))=0,COUNTIF(Clients!$G$5:$G$1005,"*"&amp;UPPER(D26)&amp;"*")=0),"GSTIN not on Clients — will be checked in the portal","✔ OK")))))</f>
        <v/>
      </c>
    </row>
    <row r="27">
      <c r="A27" s="40" t="n"/>
      <c r="B27" s="41" t="n"/>
      <c r="C27" s="41" t="n"/>
      <c r="D27" s="40" t="n"/>
      <c r="E27" s="40" t="n"/>
      <c r="F27" s="40" t="n"/>
      <c r="G27" s="39">
        <f>IF(COUNTA(A27:F27)=0,"",IF(A27="EXAMPLE","Example (skipped)",IF(OR(C27="",E27="",F27=""),"✖ Portal, User ID and Password are all needed",IF(AND(A27="",COUNTIF(Clients!$B$5:$B$1005,B27)=0),"Not on Clients — will match a portal client by name",IF(AND(C27="GST",D27&lt;&gt;"",COUNTIF(Clients!$AZ$5:$AZ$1005,UPPER(D27))=0,COUNTIF(Clients!$G$5:$G$1005,"*"&amp;UPPER(D27)&amp;"*")=0),"GSTIN not on Clients — will be checked in the portal","✔ OK")))))</f>
        <v/>
      </c>
    </row>
    <row r="28">
      <c r="A28" s="40" t="n"/>
      <c r="B28" s="41" t="n"/>
      <c r="C28" s="41" t="n"/>
      <c r="D28" s="40" t="n"/>
      <c r="E28" s="40" t="n"/>
      <c r="F28" s="40" t="n"/>
      <c r="G28" s="39">
        <f>IF(COUNTA(A28:F28)=0,"",IF(A28="EXAMPLE","Example (skipped)",IF(OR(C28="",E28="",F28=""),"✖ Portal, User ID and Password are all needed",IF(AND(A28="",COUNTIF(Clients!$B$5:$B$1005,B28)=0),"Not on Clients — will match a portal client by name",IF(AND(C28="GST",D28&lt;&gt;"",COUNTIF(Clients!$AZ$5:$AZ$1005,UPPER(D28))=0,COUNTIF(Clients!$G$5:$G$1005,"*"&amp;UPPER(D28)&amp;"*")=0),"GSTIN not on Clients — will be checked in the portal","✔ OK")))))</f>
        <v/>
      </c>
    </row>
    <row r="29">
      <c r="A29" s="40" t="n"/>
      <c r="B29" s="41" t="n"/>
      <c r="C29" s="41" t="n"/>
      <c r="D29" s="40" t="n"/>
      <c r="E29" s="40" t="n"/>
      <c r="F29" s="40" t="n"/>
      <c r="G29" s="39">
        <f>IF(COUNTA(A29:F29)=0,"",IF(A29="EXAMPLE","Example (skipped)",IF(OR(C29="",E29="",F29=""),"✖ Portal, User ID and Password are all needed",IF(AND(A29="",COUNTIF(Clients!$B$5:$B$1005,B29)=0),"Not on Clients — will match a portal client by name",IF(AND(C29="GST",D29&lt;&gt;"",COUNTIF(Clients!$AZ$5:$AZ$1005,UPPER(D29))=0,COUNTIF(Clients!$G$5:$G$1005,"*"&amp;UPPER(D29)&amp;"*")=0),"GSTIN not on Clients — will be checked in the portal","✔ OK")))))</f>
        <v/>
      </c>
    </row>
    <row r="30">
      <c r="A30" s="40" t="n"/>
      <c r="B30" s="41" t="n"/>
      <c r="C30" s="41" t="n"/>
      <c r="D30" s="40" t="n"/>
      <c r="E30" s="40" t="n"/>
      <c r="F30" s="40" t="n"/>
      <c r="G30" s="39">
        <f>IF(COUNTA(A30:F30)=0,"",IF(A30="EXAMPLE","Example (skipped)",IF(OR(C30="",E30="",F30=""),"✖ Portal, User ID and Password are all needed",IF(AND(A30="",COUNTIF(Clients!$B$5:$B$1005,B30)=0),"Not on Clients — will match a portal client by name",IF(AND(C30="GST",D30&lt;&gt;"",COUNTIF(Clients!$AZ$5:$AZ$1005,UPPER(D30))=0,COUNTIF(Clients!$G$5:$G$1005,"*"&amp;UPPER(D30)&amp;"*")=0),"GSTIN not on Clients — will be checked in the portal","✔ OK")))))</f>
        <v/>
      </c>
    </row>
    <row r="31">
      <c r="A31" s="40" t="n"/>
      <c r="B31" s="41" t="n"/>
      <c r="C31" s="41" t="n"/>
      <c r="D31" s="40" t="n"/>
      <c r="E31" s="40" t="n"/>
      <c r="F31" s="40" t="n"/>
      <c r="G31" s="39">
        <f>IF(COUNTA(A31:F31)=0,"",IF(A31="EXAMPLE","Example (skipped)",IF(OR(C31="",E31="",F31=""),"✖ Portal, User ID and Password are all needed",IF(AND(A31="",COUNTIF(Clients!$B$5:$B$1005,B31)=0),"Not on Clients — will match a portal client by name",IF(AND(C31="GST",D31&lt;&gt;"",COUNTIF(Clients!$AZ$5:$AZ$1005,UPPER(D31))=0,COUNTIF(Clients!$G$5:$G$1005,"*"&amp;UPPER(D31)&amp;"*")=0),"GSTIN not on Clients — will be checked in the portal","✔ OK")))))</f>
        <v/>
      </c>
    </row>
    <row r="32">
      <c r="A32" s="40" t="n"/>
      <c r="B32" s="41" t="n"/>
      <c r="C32" s="41" t="n"/>
      <c r="D32" s="40" t="n"/>
      <c r="E32" s="40" t="n"/>
      <c r="F32" s="40" t="n"/>
      <c r="G32" s="39">
        <f>IF(COUNTA(A32:F32)=0,"",IF(A32="EXAMPLE","Example (skipped)",IF(OR(C32="",E32="",F32=""),"✖ Portal, User ID and Password are all needed",IF(AND(A32="",COUNTIF(Clients!$B$5:$B$1005,B32)=0),"Not on Clients — will match a portal client by name",IF(AND(C32="GST",D32&lt;&gt;"",COUNTIF(Clients!$AZ$5:$AZ$1005,UPPER(D32))=0,COUNTIF(Clients!$G$5:$G$1005,"*"&amp;UPPER(D32)&amp;"*")=0),"GSTIN not on Clients — will be checked in the portal","✔ OK")))))</f>
        <v/>
      </c>
    </row>
    <row r="33">
      <c r="A33" s="40" t="n"/>
      <c r="B33" s="41" t="n"/>
      <c r="C33" s="41" t="n"/>
      <c r="D33" s="40" t="n"/>
      <c r="E33" s="40" t="n"/>
      <c r="F33" s="40" t="n"/>
      <c r="G33" s="39">
        <f>IF(COUNTA(A33:F33)=0,"",IF(A33="EXAMPLE","Example (skipped)",IF(OR(C33="",E33="",F33=""),"✖ Portal, User ID and Password are all needed",IF(AND(A33="",COUNTIF(Clients!$B$5:$B$1005,B33)=0),"Not on Clients — will match a portal client by name",IF(AND(C33="GST",D33&lt;&gt;"",COUNTIF(Clients!$AZ$5:$AZ$1005,UPPER(D33))=0,COUNTIF(Clients!$G$5:$G$1005,"*"&amp;UPPER(D33)&amp;"*")=0),"GSTIN not on Clients — will be checked in the portal","✔ OK")))))</f>
        <v/>
      </c>
    </row>
    <row r="34">
      <c r="A34" s="40" t="n"/>
      <c r="B34" s="41" t="n"/>
      <c r="C34" s="41" t="n"/>
      <c r="D34" s="40" t="n"/>
      <c r="E34" s="40" t="n"/>
      <c r="F34" s="40" t="n"/>
      <c r="G34" s="39">
        <f>IF(COUNTA(A34:F34)=0,"",IF(A34="EXAMPLE","Example (skipped)",IF(OR(C34="",E34="",F34=""),"✖ Portal, User ID and Password are all needed",IF(AND(A34="",COUNTIF(Clients!$B$5:$B$1005,B34)=0),"Not on Clients — will match a portal client by name",IF(AND(C34="GST",D34&lt;&gt;"",COUNTIF(Clients!$AZ$5:$AZ$1005,UPPER(D34))=0,COUNTIF(Clients!$G$5:$G$1005,"*"&amp;UPPER(D34)&amp;"*")=0),"GSTIN not on Clients — will be checked in the portal","✔ OK")))))</f>
        <v/>
      </c>
    </row>
    <row r="35">
      <c r="A35" s="40" t="n"/>
      <c r="B35" s="41" t="n"/>
      <c r="C35" s="41" t="n"/>
      <c r="D35" s="40" t="n"/>
      <c r="E35" s="40" t="n"/>
      <c r="F35" s="40" t="n"/>
      <c r="G35" s="39">
        <f>IF(COUNTA(A35:F35)=0,"",IF(A35="EXAMPLE","Example (skipped)",IF(OR(C35="",E35="",F35=""),"✖ Portal, User ID and Password are all needed",IF(AND(A35="",COUNTIF(Clients!$B$5:$B$1005,B35)=0),"Not on Clients — will match a portal client by name",IF(AND(C35="GST",D35&lt;&gt;"",COUNTIF(Clients!$AZ$5:$AZ$1005,UPPER(D35))=0,COUNTIF(Clients!$G$5:$G$1005,"*"&amp;UPPER(D35)&amp;"*")=0),"GSTIN not on Clients — will be checked in the portal","✔ OK")))))</f>
        <v/>
      </c>
    </row>
    <row r="36">
      <c r="A36" s="40" t="n"/>
      <c r="B36" s="41" t="n"/>
      <c r="C36" s="41" t="n"/>
      <c r="D36" s="40" t="n"/>
      <c r="E36" s="40" t="n"/>
      <c r="F36" s="40" t="n"/>
      <c r="G36" s="39">
        <f>IF(COUNTA(A36:F36)=0,"",IF(A36="EXAMPLE","Example (skipped)",IF(OR(C36="",E36="",F36=""),"✖ Portal, User ID and Password are all needed",IF(AND(A36="",COUNTIF(Clients!$B$5:$B$1005,B36)=0),"Not on Clients — will match a portal client by name",IF(AND(C36="GST",D36&lt;&gt;"",COUNTIF(Clients!$AZ$5:$AZ$1005,UPPER(D36))=0,COUNTIF(Clients!$G$5:$G$1005,"*"&amp;UPPER(D36)&amp;"*")=0),"GSTIN not on Clients — will be checked in the portal","✔ OK")))))</f>
        <v/>
      </c>
    </row>
    <row r="37">
      <c r="A37" s="40" t="n"/>
      <c r="B37" s="41" t="n"/>
      <c r="C37" s="41" t="n"/>
      <c r="D37" s="40" t="n"/>
      <c r="E37" s="40" t="n"/>
      <c r="F37" s="40" t="n"/>
      <c r="G37" s="39">
        <f>IF(COUNTA(A37:F37)=0,"",IF(A37="EXAMPLE","Example (skipped)",IF(OR(C37="",E37="",F37=""),"✖ Portal, User ID and Password are all needed",IF(AND(A37="",COUNTIF(Clients!$B$5:$B$1005,B37)=0),"Not on Clients — will match a portal client by name",IF(AND(C37="GST",D37&lt;&gt;"",COUNTIF(Clients!$AZ$5:$AZ$1005,UPPER(D37))=0,COUNTIF(Clients!$G$5:$G$1005,"*"&amp;UPPER(D37)&amp;"*")=0),"GSTIN not on Clients — will be checked in the portal","✔ OK")))))</f>
        <v/>
      </c>
    </row>
    <row r="38">
      <c r="A38" s="40" t="n"/>
      <c r="B38" s="41" t="n"/>
      <c r="C38" s="41" t="n"/>
      <c r="D38" s="40" t="n"/>
      <c r="E38" s="40" t="n"/>
      <c r="F38" s="40" t="n"/>
      <c r="G38" s="39">
        <f>IF(COUNTA(A38:F38)=0,"",IF(A38="EXAMPLE","Example (skipped)",IF(OR(C38="",E38="",F38=""),"✖ Portal, User ID and Password are all needed",IF(AND(A38="",COUNTIF(Clients!$B$5:$B$1005,B38)=0),"Not on Clients — will match a portal client by name",IF(AND(C38="GST",D38&lt;&gt;"",COUNTIF(Clients!$AZ$5:$AZ$1005,UPPER(D38))=0,COUNTIF(Clients!$G$5:$G$1005,"*"&amp;UPPER(D38)&amp;"*")=0),"GSTIN not on Clients — will be checked in the portal","✔ OK")))))</f>
        <v/>
      </c>
    </row>
    <row r="39">
      <c r="A39" s="40" t="n"/>
      <c r="B39" s="41" t="n"/>
      <c r="C39" s="41" t="n"/>
      <c r="D39" s="40" t="n"/>
      <c r="E39" s="40" t="n"/>
      <c r="F39" s="40" t="n"/>
      <c r="G39" s="39">
        <f>IF(COUNTA(A39:F39)=0,"",IF(A39="EXAMPLE","Example (skipped)",IF(OR(C39="",E39="",F39=""),"✖ Portal, User ID and Password are all needed",IF(AND(A39="",COUNTIF(Clients!$B$5:$B$1005,B39)=0),"Not on Clients — will match a portal client by name",IF(AND(C39="GST",D39&lt;&gt;"",COUNTIF(Clients!$AZ$5:$AZ$1005,UPPER(D39))=0,COUNTIF(Clients!$G$5:$G$1005,"*"&amp;UPPER(D39)&amp;"*")=0),"GSTIN not on Clients — will be checked in the portal","✔ OK")))))</f>
        <v/>
      </c>
    </row>
    <row r="40">
      <c r="A40" s="40" t="n"/>
      <c r="B40" s="41" t="n"/>
      <c r="C40" s="41" t="n"/>
      <c r="D40" s="40" t="n"/>
      <c r="E40" s="40" t="n"/>
      <c r="F40" s="40" t="n"/>
      <c r="G40" s="39">
        <f>IF(COUNTA(A40:F40)=0,"",IF(A40="EXAMPLE","Example (skipped)",IF(OR(C40="",E40="",F40=""),"✖ Portal, User ID and Password are all needed",IF(AND(A40="",COUNTIF(Clients!$B$5:$B$1005,B40)=0),"Not on Clients — will match a portal client by name",IF(AND(C40="GST",D40&lt;&gt;"",COUNTIF(Clients!$AZ$5:$AZ$1005,UPPER(D40))=0,COUNTIF(Clients!$G$5:$G$1005,"*"&amp;UPPER(D40)&amp;"*")=0),"GSTIN not on Clients — will be checked in the portal","✔ OK")))))</f>
        <v/>
      </c>
    </row>
    <row r="41">
      <c r="A41" s="40" t="n"/>
      <c r="B41" s="41" t="n"/>
      <c r="C41" s="41" t="n"/>
      <c r="D41" s="40" t="n"/>
      <c r="E41" s="40" t="n"/>
      <c r="F41" s="40" t="n"/>
      <c r="G41" s="39">
        <f>IF(COUNTA(A41:F41)=0,"",IF(A41="EXAMPLE","Example (skipped)",IF(OR(C41="",E41="",F41=""),"✖ Portal, User ID and Password are all needed",IF(AND(A41="",COUNTIF(Clients!$B$5:$B$1005,B41)=0),"Not on Clients — will match a portal client by name",IF(AND(C41="GST",D41&lt;&gt;"",COUNTIF(Clients!$AZ$5:$AZ$1005,UPPER(D41))=0,COUNTIF(Clients!$G$5:$G$1005,"*"&amp;UPPER(D41)&amp;"*")=0),"GSTIN not on Clients — will be checked in the portal","✔ OK")))))</f>
        <v/>
      </c>
    </row>
    <row r="42">
      <c r="A42" s="40" t="n"/>
      <c r="B42" s="41" t="n"/>
      <c r="C42" s="41" t="n"/>
      <c r="D42" s="40" t="n"/>
      <c r="E42" s="40" t="n"/>
      <c r="F42" s="40" t="n"/>
      <c r="G42" s="39">
        <f>IF(COUNTA(A42:F42)=0,"",IF(A42="EXAMPLE","Example (skipped)",IF(OR(C42="",E42="",F42=""),"✖ Portal, User ID and Password are all needed",IF(AND(A42="",COUNTIF(Clients!$B$5:$B$1005,B42)=0),"Not on Clients — will match a portal client by name",IF(AND(C42="GST",D42&lt;&gt;"",COUNTIF(Clients!$AZ$5:$AZ$1005,UPPER(D42))=0,COUNTIF(Clients!$G$5:$G$1005,"*"&amp;UPPER(D42)&amp;"*")=0),"GSTIN not on Clients — will be checked in the portal","✔ OK")))))</f>
        <v/>
      </c>
    </row>
    <row r="43">
      <c r="A43" s="40" t="n"/>
      <c r="B43" s="41" t="n"/>
      <c r="C43" s="41" t="n"/>
      <c r="D43" s="40" t="n"/>
      <c r="E43" s="40" t="n"/>
      <c r="F43" s="40" t="n"/>
      <c r="G43" s="39">
        <f>IF(COUNTA(A43:F43)=0,"",IF(A43="EXAMPLE","Example (skipped)",IF(OR(C43="",E43="",F43=""),"✖ Portal, User ID and Password are all needed",IF(AND(A43="",COUNTIF(Clients!$B$5:$B$1005,B43)=0),"Not on Clients — will match a portal client by name",IF(AND(C43="GST",D43&lt;&gt;"",COUNTIF(Clients!$AZ$5:$AZ$1005,UPPER(D43))=0,COUNTIF(Clients!$G$5:$G$1005,"*"&amp;UPPER(D43)&amp;"*")=0),"GSTIN not on Clients — will be checked in the portal","✔ OK")))))</f>
        <v/>
      </c>
    </row>
    <row r="44">
      <c r="A44" s="40" t="n"/>
      <c r="B44" s="41" t="n"/>
      <c r="C44" s="41" t="n"/>
      <c r="D44" s="40" t="n"/>
      <c r="E44" s="40" t="n"/>
      <c r="F44" s="40" t="n"/>
      <c r="G44" s="39">
        <f>IF(COUNTA(A44:F44)=0,"",IF(A44="EXAMPLE","Example (skipped)",IF(OR(C44="",E44="",F44=""),"✖ Portal, User ID and Password are all needed",IF(AND(A44="",COUNTIF(Clients!$B$5:$B$1005,B44)=0),"Not on Clients — will match a portal client by name",IF(AND(C44="GST",D44&lt;&gt;"",COUNTIF(Clients!$AZ$5:$AZ$1005,UPPER(D44))=0,COUNTIF(Clients!$G$5:$G$1005,"*"&amp;UPPER(D44)&amp;"*")=0),"GSTIN not on Clients — will be checked in the portal","✔ OK")))))</f>
        <v/>
      </c>
    </row>
    <row r="45">
      <c r="A45" s="40" t="n"/>
      <c r="B45" s="41" t="n"/>
      <c r="C45" s="41" t="n"/>
      <c r="D45" s="40" t="n"/>
      <c r="E45" s="40" t="n"/>
      <c r="F45" s="40" t="n"/>
      <c r="G45" s="39">
        <f>IF(COUNTA(A45:F45)=0,"",IF(A45="EXAMPLE","Example (skipped)",IF(OR(C45="",E45="",F45=""),"✖ Portal, User ID and Password are all needed",IF(AND(A45="",COUNTIF(Clients!$B$5:$B$1005,B45)=0),"Not on Clients — will match a portal client by name",IF(AND(C45="GST",D45&lt;&gt;"",COUNTIF(Clients!$AZ$5:$AZ$1005,UPPER(D45))=0,COUNTIF(Clients!$G$5:$G$1005,"*"&amp;UPPER(D45)&amp;"*")=0),"GSTIN not on Clients — will be checked in the portal","✔ OK")))))</f>
        <v/>
      </c>
    </row>
    <row r="46">
      <c r="A46" s="40" t="n"/>
      <c r="B46" s="41" t="n"/>
      <c r="C46" s="41" t="n"/>
      <c r="D46" s="40" t="n"/>
      <c r="E46" s="40" t="n"/>
      <c r="F46" s="40" t="n"/>
      <c r="G46" s="39">
        <f>IF(COUNTA(A46:F46)=0,"",IF(A46="EXAMPLE","Example (skipped)",IF(OR(C46="",E46="",F46=""),"✖ Portal, User ID and Password are all needed",IF(AND(A46="",COUNTIF(Clients!$B$5:$B$1005,B46)=0),"Not on Clients — will match a portal client by name",IF(AND(C46="GST",D46&lt;&gt;"",COUNTIF(Clients!$AZ$5:$AZ$1005,UPPER(D46))=0,COUNTIF(Clients!$G$5:$G$1005,"*"&amp;UPPER(D46)&amp;"*")=0),"GSTIN not on Clients — will be checked in the portal","✔ OK")))))</f>
        <v/>
      </c>
    </row>
    <row r="47">
      <c r="A47" s="40" t="n"/>
      <c r="B47" s="41" t="n"/>
      <c r="C47" s="41" t="n"/>
      <c r="D47" s="40" t="n"/>
      <c r="E47" s="40" t="n"/>
      <c r="F47" s="40" t="n"/>
      <c r="G47" s="39">
        <f>IF(COUNTA(A47:F47)=0,"",IF(A47="EXAMPLE","Example (skipped)",IF(OR(C47="",E47="",F47=""),"✖ Portal, User ID and Password are all needed",IF(AND(A47="",COUNTIF(Clients!$B$5:$B$1005,B47)=0),"Not on Clients — will match a portal client by name",IF(AND(C47="GST",D47&lt;&gt;"",COUNTIF(Clients!$AZ$5:$AZ$1005,UPPER(D47))=0,COUNTIF(Clients!$G$5:$G$1005,"*"&amp;UPPER(D47)&amp;"*")=0),"GSTIN not on Clients — will be checked in the portal","✔ OK")))))</f>
        <v/>
      </c>
    </row>
    <row r="48">
      <c r="A48" s="40" t="n"/>
      <c r="B48" s="41" t="n"/>
      <c r="C48" s="41" t="n"/>
      <c r="D48" s="40" t="n"/>
      <c r="E48" s="40" t="n"/>
      <c r="F48" s="40" t="n"/>
      <c r="G48" s="39">
        <f>IF(COUNTA(A48:F48)=0,"",IF(A48="EXAMPLE","Example (skipped)",IF(OR(C48="",E48="",F48=""),"✖ Portal, User ID and Password are all needed",IF(AND(A48="",COUNTIF(Clients!$B$5:$B$1005,B48)=0),"Not on Clients — will match a portal client by name",IF(AND(C48="GST",D48&lt;&gt;"",COUNTIF(Clients!$AZ$5:$AZ$1005,UPPER(D48))=0,COUNTIF(Clients!$G$5:$G$1005,"*"&amp;UPPER(D48)&amp;"*")=0),"GSTIN not on Clients — will be checked in the portal","✔ OK")))))</f>
        <v/>
      </c>
    </row>
    <row r="49">
      <c r="A49" s="40" t="n"/>
      <c r="B49" s="41" t="n"/>
      <c r="C49" s="41" t="n"/>
      <c r="D49" s="40" t="n"/>
      <c r="E49" s="40" t="n"/>
      <c r="F49" s="40" t="n"/>
      <c r="G49" s="39">
        <f>IF(COUNTA(A49:F49)=0,"",IF(A49="EXAMPLE","Example (skipped)",IF(OR(C49="",E49="",F49=""),"✖ Portal, User ID and Password are all needed",IF(AND(A49="",COUNTIF(Clients!$B$5:$B$1005,B49)=0),"Not on Clients — will match a portal client by name",IF(AND(C49="GST",D49&lt;&gt;"",COUNTIF(Clients!$AZ$5:$AZ$1005,UPPER(D49))=0,COUNTIF(Clients!$G$5:$G$1005,"*"&amp;UPPER(D49)&amp;"*")=0),"GSTIN not on Clients — will be checked in the portal","✔ OK")))))</f>
        <v/>
      </c>
    </row>
    <row r="50">
      <c r="A50" s="40" t="n"/>
      <c r="B50" s="41" t="n"/>
      <c r="C50" s="41" t="n"/>
      <c r="D50" s="40" t="n"/>
      <c r="E50" s="40" t="n"/>
      <c r="F50" s="40" t="n"/>
      <c r="G50" s="39">
        <f>IF(COUNTA(A50:F50)=0,"",IF(A50="EXAMPLE","Example (skipped)",IF(OR(C50="",E50="",F50=""),"✖ Portal, User ID and Password are all needed",IF(AND(A50="",COUNTIF(Clients!$B$5:$B$1005,B50)=0),"Not on Clients — will match a portal client by name",IF(AND(C50="GST",D50&lt;&gt;"",COUNTIF(Clients!$AZ$5:$AZ$1005,UPPER(D50))=0,COUNTIF(Clients!$G$5:$G$1005,"*"&amp;UPPER(D50)&amp;"*")=0),"GSTIN not on Clients — will be checked in the portal","✔ OK")))))</f>
        <v/>
      </c>
    </row>
    <row r="51">
      <c r="A51" s="40" t="n"/>
      <c r="B51" s="41" t="n"/>
      <c r="C51" s="41" t="n"/>
      <c r="D51" s="40" t="n"/>
      <c r="E51" s="40" t="n"/>
      <c r="F51" s="40" t="n"/>
      <c r="G51" s="39">
        <f>IF(COUNTA(A51:F51)=0,"",IF(A51="EXAMPLE","Example (skipped)",IF(OR(C51="",E51="",F51=""),"✖ Portal, User ID and Password are all needed",IF(AND(A51="",COUNTIF(Clients!$B$5:$B$1005,B51)=0),"Not on Clients — will match a portal client by name",IF(AND(C51="GST",D51&lt;&gt;"",COUNTIF(Clients!$AZ$5:$AZ$1005,UPPER(D51))=0,COUNTIF(Clients!$G$5:$G$1005,"*"&amp;UPPER(D51)&amp;"*")=0),"GSTIN not on Clients — will be checked in the portal","✔ OK")))))</f>
        <v/>
      </c>
    </row>
    <row r="52">
      <c r="A52" s="40" t="n"/>
      <c r="B52" s="41" t="n"/>
      <c r="C52" s="41" t="n"/>
      <c r="D52" s="40" t="n"/>
      <c r="E52" s="40" t="n"/>
      <c r="F52" s="40" t="n"/>
      <c r="G52" s="39">
        <f>IF(COUNTA(A52:F52)=0,"",IF(A52="EXAMPLE","Example (skipped)",IF(OR(C52="",E52="",F52=""),"✖ Portal, User ID and Password are all needed",IF(AND(A52="",COUNTIF(Clients!$B$5:$B$1005,B52)=0),"Not on Clients — will match a portal client by name",IF(AND(C52="GST",D52&lt;&gt;"",COUNTIF(Clients!$AZ$5:$AZ$1005,UPPER(D52))=0,COUNTIF(Clients!$G$5:$G$1005,"*"&amp;UPPER(D52)&amp;"*")=0),"GSTIN not on Clients — will be checked in the portal","✔ OK")))))</f>
        <v/>
      </c>
    </row>
    <row r="53">
      <c r="A53" s="40" t="n"/>
      <c r="B53" s="41" t="n"/>
      <c r="C53" s="41" t="n"/>
      <c r="D53" s="40" t="n"/>
      <c r="E53" s="40" t="n"/>
      <c r="F53" s="40" t="n"/>
      <c r="G53" s="39">
        <f>IF(COUNTA(A53:F53)=0,"",IF(A53="EXAMPLE","Example (skipped)",IF(OR(C53="",E53="",F53=""),"✖ Portal, User ID and Password are all needed",IF(AND(A53="",COUNTIF(Clients!$B$5:$B$1005,B53)=0),"Not on Clients — will match a portal client by name",IF(AND(C53="GST",D53&lt;&gt;"",COUNTIF(Clients!$AZ$5:$AZ$1005,UPPER(D53))=0,COUNTIF(Clients!$G$5:$G$1005,"*"&amp;UPPER(D53)&amp;"*")=0),"GSTIN not on Clients — will be checked in the portal","✔ OK")))))</f>
        <v/>
      </c>
    </row>
    <row r="54">
      <c r="A54" s="40" t="n"/>
      <c r="B54" s="41" t="n"/>
      <c r="C54" s="41" t="n"/>
      <c r="D54" s="40" t="n"/>
      <c r="E54" s="40" t="n"/>
      <c r="F54" s="40" t="n"/>
      <c r="G54" s="39">
        <f>IF(COUNTA(A54:F54)=0,"",IF(A54="EXAMPLE","Example (skipped)",IF(OR(C54="",E54="",F54=""),"✖ Portal, User ID and Password are all needed",IF(AND(A54="",COUNTIF(Clients!$B$5:$B$1005,B54)=0),"Not on Clients — will match a portal client by name",IF(AND(C54="GST",D54&lt;&gt;"",COUNTIF(Clients!$AZ$5:$AZ$1005,UPPER(D54))=0,COUNTIF(Clients!$G$5:$G$1005,"*"&amp;UPPER(D54)&amp;"*")=0),"GSTIN not on Clients — will be checked in the portal","✔ OK")))))</f>
        <v/>
      </c>
    </row>
    <row r="55">
      <c r="A55" s="40" t="n"/>
      <c r="B55" s="41" t="n"/>
      <c r="C55" s="41" t="n"/>
      <c r="D55" s="40" t="n"/>
      <c r="E55" s="40" t="n"/>
      <c r="F55" s="40" t="n"/>
      <c r="G55" s="39">
        <f>IF(COUNTA(A55:F55)=0,"",IF(A55="EXAMPLE","Example (skipped)",IF(OR(C55="",E55="",F55=""),"✖ Portal, User ID and Password are all needed",IF(AND(A55="",COUNTIF(Clients!$B$5:$B$1005,B55)=0),"Not on Clients — will match a portal client by name",IF(AND(C55="GST",D55&lt;&gt;"",COUNTIF(Clients!$AZ$5:$AZ$1005,UPPER(D55))=0,COUNTIF(Clients!$G$5:$G$1005,"*"&amp;UPPER(D55)&amp;"*")=0),"GSTIN not on Clients — will be checked in the portal","✔ OK")))))</f>
        <v/>
      </c>
    </row>
    <row r="56">
      <c r="A56" s="40" t="n"/>
      <c r="B56" s="41" t="n"/>
      <c r="C56" s="41" t="n"/>
      <c r="D56" s="40" t="n"/>
      <c r="E56" s="40" t="n"/>
      <c r="F56" s="40" t="n"/>
      <c r="G56" s="39">
        <f>IF(COUNTA(A56:F56)=0,"",IF(A56="EXAMPLE","Example (skipped)",IF(OR(C56="",E56="",F56=""),"✖ Portal, User ID and Password are all needed",IF(AND(A56="",COUNTIF(Clients!$B$5:$B$1005,B56)=0),"Not on Clients — will match a portal client by name",IF(AND(C56="GST",D56&lt;&gt;"",COUNTIF(Clients!$AZ$5:$AZ$1005,UPPER(D56))=0,COUNTIF(Clients!$G$5:$G$1005,"*"&amp;UPPER(D56)&amp;"*")=0),"GSTIN not on Clients — will be checked in the portal","✔ OK")))))</f>
        <v/>
      </c>
    </row>
    <row r="57">
      <c r="A57" s="40" t="n"/>
      <c r="B57" s="41" t="n"/>
      <c r="C57" s="41" t="n"/>
      <c r="D57" s="40" t="n"/>
      <c r="E57" s="40" t="n"/>
      <c r="F57" s="40" t="n"/>
      <c r="G57" s="39">
        <f>IF(COUNTA(A57:F57)=0,"",IF(A57="EXAMPLE","Example (skipped)",IF(OR(C57="",E57="",F57=""),"✖ Portal, User ID and Password are all needed",IF(AND(A57="",COUNTIF(Clients!$B$5:$B$1005,B57)=0),"Not on Clients — will match a portal client by name",IF(AND(C57="GST",D57&lt;&gt;"",COUNTIF(Clients!$AZ$5:$AZ$1005,UPPER(D57))=0,COUNTIF(Clients!$G$5:$G$1005,"*"&amp;UPPER(D57)&amp;"*")=0),"GSTIN not on Clients — will be checked in the portal","✔ OK")))))</f>
        <v/>
      </c>
    </row>
    <row r="58">
      <c r="A58" s="40" t="n"/>
      <c r="B58" s="41" t="n"/>
      <c r="C58" s="41" t="n"/>
      <c r="D58" s="40" t="n"/>
      <c r="E58" s="40" t="n"/>
      <c r="F58" s="40" t="n"/>
      <c r="G58" s="39">
        <f>IF(COUNTA(A58:F58)=0,"",IF(A58="EXAMPLE","Example (skipped)",IF(OR(C58="",E58="",F58=""),"✖ Portal, User ID and Password are all needed",IF(AND(A58="",COUNTIF(Clients!$B$5:$B$1005,B58)=0),"Not on Clients — will match a portal client by name",IF(AND(C58="GST",D58&lt;&gt;"",COUNTIF(Clients!$AZ$5:$AZ$1005,UPPER(D58))=0,COUNTIF(Clients!$G$5:$G$1005,"*"&amp;UPPER(D58)&amp;"*")=0),"GSTIN not on Clients — will be checked in the portal","✔ OK")))))</f>
        <v/>
      </c>
    </row>
    <row r="59">
      <c r="A59" s="40" t="n"/>
      <c r="B59" s="41" t="n"/>
      <c r="C59" s="41" t="n"/>
      <c r="D59" s="40" t="n"/>
      <c r="E59" s="40" t="n"/>
      <c r="F59" s="40" t="n"/>
      <c r="G59" s="39">
        <f>IF(COUNTA(A59:F59)=0,"",IF(A59="EXAMPLE","Example (skipped)",IF(OR(C59="",E59="",F59=""),"✖ Portal, User ID and Password are all needed",IF(AND(A59="",COUNTIF(Clients!$B$5:$B$1005,B59)=0),"Not on Clients — will match a portal client by name",IF(AND(C59="GST",D59&lt;&gt;"",COUNTIF(Clients!$AZ$5:$AZ$1005,UPPER(D59))=0,COUNTIF(Clients!$G$5:$G$1005,"*"&amp;UPPER(D59)&amp;"*")=0),"GSTIN not on Clients — will be checked in the portal","✔ OK")))))</f>
        <v/>
      </c>
    </row>
    <row r="60">
      <c r="A60" s="40" t="n"/>
      <c r="B60" s="41" t="n"/>
      <c r="C60" s="41" t="n"/>
      <c r="D60" s="40" t="n"/>
      <c r="E60" s="40" t="n"/>
      <c r="F60" s="40" t="n"/>
      <c r="G60" s="39">
        <f>IF(COUNTA(A60:F60)=0,"",IF(A60="EXAMPLE","Example (skipped)",IF(OR(C60="",E60="",F60=""),"✖ Portal, User ID and Password are all needed",IF(AND(A60="",COUNTIF(Clients!$B$5:$B$1005,B60)=0),"Not on Clients — will match a portal client by name",IF(AND(C60="GST",D60&lt;&gt;"",COUNTIF(Clients!$AZ$5:$AZ$1005,UPPER(D60))=0,COUNTIF(Clients!$G$5:$G$1005,"*"&amp;UPPER(D60)&amp;"*")=0),"GSTIN not on Clients — will be checked in the portal","✔ OK")))))</f>
        <v/>
      </c>
    </row>
    <row r="61">
      <c r="A61" s="40" t="n"/>
      <c r="B61" s="41" t="n"/>
      <c r="C61" s="41" t="n"/>
      <c r="D61" s="40" t="n"/>
      <c r="E61" s="40" t="n"/>
      <c r="F61" s="40" t="n"/>
      <c r="G61" s="39">
        <f>IF(COUNTA(A61:F61)=0,"",IF(A61="EXAMPLE","Example (skipped)",IF(OR(C61="",E61="",F61=""),"✖ Portal, User ID and Password are all needed",IF(AND(A61="",COUNTIF(Clients!$B$5:$B$1005,B61)=0),"Not on Clients — will match a portal client by name",IF(AND(C61="GST",D61&lt;&gt;"",COUNTIF(Clients!$AZ$5:$AZ$1005,UPPER(D61))=0,COUNTIF(Clients!$G$5:$G$1005,"*"&amp;UPPER(D61)&amp;"*")=0),"GSTIN not on Clients — will be checked in the portal","✔ OK")))))</f>
        <v/>
      </c>
    </row>
    <row r="62">
      <c r="A62" s="40" t="n"/>
      <c r="B62" s="41" t="n"/>
      <c r="C62" s="41" t="n"/>
      <c r="D62" s="40" t="n"/>
      <c r="E62" s="40" t="n"/>
      <c r="F62" s="40" t="n"/>
      <c r="G62" s="39">
        <f>IF(COUNTA(A62:F62)=0,"",IF(A62="EXAMPLE","Example (skipped)",IF(OR(C62="",E62="",F62=""),"✖ Portal, User ID and Password are all needed",IF(AND(A62="",COUNTIF(Clients!$B$5:$B$1005,B62)=0),"Not on Clients — will match a portal client by name",IF(AND(C62="GST",D62&lt;&gt;"",COUNTIF(Clients!$AZ$5:$AZ$1005,UPPER(D62))=0,COUNTIF(Clients!$G$5:$G$1005,"*"&amp;UPPER(D62)&amp;"*")=0),"GSTIN not on Clients — will be checked in the portal","✔ OK")))))</f>
        <v/>
      </c>
    </row>
    <row r="63">
      <c r="A63" s="40" t="n"/>
      <c r="B63" s="41" t="n"/>
      <c r="C63" s="41" t="n"/>
      <c r="D63" s="40" t="n"/>
      <c r="E63" s="40" t="n"/>
      <c r="F63" s="40" t="n"/>
      <c r="G63" s="39">
        <f>IF(COUNTA(A63:F63)=0,"",IF(A63="EXAMPLE","Example (skipped)",IF(OR(C63="",E63="",F63=""),"✖ Portal, User ID and Password are all needed",IF(AND(A63="",COUNTIF(Clients!$B$5:$B$1005,B63)=0),"Not on Clients — will match a portal client by name",IF(AND(C63="GST",D63&lt;&gt;"",COUNTIF(Clients!$AZ$5:$AZ$1005,UPPER(D63))=0,COUNTIF(Clients!$G$5:$G$1005,"*"&amp;UPPER(D63)&amp;"*")=0),"GSTIN not on Clients — will be checked in the portal","✔ OK")))))</f>
        <v/>
      </c>
    </row>
    <row r="64">
      <c r="A64" s="40" t="n"/>
      <c r="B64" s="41" t="n"/>
      <c r="C64" s="41" t="n"/>
      <c r="D64" s="40" t="n"/>
      <c r="E64" s="40" t="n"/>
      <c r="F64" s="40" t="n"/>
      <c r="G64" s="39">
        <f>IF(COUNTA(A64:F64)=0,"",IF(A64="EXAMPLE","Example (skipped)",IF(OR(C64="",E64="",F64=""),"✖ Portal, User ID and Password are all needed",IF(AND(A64="",COUNTIF(Clients!$B$5:$B$1005,B64)=0),"Not on Clients — will match a portal client by name",IF(AND(C64="GST",D64&lt;&gt;"",COUNTIF(Clients!$AZ$5:$AZ$1005,UPPER(D64))=0,COUNTIF(Clients!$G$5:$G$1005,"*"&amp;UPPER(D64)&amp;"*")=0),"GSTIN not on Clients — will be checked in the portal","✔ OK")))))</f>
        <v/>
      </c>
    </row>
    <row r="65">
      <c r="A65" s="40" t="n"/>
      <c r="B65" s="41" t="n"/>
      <c r="C65" s="41" t="n"/>
      <c r="D65" s="40" t="n"/>
      <c r="E65" s="40" t="n"/>
      <c r="F65" s="40" t="n"/>
      <c r="G65" s="39">
        <f>IF(COUNTA(A65:F65)=0,"",IF(A65="EXAMPLE","Example (skipped)",IF(OR(C65="",E65="",F65=""),"✖ Portal, User ID and Password are all needed",IF(AND(A65="",COUNTIF(Clients!$B$5:$B$1005,B65)=0),"Not on Clients — will match a portal client by name",IF(AND(C65="GST",D65&lt;&gt;"",COUNTIF(Clients!$AZ$5:$AZ$1005,UPPER(D65))=0,COUNTIF(Clients!$G$5:$G$1005,"*"&amp;UPPER(D65)&amp;"*")=0),"GSTIN not on Clients — will be checked in the portal","✔ OK")))))</f>
        <v/>
      </c>
    </row>
    <row r="66">
      <c r="A66" s="40" t="n"/>
      <c r="B66" s="41" t="n"/>
      <c r="C66" s="41" t="n"/>
      <c r="D66" s="40" t="n"/>
      <c r="E66" s="40" t="n"/>
      <c r="F66" s="40" t="n"/>
      <c r="G66" s="39">
        <f>IF(COUNTA(A66:F66)=0,"",IF(A66="EXAMPLE","Example (skipped)",IF(OR(C66="",E66="",F66=""),"✖ Portal, User ID and Password are all needed",IF(AND(A66="",COUNTIF(Clients!$B$5:$B$1005,B66)=0),"Not on Clients — will match a portal client by name",IF(AND(C66="GST",D66&lt;&gt;"",COUNTIF(Clients!$AZ$5:$AZ$1005,UPPER(D66))=0,COUNTIF(Clients!$G$5:$G$1005,"*"&amp;UPPER(D66)&amp;"*")=0),"GSTIN not on Clients — will be checked in the portal","✔ OK")))))</f>
        <v/>
      </c>
    </row>
    <row r="67">
      <c r="A67" s="40" t="n"/>
      <c r="B67" s="41" t="n"/>
      <c r="C67" s="41" t="n"/>
      <c r="D67" s="40" t="n"/>
      <c r="E67" s="40" t="n"/>
      <c r="F67" s="40" t="n"/>
      <c r="G67" s="39">
        <f>IF(COUNTA(A67:F67)=0,"",IF(A67="EXAMPLE","Example (skipped)",IF(OR(C67="",E67="",F67=""),"✖ Portal, User ID and Password are all needed",IF(AND(A67="",COUNTIF(Clients!$B$5:$B$1005,B67)=0),"Not on Clients — will match a portal client by name",IF(AND(C67="GST",D67&lt;&gt;"",COUNTIF(Clients!$AZ$5:$AZ$1005,UPPER(D67))=0,COUNTIF(Clients!$G$5:$G$1005,"*"&amp;UPPER(D67)&amp;"*")=0),"GSTIN not on Clients — will be checked in the portal","✔ OK")))))</f>
        <v/>
      </c>
    </row>
    <row r="68">
      <c r="A68" s="40" t="n"/>
      <c r="B68" s="41" t="n"/>
      <c r="C68" s="41" t="n"/>
      <c r="D68" s="40" t="n"/>
      <c r="E68" s="40" t="n"/>
      <c r="F68" s="40" t="n"/>
      <c r="G68" s="39">
        <f>IF(COUNTA(A68:F68)=0,"",IF(A68="EXAMPLE","Example (skipped)",IF(OR(C68="",E68="",F68=""),"✖ Portal, User ID and Password are all needed",IF(AND(A68="",COUNTIF(Clients!$B$5:$B$1005,B68)=0),"Not on Clients — will match a portal client by name",IF(AND(C68="GST",D68&lt;&gt;"",COUNTIF(Clients!$AZ$5:$AZ$1005,UPPER(D68))=0,COUNTIF(Clients!$G$5:$G$1005,"*"&amp;UPPER(D68)&amp;"*")=0),"GSTIN not on Clients — will be checked in the portal","✔ OK")))))</f>
        <v/>
      </c>
    </row>
    <row r="69">
      <c r="A69" s="40" t="n"/>
      <c r="B69" s="41" t="n"/>
      <c r="C69" s="41" t="n"/>
      <c r="D69" s="40" t="n"/>
      <c r="E69" s="40" t="n"/>
      <c r="F69" s="40" t="n"/>
      <c r="G69" s="39">
        <f>IF(COUNTA(A69:F69)=0,"",IF(A69="EXAMPLE","Example (skipped)",IF(OR(C69="",E69="",F69=""),"✖ Portal, User ID and Password are all needed",IF(AND(A69="",COUNTIF(Clients!$B$5:$B$1005,B69)=0),"Not on Clients — will match a portal client by name",IF(AND(C69="GST",D69&lt;&gt;"",COUNTIF(Clients!$AZ$5:$AZ$1005,UPPER(D69))=0,COUNTIF(Clients!$G$5:$G$1005,"*"&amp;UPPER(D69)&amp;"*")=0),"GSTIN not on Clients — will be checked in the portal","✔ OK")))))</f>
        <v/>
      </c>
    </row>
    <row r="70">
      <c r="A70" s="40" t="n"/>
      <c r="B70" s="41" t="n"/>
      <c r="C70" s="41" t="n"/>
      <c r="D70" s="40" t="n"/>
      <c r="E70" s="40" t="n"/>
      <c r="F70" s="40" t="n"/>
      <c r="G70" s="39">
        <f>IF(COUNTA(A70:F70)=0,"",IF(A70="EXAMPLE","Example (skipped)",IF(OR(C70="",E70="",F70=""),"✖ Portal, User ID and Password are all needed",IF(AND(A70="",COUNTIF(Clients!$B$5:$B$1005,B70)=0),"Not on Clients — will match a portal client by name",IF(AND(C70="GST",D70&lt;&gt;"",COUNTIF(Clients!$AZ$5:$AZ$1005,UPPER(D70))=0,COUNTIF(Clients!$G$5:$G$1005,"*"&amp;UPPER(D70)&amp;"*")=0),"GSTIN not on Clients — will be checked in the portal","✔ OK")))))</f>
        <v/>
      </c>
    </row>
    <row r="71">
      <c r="A71" s="40" t="n"/>
      <c r="B71" s="41" t="n"/>
      <c r="C71" s="41" t="n"/>
      <c r="D71" s="40" t="n"/>
      <c r="E71" s="40" t="n"/>
      <c r="F71" s="40" t="n"/>
      <c r="G71" s="39">
        <f>IF(COUNTA(A71:F71)=0,"",IF(A71="EXAMPLE","Example (skipped)",IF(OR(C71="",E71="",F71=""),"✖ Portal, User ID and Password are all needed",IF(AND(A71="",COUNTIF(Clients!$B$5:$B$1005,B71)=0),"Not on Clients — will match a portal client by name",IF(AND(C71="GST",D71&lt;&gt;"",COUNTIF(Clients!$AZ$5:$AZ$1005,UPPER(D71))=0,COUNTIF(Clients!$G$5:$G$1005,"*"&amp;UPPER(D71)&amp;"*")=0),"GSTIN not on Clients — will be checked in the portal","✔ OK")))))</f>
        <v/>
      </c>
    </row>
    <row r="72">
      <c r="A72" s="40" t="n"/>
      <c r="B72" s="41" t="n"/>
      <c r="C72" s="41" t="n"/>
      <c r="D72" s="40" t="n"/>
      <c r="E72" s="40" t="n"/>
      <c r="F72" s="40" t="n"/>
      <c r="G72" s="39">
        <f>IF(COUNTA(A72:F72)=0,"",IF(A72="EXAMPLE","Example (skipped)",IF(OR(C72="",E72="",F72=""),"✖ Portal, User ID and Password are all needed",IF(AND(A72="",COUNTIF(Clients!$B$5:$B$1005,B72)=0),"Not on Clients — will match a portal client by name",IF(AND(C72="GST",D72&lt;&gt;"",COUNTIF(Clients!$AZ$5:$AZ$1005,UPPER(D72))=0,COUNTIF(Clients!$G$5:$G$1005,"*"&amp;UPPER(D72)&amp;"*")=0),"GSTIN not on Clients — will be checked in the portal","✔ OK")))))</f>
        <v/>
      </c>
    </row>
    <row r="73">
      <c r="A73" s="40" t="n"/>
      <c r="B73" s="41" t="n"/>
      <c r="C73" s="41" t="n"/>
      <c r="D73" s="40" t="n"/>
      <c r="E73" s="40" t="n"/>
      <c r="F73" s="40" t="n"/>
      <c r="G73" s="39">
        <f>IF(COUNTA(A73:F73)=0,"",IF(A73="EXAMPLE","Example (skipped)",IF(OR(C73="",E73="",F73=""),"✖ Portal, User ID and Password are all needed",IF(AND(A73="",COUNTIF(Clients!$B$5:$B$1005,B73)=0),"Not on Clients — will match a portal client by name",IF(AND(C73="GST",D73&lt;&gt;"",COUNTIF(Clients!$AZ$5:$AZ$1005,UPPER(D73))=0,COUNTIF(Clients!$G$5:$G$1005,"*"&amp;UPPER(D73)&amp;"*")=0),"GSTIN not on Clients — will be checked in the portal","✔ OK")))))</f>
        <v/>
      </c>
    </row>
    <row r="74">
      <c r="A74" s="40" t="n"/>
      <c r="B74" s="41" t="n"/>
      <c r="C74" s="41" t="n"/>
      <c r="D74" s="40" t="n"/>
      <c r="E74" s="40" t="n"/>
      <c r="F74" s="40" t="n"/>
      <c r="G74" s="39">
        <f>IF(COUNTA(A74:F74)=0,"",IF(A74="EXAMPLE","Example (skipped)",IF(OR(C74="",E74="",F74=""),"✖ Portal, User ID and Password are all needed",IF(AND(A74="",COUNTIF(Clients!$B$5:$B$1005,B74)=0),"Not on Clients — will match a portal client by name",IF(AND(C74="GST",D74&lt;&gt;"",COUNTIF(Clients!$AZ$5:$AZ$1005,UPPER(D74))=0,COUNTIF(Clients!$G$5:$G$1005,"*"&amp;UPPER(D74)&amp;"*")=0),"GSTIN not on Clients — will be checked in the portal","✔ OK")))))</f>
        <v/>
      </c>
    </row>
    <row r="75">
      <c r="A75" s="40" t="n"/>
      <c r="B75" s="41" t="n"/>
      <c r="C75" s="41" t="n"/>
      <c r="D75" s="40" t="n"/>
      <c r="E75" s="40" t="n"/>
      <c r="F75" s="40" t="n"/>
      <c r="G75" s="39">
        <f>IF(COUNTA(A75:F75)=0,"",IF(A75="EXAMPLE","Example (skipped)",IF(OR(C75="",E75="",F75=""),"✖ Portal, User ID and Password are all needed",IF(AND(A75="",COUNTIF(Clients!$B$5:$B$1005,B75)=0),"Not on Clients — will match a portal client by name",IF(AND(C75="GST",D75&lt;&gt;"",COUNTIF(Clients!$AZ$5:$AZ$1005,UPPER(D75))=0,COUNTIF(Clients!$G$5:$G$1005,"*"&amp;UPPER(D75)&amp;"*")=0),"GSTIN not on Clients — will be checked in the portal","✔ OK")))))</f>
        <v/>
      </c>
    </row>
    <row r="76">
      <c r="A76" s="40" t="n"/>
      <c r="B76" s="41" t="n"/>
      <c r="C76" s="41" t="n"/>
      <c r="D76" s="40" t="n"/>
      <c r="E76" s="40" t="n"/>
      <c r="F76" s="40" t="n"/>
      <c r="G76" s="39">
        <f>IF(COUNTA(A76:F76)=0,"",IF(A76="EXAMPLE","Example (skipped)",IF(OR(C76="",E76="",F76=""),"✖ Portal, User ID and Password are all needed",IF(AND(A76="",COUNTIF(Clients!$B$5:$B$1005,B76)=0),"Not on Clients — will match a portal client by name",IF(AND(C76="GST",D76&lt;&gt;"",COUNTIF(Clients!$AZ$5:$AZ$1005,UPPER(D76))=0,COUNTIF(Clients!$G$5:$G$1005,"*"&amp;UPPER(D76)&amp;"*")=0),"GSTIN not on Clients — will be checked in the portal","✔ OK")))))</f>
        <v/>
      </c>
    </row>
    <row r="77">
      <c r="A77" s="40" t="n"/>
      <c r="B77" s="41" t="n"/>
      <c r="C77" s="41" t="n"/>
      <c r="D77" s="40" t="n"/>
      <c r="E77" s="40" t="n"/>
      <c r="F77" s="40" t="n"/>
      <c r="G77" s="39">
        <f>IF(COUNTA(A77:F77)=0,"",IF(A77="EXAMPLE","Example (skipped)",IF(OR(C77="",E77="",F77=""),"✖ Portal, User ID and Password are all needed",IF(AND(A77="",COUNTIF(Clients!$B$5:$B$1005,B77)=0),"Not on Clients — will match a portal client by name",IF(AND(C77="GST",D77&lt;&gt;"",COUNTIF(Clients!$AZ$5:$AZ$1005,UPPER(D77))=0,COUNTIF(Clients!$G$5:$G$1005,"*"&amp;UPPER(D77)&amp;"*")=0),"GSTIN not on Clients — will be checked in the portal","✔ OK")))))</f>
        <v/>
      </c>
    </row>
    <row r="78">
      <c r="A78" s="40" t="n"/>
      <c r="B78" s="41" t="n"/>
      <c r="C78" s="41" t="n"/>
      <c r="D78" s="40" t="n"/>
      <c r="E78" s="40" t="n"/>
      <c r="F78" s="40" t="n"/>
      <c r="G78" s="39">
        <f>IF(COUNTA(A78:F78)=0,"",IF(A78="EXAMPLE","Example (skipped)",IF(OR(C78="",E78="",F78=""),"✖ Portal, User ID and Password are all needed",IF(AND(A78="",COUNTIF(Clients!$B$5:$B$1005,B78)=0),"Not on Clients — will match a portal client by name",IF(AND(C78="GST",D78&lt;&gt;"",COUNTIF(Clients!$AZ$5:$AZ$1005,UPPER(D78))=0,COUNTIF(Clients!$G$5:$G$1005,"*"&amp;UPPER(D78)&amp;"*")=0),"GSTIN not on Clients — will be checked in the portal","✔ OK")))))</f>
        <v/>
      </c>
    </row>
    <row r="79">
      <c r="A79" s="40" t="n"/>
      <c r="B79" s="41" t="n"/>
      <c r="C79" s="41" t="n"/>
      <c r="D79" s="40" t="n"/>
      <c r="E79" s="40" t="n"/>
      <c r="F79" s="40" t="n"/>
      <c r="G79" s="39">
        <f>IF(COUNTA(A79:F79)=0,"",IF(A79="EXAMPLE","Example (skipped)",IF(OR(C79="",E79="",F79=""),"✖ Portal, User ID and Password are all needed",IF(AND(A79="",COUNTIF(Clients!$B$5:$B$1005,B79)=0),"Not on Clients — will match a portal client by name",IF(AND(C79="GST",D79&lt;&gt;"",COUNTIF(Clients!$AZ$5:$AZ$1005,UPPER(D79))=0,COUNTIF(Clients!$G$5:$G$1005,"*"&amp;UPPER(D79)&amp;"*")=0),"GSTIN not on Clients — will be checked in the portal","✔ OK")))))</f>
        <v/>
      </c>
    </row>
    <row r="80">
      <c r="A80" s="40" t="n"/>
      <c r="B80" s="41" t="n"/>
      <c r="C80" s="41" t="n"/>
      <c r="D80" s="40" t="n"/>
      <c r="E80" s="40" t="n"/>
      <c r="F80" s="40" t="n"/>
      <c r="G80" s="39">
        <f>IF(COUNTA(A80:F80)=0,"",IF(A80="EXAMPLE","Example (skipped)",IF(OR(C80="",E80="",F80=""),"✖ Portal, User ID and Password are all needed",IF(AND(A80="",COUNTIF(Clients!$B$5:$B$1005,B80)=0),"Not on Clients — will match a portal client by name",IF(AND(C80="GST",D80&lt;&gt;"",COUNTIF(Clients!$AZ$5:$AZ$1005,UPPER(D80))=0,COUNTIF(Clients!$G$5:$G$1005,"*"&amp;UPPER(D80)&amp;"*")=0),"GSTIN not on Clients — will be checked in the portal","✔ OK")))))</f>
        <v/>
      </c>
    </row>
    <row r="81">
      <c r="A81" s="40" t="n"/>
      <c r="B81" s="41" t="n"/>
      <c r="C81" s="41" t="n"/>
      <c r="D81" s="40" t="n"/>
      <c r="E81" s="40" t="n"/>
      <c r="F81" s="40" t="n"/>
      <c r="G81" s="39">
        <f>IF(COUNTA(A81:F81)=0,"",IF(A81="EXAMPLE","Example (skipped)",IF(OR(C81="",E81="",F81=""),"✖ Portal, User ID and Password are all needed",IF(AND(A81="",COUNTIF(Clients!$B$5:$B$1005,B81)=0),"Not on Clients — will match a portal client by name",IF(AND(C81="GST",D81&lt;&gt;"",COUNTIF(Clients!$AZ$5:$AZ$1005,UPPER(D81))=0,COUNTIF(Clients!$G$5:$G$1005,"*"&amp;UPPER(D81)&amp;"*")=0),"GSTIN not on Clients — will be checked in the portal","✔ OK")))))</f>
        <v/>
      </c>
    </row>
    <row r="82">
      <c r="A82" s="40" t="n"/>
      <c r="B82" s="41" t="n"/>
      <c r="C82" s="41" t="n"/>
      <c r="D82" s="40" t="n"/>
      <c r="E82" s="40" t="n"/>
      <c r="F82" s="40" t="n"/>
      <c r="G82" s="39">
        <f>IF(COUNTA(A82:F82)=0,"",IF(A82="EXAMPLE","Example (skipped)",IF(OR(C82="",E82="",F82=""),"✖ Portal, User ID and Password are all needed",IF(AND(A82="",COUNTIF(Clients!$B$5:$B$1005,B82)=0),"Not on Clients — will match a portal client by name",IF(AND(C82="GST",D82&lt;&gt;"",COUNTIF(Clients!$AZ$5:$AZ$1005,UPPER(D82))=0,COUNTIF(Clients!$G$5:$G$1005,"*"&amp;UPPER(D82)&amp;"*")=0),"GSTIN not on Clients — will be checked in the portal","✔ OK")))))</f>
        <v/>
      </c>
    </row>
    <row r="83">
      <c r="A83" s="40" t="n"/>
      <c r="B83" s="41" t="n"/>
      <c r="C83" s="41" t="n"/>
      <c r="D83" s="40" t="n"/>
      <c r="E83" s="40" t="n"/>
      <c r="F83" s="40" t="n"/>
      <c r="G83" s="39">
        <f>IF(COUNTA(A83:F83)=0,"",IF(A83="EXAMPLE","Example (skipped)",IF(OR(C83="",E83="",F83=""),"✖ Portal, User ID and Password are all needed",IF(AND(A83="",COUNTIF(Clients!$B$5:$B$1005,B83)=0),"Not on Clients — will match a portal client by name",IF(AND(C83="GST",D83&lt;&gt;"",COUNTIF(Clients!$AZ$5:$AZ$1005,UPPER(D83))=0,COUNTIF(Clients!$G$5:$G$1005,"*"&amp;UPPER(D83)&amp;"*")=0),"GSTIN not on Clients — will be checked in the portal","✔ OK")))))</f>
        <v/>
      </c>
    </row>
    <row r="84">
      <c r="A84" s="40" t="n"/>
      <c r="B84" s="41" t="n"/>
      <c r="C84" s="41" t="n"/>
      <c r="D84" s="40" t="n"/>
      <c r="E84" s="40" t="n"/>
      <c r="F84" s="40" t="n"/>
      <c r="G84" s="39">
        <f>IF(COUNTA(A84:F84)=0,"",IF(A84="EXAMPLE","Example (skipped)",IF(OR(C84="",E84="",F84=""),"✖ Portal, User ID and Password are all needed",IF(AND(A84="",COUNTIF(Clients!$B$5:$B$1005,B84)=0),"Not on Clients — will match a portal client by name",IF(AND(C84="GST",D84&lt;&gt;"",COUNTIF(Clients!$AZ$5:$AZ$1005,UPPER(D84))=0,COUNTIF(Clients!$G$5:$G$1005,"*"&amp;UPPER(D84)&amp;"*")=0),"GSTIN not on Clients — will be checked in the portal","✔ OK")))))</f>
        <v/>
      </c>
    </row>
    <row r="85">
      <c r="A85" s="40" t="n"/>
      <c r="B85" s="41" t="n"/>
      <c r="C85" s="41" t="n"/>
      <c r="D85" s="40" t="n"/>
      <c r="E85" s="40" t="n"/>
      <c r="F85" s="40" t="n"/>
      <c r="G85" s="39">
        <f>IF(COUNTA(A85:F85)=0,"",IF(A85="EXAMPLE","Example (skipped)",IF(OR(C85="",E85="",F85=""),"✖ Portal, User ID and Password are all needed",IF(AND(A85="",COUNTIF(Clients!$B$5:$B$1005,B85)=0),"Not on Clients — will match a portal client by name",IF(AND(C85="GST",D85&lt;&gt;"",COUNTIF(Clients!$AZ$5:$AZ$1005,UPPER(D85))=0,COUNTIF(Clients!$G$5:$G$1005,"*"&amp;UPPER(D85)&amp;"*")=0),"GSTIN not on Clients — will be checked in the portal","✔ OK")))))</f>
        <v/>
      </c>
    </row>
    <row r="86">
      <c r="A86" s="40" t="n"/>
      <c r="B86" s="41" t="n"/>
      <c r="C86" s="41" t="n"/>
      <c r="D86" s="40" t="n"/>
      <c r="E86" s="40" t="n"/>
      <c r="F86" s="40" t="n"/>
      <c r="G86" s="39">
        <f>IF(COUNTA(A86:F86)=0,"",IF(A86="EXAMPLE","Example (skipped)",IF(OR(C86="",E86="",F86=""),"✖ Portal, User ID and Password are all needed",IF(AND(A86="",COUNTIF(Clients!$B$5:$B$1005,B86)=0),"Not on Clients — will match a portal client by name",IF(AND(C86="GST",D86&lt;&gt;"",COUNTIF(Clients!$AZ$5:$AZ$1005,UPPER(D86))=0,COUNTIF(Clients!$G$5:$G$1005,"*"&amp;UPPER(D86)&amp;"*")=0),"GSTIN not on Clients — will be checked in the portal","✔ OK")))))</f>
        <v/>
      </c>
    </row>
    <row r="87">
      <c r="A87" s="40" t="n"/>
      <c r="B87" s="41" t="n"/>
      <c r="C87" s="41" t="n"/>
      <c r="D87" s="40" t="n"/>
      <c r="E87" s="40" t="n"/>
      <c r="F87" s="40" t="n"/>
      <c r="G87" s="39">
        <f>IF(COUNTA(A87:F87)=0,"",IF(A87="EXAMPLE","Example (skipped)",IF(OR(C87="",E87="",F87=""),"✖ Portal, User ID and Password are all needed",IF(AND(A87="",COUNTIF(Clients!$B$5:$B$1005,B87)=0),"Not on Clients — will match a portal client by name",IF(AND(C87="GST",D87&lt;&gt;"",COUNTIF(Clients!$AZ$5:$AZ$1005,UPPER(D87))=0,COUNTIF(Clients!$G$5:$G$1005,"*"&amp;UPPER(D87)&amp;"*")=0),"GSTIN not on Clients — will be checked in the portal","✔ OK")))))</f>
        <v/>
      </c>
    </row>
    <row r="88">
      <c r="A88" s="40" t="n"/>
      <c r="B88" s="41" t="n"/>
      <c r="C88" s="41" t="n"/>
      <c r="D88" s="40" t="n"/>
      <c r="E88" s="40" t="n"/>
      <c r="F88" s="40" t="n"/>
      <c r="G88" s="39">
        <f>IF(COUNTA(A88:F88)=0,"",IF(A88="EXAMPLE","Example (skipped)",IF(OR(C88="",E88="",F88=""),"✖ Portal, User ID and Password are all needed",IF(AND(A88="",COUNTIF(Clients!$B$5:$B$1005,B88)=0),"Not on Clients — will match a portal client by name",IF(AND(C88="GST",D88&lt;&gt;"",COUNTIF(Clients!$AZ$5:$AZ$1005,UPPER(D88))=0,COUNTIF(Clients!$G$5:$G$1005,"*"&amp;UPPER(D88)&amp;"*")=0),"GSTIN not on Clients — will be checked in the portal","✔ OK")))))</f>
        <v/>
      </c>
    </row>
    <row r="89">
      <c r="A89" s="40" t="n"/>
      <c r="B89" s="41" t="n"/>
      <c r="C89" s="41" t="n"/>
      <c r="D89" s="40" t="n"/>
      <c r="E89" s="40" t="n"/>
      <c r="F89" s="40" t="n"/>
      <c r="G89" s="39">
        <f>IF(COUNTA(A89:F89)=0,"",IF(A89="EXAMPLE","Example (skipped)",IF(OR(C89="",E89="",F89=""),"✖ Portal, User ID and Password are all needed",IF(AND(A89="",COUNTIF(Clients!$B$5:$B$1005,B89)=0),"Not on Clients — will match a portal client by name",IF(AND(C89="GST",D89&lt;&gt;"",COUNTIF(Clients!$AZ$5:$AZ$1005,UPPER(D89))=0,COUNTIF(Clients!$G$5:$G$1005,"*"&amp;UPPER(D89)&amp;"*")=0),"GSTIN not on Clients — will be checked in the portal","✔ OK")))))</f>
        <v/>
      </c>
    </row>
    <row r="90">
      <c r="A90" s="40" t="n"/>
      <c r="B90" s="41" t="n"/>
      <c r="C90" s="41" t="n"/>
      <c r="D90" s="40" t="n"/>
      <c r="E90" s="40" t="n"/>
      <c r="F90" s="40" t="n"/>
      <c r="G90" s="39">
        <f>IF(COUNTA(A90:F90)=0,"",IF(A90="EXAMPLE","Example (skipped)",IF(OR(C90="",E90="",F90=""),"✖ Portal, User ID and Password are all needed",IF(AND(A90="",COUNTIF(Clients!$B$5:$B$1005,B90)=0),"Not on Clients — will match a portal client by name",IF(AND(C90="GST",D90&lt;&gt;"",COUNTIF(Clients!$AZ$5:$AZ$1005,UPPER(D90))=0,COUNTIF(Clients!$G$5:$G$1005,"*"&amp;UPPER(D90)&amp;"*")=0),"GSTIN not on Clients — will be checked in the portal","✔ OK")))))</f>
        <v/>
      </c>
    </row>
    <row r="91">
      <c r="A91" s="40" t="n"/>
      <c r="B91" s="41" t="n"/>
      <c r="C91" s="41" t="n"/>
      <c r="D91" s="40" t="n"/>
      <c r="E91" s="40" t="n"/>
      <c r="F91" s="40" t="n"/>
      <c r="G91" s="39">
        <f>IF(COUNTA(A91:F91)=0,"",IF(A91="EXAMPLE","Example (skipped)",IF(OR(C91="",E91="",F91=""),"✖ Portal, User ID and Password are all needed",IF(AND(A91="",COUNTIF(Clients!$B$5:$B$1005,B91)=0),"Not on Clients — will match a portal client by name",IF(AND(C91="GST",D91&lt;&gt;"",COUNTIF(Clients!$AZ$5:$AZ$1005,UPPER(D91))=0,COUNTIF(Clients!$G$5:$G$1005,"*"&amp;UPPER(D91)&amp;"*")=0),"GSTIN not on Clients — will be checked in the portal","✔ OK")))))</f>
        <v/>
      </c>
    </row>
    <row r="92">
      <c r="A92" s="40" t="n"/>
      <c r="B92" s="41" t="n"/>
      <c r="C92" s="41" t="n"/>
      <c r="D92" s="40" t="n"/>
      <c r="E92" s="40" t="n"/>
      <c r="F92" s="40" t="n"/>
      <c r="G92" s="39">
        <f>IF(COUNTA(A92:F92)=0,"",IF(A92="EXAMPLE","Example (skipped)",IF(OR(C92="",E92="",F92=""),"✖ Portal, User ID and Password are all needed",IF(AND(A92="",COUNTIF(Clients!$B$5:$B$1005,B92)=0),"Not on Clients — will match a portal client by name",IF(AND(C92="GST",D92&lt;&gt;"",COUNTIF(Clients!$AZ$5:$AZ$1005,UPPER(D92))=0,COUNTIF(Clients!$G$5:$G$1005,"*"&amp;UPPER(D92)&amp;"*")=0),"GSTIN not on Clients — will be checked in the portal","✔ OK")))))</f>
        <v/>
      </c>
    </row>
    <row r="93">
      <c r="A93" s="40" t="n"/>
      <c r="B93" s="41" t="n"/>
      <c r="C93" s="41" t="n"/>
      <c r="D93" s="40" t="n"/>
      <c r="E93" s="40" t="n"/>
      <c r="F93" s="40" t="n"/>
      <c r="G93" s="39">
        <f>IF(COUNTA(A93:F93)=0,"",IF(A93="EXAMPLE","Example (skipped)",IF(OR(C93="",E93="",F93=""),"✖ Portal, User ID and Password are all needed",IF(AND(A93="",COUNTIF(Clients!$B$5:$B$1005,B93)=0),"Not on Clients — will match a portal client by name",IF(AND(C93="GST",D93&lt;&gt;"",COUNTIF(Clients!$AZ$5:$AZ$1005,UPPER(D93))=0,COUNTIF(Clients!$G$5:$G$1005,"*"&amp;UPPER(D93)&amp;"*")=0),"GSTIN not on Clients — will be checked in the portal","✔ OK")))))</f>
        <v/>
      </c>
    </row>
    <row r="94">
      <c r="A94" s="40" t="n"/>
      <c r="B94" s="41" t="n"/>
      <c r="C94" s="41" t="n"/>
      <c r="D94" s="40" t="n"/>
      <c r="E94" s="40" t="n"/>
      <c r="F94" s="40" t="n"/>
      <c r="G94" s="39">
        <f>IF(COUNTA(A94:F94)=0,"",IF(A94="EXAMPLE","Example (skipped)",IF(OR(C94="",E94="",F94=""),"✖ Portal, User ID and Password are all needed",IF(AND(A94="",COUNTIF(Clients!$B$5:$B$1005,B94)=0),"Not on Clients — will match a portal client by name",IF(AND(C94="GST",D94&lt;&gt;"",COUNTIF(Clients!$AZ$5:$AZ$1005,UPPER(D94))=0,COUNTIF(Clients!$G$5:$G$1005,"*"&amp;UPPER(D94)&amp;"*")=0),"GSTIN not on Clients — will be checked in the portal","✔ OK")))))</f>
        <v/>
      </c>
    </row>
    <row r="95">
      <c r="A95" s="40" t="n"/>
      <c r="B95" s="41" t="n"/>
      <c r="C95" s="41" t="n"/>
      <c r="D95" s="40" t="n"/>
      <c r="E95" s="40" t="n"/>
      <c r="F95" s="40" t="n"/>
      <c r="G95" s="39">
        <f>IF(COUNTA(A95:F95)=0,"",IF(A95="EXAMPLE","Example (skipped)",IF(OR(C95="",E95="",F95=""),"✖ Portal, User ID and Password are all needed",IF(AND(A95="",COUNTIF(Clients!$B$5:$B$1005,B95)=0),"Not on Clients — will match a portal client by name",IF(AND(C95="GST",D95&lt;&gt;"",COUNTIF(Clients!$AZ$5:$AZ$1005,UPPER(D95))=0,COUNTIF(Clients!$G$5:$G$1005,"*"&amp;UPPER(D95)&amp;"*")=0),"GSTIN not on Clients — will be checked in the portal","✔ OK")))))</f>
        <v/>
      </c>
    </row>
    <row r="96">
      <c r="A96" s="40" t="n"/>
      <c r="B96" s="41" t="n"/>
      <c r="C96" s="41" t="n"/>
      <c r="D96" s="40" t="n"/>
      <c r="E96" s="40" t="n"/>
      <c r="F96" s="40" t="n"/>
      <c r="G96" s="39">
        <f>IF(COUNTA(A96:F96)=0,"",IF(A96="EXAMPLE","Example (skipped)",IF(OR(C96="",E96="",F96=""),"✖ Portal, User ID and Password are all needed",IF(AND(A96="",COUNTIF(Clients!$B$5:$B$1005,B96)=0),"Not on Clients — will match a portal client by name",IF(AND(C96="GST",D96&lt;&gt;"",COUNTIF(Clients!$AZ$5:$AZ$1005,UPPER(D96))=0,COUNTIF(Clients!$G$5:$G$1005,"*"&amp;UPPER(D96)&amp;"*")=0),"GSTIN not on Clients — will be checked in the portal","✔ OK")))))</f>
        <v/>
      </c>
    </row>
    <row r="97">
      <c r="A97" s="40" t="n"/>
      <c r="B97" s="41" t="n"/>
      <c r="C97" s="41" t="n"/>
      <c r="D97" s="40" t="n"/>
      <c r="E97" s="40" t="n"/>
      <c r="F97" s="40" t="n"/>
      <c r="G97" s="39">
        <f>IF(COUNTA(A97:F97)=0,"",IF(A97="EXAMPLE","Example (skipped)",IF(OR(C97="",E97="",F97=""),"✖ Portal, User ID and Password are all needed",IF(AND(A97="",COUNTIF(Clients!$B$5:$B$1005,B97)=0),"Not on Clients — will match a portal client by name",IF(AND(C97="GST",D97&lt;&gt;"",COUNTIF(Clients!$AZ$5:$AZ$1005,UPPER(D97))=0,COUNTIF(Clients!$G$5:$G$1005,"*"&amp;UPPER(D97)&amp;"*")=0),"GSTIN not on Clients — will be checked in the portal","✔ OK")))))</f>
        <v/>
      </c>
    </row>
    <row r="98">
      <c r="A98" s="40" t="n"/>
      <c r="B98" s="41" t="n"/>
      <c r="C98" s="41" t="n"/>
      <c r="D98" s="40" t="n"/>
      <c r="E98" s="40" t="n"/>
      <c r="F98" s="40" t="n"/>
      <c r="G98" s="39">
        <f>IF(COUNTA(A98:F98)=0,"",IF(A98="EXAMPLE","Example (skipped)",IF(OR(C98="",E98="",F98=""),"✖ Portal, User ID and Password are all needed",IF(AND(A98="",COUNTIF(Clients!$B$5:$B$1005,B98)=0),"Not on Clients — will match a portal client by name",IF(AND(C98="GST",D98&lt;&gt;"",COUNTIF(Clients!$AZ$5:$AZ$1005,UPPER(D98))=0,COUNTIF(Clients!$G$5:$G$1005,"*"&amp;UPPER(D98)&amp;"*")=0),"GSTIN not on Clients — will be checked in the portal","✔ OK")))))</f>
        <v/>
      </c>
    </row>
    <row r="99">
      <c r="A99" s="40" t="n"/>
      <c r="B99" s="41" t="n"/>
      <c r="C99" s="41" t="n"/>
      <c r="D99" s="40" t="n"/>
      <c r="E99" s="40" t="n"/>
      <c r="F99" s="40" t="n"/>
      <c r="G99" s="39">
        <f>IF(COUNTA(A99:F99)=0,"",IF(A99="EXAMPLE","Example (skipped)",IF(OR(C99="",E99="",F99=""),"✖ Portal, User ID and Password are all needed",IF(AND(A99="",COUNTIF(Clients!$B$5:$B$1005,B99)=0),"Not on Clients — will match a portal client by name",IF(AND(C99="GST",D99&lt;&gt;"",COUNTIF(Clients!$AZ$5:$AZ$1005,UPPER(D99))=0,COUNTIF(Clients!$G$5:$G$1005,"*"&amp;UPPER(D99)&amp;"*")=0),"GSTIN not on Clients — will be checked in the portal","✔ OK")))))</f>
        <v/>
      </c>
    </row>
    <row r="100">
      <c r="A100" s="40" t="n"/>
      <c r="B100" s="41" t="n"/>
      <c r="C100" s="41" t="n"/>
      <c r="D100" s="40" t="n"/>
      <c r="E100" s="40" t="n"/>
      <c r="F100" s="40" t="n"/>
      <c r="G100" s="39">
        <f>IF(COUNTA(A100:F100)=0,"",IF(A100="EXAMPLE","Example (skipped)",IF(OR(C100="",E100="",F100=""),"✖ Portal, User ID and Password are all needed",IF(AND(A100="",COUNTIF(Clients!$B$5:$B$1005,B100)=0),"Not on Clients — will match a portal client by name",IF(AND(C100="GST",D100&lt;&gt;"",COUNTIF(Clients!$AZ$5:$AZ$1005,UPPER(D100))=0,COUNTIF(Clients!$G$5:$G$1005,"*"&amp;UPPER(D100)&amp;"*")=0),"GSTIN not on Clients — will be checked in the portal","✔ OK")))))</f>
        <v/>
      </c>
    </row>
    <row r="101">
      <c r="A101" s="40" t="n"/>
      <c r="B101" s="41" t="n"/>
      <c r="C101" s="41" t="n"/>
      <c r="D101" s="40" t="n"/>
      <c r="E101" s="40" t="n"/>
      <c r="F101" s="40" t="n"/>
      <c r="G101" s="39">
        <f>IF(COUNTA(A101:F101)=0,"",IF(A101="EXAMPLE","Example (skipped)",IF(OR(C101="",E101="",F101=""),"✖ Portal, User ID and Password are all needed",IF(AND(A101="",COUNTIF(Clients!$B$5:$B$1005,B101)=0),"Not on Clients — will match a portal client by name",IF(AND(C101="GST",D101&lt;&gt;"",COUNTIF(Clients!$AZ$5:$AZ$1005,UPPER(D101))=0,COUNTIF(Clients!$G$5:$G$1005,"*"&amp;UPPER(D101)&amp;"*")=0),"GSTIN not on Clients — will be checked in the portal","✔ OK")))))</f>
        <v/>
      </c>
    </row>
    <row r="102">
      <c r="A102" s="40" t="n"/>
      <c r="B102" s="41" t="n"/>
      <c r="C102" s="41" t="n"/>
      <c r="D102" s="40" t="n"/>
      <c r="E102" s="40" t="n"/>
      <c r="F102" s="40" t="n"/>
      <c r="G102" s="39">
        <f>IF(COUNTA(A102:F102)=0,"",IF(A102="EXAMPLE","Example (skipped)",IF(OR(C102="",E102="",F102=""),"✖ Portal, User ID and Password are all needed",IF(AND(A102="",COUNTIF(Clients!$B$5:$B$1005,B102)=0),"Not on Clients — will match a portal client by name",IF(AND(C102="GST",D102&lt;&gt;"",COUNTIF(Clients!$AZ$5:$AZ$1005,UPPER(D102))=0,COUNTIF(Clients!$G$5:$G$1005,"*"&amp;UPPER(D102)&amp;"*")=0),"GSTIN not on Clients — will be checked in the portal","✔ OK")))))</f>
        <v/>
      </c>
    </row>
    <row r="103">
      <c r="A103" s="40" t="n"/>
      <c r="B103" s="41" t="n"/>
      <c r="C103" s="41" t="n"/>
      <c r="D103" s="40" t="n"/>
      <c r="E103" s="40" t="n"/>
      <c r="F103" s="40" t="n"/>
      <c r="G103" s="39">
        <f>IF(COUNTA(A103:F103)=0,"",IF(A103="EXAMPLE","Example (skipped)",IF(OR(C103="",E103="",F103=""),"✖ Portal, User ID and Password are all needed",IF(AND(A103="",COUNTIF(Clients!$B$5:$B$1005,B103)=0),"Not on Clients — will match a portal client by name",IF(AND(C103="GST",D103&lt;&gt;"",COUNTIF(Clients!$AZ$5:$AZ$1005,UPPER(D103))=0,COUNTIF(Clients!$G$5:$G$1005,"*"&amp;UPPER(D103)&amp;"*")=0),"GSTIN not on Clients — will be checked in the portal","✔ OK")))))</f>
        <v/>
      </c>
    </row>
    <row r="104">
      <c r="A104" s="40" t="n"/>
      <c r="B104" s="41" t="n"/>
      <c r="C104" s="41" t="n"/>
      <c r="D104" s="40" t="n"/>
      <c r="E104" s="40" t="n"/>
      <c r="F104" s="40" t="n"/>
      <c r="G104" s="39">
        <f>IF(COUNTA(A104:F104)=0,"",IF(A104="EXAMPLE","Example (skipped)",IF(OR(C104="",E104="",F104=""),"✖ Portal, User ID and Password are all needed",IF(AND(A104="",COUNTIF(Clients!$B$5:$B$1005,B104)=0),"Not on Clients — will match a portal client by name",IF(AND(C104="GST",D104&lt;&gt;"",COUNTIF(Clients!$AZ$5:$AZ$1005,UPPER(D104))=0,COUNTIF(Clients!$G$5:$G$1005,"*"&amp;UPPER(D104)&amp;"*")=0),"GSTIN not on Clients — will be checked in the portal","✔ OK")))))</f>
        <v/>
      </c>
    </row>
    <row r="105">
      <c r="A105" s="40" t="n"/>
      <c r="B105" s="41" t="n"/>
      <c r="C105" s="41" t="n"/>
      <c r="D105" s="40" t="n"/>
      <c r="E105" s="40" t="n"/>
      <c r="F105" s="40" t="n"/>
      <c r="G105" s="39">
        <f>IF(COUNTA(A105:F105)=0,"",IF(A105="EXAMPLE","Example (skipped)",IF(OR(C105="",E105="",F105=""),"✖ Portal, User ID and Password are all needed",IF(AND(A105="",COUNTIF(Clients!$B$5:$B$1005,B105)=0),"Not on Clients — will match a portal client by name",IF(AND(C105="GST",D105&lt;&gt;"",COUNTIF(Clients!$AZ$5:$AZ$1005,UPPER(D105))=0,COUNTIF(Clients!$G$5:$G$1005,"*"&amp;UPPER(D105)&amp;"*")=0),"GSTIN not on Clients — will be checked in the portal","✔ OK")))))</f>
        <v/>
      </c>
    </row>
    <row r="106">
      <c r="A106" s="40" t="n"/>
      <c r="B106" s="41" t="n"/>
      <c r="C106" s="41" t="n"/>
      <c r="D106" s="40" t="n"/>
      <c r="E106" s="40" t="n"/>
      <c r="F106" s="40" t="n"/>
      <c r="G106" s="39">
        <f>IF(COUNTA(A106:F106)=0,"",IF(A106="EXAMPLE","Example (skipped)",IF(OR(C106="",E106="",F106=""),"✖ Portal, User ID and Password are all needed",IF(AND(A106="",COUNTIF(Clients!$B$5:$B$1005,B106)=0),"Not on Clients — will match a portal client by name",IF(AND(C106="GST",D106&lt;&gt;"",COUNTIF(Clients!$AZ$5:$AZ$1005,UPPER(D106))=0,COUNTIF(Clients!$G$5:$G$1005,"*"&amp;UPPER(D106)&amp;"*")=0),"GSTIN not on Clients — will be checked in the portal","✔ OK")))))</f>
        <v/>
      </c>
    </row>
    <row r="107">
      <c r="A107" s="40" t="n"/>
      <c r="B107" s="41" t="n"/>
      <c r="C107" s="41" t="n"/>
      <c r="D107" s="40" t="n"/>
      <c r="E107" s="40" t="n"/>
      <c r="F107" s="40" t="n"/>
      <c r="G107" s="39">
        <f>IF(COUNTA(A107:F107)=0,"",IF(A107="EXAMPLE","Example (skipped)",IF(OR(C107="",E107="",F107=""),"✖ Portal, User ID and Password are all needed",IF(AND(A107="",COUNTIF(Clients!$B$5:$B$1005,B107)=0),"Not on Clients — will match a portal client by name",IF(AND(C107="GST",D107&lt;&gt;"",COUNTIF(Clients!$AZ$5:$AZ$1005,UPPER(D107))=0,COUNTIF(Clients!$G$5:$G$1005,"*"&amp;UPPER(D107)&amp;"*")=0),"GSTIN not on Clients — will be checked in the portal","✔ OK")))))</f>
        <v/>
      </c>
    </row>
    <row r="108">
      <c r="A108" s="40" t="n"/>
      <c r="B108" s="41" t="n"/>
      <c r="C108" s="41" t="n"/>
      <c r="D108" s="40" t="n"/>
      <c r="E108" s="40" t="n"/>
      <c r="F108" s="40" t="n"/>
      <c r="G108" s="39">
        <f>IF(COUNTA(A108:F108)=0,"",IF(A108="EXAMPLE","Example (skipped)",IF(OR(C108="",E108="",F108=""),"✖ Portal, User ID and Password are all needed",IF(AND(A108="",COUNTIF(Clients!$B$5:$B$1005,B108)=0),"Not on Clients — will match a portal client by name",IF(AND(C108="GST",D108&lt;&gt;"",COUNTIF(Clients!$AZ$5:$AZ$1005,UPPER(D108))=0,COUNTIF(Clients!$G$5:$G$1005,"*"&amp;UPPER(D108)&amp;"*")=0),"GSTIN not on Clients — will be checked in the portal","✔ OK")))))</f>
        <v/>
      </c>
    </row>
    <row r="109">
      <c r="A109" s="40" t="n"/>
      <c r="B109" s="41" t="n"/>
      <c r="C109" s="41" t="n"/>
      <c r="D109" s="40" t="n"/>
      <c r="E109" s="40" t="n"/>
      <c r="F109" s="40" t="n"/>
      <c r="G109" s="39">
        <f>IF(COUNTA(A109:F109)=0,"",IF(A109="EXAMPLE","Example (skipped)",IF(OR(C109="",E109="",F109=""),"✖ Portal, User ID and Password are all needed",IF(AND(A109="",COUNTIF(Clients!$B$5:$B$1005,B109)=0),"Not on Clients — will match a portal client by name",IF(AND(C109="GST",D109&lt;&gt;"",COUNTIF(Clients!$AZ$5:$AZ$1005,UPPER(D109))=0,COUNTIF(Clients!$G$5:$G$1005,"*"&amp;UPPER(D109)&amp;"*")=0),"GSTIN not on Clients — will be checked in the portal","✔ OK")))))</f>
        <v/>
      </c>
    </row>
    <row r="110">
      <c r="A110" s="40" t="n"/>
      <c r="B110" s="41" t="n"/>
      <c r="C110" s="41" t="n"/>
      <c r="D110" s="40" t="n"/>
      <c r="E110" s="40" t="n"/>
      <c r="F110" s="40" t="n"/>
      <c r="G110" s="39">
        <f>IF(COUNTA(A110:F110)=0,"",IF(A110="EXAMPLE","Example (skipped)",IF(OR(C110="",E110="",F110=""),"✖ Portal, User ID and Password are all needed",IF(AND(A110="",COUNTIF(Clients!$B$5:$B$1005,B110)=0),"Not on Clients — will match a portal client by name",IF(AND(C110="GST",D110&lt;&gt;"",COUNTIF(Clients!$AZ$5:$AZ$1005,UPPER(D110))=0,COUNTIF(Clients!$G$5:$G$1005,"*"&amp;UPPER(D110)&amp;"*")=0),"GSTIN not on Clients — will be checked in the portal","✔ OK")))))</f>
        <v/>
      </c>
    </row>
    <row r="111">
      <c r="A111" s="40" t="n"/>
      <c r="B111" s="41" t="n"/>
      <c r="C111" s="41" t="n"/>
      <c r="D111" s="40" t="n"/>
      <c r="E111" s="40" t="n"/>
      <c r="F111" s="40" t="n"/>
      <c r="G111" s="39">
        <f>IF(COUNTA(A111:F111)=0,"",IF(A111="EXAMPLE","Example (skipped)",IF(OR(C111="",E111="",F111=""),"✖ Portal, User ID and Password are all needed",IF(AND(A111="",COUNTIF(Clients!$B$5:$B$1005,B111)=0),"Not on Clients — will match a portal client by name",IF(AND(C111="GST",D111&lt;&gt;"",COUNTIF(Clients!$AZ$5:$AZ$1005,UPPER(D111))=0,COUNTIF(Clients!$G$5:$G$1005,"*"&amp;UPPER(D111)&amp;"*")=0),"GSTIN not on Clients — will be checked in the portal","✔ OK")))))</f>
        <v/>
      </c>
    </row>
    <row r="112">
      <c r="A112" s="40" t="n"/>
      <c r="B112" s="41" t="n"/>
      <c r="C112" s="41" t="n"/>
      <c r="D112" s="40" t="n"/>
      <c r="E112" s="40" t="n"/>
      <c r="F112" s="40" t="n"/>
      <c r="G112" s="39">
        <f>IF(COUNTA(A112:F112)=0,"",IF(A112="EXAMPLE","Example (skipped)",IF(OR(C112="",E112="",F112=""),"✖ Portal, User ID and Password are all needed",IF(AND(A112="",COUNTIF(Clients!$B$5:$B$1005,B112)=0),"Not on Clients — will match a portal client by name",IF(AND(C112="GST",D112&lt;&gt;"",COUNTIF(Clients!$AZ$5:$AZ$1005,UPPER(D112))=0,COUNTIF(Clients!$G$5:$G$1005,"*"&amp;UPPER(D112)&amp;"*")=0),"GSTIN not on Clients — will be checked in the portal","✔ OK")))))</f>
        <v/>
      </c>
    </row>
    <row r="113">
      <c r="A113" s="40" t="n"/>
      <c r="B113" s="41" t="n"/>
      <c r="C113" s="41" t="n"/>
      <c r="D113" s="40" t="n"/>
      <c r="E113" s="40" t="n"/>
      <c r="F113" s="40" t="n"/>
      <c r="G113" s="39">
        <f>IF(COUNTA(A113:F113)=0,"",IF(A113="EXAMPLE","Example (skipped)",IF(OR(C113="",E113="",F113=""),"✖ Portal, User ID and Password are all needed",IF(AND(A113="",COUNTIF(Clients!$B$5:$B$1005,B113)=0),"Not on Clients — will match a portal client by name",IF(AND(C113="GST",D113&lt;&gt;"",COUNTIF(Clients!$AZ$5:$AZ$1005,UPPER(D113))=0,COUNTIF(Clients!$G$5:$G$1005,"*"&amp;UPPER(D113)&amp;"*")=0),"GSTIN not on Clients — will be checked in the portal","✔ OK")))))</f>
        <v/>
      </c>
    </row>
    <row r="114">
      <c r="A114" s="40" t="n"/>
      <c r="B114" s="41" t="n"/>
      <c r="C114" s="41" t="n"/>
      <c r="D114" s="40" t="n"/>
      <c r="E114" s="40" t="n"/>
      <c r="F114" s="40" t="n"/>
      <c r="G114" s="39">
        <f>IF(COUNTA(A114:F114)=0,"",IF(A114="EXAMPLE","Example (skipped)",IF(OR(C114="",E114="",F114=""),"✖ Portal, User ID and Password are all needed",IF(AND(A114="",COUNTIF(Clients!$B$5:$B$1005,B114)=0),"Not on Clients — will match a portal client by name",IF(AND(C114="GST",D114&lt;&gt;"",COUNTIF(Clients!$AZ$5:$AZ$1005,UPPER(D114))=0,COUNTIF(Clients!$G$5:$G$1005,"*"&amp;UPPER(D114)&amp;"*")=0),"GSTIN not on Clients — will be checked in the portal","✔ OK")))))</f>
        <v/>
      </c>
    </row>
    <row r="115">
      <c r="A115" s="40" t="n"/>
      <c r="B115" s="41" t="n"/>
      <c r="C115" s="41" t="n"/>
      <c r="D115" s="40" t="n"/>
      <c r="E115" s="40" t="n"/>
      <c r="F115" s="40" t="n"/>
      <c r="G115" s="39">
        <f>IF(COUNTA(A115:F115)=0,"",IF(A115="EXAMPLE","Example (skipped)",IF(OR(C115="",E115="",F115=""),"✖ Portal, User ID and Password are all needed",IF(AND(A115="",COUNTIF(Clients!$B$5:$B$1005,B115)=0),"Not on Clients — will match a portal client by name",IF(AND(C115="GST",D115&lt;&gt;"",COUNTIF(Clients!$AZ$5:$AZ$1005,UPPER(D115))=0,COUNTIF(Clients!$G$5:$G$1005,"*"&amp;UPPER(D115)&amp;"*")=0),"GSTIN not on Clients — will be checked in the portal","✔ OK")))))</f>
        <v/>
      </c>
    </row>
    <row r="116">
      <c r="A116" s="40" t="n"/>
      <c r="B116" s="41" t="n"/>
      <c r="C116" s="41" t="n"/>
      <c r="D116" s="40" t="n"/>
      <c r="E116" s="40" t="n"/>
      <c r="F116" s="40" t="n"/>
      <c r="G116" s="39">
        <f>IF(COUNTA(A116:F116)=0,"",IF(A116="EXAMPLE","Example (skipped)",IF(OR(C116="",E116="",F116=""),"✖ Portal, User ID and Password are all needed",IF(AND(A116="",COUNTIF(Clients!$B$5:$B$1005,B116)=0),"Not on Clients — will match a portal client by name",IF(AND(C116="GST",D116&lt;&gt;"",COUNTIF(Clients!$AZ$5:$AZ$1005,UPPER(D116))=0,COUNTIF(Clients!$G$5:$G$1005,"*"&amp;UPPER(D116)&amp;"*")=0),"GSTIN not on Clients — will be checked in the portal","✔ OK")))))</f>
        <v/>
      </c>
    </row>
    <row r="117">
      <c r="A117" s="40" t="n"/>
      <c r="B117" s="41" t="n"/>
      <c r="C117" s="41" t="n"/>
      <c r="D117" s="40" t="n"/>
      <c r="E117" s="40" t="n"/>
      <c r="F117" s="40" t="n"/>
      <c r="G117" s="39">
        <f>IF(COUNTA(A117:F117)=0,"",IF(A117="EXAMPLE","Example (skipped)",IF(OR(C117="",E117="",F117=""),"✖ Portal, User ID and Password are all needed",IF(AND(A117="",COUNTIF(Clients!$B$5:$B$1005,B117)=0),"Not on Clients — will match a portal client by name",IF(AND(C117="GST",D117&lt;&gt;"",COUNTIF(Clients!$AZ$5:$AZ$1005,UPPER(D117))=0,COUNTIF(Clients!$G$5:$G$1005,"*"&amp;UPPER(D117)&amp;"*")=0),"GSTIN not on Clients — will be checked in the portal","✔ OK")))))</f>
        <v/>
      </c>
    </row>
    <row r="118">
      <c r="A118" s="40" t="n"/>
      <c r="B118" s="41" t="n"/>
      <c r="C118" s="41" t="n"/>
      <c r="D118" s="40" t="n"/>
      <c r="E118" s="40" t="n"/>
      <c r="F118" s="40" t="n"/>
      <c r="G118" s="39">
        <f>IF(COUNTA(A118:F118)=0,"",IF(A118="EXAMPLE","Example (skipped)",IF(OR(C118="",E118="",F118=""),"✖ Portal, User ID and Password are all needed",IF(AND(A118="",COUNTIF(Clients!$B$5:$B$1005,B118)=0),"Not on Clients — will match a portal client by name",IF(AND(C118="GST",D118&lt;&gt;"",COUNTIF(Clients!$AZ$5:$AZ$1005,UPPER(D118))=0,COUNTIF(Clients!$G$5:$G$1005,"*"&amp;UPPER(D118)&amp;"*")=0),"GSTIN not on Clients — will be checked in the portal","✔ OK")))))</f>
        <v/>
      </c>
    </row>
    <row r="119">
      <c r="A119" s="40" t="n"/>
      <c r="B119" s="41" t="n"/>
      <c r="C119" s="41" t="n"/>
      <c r="D119" s="40" t="n"/>
      <c r="E119" s="40" t="n"/>
      <c r="F119" s="40" t="n"/>
      <c r="G119" s="39">
        <f>IF(COUNTA(A119:F119)=0,"",IF(A119="EXAMPLE","Example (skipped)",IF(OR(C119="",E119="",F119=""),"✖ Portal, User ID and Password are all needed",IF(AND(A119="",COUNTIF(Clients!$B$5:$B$1005,B119)=0),"Not on Clients — will match a portal client by name",IF(AND(C119="GST",D119&lt;&gt;"",COUNTIF(Clients!$AZ$5:$AZ$1005,UPPER(D119))=0,COUNTIF(Clients!$G$5:$G$1005,"*"&amp;UPPER(D119)&amp;"*")=0),"GSTIN not on Clients — will be checked in the portal","✔ OK")))))</f>
        <v/>
      </c>
    </row>
    <row r="120">
      <c r="A120" s="40" t="n"/>
      <c r="B120" s="41" t="n"/>
      <c r="C120" s="41" t="n"/>
      <c r="D120" s="40" t="n"/>
      <c r="E120" s="40" t="n"/>
      <c r="F120" s="40" t="n"/>
      <c r="G120" s="39">
        <f>IF(COUNTA(A120:F120)=0,"",IF(A120="EXAMPLE","Example (skipped)",IF(OR(C120="",E120="",F120=""),"✖ Portal, User ID and Password are all needed",IF(AND(A120="",COUNTIF(Clients!$B$5:$B$1005,B120)=0),"Not on Clients — will match a portal client by name",IF(AND(C120="GST",D120&lt;&gt;"",COUNTIF(Clients!$AZ$5:$AZ$1005,UPPER(D120))=0,COUNTIF(Clients!$G$5:$G$1005,"*"&amp;UPPER(D120)&amp;"*")=0),"GSTIN not on Clients — will be checked in the portal","✔ OK")))))</f>
        <v/>
      </c>
    </row>
    <row r="121">
      <c r="A121" s="40" t="n"/>
      <c r="B121" s="41" t="n"/>
      <c r="C121" s="41" t="n"/>
      <c r="D121" s="40" t="n"/>
      <c r="E121" s="40" t="n"/>
      <c r="F121" s="40" t="n"/>
      <c r="G121" s="39">
        <f>IF(COUNTA(A121:F121)=0,"",IF(A121="EXAMPLE","Example (skipped)",IF(OR(C121="",E121="",F121=""),"✖ Portal, User ID and Password are all needed",IF(AND(A121="",COUNTIF(Clients!$B$5:$B$1005,B121)=0),"Not on Clients — will match a portal client by name",IF(AND(C121="GST",D121&lt;&gt;"",COUNTIF(Clients!$AZ$5:$AZ$1005,UPPER(D121))=0,COUNTIF(Clients!$G$5:$G$1005,"*"&amp;UPPER(D121)&amp;"*")=0),"GSTIN not on Clients — will be checked in the portal","✔ OK")))))</f>
        <v/>
      </c>
    </row>
    <row r="122">
      <c r="A122" s="40" t="n"/>
      <c r="B122" s="41" t="n"/>
      <c r="C122" s="41" t="n"/>
      <c r="D122" s="40" t="n"/>
      <c r="E122" s="40" t="n"/>
      <c r="F122" s="40" t="n"/>
      <c r="G122" s="39">
        <f>IF(COUNTA(A122:F122)=0,"",IF(A122="EXAMPLE","Example (skipped)",IF(OR(C122="",E122="",F122=""),"✖ Portal, User ID and Password are all needed",IF(AND(A122="",COUNTIF(Clients!$B$5:$B$1005,B122)=0),"Not on Clients — will match a portal client by name",IF(AND(C122="GST",D122&lt;&gt;"",COUNTIF(Clients!$AZ$5:$AZ$1005,UPPER(D122))=0,COUNTIF(Clients!$G$5:$G$1005,"*"&amp;UPPER(D122)&amp;"*")=0),"GSTIN not on Clients — will be checked in the portal","✔ OK")))))</f>
        <v/>
      </c>
    </row>
    <row r="123">
      <c r="A123" s="40" t="n"/>
      <c r="B123" s="41" t="n"/>
      <c r="C123" s="41" t="n"/>
      <c r="D123" s="40" t="n"/>
      <c r="E123" s="40" t="n"/>
      <c r="F123" s="40" t="n"/>
      <c r="G123" s="39">
        <f>IF(COUNTA(A123:F123)=0,"",IF(A123="EXAMPLE","Example (skipped)",IF(OR(C123="",E123="",F123=""),"✖ Portal, User ID and Password are all needed",IF(AND(A123="",COUNTIF(Clients!$B$5:$B$1005,B123)=0),"Not on Clients — will match a portal client by name",IF(AND(C123="GST",D123&lt;&gt;"",COUNTIF(Clients!$AZ$5:$AZ$1005,UPPER(D123))=0,COUNTIF(Clients!$G$5:$G$1005,"*"&amp;UPPER(D123)&amp;"*")=0),"GSTIN not on Clients — will be checked in the portal","✔ OK")))))</f>
        <v/>
      </c>
    </row>
    <row r="124">
      <c r="A124" s="40" t="n"/>
      <c r="B124" s="41" t="n"/>
      <c r="C124" s="41" t="n"/>
      <c r="D124" s="40" t="n"/>
      <c r="E124" s="40" t="n"/>
      <c r="F124" s="40" t="n"/>
      <c r="G124" s="39">
        <f>IF(COUNTA(A124:F124)=0,"",IF(A124="EXAMPLE","Example (skipped)",IF(OR(C124="",E124="",F124=""),"✖ Portal, User ID and Password are all needed",IF(AND(A124="",COUNTIF(Clients!$B$5:$B$1005,B124)=0),"Not on Clients — will match a portal client by name",IF(AND(C124="GST",D124&lt;&gt;"",COUNTIF(Clients!$AZ$5:$AZ$1005,UPPER(D124))=0,COUNTIF(Clients!$G$5:$G$1005,"*"&amp;UPPER(D124)&amp;"*")=0),"GSTIN not on Clients — will be checked in the portal","✔ OK")))))</f>
        <v/>
      </c>
    </row>
    <row r="125">
      <c r="A125" s="40" t="n"/>
      <c r="B125" s="41" t="n"/>
      <c r="C125" s="41" t="n"/>
      <c r="D125" s="40" t="n"/>
      <c r="E125" s="40" t="n"/>
      <c r="F125" s="40" t="n"/>
      <c r="G125" s="39">
        <f>IF(COUNTA(A125:F125)=0,"",IF(A125="EXAMPLE","Example (skipped)",IF(OR(C125="",E125="",F125=""),"✖ Portal, User ID and Password are all needed",IF(AND(A125="",COUNTIF(Clients!$B$5:$B$1005,B125)=0),"Not on Clients — will match a portal client by name",IF(AND(C125="GST",D125&lt;&gt;"",COUNTIF(Clients!$AZ$5:$AZ$1005,UPPER(D125))=0,COUNTIF(Clients!$G$5:$G$1005,"*"&amp;UPPER(D125)&amp;"*")=0),"GSTIN not on Clients — will be checked in the portal","✔ OK")))))</f>
        <v/>
      </c>
    </row>
    <row r="126">
      <c r="A126" s="40" t="n"/>
      <c r="B126" s="41" t="n"/>
      <c r="C126" s="41" t="n"/>
      <c r="D126" s="40" t="n"/>
      <c r="E126" s="40" t="n"/>
      <c r="F126" s="40" t="n"/>
      <c r="G126" s="39">
        <f>IF(COUNTA(A126:F126)=0,"",IF(A126="EXAMPLE","Example (skipped)",IF(OR(C126="",E126="",F126=""),"✖ Portal, User ID and Password are all needed",IF(AND(A126="",COUNTIF(Clients!$B$5:$B$1005,B126)=0),"Not on Clients — will match a portal client by name",IF(AND(C126="GST",D126&lt;&gt;"",COUNTIF(Clients!$AZ$5:$AZ$1005,UPPER(D126))=0,COUNTIF(Clients!$G$5:$G$1005,"*"&amp;UPPER(D126)&amp;"*")=0),"GSTIN not on Clients — will be checked in the portal","✔ OK")))))</f>
        <v/>
      </c>
    </row>
    <row r="127">
      <c r="A127" s="40" t="n"/>
      <c r="B127" s="41" t="n"/>
      <c r="C127" s="41" t="n"/>
      <c r="D127" s="40" t="n"/>
      <c r="E127" s="40" t="n"/>
      <c r="F127" s="40" t="n"/>
      <c r="G127" s="39">
        <f>IF(COUNTA(A127:F127)=0,"",IF(A127="EXAMPLE","Example (skipped)",IF(OR(C127="",E127="",F127=""),"✖ Portal, User ID and Password are all needed",IF(AND(A127="",COUNTIF(Clients!$B$5:$B$1005,B127)=0),"Not on Clients — will match a portal client by name",IF(AND(C127="GST",D127&lt;&gt;"",COUNTIF(Clients!$AZ$5:$AZ$1005,UPPER(D127))=0,COUNTIF(Clients!$G$5:$G$1005,"*"&amp;UPPER(D127)&amp;"*")=0),"GSTIN not on Clients — will be checked in the portal","✔ OK")))))</f>
        <v/>
      </c>
    </row>
    <row r="128">
      <c r="A128" s="40" t="n"/>
      <c r="B128" s="41" t="n"/>
      <c r="C128" s="41" t="n"/>
      <c r="D128" s="40" t="n"/>
      <c r="E128" s="40" t="n"/>
      <c r="F128" s="40" t="n"/>
      <c r="G128" s="39">
        <f>IF(COUNTA(A128:F128)=0,"",IF(A128="EXAMPLE","Example (skipped)",IF(OR(C128="",E128="",F128=""),"✖ Portal, User ID and Password are all needed",IF(AND(A128="",COUNTIF(Clients!$B$5:$B$1005,B128)=0),"Not on Clients — will match a portal client by name",IF(AND(C128="GST",D128&lt;&gt;"",COUNTIF(Clients!$AZ$5:$AZ$1005,UPPER(D128))=0,COUNTIF(Clients!$G$5:$G$1005,"*"&amp;UPPER(D128)&amp;"*")=0),"GSTIN not on Clients — will be checked in the portal","✔ OK")))))</f>
        <v/>
      </c>
    </row>
    <row r="129">
      <c r="A129" s="40" t="n"/>
      <c r="B129" s="41" t="n"/>
      <c r="C129" s="41" t="n"/>
      <c r="D129" s="40" t="n"/>
      <c r="E129" s="40" t="n"/>
      <c r="F129" s="40" t="n"/>
      <c r="G129" s="39">
        <f>IF(COUNTA(A129:F129)=0,"",IF(A129="EXAMPLE","Example (skipped)",IF(OR(C129="",E129="",F129=""),"✖ Portal, User ID and Password are all needed",IF(AND(A129="",COUNTIF(Clients!$B$5:$B$1005,B129)=0),"Not on Clients — will match a portal client by name",IF(AND(C129="GST",D129&lt;&gt;"",COUNTIF(Clients!$AZ$5:$AZ$1005,UPPER(D129))=0,COUNTIF(Clients!$G$5:$G$1005,"*"&amp;UPPER(D129)&amp;"*")=0),"GSTIN not on Clients — will be checked in the portal","✔ OK")))))</f>
        <v/>
      </c>
    </row>
    <row r="130">
      <c r="A130" s="40" t="n"/>
      <c r="B130" s="41" t="n"/>
      <c r="C130" s="41" t="n"/>
      <c r="D130" s="40" t="n"/>
      <c r="E130" s="40" t="n"/>
      <c r="F130" s="40" t="n"/>
      <c r="G130" s="39">
        <f>IF(COUNTA(A130:F130)=0,"",IF(A130="EXAMPLE","Example (skipped)",IF(OR(C130="",E130="",F130=""),"✖ Portal, User ID and Password are all needed",IF(AND(A130="",COUNTIF(Clients!$B$5:$B$1005,B130)=0),"Not on Clients — will match a portal client by name",IF(AND(C130="GST",D130&lt;&gt;"",COUNTIF(Clients!$AZ$5:$AZ$1005,UPPER(D130))=0,COUNTIF(Clients!$G$5:$G$1005,"*"&amp;UPPER(D130)&amp;"*")=0),"GSTIN not on Clients — will be checked in the portal","✔ OK")))))</f>
        <v/>
      </c>
    </row>
    <row r="131">
      <c r="A131" s="40" t="n"/>
      <c r="B131" s="41" t="n"/>
      <c r="C131" s="41" t="n"/>
      <c r="D131" s="40" t="n"/>
      <c r="E131" s="40" t="n"/>
      <c r="F131" s="40" t="n"/>
      <c r="G131" s="39">
        <f>IF(COUNTA(A131:F131)=0,"",IF(A131="EXAMPLE","Example (skipped)",IF(OR(C131="",E131="",F131=""),"✖ Portal, User ID and Password are all needed",IF(AND(A131="",COUNTIF(Clients!$B$5:$B$1005,B131)=0),"Not on Clients — will match a portal client by name",IF(AND(C131="GST",D131&lt;&gt;"",COUNTIF(Clients!$AZ$5:$AZ$1005,UPPER(D131))=0,COUNTIF(Clients!$G$5:$G$1005,"*"&amp;UPPER(D131)&amp;"*")=0),"GSTIN not on Clients — will be checked in the portal","✔ OK")))))</f>
        <v/>
      </c>
    </row>
    <row r="132">
      <c r="A132" s="40" t="n"/>
      <c r="B132" s="41" t="n"/>
      <c r="C132" s="41" t="n"/>
      <c r="D132" s="40" t="n"/>
      <c r="E132" s="40" t="n"/>
      <c r="F132" s="40" t="n"/>
      <c r="G132" s="39">
        <f>IF(COUNTA(A132:F132)=0,"",IF(A132="EXAMPLE","Example (skipped)",IF(OR(C132="",E132="",F132=""),"✖ Portal, User ID and Password are all needed",IF(AND(A132="",COUNTIF(Clients!$B$5:$B$1005,B132)=0),"Not on Clients — will match a portal client by name",IF(AND(C132="GST",D132&lt;&gt;"",COUNTIF(Clients!$AZ$5:$AZ$1005,UPPER(D132))=0,COUNTIF(Clients!$G$5:$G$1005,"*"&amp;UPPER(D132)&amp;"*")=0),"GSTIN not on Clients — will be checked in the portal","✔ OK")))))</f>
        <v/>
      </c>
    </row>
    <row r="133">
      <c r="A133" s="40" t="n"/>
      <c r="B133" s="41" t="n"/>
      <c r="C133" s="41" t="n"/>
      <c r="D133" s="40" t="n"/>
      <c r="E133" s="40" t="n"/>
      <c r="F133" s="40" t="n"/>
      <c r="G133" s="39">
        <f>IF(COUNTA(A133:F133)=0,"",IF(A133="EXAMPLE","Example (skipped)",IF(OR(C133="",E133="",F133=""),"✖ Portal, User ID and Password are all needed",IF(AND(A133="",COUNTIF(Clients!$B$5:$B$1005,B133)=0),"Not on Clients — will match a portal client by name",IF(AND(C133="GST",D133&lt;&gt;"",COUNTIF(Clients!$AZ$5:$AZ$1005,UPPER(D133))=0,COUNTIF(Clients!$G$5:$G$1005,"*"&amp;UPPER(D133)&amp;"*")=0),"GSTIN not on Clients — will be checked in the portal","✔ OK")))))</f>
        <v/>
      </c>
    </row>
    <row r="134">
      <c r="A134" s="40" t="n"/>
      <c r="B134" s="41" t="n"/>
      <c r="C134" s="41" t="n"/>
      <c r="D134" s="40" t="n"/>
      <c r="E134" s="40" t="n"/>
      <c r="F134" s="40" t="n"/>
      <c r="G134" s="39">
        <f>IF(COUNTA(A134:F134)=0,"",IF(A134="EXAMPLE","Example (skipped)",IF(OR(C134="",E134="",F134=""),"✖ Portal, User ID and Password are all needed",IF(AND(A134="",COUNTIF(Clients!$B$5:$B$1005,B134)=0),"Not on Clients — will match a portal client by name",IF(AND(C134="GST",D134&lt;&gt;"",COUNTIF(Clients!$AZ$5:$AZ$1005,UPPER(D134))=0,COUNTIF(Clients!$G$5:$G$1005,"*"&amp;UPPER(D134)&amp;"*")=0),"GSTIN not on Clients — will be checked in the portal","✔ OK")))))</f>
        <v/>
      </c>
    </row>
    <row r="135">
      <c r="A135" s="40" t="n"/>
      <c r="B135" s="41" t="n"/>
      <c r="C135" s="41" t="n"/>
      <c r="D135" s="40" t="n"/>
      <c r="E135" s="40" t="n"/>
      <c r="F135" s="40" t="n"/>
      <c r="G135" s="39">
        <f>IF(COUNTA(A135:F135)=0,"",IF(A135="EXAMPLE","Example (skipped)",IF(OR(C135="",E135="",F135=""),"✖ Portal, User ID and Password are all needed",IF(AND(A135="",COUNTIF(Clients!$B$5:$B$1005,B135)=0),"Not on Clients — will match a portal client by name",IF(AND(C135="GST",D135&lt;&gt;"",COUNTIF(Clients!$AZ$5:$AZ$1005,UPPER(D135))=0,COUNTIF(Clients!$G$5:$G$1005,"*"&amp;UPPER(D135)&amp;"*")=0),"GSTIN not on Clients — will be checked in the portal","✔ OK")))))</f>
        <v/>
      </c>
    </row>
    <row r="136">
      <c r="A136" s="40" t="n"/>
      <c r="B136" s="41" t="n"/>
      <c r="C136" s="41" t="n"/>
      <c r="D136" s="40" t="n"/>
      <c r="E136" s="40" t="n"/>
      <c r="F136" s="40" t="n"/>
      <c r="G136" s="39">
        <f>IF(COUNTA(A136:F136)=0,"",IF(A136="EXAMPLE","Example (skipped)",IF(OR(C136="",E136="",F136=""),"✖ Portal, User ID and Password are all needed",IF(AND(A136="",COUNTIF(Clients!$B$5:$B$1005,B136)=0),"Not on Clients — will match a portal client by name",IF(AND(C136="GST",D136&lt;&gt;"",COUNTIF(Clients!$AZ$5:$AZ$1005,UPPER(D136))=0,COUNTIF(Clients!$G$5:$G$1005,"*"&amp;UPPER(D136)&amp;"*")=0),"GSTIN not on Clients — will be checked in the portal","✔ OK")))))</f>
        <v/>
      </c>
    </row>
    <row r="137">
      <c r="A137" s="40" t="n"/>
      <c r="B137" s="41" t="n"/>
      <c r="C137" s="41" t="n"/>
      <c r="D137" s="40" t="n"/>
      <c r="E137" s="40" t="n"/>
      <c r="F137" s="40" t="n"/>
      <c r="G137" s="39">
        <f>IF(COUNTA(A137:F137)=0,"",IF(A137="EXAMPLE","Example (skipped)",IF(OR(C137="",E137="",F137=""),"✖ Portal, User ID and Password are all needed",IF(AND(A137="",COUNTIF(Clients!$B$5:$B$1005,B137)=0),"Not on Clients — will match a portal client by name",IF(AND(C137="GST",D137&lt;&gt;"",COUNTIF(Clients!$AZ$5:$AZ$1005,UPPER(D137))=0,COUNTIF(Clients!$G$5:$G$1005,"*"&amp;UPPER(D137)&amp;"*")=0),"GSTIN not on Clients — will be checked in the portal","✔ OK")))))</f>
        <v/>
      </c>
    </row>
    <row r="138">
      <c r="A138" s="40" t="n"/>
      <c r="B138" s="41" t="n"/>
      <c r="C138" s="41" t="n"/>
      <c r="D138" s="40" t="n"/>
      <c r="E138" s="40" t="n"/>
      <c r="F138" s="40" t="n"/>
      <c r="G138" s="39">
        <f>IF(COUNTA(A138:F138)=0,"",IF(A138="EXAMPLE","Example (skipped)",IF(OR(C138="",E138="",F138=""),"✖ Portal, User ID and Password are all needed",IF(AND(A138="",COUNTIF(Clients!$B$5:$B$1005,B138)=0),"Not on Clients — will match a portal client by name",IF(AND(C138="GST",D138&lt;&gt;"",COUNTIF(Clients!$AZ$5:$AZ$1005,UPPER(D138))=0,COUNTIF(Clients!$G$5:$G$1005,"*"&amp;UPPER(D138)&amp;"*")=0),"GSTIN not on Clients — will be checked in the portal","✔ OK")))))</f>
        <v/>
      </c>
    </row>
    <row r="139">
      <c r="A139" s="40" t="n"/>
      <c r="B139" s="41" t="n"/>
      <c r="C139" s="41" t="n"/>
      <c r="D139" s="40" t="n"/>
      <c r="E139" s="40" t="n"/>
      <c r="F139" s="40" t="n"/>
      <c r="G139" s="39">
        <f>IF(COUNTA(A139:F139)=0,"",IF(A139="EXAMPLE","Example (skipped)",IF(OR(C139="",E139="",F139=""),"✖ Portal, User ID and Password are all needed",IF(AND(A139="",COUNTIF(Clients!$B$5:$B$1005,B139)=0),"Not on Clients — will match a portal client by name",IF(AND(C139="GST",D139&lt;&gt;"",COUNTIF(Clients!$AZ$5:$AZ$1005,UPPER(D139))=0,COUNTIF(Clients!$G$5:$G$1005,"*"&amp;UPPER(D139)&amp;"*")=0),"GSTIN not on Clients — will be checked in the portal","✔ OK")))))</f>
        <v/>
      </c>
    </row>
    <row r="140">
      <c r="A140" s="40" t="n"/>
      <c r="B140" s="41" t="n"/>
      <c r="C140" s="41" t="n"/>
      <c r="D140" s="40" t="n"/>
      <c r="E140" s="40" t="n"/>
      <c r="F140" s="40" t="n"/>
      <c r="G140" s="39">
        <f>IF(COUNTA(A140:F140)=0,"",IF(A140="EXAMPLE","Example (skipped)",IF(OR(C140="",E140="",F140=""),"✖ Portal, User ID and Password are all needed",IF(AND(A140="",COUNTIF(Clients!$B$5:$B$1005,B140)=0),"Not on Clients — will match a portal client by name",IF(AND(C140="GST",D140&lt;&gt;"",COUNTIF(Clients!$AZ$5:$AZ$1005,UPPER(D140))=0,COUNTIF(Clients!$G$5:$G$1005,"*"&amp;UPPER(D140)&amp;"*")=0),"GSTIN not on Clients — will be checked in the portal","✔ OK")))))</f>
        <v/>
      </c>
    </row>
    <row r="141">
      <c r="A141" s="40" t="n"/>
      <c r="B141" s="41" t="n"/>
      <c r="C141" s="41" t="n"/>
      <c r="D141" s="40" t="n"/>
      <c r="E141" s="40" t="n"/>
      <c r="F141" s="40" t="n"/>
      <c r="G141" s="39">
        <f>IF(COUNTA(A141:F141)=0,"",IF(A141="EXAMPLE","Example (skipped)",IF(OR(C141="",E141="",F141=""),"✖ Portal, User ID and Password are all needed",IF(AND(A141="",COUNTIF(Clients!$B$5:$B$1005,B141)=0),"Not on Clients — will match a portal client by name",IF(AND(C141="GST",D141&lt;&gt;"",COUNTIF(Clients!$AZ$5:$AZ$1005,UPPER(D141))=0,COUNTIF(Clients!$G$5:$G$1005,"*"&amp;UPPER(D141)&amp;"*")=0),"GSTIN not on Clients — will be checked in the portal","✔ OK")))))</f>
        <v/>
      </c>
    </row>
    <row r="142">
      <c r="A142" s="40" t="n"/>
      <c r="B142" s="41" t="n"/>
      <c r="C142" s="41" t="n"/>
      <c r="D142" s="40" t="n"/>
      <c r="E142" s="40" t="n"/>
      <c r="F142" s="40" t="n"/>
      <c r="G142" s="39">
        <f>IF(COUNTA(A142:F142)=0,"",IF(A142="EXAMPLE","Example (skipped)",IF(OR(C142="",E142="",F142=""),"✖ Portal, User ID and Password are all needed",IF(AND(A142="",COUNTIF(Clients!$B$5:$B$1005,B142)=0),"Not on Clients — will match a portal client by name",IF(AND(C142="GST",D142&lt;&gt;"",COUNTIF(Clients!$AZ$5:$AZ$1005,UPPER(D142))=0,COUNTIF(Clients!$G$5:$G$1005,"*"&amp;UPPER(D142)&amp;"*")=0),"GSTIN not on Clients — will be checked in the portal","✔ OK")))))</f>
        <v/>
      </c>
    </row>
    <row r="143">
      <c r="A143" s="40" t="n"/>
      <c r="B143" s="41" t="n"/>
      <c r="C143" s="41" t="n"/>
      <c r="D143" s="40" t="n"/>
      <c r="E143" s="40" t="n"/>
      <c r="F143" s="40" t="n"/>
      <c r="G143" s="39">
        <f>IF(COUNTA(A143:F143)=0,"",IF(A143="EXAMPLE","Example (skipped)",IF(OR(C143="",E143="",F143=""),"✖ Portal, User ID and Password are all needed",IF(AND(A143="",COUNTIF(Clients!$B$5:$B$1005,B143)=0),"Not on Clients — will match a portal client by name",IF(AND(C143="GST",D143&lt;&gt;"",COUNTIF(Clients!$AZ$5:$AZ$1005,UPPER(D143))=0,COUNTIF(Clients!$G$5:$G$1005,"*"&amp;UPPER(D143)&amp;"*")=0),"GSTIN not on Clients — will be checked in the portal","✔ OK")))))</f>
        <v/>
      </c>
    </row>
    <row r="144">
      <c r="A144" s="40" t="n"/>
      <c r="B144" s="41" t="n"/>
      <c r="C144" s="41" t="n"/>
      <c r="D144" s="40" t="n"/>
      <c r="E144" s="40" t="n"/>
      <c r="F144" s="40" t="n"/>
      <c r="G144" s="39">
        <f>IF(COUNTA(A144:F144)=0,"",IF(A144="EXAMPLE","Example (skipped)",IF(OR(C144="",E144="",F144=""),"✖ Portal, User ID and Password are all needed",IF(AND(A144="",COUNTIF(Clients!$B$5:$B$1005,B144)=0),"Not on Clients — will match a portal client by name",IF(AND(C144="GST",D144&lt;&gt;"",COUNTIF(Clients!$AZ$5:$AZ$1005,UPPER(D144))=0,COUNTIF(Clients!$G$5:$G$1005,"*"&amp;UPPER(D144)&amp;"*")=0),"GSTIN not on Clients — will be checked in the portal","✔ OK")))))</f>
        <v/>
      </c>
    </row>
    <row r="145">
      <c r="A145" s="40" t="n"/>
      <c r="B145" s="41" t="n"/>
      <c r="C145" s="41" t="n"/>
      <c r="D145" s="40" t="n"/>
      <c r="E145" s="40" t="n"/>
      <c r="F145" s="40" t="n"/>
      <c r="G145" s="39">
        <f>IF(COUNTA(A145:F145)=0,"",IF(A145="EXAMPLE","Example (skipped)",IF(OR(C145="",E145="",F145=""),"✖ Portal, User ID and Password are all needed",IF(AND(A145="",COUNTIF(Clients!$B$5:$B$1005,B145)=0),"Not on Clients — will match a portal client by name",IF(AND(C145="GST",D145&lt;&gt;"",COUNTIF(Clients!$AZ$5:$AZ$1005,UPPER(D145))=0,COUNTIF(Clients!$G$5:$G$1005,"*"&amp;UPPER(D145)&amp;"*")=0),"GSTIN not on Clients — will be checked in the portal","✔ OK")))))</f>
        <v/>
      </c>
    </row>
    <row r="146">
      <c r="A146" s="40" t="n"/>
      <c r="B146" s="41" t="n"/>
      <c r="C146" s="41" t="n"/>
      <c r="D146" s="40" t="n"/>
      <c r="E146" s="40" t="n"/>
      <c r="F146" s="40" t="n"/>
      <c r="G146" s="39">
        <f>IF(COUNTA(A146:F146)=0,"",IF(A146="EXAMPLE","Example (skipped)",IF(OR(C146="",E146="",F146=""),"✖ Portal, User ID and Password are all needed",IF(AND(A146="",COUNTIF(Clients!$B$5:$B$1005,B146)=0),"Not on Clients — will match a portal client by name",IF(AND(C146="GST",D146&lt;&gt;"",COUNTIF(Clients!$AZ$5:$AZ$1005,UPPER(D146))=0,COUNTIF(Clients!$G$5:$G$1005,"*"&amp;UPPER(D146)&amp;"*")=0),"GSTIN not on Clients — will be checked in the portal","✔ OK")))))</f>
        <v/>
      </c>
    </row>
    <row r="147">
      <c r="A147" s="40" t="n"/>
      <c r="B147" s="41" t="n"/>
      <c r="C147" s="41" t="n"/>
      <c r="D147" s="40" t="n"/>
      <c r="E147" s="40" t="n"/>
      <c r="F147" s="40" t="n"/>
      <c r="G147" s="39">
        <f>IF(COUNTA(A147:F147)=0,"",IF(A147="EXAMPLE","Example (skipped)",IF(OR(C147="",E147="",F147=""),"✖ Portal, User ID and Password are all needed",IF(AND(A147="",COUNTIF(Clients!$B$5:$B$1005,B147)=0),"Not on Clients — will match a portal client by name",IF(AND(C147="GST",D147&lt;&gt;"",COUNTIF(Clients!$AZ$5:$AZ$1005,UPPER(D147))=0,COUNTIF(Clients!$G$5:$G$1005,"*"&amp;UPPER(D147)&amp;"*")=0),"GSTIN not on Clients — will be checked in the portal","✔ OK")))))</f>
        <v/>
      </c>
    </row>
    <row r="148">
      <c r="A148" s="40" t="n"/>
      <c r="B148" s="41" t="n"/>
      <c r="C148" s="41" t="n"/>
      <c r="D148" s="40" t="n"/>
      <c r="E148" s="40" t="n"/>
      <c r="F148" s="40" t="n"/>
      <c r="G148" s="39">
        <f>IF(COUNTA(A148:F148)=0,"",IF(A148="EXAMPLE","Example (skipped)",IF(OR(C148="",E148="",F148=""),"✖ Portal, User ID and Password are all needed",IF(AND(A148="",COUNTIF(Clients!$B$5:$B$1005,B148)=0),"Not on Clients — will match a portal client by name",IF(AND(C148="GST",D148&lt;&gt;"",COUNTIF(Clients!$AZ$5:$AZ$1005,UPPER(D148))=0,COUNTIF(Clients!$G$5:$G$1005,"*"&amp;UPPER(D148)&amp;"*")=0),"GSTIN not on Clients — will be checked in the portal","✔ OK")))))</f>
        <v/>
      </c>
    </row>
    <row r="149">
      <c r="A149" s="40" t="n"/>
      <c r="B149" s="41" t="n"/>
      <c r="C149" s="41" t="n"/>
      <c r="D149" s="40" t="n"/>
      <c r="E149" s="40" t="n"/>
      <c r="F149" s="40" t="n"/>
      <c r="G149" s="39">
        <f>IF(COUNTA(A149:F149)=0,"",IF(A149="EXAMPLE","Example (skipped)",IF(OR(C149="",E149="",F149=""),"✖ Portal, User ID and Password are all needed",IF(AND(A149="",COUNTIF(Clients!$B$5:$B$1005,B149)=0),"Not on Clients — will match a portal client by name",IF(AND(C149="GST",D149&lt;&gt;"",COUNTIF(Clients!$AZ$5:$AZ$1005,UPPER(D149))=0,COUNTIF(Clients!$G$5:$G$1005,"*"&amp;UPPER(D149)&amp;"*")=0),"GSTIN not on Clients — will be checked in the portal","✔ OK")))))</f>
        <v/>
      </c>
    </row>
    <row r="150">
      <c r="A150" s="40" t="n"/>
      <c r="B150" s="41" t="n"/>
      <c r="C150" s="41" t="n"/>
      <c r="D150" s="40" t="n"/>
      <c r="E150" s="40" t="n"/>
      <c r="F150" s="40" t="n"/>
      <c r="G150" s="39">
        <f>IF(COUNTA(A150:F150)=0,"",IF(A150="EXAMPLE","Example (skipped)",IF(OR(C150="",E150="",F150=""),"✖ Portal, User ID and Password are all needed",IF(AND(A150="",COUNTIF(Clients!$B$5:$B$1005,B150)=0),"Not on Clients — will match a portal client by name",IF(AND(C150="GST",D150&lt;&gt;"",COUNTIF(Clients!$AZ$5:$AZ$1005,UPPER(D150))=0,COUNTIF(Clients!$G$5:$G$1005,"*"&amp;UPPER(D150)&amp;"*")=0),"GSTIN not on Clients — will be checked in the portal","✔ OK")))))</f>
        <v/>
      </c>
    </row>
    <row r="151">
      <c r="A151" s="40" t="n"/>
      <c r="B151" s="41" t="n"/>
      <c r="C151" s="41" t="n"/>
      <c r="D151" s="40" t="n"/>
      <c r="E151" s="40" t="n"/>
      <c r="F151" s="40" t="n"/>
      <c r="G151" s="39">
        <f>IF(COUNTA(A151:F151)=0,"",IF(A151="EXAMPLE","Example (skipped)",IF(OR(C151="",E151="",F151=""),"✖ Portal, User ID and Password are all needed",IF(AND(A151="",COUNTIF(Clients!$B$5:$B$1005,B151)=0),"Not on Clients — will match a portal client by name",IF(AND(C151="GST",D151&lt;&gt;"",COUNTIF(Clients!$AZ$5:$AZ$1005,UPPER(D151))=0,COUNTIF(Clients!$G$5:$G$1005,"*"&amp;UPPER(D151)&amp;"*")=0),"GSTIN not on Clients — will be checked in the portal","✔ OK")))))</f>
        <v/>
      </c>
    </row>
    <row r="152">
      <c r="A152" s="40" t="n"/>
      <c r="B152" s="41" t="n"/>
      <c r="C152" s="41" t="n"/>
      <c r="D152" s="40" t="n"/>
      <c r="E152" s="40" t="n"/>
      <c r="F152" s="40" t="n"/>
      <c r="G152" s="39">
        <f>IF(COUNTA(A152:F152)=0,"",IF(A152="EXAMPLE","Example (skipped)",IF(OR(C152="",E152="",F152=""),"✖ Portal, User ID and Password are all needed",IF(AND(A152="",COUNTIF(Clients!$B$5:$B$1005,B152)=0),"Not on Clients — will match a portal client by name",IF(AND(C152="GST",D152&lt;&gt;"",COUNTIF(Clients!$AZ$5:$AZ$1005,UPPER(D152))=0,COUNTIF(Clients!$G$5:$G$1005,"*"&amp;UPPER(D152)&amp;"*")=0),"GSTIN not on Clients — will be checked in the portal","✔ OK")))))</f>
        <v/>
      </c>
    </row>
    <row r="153">
      <c r="A153" s="40" t="n"/>
      <c r="B153" s="41" t="n"/>
      <c r="C153" s="41" t="n"/>
      <c r="D153" s="40" t="n"/>
      <c r="E153" s="40" t="n"/>
      <c r="F153" s="40" t="n"/>
      <c r="G153" s="39">
        <f>IF(COUNTA(A153:F153)=0,"",IF(A153="EXAMPLE","Example (skipped)",IF(OR(C153="",E153="",F153=""),"✖ Portal, User ID and Password are all needed",IF(AND(A153="",COUNTIF(Clients!$B$5:$B$1005,B153)=0),"Not on Clients — will match a portal client by name",IF(AND(C153="GST",D153&lt;&gt;"",COUNTIF(Clients!$AZ$5:$AZ$1005,UPPER(D153))=0,COUNTIF(Clients!$G$5:$G$1005,"*"&amp;UPPER(D153)&amp;"*")=0),"GSTIN not on Clients — will be checked in the portal","✔ OK")))))</f>
        <v/>
      </c>
    </row>
    <row r="154">
      <c r="A154" s="40" t="n"/>
      <c r="B154" s="41" t="n"/>
      <c r="C154" s="41" t="n"/>
      <c r="D154" s="40" t="n"/>
      <c r="E154" s="40" t="n"/>
      <c r="F154" s="40" t="n"/>
      <c r="G154" s="39">
        <f>IF(COUNTA(A154:F154)=0,"",IF(A154="EXAMPLE","Example (skipped)",IF(OR(C154="",E154="",F154=""),"✖ Portal, User ID and Password are all needed",IF(AND(A154="",COUNTIF(Clients!$B$5:$B$1005,B154)=0),"Not on Clients — will match a portal client by name",IF(AND(C154="GST",D154&lt;&gt;"",COUNTIF(Clients!$AZ$5:$AZ$1005,UPPER(D154))=0,COUNTIF(Clients!$G$5:$G$1005,"*"&amp;UPPER(D154)&amp;"*")=0),"GSTIN not on Clients — will be checked in the portal","✔ OK")))))</f>
        <v/>
      </c>
    </row>
    <row r="155">
      <c r="A155" s="40" t="n"/>
      <c r="B155" s="41" t="n"/>
      <c r="C155" s="41" t="n"/>
      <c r="D155" s="40" t="n"/>
      <c r="E155" s="40" t="n"/>
      <c r="F155" s="40" t="n"/>
      <c r="G155" s="39">
        <f>IF(COUNTA(A155:F155)=0,"",IF(A155="EXAMPLE","Example (skipped)",IF(OR(C155="",E155="",F155=""),"✖ Portal, User ID and Password are all needed",IF(AND(A155="",COUNTIF(Clients!$B$5:$B$1005,B155)=0),"Not on Clients — will match a portal client by name",IF(AND(C155="GST",D155&lt;&gt;"",COUNTIF(Clients!$AZ$5:$AZ$1005,UPPER(D155))=0,COUNTIF(Clients!$G$5:$G$1005,"*"&amp;UPPER(D155)&amp;"*")=0),"GSTIN not on Clients — will be checked in the portal","✔ OK")))))</f>
        <v/>
      </c>
    </row>
    <row r="156">
      <c r="A156" s="40" t="n"/>
      <c r="B156" s="41" t="n"/>
      <c r="C156" s="41" t="n"/>
      <c r="D156" s="40" t="n"/>
      <c r="E156" s="40" t="n"/>
      <c r="F156" s="40" t="n"/>
      <c r="G156" s="39">
        <f>IF(COUNTA(A156:F156)=0,"",IF(A156="EXAMPLE","Example (skipped)",IF(OR(C156="",E156="",F156=""),"✖ Portal, User ID and Password are all needed",IF(AND(A156="",COUNTIF(Clients!$B$5:$B$1005,B156)=0),"Not on Clients — will match a portal client by name",IF(AND(C156="GST",D156&lt;&gt;"",COUNTIF(Clients!$AZ$5:$AZ$1005,UPPER(D156))=0,COUNTIF(Clients!$G$5:$G$1005,"*"&amp;UPPER(D156)&amp;"*")=0),"GSTIN not on Clients — will be checked in the portal","✔ OK")))))</f>
        <v/>
      </c>
    </row>
    <row r="157">
      <c r="A157" s="40" t="n"/>
      <c r="B157" s="41" t="n"/>
      <c r="C157" s="41" t="n"/>
      <c r="D157" s="40" t="n"/>
      <c r="E157" s="40" t="n"/>
      <c r="F157" s="40" t="n"/>
      <c r="G157" s="39">
        <f>IF(COUNTA(A157:F157)=0,"",IF(A157="EXAMPLE","Example (skipped)",IF(OR(C157="",E157="",F157=""),"✖ Portal, User ID and Password are all needed",IF(AND(A157="",COUNTIF(Clients!$B$5:$B$1005,B157)=0),"Not on Clients — will match a portal client by name",IF(AND(C157="GST",D157&lt;&gt;"",COUNTIF(Clients!$AZ$5:$AZ$1005,UPPER(D157))=0,COUNTIF(Clients!$G$5:$G$1005,"*"&amp;UPPER(D157)&amp;"*")=0),"GSTIN not on Clients — will be checked in the portal","✔ OK")))))</f>
        <v/>
      </c>
    </row>
    <row r="158">
      <c r="A158" s="40" t="n"/>
      <c r="B158" s="41" t="n"/>
      <c r="C158" s="41" t="n"/>
      <c r="D158" s="40" t="n"/>
      <c r="E158" s="40" t="n"/>
      <c r="F158" s="40" t="n"/>
      <c r="G158" s="39">
        <f>IF(COUNTA(A158:F158)=0,"",IF(A158="EXAMPLE","Example (skipped)",IF(OR(C158="",E158="",F158=""),"✖ Portal, User ID and Password are all needed",IF(AND(A158="",COUNTIF(Clients!$B$5:$B$1005,B158)=0),"Not on Clients — will match a portal client by name",IF(AND(C158="GST",D158&lt;&gt;"",COUNTIF(Clients!$AZ$5:$AZ$1005,UPPER(D158))=0,COUNTIF(Clients!$G$5:$G$1005,"*"&amp;UPPER(D158)&amp;"*")=0),"GSTIN not on Clients — will be checked in the portal","✔ OK")))))</f>
        <v/>
      </c>
    </row>
    <row r="159">
      <c r="A159" s="40" t="n"/>
      <c r="B159" s="41" t="n"/>
      <c r="C159" s="41" t="n"/>
      <c r="D159" s="40" t="n"/>
      <c r="E159" s="40" t="n"/>
      <c r="F159" s="40" t="n"/>
      <c r="G159" s="39">
        <f>IF(COUNTA(A159:F159)=0,"",IF(A159="EXAMPLE","Example (skipped)",IF(OR(C159="",E159="",F159=""),"✖ Portal, User ID and Password are all needed",IF(AND(A159="",COUNTIF(Clients!$B$5:$B$1005,B159)=0),"Not on Clients — will match a portal client by name",IF(AND(C159="GST",D159&lt;&gt;"",COUNTIF(Clients!$AZ$5:$AZ$1005,UPPER(D159))=0,COUNTIF(Clients!$G$5:$G$1005,"*"&amp;UPPER(D159)&amp;"*")=0),"GSTIN not on Clients — will be checked in the portal","✔ OK")))))</f>
        <v/>
      </c>
    </row>
    <row r="160">
      <c r="A160" s="40" t="n"/>
      <c r="B160" s="41" t="n"/>
      <c r="C160" s="41" t="n"/>
      <c r="D160" s="40" t="n"/>
      <c r="E160" s="40" t="n"/>
      <c r="F160" s="40" t="n"/>
      <c r="G160" s="39">
        <f>IF(COUNTA(A160:F160)=0,"",IF(A160="EXAMPLE","Example (skipped)",IF(OR(C160="",E160="",F160=""),"✖ Portal, User ID and Password are all needed",IF(AND(A160="",COUNTIF(Clients!$B$5:$B$1005,B160)=0),"Not on Clients — will match a portal client by name",IF(AND(C160="GST",D160&lt;&gt;"",COUNTIF(Clients!$AZ$5:$AZ$1005,UPPER(D160))=0,COUNTIF(Clients!$G$5:$G$1005,"*"&amp;UPPER(D160)&amp;"*")=0),"GSTIN not on Clients — will be checked in the portal","✔ OK")))))</f>
        <v/>
      </c>
    </row>
    <row r="161">
      <c r="A161" s="40" t="n"/>
      <c r="B161" s="41" t="n"/>
      <c r="C161" s="41" t="n"/>
      <c r="D161" s="40" t="n"/>
      <c r="E161" s="40" t="n"/>
      <c r="F161" s="40" t="n"/>
      <c r="G161" s="39">
        <f>IF(COUNTA(A161:F161)=0,"",IF(A161="EXAMPLE","Example (skipped)",IF(OR(C161="",E161="",F161=""),"✖ Portal, User ID and Password are all needed",IF(AND(A161="",COUNTIF(Clients!$B$5:$B$1005,B161)=0),"Not on Clients — will match a portal client by name",IF(AND(C161="GST",D161&lt;&gt;"",COUNTIF(Clients!$AZ$5:$AZ$1005,UPPER(D161))=0,COUNTIF(Clients!$G$5:$G$1005,"*"&amp;UPPER(D161)&amp;"*")=0),"GSTIN not on Clients — will be checked in the portal","✔ OK")))))</f>
        <v/>
      </c>
    </row>
    <row r="162">
      <c r="A162" s="40" t="n"/>
      <c r="B162" s="41" t="n"/>
      <c r="C162" s="41" t="n"/>
      <c r="D162" s="40" t="n"/>
      <c r="E162" s="40" t="n"/>
      <c r="F162" s="40" t="n"/>
      <c r="G162" s="39">
        <f>IF(COUNTA(A162:F162)=0,"",IF(A162="EXAMPLE","Example (skipped)",IF(OR(C162="",E162="",F162=""),"✖ Portal, User ID and Password are all needed",IF(AND(A162="",COUNTIF(Clients!$B$5:$B$1005,B162)=0),"Not on Clients — will match a portal client by name",IF(AND(C162="GST",D162&lt;&gt;"",COUNTIF(Clients!$AZ$5:$AZ$1005,UPPER(D162))=0,COUNTIF(Clients!$G$5:$G$1005,"*"&amp;UPPER(D162)&amp;"*")=0),"GSTIN not on Clients — will be checked in the portal","✔ OK")))))</f>
        <v/>
      </c>
    </row>
    <row r="163">
      <c r="A163" s="40" t="n"/>
      <c r="B163" s="41" t="n"/>
      <c r="C163" s="41" t="n"/>
      <c r="D163" s="40" t="n"/>
      <c r="E163" s="40" t="n"/>
      <c r="F163" s="40" t="n"/>
      <c r="G163" s="39">
        <f>IF(COUNTA(A163:F163)=0,"",IF(A163="EXAMPLE","Example (skipped)",IF(OR(C163="",E163="",F163=""),"✖ Portal, User ID and Password are all needed",IF(AND(A163="",COUNTIF(Clients!$B$5:$B$1005,B163)=0),"Not on Clients — will match a portal client by name",IF(AND(C163="GST",D163&lt;&gt;"",COUNTIF(Clients!$AZ$5:$AZ$1005,UPPER(D163))=0,COUNTIF(Clients!$G$5:$G$1005,"*"&amp;UPPER(D163)&amp;"*")=0),"GSTIN not on Clients — will be checked in the portal","✔ OK")))))</f>
        <v/>
      </c>
    </row>
    <row r="164">
      <c r="A164" s="40" t="n"/>
      <c r="B164" s="41" t="n"/>
      <c r="C164" s="41" t="n"/>
      <c r="D164" s="40" t="n"/>
      <c r="E164" s="40" t="n"/>
      <c r="F164" s="40" t="n"/>
      <c r="G164" s="39">
        <f>IF(COUNTA(A164:F164)=0,"",IF(A164="EXAMPLE","Example (skipped)",IF(OR(C164="",E164="",F164=""),"✖ Portal, User ID and Password are all needed",IF(AND(A164="",COUNTIF(Clients!$B$5:$B$1005,B164)=0),"Not on Clients — will match a portal client by name",IF(AND(C164="GST",D164&lt;&gt;"",COUNTIF(Clients!$AZ$5:$AZ$1005,UPPER(D164))=0,COUNTIF(Clients!$G$5:$G$1005,"*"&amp;UPPER(D164)&amp;"*")=0),"GSTIN not on Clients — will be checked in the portal","✔ OK")))))</f>
        <v/>
      </c>
    </row>
    <row r="165">
      <c r="A165" s="40" t="n"/>
      <c r="B165" s="41" t="n"/>
      <c r="C165" s="41" t="n"/>
      <c r="D165" s="40" t="n"/>
      <c r="E165" s="40" t="n"/>
      <c r="F165" s="40" t="n"/>
      <c r="G165" s="39">
        <f>IF(COUNTA(A165:F165)=0,"",IF(A165="EXAMPLE","Example (skipped)",IF(OR(C165="",E165="",F165=""),"✖ Portal, User ID and Password are all needed",IF(AND(A165="",COUNTIF(Clients!$B$5:$B$1005,B165)=0),"Not on Clients — will match a portal client by name",IF(AND(C165="GST",D165&lt;&gt;"",COUNTIF(Clients!$AZ$5:$AZ$1005,UPPER(D165))=0,COUNTIF(Clients!$G$5:$G$1005,"*"&amp;UPPER(D165)&amp;"*")=0),"GSTIN not on Clients — will be checked in the portal","✔ OK")))))</f>
        <v/>
      </c>
    </row>
    <row r="166">
      <c r="A166" s="40" t="n"/>
      <c r="B166" s="41" t="n"/>
      <c r="C166" s="41" t="n"/>
      <c r="D166" s="40" t="n"/>
      <c r="E166" s="40" t="n"/>
      <c r="F166" s="40" t="n"/>
      <c r="G166" s="39">
        <f>IF(COUNTA(A166:F166)=0,"",IF(A166="EXAMPLE","Example (skipped)",IF(OR(C166="",E166="",F166=""),"✖ Portal, User ID and Password are all needed",IF(AND(A166="",COUNTIF(Clients!$B$5:$B$1005,B166)=0),"Not on Clients — will match a portal client by name",IF(AND(C166="GST",D166&lt;&gt;"",COUNTIF(Clients!$AZ$5:$AZ$1005,UPPER(D166))=0,COUNTIF(Clients!$G$5:$G$1005,"*"&amp;UPPER(D166)&amp;"*")=0),"GSTIN not on Clients — will be checked in the portal","✔ OK")))))</f>
        <v/>
      </c>
    </row>
    <row r="167">
      <c r="A167" s="40" t="n"/>
      <c r="B167" s="41" t="n"/>
      <c r="C167" s="41" t="n"/>
      <c r="D167" s="40" t="n"/>
      <c r="E167" s="40" t="n"/>
      <c r="F167" s="40" t="n"/>
      <c r="G167" s="39">
        <f>IF(COUNTA(A167:F167)=0,"",IF(A167="EXAMPLE","Example (skipped)",IF(OR(C167="",E167="",F167=""),"✖ Portal, User ID and Password are all needed",IF(AND(A167="",COUNTIF(Clients!$B$5:$B$1005,B167)=0),"Not on Clients — will match a portal client by name",IF(AND(C167="GST",D167&lt;&gt;"",COUNTIF(Clients!$AZ$5:$AZ$1005,UPPER(D167))=0,COUNTIF(Clients!$G$5:$G$1005,"*"&amp;UPPER(D167)&amp;"*")=0),"GSTIN not on Clients — will be checked in the portal","✔ OK")))))</f>
        <v/>
      </c>
    </row>
    <row r="168">
      <c r="A168" s="40" t="n"/>
      <c r="B168" s="41" t="n"/>
      <c r="C168" s="41" t="n"/>
      <c r="D168" s="40" t="n"/>
      <c r="E168" s="40" t="n"/>
      <c r="F168" s="40" t="n"/>
      <c r="G168" s="39">
        <f>IF(COUNTA(A168:F168)=0,"",IF(A168="EXAMPLE","Example (skipped)",IF(OR(C168="",E168="",F168=""),"✖ Portal, User ID and Password are all needed",IF(AND(A168="",COUNTIF(Clients!$B$5:$B$1005,B168)=0),"Not on Clients — will match a portal client by name",IF(AND(C168="GST",D168&lt;&gt;"",COUNTIF(Clients!$AZ$5:$AZ$1005,UPPER(D168))=0,COUNTIF(Clients!$G$5:$G$1005,"*"&amp;UPPER(D168)&amp;"*")=0),"GSTIN not on Clients — will be checked in the portal","✔ OK")))))</f>
        <v/>
      </c>
    </row>
    <row r="169">
      <c r="A169" s="40" t="n"/>
      <c r="B169" s="41" t="n"/>
      <c r="C169" s="41" t="n"/>
      <c r="D169" s="40" t="n"/>
      <c r="E169" s="40" t="n"/>
      <c r="F169" s="40" t="n"/>
      <c r="G169" s="39">
        <f>IF(COUNTA(A169:F169)=0,"",IF(A169="EXAMPLE","Example (skipped)",IF(OR(C169="",E169="",F169=""),"✖ Portal, User ID and Password are all needed",IF(AND(A169="",COUNTIF(Clients!$B$5:$B$1005,B169)=0),"Not on Clients — will match a portal client by name",IF(AND(C169="GST",D169&lt;&gt;"",COUNTIF(Clients!$AZ$5:$AZ$1005,UPPER(D169))=0,COUNTIF(Clients!$G$5:$G$1005,"*"&amp;UPPER(D169)&amp;"*")=0),"GSTIN not on Clients — will be checked in the portal","✔ OK")))))</f>
        <v/>
      </c>
    </row>
    <row r="170">
      <c r="A170" s="40" t="n"/>
      <c r="B170" s="41" t="n"/>
      <c r="C170" s="41" t="n"/>
      <c r="D170" s="40" t="n"/>
      <c r="E170" s="40" t="n"/>
      <c r="F170" s="40" t="n"/>
      <c r="G170" s="39">
        <f>IF(COUNTA(A170:F170)=0,"",IF(A170="EXAMPLE","Example (skipped)",IF(OR(C170="",E170="",F170=""),"✖ Portal, User ID and Password are all needed",IF(AND(A170="",COUNTIF(Clients!$B$5:$B$1005,B170)=0),"Not on Clients — will match a portal client by name",IF(AND(C170="GST",D170&lt;&gt;"",COUNTIF(Clients!$AZ$5:$AZ$1005,UPPER(D170))=0,COUNTIF(Clients!$G$5:$G$1005,"*"&amp;UPPER(D170)&amp;"*")=0),"GSTIN not on Clients — will be checked in the portal","✔ OK")))))</f>
        <v/>
      </c>
    </row>
    <row r="171">
      <c r="A171" s="40" t="n"/>
      <c r="B171" s="41" t="n"/>
      <c r="C171" s="41" t="n"/>
      <c r="D171" s="40" t="n"/>
      <c r="E171" s="40" t="n"/>
      <c r="F171" s="40" t="n"/>
      <c r="G171" s="39">
        <f>IF(COUNTA(A171:F171)=0,"",IF(A171="EXAMPLE","Example (skipped)",IF(OR(C171="",E171="",F171=""),"✖ Portal, User ID and Password are all needed",IF(AND(A171="",COUNTIF(Clients!$B$5:$B$1005,B171)=0),"Not on Clients — will match a portal client by name",IF(AND(C171="GST",D171&lt;&gt;"",COUNTIF(Clients!$AZ$5:$AZ$1005,UPPER(D171))=0,COUNTIF(Clients!$G$5:$G$1005,"*"&amp;UPPER(D171)&amp;"*")=0),"GSTIN not on Clients — will be checked in the portal","✔ OK")))))</f>
        <v/>
      </c>
    </row>
    <row r="172">
      <c r="A172" s="40" t="n"/>
      <c r="B172" s="41" t="n"/>
      <c r="C172" s="41" t="n"/>
      <c r="D172" s="40" t="n"/>
      <c r="E172" s="40" t="n"/>
      <c r="F172" s="40" t="n"/>
      <c r="G172" s="39">
        <f>IF(COUNTA(A172:F172)=0,"",IF(A172="EXAMPLE","Example (skipped)",IF(OR(C172="",E172="",F172=""),"✖ Portal, User ID and Password are all needed",IF(AND(A172="",COUNTIF(Clients!$B$5:$B$1005,B172)=0),"Not on Clients — will match a portal client by name",IF(AND(C172="GST",D172&lt;&gt;"",COUNTIF(Clients!$AZ$5:$AZ$1005,UPPER(D172))=0,COUNTIF(Clients!$G$5:$G$1005,"*"&amp;UPPER(D172)&amp;"*")=0),"GSTIN not on Clients — will be checked in the portal","✔ OK")))))</f>
        <v/>
      </c>
    </row>
    <row r="173">
      <c r="A173" s="40" t="n"/>
      <c r="B173" s="41" t="n"/>
      <c r="C173" s="41" t="n"/>
      <c r="D173" s="40" t="n"/>
      <c r="E173" s="40" t="n"/>
      <c r="F173" s="40" t="n"/>
      <c r="G173" s="39">
        <f>IF(COUNTA(A173:F173)=0,"",IF(A173="EXAMPLE","Example (skipped)",IF(OR(C173="",E173="",F173=""),"✖ Portal, User ID and Password are all needed",IF(AND(A173="",COUNTIF(Clients!$B$5:$B$1005,B173)=0),"Not on Clients — will match a portal client by name",IF(AND(C173="GST",D173&lt;&gt;"",COUNTIF(Clients!$AZ$5:$AZ$1005,UPPER(D173))=0,COUNTIF(Clients!$G$5:$G$1005,"*"&amp;UPPER(D173)&amp;"*")=0),"GSTIN not on Clients — will be checked in the portal","✔ OK")))))</f>
        <v/>
      </c>
    </row>
    <row r="174">
      <c r="A174" s="40" t="n"/>
      <c r="B174" s="41" t="n"/>
      <c r="C174" s="41" t="n"/>
      <c r="D174" s="40" t="n"/>
      <c r="E174" s="40" t="n"/>
      <c r="F174" s="40" t="n"/>
      <c r="G174" s="39">
        <f>IF(COUNTA(A174:F174)=0,"",IF(A174="EXAMPLE","Example (skipped)",IF(OR(C174="",E174="",F174=""),"✖ Portal, User ID and Password are all needed",IF(AND(A174="",COUNTIF(Clients!$B$5:$B$1005,B174)=0),"Not on Clients — will match a portal client by name",IF(AND(C174="GST",D174&lt;&gt;"",COUNTIF(Clients!$AZ$5:$AZ$1005,UPPER(D174))=0,COUNTIF(Clients!$G$5:$G$1005,"*"&amp;UPPER(D174)&amp;"*")=0),"GSTIN not on Clients — will be checked in the portal","✔ OK")))))</f>
        <v/>
      </c>
    </row>
    <row r="175">
      <c r="A175" s="40" t="n"/>
      <c r="B175" s="41" t="n"/>
      <c r="C175" s="41" t="n"/>
      <c r="D175" s="40" t="n"/>
      <c r="E175" s="40" t="n"/>
      <c r="F175" s="40" t="n"/>
      <c r="G175" s="39">
        <f>IF(COUNTA(A175:F175)=0,"",IF(A175="EXAMPLE","Example (skipped)",IF(OR(C175="",E175="",F175=""),"✖ Portal, User ID and Password are all needed",IF(AND(A175="",COUNTIF(Clients!$B$5:$B$1005,B175)=0),"Not on Clients — will match a portal client by name",IF(AND(C175="GST",D175&lt;&gt;"",COUNTIF(Clients!$AZ$5:$AZ$1005,UPPER(D175))=0,COUNTIF(Clients!$G$5:$G$1005,"*"&amp;UPPER(D175)&amp;"*")=0),"GSTIN not on Clients — will be checked in the portal","✔ OK")))))</f>
        <v/>
      </c>
    </row>
    <row r="176">
      <c r="A176" s="40" t="n"/>
      <c r="B176" s="41" t="n"/>
      <c r="C176" s="41" t="n"/>
      <c r="D176" s="40" t="n"/>
      <c r="E176" s="40" t="n"/>
      <c r="F176" s="40" t="n"/>
      <c r="G176" s="39">
        <f>IF(COUNTA(A176:F176)=0,"",IF(A176="EXAMPLE","Example (skipped)",IF(OR(C176="",E176="",F176=""),"✖ Portal, User ID and Password are all needed",IF(AND(A176="",COUNTIF(Clients!$B$5:$B$1005,B176)=0),"Not on Clients — will match a portal client by name",IF(AND(C176="GST",D176&lt;&gt;"",COUNTIF(Clients!$AZ$5:$AZ$1005,UPPER(D176))=0,COUNTIF(Clients!$G$5:$G$1005,"*"&amp;UPPER(D176)&amp;"*")=0),"GSTIN not on Clients — will be checked in the portal","✔ OK")))))</f>
        <v/>
      </c>
    </row>
    <row r="177">
      <c r="A177" s="40" t="n"/>
      <c r="B177" s="41" t="n"/>
      <c r="C177" s="41" t="n"/>
      <c r="D177" s="40" t="n"/>
      <c r="E177" s="40" t="n"/>
      <c r="F177" s="40" t="n"/>
      <c r="G177" s="39">
        <f>IF(COUNTA(A177:F177)=0,"",IF(A177="EXAMPLE","Example (skipped)",IF(OR(C177="",E177="",F177=""),"✖ Portal, User ID and Password are all needed",IF(AND(A177="",COUNTIF(Clients!$B$5:$B$1005,B177)=0),"Not on Clients — will match a portal client by name",IF(AND(C177="GST",D177&lt;&gt;"",COUNTIF(Clients!$AZ$5:$AZ$1005,UPPER(D177))=0,COUNTIF(Clients!$G$5:$G$1005,"*"&amp;UPPER(D177)&amp;"*")=0),"GSTIN not on Clients — will be checked in the portal","✔ OK")))))</f>
        <v/>
      </c>
    </row>
    <row r="178">
      <c r="A178" s="40" t="n"/>
      <c r="B178" s="41" t="n"/>
      <c r="C178" s="41" t="n"/>
      <c r="D178" s="40" t="n"/>
      <c r="E178" s="40" t="n"/>
      <c r="F178" s="40" t="n"/>
      <c r="G178" s="39">
        <f>IF(COUNTA(A178:F178)=0,"",IF(A178="EXAMPLE","Example (skipped)",IF(OR(C178="",E178="",F178=""),"✖ Portal, User ID and Password are all needed",IF(AND(A178="",COUNTIF(Clients!$B$5:$B$1005,B178)=0),"Not on Clients — will match a portal client by name",IF(AND(C178="GST",D178&lt;&gt;"",COUNTIF(Clients!$AZ$5:$AZ$1005,UPPER(D178))=0,COUNTIF(Clients!$G$5:$G$1005,"*"&amp;UPPER(D178)&amp;"*")=0),"GSTIN not on Clients — will be checked in the portal","✔ OK")))))</f>
        <v/>
      </c>
    </row>
    <row r="179">
      <c r="A179" s="40" t="n"/>
      <c r="B179" s="41" t="n"/>
      <c r="C179" s="41" t="n"/>
      <c r="D179" s="40" t="n"/>
      <c r="E179" s="40" t="n"/>
      <c r="F179" s="40" t="n"/>
      <c r="G179" s="39">
        <f>IF(COUNTA(A179:F179)=0,"",IF(A179="EXAMPLE","Example (skipped)",IF(OR(C179="",E179="",F179=""),"✖ Portal, User ID and Password are all needed",IF(AND(A179="",COUNTIF(Clients!$B$5:$B$1005,B179)=0),"Not on Clients — will match a portal client by name",IF(AND(C179="GST",D179&lt;&gt;"",COUNTIF(Clients!$AZ$5:$AZ$1005,UPPER(D179))=0,COUNTIF(Clients!$G$5:$G$1005,"*"&amp;UPPER(D179)&amp;"*")=0),"GSTIN not on Clients — will be checked in the portal","✔ OK")))))</f>
        <v/>
      </c>
    </row>
    <row r="180">
      <c r="A180" s="40" t="n"/>
      <c r="B180" s="41" t="n"/>
      <c r="C180" s="41" t="n"/>
      <c r="D180" s="40" t="n"/>
      <c r="E180" s="40" t="n"/>
      <c r="F180" s="40" t="n"/>
      <c r="G180" s="39">
        <f>IF(COUNTA(A180:F180)=0,"",IF(A180="EXAMPLE","Example (skipped)",IF(OR(C180="",E180="",F180=""),"✖ Portal, User ID and Password are all needed",IF(AND(A180="",COUNTIF(Clients!$B$5:$B$1005,B180)=0),"Not on Clients — will match a portal client by name",IF(AND(C180="GST",D180&lt;&gt;"",COUNTIF(Clients!$AZ$5:$AZ$1005,UPPER(D180))=0,COUNTIF(Clients!$G$5:$G$1005,"*"&amp;UPPER(D180)&amp;"*")=0),"GSTIN not on Clients — will be checked in the portal","✔ OK")))))</f>
        <v/>
      </c>
    </row>
    <row r="181">
      <c r="A181" s="40" t="n"/>
      <c r="B181" s="41" t="n"/>
      <c r="C181" s="41" t="n"/>
      <c r="D181" s="40" t="n"/>
      <c r="E181" s="40" t="n"/>
      <c r="F181" s="40" t="n"/>
      <c r="G181" s="39">
        <f>IF(COUNTA(A181:F181)=0,"",IF(A181="EXAMPLE","Example (skipped)",IF(OR(C181="",E181="",F181=""),"✖ Portal, User ID and Password are all needed",IF(AND(A181="",COUNTIF(Clients!$B$5:$B$1005,B181)=0),"Not on Clients — will match a portal client by name",IF(AND(C181="GST",D181&lt;&gt;"",COUNTIF(Clients!$AZ$5:$AZ$1005,UPPER(D181))=0,COUNTIF(Clients!$G$5:$G$1005,"*"&amp;UPPER(D181)&amp;"*")=0),"GSTIN not on Clients — will be checked in the portal","✔ OK")))))</f>
        <v/>
      </c>
    </row>
    <row r="182">
      <c r="A182" s="40" t="n"/>
      <c r="B182" s="41" t="n"/>
      <c r="C182" s="41" t="n"/>
      <c r="D182" s="40" t="n"/>
      <c r="E182" s="40" t="n"/>
      <c r="F182" s="40" t="n"/>
      <c r="G182" s="39">
        <f>IF(COUNTA(A182:F182)=0,"",IF(A182="EXAMPLE","Example (skipped)",IF(OR(C182="",E182="",F182=""),"✖ Portal, User ID and Password are all needed",IF(AND(A182="",COUNTIF(Clients!$B$5:$B$1005,B182)=0),"Not on Clients — will match a portal client by name",IF(AND(C182="GST",D182&lt;&gt;"",COUNTIF(Clients!$AZ$5:$AZ$1005,UPPER(D182))=0,COUNTIF(Clients!$G$5:$G$1005,"*"&amp;UPPER(D182)&amp;"*")=0),"GSTIN not on Clients — will be checked in the portal","✔ OK")))))</f>
        <v/>
      </c>
    </row>
    <row r="183">
      <c r="A183" s="40" t="n"/>
      <c r="B183" s="41" t="n"/>
      <c r="C183" s="41" t="n"/>
      <c r="D183" s="40" t="n"/>
      <c r="E183" s="40" t="n"/>
      <c r="F183" s="40" t="n"/>
      <c r="G183" s="39">
        <f>IF(COUNTA(A183:F183)=0,"",IF(A183="EXAMPLE","Example (skipped)",IF(OR(C183="",E183="",F183=""),"✖ Portal, User ID and Password are all needed",IF(AND(A183="",COUNTIF(Clients!$B$5:$B$1005,B183)=0),"Not on Clients — will match a portal client by name",IF(AND(C183="GST",D183&lt;&gt;"",COUNTIF(Clients!$AZ$5:$AZ$1005,UPPER(D183))=0,COUNTIF(Clients!$G$5:$G$1005,"*"&amp;UPPER(D183)&amp;"*")=0),"GSTIN not on Clients — will be checked in the portal","✔ OK")))))</f>
        <v/>
      </c>
    </row>
    <row r="184">
      <c r="A184" s="40" t="n"/>
      <c r="B184" s="41" t="n"/>
      <c r="C184" s="41" t="n"/>
      <c r="D184" s="40" t="n"/>
      <c r="E184" s="40" t="n"/>
      <c r="F184" s="40" t="n"/>
      <c r="G184" s="39">
        <f>IF(COUNTA(A184:F184)=0,"",IF(A184="EXAMPLE","Example (skipped)",IF(OR(C184="",E184="",F184=""),"✖ Portal, User ID and Password are all needed",IF(AND(A184="",COUNTIF(Clients!$B$5:$B$1005,B184)=0),"Not on Clients — will match a portal client by name",IF(AND(C184="GST",D184&lt;&gt;"",COUNTIF(Clients!$AZ$5:$AZ$1005,UPPER(D184))=0,COUNTIF(Clients!$G$5:$G$1005,"*"&amp;UPPER(D184)&amp;"*")=0),"GSTIN not on Clients — will be checked in the portal","✔ OK")))))</f>
        <v/>
      </c>
    </row>
    <row r="185">
      <c r="A185" s="40" t="n"/>
      <c r="B185" s="41" t="n"/>
      <c r="C185" s="41" t="n"/>
      <c r="D185" s="40" t="n"/>
      <c r="E185" s="40" t="n"/>
      <c r="F185" s="40" t="n"/>
      <c r="G185" s="39">
        <f>IF(COUNTA(A185:F185)=0,"",IF(A185="EXAMPLE","Example (skipped)",IF(OR(C185="",E185="",F185=""),"✖ Portal, User ID and Password are all needed",IF(AND(A185="",COUNTIF(Clients!$B$5:$B$1005,B185)=0),"Not on Clients — will match a portal client by name",IF(AND(C185="GST",D185&lt;&gt;"",COUNTIF(Clients!$AZ$5:$AZ$1005,UPPER(D185))=0,COUNTIF(Clients!$G$5:$G$1005,"*"&amp;UPPER(D185)&amp;"*")=0),"GSTIN not on Clients — will be checked in the portal","✔ OK")))))</f>
        <v/>
      </c>
    </row>
    <row r="186">
      <c r="A186" s="40" t="n"/>
      <c r="B186" s="41" t="n"/>
      <c r="C186" s="41" t="n"/>
      <c r="D186" s="40" t="n"/>
      <c r="E186" s="40" t="n"/>
      <c r="F186" s="40" t="n"/>
      <c r="G186" s="39">
        <f>IF(COUNTA(A186:F186)=0,"",IF(A186="EXAMPLE","Example (skipped)",IF(OR(C186="",E186="",F186=""),"✖ Portal, User ID and Password are all needed",IF(AND(A186="",COUNTIF(Clients!$B$5:$B$1005,B186)=0),"Not on Clients — will match a portal client by name",IF(AND(C186="GST",D186&lt;&gt;"",COUNTIF(Clients!$AZ$5:$AZ$1005,UPPER(D186))=0,COUNTIF(Clients!$G$5:$G$1005,"*"&amp;UPPER(D186)&amp;"*")=0),"GSTIN not on Clients — will be checked in the portal","✔ OK")))))</f>
        <v/>
      </c>
    </row>
    <row r="187">
      <c r="A187" s="40" t="n"/>
      <c r="B187" s="41" t="n"/>
      <c r="C187" s="41" t="n"/>
      <c r="D187" s="40" t="n"/>
      <c r="E187" s="40" t="n"/>
      <c r="F187" s="40" t="n"/>
      <c r="G187" s="39">
        <f>IF(COUNTA(A187:F187)=0,"",IF(A187="EXAMPLE","Example (skipped)",IF(OR(C187="",E187="",F187=""),"✖ Portal, User ID and Password are all needed",IF(AND(A187="",COUNTIF(Clients!$B$5:$B$1005,B187)=0),"Not on Clients — will match a portal client by name",IF(AND(C187="GST",D187&lt;&gt;"",COUNTIF(Clients!$AZ$5:$AZ$1005,UPPER(D187))=0,COUNTIF(Clients!$G$5:$G$1005,"*"&amp;UPPER(D187)&amp;"*")=0),"GSTIN not on Clients — will be checked in the portal","✔ OK")))))</f>
        <v/>
      </c>
    </row>
    <row r="188">
      <c r="A188" s="40" t="n"/>
      <c r="B188" s="41" t="n"/>
      <c r="C188" s="41" t="n"/>
      <c r="D188" s="40" t="n"/>
      <c r="E188" s="40" t="n"/>
      <c r="F188" s="40" t="n"/>
      <c r="G188" s="39">
        <f>IF(COUNTA(A188:F188)=0,"",IF(A188="EXAMPLE","Example (skipped)",IF(OR(C188="",E188="",F188=""),"✖ Portal, User ID and Password are all needed",IF(AND(A188="",COUNTIF(Clients!$B$5:$B$1005,B188)=0),"Not on Clients — will match a portal client by name",IF(AND(C188="GST",D188&lt;&gt;"",COUNTIF(Clients!$AZ$5:$AZ$1005,UPPER(D188))=0,COUNTIF(Clients!$G$5:$G$1005,"*"&amp;UPPER(D188)&amp;"*")=0),"GSTIN not on Clients — will be checked in the portal","✔ OK")))))</f>
        <v/>
      </c>
    </row>
    <row r="189">
      <c r="A189" s="40" t="n"/>
      <c r="B189" s="41" t="n"/>
      <c r="C189" s="41" t="n"/>
      <c r="D189" s="40" t="n"/>
      <c r="E189" s="40" t="n"/>
      <c r="F189" s="40" t="n"/>
      <c r="G189" s="39">
        <f>IF(COUNTA(A189:F189)=0,"",IF(A189="EXAMPLE","Example (skipped)",IF(OR(C189="",E189="",F189=""),"✖ Portal, User ID and Password are all needed",IF(AND(A189="",COUNTIF(Clients!$B$5:$B$1005,B189)=0),"Not on Clients — will match a portal client by name",IF(AND(C189="GST",D189&lt;&gt;"",COUNTIF(Clients!$AZ$5:$AZ$1005,UPPER(D189))=0,COUNTIF(Clients!$G$5:$G$1005,"*"&amp;UPPER(D189)&amp;"*")=0),"GSTIN not on Clients — will be checked in the portal","✔ OK")))))</f>
        <v/>
      </c>
    </row>
    <row r="190">
      <c r="A190" s="40" t="n"/>
      <c r="B190" s="41" t="n"/>
      <c r="C190" s="41" t="n"/>
      <c r="D190" s="40" t="n"/>
      <c r="E190" s="40" t="n"/>
      <c r="F190" s="40" t="n"/>
      <c r="G190" s="39">
        <f>IF(COUNTA(A190:F190)=0,"",IF(A190="EXAMPLE","Example (skipped)",IF(OR(C190="",E190="",F190=""),"✖ Portal, User ID and Password are all needed",IF(AND(A190="",COUNTIF(Clients!$B$5:$B$1005,B190)=0),"Not on Clients — will match a portal client by name",IF(AND(C190="GST",D190&lt;&gt;"",COUNTIF(Clients!$AZ$5:$AZ$1005,UPPER(D190))=0,COUNTIF(Clients!$G$5:$G$1005,"*"&amp;UPPER(D190)&amp;"*")=0),"GSTIN not on Clients — will be checked in the portal","✔ OK")))))</f>
        <v/>
      </c>
    </row>
    <row r="191">
      <c r="A191" s="40" t="n"/>
      <c r="B191" s="41" t="n"/>
      <c r="C191" s="41" t="n"/>
      <c r="D191" s="40" t="n"/>
      <c r="E191" s="40" t="n"/>
      <c r="F191" s="40" t="n"/>
      <c r="G191" s="39">
        <f>IF(COUNTA(A191:F191)=0,"",IF(A191="EXAMPLE","Example (skipped)",IF(OR(C191="",E191="",F191=""),"✖ Portal, User ID and Password are all needed",IF(AND(A191="",COUNTIF(Clients!$B$5:$B$1005,B191)=0),"Not on Clients — will match a portal client by name",IF(AND(C191="GST",D191&lt;&gt;"",COUNTIF(Clients!$AZ$5:$AZ$1005,UPPER(D191))=0,COUNTIF(Clients!$G$5:$G$1005,"*"&amp;UPPER(D191)&amp;"*")=0),"GSTIN not on Clients — will be checked in the portal","✔ OK")))))</f>
        <v/>
      </c>
    </row>
    <row r="192">
      <c r="A192" s="40" t="n"/>
      <c r="B192" s="41" t="n"/>
      <c r="C192" s="41" t="n"/>
      <c r="D192" s="40" t="n"/>
      <c r="E192" s="40" t="n"/>
      <c r="F192" s="40" t="n"/>
      <c r="G192" s="39">
        <f>IF(COUNTA(A192:F192)=0,"",IF(A192="EXAMPLE","Example (skipped)",IF(OR(C192="",E192="",F192=""),"✖ Portal, User ID and Password are all needed",IF(AND(A192="",COUNTIF(Clients!$B$5:$B$1005,B192)=0),"Not on Clients — will match a portal client by name",IF(AND(C192="GST",D192&lt;&gt;"",COUNTIF(Clients!$AZ$5:$AZ$1005,UPPER(D192))=0,COUNTIF(Clients!$G$5:$G$1005,"*"&amp;UPPER(D192)&amp;"*")=0),"GSTIN not on Clients — will be checked in the portal","✔ OK")))))</f>
        <v/>
      </c>
    </row>
    <row r="193">
      <c r="A193" s="40" t="n"/>
      <c r="B193" s="41" t="n"/>
      <c r="C193" s="41" t="n"/>
      <c r="D193" s="40" t="n"/>
      <c r="E193" s="40" t="n"/>
      <c r="F193" s="40" t="n"/>
      <c r="G193" s="39">
        <f>IF(COUNTA(A193:F193)=0,"",IF(A193="EXAMPLE","Example (skipped)",IF(OR(C193="",E193="",F193=""),"✖ Portal, User ID and Password are all needed",IF(AND(A193="",COUNTIF(Clients!$B$5:$B$1005,B193)=0),"Not on Clients — will match a portal client by name",IF(AND(C193="GST",D193&lt;&gt;"",COUNTIF(Clients!$AZ$5:$AZ$1005,UPPER(D193))=0,COUNTIF(Clients!$G$5:$G$1005,"*"&amp;UPPER(D193)&amp;"*")=0),"GSTIN not on Clients — will be checked in the portal","✔ OK")))))</f>
        <v/>
      </c>
    </row>
    <row r="194">
      <c r="A194" s="40" t="n"/>
      <c r="B194" s="41" t="n"/>
      <c r="C194" s="41" t="n"/>
      <c r="D194" s="40" t="n"/>
      <c r="E194" s="40" t="n"/>
      <c r="F194" s="40" t="n"/>
      <c r="G194" s="39">
        <f>IF(COUNTA(A194:F194)=0,"",IF(A194="EXAMPLE","Example (skipped)",IF(OR(C194="",E194="",F194=""),"✖ Portal, User ID and Password are all needed",IF(AND(A194="",COUNTIF(Clients!$B$5:$B$1005,B194)=0),"Not on Clients — will match a portal client by name",IF(AND(C194="GST",D194&lt;&gt;"",COUNTIF(Clients!$AZ$5:$AZ$1005,UPPER(D194))=0,COUNTIF(Clients!$G$5:$G$1005,"*"&amp;UPPER(D194)&amp;"*")=0),"GSTIN not on Clients — will be checked in the portal","✔ OK")))))</f>
        <v/>
      </c>
    </row>
    <row r="195">
      <c r="A195" s="40" t="n"/>
      <c r="B195" s="41" t="n"/>
      <c r="C195" s="41" t="n"/>
      <c r="D195" s="40" t="n"/>
      <c r="E195" s="40" t="n"/>
      <c r="F195" s="40" t="n"/>
      <c r="G195" s="39">
        <f>IF(COUNTA(A195:F195)=0,"",IF(A195="EXAMPLE","Example (skipped)",IF(OR(C195="",E195="",F195=""),"✖ Portal, User ID and Password are all needed",IF(AND(A195="",COUNTIF(Clients!$B$5:$B$1005,B195)=0),"Not on Clients — will match a portal client by name",IF(AND(C195="GST",D195&lt;&gt;"",COUNTIF(Clients!$AZ$5:$AZ$1005,UPPER(D195))=0,COUNTIF(Clients!$G$5:$G$1005,"*"&amp;UPPER(D195)&amp;"*")=0),"GSTIN not on Clients — will be checked in the portal","✔ OK")))))</f>
        <v/>
      </c>
    </row>
    <row r="196">
      <c r="A196" s="40" t="n"/>
      <c r="B196" s="41" t="n"/>
      <c r="C196" s="41" t="n"/>
      <c r="D196" s="40" t="n"/>
      <c r="E196" s="40" t="n"/>
      <c r="F196" s="40" t="n"/>
      <c r="G196" s="39">
        <f>IF(COUNTA(A196:F196)=0,"",IF(A196="EXAMPLE","Example (skipped)",IF(OR(C196="",E196="",F196=""),"✖ Portal, User ID and Password are all needed",IF(AND(A196="",COUNTIF(Clients!$B$5:$B$1005,B196)=0),"Not on Clients — will match a portal client by name",IF(AND(C196="GST",D196&lt;&gt;"",COUNTIF(Clients!$AZ$5:$AZ$1005,UPPER(D196))=0,COUNTIF(Clients!$G$5:$G$1005,"*"&amp;UPPER(D196)&amp;"*")=0),"GSTIN not on Clients — will be checked in the portal","✔ OK")))))</f>
        <v/>
      </c>
    </row>
    <row r="197">
      <c r="A197" s="40" t="n"/>
      <c r="B197" s="41" t="n"/>
      <c r="C197" s="41" t="n"/>
      <c r="D197" s="40" t="n"/>
      <c r="E197" s="40" t="n"/>
      <c r="F197" s="40" t="n"/>
      <c r="G197" s="39">
        <f>IF(COUNTA(A197:F197)=0,"",IF(A197="EXAMPLE","Example (skipped)",IF(OR(C197="",E197="",F197=""),"✖ Portal, User ID and Password are all needed",IF(AND(A197="",COUNTIF(Clients!$B$5:$B$1005,B197)=0),"Not on Clients — will match a portal client by name",IF(AND(C197="GST",D197&lt;&gt;"",COUNTIF(Clients!$AZ$5:$AZ$1005,UPPER(D197))=0,COUNTIF(Clients!$G$5:$G$1005,"*"&amp;UPPER(D197)&amp;"*")=0),"GSTIN not on Clients — will be checked in the portal","✔ OK")))))</f>
        <v/>
      </c>
    </row>
    <row r="198">
      <c r="A198" s="40" t="n"/>
      <c r="B198" s="41" t="n"/>
      <c r="C198" s="41" t="n"/>
      <c r="D198" s="40" t="n"/>
      <c r="E198" s="40" t="n"/>
      <c r="F198" s="40" t="n"/>
      <c r="G198" s="39">
        <f>IF(COUNTA(A198:F198)=0,"",IF(A198="EXAMPLE","Example (skipped)",IF(OR(C198="",E198="",F198=""),"✖ Portal, User ID and Password are all needed",IF(AND(A198="",COUNTIF(Clients!$B$5:$B$1005,B198)=0),"Not on Clients — will match a portal client by name",IF(AND(C198="GST",D198&lt;&gt;"",COUNTIF(Clients!$AZ$5:$AZ$1005,UPPER(D198))=0,COUNTIF(Clients!$G$5:$G$1005,"*"&amp;UPPER(D198)&amp;"*")=0),"GSTIN not on Clients — will be checked in the portal","✔ OK")))))</f>
        <v/>
      </c>
    </row>
    <row r="199">
      <c r="A199" s="40" t="n"/>
      <c r="B199" s="41" t="n"/>
      <c r="C199" s="41" t="n"/>
      <c r="D199" s="40" t="n"/>
      <c r="E199" s="40" t="n"/>
      <c r="F199" s="40" t="n"/>
      <c r="G199" s="39">
        <f>IF(COUNTA(A199:F199)=0,"",IF(A199="EXAMPLE","Example (skipped)",IF(OR(C199="",E199="",F199=""),"✖ Portal, User ID and Password are all needed",IF(AND(A199="",COUNTIF(Clients!$B$5:$B$1005,B199)=0),"Not on Clients — will match a portal client by name",IF(AND(C199="GST",D199&lt;&gt;"",COUNTIF(Clients!$AZ$5:$AZ$1005,UPPER(D199))=0,COUNTIF(Clients!$G$5:$G$1005,"*"&amp;UPPER(D199)&amp;"*")=0),"GSTIN not on Clients — will be checked in the portal","✔ OK")))))</f>
        <v/>
      </c>
    </row>
    <row r="200">
      <c r="A200" s="40" t="n"/>
      <c r="B200" s="41" t="n"/>
      <c r="C200" s="41" t="n"/>
      <c r="D200" s="40" t="n"/>
      <c r="E200" s="40" t="n"/>
      <c r="F200" s="40" t="n"/>
      <c r="G200" s="39">
        <f>IF(COUNTA(A200:F200)=0,"",IF(A200="EXAMPLE","Example (skipped)",IF(OR(C200="",E200="",F200=""),"✖ Portal, User ID and Password are all needed",IF(AND(A200="",COUNTIF(Clients!$B$5:$B$1005,B200)=0),"Not on Clients — will match a portal client by name",IF(AND(C200="GST",D200&lt;&gt;"",COUNTIF(Clients!$AZ$5:$AZ$1005,UPPER(D200))=0,COUNTIF(Clients!$G$5:$G$1005,"*"&amp;UPPER(D200)&amp;"*")=0),"GSTIN not on Clients — will be checked in the portal","✔ OK")))))</f>
        <v/>
      </c>
    </row>
    <row r="201">
      <c r="A201" s="40" t="n"/>
      <c r="B201" s="41" t="n"/>
      <c r="C201" s="41" t="n"/>
      <c r="D201" s="40" t="n"/>
      <c r="E201" s="40" t="n"/>
      <c r="F201" s="40" t="n"/>
      <c r="G201" s="39">
        <f>IF(COUNTA(A201:F201)=0,"",IF(A201="EXAMPLE","Example (skipped)",IF(OR(C201="",E201="",F201=""),"✖ Portal, User ID and Password are all needed",IF(AND(A201="",COUNTIF(Clients!$B$5:$B$1005,B201)=0),"Not on Clients — will match a portal client by name",IF(AND(C201="GST",D201&lt;&gt;"",COUNTIF(Clients!$AZ$5:$AZ$1005,UPPER(D201))=0,COUNTIF(Clients!$G$5:$G$1005,"*"&amp;UPPER(D201)&amp;"*")=0),"GSTIN not on Clients — will be checked in the portal","✔ OK")))))</f>
        <v/>
      </c>
    </row>
    <row r="202">
      <c r="A202" s="40" t="n"/>
      <c r="B202" s="41" t="n"/>
      <c r="C202" s="41" t="n"/>
      <c r="D202" s="40" t="n"/>
      <c r="E202" s="40" t="n"/>
      <c r="F202" s="40" t="n"/>
      <c r="G202" s="39">
        <f>IF(COUNTA(A202:F202)=0,"",IF(A202="EXAMPLE","Example (skipped)",IF(OR(C202="",E202="",F202=""),"✖ Portal, User ID and Password are all needed",IF(AND(A202="",COUNTIF(Clients!$B$5:$B$1005,B202)=0),"Not on Clients — will match a portal client by name",IF(AND(C202="GST",D202&lt;&gt;"",COUNTIF(Clients!$AZ$5:$AZ$1005,UPPER(D202))=0,COUNTIF(Clients!$G$5:$G$1005,"*"&amp;UPPER(D202)&amp;"*")=0),"GSTIN not on Clients — will be checked in the portal","✔ OK")))))</f>
        <v/>
      </c>
    </row>
    <row r="203">
      <c r="A203" s="40" t="n"/>
      <c r="B203" s="41" t="n"/>
      <c r="C203" s="41" t="n"/>
      <c r="D203" s="40" t="n"/>
      <c r="E203" s="40" t="n"/>
      <c r="F203" s="40" t="n"/>
      <c r="G203" s="39">
        <f>IF(COUNTA(A203:F203)=0,"",IF(A203="EXAMPLE","Example (skipped)",IF(OR(C203="",E203="",F203=""),"✖ Portal, User ID and Password are all needed",IF(AND(A203="",COUNTIF(Clients!$B$5:$B$1005,B203)=0),"Not on Clients — will match a portal client by name",IF(AND(C203="GST",D203&lt;&gt;"",COUNTIF(Clients!$AZ$5:$AZ$1005,UPPER(D203))=0,COUNTIF(Clients!$G$5:$G$1005,"*"&amp;UPPER(D203)&amp;"*")=0),"GSTIN not on Clients — will be checked in the portal","✔ OK")))))</f>
        <v/>
      </c>
    </row>
    <row r="204">
      <c r="A204" s="40" t="n"/>
      <c r="B204" s="41" t="n"/>
      <c r="C204" s="41" t="n"/>
      <c r="D204" s="40" t="n"/>
      <c r="E204" s="40" t="n"/>
      <c r="F204" s="40" t="n"/>
      <c r="G204" s="39">
        <f>IF(COUNTA(A204:F204)=0,"",IF(A204="EXAMPLE","Example (skipped)",IF(OR(C204="",E204="",F204=""),"✖ Portal, User ID and Password are all needed",IF(AND(A204="",COUNTIF(Clients!$B$5:$B$1005,B204)=0),"Not on Clients — will match a portal client by name",IF(AND(C204="GST",D204&lt;&gt;"",COUNTIF(Clients!$AZ$5:$AZ$1005,UPPER(D204))=0,COUNTIF(Clients!$G$5:$G$1005,"*"&amp;UPPER(D204)&amp;"*")=0),"GSTIN not on Clients — will be checked in the portal","✔ OK")))))</f>
        <v/>
      </c>
    </row>
    <row r="205">
      <c r="A205" s="40" t="n"/>
      <c r="B205" s="41" t="n"/>
      <c r="C205" s="41" t="n"/>
      <c r="D205" s="40" t="n"/>
      <c r="E205" s="40" t="n"/>
      <c r="F205" s="40" t="n"/>
      <c r="G205" s="39">
        <f>IF(COUNTA(A205:F205)=0,"",IF(A205="EXAMPLE","Example (skipped)",IF(OR(C205="",E205="",F205=""),"✖ Portal, User ID and Password are all needed",IF(AND(A205="",COUNTIF(Clients!$B$5:$B$1005,B205)=0),"Not on Clients — will match a portal client by name",IF(AND(C205="GST",D205&lt;&gt;"",COUNTIF(Clients!$AZ$5:$AZ$1005,UPPER(D205))=0,COUNTIF(Clients!$G$5:$G$1005,"*"&amp;UPPER(D205)&amp;"*")=0),"GSTIN not on Clients — will be checked in the portal","✔ OK")))))</f>
        <v/>
      </c>
    </row>
    <row r="206">
      <c r="A206" s="40" t="n"/>
      <c r="B206" s="41" t="n"/>
      <c r="C206" s="41" t="n"/>
      <c r="D206" s="40" t="n"/>
      <c r="E206" s="40" t="n"/>
      <c r="F206" s="40" t="n"/>
      <c r="G206" s="39">
        <f>IF(COUNTA(A206:F206)=0,"",IF(A206="EXAMPLE","Example (skipped)",IF(OR(C206="",E206="",F206=""),"✖ Portal, User ID and Password are all needed",IF(AND(A206="",COUNTIF(Clients!$B$5:$B$1005,B206)=0),"Not on Clients — will match a portal client by name",IF(AND(C206="GST",D206&lt;&gt;"",COUNTIF(Clients!$AZ$5:$AZ$1005,UPPER(D206))=0,COUNTIF(Clients!$G$5:$G$1005,"*"&amp;UPPER(D206)&amp;"*")=0),"GSTIN not on Clients — will be checked in the portal","✔ OK")))))</f>
        <v/>
      </c>
    </row>
    <row r="207">
      <c r="A207" s="40" t="n"/>
      <c r="B207" s="41" t="n"/>
      <c r="C207" s="41" t="n"/>
      <c r="D207" s="40" t="n"/>
      <c r="E207" s="40" t="n"/>
      <c r="F207" s="40" t="n"/>
      <c r="G207" s="39">
        <f>IF(COUNTA(A207:F207)=0,"",IF(A207="EXAMPLE","Example (skipped)",IF(OR(C207="",E207="",F207=""),"✖ Portal, User ID and Password are all needed",IF(AND(A207="",COUNTIF(Clients!$B$5:$B$1005,B207)=0),"Not on Clients — will match a portal client by name",IF(AND(C207="GST",D207&lt;&gt;"",COUNTIF(Clients!$AZ$5:$AZ$1005,UPPER(D207))=0,COUNTIF(Clients!$G$5:$G$1005,"*"&amp;UPPER(D207)&amp;"*")=0),"GSTIN not on Clients — will be checked in the portal","✔ OK")))))</f>
        <v/>
      </c>
    </row>
    <row r="208">
      <c r="A208" s="40" t="n"/>
      <c r="B208" s="41" t="n"/>
      <c r="C208" s="41" t="n"/>
      <c r="D208" s="40" t="n"/>
      <c r="E208" s="40" t="n"/>
      <c r="F208" s="40" t="n"/>
      <c r="G208" s="39">
        <f>IF(COUNTA(A208:F208)=0,"",IF(A208="EXAMPLE","Example (skipped)",IF(OR(C208="",E208="",F208=""),"✖ Portal, User ID and Password are all needed",IF(AND(A208="",COUNTIF(Clients!$B$5:$B$1005,B208)=0),"Not on Clients — will match a portal client by name",IF(AND(C208="GST",D208&lt;&gt;"",COUNTIF(Clients!$AZ$5:$AZ$1005,UPPER(D208))=0,COUNTIF(Clients!$G$5:$G$1005,"*"&amp;UPPER(D208)&amp;"*")=0),"GSTIN not on Clients — will be checked in the portal","✔ OK")))))</f>
        <v/>
      </c>
    </row>
    <row r="209">
      <c r="A209" s="40" t="n"/>
      <c r="B209" s="41" t="n"/>
      <c r="C209" s="41" t="n"/>
      <c r="D209" s="40" t="n"/>
      <c r="E209" s="40" t="n"/>
      <c r="F209" s="40" t="n"/>
      <c r="G209" s="39">
        <f>IF(COUNTA(A209:F209)=0,"",IF(A209="EXAMPLE","Example (skipped)",IF(OR(C209="",E209="",F209=""),"✖ Portal, User ID and Password are all needed",IF(AND(A209="",COUNTIF(Clients!$B$5:$B$1005,B209)=0),"Not on Clients — will match a portal client by name",IF(AND(C209="GST",D209&lt;&gt;"",COUNTIF(Clients!$AZ$5:$AZ$1005,UPPER(D209))=0,COUNTIF(Clients!$G$5:$G$1005,"*"&amp;UPPER(D209)&amp;"*")=0),"GSTIN not on Clients — will be checked in the portal","✔ OK")))))</f>
        <v/>
      </c>
    </row>
    <row r="210">
      <c r="A210" s="40" t="n"/>
      <c r="B210" s="41" t="n"/>
      <c r="C210" s="41" t="n"/>
      <c r="D210" s="40" t="n"/>
      <c r="E210" s="40" t="n"/>
      <c r="F210" s="40" t="n"/>
      <c r="G210" s="39">
        <f>IF(COUNTA(A210:F210)=0,"",IF(A210="EXAMPLE","Example (skipped)",IF(OR(C210="",E210="",F210=""),"✖ Portal, User ID and Password are all needed",IF(AND(A210="",COUNTIF(Clients!$B$5:$B$1005,B210)=0),"Not on Clients — will match a portal client by name",IF(AND(C210="GST",D210&lt;&gt;"",COUNTIF(Clients!$AZ$5:$AZ$1005,UPPER(D210))=0,COUNTIF(Clients!$G$5:$G$1005,"*"&amp;UPPER(D210)&amp;"*")=0),"GSTIN not on Clients — will be checked in the portal","✔ OK")))))</f>
        <v/>
      </c>
    </row>
    <row r="211">
      <c r="A211" s="40" t="n"/>
      <c r="B211" s="41" t="n"/>
      <c r="C211" s="41" t="n"/>
      <c r="D211" s="40" t="n"/>
      <c r="E211" s="40" t="n"/>
      <c r="F211" s="40" t="n"/>
      <c r="G211" s="39">
        <f>IF(COUNTA(A211:F211)=0,"",IF(A211="EXAMPLE","Example (skipped)",IF(OR(C211="",E211="",F211=""),"✖ Portal, User ID and Password are all needed",IF(AND(A211="",COUNTIF(Clients!$B$5:$B$1005,B211)=0),"Not on Clients — will match a portal client by name",IF(AND(C211="GST",D211&lt;&gt;"",COUNTIF(Clients!$AZ$5:$AZ$1005,UPPER(D211))=0,COUNTIF(Clients!$G$5:$G$1005,"*"&amp;UPPER(D211)&amp;"*")=0),"GSTIN not on Clients — will be checked in the portal","✔ OK")))))</f>
        <v/>
      </c>
    </row>
    <row r="212">
      <c r="A212" s="40" t="n"/>
      <c r="B212" s="41" t="n"/>
      <c r="C212" s="41" t="n"/>
      <c r="D212" s="40" t="n"/>
      <c r="E212" s="40" t="n"/>
      <c r="F212" s="40" t="n"/>
      <c r="G212" s="39">
        <f>IF(COUNTA(A212:F212)=0,"",IF(A212="EXAMPLE","Example (skipped)",IF(OR(C212="",E212="",F212=""),"✖ Portal, User ID and Password are all needed",IF(AND(A212="",COUNTIF(Clients!$B$5:$B$1005,B212)=0),"Not on Clients — will match a portal client by name",IF(AND(C212="GST",D212&lt;&gt;"",COUNTIF(Clients!$AZ$5:$AZ$1005,UPPER(D212))=0,COUNTIF(Clients!$G$5:$G$1005,"*"&amp;UPPER(D212)&amp;"*")=0),"GSTIN not on Clients — will be checked in the portal","✔ OK")))))</f>
        <v/>
      </c>
    </row>
    <row r="213">
      <c r="A213" s="40" t="n"/>
      <c r="B213" s="41" t="n"/>
      <c r="C213" s="41" t="n"/>
      <c r="D213" s="40" t="n"/>
      <c r="E213" s="40" t="n"/>
      <c r="F213" s="40" t="n"/>
      <c r="G213" s="39">
        <f>IF(COUNTA(A213:F213)=0,"",IF(A213="EXAMPLE","Example (skipped)",IF(OR(C213="",E213="",F213=""),"✖ Portal, User ID and Password are all needed",IF(AND(A213="",COUNTIF(Clients!$B$5:$B$1005,B213)=0),"Not on Clients — will match a portal client by name",IF(AND(C213="GST",D213&lt;&gt;"",COUNTIF(Clients!$AZ$5:$AZ$1005,UPPER(D213))=0,COUNTIF(Clients!$G$5:$G$1005,"*"&amp;UPPER(D213)&amp;"*")=0),"GSTIN not on Clients — will be checked in the portal","✔ OK")))))</f>
        <v/>
      </c>
    </row>
    <row r="214">
      <c r="A214" s="40" t="n"/>
      <c r="B214" s="41" t="n"/>
      <c r="C214" s="41" t="n"/>
      <c r="D214" s="40" t="n"/>
      <c r="E214" s="40" t="n"/>
      <c r="F214" s="40" t="n"/>
      <c r="G214" s="39">
        <f>IF(COUNTA(A214:F214)=0,"",IF(A214="EXAMPLE","Example (skipped)",IF(OR(C214="",E214="",F214=""),"✖ Portal, User ID and Password are all needed",IF(AND(A214="",COUNTIF(Clients!$B$5:$B$1005,B214)=0),"Not on Clients — will match a portal client by name",IF(AND(C214="GST",D214&lt;&gt;"",COUNTIF(Clients!$AZ$5:$AZ$1005,UPPER(D214))=0,COUNTIF(Clients!$G$5:$G$1005,"*"&amp;UPPER(D214)&amp;"*")=0),"GSTIN not on Clients — will be checked in the portal","✔ OK")))))</f>
        <v/>
      </c>
    </row>
    <row r="215">
      <c r="A215" s="40" t="n"/>
      <c r="B215" s="41" t="n"/>
      <c r="C215" s="41" t="n"/>
      <c r="D215" s="40" t="n"/>
      <c r="E215" s="40" t="n"/>
      <c r="F215" s="40" t="n"/>
      <c r="G215" s="39">
        <f>IF(COUNTA(A215:F215)=0,"",IF(A215="EXAMPLE","Example (skipped)",IF(OR(C215="",E215="",F215=""),"✖ Portal, User ID and Password are all needed",IF(AND(A215="",COUNTIF(Clients!$B$5:$B$1005,B215)=0),"Not on Clients — will match a portal client by name",IF(AND(C215="GST",D215&lt;&gt;"",COUNTIF(Clients!$AZ$5:$AZ$1005,UPPER(D215))=0,COUNTIF(Clients!$G$5:$G$1005,"*"&amp;UPPER(D215)&amp;"*")=0),"GSTIN not on Clients — will be checked in the portal","✔ OK")))))</f>
        <v/>
      </c>
    </row>
    <row r="216">
      <c r="A216" s="40" t="n"/>
      <c r="B216" s="41" t="n"/>
      <c r="C216" s="41" t="n"/>
      <c r="D216" s="40" t="n"/>
      <c r="E216" s="40" t="n"/>
      <c r="F216" s="40" t="n"/>
      <c r="G216" s="39">
        <f>IF(COUNTA(A216:F216)=0,"",IF(A216="EXAMPLE","Example (skipped)",IF(OR(C216="",E216="",F216=""),"✖ Portal, User ID and Password are all needed",IF(AND(A216="",COUNTIF(Clients!$B$5:$B$1005,B216)=0),"Not on Clients — will match a portal client by name",IF(AND(C216="GST",D216&lt;&gt;"",COUNTIF(Clients!$AZ$5:$AZ$1005,UPPER(D216))=0,COUNTIF(Clients!$G$5:$G$1005,"*"&amp;UPPER(D216)&amp;"*")=0),"GSTIN not on Clients — will be checked in the portal","✔ OK")))))</f>
        <v/>
      </c>
    </row>
    <row r="217">
      <c r="A217" s="40" t="n"/>
      <c r="B217" s="41" t="n"/>
      <c r="C217" s="41" t="n"/>
      <c r="D217" s="40" t="n"/>
      <c r="E217" s="40" t="n"/>
      <c r="F217" s="40" t="n"/>
      <c r="G217" s="39">
        <f>IF(COUNTA(A217:F217)=0,"",IF(A217="EXAMPLE","Example (skipped)",IF(OR(C217="",E217="",F217=""),"✖ Portal, User ID and Password are all needed",IF(AND(A217="",COUNTIF(Clients!$B$5:$B$1005,B217)=0),"Not on Clients — will match a portal client by name",IF(AND(C217="GST",D217&lt;&gt;"",COUNTIF(Clients!$AZ$5:$AZ$1005,UPPER(D217))=0,COUNTIF(Clients!$G$5:$G$1005,"*"&amp;UPPER(D217)&amp;"*")=0),"GSTIN not on Clients — will be checked in the portal","✔ OK")))))</f>
        <v/>
      </c>
    </row>
    <row r="218">
      <c r="A218" s="40" t="n"/>
      <c r="B218" s="41" t="n"/>
      <c r="C218" s="41" t="n"/>
      <c r="D218" s="40" t="n"/>
      <c r="E218" s="40" t="n"/>
      <c r="F218" s="40" t="n"/>
      <c r="G218" s="39">
        <f>IF(COUNTA(A218:F218)=0,"",IF(A218="EXAMPLE","Example (skipped)",IF(OR(C218="",E218="",F218=""),"✖ Portal, User ID and Password are all needed",IF(AND(A218="",COUNTIF(Clients!$B$5:$B$1005,B218)=0),"Not on Clients — will match a portal client by name",IF(AND(C218="GST",D218&lt;&gt;"",COUNTIF(Clients!$AZ$5:$AZ$1005,UPPER(D218))=0,COUNTIF(Clients!$G$5:$G$1005,"*"&amp;UPPER(D218)&amp;"*")=0),"GSTIN not on Clients — will be checked in the portal","✔ OK")))))</f>
        <v/>
      </c>
    </row>
    <row r="219">
      <c r="A219" s="40" t="n"/>
      <c r="B219" s="41" t="n"/>
      <c r="C219" s="41" t="n"/>
      <c r="D219" s="40" t="n"/>
      <c r="E219" s="40" t="n"/>
      <c r="F219" s="40" t="n"/>
      <c r="G219" s="39">
        <f>IF(COUNTA(A219:F219)=0,"",IF(A219="EXAMPLE","Example (skipped)",IF(OR(C219="",E219="",F219=""),"✖ Portal, User ID and Password are all needed",IF(AND(A219="",COUNTIF(Clients!$B$5:$B$1005,B219)=0),"Not on Clients — will match a portal client by name",IF(AND(C219="GST",D219&lt;&gt;"",COUNTIF(Clients!$AZ$5:$AZ$1005,UPPER(D219))=0,COUNTIF(Clients!$G$5:$G$1005,"*"&amp;UPPER(D219)&amp;"*")=0),"GSTIN not on Clients — will be checked in the portal","✔ OK")))))</f>
        <v/>
      </c>
    </row>
    <row r="220">
      <c r="A220" s="40" t="n"/>
      <c r="B220" s="41" t="n"/>
      <c r="C220" s="41" t="n"/>
      <c r="D220" s="40" t="n"/>
      <c r="E220" s="40" t="n"/>
      <c r="F220" s="40" t="n"/>
      <c r="G220" s="39">
        <f>IF(COUNTA(A220:F220)=0,"",IF(A220="EXAMPLE","Example (skipped)",IF(OR(C220="",E220="",F220=""),"✖ Portal, User ID and Password are all needed",IF(AND(A220="",COUNTIF(Clients!$B$5:$B$1005,B220)=0),"Not on Clients — will match a portal client by name",IF(AND(C220="GST",D220&lt;&gt;"",COUNTIF(Clients!$AZ$5:$AZ$1005,UPPER(D220))=0,COUNTIF(Clients!$G$5:$G$1005,"*"&amp;UPPER(D220)&amp;"*")=0),"GSTIN not on Clients — will be checked in the portal","✔ OK")))))</f>
        <v/>
      </c>
    </row>
    <row r="221">
      <c r="A221" s="40" t="n"/>
      <c r="B221" s="41" t="n"/>
      <c r="C221" s="41" t="n"/>
      <c r="D221" s="40" t="n"/>
      <c r="E221" s="40" t="n"/>
      <c r="F221" s="40" t="n"/>
      <c r="G221" s="39">
        <f>IF(COUNTA(A221:F221)=0,"",IF(A221="EXAMPLE","Example (skipped)",IF(OR(C221="",E221="",F221=""),"✖ Portal, User ID and Password are all needed",IF(AND(A221="",COUNTIF(Clients!$B$5:$B$1005,B221)=0),"Not on Clients — will match a portal client by name",IF(AND(C221="GST",D221&lt;&gt;"",COUNTIF(Clients!$AZ$5:$AZ$1005,UPPER(D221))=0,COUNTIF(Clients!$G$5:$G$1005,"*"&amp;UPPER(D221)&amp;"*")=0),"GSTIN not on Clients — will be checked in the portal","✔ OK")))))</f>
        <v/>
      </c>
    </row>
    <row r="222">
      <c r="A222" s="40" t="n"/>
      <c r="B222" s="41" t="n"/>
      <c r="C222" s="41" t="n"/>
      <c r="D222" s="40" t="n"/>
      <c r="E222" s="40" t="n"/>
      <c r="F222" s="40" t="n"/>
      <c r="G222" s="39">
        <f>IF(COUNTA(A222:F222)=0,"",IF(A222="EXAMPLE","Example (skipped)",IF(OR(C222="",E222="",F222=""),"✖ Portal, User ID and Password are all needed",IF(AND(A222="",COUNTIF(Clients!$B$5:$B$1005,B222)=0),"Not on Clients — will match a portal client by name",IF(AND(C222="GST",D222&lt;&gt;"",COUNTIF(Clients!$AZ$5:$AZ$1005,UPPER(D222))=0,COUNTIF(Clients!$G$5:$G$1005,"*"&amp;UPPER(D222)&amp;"*")=0),"GSTIN not on Clients — will be checked in the portal","✔ OK")))))</f>
        <v/>
      </c>
    </row>
    <row r="223">
      <c r="A223" s="40" t="n"/>
      <c r="B223" s="41" t="n"/>
      <c r="C223" s="41" t="n"/>
      <c r="D223" s="40" t="n"/>
      <c r="E223" s="40" t="n"/>
      <c r="F223" s="40" t="n"/>
      <c r="G223" s="39">
        <f>IF(COUNTA(A223:F223)=0,"",IF(A223="EXAMPLE","Example (skipped)",IF(OR(C223="",E223="",F223=""),"✖ Portal, User ID and Password are all needed",IF(AND(A223="",COUNTIF(Clients!$B$5:$B$1005,B223)=0),"Not on Clients — will match a portal client by name",IF(AND(C223="GST",D223&lt;&gt;"",COUNTIF(Clients!$AZ$5:$AZ$1005,UPPER(D223))=0,COUNTIF(Clients!$G$5:$G$1005,"*"&amp;UPPER(D223)&amp;"*")=0),"GSTIN not on Clients — will be checked in the portal","✔ OK")))))</f>
        <v/>
      </c>
    </row>
    <row r="224">
      <c r="A224" s="40" t="n"/>
      <c r="B224" s="41" t="n"/>
      <c r="C224" s="41" t="n"/>
      <c r="D224" s="40" t="n"/>
      <c r="E224" s="40" t="n"/>
      <c r="F224" s="40" t="n"/>
      <c r="G224" s="39">
        <f>IF(COUNTA(A224:F224)=0,"",IF(A224="EXAMPLE","Example (skipped)",IF(OR(C224="",E224="",F224=""),"✖ Portal, User ID and Password are all needed",IF(AND(A224="",COUNTIF(Clients!$B$5:$B$1005,B224)=0),"Not on Clients — will match a portal client by name",IF(AND(C224="GST",D224&lt;&gt;"",COUNTIF(Clients!$AZ$5:$AZ$1005,UPPER(D224))=0,COUNTIF(Clients!$G$5:$G$1005,"*"&amp;UPPER(D224)&amp;"*")=0),"GSTIN not on Clients — will be checked in the portal","✔ OK")))))</f>
        <v/>
      </c>
    </row>
    <row r="225">
      <c r="A225" s="40" t="n"/>
      <c r="B225" s="41" t="n"/>
      <c r="C225" s="41" t="n"/>
      <c r="D225" s="40" t="n"/>
      <c r="E225" s="40" t="n"/>
      <c r="F225" s="40" t="n"/>
      <c r="G225" s="39">
        <f>IF(COUNTA(A225:F225)=0,"",IF(A225="EXAMPLE","Example (skipped)",IF(OR(C225="",E225="",F225=""),"✖ Portal, User ID and Password are all needed",IF(AND(A225="",COUNTIF(Clients!$B$5:$B$1005,B225)=0),"Not on Clients — will match a portal client by name",IF(AND(C225="GST",D225&lt;&gt;"",COUNTIF(Clients!$AZ$5:$AZ$1005,UPPER(D225))=0,COUNTIF(Clients!$G$5:$G$1005,"*"&amp;UPPER(D225)&amp;"*")=0),"GSTIN not on Clients — will be checked in the portal","✔ OK")))))</f>
        <v/>
      </c>
    </row>
    <row r="226">
      <c r="A226" s="40" t="n"/>
      <c r="B226" s="41" t="n"/>
      <c r="C226" s="41" t="n"/>
      <c r="D226" s="40" t="n"/>
      <c r="E226" s="40" t="n"/>
      <c r="F226" s="40" t="n"/>
      <c r="G226" s="39">
        <f>IF(COUNTA(A226:F226)=0,"",IF(A226="EXAMPLE","Example (skipped)",IF(OR(C226="",E226="",F226=""),"✖ Portal, User ID and Password are all needed",IF(AND(A226="",COUNTIF(Clients!$B$5:$B$1005,B226)=0),"Not on Clients — will match a portal client by name",IF(AND(C226="GST",D226&lt;&gt;"",COUNTIF(Clients!$AZ$5:$AZ$1005,UPPER(D226))=0,COUNTIF(Clients!$G$5:$G$1005,"*"&amp;UPPER(D226)&amp;"*")=0),"GSTIN not on Clients — will be checked in the portal","✔ OK")))))</f>
        <v/>
      </c>
    </row>
    <row r="227">
      <c r="A227" s="40" t="n"/>
      <c r="B227" s="41" t="n"/>
      <c r="C227" s="41" t="n"/>
      <c r="D227" s="40" t="n"/>
      <c r="E227" s="40" t="n"/>
      <c r="F227" s="40" t="n"/>
      <c r="G227" s="39">
        <f>IF(COUNTA(A227:F227)=0,"",IF(A227="EXAMPLE","Example (skipped)",IF(OR(C227="",E227="",F227=""),"✖ Portal, User ID and Password are all needed",IF(AND(A227="",COUNTIF(Clients!$B$5:$B$1005,B227)=0),"Not on Clients — will match a portal client by name",IF(AND(C227="GST",D227&lt;&gt;"",COUNTIF(Clients!$AZ$5:$AZ$1005,UPPER(D227))=0,COUNTIF(Clients!$G$5:$G$1005,"*"&amp;UPPER(D227)&amp;"*")=0),"GSTIN not on Clients — will be checked in the portal","✔ OK")))))</f>
        <v/>
      </c>
    </row>
    <row r="228">
      <c r="A228" s="40" t="n"/>
      <c r="B228" s="41" t="n"/>
      <c r="C228" s="41" t="n"/>
      <c r="D228" s="40" t="n"/>
      <c r="E228" s="40" t="n"/>
      <c r="F228" s="40" t="n"/>
      <c r="G228" s="39">
        <f>IF(COUNTA(A228:F228)=0,"",IF(A228="EXAMPLE","Example (skipped)",IF(OR(C228="",E228="",F228=""),"✖ Portal, User ID and Password are all needed",IF(AND(A228="",COUNTIF(Clients!$B$5:$B$1005,B228)=0),"Not on Clients — will match a portal client by name",IF(AND(C228="GST",D228&lt;&gt;"",COUNTIF(Clients!$AZ$5:$AZ$1005,UPPER(D228))=0,COUNTIF(Clients!$G$5:$G$1005,"*"&amp;UPPER(D228)&amp;"*")=0),"GSTIN not on Clients — will be checked in the portal","✔ OK")))))</f>
        <v/>
      </c>
    </row>
    <row r="229">
      <c r="A229" s="40" t="n"/>
      <c r="B229" s="41" t="n"/>
      <c r="C229" s="41" t="n"/>
      <c r="D229" s="40" t="n"/>
      <c r="E229" s="40" t="n"/>
      <c r="F229" s="40" t="n"/>
      <c r="G229" s="39">
        <f>IF(COUNTA(A229:F229)=0,"",IF(A229="EXAMPLE","Example (skipped)",IF(OR(C229="",E229="",F229=""),"✖ Portal, User ID and Password are all needed",IF(AND(A229="",COUNTIF(Clients!$B$5:$B$1005,B229)=0),"Not on Clients — will match a portal client by name",IF(AND(C229="GST",D229&lt;&gt;"",COUNTIF(Clients!$AZ$5:$AZ$1005,UPPER(D229))=0,COUNTIF(Clients!$G$5:$G$1005,"*"&amp;UPPER(D229)&amp;"*")=0),"GSTIN not on Clients — will be checked in the portal","✔ OK")))))</f>
        <v/>
      </c>
    </row>
    <row r="230">
      <c r="A230" s="40" t="n"/>
      <c r="B230" s="41" t="n"/>
      <c r="C230" s="41" t="n"/>
      <c r="D230" s="40" t="n"/>
      <c r="E230" s="40" t="n"/>
      <c r="F230" s="40" t="n"/>
      <c r="G230" s="39">
        <f>IF(COUNTA(A230:F230)=0,"",IF(A230="EXAMPLE","Example (skipped)",IF(OR(C230="",E230="",F230=""),"✖ Portal, User ID and Password are all needed",IF(AND(A230="",COUNTIF(Clients!$B$5:$B$1005,B230)=0),"Not on Clients — will match a portal client by name",IF(AND(C230="GST",D230&lt;&gt;"",COUNTIF(Clients!$AZ$5:$AZ$1005,UPPER(D230))=0,COUNTIF(Clients!$G$5:$G$1005,"*"&amp;UPPER(D230)&amp;"*")=0),"GSTIN not on Clients — will be checked in the portal","✔ OK")))))</f>
        <v/>
      </c>
    </row>
    <row r="231">
      <c r="A231" s="40" t="n"/>
      <c r="B231" s="41" t="n"/>
      <c r="C231" s="41" t="n"/>
      <c r="D231" s="40" t="n"/>
      <c r="E231" s="40" t="n"/>
      <c r="F231" s="40" t="n"/>
      <c r="G231" s="39">
        <f>IF(COUNTA(A231:F231)=0,"",IF(A231="EXAMPLE","Example (skipped)",IF(OR(C231="",E231="",F231=""),"✖ Portal, User ID and Password are all needed",IF(AND(A231="",COUNTIF(Clients!$B$5:$B$1005,B231)=0),"Not on Clients — will match a portal client by name",IF(AND(C231="GST",D231&lt;&gt;"",COUNTIF(Clients!$AZ$5:$AZ$1005,UPPER(D231))=0,COUNTIF(Clients!$G$5:$G$1005,"*"&amp;UPPER(D231)&amp;"*")=0),"GSTIN not on Clients — will be checked in the portal","✔ OK")))))</f>
        <v/>
      </c>
    </row>
    <row r="232">
      <c r="A232" s="40" t="n"/>
      <c r="B232" s="41" t="n"/>
      <c r="C232" s="41" t="n"/>
      <c r="D232" s="40" t="n"/>
      <c r="E232" s="40" t="n"/>
      <c r="F232" s="40" t="n"/>
      <c r="G232" s="39">
        <f>IF(COUNTA(A232:F232)=0,"",IF(A232="EXAMPLE","Example (skipped)",IF(OR(C232="",E232="",F232=""),"✖ Portal, User ID and Password are all needed",IF(AND(A232="",COUNTIF(Clients!$B$5:$B$1005,B232)=0),"Not on Clients — will match a portal client by name",IF(AND(C232="GST",D232&lt;&gt;"",COUNTIF(Clients!$AZ$5:$AZ$1005,UPPER(D232))=0,COUNTIF(Clients!$G$5:$G$1005,"*"&amp;UPPER(D232)&amp;"*")=0),"GSTIN not on Clients — will be checked in the portal","✔ OK")))))</f>
        <v/>
      </c>
    </row>
    <row r="233">
      <c r="A233" s="40" t="n"/>
      <c r="B233" s="41" t="n"/>
      <c r="C233" s="41" t="n"/>
      <c r="D233" s="40" t="n"/>
      <c r="E233" s="40" t="n"/>
      <c r="F233" s="40" t="n"/>
      <c r="G233" s="39">
        <f>IF(COUNTA(A233:F233)=0,"",IF(A233="EXAMPLE","Example (skipped)",IF(OR(C233="",E233="",F233=""),"✖ Portal, User ID and Password are all needed",IF(AND(A233="",COUNTIF(Clients!$B$5:$B$1005,B233)=0),"Not on Clients — will match a portal client by name",IF(AND(C233="GST",D233&lt;&gt;"",COUNTIF(Clients!$AZ$5:$AZ$1005,UPPER(D233))=0,COUNTIF(Clients!$G$5:$G$1005,"*"&amp;UPPER(D233)&amp;"*")=0),"GSTIN not on Clients — will be checked in the portal","✔ OK")))))</f>
        <v/>
      </c>
    </row>
    <row r="234">
      <c r="A234" s="40" t="n"/>
      <c r="B234" s="41" t="n"/>
      <c r="C234" s="41" t="n"/>
      <c r="D234" s="40" t="n"/>
      <c r="E234" s="40" t="n"/>
      <c r="F234" s="40" t="n"/>
      <c r="G234" s="39">
        <f>IF(COUNTA(A234:F234)=0,"",IF(A234="EXAMPLE","Example (skipped)",IF(OR(C234="",E234="",F234=""),"✖ Portal, User ID and Password are all needed",IF(AND(A234="",COUNTIF(Clients!$B$5:$B$1005,B234)=0),"Not on Clients — will match a portal client by name",IF(AND(C234="GST",D234&lt;&gt;"",COUNTIF(Clients!$AZ$5:$AZ$1005,UPPER(D234))=0,COUNTIF(Clients!$G$5:$G$1005,"*"&amp;UPPER(D234)&amp;"*")=0),"GSTIN not on Clients — will be checked in the portal","✔ OK")))))</f>
        <v/>
      </c>
    </row>
    <row r="235">
      <c r="A235" s="40" t="n"/>
      <c r="B235" s="41" t="n"/>
      <c r="C235" s="41" t="n"/>
      <c r="D235" s="40" t="n"/>
      <c r="E235" s="40" t="n"/>
      <c r="F235" s="40" t="n"/>
      <c r="G235" s="39">
        <f>IF(COUNTA(A235:F235)=0,"",IF(A235="EXAMPLE","Example (skipped)",IF(OR(C235="",E235="",F235=""),"✖ Portal, User ID and Password are all needed",IF(AND(A235="",COUNTIF(Clients!$B$5:$B$1005,B235)=0),"Not on Clients — will match a portal client by name",IF(AND(C235="GST",D235&lt;&gt;"",COUNTIF(Clients!$AZ$5:$AZ$1005,UPPER(D235))=0,COUNTIF(Clients!$G$5:$G$1005,"*"&amp;UPPER(D235)&amp;"*")=0),"GSTIN not on Clients — will be checked in the portal","✔ OK")))))</f>
        <v/>
      </c>
    </row>
    <row r="236">
      <c r="A236" s="40" t="n"/>
      <c r="B236" s="41" t="n"/>
      <c r="C236" s="41" t="n"/>
      <c r="D236" s="40" t="n"/>
      <c r="E236" s="40" t="n"/>
      <c r="F236" s="40" t="n"/>
      <c r="G236" s="39">
        <f>IF(COUNTA(A236:F236)=0,"",IF(A236="EXAMPLE","Example (skipped)",IF(OR(C236="",E236="",F236=""),"✖ Portal, User ID and Password are all needed",IF(AND(A236="",COUNTIF(Clients!$B$5:$B$1005,B236)=0),"Not on Clients — will match a portal client by name",IF(AND(C236="GST",D236&lt;&gt;"",COUNTIF(Clients!$AZ$5:$AZ$1005,UPPER(D236))=0,COUNTIF(Clients!$G$5:$G$1005,"*"&amp;UPPER(D236)&amp;"*")=0),"GSTIN not on Clients — will be checked in the portal","✔ OK")))))</f>
        <v/>
      </c>
    </row>
    <row r="237">
      <c r="A237" s="40" t="n"/>
      <c r="B237" s="41" t="n"/>
      <c r="C237" s="41" t="n"/>
      <c r="D237" s="40" t="n"/>
      <c r="E237" s="40" t="n"/>
      <c r="F237" s="40" t="n"/>
      <c r="G237" s="39">
        <f>IF(COUNTA(A237:F237)=0,"",IF(A237="EXAMPLE","Example (skipped)",IF(OR(C237="",E237="",F237=""),"✖ Portal, User ID and Password are all needed",IF(AND(A237="",COUNTIF(Clients!$B$5:$B$1005,B237)=0),"Not on Clients — will match a portal client by name",IF(AND(C237="GST",D237&lt;&gt;"",COUNTIF(Clients!$AZ$5:$AZ$1005,UPPER(D237))=0,COUNTIF(Clients!$G$5:$G$1005,"*"&amp;UPPER(D237)&amp;"*")=0),"GSTIN not on Clients — will be checked in the portal","✔ OK")))))</f>
        <v/>
      </c>
    </row>
    <row r="238">
      <c r="A238" s="40" t="n"/>
      <c r="B238" s="41" t="n"/>
      <c r="C238" s="41" t="n"/>
      <c r="D238" s="40" t="n"/>
      <c r="E238" s="40" t="n"/>
      <c r="F238" s="40" t="n"/>
      <c r="G238" s="39">
        <f>IF(COUNTA(A238:F238)=0,"",IF(A238="EXAMPLE","Example (skipped)",IF(OR(C238="",E238="",F238=""),"✖ Portal, User ID and Password are all needed",IF(AND(A238="",COUNTIF(Clients!$B$5:$B$1005,B238)=0),"Not on Clients — will match a portal client by name",IF(AND(C238="GST",D238&lt;&gt;"",COUNTIF(Clients!$AZ$5:$AZ$1005,UPPER(D238))=0,COUNTIF(Clients!$G$5:$G$1005,"*"&amp;UPPER(D238)&amp;"*")=0),"GSTIN not on Clients — will be checked in the portal","✔ OK")))))</f>
        <v/>
      </c>
    </row>
    <row r="239">
      <c r="A239" s="40" t="n"/>
      <c r="B239" s="41" t="n"/>
      <c r="C239" s="41" t="n"/>
      <c r="D239" s="40" t="n"/>
      <c r="E239" s="40" t="n"/>
      <c r="F239" s="40" t="n"/>
      <c r="G239" s="39">
        <f>IF(COUNTA(A239:F239)=0,"",IF(A239="EXAMPLE","Example (skipped)",IF(OR(C239="",E239="",F239=""),"✖ Portal, User ID and Password are all needed",IF(AND(A239="",COUNTIF(Clients!$B$5:$B$1005,B239)=0),"Not on Clients — will match a portal client by name",IF(AND(C239="GST",D239&lt;&gt;"",COUNTIF(Clients!$AZ$5:$AZ$1005,UPPER(D239))=0,COUNTIF(Clients!$G$5:$G$1005,"*"&amp;UPPER(D239)&amp;"*")=0),"GSTIN not on Clients — will be checked in the portal","✔ OK")))))</f>
        <v/>
      </c>
    </row>
    <row r="240">
      <c r="A240" s="40" t="n"/>
      <c r="B240" s="41" t="n"/>
      <c r="C240" s="41" t="n"/>
      <c r="D240" s="40" t="n"/>
      <c r="E240" s="40" t="n"/>
      <c r="F240" s="40" t="n"/>
      <c r="G240" s="39">
        <f>IF(COUNTA(A240:F240)=0,"",IF(A240="EXAMPLE","Example (skipped)",IF(OR(C240="",E240="",F240=""),"✖ Portal, User ID and Password are all needed",IF(AND(A240="",COUNTIF(Clients!$B$5:$B$1005,B240)=0),"Not on Clients — will match a portal client by name",IF(AND(C240="GST",D240&lt;&gt;"",COUNTIF(Clients!$AZ$5:$AZ$1005,UPPER(D240))=0,COUNTIF(Clients!$G$5:$G$1005,"*"&amp;UPPER(D240)&amp;"*")=0),"GSTIN not on Clients — will be checked in the portal","✔ OK")))))</f>
        <v/>
      </c>
    </row>
    <row r="241">
      <c r="A241" s="40" t="n"/>
      <c r="B241" s="41" t="n"/>
      <c r="C241" s="41" t="n"/>
      <c r="D241" s="40" t="n"/>
      <c r="E241" s="40" t="n"/>
      <c r="F241" s="40" t="n"/>
      <c r="G241" s="39">
        <f>IF(COUNTA(A241:F241)=0,"",IF(A241="EXAMPLE","Example (skipped)",IF(OR(C241="",E241="",F241=""),"✖ Portal, User ID and Password are all needed",IF(AND(A241="",COUNTIF(Clients!$B$5:$B$1005,B241)=0),"Not on Clients — will match a portal client by name",IF(AND(C241="GST",D241&lt;&gt;"",COUNTIF(Clients!$AZ$5:$AZ$1005,UPPER(D241))=0,COUNTIF(Clients!$G$5:$G$1005,"*"&amp;UPPER(D241)&amp;"*")=0),"GSTIN not on Clients — will be checked in the portal","✔ OK")))))</f>
        <v/>
      </c>
    </row>
    <row r="242">
      <c r="A242" s="40" t="n"/>
      <c r="B242" s="41" t="n"/>
      <c r="C242" s="41" t="n"/>
      <c r="D242" s="40" t="n"/>
      <c r="E242" s="40" t="n"/>
      <c r="F242" s="40" t="n"/>
      <c r="G242" s="39">
        <f>IF(COUNTA(A242:F242)=0,"",IF(A242="EXAMPLE","Example (skipped)",IF(OR(C242="",E242="",F242=""),"✖ Portal, User ID and Password are all needed",IF(AND(A242="",COUNTIF(Clients!$B$5:$B$1005,B242)=0),"Not on Clients — will match a portal client by name",IF(AND(C242="GST",D242&lt;&gt;"",COUNTIF(Clients!$AZ$5:$AZ$1005,UPPER(D242))=0,COUNTIF(Clients!$G$5:$G$1005,"*"&amp;UPPER(D242)&amp;"*")=0),"GSTIN not on Clients — will be checked in the portal","✔ OK")))))</f>
        <v/>
      </c>
    </row>
    <row r="243">
      <c r="A243" s="40" t="n"/>
      <c r="B243" s="41" t="n"/>
      <c r="C243" s="41" t="n"/>
      <c r="D243" s="40" t="n"/>
      <c r="E243" s="40" t="n"/>
      <c r="F243" s="40" t="n"/>
      <c r="G243" s="39">
        <f>IF(COUNTA(A243:F243)=0,"",IF(A243="EXAMPLE","Example (skipped)",IF(OR(C243="",E243="",F243=""),"✖ Portal, User ID and Password are all needed",IF(AND(A243="",COUNTIF(Clients!$B$5:$B$1005,B243)=0),"Not on Clients — will match a portal client by name",IF(AND(C243="GST",D243&lt;&gt;"",COUNTIF(Clients!$AZ$5:$AZ$1005,UPPER(D243))=0,COUNTIF(Clients!$G$5:$G$1005,"*"&amp;UPPER(D243)&amp;"*")=0),"GSTIN not on Clients — will be checked in the portal","✔ OK")))))</f>
        <v/>
      </c>
    </row>
    <row r="244">
      <c r="A244" s="40" t="n"/>
      <c r="B244" s="41" t="n"/>
      <c r="C244" s="41" t="n"/>
      <c r="D244" s="40" t="n"/>
      <c r="E244" s="40" t="n"/>
      <c r="F244" s="40" t="n"/>
      <c r="G244" s="39">
        <f>IF(COUNTA(A244:F244)=0,"",IF(A244="EXAMPLE","Example (skipped)",IF(OR(C244="",E244="",F244=""),"✖ Portal, User ID and Password are all needed",IF(AND(A244="",COUNTIF(Clients!$B$5:$B$1005,B244)=0),"Not on Clients — will match a portal client by name",IF(AND(C244="GST",D244&lt;&gt;"",COUNTIF(Clients!$AZ$5:$AZ$1005,UPPER(D244))=0,COUNTIF(Clients!$G$5:$G$1005,"*"&amp;UPPER(D244)&amp;"*")=0),"GSTIN not on Clients — will be checked in the portal","✔ OK")))))</f>
        <v/>
      </c>
    </row>
    <row r="245">
      <c r="A245" s="40" t="n"/>
      <c r="B245" s="41" t="n"/>
      <c r="C245" s="41" t="n"/>
      <c r="D245" s="40" t="n"/>
      <c r="E245" s="40" t="n"/>
      <c r="F245" s="40" t="n"/>
      <c r="G245" s="39">
        <f>IF(COUNTA(A245:F245)=0,"",IF(A245="EXAMPLE","Example (skipped)",IF(OR(C245="",E245="",F245=""),"✖ Portal, User ID and Password are all needed",IF(AND(A245="",COUNTIF(Clients!$B$5:$B$1005,B245)=0),"Not on Clients — will match a portal client by name",IF(AND(C245="GST",D245&lt;&gt;"",COUNTIF(Clients!$AZ$5:$AZ$1005,UPPER(D245))=0,COUNTIF(Clients!$G$5:$G$1005,"*"&amp;UPPER(D245)&amp;"*")=0),"GSTIN not on Clients — will be checked in the portal","✔ OK")))))</f>
        <v/>
      </c>
    </row>
    <row r="246">
      <c r="A246" s="40" t="n"/>
      <c r="B246" s="41" t="n"/>
      <c r="C246" s="41" t="n"/>
      <c r="D246" s="40" t="n"/>
      <c r="E246" s="40" t="n"/>
      <c r="F246" s="40" t="n"/>
      <c r="G246" s="39">
        <f>IF(COUNTA(A246:F246)=0,"",IF(A246="EXAMPLE","Example (skipped)",IF(OR(C246="",E246="",F246=""),"✖ Portal, User ID and Password are all needed",IF(AND(A246="",COUNTIF(Clients!$B$5:$B$1005,B246)=0),"Not on Clients — will match a portal client by name",IF(AND(C246="GST",D246&lt;&gt;"",COUNTIF(Clients!$AZ$5:$AZ$1005,UPPER(D246))=0,COUNTIF(Clients!$G$5:$G$1005,"*"&amp;UPPER(D246)&amp;"*")=0),"GSTIN not on Clients — will be checked in the portal","✔ OK")))))</f>
        <v/>
      </c>
    </row>
    <row r="247">
      <c r="A247" s="40" t="n"/>
      <c r="B247" s="41" t="n"/>
      <c r="C247" s="41" t="n"/>
      <c r="D247" s="40" t="n"/>
      <c r="E247" s="40" t="n"/>
      <c r="F247" s="40" t="n"/>
      <c r="G247" s="39">
        <f>IF(COUNTA(A247:F247)=0,"",IF(A247="EXAMPLE","Example (skipped)",IF(OR(C247="",E247="",F247=""),"✖ Portal, User ID and Password are all needed",IF(AND(A247="",COUNTIF(Clients!$B$5:$B$1005,B247)=0),"Not on Clients — will match a portal client by name",IF(AND(C247="GST",D247&lt;&gt;"",COUNTIF(Clients!$AZ$5:$AZ$1005,UPPER(D247))=0,COUNTIF(Clients!$G$5:$G$1005,"*"&amp;UPPER(D247)&amp;"*")=0),"GSTIN not on Clients — will be checked in the portal","✔ OK")))))</f>
        <v/>
      </c>
    </row>
    <row r="248">
      <c r="A248" s="40" t="n"/>
      <c r="B248" s="41" t="n"/>
      <c r="C248" s="41" t="n"/>
      <c r="D248" s="40" t="n"/>
      <c r="E248" s="40" t="n"/>
      <c r="F248" s="40" t="n"/>
      <c r="G248" s="39">
        <f>IF(COUNTA(A248:F248)=0,"",IF(A248="EXAMPLE","Example (skipped)",IF(OR(C248="",E248="",F248=""),"✖ Portal, User ID and Password are all needed",IF(AND(A248="",COUNTIF(Clients!$B$5:$B$1005,B248)=0),"Not on Clients — will match a portal client by name",IF(AND(C248="GST",D248&lt;&gt;"",COUNTIF(Clients!$AZ$5:$AZ$1005,UPPER(D248))=0,COUNTIF(Clients!$G$5:$G$1005,"*"&amp;UPPER(D248)&amp;"*")=0),"GSTIN not on Clients — will be checked in the portal","✔ OK")))))</f>
        <v/>
      </c>
    </row>
    <row r="249">
      <c r="A249" s="40" t="n"/>
      <c r="B249" s="41" t="n"/>
      <c r="C249" s="41" t="n"/>
      <c r="D249" s="40" t="n"/>
      <c r="E249" s="40" t="n"/>
      <c r="F249" s="40" t="n"/>
      <c r="G249" s="39">
        <f>IF(COUNTA(A249:F249)=0,"",IF(A249="EXAMPLE","Example (skipped)",IF(OR(C249="",E249="",F249=""),"✖ Portal, User ID and Password are all needed",IF(AND(A249="",COUNTIF(Clients!$B$5:$B$1005,B249)=0),"Not on Clients — will match a portal client by name",IF(AND(C249="GST",D249&lt;&gt;"",COUNTIF(Clients!$AZ$5:$AZ$1005,UPPER(D249))=0,COUNTIF(Clients!$G$5:$G$1005,"*"&amp;UPPER(D249)&amp;"*")=0),"GSTIN not on Clients — will be checked in the portal","✔ OK")))))</f>
        <v/>
      </c>
    </row>
    <row r="250">
      <c r="A250" s="40" t="n"/>
      <c r="B250" s="41" t="n"/>
      <c r="C250" s="41" t="n"/>
      <c r="D250" s="40" t="n"/>
      <c r="E250" s="40" t="n"/>
      <c r="F250" s="40" t="n"/>
      <c r="G250" s="39">
        <f>IF(COUNTA(A250:F250)=0,"",IF(A250="EXAMPLE","Example (skipped)",IF(OR(C250="",E250="",F250=""),"✖ Portal, User ID and Password are all needed",IF(AND(A250="",COUNTIF(Clients!$B$5:$B$1005,B250)=0),"Not on Clients — will match a portal client by name",IF(AND(C250="GST",D250&lt;&gt;"",COUNTIF(Clients!$AZ$5:$AZ$1005,UPPER(D250))=0,COUNTIF(Clients!$G$5:$G$1005,"*"&amp;UPPER(D250)&amp;"*")=0),"GSTIN not on Clients — will be checked in the portal","✔ OK")))))</f>
        <v/>
      </c>
    </row>
    <row r="251">
      <c r="A251" s="40" t="n"/>
      <c r="B251" s="41" t="n"/>
      <c r="C251" s="41" t="n"/>
      <c r="D251" s="40" t="n"/>
      <c r="E251" s="40" t="n"/>
      <c r="F251" s="40" t="n"/>
      <c r="G251" s="39">
        <f>IF(COUNTA(A251:F251)=0,"",IF(A251="EXAMPLE","Example (skipped)",IF(OR(C251="",E251="",F251=""),"✖ Portal, User ID and Password are all needed",IF(AND(A251="",COUNTIF(Clients!$B$5:$B$1005,B251)=0),"Not on Clients — will match a portal client by name",IF(AND(C251="GST",D251&lt;&gt;"",COUNTIF(Clients!$AZ$5:$AZ$1005,UPPER(D251))=0,COUNTIF(Clients!$G$5:$G$1005,"*"&amp;UPPER(D251)&amp;"*")=0),"GSTIN not on Clients — will be checked in the portal","✔ OK")))))</f>
        <v/>
      </c>
    </row>
    <row r="252">
      <c r="A252" s="40" t="n"/>
      <c r="B252" s="41" t="n"/>
      <c r="C252" s="41" t="n"/>
      <c r="D252" s="40" t="n"/>
      <c r="E252" s="40" t="n"/>
      <c r="F252" s="40" t="n"/>
      <c r="G252" s="39">
        <f>IF(COUNTA(A252:F252)=0,"",IF(A252="EXAMPLE","Example (skipped)",IF(OR(C252="",E252="",F252=""),"✖ Portal, User ID and Password are all needed",IF(AND(A252="",COUNTIF(Clients!$B$5:$B$1005,B252)=0),"Not on Clients — will match a portal client by name",IF(AND(C252="GST",D252&lt;&gt;"",COUNTIF(Clients!$AZ$5:$AZ$1005,UPPER(D252))=0,COUNTIF(Clients!$G$5:$G$1005,"*"&amp;UPPER(D252)&amp;"*")=0),"GSTIN not on Clients — will be checked in the portal","✔ OK")))))</f>
        <v/>
      </c>
    </row>
    <row r="253">
      <c r="A253" s="40" t="n"/>
      <c r="B253" s="41" t="n"/>
      <c r="C253" s="41" t="n"/>
      <c r="D253" s="40" t="n"/>
      <c r="E253" s="40" t="n"/>
      <c r="F253" s="40" t="n"/>
      <c r="G253" s="39">
        <f>IF(COUNTA(A253:F253)=0,"",IF(A253="EXAMPLE","Example (skipped)",IF(OR(C253="",E253="",F253=""),"✖ Portal, User ID and Password are all needed",IF(AND(A253="",COUNTIF(Clients!$B$5:$B$1005,B253)=0),"Not on Clients — will match a portal client by name",IF(AND(C253="GST",D253&lt;&gt;"",COUNTIF(Clients!$AZ$5:$AZ$1005,UPPER(D253))=0,COUNTIF(Clients!$G$5:$G$1005,"*"&amp;UPPER(D253)&amp;"*")=0),"GSTIN not on Clients — will be checked in the portal","✔ OK")))))</f>
        <v/>
      </c>
    </row>
    <row r="254">
      <c r="A254" s="40" t="n"/>
      <c r="B254" s="41" t="n"/>
      <c r="C254" s="41" t="n"/>
      <c r="D254" s="40" t="n"/>
      <c r="E254" s="40" t="n"/>
      <c r="F254" s="40" t="n"/>
      <c r="G254" s="39">
        <f>IF(COUNTA(A254:F254)=0,"",IF(A254="EXAMPLE","Example (skipped)",IF(OR(C254="",E254="",F254=""),"✖ Portal, User ID and Password are all needed",IF(AND(A254="",COUNTIF(Clients!$B$5:$B$1005,B254)=0),"Not on Clients — will match a portal client by name",IF(AND(C254="GST",D254&lt;&gt;"",COUNTIF(Clients!$AZ$5:$AZ$1005,UPPER(D254))=0,COUNTIF(Clients!$G$5:$G$1005,"*"&amp;UPPER(D254)&amp;"*")=0),"GSTIN not on Clients — will be checked in the portal","✔ OK")))))</f>
        <v/>
      </c>
    </row>
    <row r="255">
      <c r="A255" s="40" t="n"/>
      <c r="B255" s="41" t="n"/>
      <c r="C255" s="41" t="n"/>
      <c r="D255" s="40" t="n"/>
      <c r="E255" s="40" t="n"/>
      <c r="F255" s="40" t="n"/>
      <c r="G255" s="39">
        <f>IF(COUNTA(A255:F255)=0,"",IF(A255="EXAMPLE","Example (skipped)",IF(OR(C255="",E255="",F255=""),"✖ Portal, User ID and Password are all needed",IF(AND(A255="",COUNTIF(Clients!$B$5:$B$1005,B255)=0),"Not on Clients — will match a portal client by name",IF(AND(C255="GST",D255&lt;&gt;"",COUNTIF(Clients!$AZ$5:$AZ$1005,UPPER(D255))=0,COUNTIF(Clients!$G$5:$G$1005,"*"&amp;UPPER(D255)&amp;"*")=0),"GSTIN not on Clients — will be checked in the portal","✔ OK")))))</f>
        <v/>
      </c>
    </row>
    <row r="256">
      <c r="A256" s="40" t="n"/>
      <c r="B256" s="41" t="n"/>
      <c r="C256" s="41" t="n"/>
      <c r="D256" s="40" t="n"/>
      <c r="E256" s="40" t="n"/>
      <c r="F256" s="40" t="n"/>
      <c r="G256" s="39">
        <f>IF(COUNTA(A256:F256)=0,"",IF(A256="EXAMPLE","Example (skipped)",IF(OR(C256="",E256="",F256=""),"✖ Portal, User ID and Password are all needed",IF(AND(A256="",COUNTIF(Clients!$B$5:$B$1005,B256)=0),"Not on Clients — will match a portal client by name",IF(AND(C256="GST",D256&lt;&gt;"",COUNTIF(Clients!$AZ$5:$AZ$1005,UPPER(D256))=0,COUNTIF(Clients!$G$5:$G$1005,"*"&amp;UPPER(D256)&amp;"*")=0),"GSTIN not on Clients — will be checked in the portal","✔ OK")))))</f>
        <v/>
      </c>
    </row>
    <row r="257">
      <c r="A257" s="40" t="n"/>
      <c r="B257" s="41" t="n"/>
      <c r="C257" s="41" t="n"/>
      <c r="D257" s="40" t="n"/>
      <c r="E257" s="40" t="n"/>
      <c r="F257" s="40" t="n"/>
      <c r="G257" s="39">
        <f>IF(COUNTA(A257:F257)=0,"",IF(A257="EXAMPLE","Example (skipped)",IF(OR(C257="",E257="",F257=""),"✖ Portal, User ID and Password are all needed",IF(AND(A257="",COUNTIF(Clients!$B$5:$B$1005,B257)=0),"Not on Clients — will match a portal client by name",IF(AND(C257="GST",D257&lt;&gt;"",COUNTIF(Clients!$AZ$5:$AZ$1005,UPPER(D257))=0,COUNTIF(Clients!$G$5:$G$1005,"*"&amp;UPPER(D257)&amp;"*")=0),"GSTIN not on Clients — will be checked in the portal","✔ OK")))))</f>
        <v/>
      </c>
    </row>
    <row r="258">
      <c r="A258" s="40" t="n"/>
      <c r="B258" s="41" t="n"/>
      <c r="C258" s="41" t="n"/>
      <c r="D258" s="40" t="n"/>
      <c r="E258" s="40" t="n"/>
      <c r="F258" s="40" t="n"/>
      <c r="G258" s="39">
        <f>IF(COUNTA(A258:F258)=0,"",IF(A258="EXAMPLE","Example (skipped)",IF(OR(C258="",E258="",F258=""),"✖ Portal, User ID and Password are all needed",IF(AND(A258="",COUNTIF(Clients!$B$5:$B$1005,B258)=0),"Not on Clients — will match a portal client by name",IF(AND(C258="GST",D258&lt;&gt;"",COUNTIF(Clients!$AZ$5:$AZ$1005,UPPER(D258))=0,COUNTIF(Clients!$G$5:$G$1005,"*"&amp;UPPER(D258)&amp;"*")=0),"GSTIN not on Clients — will be checked in the portal","✔ OK")))))</f>
        <v/>
      </c>
    </row>
    <row r="259">
      <c r="A259" s="40" t="n"/>
      <c r="B259" s="41" t="n"/>
      <c r="C259" s="41" t="n"/>
      <c r="D259" s="40" t="n"/>
      <c r="E259" s="40" t="n"/>
      <c r="F259" s="40" t="n"/>
      <c r="G259" s="39">
        <f>IF(COUNTA(A259:F259)=0,"",IF(A259="EXAMPLE","Example (skipped)",IF(OR(C259="",E259="",F259=""),"✖ Portal, User ID and Password are all needed",IF(AND(A259="",COUNTIF(Clients!$B$5:$B$1005,B259)=0),"Not on Clients — will match a portal client by name",IF(AND(C259="GST",D259&lt;&gt;"",COUNTIF(Clients!$AZ$5:$AZ$1005,UPPER(D259))=0,COUNTIF(Clients!$G$5:$G$1005,"*"&amp;UPPER(D259)&amp;"*")=0),"GSTIN not on Clients — will be checked in the portal","✔ OK")))))</f>
        <v/>
      </c>
    </row>
    <row r="260">
      <c r="A260" s="40" t="n"/>
      <c r="B260" s="41" t="n"/>
      <c r="C260" s="41" t="n"/>
      <c r="D260" s="40" t="n"/>
      <c r="E260" s="40" t="n"/>
      <c r="F260" s="40" t="n"/>
      <c r="G260" s="39">
        <f>IF(COUNTA(A260:F260)=0,"",IF(A260="EXAMPLE","Example (skipped)",IF(OR(C260="",E260="",F260=""),"✖ Portal, User ID and Password are all needed",IF(AND(A260="",COUNTIF(Clients!$B$5:$B$1005,B260)=0),"Not on Clients — will match a portal client by name",IF(AND(C260="GST",D260&lt;&gt;"",COUNTIF(Clients!$AZ$5:$AZ$1005,UPPER(D260))=0,COUNTIF(Clients!$G$5:$G$1005,"*"&amp;UPPER(D260)&amp;"*")=0),"GSTIN not on Clients — will be checked in the portal","✔ OK")))))</f>
        <v/>
      </c>
    </row>
    <row r="261">
      <c r="A261" s="40" t="n"/>
      <c r="B261" s="41" t="n"/>
      <c r="C261" s="41" t="n"/>
      <c r="D261" s="40" t="n"/>
      <c r="E261" s="40" t="n"/>
      <c r="F261" s="40" t="n"/>
      <c r="G261" s="39">
        <f>IF(COUNTA(A261:F261)=0,"",IF(A261="EXAMPLE","Example (skipped)",IF(OR(C261="",E261="",F261=""),"✖ Portal, User ID and Password are all needed",IF(AND(A261="",COUNTIF(Clients!$B$5:$B$1005,B261)=0),"Not on Clients — will match a portal client by name",IF(AND(C261="GST",D261&lt;&gt;"",COUNTIF(Clients!$AZ$5:$AZ$1005,UPPER(D261))=0,COUNTIF(Clients!$G$5:$G$1005,"*"&amp;UPPER(D261)&amp;"*")=0),"GSTIN not on Clients — will be checked in the portal","✔ OK")))))</f>
        <v/>
      </c>
    </row>
    <row r="262">
      <c r="A262" s="40" t="n"/>
      <c r="B262" s="41" t="n"/>
      <c r="C262" s="41" t="n"/>
      <c r="D262" s="40" t="n"/>
      <c r="E262" s="40" t="n"/>
      <c r="F262" s="40" t="n"/>
      <c r="G262" s="39">
        <f>IF(COUNTA(A262:F262)=0,"",IF(A262="EXAMPLE","Example (skipped)",IF(OR(C262="",E262="",F262=""),"✖ Portal, User ID and Password are all needed",IF(AND(A262="",COUNTIF(Clients!$B$5:$B$1005,B262)=0),"Not on Clients — will match a portal client by name",IF(AND(C262="GST",D262&lt;&gt;"",COUNTIF(Clients!$AZ$5:$AZ$1005,UPPER(D262))=0,COUNTIF(Clients!$G$5:$G$1005,"*"&amp;UPPER(D262)&amp;"*")=0),"GSTIN not on Clients — will be checked in the portal","✔ OK")))))</f>
        <v/>
      </c>
    </row>
    <row r="263">
      <c r="A263" s="40" t="n"/>
      <c r="B263" s="41" t="n"/>
      <c r="C263" s="41" t="n"/>
      <c r="D263" s="40" t="n"/>
      <c r="E263" s="40" t="n"/>
      <c r="F263" s="40" t="n"/>
      <c r="G263" s="39">
        <f>IF(COUNTA(A263:F263)=0,"",IF(A263="EXAMPLE","Example (skipped)",IF(OR(C263="",E263="",F263=""),"✖ Portal, User ID and Password are all needed",IF(AND(A263="",COUNTIF(Clients!$B$5:$B$1005,B263)=0),"Not on Clients — will match a portal client by name",IF(AND(C263="GST",D263&lt;&gt;"",COUNTIF(Clients!$AZ$5:$AZ$1005,UPPER(D263))=0,COUNTIF(Clients!$G$5:$G$1005,"*"&amp;UPPER(D263)&amp;"*")=0),"GSTIN not on Clients — will be checked in the portal","✔ OK")))))</f>
        <v/>
      </c>
    </row>
    <row r="264">
      <c r="A264" s="40" t="n"/>
      <c r="B264" s="41" t="n"/>
      <c r="C264" s="41" t="n"/>
      <c r="D264" s="40" t="n"/>
      <c r="E264" s="40" t="n"/>
      <c r="F264" s="40" t="n"/>
      <c r="G264" s="39">
        <f>IF(COUNTA(A264:F264)=0,"",IF(A264="EXAMPLE","Example (skipped)",IF(OR(C264="",E264="",F264=""),"✖ Portal, User ID and Password are all needed",IF(AND(A264="",COUNTIF(Clients!$B$5:$B$1005,B264)=0),"Not on Clients — will match a portal client by name",IF(AND(C264="GST",D264&lt;&gt;"",COUNTIF(Clients!$AZ$5:$AZ$1005,UPPER(D264))=0,COUNTIF(Clients!$G$5:$G$1005,"*"&amp;UPPER(D264)&amp;"*")=0),"GSTIN not on Clients — will be checked in the portal","✔ OK")))))</f>
        <v/>
      </c>
    </row>
    <row r="265">
      <c r="A265" s="40" t="n"/>
      <c r="B265" s="41" t="n"/>
      <c r="C265" s="41" t="n"/>
      <c r="D265" s="40" t="n"/>
      <c r="E265" s="40" t="n"/>
      <c r="F265" s="40" t="n"/>
      <c r="G265" s="39">
        <f>IF(COUNTA(A265:F265)=0,"",IF(A265="EXAMPLE","Example (skipped)",IF(OR(C265="",E265="",F265=""),"✖ Portal, User ID and Password are all needed",IF(AND(A265="",COUNTIF(Clients!$B$5:$B$1005,B265)=0),"Not on Clients — will match a portal client by name",IF(AND(C265="GST",D265&lt;&gt;"",COUNTIF(Clients!$AZ$5:$AZ$1005,UPPER(D265))=0,COUNTIF(Clients!$G$5:$G$1005,"*"&amp;UPPER(D265)&amp;"*")=0),"GSTIN not on Clients — will be checked in the portal","✔ OK")))))</f>
        <v/>
      </c>
    </row>
    <row r="266">
      <c r="A266" s="40" t="n"/>
      <c r="B266" s="41" t="n"/>
      <c r="C266" s="41" t="n"/>
      <c r="D266" s="40" t="n"/>
      <c r="E266" s="40" t="n"/>
      <c r="F266" s="40" t="n"/>
      <c r="G266" s="39">
        <f>IF(COUNTA(A266:F266)=0,"",IF(A266="EXAMPLE","Example (skipped)",IF(OR(C266="",E266="",F266=""),"✖ Portal, User ID and Password are all needed",IF(AND(A266="",COUNTIF(Clients!$B$5:$B$1005,B266)=0),"Not on Clients — will match a portal client by name",IF(AND(C266="GST",D266&lt;&gt;"",COUNTIF(Clients!$AZ$5:$AZ$1005,UPPER(D266))=0,COUNTIF(Clients!$G$5:$G$1005,"*"&amp;UPPER(D266)&amp;"*")=0),"GSTIN not on Clients — will be checked in the portal","✔ OK")))))</f>
        <v/>
      </c>
    </row>
    <row r="267">
      <c r="A267" s="40" t="n"/>
      <c r="B267" s="41" t="n"/>
      <c r="C267" s="41" t="n"/>
      <c r="D267" s="40" t="n"/>
      <c r="E267" s="40" t="n"/>
      <c r="F267" s="40" t="n"/>
      <c r="G267" s="39">
        <f>IF(COUNTA(A267:F267)=0,"",IF(A267="EXAMPLE","Example (skipped)",IF(OR(C267="",E267="",F267=""),"✖ Portal, User ID and Password are all needed",IF(AND(A267="",COUNTIF(Clients!$B$5:$B$1005,B267)=0),"Not on Clients — will match a portal client by name",IF(AND(C267="GST",D267&lt;&gt;"",COUNTIF(Clients!$AZ$5:$AZ$1005,UPPER(D267))=0,COUNTIF(Clients!$G$5:$G$1005,"*"&amp;UPPER(D267)&amp;"*")=0),"GSTIN not on Clients — will be checked in the portal","✔ OK")))))</f>
        <v/>
      </c>
    </row>
    <row r="268">
      <c r="A268" s="40" t="n"/>
      <c r="B268" s="41" t="n"/>
      <c r="C268" s="41" t="n"/>
      <c r="D268" s="40" t="n"/>
      <c r="E268" s="40" t="n"/>
      <c r="F268" s="40" t="n"/>
      <c r="G268" s="39">
        <f>IF(COUNTA(A268:F268)=0,"",IF(A268="EXAMPLE","Example (skipped)",IF(OR(C268="",E268="",F268=""),"✖ Portal, User ID and Password are all needed",IF(AND(A268="",COUNTIF(Clients!$B$5:$B$1005,B268)=0),"Not on Clients — will match a portal client by name",IF(AND(C268="GST",D268&lt;&gt;"",COUNTIF(Clients!$AZ$5:$AZ$1005,UPPER(D268))=0,COUNTIF(Clients!$G$5:$G$1005,"*"&amp;UPPER(D268)&amp;"*")=0),"GSTIN not on Clients — will be checked in the portal","✔ OK")))))</f>
        <v/>
      </c>
    </row>
    <row r="269">
      <c r="A269" s="40" t="n"/>
      <c r="B269" s="41" t="n"/>
      <c r="C269" s="41" t="n"/>
      <c r="D269" s="40" t="n"/>
      <c r="E269" s="40" t="n"/>
      <c r="F269" s="40" t="n"/>
      <c r="G269" s="39">
        <f>IF(COUNTA(A269:F269)=0,"",IF(A269="EXAMPLE","Example (skipped)",IF(OR(C269="",E269="",F269=""),"✖ Portal, User ID and Password are all needed",IF(AND(A269="",COUNTIF(Clients!$B$5:$B$1005,B269)=0),"Not on Clients — will match a portal client by name",IF(AND(C269="GST",D269&lt;&gt;"",COUNTIF(Clients!$AZ$5:$AZ$1005,UPPER(D269))=0,COUNTIF(Clients!$G$5:$G$1005,"*"&amp;UPPER(D269)&amp;"*")=0),"GSTIN not on Clients — will be checked in the portal","✔ OK")))))</f>
        <v/>
      </c>
    </row>
    <row r="270">
      <c r="A270" s="40" t="n"/>
      <c r="B270" s="41" t="n"/>
      <c r="C270" s="41" t="n"/>
      <c r="D270" s="40" t="n"/>
      <c r="E270" s="40" t="n"/>
      <c r="F270" s="40" t="n"/>
      <c r="G270" s="39">
        <f>IF(COUNTA(A270:F270)=0,"",IF(A270="EXAMPLE","Example (skipped)",IF(OR(C270="",E270="",F270=""),"✖ Portal, User ID and Password are all needed",IF(AND(A270="",COUNTIF(Clients!$B$5:$B$1005,B270)=0),"Not on Clients — will match a portal client by name",IF(AND(C270="GST",D270&lt;&gt;"",COUNTIF(Clients!$AZ$5:$AZ$1005,UPPER(D270))=0,COUNTIF(Clients!$G$5:$G$1005,"*"&amp;UPPER(D270)&amp;"*")=0),"GSTIN not on Clients — will be checked in the portal","✔ OK")))))</f>
        <v/>
      </c>
    </row>
    <row r="271">
      <c r="A271" s="40" t="n"/>
      <c r="B271" s="41" t="n"/>
      <c r="C271" s="41" t="n"/>
      <c r="D271" s="40" t="n"/>
      <c r="E271" s="40" t="n"/>
      <c r="F271" s="40" t="n"/>
      <c r="G271" s="39">
        <f>IF(COUNTA(A271:F271)=0,"",IF(A271="EXAMPLE","Example (skipped)",IF(OR(C271="",E271="",F271=""),"✖ Portal, User ID and Password are all needed",IF(AND(A271="",COUNTIF(Clients!$B$5:$B$1005,B271)=0),"Not on Clients — will match a portal client by name",IF(AND(C271="GST",D271&lt;&gt;"",COUNTIF(Clients!$AZ$5:$AZ$1005,UPPER(D271))=0,COUNTIF(Clients!$G$5:$G$1005,"*"&amp;UPPER(D271)&amp;"*")=0),"GSTIN not on Clients — will be checked in the portal","✔ OK")))))</f>
        <v/>
      </c>
    </row>
    <row r="272">
      <c r="A272" s="40" t="n"/>
      <c r="B272" s="41" t="n"/>
      <c r="C272" s="41" t="n"/>
      <c r="D272" s="40" t="n"/>
      <c r="E272" s="40" t="n"/>
      <c r="F272" s="40" t="n"/>
      <c r="G272" s="39">
        <f>IF(COUNTA(A272:F272)=0,"",IF(A272="EXAMPLE","Example (skipped)",IF(OR(C272="",E272="",F272=""),"✖ Portal, User ID and Password are all needed",IF(AND(A272="",COUNTIF(Clients!$B$5:$B$1005,B272)=0),"Not on Clients — will match a portal client by name",IF(AND(C272="GST",D272&lt;&gt;"",COUNTIF(Clients!$AZ$5:$AZ$1005,UPPER(D272))=0,COUNTIF(Clients!$G$5:$G$1005,"*"&amp;UPPER(D272)&amp;"*")=0),"GSTIN not on Clients — will be checked in the portal","✔ OK")))))</f>
        <v/>
      </c>
    </row>
    <row r="273">
      <c r="A273" s="40" t="n"/>
      <c r="B273" s="41" t="n"/>
      <c r="C273" s="41" t="n"/>
      <c r="D273" s="40" t="n"/>
      <c r="E273" s="40" t="n"/>
      <c r="F273" s="40" t="n"/>
      <c r="G273" s="39">
        <f>IF(COUNTA(A273:F273)=0,"",IF(A273="EXAMPLE","Example (skipped)",IF(OR(C273="",E273="",F273=""),"✖ Portal, User ID and Password are all needed",IF(AND(A273="",COUNTIF(Clients!$B$5:$B$1005,B273)=0),"Not on Clients — will match a portal client by name",IF(AND(C273="GST",D273&lt;&gt;"",COUNTIF(Clients!$AZ$5:$AZ$1005,UPPER(D273))=0,COUNTIF(Clients!$G$5:$G$1005,"*"&amp;UPPER(D273)&amp;"*")=0),"GSTIN not on Clients — will be checked in the portal","✔ OK")))))</f>
        <v/>
      </c>
    </row>
    <row r="274">
      <c r="A274" s="40" t="n"/>
      <c r="B274" s="41" t="n"/>
      <c r="C274" s="41" t="n"/>
      <c r="D274" s="40" t="n"/>
      <c r="E274" s="40" t="n"/>
      <c r="F274" s="40" t="n"/>
      <c r="G274" s="39">
        <f>IF(COUNTA(A274:F274)=0,"",IF(A274="EXAMPLE","Example (skipped)",IF(OR(C274="",E274="",F274=""),"✖ Portal, User ID and Password are all needed",IF(AND(A274="",COUNTIF(Clients!$B$5:$B$1005,B274)=0),"Not on Clients — will match a portal client by name",IF(AND(C274="GST",D274&lt;&gt;"",COUNTIF(Clients!$AZ$5:$AZ$1005,UPPER(D274))=0,COUNTIF(Clients!$G$5:$G$1005,"*"&amp;UPPER(D274)&amp;"*")=0),"GSTIN not on Clients — will be checked in the portal","✔ OK")))))</f>
        <v/>
      </c>
    </row>
    <row r="275">
      <c r="A275" s="40" t="n"/>
      <c r="B275" s="41" t="n"/>
      <c r="C275" s="41" t="n"/>
      <c r="D275" s="40" t="n"/>
      <c r="E275" s="40" t="n"/>
      <c r="F275" s="40" t="n"/>
      <c r="G275" s="39">
        <f>IF(COUNTA(A275:F275)=0,"",IF(A275="EXAMPLE","Example (skipped)",IF(OR(C275="",E275="",F275=""),"✖ Portal, User ID and Password are all needed",IF(AND(A275="",COUNTIF(Clients!$B$5:$B$1005,B275)=0),"Not on Clients — will match a portal client by name",IF(AND(C275="GST",D275&lt;&gt;"",COUNTIF(Clients!$AZ$5:$AZ$1005,UPPER(D275))=0,COUNTIF(Clients!$G$5:$G$1005,"*"&amp;UPPER(D275)&amp;"*")=0),"GSTIN not on Clients — will be checked in the portal","✔ OK")))))</f>
        <v/>
      </c>
    </row>
    <row r="276">
      <c r="A276" s="40" t="n"/>
      <c r="B276" s="41" t="n"/>
      <c r="C276" s="41" t="n"/>
      <c r="D276" s="40" t="n"/>
      <c r="E276" s="40" t="n"/>
      <c r="F276" s="40" t="n"/>
      <c r="G276" s="39">
        <f>IF(COUNTA(A276:F276)=0,"",IF(A276="EXAMPLE","Example (skipped)",IF(OR(C276="",E276="",F276=""),"✖ Portal, User ID and Password are all needed",IF(AND(A276="",COUNTIF(Clients!$B$5:$B$1005,B276)=0),"Not on Clients — will match a portal client by name",IF(AND(C276="GST",D276&lt;&gt;"",COUNTIF(Clients!$AZ$5:$AZ$1005,UPPER(D276))=0,COUNTIF(Clients!$G$5:$G$1005,"*"&amp;UPPER(D276)&amp;"*")=0),"GSTIN not on Clients — will be checked in the portal","✔ OK")))))</f>
        <v/>
      </c>
    </row>
    <row r="277">
      <c r="A277" s="40" t="n"/>
      <c r="B277" s="41" t="n"/>
      <c r="C277" s="41" t="n"/>
      <c r="D277" s="40" t="n"/>
      <c r="E277" s="40" t="n"/>
      <c r="F277" s="40" t="n"/>
      <c r="G277" s="39">
        <f>IF(COUNTA(A277:F277)=0,"",IF(A277="EXAMPLE","Example (skipped)",IF(OR(C277="",E277="",F277=""),"✖ Portal, User ID and Password are all needed",IF(AND(A277="",COUNTIF(Clients!$B$5:$B$1005,B277)=0),"Not on Clients — will match a portal client by name",IF(AND(C277="GST",D277&lt;&gt;"",COUNTIF(Clients!$AZ$5:$AZ$1005,UPPER(D277))=0,COUNTIF(Clients!$G$5:$G$1005,"*"&amp;UPPER(D277)&amp;"*")=0),"GSTIN not on Clients — will be checked in the portal","✔ OK")))))</f>
        <v/>
      </c>
    </row>
    <row r="278">
      <c r="A278" s="40" t="n"/>
      <c r="B278" s="41" t="n"/>
      <c r="C278" s="41" t="n"/>
      <c r="D278" s="40" t="n"/>
      <c r="E278" s="40" t="n"/>
      <c r="F278" s="40" t="n"/>
      <c r="G278" s="39">
        <f>IF(COUNTA(A278:F278)=0,"",IF(A278="EXAMPLE","Example (skipped)",IF(OR(C278="",E278="",F278=""),"✖ Portal, User ID and Password are all needed",IF(AND(A278="",COUNTIF(Clients!$B$5:$B$1005,B278)=0),"Not on Clients — will match a portal client by name",IF(AND(C278="GST",D278&lt;&gt;"",COUNTIF(Clients!$AZ$5:$AZ$1005,UPPER(D278))=0,COUNTIF(Clients!$G$5:$G$1005,"*"&amp;UPPER(D278)&amp;"*")=0),"GSTIN not on Clients — will be checked in the portal","✔ OK")))))</f>
        <v/>
      </c>
    </row>
    <row r="279">
      <c r="A279" s="40" t="n"/>
      <c r="B279" s="41" t="n"/>
      <c r="C279" s="41" t="n"/>
      <c r="D279" s="40" t="n"/>
      <c r="E279" s="40" t="n"/>
      <c r="F279" s="40" t="n"/>
      <c r="G279" s="39">
        <f>IF(COUNTA(A279:F279)=0,"",IF(A279="EXAMPLE","Example (skipped)",IF(OR(C279="",E279="",F279=""),"✖ Portal, User ID and Password are all needed",IF(AND(A279="",COUNTIF(Clients!$B$5:$B$1005,B279)=0),"Not on Clients — will match a portal client by name",IF(AND(C279="GST",D279&lt;&gt;"",COUNTIF(Clients!$AZ$5:$AZ$1005,UPPER(D279))=0,COUNTIF(Clients!$G$5:$G$1005,"*"&amp;UPPER(D279)&amp;"*")=0),"GSTIN not on Clients — will be checked in the portal","✔ OK")))))</f>
        <v/>
      </c>
    </row>
    <row r="280">
      <c r="A280" s="40" t="n"/>
      <c r="B280" s="41" t="n"/>
      <c r="C280" s="41" t="n"/>
      <c r="D280" s="40" t="n"/>
      <c r="E280" s="40" t="n"/>
      <c r="F280" s="40" t="n"/>
      <c r="G280" s="39">
        <f>IF(COUNTA(A280:F280)=0,"",IF(A280="EXAMPLE","Example (skipped)",IF(OR(C280="",E280="",F280=""),"✖ Portal, User ID and Password are all needed",IF(AND(A280="",COUNTIF(Clients!$B$5:$B$1005,B280)=0),"Not on Clients — will match a portal client by name",IF(AND(C280="GST",D280&lt;&gt;"",COUNTIF(Clients!$AZ$5:$AZ$1005,UPPER(D280))=0,COUNTIF(Clients!$G$5:$G$1005,"*"&amp;UPPER(D280)&amp;"*")=0),"GSTIN not on Clients — will be checked in the portal","✔ OK")))))</f>
        <v/>
      </c>
    </row>
    <row r="281">
      <c r="A281" s="40" t="n"/>
      <c r="B281" s="41" t="n"/>
      <c r="C281" s="41" t="n"/>
      <c r="D281" s="40" t="n"/>
      <c r="E281" s="40" t="n"/>
      <c r="F281" s="40" t="n"/>
      <c r="G281" s="39">
        <f>IF(COUNTA(A281:F281)=0,"",IF(A281="EXAMPLE","Example (skipped)",IF(OR(C281="",E281="",F281=""),"✖ Portal, User ID and Password are all needed",IF(AND(A281="",COUNTIF(Clients!$B$5:$B$1005,B281)=0),"Not on Clients — will match a portal client by name",IF(AND(C281="GST",D281&lt;&gt;"",COUNTIF(Clients!$AZ$5:$AZ$1005,UPPER(D281))=0,COUNTIF(Clients!$G$5:$G$1005,"*"&amp;UPPER(D281)&amp;"*")=0),"GSTIN not on Clients — will be checked in the portal","✔ OK")))))</f>
        <v/>
      </c>
    </row>
    <row r="282">
      <c r="A282" s="40" t="n"/>
      <c r="B282" s="41" t="n"/>
      <c r="C282" s="41" t="n"/>
      <c r="D282" s="40" t="n"/>
      <c r="E282" s="40" t="n"/>
      <c r="F282" s="40" t="n"/>
      <c r="G282" s="39">
        <f>IF(COUNTA(A282:F282)=0,"",IF(A282="EXAMPLE","Example (skipped)",IF(OR(C282="",E282="",F282=""),"✖ Portal, User ID and Password are all needed",IF(AND(A282="",COUNTIF(Clients!$B$5:$B$1005,B282)=0),"Not on Clients — will match a portal client by name",IF(AND(C282="GST",D282&lt;&gt;"",COUNTIF(Clients!$AZ$5:$AZ$1005,UPPER(D282))=0,COUNTIF(Clients!$G$5:$G$1005,"*"&amp;UPPER(D282)&amp;"*")=0),"GSTIN not on Clients — will be checked in the portal","✔ OK")))))</f>
        <v/>
      </c>
    </row>
    <row r="283">
      <c r="A283" s="40" t="n"/>
      <c r="B283" s="41" t="n"/>
      <c r="C283" s="41" t="n"/>
      <c r="D283" s="40" t="n"/>
      <c r="E283" s="40" t="n"/>
      <c r="F283" s="40" t="n"/>
      <c r="G283" s="39">
        <f>IF(COUNTA(A283:F283)=0,"",IF(A283="EXAMPLE","Example (skipped)",IF(OR(C283="",E283="",F283=""),"✖ Portal, User ID and Password are all needed",IF(AND(A283="",COUNTIF(Clients!$B$5:$B$1005,B283)=0),"Not on Clients — will match a portal client by name",IF(AND(C283="GST",D283&lt;&gt;"",COUNTIF(Clients!$AZ$5:$AZ$1005,UPPER(D283))=0,COUNTIF(Clients!$G$5:$G$1005,"*"&amp;UPPER(D283)&amp;"*")=0),"GSTIN not on Clients — will be checked in the portal","✔ OK")))))</f>
        <v/>
      </c>
    </row>
    <row r="284">
      <c r="A284" s="40" t="n"/>
      <c r="B284" s="41" t="n"/>
      <c r="C284" s="41" t="n"/>
      <c r="D284" s="40" t="n"/>
      <c r="E284" s="40" t="n"/>
      <c r="F284" s="40" t="n"/>
      <c r="G284" s="39">
        <f>IF(COUNTA(A284:F284)=0,"",IF(A284="EXAMPLE","Example (skipped)",IF(OR(C284="",E284="",F284=""),"✖ Portal, User ID and Password are all needed",IF(AND(A284="",COUNTIF(Clients!$B$5:$B$1005,B284)=0),"Not on Clients — will match a portal client by name",IF(AND(C284="GST",D284&lt;&gt;"",COUNTIF(Clients!$AZ$5:$AZ$1005,UPPER(D284))=0,COUNTIF(Clients!$G$5:$G$1005,"*"&amp;UPPER(D284)&amp;"*")=0),"GSTIN not on Clients — will be checked in the portal","✔ OK")))))</f>
        <v/>
      </c>
    </row>
    <row r="285">
      <c r="A285" s="40" t="n"/>
      <c r="B285" s="41" t="n"/>
      <c r="C285" s="41" t="n"/>
      <c r="D285" s="40" t="n"/>
      <c r="E285" s="40" t="n"/>
      <c r="F285" s="40" t="n"/>
      <c r="G285" s="39">
        <f>IF(COUNTA(A285:F285)=0,"",IF(A285="EXAMPLE","Example (skipped)",IF(OR(C285="",E285="",F285=""),"✖ Portal, User ID and Password are all needed",IF(AND(A285="",COUNTIF(Clients!$B$5:$B$1005,B285)=0),"Not on Clients — will match a portal client by name",IF(AND(C285="GST",D285&lt;&gt;"",COUNTIF(Clients!$AZ$5:$AZ$1005,UPPER(D285))=0,COUNTIF(Clients!$G$5:$G$1005,"*"&amp;UPPER(D285)&amp;"*")=0),"GSTIN not on Clients — will be checked in the portal","✔ OK")))))</f>
        <v/>
      </c>
    </row>
    <row r="286">
      <c r="A286" s="40" t="n"/>
      <c r="B286" s="41" t="n"/>
      <c r="C286" s="41" t="n"/>
      <c r="D286" s="40" t="n"/>
      <c r="E286" s="40" t="n"/>
      <c r="F286" s="40" t="n"/>
      <c r="G286" s="39">
        <f>IF(COUNTA(A286:F286)=0,"",IF(A286="EXAMPLE","Example (skipped)",IF(OR(C286="",E286="",F286=""),"✖ Portal, User ID and Password are all needed",IF(AND(A286="",COUNTIF(Clients!$B$5:$B$1005,B286)=0),"Not on Clients — will match a portal client by name",IF(AND(C286="GST",D286&lt;&gt;"",COUNTIF(Clients!$AZ$5:$AZ$1005,UPPER(D286))=0,COUNTIF(Clients!$G$5:$G$1005,"*"&amp;UPPER(D286)&amp;"*")=0),"GSTIN not on Clients — will be checked in the portal","✔ OK")))))</f>
        <v/>
      </c>
    </row>
    <row r="287">
      <c r="A287" s="40" t="n"/>
      <c r="B287" s="41" t="n"/>
      <c r="C287" s="41" t="n"/>
      <c r="D287" s="40" t="n"/>
      <c r="E287" s="40" t="n"/>
      <c r="F287" s="40" t="n"/>
      <c r="G287" s="39">
        <f>IF(COUNTA(A287:F287)=0,"",IF(A287="EXAMPLE","Example (skipped)",IF(OR(C287="",E287="",F287=""),"✖ Portal, User ID and Password are all needed",IF(AND(A287="",COUNTIF(Clients!$B$5:$B$1005,B287)=0),"Not on Clients — will match a portal client by name",IF(AND(C287="GST",D287&lt;&gt;"",COUNTIF(Clients!$AZ$5:$AZ$1005,UPPER(D287))=0,COUNTIF(Clients!$G$5:$G$1005,"*"&amp;UPPER(D287)&amp;"*")=0),"GSTIN not on Clients — will be checked in the portal","✔ OK")))))</f>
        <v/>
      </c>
    </row>
    <row r="288">
      <c r="A288" s="40" t="n"/>
      <c r="B288" s="41" t="n"/>
      <c r="C288" s="41" t="n"/>
      <c r="D288" s="40" t="n"/>
      <c r="E288" s="40" t="n"/>
      <c r="F288" s="40" t="n"/>
      <c r="G288" s="39">
        <f>IF(COUNTA(A288:F288)=0,"",IF(A288="EXAMPLE","Example (skipped)",IF(OR(C288="",E288="",F288=""),"✖ Portal, User ID and Password are all needed",IF(AND(A288="",COUNTIF(Clients!$B$5:$B$1005,B288)=0),"Not on Clients — will match a portal client by name",IF(AND(C288="GST",D288&lt;&gt;"",COUNTIF(Clients!$AZ$5:$AZ$1005,UPPER(D288))=0,COUNTIF(Clients!$G$5:$G$1005,"*"&amp;UPPER(D288)&amp;"*")=0),"GSTIN not on Clients — will be checked in the portal","✔ OK")))))</f>
        <v/>
      </c>
    </row>
    <row r="289">
      <c r="A289" s="40" t="n"/>
      <c r="B289" s="41" t="n"/>
      <c r="C289" s="41" t="n"/>
      <c r="D289" s="40" t="n"/>
      <c r="E289" s="40" t="n"/>
      <c r="F289" s="40" t="n"/>
      <c r="G289" s="39">
        <f>IF(COUNTA(A289:F289)=0,"",IF(A289="EXAMPLE","Example (skipped)",IF(OR(C289="",E289="",F289=""),"✖ Portal, User ID and Password are all needed",IF(AND(A289="",COUNTIF(Clients!$B$5:$B$1005,B289)=0),"Not on Clients — will match a portal client by name",IF(AND(C289="GST",D289&lt;&gt;"",COUNTIF(Clients!$AZ$5:$AZ$1005,UPPER(D289))=0,COUNTIF(Clients!$G$5:$G$1005,"*"&amp;UPPER(D289)&amp;"*")=0),"GSTIN not on Clients — will be checked in the portal","✔ OK")))))</f>
        <v/>
      </c>
    </row>
    <row r="290">
      <c r="A290" s="40" t="n"/>
      <c r="B290" s="41" t="n"/>
      <c r="C290" s="41" t="n"/>
      <c r="D290" s="40" t="n"/>
      <c r="E290" s="40" t="n"/>
      <c r="F290" s="40" t="n"/>
      <c r="G290" s="39">
        <f>IF(COUNTA(A290:F290)=0,"",IF(A290="EXAMPLE","Example (skipped)",IF(OR(C290="",E290="",F290=""),"✖ Portal, User ID and Password are all needed",IF(AND(A290="",COUNTIF(Clients!$B$5:$B$1005,B290)=0),"Not on Clients — will match a portal client by name",IF(AND(C290="GST",D290&lt;&gt;"",COUNTIF(Clients!$AZ$5:$AZ$1005,UPPER(D290))=0,COUNTIF(Clients!$G$5:$G$1005,"*"&amp;UPPER(D290)&amp;"*")=0),"GSTIN not on Clients — will be checked in the portal","✔ OK")))))</f>
        <v/>
      </c>
    </row>
    <row r="291">
      <c r="A291" s="40" t="n"/>
      <c r="B291" s="41" t="n"/>
      <c r="C291" s="41" t="n"/>
      <c r="D291" s="40" t="n"/>
      <c r="E291" s="40" t="n"/>
      <c r="F291" s="40" t="n"/>
      <c r="G291" s="39">
        <f>IF(COUNTA(A291:F291)=0,"",IF(A291="EXAMPLE","Example (skipped)",IF(OR(C291="",E291="",F291=""),"✖ Portal, User ID and Password are all needed",IF(AND(A291="",COUNTIF(Clients!$B$5:$B$1005,B291)=0),"Not on Clients — will match a portal client by name",IF(AND(C291="GST",D291&lt;&gt;"",COUNTIF(Clients!$AZ$5:$AZ$1005,UPPER(D291))=0,COUNTIF(Clients!$G$5:$G$1005,"*"&amp;UPPER(D291)&amp;"*")=0),"GSTIN not on Clients — will be checked in the portal","✔ OK")))))</f>
        <v/>
      </c>
    </row>
    <row r="292">
      <c r="A292" s="40" t="n"/>
      <c r="B292" s="41" t="n"/>
      <c r="C292" s="41" t="n"/>
      <c r="D292" s="40" t="n"/>
      <c r="E292" s="40" t="n"/>
      <c r="F292" s="40" t="n"/>
      <c r="G292" s="39">
        <f>IF(COUNTA(A292:F292)=0,"",IF(A292="EXAMPLE","Example (skipped)",IF(OR(C292="",E292="",F292=""),"✖ Portal, User ID and Password are all needed",IF(AND(A292="",COUNTIF(Clients!$B$5:$B$1005,B292)=0),"Not on Clients — will match a portal client by name",IF(AND(C292="GST",D292&lt;&gt;"",COUNTIF(Clients!$AZ$5:$AZ$1005,UPPER(D292))=0,COUNTIF(Clients!$G$5:$G$1005,"*"&amp;UPPER(D292)&amp;"*")=0),"GSTIN not on Clients — will be checked in the portal","✔ OK")))))</f>
        <v/>
      </c>
    </row>
    <row r="293">
      <c r="A293" s="40" t="n"/>
      <c r="B293" s="41" t="n"/>
      <c r="C293" s="41" t="n"/>
      <c r="D293" s="40" t="n"/>
      <c r="E293" s="40" t="n"/>
      <c r="F293" s="40" t="n"/>
      <c r="G293" s="39">
        <f>IF(COUNTA(A293:F293)=0,"",IF(A293="EXAMPLE","Example (skipped)",IF(OR(C293="",E293="",F293=""),"✖ Portal, User ID and Password are all needed",IF(AND(A293="",COUNTIF(Clients!$B$5:$B$1005,B293)=0),"Not on Clients — will match a portal client by name",IF(AND(C293="GST",D293&lt;&gt;"",COUNTIF(Clients!$AZ$5:$AZ$1005,UPPER(D293))=0,COUNTIF(Clients!$G$5:$G$1005,"*"&amp;UPPER(D293)&amp;"*")=0),"GSTIN not on Clients — will be checked in the portal","✔ OK")))))</f>
        <v/>
      </c>
    </row>
    <row r="294">
      <c r="A294" s="40" t="n"/>
      <c r="B294" s="41" t="n"/>
      <c r="C294" s="41" t="n"/>
      <c r="D294" s="40" t="n"/>
      <c r="E294" s="40" t="n"/>
      <c r="F294" s="40" t="n"/>
      <c r="G294" s="39">
        <f>IF(COUNTA(A294:F294)=0,"",IF(A294="EXAMPLE","Example (skipped)",IF(OR(C294="",E294="",F294=""),"✖ Portal, User ID and Password are all needed",IF(AND(A294="",COUNTIF(Clients!$B$5:$B$1005,B294)=0),"Not on Clients — will match a portal client by name",IF(AND(C294="GST",D294&lt;&gt;"",COUNTIF(Clients!$AZ$5:$AZ$1005,UPPER(D294))=0,COUNTIF(Clients!$G$5:$G$1005,"*"&amp;UPPER(D294)&amp;"*")=0),"GSTIN not on Clients — will be checked in the portal","✔ OK")))))</f>
        <v/>
      </c>
    </row>
    <row r="295">
      <c r="A295" s="40" t="n"/>
      <c r="B295" s="41" t="n"/>
      <c r="C295" s="41" t="n"/>
      <c r="D295" s="40" t="n"/>
      <c r="E295" s="40" t="n"/>
      <c r="F295" s="40" t="n"/>
      <c r="G295" s="39">
        <f>IF(COUNTA(A295:F295)=0,"",IF(A295="EXAMPLE","Example (skipped)",IF(OR(C295="",E295="",F295=""),"✖ Portal, User ID and Password are all needed",IF(AND(A295="",COUNTIF(Clients!$B$5:$B$1005,B295)=0),"Not on Clients — will match a portal client by name",IF(AND(C295="GST",D295&lt;&gt;"",COUNTIF(Clients!$AZ$5:$AZ$1005,UPPER(D295))=0,COUNTIF(Clients!$G$5:$G$1005,"*"&amp;UPPER(D295)&amp;"*")=0),"GSTIN not on Clients — will be checked in the portal","✔ OK")))))</f>
        <v/>
      </c>
    </row>
    <row r="296">
      <c r="A296" s="40" t="n"/>
      <c r="B296" s="41" t="n"/>
      <c r="C296" s="41" t="n"/>
      <c r="D296" s="40" t="n"/>
      <c r="E296" s="40" t="n"/>
      <c r="F296" s="40" t="n"/>
      <c r="G296" s="39">
        <f>IF(COUNTA(A296:F296)=0,"",IF(A296="EXAMPLE","Example (skipped)",IF(OR(C296="",E296="",F296=""),"✖ Portal, User ID and Password are all needed",IF(AND(A296="",COUNTIF(Clients!$B$5:$B$1005,B296)=0),"Not on Clients — will match a portal client by name",IF(AND(C296="GST",D296&lt;&gt;"",COUNTIF(Clients!$AZ$5:$AZ$1005,UPPER(D296))=0,COUNTIF(Clients!$G$5:$G$1005,"*"&amp;UPPER(D296)&amp;"*")=0),"GSTIN not on Clients — will be checked in the portal","✔ OK")))))</f>
        <v/>
      </c>
    </row>
    <row r="297">
      <c r="A297" s="40" t="n"/>
      <c r="B297" s="41" t="n"/>
      <c r="C297" s="41" t="n"/>
      <c r="D297" s="40" t="n"/>
      <c r="E297" s="40" t="n"/>
      <c r="F297" s="40" t="n"/>
      <c r="G297" s="39">
        <f>IF(COUNTA(A297:F297)=0,"",IF(A297="EXAMPLE","Example (skipped)",IF(OR(C297="",E297="",F297=""),"✖ Portal, User ID and Password are all needed",IF(AND(A297="",COUNTIF(Clients!$B$5:$B$1005,B297)=0),"Not on Clients — will match a portal client by name",IF(AND(C297="GST",D297&lt;&gt;"",COUNTIF(Clients!$AZ$5:$AZ$1005,UPPER(D297))=0,COUNTIF(Clients!$G$5:$G$1005,"*"&amp;UPPER(D297)&amp;"*")=0),"GSTIN not on Clients — will be checked in the portal","✔ OK")))))</f>
        <v/>
      </c>
    </row>
    <row r="298">
      <c r="A298" s="40" t="n"/>
      <c r="B298" s="41" t="n"/>
      <c r="C298" s="41" t="n"/>
      <c r="D298" s="40" t="n"/>
      <c r="E298" s="40" t="n"/>
      <c r="F298" s="40" t="n"/>
      <c r="G298" s="39">
        <f>IF(COUNTA(A298:F298)=0,"",IF(A298="EXAMPLE","Example (skipped)",IF(OR(C298="",E298="",F298=""),"✖ Portal, User ID and Password are all needed",IF(AND(A298="",COUNTIF(Clients!$B$5:$B$1005,B298)=0),"Not on Clients — will match a portal client by name",IF(AND(C298="GST",D298&lt;&gt;"",COUNTIF(Clients!$AZ$5:$AZ$1005,UPPER(D298))=0,COUNTIF(Clients!$G$5:$G$1005,"*"&amp;UPPER(D298)&amp;"*")=0),"GSTIN not on Clients — will be checked in the portal","✔ OK")))))</f>
        <v/>
      </c>
    </row>
    <row r="299">
      <c r="A299" s="40" t="n"/>
      <c r="B299" s="41" t="n"/>
      <c r="C299" s="41" t="n"/>
      <c r="D299" s="40" t="n"/>
      <c r="E299" s="40" t="n"/>
      <c r="F299" s="40" t="n"/>
      <c r="G299" s="39">
        <f>IF(COUNTA(A299:F299)=0,"",IF(A299="EXAMPLE","Example (skipped)",IF(OR(C299="",E299="",F299=""),"✖ Portal, User ID and Password are all needed",IF(AND(A299="",COUNTIF(Clients!$B$5:$B$1005,B299)=0),"Not on Clients — will match a portal client by name",IF(AND(C299="GST",D299&lt;&gt;"",COUNTIF(Clients!$AZ$5:$AZ$1005,UPPER(D299))=0,COUNTIF(Clients!$G$5:$G$1005,"*"&amp;UPPER(D299)&amp;"*")=0),"GSTIN not on Clients — will be checked in the portal","✔ OK")))))</f>
        <v/>
      </c>
    </row>
    <row r="300">
      <c r="A300" s="40" t="n"/>
      <c r="B300" s="41" t="n"/>
      <c r="C300" s="41" t="n"/>
      <c r="D300" s="40" t="n"/>
      <c r="E300" s="40" t="n"/>
      <c r="F300" s="40" t="n"/>
      <c r="G300" s="39">
        <f>IF(COUNTA(A300:F300)=0,"",IF(A300="EXAMPLE","Example (skipped)",IF(OR(C300="",E300="",F300=""),"✖ Portal, User ID and Password are all needed",IF(AND(A300="",COUNTIF(Clients!$B$5:$B$1005,B300)=0),"Not on Clients — will match a portal client by name",IF(AND(C300="GST",D300&lt;&gt;"",COUNTIF(Clients!$AZ$5:$AZ$1005,UPPER(D300))=0,COUNTIF(Clients!$G$5:$G$1005,"*"&amp;UPPER(D300)&amp;"*")=0),"GSTIN not on Clients — will be checked in the portal","✔ OK")))))</f>
        <v/>
      </c>
    </row>
    <row r="301">
      <c r="A301" s="40" t="n"/>
      <c r="B301" s="41" t="n"/>
      <c r="C301" s="41" t="n"/>
      <c r="D301" s="40" t="n"/>
      <c r="E301" s="40" t="n"/>
      <c r="F301" s="40" t="n"/>
      <c r="G301" s="39">
        <f>IF(COUNTA(A301:F301)=0,"",IF(A301="EXAMPLE","Example (skipped)",IF(OR(C301="",E301="",F301=""),"✖ Portal, User ID and Password are all needed",IF(AND(A301="",COUNTIF(Clients!$B$5:$B$1005,B301)=0),"Not on Clients — will match a portal client by name",IF(AND(C301="GST",D301&lt;&gt;"",COUNTIF(Clients!$AZ$5:$AZ$1005,UPPER(D301))=0,COUNTIF(Clients!$G$5:$G$1005,"*"&amp;UPPER(D301)&amp;"*")=0),"GSTIN not on Clients — will be checked in the portal","✔ OK")))))</f>
        <v/>
      </c>
    </row>
    <row r="302">
      <c r="A302" s="40" t="n"/>
      <c r="B302" s="41" t="n"/>
      <c r="C302" s="41" t="n"/>
      <c r="D302" s="40" t="n"/>
      <c r="E302" s="40" t="n"/>
      <c r="F302" s="40" t="n"/>
      <c r="G302" s="39">
        <f>IF(COUNTA(A302:F302)=0,"",IF(A302="EXAMPLE","Example (skipped)",IF(OR(C302="",E302="",F302=""),"✖ Portal, User ID and Password are all needed",IF(AND(A302="",COUNTIF(Clients!$B$5:$B$1005,B302)=0),"Not on Clients — will match a portal client by name",IF(AND(C302="GST",D302&lt;&gt;"",COUNTIF(Clients!$AZ$5:$AZ$1005,UPPER(D302))=0,COUNTIF(Clients!$G$5:$G$1005,"*"&amp;UPPER(D302)&amp;"*")=0),"GSTIN not on Clients — will be checked in the portal","✔ OK")))))</f>
        <v/>
      </c>
    </row>
    <row r="303">
      <c r="A303" s="40" t="n"/>
      <c r="B303" s="41" t="n"/>
      <c r="C303" s="41" t="n"/>
      <c r="D303" s="40" t="n"/>
      <c r="E303" s="40" t="n"/>
      <c r="F303" s="40" t="n"/>
      <c r="G303" s="39">
        <f>IF(COUNTA(A303:F303)=0,"",IF(A303="EXAMPLE","Example (skipped)",IF(OR(C303="",E303="",F303=""),"✖ Portal, User ID and Password are all needed",IF(AND(A303="",COUNTIF(Clients!$B$5:$B$1005,B303)=0),"Not on Clients — will match a portal client by name",IF(AND(C303="GST",D303&lt;&gt;"",COUNTIF(Clients!$AZ$5:$AZ$1005,UPPER(D303))=0,COUNTIF(Clients!$G$5:$G$1005,"*"&amp;UPPER(D303)&amp;"*")=0),"GSTIN not on Clients — will be checked in the portal","✔ OK")))))</f>
        <v/>
      </c>
    </row>
    <row r="304">
      <c r="A304" s="40" t="n"/>
      <c r="B304" s="41" t="n"/>
      <c r="C304" s="41" t="n"/>
      <c r="D304" s="40" t="n"/>
      <c r="E304" s="40" t="n"/>
      <c r="F304" s="40" t="n"/>
      <c r="G304" s="39">
        <f>IF(COUNTA(A304:F304)=0,"",IF(A304="EXAMPLE","Example (skipped)",IF(OR(C304="",E304="",F304=""),"✖ Portal, User ID and Password are all needed",IF(AND(A304="",COUNTIF(Clients!$B$5:$B$1005,B304)=0),"Not on Clients — will match a portal client by name",IF(AND(C304="GST",D304&lt;&gt;"",COUNTIF(Clients!$AZ$5:$AZ$1005,UPPER(D304))=0,COUNTIF(Clients!$G$5:$G$1005,"*"&amp;UPPER(D304)&amp;"*")=0),"GSTIN not on Clients — will be checked in the portal","✔ OK")))))</f>
        <v/>
      </c>
    </row>
    <row r="305">
      <c r="A305" s="40" t="n"/>
      <c r="B305" s="41" t="n"/>
      <c r="C305" s="41" t="n"/>
      <c r="D305" s="40" t="n"/>
      <c r="E305" s="40" t="n"/>
      <c r="F305" s="40" t="n"/>
      <c r="G305" s="39">
        <f>IF(COUNTA(A305:F305)=0,"",IF(A305="EXAMPLE","Example (skipped)",IF(OR(C305="",E305="",F305=""),"✖ Portal, User ID and Password are all needed",IF(AND(A305="",COUNTIF(Clients!$B$5:$B$1005,B305)=0),"Not on Clients — will match a portal client by name",IF(AND(C305="GST",D305&lt;&gt;"",COUNTIF(Clients!$AZ$5:$AZ$1005,UPPER(D305))=0,COUNTIF(Clients!$G$5:$G$1005,"*"&amp;UPPER(D305)&amp;"*")=0),"GSTIN not on Clients — will be checked in the portal","✔ OK")))))</f>
        <v/>
      </c>
    </row>
    <row r="306">
      <c r="A306" s="40" t="n"/>
      <c r="B306" s="41" t="n"/>
      <c r="C306" s="41" t="n"/>
      <c r="D306" s="40" t="n"/>
      <c r="E306" s="40" t="n"/>
      <c r="F306" s="40" t="n"/>
      <c r="G306" s="39">
        <f>IF(COUNTA(A306:F306)=0,"",IF(A306="EXAMPLE","Example (skipped)",IF(OR(C306="",E306="",F306=""),"✖ Portal, User ID and Password are all needed",IF(AND(A306="",COUNTIF(Clients!$B$5:$B$1005,B306)=0),"Not on Clients — will match a portal client by name",IF(AND(C306="GST",D306&lt;&gt;"",COUNTIF(Clients!$AZ$5:$AZ$1005,UPPER(D306))=0,COUNTIF(Clients!$G$5:$G$1005,"*"&amp;UPPER(D306)&amp;"*")=0),"GSTIN not on Clients — will be checked in the portal","✔ OK")))))</f>
        <v/>
      </c>
    </row>
    <row r="307">
      <c r="A307" s="40" t="n"/>
      <c r="B307" s="41" t="n"/>
      <c r="C307" s="41" t="n"/>
      <c r="D307" s="40" t="n"/>
      <c r="E307" s="40" t="n"/>
      <c r="F307" s="40" t="n"/>
      <c r="G307" s="39">
        <f>IF(COUNTA(A307:F307)=0,"",IF(A307="EXAMPLE","Example (skipped)",IF(OR(C307="",E307="",F307=""),"✖ Portal, User ID and Password are all needed",IF(AND(A307="",COUNTIF(Clients!$B$5:$B$1005,B307)=0),"Not on Clients — will match a portal client by name",IF(AND(C307="GST",D307&lt;&gt;"",COUNTIF(Clients!$AZ$5:$AZ$1005,UPPER(D307))=0,COUNTIF(Clients!$G$5:$G$1005,"*"&amp;UPPER(D307)&amp;"*")=0),"GSTIN not on Clients — will be checked in the portal","✔ OK")))))</f>
        <v/>
      </c>
    </row>
    <row r="308">
      <c r="A308" s="40" t="n"/>
      <c r="B308" s="41" t="n"/>
      <c r="C308" s="41" t="n"/>
      <c r="D308" s="40" t="n"/>
      <c r="E308" s="40" t="n"/>
      <c r="F308" s="40" t="n"/>
      <c r="G308" s="39">
        <f>IF(COUNTA(A308:F308)=0,"",IF(A308="EXAMPLE","Example (skipped)",IF(OR(C308="",E308="",F308=""),"✖ Portal, User ID and Password are all needed",IF(AND(A308="",COUNTIF(Clients!$B$5:$B$1005,B308)=0),"Not on Clients — will match a portal client by name",IF(AND(C308="GST",D308&lt;&gt;"",COUNTIF(Clients!$AZ$5:$AZ$1005,UPPER(D308))=0,COUNTIF(Clients!$G$5:$G$1005,"*"&amp;UPPER(D308)&amp;"*")=0),"GSTIN not on Clients — will be checked in the portal","✔ OK")))))</f>
        <v/>
      </c>
    </row>
    <row r="309">
      <c r="A309" s="40" t="n"/>
      <c r="B309" s="41" t="n"/>
      <c r="C309" s="41" t="n"/>
      <c r="D309" s="40" t="n"/>
      <c r="E309" s="40" t="n"/>
      <c r="F309" s="40" t="n"/>
      <c r="G309" s="39">
        <f>IF(COUNTA(A309:F309)=0,"",IF(A309="EXAMPLE","Example (skipped)",IF(OR(C309="",E309="",F309=""),"✖ Portal, User ID and Password are all needed",IF(AND(A309="",COUNTIF(Clients!$B$5:$B$1005,B309)=0),"Not on Clients — will match a portal client by name",IF(AND(C309="GST",D309&lt;&gt;"",COUNTIF(Clients!$AZ$5:$AZ$1005,UPPER(D309))=0,COUNTIF(Clients!$G$5:$G$1005,"*"&amp;UPPER(D309)&amp;"*")=0),"GSTIN not on Clients — will be checked in the portal","✔ OK")))))</f>
        <v/>
      </c>
    </row>
    <row r="310">
      <c r="A310" s="40" t="n"/>
      <c r="B310" s="41" t="n"/>
      <c r="C310" s="41" t="n"/>
      <c r="D310" s="40" t="n"/>
      <c r="E310" s="40" t="n"/>
      <c r="F310" s="40" t="n"/>
      <c r="G310" s="39">
        <f>IF(COUNTA(A310:F310)=0,"",IF(A310="EXAMPLE","Example (skipped)",IF(OR(C310="",E310="",F310=""),"✖ Portal, User ID and Password are all needed",IF(AND(A310="",COUNTIF(Clients!$B$5:$B$1005,B310)=0),"Not on Clients — will match a portal client by name",IF(AND(C310="GST",D310&lt;&gt;"",COUNTIF(Clients!$AZ$5:$AZ$1005,UPPER(D310))=0,COUNTIF(Clients!$G$5:$G$1005,"*"&amp;UPPER(D310)&amp;"*")=0),"GSTIN not on Clients — will be checked in the portal","✔ OK")))))</f>
        <v/>
      </c>
    </row>
    <row r="311">
      <c r="A311" s="40" t="n"/>
      <c r="B311" s="41" t="n"/>
      <c r="C311" s="41" t="n"/>
      <c r="D311" s="40" t="n"/>
      <c r="E311" s="40" t="n"/>
      <c r="F311" s="40" t="n"/>
      <c r="G311" s="39">
        <f>IF(COUNTA(A311:F311)=0,"",IF(A311="EXAMPLE","Example (skipped)",IF(OR(C311="",E311="",F311=""),"✖ Portal, User ID and Password are all needed",IF(AND(A311="",COUNTIF(Clients!$B$5:$B$1005,B311)=0),"Not on Clients — will match a portal client by name",IF(AND(C311="GST",D311&lt;&gt;"",COUNTIF(Clients!$AZ$5:$AZ$1005,UPPER(D311))=0,COUNTIF(Clients!$G$5:$G$1005,"*"&amp;UPPER(D311)&amp;"*")=0),"GSTIN not on Clients — will be checked in the portal","✔ OK")))))</f>
        <v/>
      </c>
    </row>
    <row r="312">
      <c r="A312" s="40" t="n"/>
      <c r="B312" s="41" t="n"/>
      <c r="C312" s="41" t="n"/>
      <c r="D312" s="40" t="n"/>
      <c r="E312" s="40" t="n"/>
      <c r="F312" s="40" t="n"/>
      <c r="G312" s="39">
        <f>IF(COUNTA(A312:F312)=0,"",IF(A312="EXAMPLE","Example (skipped)",IF(OR(C312="",E312="",F312=""),"✖ Portal, User ID and Password are all needed",IF(AND(A312="",COUNTIF(Clients!$B$5:$B$1005,B312)=0),"Not on Clients — will match a portal client by name",IF(AND(C312="GST",D312&lt;&gt;"",COUNTIF(Clients!$AZ$5:$AZ$1005,UPPER(D312))=0,COUNTIF(Clients!$G$5:$G$1005,"*"&amp;UPPER(D312)&amp;"*")=0),"GSTIN not on Clients — will be checked in the portal","✔ OK")))))</f>
        <v/>
      </c>
    </row>
    <row r="313">
      <c r="A313" s="40" t="n"/>
      <c r="B313" s="41" t="n"/>
      <c r="C313" s="41" t="n"/>
      <c r="D313" s="40" t="n"/>
      <c r="E313" s="40" t="n"/>
      <c r="F313" s="40" t="n"/>
      <c r="G313" s="39">
        <f>IF(COUNTA(A313:F313)=0,"",IF(A313="EXAMPLE","Example (skipped)",IF(OR(C313="",E313="",F313=""),"✖ Portal, User ID and Password are all needed",IF(AND(A313="",COUNTIF(Clients!$B$5:$B$1005,B313)=0),"Not on Clients — will match a portal client by name",IF(AND(C313="GST",D313&lt;&gt;"",COUNTIF(Clients!$AZ$5:$AZ$1005,UPPER(D313))=0,COUNTIF(Clients!$G$5:$G$1005,"*"&amp;UPPER(D313)&amp;"*")=0),"GSTIN not on Clients — will be checked in the portal","✔ OK")))))</f>
        <v/>
      </c>
    </row>
    <row r="314">
      <c r="A314" s="40" t="n"/>
      <c r="B314" s="41" t="n"/>
      <c r="C314" s="41" t="n"/>
      <c r="D314" s="40" t="n"/>
      <c r="E314" s="40" t="n"/>
      <c r="F314" s="40" t="n"/>
      <c r="G314" s="39">
        <f>IF(COUNTA(A314:F314)=0,"",IF(A314="EXAMPLE","Example (skipped)",IF(OR(C314="",E314="",F314=""),"✖ Portal, User ID and Password are all needed",IF(AND(A314="",COUNTIF(Clients!$B$5:$B$1005,B314)=0),"Not on Clients — will match a portal client by name",IF(AND(C314="GST",D314&lt;&gt;"",COUNTIF(Clients!$AZ$5:$AZ$1005,UPPER(D314))=0,COUNTIF(Clients!$G$5:$G$1005,"*"&amp;UPPER(D314)&amp;"*")=0),"GSTIN not on Clients — will be checked in the portal","✔ OK")))))</f>
        <v/>
      </c>
    </row>
    <row r="315">
      <c r="A315" s="40" t="n"/>
      <c r="B315" s="41" t="n"/>
      <c r="C315" s="41" t="n"/>
      <c r="D315" s="40" t="n"/>
      <c r="E315" s="40" t="n"/>
      <c r="F315" s="40" t="n"/>
      <c r="G315" s="39">
        <f>IF(COUNTA(A315:F315)=0,"",IF(A315="EXAMPLE","Example (skipped)",IF(OR(C315="",E315="",F315=""),"✖ Portal, User ID and Password are all needed",IF(AND(A315="",COUNTIF(Clients!$B$5:$B$1005,B315)=0),"Not on Clients — will match a portal client by name",IF(AND(C315="GST",D315&lt;&gt;"",COUNTIF(Clients!$AZ$5:$AZ$1005,UPPER(D315))=0,COUNTIF(Clients!$G$5:$G$1005,"*"&amp;UPPER(D315)&amp;"*")=0),"GSTIN not on Clients — will be checked in the portal","✔ OK")))))</f>
        <v/>
      </c>
    </row>
    <row r="316">
      <c r="A316" s="40" t="n"/>
      <c r="B316" s="41" t="n"/>
      <c r="C316" s="41" t="n"/>
      <c r="D316" s="40" t="n"/>
      <c r="E316" s="40" t="n"/>
      <c r="F316" s="40" t="n"/>
      <c r="G316" s="39">
        <f>IF(COUNTA(A316:F316)=0,"",IF(A316="EXAMPLE","Example (skipped)",IF(OR(C316="",E316="",F316=""),"✖ Portal, User ID and Password are all needed",IF(AND(A316="",COUNTIF(Clients!$B$5:$B$1005,B316)=0),"Not on Clients — will match a portal client by name",IF(AND(C316="GST",D316&lt;&gt;"",COUNTIF(Clients!$AZ$5:$AZ$1005,UPPER(D316))=0,COUNTIF(Clients!$G$5:$G$1005,"*"&amp;UPPER(D316)&amp;"*")=0),"GSTIN not on Clients — will be checked in the portal","✔ OK")))))</f>
        <v/>
      </c>
    </row>
    <row r="317">
      <c r="A317" s="40" t="n"/>
      <c r="B317" s="41" t="n"/>
      <c r="C317" s="41" t="n"/>
      <c r="D317" s="40" t="n"/>
      <c r="E317" s="40" t="n"/>
      <c r="F317" s="40" t="n"/>
      <c r="G317" s="39">
        <f>IF(COUNTA(A317:F317)=0,"",IF(A317="EXAMPLE","Example (skipped)",IF(OR(C317="",E317="",F317=""),"✖ Portal, User ID and Password are all needed",IF(AND(A317="",COUNTIF(Clients!$B$5:$B$1005,B317)=0),"Not on Clients — will match a portal client by name",IF(AND(C317="GST",D317&lt;&gt;"",COUNTIF(Clients!$AZ$5:$AZ$1005,UPPER(D317))=0,COUNTIF(Clients!$G$5:$G$1005,"*"&amp;UPPER(D317)&amp;"*")=0),"GSTIN not on Clients — will be checked in the portal","✔ OK")))))</f>
        <v/>
      </c>
    </row>
    <row r="318">
      <c r="A318" s="40" t="n"/>
      <c r="B318" s="41" t="n"/>
      <c r="C318" s="41" t="n"/>
      <c r="D318" s="40" t="n"/>
      <c r="E318" s="40" t="n"/>
      <c r="F318" s="40" t="n"/>
      <c r="G318" s="39">
        <f>IF(COUNTA(A318:F318)=0,"",IF(A318="EXAMPLE","Example (skipped)",IF(OR(C318="",E318="",F318=""),"✖ Portal, User ID and Password are all needed",IF(AND(A318="",COUNTIF(Clients!$B$5:$B$1005,B318)=0),"Not on Clients — will match a portal client by name",IF(AND(C318="GST",D318&lt;&gt;"",COUNTIF(Clients!$AZ$5:$AZ$1005,UPPER(D318))=0,COUNTIF(Clients!$G$5:$G$1005,"*"&amp;UPPER(D318)&amp;"*")=0),"GSTIN not on Clients — will be checked in the portal","✔ OK")))))</f>
        <v/>
      </c>
    </row>
    <row r="319">
      <c r="A319" s="40" t="n"/>
      <c r="B319" s="41" t="n"/>
      <c r="C319" s="41" t="n"/>
      <c r="D319" s="40" t="n"/>
      <c r="E319" s="40" t="n"/>
      <c r="F319" s="40" t="n"/>
      <c r="G319" s="39">
        <f>IF(COUNTA(A319:F319)=0,"",IF(A319="EXAMPLE","Example (skipped)",IF(OR(C319="",E319="",F319=""),"✖ Portal, User ID and Password are all needed",IF(AND(A319="",COUNTIF(Clients!$B$5:$B$1005,B319)=0),"Not on Clients — will match a portal client by name",IF(AND(C319="GST",D319&lt;&gt;"",COUNTIF(Clients!$AZ$5:$AZ$1005,UPPER(D319))=0,COUNTIF(Clients!$G$5:$G$1005,"*"&amp;UPPER(D319)&amp;"*")=0),"GSTIN not on Clients — will be checked in the portal","✔ OK")))))</f>
        <v/>
      </c>
    </row>
    <row r="320">
      <c r="A320" s="40" t="n"/>
      <c r="B320" s="41" t="n"/>
      <c r="C320" s="41" t="n"/>
      <c r="D320" s="40" t="n"/>
      <c r="E320" s="40" t="n"/>
      <c r="F320" s="40" t="n"/>
      <c r="G320" s="39">
        <f>IF(COUNTA(A320:F320)=0,"",IF(A320="EXAMPLE","Example (skipped)",IF(OR(C320="",E320="",F320=""),"✖ Portal, User ID and Password are all needed",IF(AND(A320="",COUNTIF(Clients!$B$5:$B$1005,B320)=0),"Not on Clients — will match a portal client by name",IF(AND(C320="GST",D320&lt;&gt;"",COUNTIF(Clients!$AZ$5:$AZ$1005,UPPER(D320))=0,COUNTIF(Clients!$G$5:$G$1005,"*"&amp;UPPER(D320)&amp;"*")=0),"GSTIN not on Clients — will be checked in the portal","✔ OK")))))</f>
        <v/>
      </c>
    </row>
    <row r="321">
      <c r="A321" s="40" t="n"/>
      <c r="B321" s="41" t="n"/>
      <c r="C321" s="41" t="n"/>
      <c r="D321" s="40" t="n"/>
      <c r="E321" s="40" t="n"/>
      <c r="F321" s="40" t="n"/>
      <c r="G321" s="39">
        <f>IF(COUNTA(A321:F321)=0,"",IF(A321="EXAMPLE","Example (skipped)",IF(OR(C321="",E321="",F321=""),"✖ Portal, User ID and Password are all needed",IF(AND(A321="",COUNTIF(Clients!$B$5:$B$1005,B321)=0),"Not on Clients — will match a portal client by name",IF(AND(C321="GST",D321&lt;&gt;"",COUNTIF(Clients!$AZ$5:$AZ$1005,UPPER(D321))=0,COUNTIF(Clients!$G$5:$G$1005,"*"&amp;UPPER(D321)&amp;"*")=0),"GSTIN not on Clients — will be checked in the portal","✔ OK")))))</f>
        <v/>
      </c>
    </row>
    <row r="322">
      <c r="A322" s="40" t="n"/>
      <c r="B322" s="41" t="n"/>
      <c r="C322" s="41" t="n"/>
      <c r="D322" s="40" t="n"/>
      <c r="E322" s="40" t="n"/>
      <c r="F322" s="40" t="n"/>
      <c r="G322" s="39">
        <f>IF(COUNTA(A322:F322)=0,"",IF(A322="EXAMPLE","Example (skipped)",IF(OR(C322="",E322="",F322=""),"✖ Portal, User ID and Password are all needed",IF(AND(A322="",COUNTIF(Clients!$B$5:$B$1005,B322)=0),"Not on Clients — will match a portal client by name",IF(AND(C322="GST",D322&lt;&gt;"",COUNTIF(Clients!$AZ$5:$AZ$1005,UPPER(D322))=0,COUNTIF(Clients!$G$5:$G$1005,"*"&amp;UPPER(D322)&amp;"*")=0),"GSTIN not on Clients — will be checked in the portal","✔ OK")))))</f>
        <v/>
      </c>
    </row>
    <row r="323">
      <c r="A323" s="40" t="n"/>
      <c r="B323" s="41" t="n"/>
      <c r="C323" s="41" t="n"/>
      <c r="D323" s="40" t="n"/>
      <c r="E323" s="40" t="n"/>
      <c r="F323" s="40" t="n"/>
      <c r="G323" s="39">
        <f>IF(COUNTA(A323:F323)=0,"",IF(A323="EXAMPLE","Example (skipped)",IF(OR(C323="",E323="",F323=""),"✖ Portal, User ID and Password are all needed",IF(AND(A323="",COUNTIF(Clients!$B$5:$B$1005,B323)=0),"Not on Clients — will match a portal client by name",IF(AND(C323="GST",D323&lt;&gt;"",COUNTIF(Clients!$AZ$5:$AZ$1005,UPPER(D323))=0,COUNTIF(Clients!$G$5:$G$1005,"*"&amp;UPPER(D323)&amp;"*")=0),"GSTIN not on Clients — will be checked in the portal","✔ OK")))))</f>
        <v/>
      </c>
    </row>
    <row r="324">
      <c r="A324" s="40" t="n"/>
      <c r="B324" s="41" t="n"/>
      <c r="C324" s="41" t="n"/>
      <c r="D324" s="40" t="n"/>
      <c r="E324" s="40" t="n"/>
      <c r="F324" s="40" t="n"/>
      <c r="G324" s="39">
        <f>IF(COUNTA(A324:F324)=0,"",IF(A324="EXAMPLE","Example (skipped)",IF(OR(C324="",E324="",F324=""),"✖ Portal, User ID and Password are all needed",IF(AND(A324="",COUNTIF(Clients!$B$5:$B$1005,B324)=0),"Not on Clients — will match a portal client by name",IF(AND(C324="GST",D324&lt;&gt;"",COUNTIF(Clients!$AZ$5:$AZ$1005,UPPER(D324))=0,COUNTIF(Clients!$G$5:$G$1005,"*"&amp;UPPER(D324)&amp;"*")=0),"GSTIN not on Clients — will be checked in the portal","✔ OK")))))</f>
        <v/>
      </c>
    </row>
    <row r="325">
      <c r="A325" s="40" t="n"/>
      <c r="B325" s="41" t="n"/>
      <c r="C325" s="41" t="n"/>
      <c r="D325" s="40" t="n"/>
      <c r="E325" s="40" t="n"/>
      <c r="F325" s="40" t="n"/>
      <c r="G325" s="39">
        <f>IF(COUNTA(A325:F325)=0,"",IF(A325="EXAMPLE","Example (skipped)",IF(OR(C325="",E325="",F325=""),"✖ Portal, User ID and Password are all needed",IF(AND(A325="",COUNTIF(Clients!$B$5:$B$1005,B325)=0),"Not on Clients — will match a portal client by name",IF(AND(C325="GST",D325&lt;&gt;"",COUNTIF(Clients!$AZ$5:$AZ$1005,UPPER(D325))=0,COUNTIF(Clients!$G$5:$G$1005,"*"&amp;UPPER(D325)&amp;"*")=0),"GSTIN not on Clients — will be checked in the portal","✔ OK")))))</f>
        <v/>
      </c>
    </row>
    <row r="326">
      <c r="A326" s="40" t="n"/>
      <c r="B326" s="41" t="n"/>
      <c r="C326" s="41" t="n"/>
      <c r="D326" s="40" t="n"/>
      <c r="E326" s="40" t="n"/>
      <c r="F326" s="40" t="n"/>
      <c r="G326" s="39">
        <f>IF(COUNTA(A326:F326)=0,"",IF(A326="EXAMPLE","Example (skipped)",IF(OR(C326="",E326="",F326=""),"✖ Portal, User ID and Password are all needed",IF(AND(A326="",COUNTIF(Clients!$B$5:$B$1005,B326)=0),"Not on Clients — will match a portal client by name",IF(AND(C326="GST",D326&lt;&gt;"",COUNTIF(Clients!$AZ$5:$AZ$1005,UPPER(D326))=0,COUNTIF(Clients!$G$5:$G$1005,"*"&amp;UPPER(D326)&amp;"*")=0),"GSTIN not on Clients — will be checked in the portal","✔ OK")))))</f>
        <v/>
      </c>
    </row>
    <row r="327">
      <c r="A327" s="40" t="n"/>
      <c r="B327" s="41" t="n"/>
      <c r="C327" s="41" t="n"/>
      <c r="D327" s="40" t="n"/>
      <c r="E327" s="40" t="n"/>
      <c r="F327" s="40" t="n"/>
      <c r="G327" s="39">
        <f>IF(COUNTA(A327:F327)=0,"",IF(A327="EXAMPLE","Example (skipped)",IF(OR(C327="",E327="",F327=""),"✖ Portal, User ID and Password are all needed",IF(AND(A327="",COUNTIF(Clients!$B$5:$B$1005,B327)=0),"Not on Clients — will match a portal client by name",IF(AND(C327="GST",D327&lt;&gt;"",COUNTIF(Clients!$AZ$5:$AZ$1005,UPPER(D327))=0,COUNTIF(Clients!$G$5:$G$1005,"*"&amp;UPPER(D327)&amp;"*")=0),"GSTIN not on Clients — will be checked in the portal","✔ OK")))))</f>
        <v/>
      </c>
    </row>
    <row r="328">
      <c r="A328" s="40" t="n"/>
      <c r="B328" s="41" t="n"/>
      <c r="C328" s="41" t="n"/>
      <c r="D328" s="40" t="n"/>
      <c r="E328" s="40" t="n"/>
      <c r="F328" s="40" t="n"/>
      <c r="G328" s="39">
        <f>IF(COUNTA(A328:F328)=0,"",IF(A328="EXAMPLE","Example (skipped)",IF(OR(C328="",E328="",F328=""),"✖ Portal, User ID and Password are all needed",IF(AND(A328="",COUNTIF(Clients!$B$5:$B$1005,B328)=0),"Not on Clients — will match a portal client by name",IF(AND(C328="GST",D328&lt;&gt;"",COUNTIF(Clients!$AZ$5:$AZ$1005,UPPER(D328))=0,COUNTIF(Clients!$G$5:$G$1005,"*"&amp;UPPER(D328)&amp;"*")=0),"GSTIN not on Clients — will be checked in the portal","✔ OK")))))</f>
        <v/>
      </c>
    </row>
    <row r="329">
      <c r="A329" s="40" t="n"/>
      <c r="B329" s="41" t="n"/>
      <c r="C329" s="41" t="n"/>
      <c r="D329" s="40" t="n"/>
      <c r="E329" s="40" t="n"/>
      <c r="F329" s="40" t="n"/>
      <c r="G329" s="39">
        <f>IF(COUNTA(A329:F329)=0,"",IF(A329="EXAMPLE","Example (skipped)",IF(OR(C329="",E329="",F329=""),"✖ Portal, User ID and Password are all needed",IF(AND(A329="",COUNTIF(Clients!$B$5:$B$1005,B329)=0),"Not on Clients — will match a portal client by name",IF(AND(C329="GST",D329&lt;&gt;"",COUNTIF(Clients!$AZ$5:$AZ$1005,UPPER(D329))=0,COUNTIF(Clients!$G$5:$G$1005,"*"&amp;UPPER(D329)&amp;"*")=0),"GSTIN not on Clients — will be checked in the portal","✔ OK")))))</f>
        <v/>
      </c>
    </row>
    <row r="330">
      <c r="A330" s="40" t="n"/>
      <c r="B330" s="41" t="n"/>
      <c r="C330" s="41" t="n"/>
      <c r="D330" s="40" t="n"/>
      <c r="E330" s="40" t="n"/>
      <c r="F330" s="40" t="n"/>
      <c r="G330" s="39">
        <f>IF(COUNTA(A330:F330)=0,"",IF(A330="EXAMPLE","Example (skipped)",IF(OR(C330="",E330="",F330=""),"✖ Portal, User ID and Password are all needed",IF(AND(A330="",COUNTIF(Clients!$B$5:$B$1005,B330)=0),"Not on Clients — will match a portal client by name",IF(AND(C330="GST",D330&lt;&gt;"",COUNTIF(Clients!$AZ$5:$AZ$1005,UPPER(D330))=0,COUNTIF(Clients!$G$5:$G$1005,"*"&amp;UPPER(D330)&amp;"*")=0),"GSTIN not on Clients — will be checked in the portal","✔ OK")))))</f>
        <v/>
      </c>
    </row>
    <row r="331">
      <c r="A331" s="40" t="n"/>
      <c r="B331" s="41" t="n"/>
      <c r="C331" s="41" t="n"/>
      <c r="D331" s="40" t="n"/>
      <c r="E331" s="40" t="n"/>
      <c r="F331" s="40" t="n"/>
      <c r="G331" s="39">
        <f>IF(COUNTA(A331:F331)=0,"",IF(A331="EXAMPLE","Example (skipped)",IF(OR(C331="",E331="",F331=""),"✖ Portal, User ID and Password are all needed",IF(AND(A331="",COUNTIF(Clients!$B$5:$B$1005,B331)=0),"Not on Clients — will match a portal client by name",IF(AND(C331="GST",D331&lt;&gt;"",COUNTIF(Clients!$AZ$5:$AZ$1005,UPPER(D331))=0,COUNTIF(Clients!$G$5:$G$1005,"*"&amp;UPPER(D331)&amp;"*")=0),"GSTIN not on Clients — will be checked in the portal","✔ OK")))))</f>
        <v/>
      </c>
    </row>
    <row r="332">
      <c r="A332" s="40" t="n"/>
      <c r="B332" s="41" t="n"/>
      <c r="C332" s="41" t="n"/>
      <c r="D332" s="40" t="n"/>
      <c r="E332" s="40" t="n"/>
      <c r="F332" s="40" t="n"/>
      <c r="G332" s="39">
        <f>IF(COUNTA(A332:F332)=0,"",IF(A332="EXAMPLE","Example (skipped)",IF(OR(C332="",E332="",F332=""),"✖ Portal, User ID and Password are all needed",IF(AND(A332="",COUNTIF(Clients!$B$5:$B$1005,B332)=0),"Not on Clients — will match a portal client by name",IF(AND(C332="GST",D332&lt;&gt;"",COUNTIF(Clients!$AZ$5:$AZ$1005,UPPER(D332))=0,COUNTIF(Clients!$G$5:$G$1005,"*"&amp;UPPER(D332)&amp;"*")=0),"GSTIN not on Clients — will be checked in the portal","✔ OK")))))</f>
        <v/>
      </c>
    </row>
    <row r="333">
      <c r="A333" s="40" t="n"/>
      <c r="B333" s="41" t="n"/>
      <c r="C333" s="41" t="n"/>
      <c r="D333" s="40" t="n"/>
      <c r="E333" s="40" t="n"/>
      <c r="F333" s="40" t="n"/>
      <c r="G333" s="39">
        <f>IF(COUNTA(A333:F333)=0,"",IF(A333="EXAMPLE","Example (skipped)",IF(OR(C333="",E333="",F333=""),"✖ Portal, User ID and Password are all needed",IF(AND(A333="",COUNTIF(Clients!$B$5:$B$1005,B333)=0),"Not on Clients — will match a portal client by name",IF(AND(C333="GST",D333&lt;&gt;"",COUNTIF(Clients!$AZ$5:$AZ$1005,UPPER(D333))=0,COUNTIF(Clients!$G$5:$G$1005,"*"&amp;UPPER(D333)&amp;"*")=0),"GSTIN not on Clients — will be checked in the portal","✔ OK")))))</f>
        <v/>
      </c>
    </row>
    <row r="334">
      <c r="A334" s="40" t="n"/>
      <c r="B334" s="41" t="n"/>
      <c r="C334" s="41" t="n"/>
      <c r="D334" s="40" t="n"/>
      <c r="E334" s="40" t="n"/>
      <c r="F334" s="40" t="n"/>
      <c r="G334" s="39">
        <f>IF(COUNTA(A334:F334)=0,"",IF(A334="EXAMPLE","Example (skipped)",IF(OR(C334="",E334="",F334=""),"✖ Portal, User ID and Password are all needed",IF(AND(A334="",COUNTIF(Clients!$B$5:$B$1005,B334)=0),"Not on Clients — will match a portal client by name",IF(AND(C334="GST",D334&lt;&gt;"",COUNTIF(Clients!$AZ$5:$AZ$1005,UPPER(D334))=0,COUNTIF(Clients!$G$5:$G$1005,"*"&amp;UPPER(D334)&amp;"*")=0),"GSTIN not on Clients — will be checked in the portal","✔ OK")))))</f>
        <v/>
      </c>
    </row>
    <row r="335">
      <c r="A335" s="40" t="n"/>
      <c r="B335" s="41" t="n"/>
      <c r="C335" s="41" t="n"/>
      <c r="D335" s="40" t="n"/>
      <c r="E335" s="40" t="n"/>
      <c r="F335" s="40" t="n"/>
      <c r="G335" s="39">
        <f>IF(COUNTA(A335:F335)=0,"",IF(A335="EXAMPLE","Example (skipped)",IF(OR(C335="",E335="",F335=""),"✖ Portal, User ID and Password are all needed",IF(AND(A335="",COUNTIF(Clients!$B$5:$B$1005,B335)=0),"Not on Clients — will match a portal client by name",IF(AND(C335="GST",D335&lt;&gt;"",COUNTIF(Clients!$AZ$5:$AZ$1005,UPPER(D335))=0,COUNTIF(Clients!$G$5:$G$1005,"*"&amp;UPPER(D335)&amp;"*")=0),"GSTIN not on Clients — will be checked in the portal","✔ OK")))))</f>
        <v/>
      </c>
    </row>
    <row r="336">
      <c r="A336" s="40" t="n"/>
      <c r="B336" s="41" t="n"/>
      <c r="C336" s="41" t="n"/>
      <c r="D336" s="40" t="n"/>
      <c r="E336" s="40" t="n"/>
      <c r="F336" s="40" t="n"/>
      <c r="G336" s="39">
        <f>IF(COUNTA(A336:F336)=0,"",IF(A336="EXAMPLE","Example (skipped)",IF(OR(C336="",E336="",F336=""),"✖ Portal, User ID and Password are all needed",IF(AND(A336="",COUNTIF(Clients!$B$5:$B$1005,B336)=0),"Not on Clients — will match a portal client by name",IF(AND(C336="GST",D336&lt;&gt;"",COUNTIF(Clients!$AZ$5:$AZ$1005,UPPER(D336))=0,COUNTIF(Clients!$G$5:$G$1005,"*"&amp;UPPER(D336)&amp;"*")=0),"GSTIN not on Clients — will be checked in the portal","✔ OK")))))</f>
        <v/>
      </c>
    </row>
    <row r="337">
      <c r="A337" s="40" t="n"/>
      <c r="B337" s="41" t="n"/>
      <c r="C337" s="41" t="n"/>
      <c r="D337" s="40" t="n"/>
      <c r="E337" s="40" t="n"/>
      <c r="F337" s="40" t="n"/>
      <c r="G337" s="39">
        <f>IF(COUNTA(A337:F337)=0,"",IF(A337="EXAMPLE","Example (skipped)",IF(OR(C337="",E337="",F337=""),"✖ Portal, User ID and Password are all needed",IF(AND(A337="",COUNTIF(Clients!$B$5:$B$1005,B337)=0),"Not on Clients — will match a portal client by name",IF(AND(C337="GST",D337&lt;&gt;"",COUNTIF(Clients!$AZ$5:$AZ$1005,UPPER(D337))=0,COUNTIF(Clients!$G$5:$G$1005,"*"&amp;UPPER(D337)&amp;"*")=0),"GSTIN not on Clients — will be checked in the portal","✔ OK")))))</f>
        <v/>
      </c>
    </row>
    <row r="338">
      <c r="A338" s="40" t="n"/>
      <c r="B338" s="41" t="n"/>
      <c r="C338" s="41" t="n"/>
      <c r="D338" s="40" t="n"/>
      <c r="E338" s="40" t="n"/>
      <c r="F338" s="40" t="n"/>
      <c r="G338" s="39">
        <f>IF(COUNTA(A338:F338)=0,"",IF(A338="EXAMPLE","Example (skipped)",IF(OR(C338="",E338="",F338=""),"✖ Portal, User ID and Password are all needed",IF(AND(A338="",COUNTIF(Clients!$B$5:$B$1005,B338)=0),"Not on Clients — will match a portal client by name",IF(AND(C338="GST",D338&lt;&gt;"",COUNTIF(Clients!$AZ$5:$AZ$1005,UPPER(D338))=0,COUNTIF(Clients!$G$5:$G$1005,"*"&amp;UPPER(D338)&amp;"*")=0),"GSTIN not on Clients — will be checked in the portal","✔ OK")))))</f>
        <v/>
      </c>
    </row>
    <row r="339">
      <c r="A339" s="40" t="n"/>
      <c r="B339" s="41" t="n"/>
      <c r="C339" s="41" t="n"/>
      <c r="D339" s="40" t="n"/>
      <c r="E339" s="40" t="n"/>
      <c r="F339" s="40" t="n"/>
      <c r="G339" s="39">
        <f>IF(COUNTA(A339:F339)=0,"",IF(A339="EXAMPLE","Example (skipped)",IF(OR(C339="",E339="",F339=""),"✖ Portal, User ID and Password are all needed",IF(AND(A339="",COUNTIF(Clients!$B$5:$B$1005,B339)=0),"Not on Clients — will match a portal client by name",IF(AND(C339="GST",D339&lt;&gt;"",COUNTIF(Clients!$AZ$5:$AZ$1005,UPPER(D339))=0,COUNTIF(Clients!$G$5:$G$1005,"*"&amp;UPPER(D339)&amp;"*")=0),"GSTIN not on Clients — will be checked in the portal","✔ OK")))))</f>
        <v/>
      </c>
    </row>
    <row r="340">
      <c r="A340" s="40" t="n"/>
      <c r="B340" s="41" t="n"/>
      <c r="C340" s="41" t="n"/>
      <c r="D340" s="40" t="n"/>
      <c r="E340" s="40" t="n"/>
      <c r="F340" s="40" t="n"/>
      <c r="G340" s="39">
        <f>IF(COUNTA(A340:F340)=0,"",IF(A340="EXAMPLE","Example (skipped)",IF(OR(C340="",E340="",F340=""),"✖ Portal, User ID and Password are all needed",IF(AND(A340="",COUNTIF(Clients!$B$5:$B$1005,B340)=0),"Not on Clients — will match a portal client by name",IF(AND(C340="GST",D340&lt;&gt;"",COUNTIF(Clients!$AZ$5:$AZ$1005,UPPER(D340))=0,COUNTIF(Clients!$G$5:$G$1005,"*"&amp;UPPER(D340)&amp;"*")=0),"GSTIN not on Clients — will be checked in the portal","✔ OK")))))</f>
        <v/>
      </c>
    </row>
    <row r="341">
      <c r="A341" s="40" t="n"/>
      <c r="B341" s="41" t="n"/>
      <c r="C341" s="41" t="n"/>
      <c r="D341" s="40" t="n"/>
      <c r="E341" s="40" t="n"/>
      <c r="F341" s="40" t="n"/>
      <c r="G341" s="39">
        <f>IF(COUNTA(A341:F341)=0,"",IF(A341="EXAMPLE","Example (skipped)",IF(OR(C341="",E341="",F341=""),"✖ Portal, User ID and Password are all needed",IF(AND(A341="",COUNTIF(Clients!$B$5:$B$1005,B341)=0),"Not on Clients — will match a portal client by name",IF(AND(C341="GST",D341&lt;&gt;"",COUNTIF(Clients!$AZ$5:$AZ$1005,UPPER(D341))=0,COUNTIF(Clients!$G$5:$G$1005,"*"&amp;UPPER(D341)&amp;"*")=0),"GSTIN not on Clients — will be checked in the portal","✔ OK")))))</f>
        <v/>
      </c>
    </row>
    <row r="342">
      <c r="A342" s="40" t="n"/>
      <c r="B342" s="41" t="n"/>
      <c r="C342" s="41" t="n"/>
      <c r="D342" s="40" t="n"/>
      <c r="E342" s="40" t="n"/>
      <c r="F342" s="40" t="n"/>
      <c r="G342" s="39">
        <f>IF(COUNTA(A342:F342)=0,"",IF(A342="EXAMPLE","Example (skipped)",IF(OR(C342="",E342="",F342=""),"✖ Portal, User ID and Password are all needed",IF(AND(A342="",COUNTIF(Clients!$B$5:$B$1005,B342)=0),"Not on Clients — will match a portal client by name",IF(AND(C342="GST",D342&lt;&gt;"",COUNTIF(Clients!$AZ$5:$AZ$1005,UPPER(D342))=0,COUNTIF(Clients!$G$5:$G$1005,"*"&amp;UPPER(D342)&amp;"*")=0),"GSTIN not on Clients — will be checked in the portal","✔ OK")))))</f>
        <v/>
      </c>
    </row>
    <row r="343">
      <c r="A343" s="40" t="n"/>
      <c r="B343" s="41" t="n"/>
      <c r="C343" s="41" t="n"/>
      <c r="D343" s="40" t="n"/>
      <c r="E343" s="40" t="n"/>
      <c r="F343" s="40" t="n"/>
      <c r="G343" s="39">
        <f>IF(COUNTA(A343:F343)=0,"",IF(A343="EXAMPLE","Example (skipped)",IF(OR(C343="",E343="",F343=""),"✖ Portal, User ID and Password are all needed",IF(AND(A343="",COUNTIF(Clients!$B$5:$B$1005,B343)=0),"Not on Clients — will match a portal client by name",IF(AND(C343="GST",D343&lt;&gt;"",COUNTIF(Clients!$AZ$5:$AZ$1005,UPPER(D343))=0,COUNTIF(Clients!$G$5:$G$1005,"*"&amp;UPPER(D343)&amp;"*")=0),"GSTIN not on Clients — will be checked in the portal","✔ OK")))))</f>
        <v/>
      </c>
    </row>
    <row r="344">
      <c r="A344" s="40" t="n"/>
      <c r="B344" s="41" t="n"/>
      <c r="C344" s="41" t="n"/>
      <c r="D344" s="40" t="n"/>
      <c r="E344" s="40" t="n"/>
      <c r="F344" s="40" t="n"/>
      <c r="G344" s="39">
        <f>IF(COUNTA(A344:F344)=0,"",IF(A344="EXAMPLE","Example (skipped)",IF(OR(C344="",E344="",F344=""),"✖ Portal, User ID and Password are all needed",IF(AND(A344="",COUNTIF(Clients!$B$5:$B$1005,B344)=0),"Not on Clients — will match a portal client by name",IF(AND(C344="GST",D344&lt;&gt;"",COUNTIF(Clients!$AZ$5:$AZ$1005,UPPER(D344))=0,COUNTIF(Clients!$G$5:$G$1005,"*"&amp;UPPER(D344)&amp;"*")=0),"GSTIN not on Clients — will be checked in the portal","✔ OK")))))</f>
        <v/>
      </c>
    </row>
    <row r="345">
      <c r="A345" s="40" t="n"/>
      <c r="B345" s="41" t="n"/>
      <c r="C345" s="41" t="n"/>
      <c r="D345" s="40" t="n"/>
      <c r="E345" s="40" t="n"/>
      <c r="F345" s="40" t="n"/>
      <c r="G345" s="39">
        <f>IF(COUNTA(A345:F345)=0,"",IF(A345="EXAMPLE","Example (skipped)",IF(OR(C345="",E345="",F345=""),"✖ Portal, User ID and Password are all needed",IF(AND(A345="",COUNTIF(Clients!$B$5:$B$1005,B345)=0),"Not on Clients — will match a portal client by name",IF(AND(C345="GST",D345&lt;&gt;"",COUNTIF(Clients!$AZ$5:$AZ$1005,UPPER(D345))=0,COUNTIF(Clients!$G$5:$G$1005,"*"&amp;UPPER(D345)&amp;"*")=0),"GSTIN not on Clients — will be checked in the portal","✔ OK")))))</f>
        <v/>
      </c>
    </row>
    <row r="346">
      <c r="A346" s="40" t="n"/>
      <c r="B346" s="41" t="n"/>
      <c r="C346" s="41" t="n"/>
      <c r="D346" s="40" t="n"/>
      <c r="E346" s="40" t="n"/>
      <c r="F346" s="40" t="n"/>
      <c r="G346" s="39">
        <f>IF(COUNTA(A346:F346)=0,"",IF(A346="EXAMPLE","Example (skipped)",IF(OR(C346="",E346="",F346=""),"✖ Portal, User ID and Password are all needed",IF(AND(A346="",COUNTIF(Clients!$B$5:$B$1005,B346)=0),"Not on Clients — will match a portal client by name",IF(AND(C346="GST",D346&lt;&gt;"",COUNTIF(Clients!$AZ$5:$AZ$1005,UPPER(D346))=0,COUNTIF(Clients!$G$5:$G$1005,"*"&amp;UPPER(D346)&amp;"*")=0),"GSTIN not on Clients — will be checked in the portal","✔ OK")))))</f>
        <v/>
      </c>
    </row>
    <row r="347">
      <c r="A347" s="40" t="n"/>
      <c r="B347" s="41" t="n"/>
      <c r="C347" s="41" t="n"/>
      <c r="D347" s="40" t="n"/>
      <c r="E347" s="40" t="n"/>
      <c r="F347" s="40" t="n"/>
      <c r="G347" s="39">
        <f>IF(COUNTA(A347:F347)=0,"",IF(A347="EXAMPLE","Example (skipped)",IF(OR(C347="",E347="",F347=""),"✖ Portal, User ID and Password are all needed",IF(AND(A347="",COUNTIF(Clients!$B$5:$B$1005,B347)=0),"Not on Clients — will match a portal client by name",IF(AND(C347="GST",D347&lt;&gt;"",COUNTIF(Clients!$AZ$5:$AZ$1005,UPPER(D347))=0,COUNTIF(Clients!$G$5:$G$1005,"*"&amp;UPPER(D347)&amp;"*")=0),"GSTIN not on Clients — will be checked in the portal","✔ OK")))))</f>
        <v/>
      </c>
    </row>
    <row r="348">
      <c r="A348" s="40" t="n"/>
      <c r="B348" s="41" t="n"/>
      <c r="C348" s="41" t="n"/>
      <c r="D348" s="40" t="n"/>
      <c r="E348" s="40" t="n"/>
      <c r="F348" s="40" t="n"/>
      <c r="G348" s="39">
        <f>IF(COUNTA(A348:F348)=0,"",IF(A348="EXAMPLE","Example (skipped)",IF(OR(C348="",E348="",F348=""),"✖ Portal, User ID and Password are all needed",IF(AND(A348="",COUNTIF(Clients!$B$5:$B$1005,B348)=0),"Not on Clients — will match a portal client by name",IF(AND(C348="GST",D348&lt;&gt;"",COUNTIF(Clients!$AZ$5:$AZ$1005,UPPER(D348))=0,COUNTIF(Clients!$G$5:$G$1005,"*"&amp;UPPER(D348)&amp;"*")=0),"GSTIN not on Clients — will be checked in the portal","✔ OK")))))</f>
        <v/>
      </c>
    </row>
    <row r="349">
      <c r="A349" s="40" t="n"/>
      <c r="B349" s="41" t="n"/>
      <c r="C349" s="41" t="n"/>
      <c r="D349" s="40" t="n"/>
      <c r="E349" s="40" t="n"/>
      <c r="F349" s="40" t="n"/>
      <c r="G349" s="39">
        <f>IF(COUNTA(A349:F349)=0,"",IF(A349="EXAMPLE","Example (skipped)",IF(OR(C349="",E349="",F349=""),"✖ Portal, User ID and Password are all needed",IF(AND(A349="",COUNTIF(Clients!$B$5:$B$1005,B349)=0),"Not on Clients — will match a portal client by name",IF(AND(C349="GST",D349&lt;&gt;"",COUNTIF(Clients!$AZ$5:$AZ$1005,UPPER(D349))=0,COUNTIF(Clients!$G$5:$G$1005,"*"&amp;UPPER(D349)&amp;"*")=0),"GSTIN not on Clients — will be checked in the portal","✔ OK")))))</f>
        <v/>
      </c>
    </row>
    <row r="350">
      <c r="A350" s="40" t="n"/>
      <c r="B350" s="41" t="n"/>
      <c r="C350" s="41" t="n"/>
      <c r="D350" s="40" t="n"/>
      <c r="E350" s="40" t="n"/>
      <c r="F350" s="40" t="n"/>
      <c r="G350" s="39">
        <f>IF(COUNTA(A350:F350)=0,"",IF(A350="EXAMPLE","Example (skipped)",IF(OR(C350="",E350="",F350=""),"✖ Portal, User ID and Password are all needed",IF(AND(A350="",COUNTIF(Clients!$B$5:$B$1005,B350)=0),"Not on Clients — will match a portal client by name",IF(AND(C350="GST",D350&lt;&gt;"",COUNTIF(Clients!$AZ$5:$AZ$1005,UPPER(D350))=0,COUNTIF(Clients!$G$5:$G$1005,"*"&amp;UPPER(D350)&amp;"*")=0),"GSTIN not on Clients — will be checked in the portal","✔ OK")))))</f>
        <v/>
      </c>
    </row>
    <row r="351">
      <c r="A351" s="40" t="n"/>
      <c r="B351" s="41" t="n"/>
      <c r="C351" s="41" t="n"/>
      <c r="D351" s="40" t="n"/>
      <c r="E351" s="40" t="n"/>
      <c r="F351" s="40" t="n"/>
      <c r="G351" s="39">
        <f>IF(COUNTA(A351:F351)=0,"",IF(A351="EXAMPLE","Example (skipped)",IF(OR(C351="",E351="",F351=""),"✖ Portal, User ID and Password are all needed",IF(AND(A351="",COUNTIF(Clients!$B$5:$B$1005,B351)=0),"Not on Clients — will match a portal client by name",IF(AND(C351="GST",D351&lt;&gt;"",COUNTIF(Clients!$AZ$5:$AZ$1005,UPPER(D351))=0,COUNTIF(Clients!$G$5:$G$1005,"*"&amp;UPPER(D351)&amp;"*")=0),"GSTIN not on Clients — will be checked in the portal","✔ OK")))))</f>
        <v/>
      </c>
    </row>
    <row r="352">
      <c r="A352" s="40" t="n"/>
      <c r="B352" s="41" t="n"/>
      <c r="C352" s="41" t="n"/>
      <c r="D352" s="40" t="n"/>
      <c r="E352" s="40" t="n"/>
      <c r="F352" s="40" t="n"/>
      <c r="G352" s="39">
        <f>IF(COUNTA(A352:F352)=0,"",IF(A352="EXAMPLE","Example (skipped)",IF(OR(C352="",E352="",F352=""),"✖ Portal, User ID and Password are all needed",IF(AND(A352="",COUNTIF(Clients!$B$5:$B$1005,B352)=0),"Not on Clients — will match a portal client by name",IF(AND(C352="GST",D352&lt;&gt;"",COUNTIF(Clients!$AZ$5:$AZ$1005,UPPER(D352))=0,COUNTIF(Clients!$G$5:$G$1005,"*"&amp;UPPER(D352)&amp;"*")=0),"GSTIN not on Clients — will be checked in the portal","✔ OK")))))</f>
        <v/>
      </c>
    </row>
    <row r="353">
      <c r="A353" s="40" t="n"/>
      <c r="B353" s="41" t="n"/>
      <c r="C353" s="41" t="n"/>
      <c r="D353" s="40" t="n"/>
      <c r="E353" s="40" t="n"/>
      <c r="F353" s="40" t="n"/>
      <c r="G353" s="39">
        <f>IF(COUNTA(A353:F353)=0,"",IF(A353="EXAMPLE","Example (skipped)",IF(OR(C353="",E353="",F353=""),"✖ Portal, User ID and Password are all needed",IF(AND(A353="",COUNTIF(Clients!$B$5:$B$1005,B353)=0),"Not on Clients — will match a portal client by name",IF(AND(C353="GST",D353&lt;&gt;"",COUNTIF(Clients!$AZ$5:$AZ$1005,UPPER(D353))=0,COUNTIF(Clients!$G$5:$G$1005,"*"&amp;UPPER(D353)&amp;"*")=0),"GSTIN not on Clients — will be checked in the portal","✔ OK")))))</f>
        <v/>
      </c>
    </row>
    <row r="354">
      <c r="A354" s="40" t="n"/>
      <c r="B354" s="41" t="n"/>
      <c r="C354" s="41" t="n"/>
      <c r="D354" s="40" t="n"/>
      <c r="E354" s="40" t="n"/>
      <c r="F354" s="40" t="n"/>
      <c r="G354" s="39">
        <f>IF(COUNTA(A354:F354)=0,"",IF(A354="EXAMPLE","Example (skipped)",IF(OR(C354="",E354="",F354=""),"✖ Portal, User ID and Password are all needed",IF(AND(A354="",COUNTIF(Clients!$B$5:$B$1005,B354)=0),"Not on Clients — will match a portal client by name",IF(AND(C354="GST",D354&lt;&gt;"",COUNTIF(Clients!$AZ$5:$AZ$1005,UPPER(D354))=0,COUNTIF(Clients!$G$5:$G$1005,"*"&amp;UPPER(D354)&amp;"*")=0),"GSTIN not on Clients — will be checked in the portal","✔ OK")))))</f>
        <v/>
      </c>
    </row>
    <row r="355">
      <c r="A355" s="40" t="n"/>
      <c r="B355" s="41" t="n"/>
      <c r="C355" s="41" t="n"/>
      <c r="D355" s="40" t="n"/>
      <c r="E355" s="40" t="n"/>
      <c r="F355" s="40" t="n"/>
      <c r="G355" s="39">
        <f>IF(COUNTA(A355:F355)=0,"",IF(A355="EXAMPLE","Example (skipped)",IF(OR(C355="",E355="",F355=""),"✖ Portal, User ID and Password are all needed",IF(AND(A355="",COUNTIF(Clients!$B$5:$B$1005,B355)=0),"Not on Clients — will match a portal client by name",IF(AND(C355="GST",D355&lt;&gt;"",COUNTIF(Clients!$AZ$5:$AZ$1005,UPPER(D355))=0,COUNTIF(Clients!$G$5:$G$1005,"*"&amp;UPPER(D355)&amp;"*")=0),"GSTIN not on Clients — will be checked in the portal","✔ OK")))))</f>
        <v/>
      </c>
    </row>
    <row r="356">
      <c r="A356" s="40" t="n"/>
      <c r="B356" s="41" t="n"/>
      <c r="C356" s="41" t="n"/>
      <c r="D356" s="40" t="n"/>
      <c r="E356" s="40" t="n"/>
      <c r="F356" s="40" t="n"/>
      <c r="G356" s="39">
        <f>IF(COUNTA(A356:F356)=0,"",IF(A356="EXAMPLE","Example (skipped)",IF(OR(C356="",E356="",F356=""),"✖ Portal, User ID and Password are all needed",IF(AND(A356="",COUNTIF(Clients!$B$5:$B$1005,B356)=0),"Not on Clients — will match a portal client by name",IF(AND(C356="GST",D356&lt;&gt;"",COUNTIF(Clients!$AZ$5:$AZ$1005,UPPER(D356))=0,COUNTIF(Clients!$G$5:$G$1005,"*"&amp;UPPER(D356)&amp;"*")=0),"GSTIN not on Clients — will be checked in the portal","✔ OK")))))</f>
        <v/>
      </c>
    </row>
    <row r="357">
      <c r="A357" s="40" t="n"/>
      <c r="B357" s="41" t="n"/>
      <c r="C357" s="41" t="n"/>
      <c r="D357" s="40" t="n"/>
      <c r="E357" s="40" t="n"/>
      <c r="F357" s="40" t="n"/>
      <c r="G357" s="39">
        <f>IF(COUNTA(A357:F357)=0,"",IF(A357="EXAMPLE","Example (skipped)",IF(OR(C357="",E357="",F357=""),"✖ Portal, User ID and Password are all needed",IF(AND(A357="",COUNTIF(Clients!$B$5:$B$1005,B357)=0),"Not on Clients — will match a portal client by name",IF(AND(C357="GST",D357&lt;&gt;"",COUNTIF(Clients!$AZ$5:$AZ$1005,UPPER(D357))=0,COUNTIF(Clients!$G$5:$G$1005,"*"&amp;UPPER(D357)&amp;"*")=0),"GSTIN not on Clients — will be checked in the portal","✔ OK")))))</f>
        <v/>
      </c>
    </row>
    <row r="358">
      <c r="A358" s="40" t="n"/>
      <c r="B358" s="41" t="n"/>
      <c r="C358" s="41" t="n"/>
      <c r="D358" s="40" t="n"/>
      <c r="E358" s="40" t="n"/>
      <c r="F358" s="40" t="n"/>
      <c r="G358" s="39">
        <f>IF(COUNTA(A358:F358)=0,"",IF(A358="EXAMPLE","Example (skipped)",IF(OR(C358="",E358="",F358=""),"✖ Portal, User ID and Password are all needed",IF(AND(A358="",COUNTIF(Clients!$B$5:$B$1005,B358)=0),"Not on Clients — will match a portal client by name",IF(AND(C358="GST",D358&lt;&gt;"",COUNTIF(Clients!$AZ$5:$AZ$1005,UPPER(D358))=0,COUNTIF(Clients!$G$5:$G$1005,"*"&amp;UPPER(D358)&amp;"*")=0),"GSTIN not on Clients — will be checked in the portal","✔ OK")))))</f>
        <v/>
      </c>
    </row>
    <row r="359">
      <c r="A359" s="40" t="n"/>
      <c r="B359" s="41" t="n"/>
      <c r="C359" s="41" t="n"/>
      <c r="D359" s="40" t="n"/>
      <c r="E359" s="40" t="n"/>
      <c r="F359" s="40" t="n"/>
      <c r="G359" s="39">
        <f>IF(COUNTA(A359:F359)=0,"",IF(A359="EXAMPLE","Example (skipped)",IF(OR(C359="",E359="",F359=""),"✖ Portal, User ID and Password are all needed",IF(AND(A359="",COUNTIF(Clients!$B$5:$B$1005,B359)=0),"Not on Clients — will match a portal client by name",IF(AND(C359="GST",D359&lt;&gt;"",COUNTIF(Clients!$AZ$5:$AZ$1005,UPPER(D359))=0,COUNTIF(Clients!$G$5:$G$1005,"*"&amp;UPPER(D359)&amp;"*")=0),"GSTIN not on Clients — will be checked in the portal","✔ OK")))))</f>
        <v/>
      </c>
    </row>
    <row r="360">
      <c r="A360" s="40" t="n"/>
      <c r="B360" s="41" t="n"/>
      <c r="C360" s="41" t="n"/>
      <c r="D360" s="40" t="n"/>
      <c r="E360" s="40" t="n"/>
      <c r="F360" s="40" t="n"/>
      <c r="G360" s="39">
        <f>IF(COUNTA(A360:F360)=0,"",IF(A360="EXAMPLE","Example (skipped)",IF(OR(C360="",E360="",F360=""),"✖ Portal, User ID and Password are all needed",IF(AND(A360="",COUNTIF(Clients!$B$5:$B$1005,B360)=0),"Not on Clients — will match a portal client by name",IF(AND(C360="GST",D360&lt;&gt;"",COUNTIF(Clients!$AZ$5:$AZ$1005,UPPER(D360))=0,COUNTIF(Clients!$G$5:$G$1005,"*"&amp;UPPER(D360)&amp;"*")=0),"GSTIN not on Clients — will be checked in the portal","✔ OK")))))</f>
        <v/>
      </c>
    </row>
    <row r="361">
      <c r="A361" s="40" t="n"/>
      <c r="B361" s="41" t="n"/>
      <c r="C361" s="41" t="n"/>
      <c r="D361" s="40" t="n"/>
      <c r="E361" s="40" t="n"/>
      <c r="F361" s="40" t="n"/>
      <c r="G361" s="39">
        <f>IF(COUNTA(A361:F361)=0,"",IF(A361="EXAMPLE","Example (skipped)",IF(OR(C361="",E361="",F361=""),"✖ Portal, User ID and Password are all needed",IF(AND(A361="",COUNTIF(Clients!$B$5:$B$1005,B361)=0),"Not on Clients — will match a portal client by name",IF(AND(C361="GST",D361&lt;&gt;"",COUNTIF(Clients!$AZ$5:$AZ$1005,UPPER(D361))=0,COUNTIF(Clients!$G$5:$G$1005,"*"&amp;UPPER(D361)&amp;"*")=0),"GSTIN not on Clients — will be checked in the portal","✔ OK")))))</f>
        <v/>
      </c>
    </row>
    <row r="362">
      <c r="A362" s="40" t="n"/>
      <c r="B362" s="41" t="n"/>
      <c r="C362" s="41" t="n"/>
      <c r="D362" s="40" t="n"/>
      <c r="E362" s="40" t="n"/>
      <c r="F362" s="40" t="n"/>
      <c r="G362" s="39">
        <f>IF(COUNTA(A362:F362)=0,"",IF(A362="EXAMPLE","Example (skipped)",IF(OR(C362="",E362="",F362=""),"✖ Portal, User ID and Password are all needed",IF(AND(A362="",COUNTIF(Clients!$B$5:$B$1005,B362)=0),"Not on Clients — will match a portal client by name",IF(AND(C362="GST",D362&lt;&gt;"",COUNTIF(Clients!$AZ$5:$AZ$1005,UPPER(D362))=0,COUNTIF(Clients!$G$5:$G$1005,"*"&amp;UPPER(D362)&amp;"*")=0),"GSTIN not on Clients — will be checked in the portal","✔ OK")))))</f>
        <v/>
      </c>
    </row>
    <row r="363">
      <c r="A363" s="40" t="n"/>
      <c r="B363" s="41" t="n"/>
      <c r="C363" s="41" t="n"/>
      <c r="D363" s="40" t="n"/>
      <c r="E363" s="40" t="n"/>
      <c r="F363" s="40" t="n"/>
      <c r="G363" s="39">
        <f>IF(COUNTA(A363:F363)=0,"",IF(A363="EXAMPLE","Example (skipped)",IF(OR(C363="",E363="",F363=""),"✖ Portal, User ID and Password are all needed",IF(AND(A363="",COUNTIF(Clients!$B$5:$B$1005,B363)=0),"Not on Clients — will match a portal client by name",IF(AND(C363="GST",D363&lt;&gt;"",COUNTIF(Clients!$AZ$5:$AZ$1005,UPPER(D363))=0,COUNTIF(Clients!$G$5:$G$1005,"*"&amp;UPPER(D363)&amp;"*")=0),"GSTIN not on Clients — will be checked in the portal","✔ OK")))))</f>
        <v/>
      </c>
    </row>
    <row r="364">
      <c r="A364" s="40" t="n"/>
      <c r="B364" s="41" t="n"/>
      <c r="C364" s="41" t="n"/>
      <c r="D364" s="40" t="n"/>
      <c r="E364" s="40" t="n"/>
      <c r="F364" s="40" t="n"/>
      <c r="G364" s="39">
        <f>IF(COUNTA(A364:F364)=0,"",IF(A364="EXAMPLE","Example (skipped)",IF(OR(C364="",E364="",F364=""),"✖ Portal, User ID and Password are all needed",IF(AND(A364="",COUNTIF(Clients!$B$5:$B$1005,B364)=0),"Not on Clients — will match a portal client by name",IF(AND(C364="GST",D364&lt;&gt;"",COUNTIF(Clients!$AZ$5:$AZ$1005,UPPER(D364))=0,COUNTIF(Clients!$G$5:$G$1005,"*"&amp;UPPER(D364)&amp;"*")=0),"GSTIN not on Clients — will be checked in the portal","✔ OK")))))</f>
        <v/>
      </c>
    </row>
    <row r="365">
      <c r="A365" s="40" t="n"/>
      <c r="B365" s="41" t="n"/>
      <c r="C365" s="41" t="n"/>
      <c r="D365" s="40" t="n"/>
      <c r="E365" s="40" t="n"/>
      <c r="F365" s="40" t="n"/>
      <c r="G365" s="39">
        <f>IF(COUNTA(A365:F365)=0,"",IF(A365="EXAMPLE","Example (skipped)",IF(OR(C365="",E365="",F365=""),"✖ Portal, User ID and Password are all needed",IF(AND(A365="",COUNTIF(Clients!$B$5:$B$1005,B365)=0),"Not on Clients — will match a portal client by name",IF(AND(C365="GST",D365&lt;&gt;"",COUNTIF(Clients!$AZ$5:$AZ$1005,UPPER(D365))=0,COUNTIF(Clients!$G$5:$G$1005,"*"&amp;UPPER(D365)&amp;"*")=0),"GSTIN not on Clients — will be checked in the portal","✔ OK")))))</f>
        <v/>
      </c>
    </row>
    <row r="366">
      <c r="A366" s="40" t="n"/>
      <c r="B366" s="41" t="n"/>
      <c r="C366" s="41" t="n"/>
      <c r="D366" s="40" t="n"/>
      <c r="E366" s="40" t="n"/>
      <c r="F366" s="40" t="n"/>
      <c r="G366" s="39">
        <f>IF(COUNTA(A366:F366)=0,"",IF(A366="EXAMPLE","Example (skipped)",IF(OR(C366="",E366="",F366=""),"✖ Portal, User ID and Password are all needed",IF(AND(A366="",COUNTIF(Clients!$B$5:$B$1005,B366)=0),"Not on Clients — will match a portal client by name",IF(AND(C366="GST",D366&lt;&gt;"",COUNTIF(Clients!$AZ$5:$AZ$1005,UPPER(D366))=0,COUNTIF(Clients!$G$5:$G$1005,"*"&amp;UPPER(D366)&amp;"*")=0),"GSTIN not on Clients — will be checked in the portal","✔ OK")))))</f>
        <v/>
      </c>
    </row>
    <row r="367">
      <c r="A367" s="40" t="n"/>
      <c r="B367" s="41" t="n"/>
      <c r="C367" s="41" t="n"/>
      <c r="D367" s="40" t="n"/>
      <c r="E367" s="40" t="n"/>
      <c r="F367" s="40" t="n"/>
      <c r="G367" s="39">
        <f>IF(COUNTA(A367:F367)=0,"",IF(A367="EXAMPLE","Example (skipped)",IF(OR(C367="",E367="",F367=""),"✖ Portal, User ID and Password are all needed",IF(AND(A367="",COUNTIF(Clients!$B$5:$B$1005,B367)=0),"Not on Clients — will match a portal client by name",IF(AND(C367="GST",D367&lt;&gt;"",COUNTIF(Clients!$AZ$5:$AZ$1005,UPPER(D367))=0,COUNTIF(Clients!$G$5:$G$1005,"*"&amp;UPPER(D367)&amp;"*")=0),"GSTIN not on Clients — will be checked in the portal","✔ OK")))))</f>
        <v/>
      </c>
    </row>
    <row r="368">
      <c r="A368" s="40" t="n"/>
      <c r="B368" s="41" t="n"/>
      <c r="C368" s="41" t="n"/>
      <c r="D368" s="40" t="n"/>
      <c r="E368" s="40" t="n"/>
      <c r="F368" s="40" t="n"/>
      <c r="G368" s="39">
        <f>IF(COUNTA(A368:F368)=0,"",IF(A368="EXAMPLE","Example (skipped)",IF(OR(C368="",E368="",F368=""),"✖ Portal, User ID and Password are all needed",IF(AND(A368="",COUNTIF(Clients!$B$5:$B$1005,B368)=0),"Not on Clients — will match a portal client by name",IF(AND(C368="GST",D368&lt;&gt;"",COUNTIF(Clients!$AZ$5:$AZ$1005,UPPER(D368))=0,COUNTIF(Clients!$G$5:$G$1005,"*"&amp;UPPER(D368)&amp;"*")=0),"GSTIN not on Clients — will be checked in the portal","✔ OK")))))</f>
        <v/>
      </c>
    </row>
    <row r="369">
      <c r="A369" s="40" t="n"/>
      <c r="B369" s="41" t="n"/>
      <c r="C369" s="41" t="n"/>
      <c r="D369" s="40" t="n"/>
      <c r="E369" s="40" t="n"/>
      <c r="F369" s="40" t="n"/>
      <c r="G369" s="39">
        <f>IF(COUNTA(A369:F369)=0,"",IF(A369="EXAMPLE","Example (skipped)",IF(OR(C369="",E369="",F369=""),"✖ Portal, User ID and Password are all needed",IF(AND(A369="",COUNTIF(Clients!$B$5:$B$1005,B369)=0),"Not on Clients — will match a portal client by name",IF(AND(C369="GST",D369&lt;&gt;"",COUNTIF(Clients!$AZ$5:$AZ$1005,UPPER(D369))=0,COUNTIF(Clients!$G$5:$G$1005,"*"&amp;UPPER(D369)&amp;"*")=0),"GSTIN not on Clients — will be checked in the portal","✔ OK")))))</f>
        <v/>
      </c>
    </row>
    <row r="370">
      <c r="A370" s="40" t="n"/>
      <c r="B370" s="41" t="n"/>
      <c r="C370" s="41" t="n"/>
      <c r="D370" s="40" t="n"/>
      <c r="E370" s="40" t="n"/>
      <c r="F370" s="40" t="n"/>
      <c r="G370" s="39">
        <f>IF(COUNTA(A370:F370)=0,"",IF(A370="EXAMPLE","Example (skipped)",IF(OR(C370="",E370="",F370=""),"✖ Portal, User ID and Password are all needed",IF(AND(A370="",COUNTIF(Clients!$B$5:$B$1005,B370)=0),"Not on Clients — will match a portal client by name",IF(AND(C370="GST",D370&lt;&gt;"",COUNTIF(Clients!$AZ$5:$AZ$1005,UPPER(D370))=0,COUNTIF(Clients!$G$5:$G$1005,"*"&amp;UPPER(D370)&amp;"*")=0),"GSTIN not on Clients — will be checked in the portal","✔ OK")))))</f>
        <v/>
      </c>
    </row>
    <row r="371">
      <c r="A371" s="40" t="n"/>
      <c r="B371" s="41" t="n"/>
      <c r="C371" s="41" t="n"/>
      <c r="D371" s="40" t="n"/>
      <c r="E371" s="40" t="n"/>
      <c r="F371" s="40" t="n"/>
      <c r="G371" s="39">
        <f>IF(COUNTA(A371:F371)=0,"",IF(A371="EXAMPLE","Example (skipped)",IF(OR(C371="",E371="",F371=""),"✖ Portal, User ID and Password are all needed",IF(AND(A371="",COUNTIF(Clients!$B$5:$B$1005,B371)=0),"Not on Clients — will match a portal client by name",IF(AND(C371="GST",D371&lt;&gt;"",COUNTIF(Clients!$AZ$5:$AZ$1005,UPPER(D371))=0,COUNTIF(Clients!$G$5:$G$1005,"*"&amp;UPPER(D371)&amp;"*")=0),"GSTIN not on Clients — will be checked in the portal","✔ OK")))))</f>
        <v/>
      </c>
    </row>
    <row r="372">
      <c r="A372" s="40" t="n"/>
      <c r="B372" s="41" t="n"/>
      <c r="C372" s="41" t="n"/>
      <c r="D372" s="40" t="n"/>
      <c r="E372" s="40" t="n"/>
      <c r="F372" s="40" t="n"/>
      <c r="G372" s="39">
        <f>IF(COUNTA(A372:F372)=0,"",IF(A372="EXAMPLE","Example (skipped)",IF(OR(C372="",E372="",F372=""),"✖ Portal, User ID and Password are all needed",IF(AND(A372="",COUNTIF(Clients!$B$5:$B$1005,B372)=0),"Not on Clients — will match a portal client by name",IF(AND(C372="GST",D372&lt;&gt;"",COUNTIF(Clients!$AZ$5:$AZ$1005,UPPER(D372))=0,COUNTIF(Clients!$G$5:$G$1005,"*"&amp;UPPER(D372)&amp;"*")=0),"GSTIN not on Clients — will be checked in the portal","✔ OK")))))</f>
        <v/>
      </c>
    </row>
    <row r="373">
      <c r="A373" s="40" t="n"/>
      <c r="B373" s="41" t="n"/>
      <c r="C373" s="41" t="n"/>
      <c r="D373" s="40" t="n"/>
      <c r="E373" s="40" t="n"/>
      <c r="F373" s="40" t="n"/>
      <c r="G373" s="39">
        <f>IF(COUNTA(A373:F373)=0,"",IF(A373="EXAMPLE","Example (skipped)",IF(OR(C373="",E373="",F373=""),"✖ Portal, User ID and Password are all needed",IF(AND(A373="",COUNTIF(Clients!$B$5:$B$1005,B373)=0),"Not on Clients — will match a portal client by name",IF(AND(C373="GST",D373&lt;&gt;"",COUNTIF(Clients!$AZ$5:$AZ$1005,UPPER(D373))=0,COUNTIF(Clients!$G$5:$G$1005,"*"&amp;UPPER(D373)&amp;"*")=0),"GSTIN not on Clients — will be checked in the portal","✔ OK")))))</f>
        <v/>
      </c>
    </row>
    <row r="374">
      <c r="A374" s="40" t="n"/>
      <c r="B374" s="41" t="n"/>
      <c r="C374" s="41" t="n"/>
      <c r="D374" s="40" t="n"/>
      <c r="E374" s="40" t="n"/>
      <c r="F374" s="40" t="n"/>
      <c r="G374" s="39">
        <f>IF(COUNTA(A374:F374)=0,"",IF(A374="EXAMPLE","Example (skipped)",IF(OR(C374="",E374="",F374=""),"✖ Portal, User ID and Password are all needed",IF(AND(A374="",COUNTIF(Clients!$B$5:$B$1005,B374)=0),"Not on Clients — will match a portal client by name",IF(AND(C374="GST",D374&lt;&gt;"",COUNTIF(Clients!$AZ$5:$AZ$1005,UPPER(D374))=0,COUNTIF(Clients!$G$5:$G$1005,"*"&amp;UPPER(D374)&amp;"*")=0),"GSTIN not on Clients — will be checked in the portal","✔ OK")))))</f>
        <v/>
      </c>
    </row>
    <row r="375">
      <c r="A375" s="40" t="n"/>
      <c r="B375" s="41" t="n"/>
      <c r="C375" s="41" t="n"/>
      <c r="D375" s="40" t="n"/>
      <c r="E375" s="40" t="n"/>
      <c r="F375" s="40" t="n"/>
      <c r="G375" s="39">
        <f>IF(COUNTA(A375:F375)=0,"",IF(A375="EXAMPLE","Example (skipped)",IF(OR(C375="",E375="",F375=""),"✖ Portal, User ID and Password are all needed",IF(AND(A375="",COUNTIF(Clients!$B$5:$B$1005,B375)=0),"Not on Clients — will match a portal client by name",IF(AND(C375="GST",D375&lt;&gt;"",COUNTIF(Clients!$AZ$5:$AZ$1005,UPPER(D375))=0,COUNTIF(Clients!$G$5:$G$1005,"*"&amp;UPPER(D375)&amp;"*")=0),"GSTIN not on Clients — will be checked in the portal","✔ OK")))))</f>
        <v/>
      </c>
    </row>
    <row r="376">
      <c r="A376" s="40" t="n"/>
      <c r="B376" s="41" t="n"/>
      <c r="C376" s="41" t="n"/>
      <c r="D376" s="40" t="n"/>
      <c r="E376" s="40" t="n"/>
      <c r="F376" s="40" t="n"/>
      <c r="G376" s="39">
        <f>IF(COUNTA(A376:F376)=0,"",IF(A376="EXAMPLE","Example (skipped)",IF(OR(C376="",E376="",F376=""),"✖ Portal, User ID and Password are all needed",IF(AND(A376="",COUNTIF(Clients!$B$5:$B$1005,B376)=0),"Not on Clients — will match a portal client by name",IF(AND(C376="GST",D376&lt;&gt;"",COUNTIF(Clients!$AZ$5:$AZ$1005,UPPER(D376))=0,COUNTIF(Clients!$G$5:$G$1005,"*"&amp;UPPER(D376)&amp;"*")=0),"GSTIN not on Clients — will be checked in the portal","✔ OK")))))</f>
        <v/>
      </c>
    </row>
    <row r="377">
      <c r="A377" s="40" t="n"/>
      <c r="B377" s="41" t="n"/>
      <c r="C377" s="41" t="n"/>
      <c r="D377" s="40" t="n"/>
      <c r="E377" s="40" t="n"/>
      <c r="F377" s="40" t="n"/>
      <c r="G377" s="39">
        <f>IF(COUNTA(A377:F377)=0,"",IF(A377="EXAMPLE","Example (skipped)",IF(OR(C377="",E377="",F377=""),"✖ Portal, User ID and Password are all needed",IF(AND(A377="",COUNTIF(Clients!$B$5:$B$1005,B377)=0),"Not on Clients — will match a portal client by name",IF(AND(C377="GST",D377&lt;&gt;"",COUNTIF(Clients!$AZ$5:$AZ$1005,UPPER(D377))=0,COUNTIF(Clients!$G$5:$G$1005,"*"&amp;UPPER(D377)&amp;"*")=0),"GSTIN not on Clients — will be checked in the portal","✔ OK")))))</f>
        <v/>
      </c>
    </row>
    <row r="378">
      <c r="A378" s="40" t="n"/>
      <c r="B378" s="41" t="n"/>
      <c r="C378" s="41" t="n"/>
      <c r="D378" s="40" t="n"/>
      <c r="E378" s="40" t="n"/>
      <c r="F378" s="40" t="n"/>
      <c r="G378" s="39">
        <f>IF(COUNTA(A378:F378)=0,"",IF(A378="EXAMPLE","Example (skipped)",IF(OR(C378="",E378="",F378=""),"✖ Portal, User ID and Password are all needed",IF(AND(A378="",COUNTIF(Clients!$B$5:$B$1005,B378)=0),"Not on Clients — will match a portal client by name",IF(AND(C378="GST",D378&lt;&gt;"",COUNTIF(Clients!$AZ$5:$AZ$1005,UPPER(D378))=0,COUNTIF(Clients!$G$5:$G$1005,"*"&amp;UPPER(D378)&amp;"*")=0),"GSTIN not on Clients — will be checked in the portal","✔ OK")))))</f>
        <v/>
      </c>
    </row>
    <row r="379">
      <c r="A379" s="40" t="n"/>
      <c r="B379" s="41" t="n"/>
      <c r="C379" s="41" t="n"/>
      <c r="D379" s="40" t="n"/>
      <c r="E379" s="40" t="n"/>
      <c r="F379" s="40" t="n"/>
      <c r="G379" s="39">
        <f>IF(COUNTA(A379:F379)=0,"",IF(A379="EXAMPLE","Example (skipped)",IF(OR(C379="",E379="",F379=""),"✖ Portal, User ID and Password are all needed",IF(AND(A379="",COUNTIF(Clients!$B$5:$B$1005,B379)=0),"Not on Clients — will match a portal client by name",IF(AND(C379="GST",D379&lt;&gt;"",COUNTIF(Clients!$AZ$5:$AZ$1005,UPPER(D379))=0,COUNTIF(Clients!$G$5:$G$1005,"*"&amp;UPPER(D379)&amp;"*")=0),"GSTIN not on Clients — will be checked in the portal","✔ OK")))))</f>
        <v/>
      </c>
    </row>
    <row r="380">
      <c r="A380" s="40" t="n"/>
      <c r="B380" s="41" t="n"/>
      <c r="C380" s="41" t="n"/>
      <c r="D380" s="40" t="n"/>
      <c r="E380" s="40" t="n"/>
      <c r="F380" s="40" t="n"/>
      <c r="G380" s="39">
        <f>IF(COUNTA(A380:F380)=0,"",IF(A380="EXAMPLE","Example (skipped)",IF(OR(C380="",E380="",F380=""),"✖ Portal, User ID and Password are all needed",IF(AND(A380="",COUNTIF(Clients!$B$5:$B$1005,B380)=0),"Not on Clients — will match a portal client by name",IF(AND(C380="GST",D380&lt;&gt;"",COUNTIF(Clients!$AZ$5:$AZ$1005,UPPER(D380))=0,COUNTIF(Clients!$G$5:$G$1005,"*"&amp;UPPER(D380)&amp;"*")=0),"GSTIN not on Clients — will be checked in the portal","✔ OK")))))</f>
        <v/>
      </c>
    </row>
    <row r="381">
      <c r="A381" s="40" t="n"/>
      <c r="B381" s="41" t="n"/>
      <c r="C381" s="41" t="n"/>
      <c r="D381" s="40" t="n"/>
      <c r="E381" s="40" t="n"/>
      <c r="F381" s="40" t="n"/>
      <c r="G381" s="39">
        <f>IF(COUNTA(A381:F381)=0,"",IF(A381="EXAMPLE","Example (skipped)",IF(OR(C381="",E381="",F381=""),"✖ Portal, User ID and Password are all needed",IF(AND(A381="",COUNTIF(Clients!$B$5:$B$1005,B381)=0),"Not on Clients — will match a portal client by name",IF(AND(C381="GST",D381&lt;&gt;"",COUNTIF(Clients!$AZ$5:$AZ$1005,UPPER(D381))=0,COUNTIF(Clients!$G$5:$G$1005,"*"&amp;UPPER(D381)&amp;"*")=0),"GSTIN not on Clients — will be checked in the portal","✔ OK")))))</f>
        <v/>
      </c>
    </row>
    <row r="382">
      <c r="A382" s="40" t="n"/>
      <c r="B382" s="41" t="n"/>
      <c r="C382" s="41" t="n"/>
      <c r="D382" s="40" t="n"/>
      <c r="E382" s="40" t="n"/>
      <c r="F382" s="40" t="n"/>
      <c r="G382" s="39">
        <f>IF(COUNTA(A382:F382)=0,"",IF(A382="EXAMPLE","Example (skipped)",IF(OR(C382="",E382="",F382=""),"✖ Portal, User ID and Password are all needed",IF(AND(A382="",COUNTIF(Clients!$B$5:$B$1005,B382)=0),"Not on Clients — will match a portal client by name",IF(AND(C382="GST",D382&lt;&gt;"",COUNTIF(Clients!$AZ$5:$AZ$1005,UPPER(D382))=0,COUNTIF(Clients!$G$5:$G$1005,"*"&amp;UPPER(D382)&amp;"*")=0),"GSTIN not on Clients — will be checked in the portal","✔ OK")))))</f>
        <v/>
      </c>
    </row>
    <row r="383">
      <c r="A383" s="40" t="n"/>
      <c r="B383" s="41" t="n"/>
      <c r="C383" s="41" t="n"/>
      <c r="D383" s="40" t="n"/>
      <c r="E383" s="40" t="n"/>
      <c r="F383" s="40" t="n"/>
      <c r="G383" s="39">
        <f>IF(COUNTA(A383:F383)=0,"",IF(A383="EXAMPLE","Example (skipped)",IF(OR(C383="",E383="",F383=""),"✖ Portal, User ID and Password are all needed",IF(AND(A383="",COUNTIF(Clients!$B$5:$B$1005,B383)=0),"Not on Clients — will match a portal client by name",IF(AND(C383="GST",D383&lt;&gt;"",COUNTIF(Clients!$AZ$5:$AZ$1005,UPPER(D383))=0,COUNTIF(Clients!$G$5:$G$1005,"*"&amp;UPPER(D383)&amp;"*")=0),"GSTIN not on Clients — will be checked in the portal","✔ OK")))))</f>
        <v/>
      </c>
    </row>
    <row r="384">
      <c r="A384" s="40" t="n"/>
      <c r="B384" s="41" t="n"/>
      <c r="C384" s="41" t="n"/>
      <c r="D384" s="40" t="n"/>
      <c r="E384" s="40" t="n"/>
      <c r="F384" s="40" t="n"/>
      <c r="G384" s="39">
        <f>IF(COUNTA(A384:F384)=0,"",IF(A384="EXAMPLE","Example (skipped)",IF(OR(C384="",E384="",F384=""),"✖ Portal, User ID and Password are all needed",IF(AND(A384="",COUNTIF(Clients!$B$5:$B$1005,B384)=0),"Not on Clients — will match a portal client by name",IF(AND(C384="GST",D384&lt;&gt;"",COUNTIF(Clients!$AZ$5:$AZ$1005,UPPER(D384))=0,COUNTIF(Clients!$G$5:$G$1005,"*"&amp;UPPER(D384)&amp;"*")=0),"GSTIN not on Clients — will be checked in the portal","✔ OK")))))</f>
        <v/>
      </c>
    </row>
    <row r="385">
      <c r="A385" s="40" t="n"/>
      <c r="B385" s="41" t="n"/>
      <c r="C385" s="41" t="n"/>
      <c r="D385" s="40" t="n"/>
      <c r="E385" s="40" t="n"/>
      <c r="F385" s="40" t="n"/>
      <c r="G385" s="39">
        <f>IF(COUNTA(A385:F385)=0,"",IF(A385="EXAMPLE","Example (skipped)",IF(OR(C385="",E385="",F385=""),"✖ Portal, User ID and Password are all needed",IF(AND(A385="",COUNTIF(Clients!$B$5:$B$1005,B385)=0),"Not on Clients — will match a portal client by name",IF(AND(C385="GST",D385&lt;&gt;"",COUNTIF(Clients!$AZ$5:$AZ$1005,UPPER(D385))=0,COUNTIF(Clients!$G$5:$G$1005,"*"&amp;UPPER(D385)&amp;"*")=0),"GSTIN not on Clients — will be checked in the portal","✔ OK")))))</f>
        <v/>
      </c>
    </row>
    <row r="386">
      <c r="A386" s="40" t="n"/>
      <c r="B386" s="41" t="n"/>
      <c r="C386" s="41" t="n"/>
      <c r="D386" s="40" t="n"/>
      <c r="E386" s="40" t="n"/>
      <c r="F386" s="40" t="n"/>
      <c r="G386" s="39">
        <f>IF(COUNTA(A386:F386)=0,"",IF(A386="EXAMPLE","Example (skipped)",IF(OR(C386="",E386="",F386=""),"✖ Portal, User ID and Password are all needed",IF(AND(A386="",COUNTIF(Clients!$B$5:$B$1005,B386)=0),"Not on Clients — will match a portal client by name",IF(AND(C386="GST",D386&lt;&gt;"",COUNTIF(Clients!$AZ$5:$AZ$1005,UPPER(D386))=0,COUNTIF(Clients!$G$5:$G$1005,"*"&amp;UPPER(D386)&amp;"*")=0),"GSTIN not on Clients — will be checked in the portal","✔ OK")))))</f>
        <v/>
      </c>
    </row>
    <row r="387">
      <c r="A387" s="40" t="n"/>
      <c r="B387" s="41" t="n"/>
      <c r="C387" s="41" t="n"/>
      <c r="D387" s="40" t="n"/>
      <c r="E387" s="40" t="n"/>
      <c r="F387" s="40" t="n"/>
      <c r="G387" s="39">
        <f>IF(COUNTA(A387:F387)=0,"",IF(A387="EXAMPLE","Example (skipped)",IF(OR(C387="",E387="",F387=""),"✖ Portal, User ID and Password are all needed",IF(AND(A387="",COUNTIF(Clients!$B$5:$B$1005,B387)=0),"Not on Clients — will match a portal client by name",IF(AND(C387="GST",D387&lt;&gt;"",COUNTIF(Clients!$AZ$5:$AZ$1005,UPPER(D387))=0,COUNTIF(Clients!$G$5:$G$1005,"*"&amp;UPPER(D387)&amp;"*")=0),"GSTIN not on Clients — will be checked in the portal","✔ OK")))))</f>
        <v/>
      </c>
    </row>
    <row r="388">
      <c r="A388" s="40" t="n"/>
      <c r="B388" s="41" t="n"/>
      <c r="C388" s="41" t="n"/>
      <c r="D388" s="40" t="n"/>
      <c r="E388" s="40" t="n"/>
      <c r="F388" s="40" t="n"/>
      <c r="G388" s="39">
        <f>IF(COUNTA(A388:F388)=0,"",IF(A388="EXAMPLE","Example (skipped)",IF(OR(C388="",E388="",F388=""),"✖ Portal, User ID and Password are all needed",IF(AND(A388="",COUNTIF(Clients!$B$5:$B$1005,B388)=0),"Not on Clients — will match a portal client by name",IF(AND(C388="GST",D388&lt;&gt;"",COUNTIF(Clients!$AZ$5:$AZ$1005,UPPER(D388))=0,COUNTIF(Clients!$G$5:$G$1005,"*"&amp;UPPER(D388)&amp;"*")=0),"GSTIN not on Clients — will be checked in the portal","✔ OK")))))</f>
        <v/>
      </c>
    </row>
    <row r="389">
      <c r="A389" s="40" t="n"/>
      <c r="B389" s="41" t="n"/>
      <c r="C389" s="41" t="n"/>
      <c r="D389" s="40" t="n"/>
      <c r="E389" s="40" t="n"/>
      <c r="F389" s="40" t="n"/>
      <c r="G389" s="39">
        <f>IF(COUNTA(A389:F389)=0,"",IF(A389="EXAMPLE","Example (skipped)",IF(OR(C389="",E389="",F389=""),"✖ Portal, User ID and Password are all needed",IF(AND(A389="",COUNTIF(Clients!$B$5:$B$1005,B389)=0),"Not on Clients — will match a portal client by name",IF(AND(C389="GST",D389&lt;&gt;"",COUNTIF(Clients!$AZ$5:$AZ$1005,UPPER(D389))=0,COUNTIF(Clients!$G$5:$G$1005,"*"&amp;UPPER(D389)&amp;"*")=0),"GSTIN not on Clients — will be checked in the portal","✔ OK")))))</f>
        <v/>
      </c>
    </row>
    <row r="390">
      <c r="A390" s="40" t="n"/>
      <c r="B390" s="41" t="n"/>
      <c r="C390" s="41" t="n"/>
      <c r="D390" s="40" t="n"/>
      <c r="E390" s="40" t="n"/>
      <c r="F390" s="40" t="n"/>
      <c r="G390" s="39">
        <f>IF(COUNTA(A390:F390)=0,"",IF(A390="EXAMPLE","Example (skipped)",IF(OR(C390="",E390="",F390=""),"✖ Portal, User ID and Password are all needed",IF(AND(A390="",COUNTIF(Clients!$B$5:$B$1005,B390)=0),"Not on Clients — will match a portal client by name",IF(AND(C390="GST",D390&lt;&gt;"",COUNTIF(Clients!$AZ$5:$AZ$1005,UPPER(D390))=0,COUNTIF(Clients!$G$5:$G$1005,"*"&amp;UPPER(D390)&amp;"*")=0),"GSTIN not on Clients — will be checked in the portal","✔ OK")))))</f>
        <v/>
      </c>
    </row>
    <row r="391">
      <c r="A391" s="40" t="n"/>
      <c r="B391" s="41" t="n"/>
      <c r="C391" s="41" t="n"/>
      <c r="D391" s="40" t="n"/>
      <c r="E391" s="40" t="n"/>
      <c r="F391" s="40" t="n"/>
      <c r="G391" s="39">
        <f>IF(COUNTA(A391:F391)=0,"",IF(A391="EXAMPLE","Example (skipped)",IF(OR(C391="",E391="",F391=""),"✖ Portal, User ID and Password are all needed",IF(AND(A391="",COUNTIF(Clients!$B$5:$B$1005,B391)=0),"Not on Clients — will match a portal client by name",IF(AND(C391="GST",D391&lt;&gt;"",COUNTIF(Clients!$AZ$5:$AZ$1005,UPPER(D391))=0,COUNTIF(Clients!$G$5:$G$1005,"*"&amp;UPPER(D391)&amp;"*")=0),"GSTIN not on Clients — will be checked in the portal","✔ OK")))))</f>
        <v/>
      </c>
    </row>
    <row r="392">
      <c r="A392" s="40" t="n"/>
      <c r="B392" s="41" t="n"/>
      <c r="C392" s="41" t="n"/>
      <c r="D392" s="40" t="n"/>
      <c r="E392" s="40" t="n"/>
      <c r="F392" s="40" t="n"/>
      <c r="G392" s="39">
        <f>IF(COUNTA(A392:F392)=0,"",IF(A392="EXAMPLE","Example (skipped)",IF(OR(C392="",E392="",F392=""),"✖ Portal, User ID and Password are all needed",IF(AND(A392="",COUNTIF(Clients!$B$5:$B$1005,B392)=0),"Not on Clients — will match a portal client by name",IF(AND(C392="GST",D392&lt;&gt;"",COUNTIF(Clients!$AZ$5:$AZ$1005,UPPER(D392))=0,COUNTIF(Clients!$G$5:$G$1005,"*"&amp;UPPER(D392)&amp;"*")=0),"GSTIN not on Clients — will be checked in the portal","✔ OK")))))</f>
        <v/>
      </c>
    </row>
    <row r="393">
      <c r="A393" s="40" t="n"/>
      <c r="B393" s="41" t="n"/>
      <c r="C393" s="41" t="n"/>
      <c r="D393" s="40" t="n"/>
      <c r="E393" s="40" t="n"/>
      <c r="F393" s="40" t="n"/>
      <c r="G393" s="39">
        <f>IF(COUNTA(A393:F393)=0,"",IF(A393="EXAMPLE","Example (skipped)",IF(OR(C393="",E393="",F393=""),"✖ Portal, User ID and Password are all needed",IF(AND(A393="",COUNTIF(Clients!$B$5:$B$1005,B393)=0),"Not on Clients — will match a portal client by name",IF(AND(C393="GST",D393&lt;&gt;"",COUNTIF(Clients!$AZ$5:$AZ$1005,UPPER(D393))=0,COUNTIF(Clients!$G$5:$G$1005,"*"&amp;UPPER(D393)&amp;"*")=0),"GSTIN not on Clients — will be checked in the portal","✔ OK")))))</f>
        <v/>
      </c>
    </row>
    <row r="394">
      <c r="A394" s="40" t="n"/>
      <c r="B394" s="41" t="n"/>
      <c r="C394" s="41" t="n"/>
      <c r="D394" s="40" t="n"/>
      <c r="E394" s="40" t="n"/>
      <c r="F394" s="40" t="n"/>
      <c r="G394" s="39">
        <f>IF(COUNTA(A394:F394)=0,"",IF(A394="EXAMPLE","Example (skipped)",IF(OR(C394="",E394="",F394=""),"✖ Portal, User ID and Password are all needed",IF(AND(A394="",COUNTIF(Clients!$B$5:$B$1005,B394)=0),"Not on Clients — will match a portal client by name",IF(AND(C394="GST",D394&lt;&gt;"",COUNTIF(Clients!$AZ$5:$AZ$1005,UPPER(D394))=0,COUNTIF(Clients!$G$5:$G$1005,"*"&amp;UPPER(D394)&amp;"*")=0),"GSTIN not on Clients — will be checked in the portal","✔ OK")))))</f>
        <v/>
      </c>
    </row>
    <row r="395">
      <c r="A395" s="40" t="n"/>
      <c r="B395" s="41" t="n"/>
      <c r="C395" s="41" t="n"/>
      <c r="D395" s="40" t="n"/>
      <c r="E395" s="40" t="n"/>
      <c r="F395" s="40" t="n"/>
      <c r="G395" s="39">
        <f>IF(COUNTA(A395:F395)=0,"",IF(A395="EXAMPLE","Example (skipped)",IF(OR(C395="",E395="",F395=""),"✖ Portal, User ID and Password are all needed",IF(AND(A395="",COUNTIF(Clients!$B$5:$B$1005,B395)=0),"Not on Clients — will match a portal client by name",IF(AND(C395="GST",D395&lt;&gt;"",COUNTIF(Clients!$AZ$5:$AZ$1005,UPPER(D395))=0,COUNTIF(Clients!$G$5:$G$1005,"*"&amp;UPPER(D395)&amp;"*")=0),"GSTIN not on Clients — will be checked in the portal","✔ OK")))))</f>
        <v/>
      </c>
    </row>
    <row r="396">
      <c r="A396" s="40" t="n"/>
      <c r="B396" s="41" t="n"/>
      <c r="C396" s="41" t="n"/>
      <c r="D396" s="40" t="n"/>
      <c r="E396" s="40" t="n"/>
      <c r="F396" s="40" t="n"/>
      <c r="G396" s="39">
        <f>IF(COUNTA(A396:F396)=0,"",IF(A396="EXAMPLE","Example (skipped)",IF(OR(C396="",E396="",F396=""),"✖ Portal, User ID and Password are all needed",IF(AND(A396="",COUNTIF(Clients!$B$5:$B$1005,B396)=0),"Not on Clients — will match a portal client by name",IF(AND(C396="GST",D396&lt;&gt;"",COUNTIF(Clients!$AZ$5:$AZ$1005,UPPER(D396))=0,COUNTIF(Clients!$G$5:$G$1005,"*"&amp;UPPER(D396)&amp;"*")=0),"GSTIN not on Clients — will be checked in the portal","✔ OK")))))</f>
        <v/>
      </c>
    </row>
    <row r="397">
      <c r="A397" s="40" t="n"/>
      <c r="B397" s="41" t="n"/>
      <c r="C397" s="41" t="n"/>
      <c r="D397" s="40" t="n"/>
      <c r="E397" s="40" t="n"/>
      <c r="F397" s="40" t="n"/>
      <c r="G397" s="39">
        <f>IF(COUNTA(A397:F397)=0,"",IF(A397="EXAMPLE","Example (skipped)",IF(OR(C397="",E397="",F397=""),"✖ Portal, User ID and Password are all needed",IF(AND(A397="",COUNTIF(Clients!$B$5:$B$1005,B397)=0),"Not on Clients — will match a portal client by name",IF(AND(C397="GST",D397&lt;&gt;"",COUNTIF(Clients!$AZ$5:$AZ$1005,UPPER(D397))=0,COUNTIF(Clients!$G$5:$G$1005,"*"&amp;UPPER(D397)&amp;"*")=0),"GSTIN not on Clients — will be checked in the portal","✔ OK")))))</f>
        <v/>
      </c>
    </row>
    <row r="398">
      <c r="A398" s="40" t="n"/>
      <c r="B398" s="41" t="n"/>
      <c r="C398" s="41" t="n"/>
      <c r="D398" s="40" t="n"/>
      <c r="E398" s="40" t="n"/>
      <c r="F398" s="40" t="n"/>
      <c r="G398" s="39">
        <f>IF(COUNTA(A398:F398)=0,"",IF(A398="EXAMPLE","Example (skipped)",IF(OR(C398="",E398="",F398=""),"✖ Portal, User ID and Password are all needed",IF(AND(A398="",COUNTIF(Clients!$B$5:$B$1005,B398)=0),"Not on Clients — will match a portal client by name",IF(AND(C398="GST",D398&lt;&gt;"",COUNTIF(Clients!$AZ$5:$AZ$1005,UPPER(D398))=0,COUNTIF(Clients!$G$5:$G$1005,"*"&amp;UPPER(D398)&amp;"*")=0),"GSTIN not on Clients — will be checked in the portal","✔ OK")))))</f>
        <v/>
      </c>
    </row>
    <row r="399">
      <c r="A399" s="40" t="n"/>
      <c r="B399" s="41" t="n"/>
      <c r="C399" s="41" t="n"/>
      <c r="D399" s="40" t="n"/>
      <c r="E399" s="40" t="n"/>
      <c r="F399" s="40" t="n"/>
      <c r="G399" s="39">
        <f>IF(COUNTA(A399:F399)=0,"",IF(A399="EXAMPLE","Example (skipped)",IF(OR(C399="",E399="",F399=""),"✖ Portal, User ID and Password are all needed",IF(AND(A399="",COUNTIF(Clients!$B$5:$B$1005,B399)=0),"Not on Clients — will match a portal client by name",IF(AND(C399="GST",D399&lt;&gt;"",COUNTIF(Clients!$AZ$5:$AZ$1005,UPPER(D399))=0,COUNTIF(Clients!$G$5:$G$1005,"*"&amp;UPPER(D399)&amp;"*")=0),"GSTIN not on Clients — will be checked in the portal","✔ OK")))))</f>
        <v/>
      </c>
    </row>
    <row r="400">
      <c r="A400" s="40" t="n"/>
      <c r="B400" s="41" t="n"/>
      <c r="C400" s="41" t="n"/>
      <c r="D400" s="40" t="n"/>
      <c r="E400" s="40" t="n"/>
      <c r="F400" s="40" t="n"/>
      <c r="G400" s="39">
        <f>IF(COUNTA(A400:F400)=0,"",IF(A400="EXAMPLE","Example (skipped)",IF(OR(C400="",E400="",F400=""),"✖ Portal, User ID and Password are all needed",IF(AND(A400="",COUNTIF(Clients!$B$5:$B$1005,B400)=0),"Not on Clients — will match a portal client by name",IF(AND(C400="GST",D400&lt;&gt;"",COUNTIF(Clients!$AZ$5:$AZ$1005,UPPER(D400))=0,COUNTIF(Clients!$G$5:$G$1005,"*"&amp;UPPER(D400)&amp;"*")=0),"GSTIN not on Clients — will be checked in the portal","✔ OK")))))</f>
        <v/>
      </c>
    </row>
    <row r="401">
      <c r="A401" s="40" t="n"/>
      <c r="B401" s="41" t="n"/>
      <c r="C401" s="41" t="n"/>
      <c r="D401" s="40" t="n"/>
      <c r="E401" s="40" t="n"/>
      <c r="F401" s="40" t="n"/>
      <c r="G401" s="39">
        <f>IF(COUNTA(A401:F401)=0,"",IF(A401="EXAMPLE","Example (skipped)",IF(OR(C401="",E401="",F401=""),"✖ Portal, User ID and Password are all needed",IF(AND(A401="",COUNTIF(Clients!$B$5:$B$1005,B401)=0),"Not on Clients — will match a portal client by name",IF(AND(C401="GST",D401&lt;&gt;"",COUNTIF(Clients!$AZ$5:$AZ$1005,UPPER(D401))=0,COUNTIF(Clients!$G$5:$G$1005,"*"&amp;UPPER(D401)&amp;"*")=0),"GSTIN not on Clients — will be checked in the portal","✔ OK")))))</f>
        <v/>
      </c>
    </row>
    <row r="402">
      <c r="A402" s="40" t="n"/>
      <c r="B402" s="41" t="n"/>
      <c r="C402" s="41" t="n"/>
      <c r="D402" s="40" t="n"/>
      <c r="E402" s="40" t="n"/>
      <c r="F402" s="40" t="n"/>
      <c r="G402" s="39">
        <f>IF(COUNTA(A402:F402)=0,"",IF(A402="EXAMPLE","Example (skipped)",IF(OR(C402="",E402="",F402=""),"✖ Portal, User ID and Password are all needed",IF(AND(A402="",COUNTIF(Clients!$B$5:$B$1005,B402)=0),"Not on Clients — will match a portal client by name",IF(AND(C402="GST",D402&lt;&gt;"",COUNTIF(Clients!$AZ$5:$AZ$1005,UPPER(D402))=0,COUNTIF(Clients!$G$5:$G$1005,"*"&amp;UPPER(D402)&amp;"*")=0),"GSTIN not on Clients — will be checked in the portal","✔ OK")))))</f>
        <v/>
      </c>
    </row>
    <row r="403">
      <c r="A403" s="40" t="n"/>
      <c r="B403" s="41" t="n"/>
      <c r="C403" s="41" t="n"/>
      <c r="D403" s="40" t="n"/>
      <c r="E403" s="40" t="n"/>
      <c r="F403" s="40" t="n"/>
      <c r="G403" s="39">
        <f>IF(COUNTA(A403:F403)=0,"",IF(A403="EXAMPLE","Example (skipped)",IF(OR(C403="",E403="",F403=""),"✖ Portal, User ID and Password are all needed",IF(AND(A403="",COUNTIF(Clients!$B$5:$B$1005,B403)=0),"Not on Clients — will match a portal client by name",IF(AND(C403="GST",D403&lt;&gt;"",COUNTIF(Clients!$AZ$5:$AZ$1005,UPPER(D403))=0,COUNTIF(Clients!$G$5:$G$1005,"*"&amp;UPPER(D403)&amp;"*")=0),"GSTIN not on Clients — will be checked in the portal","✔ OK")))))</f>
        <v/>
      </c>
    </row>
    <row r="404">
      <c r="A404" s="40" t="n"/>
      <c r="B404" s="41" t="n"/>
      <c r="C404" s="41" t="n"/>
      <c r="D404" s="40" t="n"/>
      <c r="E404" s="40" t="n"/>
      <c r="F404" s="40" t="n"/>
      <c r="G404" s="39">
        <f>IF(COUNTA(A404:F404)=0,"",IF(A404="EXAMPLE","Example (skipped)",IF(OR(C404="",E404="",F404=""),"✖ Portal, User ID and Password are all needed",IF(AND(A404="",COUNTIF(Clients!$B$5:$B$1005,B404)=0),"Not on Clients — will match a portal client by name",IF(AND(C404="GST",D404&lt;&gt;"",COUNTIF(Clients!$AZ$5:$AZ$1005,UPPER(D404))=0,COUNTIF(Clients!$G$5:$G$1005,"*"&amp;UPPER(D404)&amp;"*")=0),"GSTIN not on Clients — will be checked in the portal","✔ OK")))))</f>
        <v/>
      </c>
    </row>
    <row r="405">
      <c r="A405" s="40" t="n"/>
      <c r="B405" s="41" t="n"/>
      <c r="C405" s="41" t="n"/>
      <c r="D405" s="40" t="n"/>
      <c r="E405" s="40" t="n"/>
      <c r="F405" s="40" t="n"/>
      <c r="G405" s="39">
        <f>IF(COUNTA(A405:F405)=0,"",IF(A405="EXAMPLE","Example (skipped)",IF(OR(C405="",E405="",F405=""),"✖ Portal, User ID and Password are all needed",IF(AND(A405="",COUNTIF(Clients!$B$5:$B$1005,B405)=0),"Not on Clients — will match a portal client by name",IF(AND(C405="GST",D405&lt;&gt;"",COUNTIF(Clients!$AZ$5:$AZ$1005,UPPER(D405))=0,COUNTIF(Clients!$G$5:$G$1005,"*"&amp;UPPER(D405)&amp;"*")=0),"GSTIN not on Clients — will be checked in the portal","✔ OK")))))</f>
        <v/>
      </c>
    </row>
    <row r="406">
      <c r="A406" s="40" t="n"/>
      <c r="B406" s="41" t="n"/>
      <c r="C406" s="41" t="n"/>
      <c r="D406" s="40" t="n"/>
      <c r="E406" s="40" t="n"/>
      <c r="F406" s="40" t="n"/>
      <c r="G406" s="39">
        <f>IF(COUNTA(A406:F406)=0,"",IF(A406="EXAMPLE","Example (skipped)",IF(OR(C406="",E406="",F406=""),"✖ Portal, User ID and Password are all needed",IF(AND(A406="",COUNTIF(Clients!$B$5:$B$1005,B406)=0),"Not on Clients — will match a portal client by name",IF(AND(C406="GST",D406&lt;&gt;"",COUNTIF(Clients!$AZ$5:$AZ$1005,UPPER(D406))=0,COUNTIF(Clients!$G$5:$G$1005,"*"&amp;UPPER(D406)&amp;"*")=0),"GSTIN not on Clients — will be checked in the portal","✔ OK")))))</f>
        <v/>
      </c>
    </row>
    <row r="407">
      <c r="A407" s="40" t="n"/>
      <c r="B407" s="41" t="n"/>
      <c r="C407" s="41" t="n"/>
      <c r="D407" s="40" t="n"/>
      <c r="E407" s="40" t="n"/>
      <c r="F407" s="40" t="n"/>
      <c r="G407" s="39">
        <f>IF(COUNTA(A407:F407)=0,"",IF(A407="EXAMPLE","Example (skipped)",IF(OR(C407="",E407="",F407=""),"✖ Portal, User ID and Password are all needed",IF(AND(A407="",COUNTIF(Clients!$B$5:$B$1005,B407)=0),"Not on Clients — will match a portal client by name",IF(AND(C407="GST",D407&lt;&gt;"",COUNTIF(Clients!$AZ$5:$AZ$1005,UPPER(D407))=0,COUNTIF(Clients!$G$5:$G$1005,"*"&amp;UPPER(D407)&amp;"*")=0),"GSTIN not on Clients — will be checked in the portal","✔ OK")))))</f>
        <v/>
      </c>
    </row>
    <row r="408">
      <c r="A408" s="40" t="n"/>
      <c r="B408" s="41" t="n"/>
      <c r="C408" s="41" t="n"/>
      <c r="D408" s="40" t="n"/>
      <c r="E408" s="40" t="n"/>
      <c r="F408" s="40" t="n"/>
      <c r="G408" s="39">
        <f>IF(COUNTA(A408:F408)=0,"",IF(A408="EXAMPLE","Example (skipped)",IF(OR(C408="",E408="",F408=""),"✖ Portal, User ID and Password are all needed",IF(AND(A408="",COUNTIF(Clients!$B$5:$B$1005,B408)=0),"Not on Clients — will match a portal client by name",IF(AND(C408="GST",D408&lt;&gt;"",COUNTIF(Clients!$AZ$5:$AZ$1005,UPPER(D408))=0,COUNTIF(Clients!$G$5:$G$1005,"*"&amp;UPPER(D408)&amp;"*")=0),"GSTIN not on Clients — will be checked in the portal","✔ OK")))))</f>
        <v/>
      </c>
    </row>
    <row r="409">
      <c r="A409" s="40" t="n"/>
      <c r="B409" s="41" t="n"/>
      <c r="C409" s="41" t="n"/>
      <c r="D409" s="40" t="n"/>
      <c r="E409" s="40" t="n"/>
      <c r="F409" s="40" t="n"/>
      <c r="G409" s="39">
        <f>IF(COUNTA(A409:F409)=0,"",IF(A409="EXAMPLE","Example (skipped)",IF(OR(C409="",E409="",F409=""),"✖ Portal, User ID and Password are all needed",IF(AND(A409="",COUNTIF(Clients!$B$5:$B$1005,B409)=0),"Not on Clients — will match a portal client by name",IF(AND(C409="GST",D409&lt;&gt;"",COUNTIF(Clients!$AZ$5:$AZ$1005,UPPER(D409))=0,COUNTIF(Clients!$G$5:$G$1005,"*"&amp;UPPER(D409)&amp;"*")=0),"GSTIN not on Clients — will be checked in the portal","✔ OK")))))</f>
        <v/>
      </c>
    </row>
    <row r="410">
      <c r="A410" s="40" t="n"/>
      <c r="B410" s="41" t="n"/>
      <c r="C410" s="41" t="n"/>
      <c r="D410" s="40" t="n"/>
      <c r="E410" s="40" t="n"/>
      <c r="F410" s="40" t="n"/>
      <c r="G410" s="39">
        <f>IF(COUNTA(A410:F410)=0,"",IF(A410="EXAMPLE","Example (skipped)",IF(OR(C410="",E410="",F410=""),"✖ Portal, User ID and Password are all needed",IF(AND(A410="",COUNTIF(Clients!$B$5:$B$1005,B410)=0),"Not on Clients — will match a portal client by name",IF(AND(C410="GST",D410&lt;&gt;"",COUNTIF(Clients!$AZ$5:$AZ$1005,UPPER(D410))=0,COUNTIF(Clients!$G$5:$G$1005,"*"&amp;UPPER(D410)&amp;"*")=0),"GSTIN not on Clients — will be checked in the portal","✔ OK")))))</f>
        <v/>
      </c>
    </row>
    <row r="411">
      <c r="A411" s="40" t="n"/>
      <c r="B411" s="41" t="n"/>
      <c r="C411" s="41" t="n"/>
      <c r="D411" s="40" t="n"/>
      <c r="E411" s="40" t="n"/>
      <c r="F411" s="40" t="n"/>
      <c r="G411" s="39">
        <f>IF(COUNTA(A411:F411)=0,"",IF(A411="EXAMPLE","Example (skipped)",IF(OR(C411="",E411="",F411=""),"✖ Portal, User ID and Password are all needed",IF(AND(A411="",COUNTIF(Clients!$B$5:$B$1005,B411)=0),"Not on Clients — will match a portal client by name",IF(AND(C411="GST",D411&lt;&gt;"",COUNTIF(Clients!$AZ$5:$AZ$1005,UPPER(D411))=0,COUNTIF(Clients!$G$5:$G$1005,"*"&amp;UPPER(D411)&amp;"*")=0),"GSTIN not on Clients — will be checked in the portal","✔ OK")))))</f>
        <v/>
      </c>
    </row>
    <row r="412">
      <c r="A412" s="40" t="n"/>
      <c r="B412" s="41" t="n"/>
      <c r="C412" s="41" t="n"/>
      <c r="D412" s="40" t="n"/>
      <c r="E412" s="40" t="n"/>
      <c r="F412" s="40" t="n"/>
      <c r="G412" s="39">
        <f>IF(COUNTA(A412:F412)=0,"",IF(A412="EXAMPLE","Example (skipped)",IF(OR(C412="",E412="",F412=""),"✖ Portal, User ID and Password are all needed",IF(AND(A412="",COUNTIF(Clients!$B$5:$B$1005,B412)=0),"Not on Clients — will match a portal client by name",IF(AND(C412="GST",D412&lt;&gt;"",COUNTIF(Clients!$AZ$5:$AZ$1005,UPPER(D412))=0,COUNTIF(Clients!$G$5:$G$1005,"*"&amp;UPPER(D412)&amp;"*")=0),"GSTIN not on Clients — will be checked in the portal","✔ OK")))))</f>
        <v/>
      </c>
    </row>
    <row r="413">
      <c r="A413" s="40" t="n"/>
      <c r="B413" s="41" t="n"/>
      <c r="C413" s="41" t="n"/>
      <c r="D413" s="40" t="n"/>
      <c r="E413" s="40" t="n"/>
      <c r="F413" s="40" t="n"/>
      <c r="G413" s="39">
        <f>IF(COUNTA(A413:F413)=0,"",IF(A413="EXAMPLE","Example (skipped)",IF(OR(C413="",E413="",F413=""),"✖ Portal, User ID and Password are all needed",IF(AND(A413="",COUNTIF(Clients!$B$5:$B$1005,B413)=0),"Not on Clients — will match a portal client by name",IF(AND(C413="GST",D413&lt;&gt;"",COUNTIF(Clients!$AZ$5:$AZ$1005,UPPER(D413))=0,COUNTIF(Clients!$G$5:$G$1005,"*"&amp;UPPER(D413)&amp;"*")=0),"GSTIN not on Clients — will be checked in the portal","✔ OK")))))</f>
        <v/>
      </c>
    </row>
    <row r="414">
      <c r="A414" s="40" t="n"/>
      <c r="B414" s="41" t="n"/>
      <c r="C414" s="41" t="n"/>
      <c r="D414" s="40" t="n"/>
      <c r="E414" s="40" t="n"/>
      <c r="F414" s="40" t="n"/>
      <c r="G414" s="39">
        <f>IF(COUNTA(A414:F414)=0,"",IF(A414="EXAMPLE","Example (skipped)",IF(OR(C414="",E414="",F414=""),"✖ Portal, User ID and Password are all needed",IF(AND(A414="",COUNTIF(Clients!$B$5:$B$1005,B414)=0),"Not on Clients — will match a portal client by name",IF(AND(C414="GST",D414&lt;&gt;"",COUNTIF(Clients!$AZ$5:$AZ$1005,UPPER(D414))=0,COUNTIF(Clients!$G$5:$G$1005,"*"&amp;UPPER(D414)&amp;"*")=0),"GSTIN not on Clients — will be checked in the portal","✔ OK")))))</f>
        <v/>
      </c>
    </row>
    <row r="415">
      <c r="A415" s="40" t="n"/>
      <c r="B415" s="41" t="n"/>
      <c r="C415" s="41" t="n"/>
      <c r="D415" s="40" t="n"/>
      <c r="E415" s="40" t="n"/>
      <c r="F415" s="40" t="n"/>
      <c r="G415" s="39">
        <f>IF(COUNTA(A415:F415)=0,"",IF(A415="EXAMPLE","Example (skipped)",IF(OR(C415="",E415="",F415=""),"✖ Portal, User ID and Password are all needed",IF(AND(A415="",COUNTIF(Clients!$B$5:$B$1005,B415)=0),"Not on Clients — will match a portal client by name",IF(AND(C415="GST",D415&lt;&gt;"",COUNTIF(Clients!$AZ$5:$AZ$1005,UPPER(D415))=0,COUNTIF(Clients!$G$5:$G$1005,"*"&amp;UPPER(D415)&amp;"*")=0),"GSTIN not on Clients — will be checked in the portal","✔ OK")))))</f>
        <v/>
      </c>
    </row>
    <row r="416">
      <c r="A416" s="40" t="n"/>
      <c r="B416" s="41" t="n"/>
      <c r="C416" s="41" t="n"/>
      <c r="D416" s="40" t="n"/>
      <c r="E416" s="40" t="n"/>
      <c r="F416" s="40" t="n"/>
      <c r="G416" s="39">
        <f>IF(COUNTA(A416:F416)=0,"",IF(A416="EXAMPLE","Example (skipped)",IF(OR(C416="",E416="",F416=""),"✖ Portal, User ID and Password are all needed",IF(AND(A416="",COUNTIF(Clients!$B$5:$B$1005,B416)=0),"Not on Clients — will match a portal client by name",IF(AND(C416="GST",D416&lt;&gt;"",COUNTIF(Clients!$AZ$5:$AZ$1005,UPPER(D416))=0,COUNTIF(Clients!$G$5:$G$1005,"*"&amp;UPPER(D416)&amp;"*")=0),"GSTIN not on Clients — will be checked in the portal","✔ OK")))))</f>
        <v/>
      </c>
    </row>
    <row r="417">
      <c r="A417" s="40" t="n"/>
      <c r="B417" s="41" t="n"/>
      <c r="C417" s="41" t="n"/>
      <c r="D417" s="40" t="n"/>
      <c r="E417" s="40" t="n"/>
      <c r="F417" s="40" t="n"/>
      <c r="G417" s="39">
        <f>IF(COUNTA(A417:F417)=0,"",IF(A417="EXAMPLE","Example (skipped)",IF(OR(C417="",E417="",F417=""),"✖ Portal, User ID and Password are all needed",IF(AND(A417="",COUNTIF(Clients!$B$5:$B$1005,B417)=0),"Not on Clients — will match a portal client by name",IF(AND(C417="GST",D417&lt;&gt;"",COUNTIF(Clients!$AZ$5:$AZ$1005,UPPER(D417))=0,COUNTIF(Clients!$G$5:$G$1005,"*"&amp;UPPER(D417)&amp;"*")=0),"GSTIN not on Clients — will be checked in the portal","✔ OK")))))</f>
        <v/>
      </c>
    </row>
    <row r="418">
      <c r="A418" s="40" t="n"/>
      <c r="B418" s="41" t="n"/>
      <c r="C418" s="41" t="n"/>
      <c r="D418" s="40" t="n"/>
      <c r="E418" s="40" t="n"/>
      <c r="F418" s="40" t="n"/>
      <c r="G418" s="39">
        <f>IF(COUNTA(A418:F418)=0,"",IF(A418="EXAMPLE","Example (skipped)",IF(OR(C418="",E418="",F418=""),"✖ Portal, User ID and Password are all needed",IF(AND(A418="",COUNTIF(Clients!$B$5:$B$1005,B418)=0),"Not on Clients — will match a portal client by name",IF(AND(C418="GST",D418&lt;&gt;"",COUNTIF(Clients!$AZ$5:$AZ$1005,UPPER(D418))=0,COUNTIF(Clients!$G$5:$G$1005,"*"&amp;UPPER(D418)&amp;"*")=0),"GSTIN not on Clients — will be checked in the portal","✔ OK")))))</f>
        <v/>
      </c>
    </row>
    <row r="419">
      <c r="A419" s="40" t="n"/>
      <c r="B419" s="41" t="n"/>
      <c r="C419" s="41" t="n"/>
      <c r="D419" s="40" t="n"/>
      <c r="E419" s="40" t="n"/>
      <c r="F419" s="40" t="n"/>
      <c r="G419" s="39">
        <f>IF(COUNTA(A419:F419)=0,"",IF(A419="EXAMPLE","Example (skipped)",IF(OR(C419="",E419="",F419=""),"✖ Portal, User ID and Password are all needed",IF(AND(A419="",COUNTIF(Clients!$B$5:$B$1005,B419)=0),"Not on Clients — will match a portal client by name",IF(AND(C419="GST",D419&lt;&gt;"",COUNTIF(Clients!$AZ$5:$AZ$1005,UPPER(D419))=0,COUNTIF(Clients!$G$5:$G$1005,"*"&amp;UPPER(D419)&amp;"*")=0),"GSTIN not on Clients — will be checked in the portal","✔ OK")))))</f>
        <v/>
      </c>
    </row>
    <row r="420">
      <c r="A420" s="40" t="n"/>
      <c r="B420" s="41" t="n"/>
      <c r="C420" s="41" t="n"/>
      <c r="D420" s="40" t="n"/>
      <c r="E420" s="40" t="n"/>
      <c r="F420" s="40" t="n"/>
      <c r="G420" s="39">
        <f>IF(COUNTA(A420:F420)=0,"",IF(A420="EXAMPLE","Example (skipped)",IF(OR(C420="",E420="",F420=""),"✖ Portal, User ID and Password are all needed",IF(AND(A420="",COUNTIF(Clients!$B$5:$B$1005,B420)=0),"Not on Clients — will match a portal client by name",IF(AND(C420="GST",D420&lt;&gt;"",COUNTIF(Clients!$AZ$5:$AZ$1005,UPPER(D420))=0,COUNTIF(Clients!$G$5:$G$1005,"*"&amp;UPPER(D420)&amp;"*")=0),"GSTIN not on Clients — will be checked in the portal","✔ OK")))))</f>
        <v/>
      </c>
    </row>
    <row r="421">
      <c r="A421" s="40" t="n"/>
      <c r="B421" s="41" t="n"/>
      <c r="C421" s="41" t="n"/>
      <c r="D421" s="40" t="n"/>
      <c r="E421" s="40" t="n"/>
      <c r="F421" s="40" t="n"/>
      <c r="G421" s="39">
        <f>IF(COUNTA(A421:F421)=0,"",IF(A421="EXAMPLE","Example (skipped)",IF(OR(C421="",E421="",F421=""),"✖ Portal, User ID and Password are all needed",IF(AND(A421="",COUNTIF(Clients!$B$5:$B$1005,B421)=0),"Not on Clients — will match a portal client by name",IF(AND(C421="GST",D421&lt;&gt;"",COUNTIF(Clients!$AZ$5:$AZ$1005,UPPER(D421))=0,COUNTIF(Clients!$G$5:$G$1005,"*"&amp;UPPER(D421)&amp;"*")=0),"GSTIN not on Clients — will be checked in the portal","✔ OK")))))</f>
        <v/>
      </c>
    </row>
    <row r="422">
      <c r="A422" s="40" t="n"/>
      <c r="B422" s="41" t="n"/>
      <c r="C422" s="41" t="n"/>
      <c r="D422" s="40" t="n"/>
      <c r="E422" s="40" t="n"/>
      <c r="F422" s="40" t="n"/>
      <c r="G422" s="39">
        <f>IF(COUNTA(A422:F422)=0,"",IF(A422="EXAMPLE","Example (skipped)",IF(OR(C422="",E422="",F422=""),"✖ Portal, User ID and Password are all needed",IF(AND(A422="",COUNTIF(Clients!$B$5:$B$1005,B422)=0),"Not on Clients — will match a portal client by name",IF(AND(C422="GST",D422&lt;&gt;"",COUNTIF(Clients!$AZ$5:$AZ$1005,UPPER(D422))=0,COUNTIF(Clients!$G$5:$G$1005,"*"&amp;UPPER(D422)&amp;"*")=0),"GSTIN not on Clients — will be checked in the portal","✔ OK")))))</f>
        <v/>
      </c>
    </row>
    <row r="423">
      <c r="A423" s="40" t="n"/>
      <c r="B423" s="41" t="n"/>
      <c r="C423" s="41" t="n"/>
      <c r="D423" s="40" t="n"/>
      <c r="E423" s="40" t="n"/>
      <c r="F423" s="40" t="n"/>
      <c r="G423" s="39">
        <f>IF(COUNTA(A423:F423)=0,"",IF(A423="EXAMPLE","Example (skipped)",IF(OR(C423="",E423="",F423=""),"✖ Portal, User ID and Password are all needed",IF(AND(A423="",COUNTIF(Clients!$B$5:$B$1005,B423)=0),"Not on Clients — will match a portal client by name",IF(AND(C423="GST",D423&lt;&gt;"",COUNTIF(Clients!$AZ$5:$AZ$1005,UPPER(D423))=0,COUNTIF(Clients!$G$5:$G$1005,"*"&amp;UPPER(D423)&amp;"*")=0),"GSTIN not on Clients — will be checked in the portal","✔ OK")))))</f>
        <v/>
      </c>
    </row>
    <row r="424">
      <c r="A424" s="40" t="n"/>
      <c r="B424" s="41" t="n"/>
      <c r="C424" s="41" t="n"/>
      <c r="D424" s="40" t="n"/>
      <c r="E424" s="40" t="n"/>
      <c r="F424" s="40" t="n"/>
      <c r="G424" s="39">
        <f>IF(COUNTA(A424:F424)=0,"",IF(A424="EXAMPLE","Example (skipped)",IF(OR(C424="",E424="",F424=""),"✖ Portal, User ID and Password are all needed",IF(AND(A424="",COUNTIF(Clients!$B$5:$B$1005,B424)=0),"Not on Clients — will match a portal client by name",IF(AND(C424="GST",D424&lt;&gt;"",COUNTIF(Clients!$AZ$5:$AZ$1005,UPPER(D424))=0,COUNTIF(Clients!$G$5:$G$1005,"*"&amp;UPPER(D424)&amp;"*")=0),"GSTIN not on Clients — will be checked in the portal","✔ OK")))))</f>
        <v/>
      </c>
    </row>
    <row r="425">
      <c r="A425" s="40" t="n"/>
      <c r="B425" s="41" t="n"/>
      <c r="C425" s="41" t="n"/>
      <c r="D425" s="40" t="n"/>
      <c r="E425" s="40" t="n"/>
      <c r="F425" s="40" t="n"/>
      <c r="G425" s="39">
        <f>IF(COUNTA(A425:F425)=0,"",IF(A425="EXAMPLE","Example (skipped)",IF(OR(C425="",E425="",F425=""),"✖ Portal, User ID and Password are all needed",IF(AND(A425="",COUNTIF(Clients!$B$5:$B$1005,B425)=0),"Not on Clients — will match a portal client by name",IF(AND(C425="GST",D425&lt;&gt;"",COUNTIF(Clients!$AZ$5:$AZ$1005,UPPER(D425))=0,COUNTIF(Clients!$G$5:$G$1005,"*"&amp;UPPER(D425)&amp;"*")=0),"GSTIN not on Clients — will be checked in the portal","✔ OK")))))</f>
        <v/>
      </c>
    </row>
    <row r="426">
      <c r="A426" s="40" t="n"/>
      <c r="B426" s="41" t="n"/>
      <c r="C426" s="41" t="n"/>
      <c r="D426" s="40" t="n"/>
      <c r="E426" s="40" t="n"/>
      <c r="F426" s="40" t="n"/>
      <c r="G426" s="39">
        <f>IF(COUNTA(A426:F426)=0,"",IF(A426="EXAMPLE","Example (skipped)",IF(OR(C426="",E426="",F426=""),"✖ Portal, User ID and Password are all needed",IF(AND(A426="",COUNTIF(Clients!$B$5:$B$1005,B426)=0),"Not on Clients — will match a portal client by name",IF(AND(C426="GST",D426&lt;&gt;"",COUNTIF(Clients!$AZ$5:$AZ$1005,UPPER(D426))=0,COUNTIF(Clients!$G$5:$G$1005,"*"&amp;UPPER(D426)&amp;"*")=0),"GSTIN not on Clients — will be checked in the portal","✔ OK")))))</f>
        <v/>
      </c>
    </row>
    <row r="427">
      <c r="A427" s="40" t="n"/>
      <c r="B427" s="41" t="n"/>
      <c r="C427" s="41" t="n"/>
      <c r="D427" s="40" t="n"/>
      <c r="E427" s="40" t="n"/>
      <c r="F427" s="40" t="n"/>
      <c r="G427" s="39">
        <f>IF(COUNTA(A427:F427)=0,"",IF(A427="EXAMPLE","Example (skipped)",IF(OR(C427="",E427="",F427=""),"✖ Portal, User ID and Password are all needed",IF(AND(A427="",COUNTIF(Clients!$B$5:$B$1005,B427)=0),"Not on Clients — will match a portal client by name",IF(AND(C427="GST",D427&lt;&gt;"",COUNTIF(Clients!$AZ$5:$AZ$1005,UPPER(D427))=0,COUNTIF(Clients!$G$5:$G$1005,"*"&amp;UPPER(D427)&amp;"*")=0),"GSTIN not on Clients — will be checked in the portal","✔ OK")))))</f>
        <v/>
      </c>
    </row>
    <row r="428">
      <c r="A428" s="40" t="n"/>
      <c r="B428" s="41" t="n"/>
      <c r="C428" s="41" t="n"/>
      <c r="D428" s="40" t="n"/>
      <c r="E428" s="40" t="n"/>
      <c r="F428" s="40" t="n"/>
      <c r="G428" s="39">
        <f>IF(COUNTA(A428:F428)=0,"",IF(A428="EXAMPLE","Example (skipped)",IF(OR(C428="",E428="",F428=""),"✖ Portal, User ID and Password are all needed",IF(AND(A428="",COUNTIF(Clients!$B$5:$B$1005,B428)=0),"Not on Clients — will match a portal client by name",IF(AND(C428="GST",D428&lt;&gt;"",COUNTIF(Clients!$AZ$5:$AZ$1005,UPPER(D428))=0,COUNTIF(Clients!$G$5:$G$1005,"*"&amp;UPPER(D428)&amp;"*")=0),"GSTIN not on Clients — will be checked in the portal","✔ OK")))))</f>
        <v/>
      </c>
    </row>
    <row r="429">
      <c r="A429" s="40" t="n"/>
      <c r="B429" s="41" t="n"/>
      <c r="C429" s="41" t="n"/>
      <c r="D429" s="40" t="n"/>
      <c r="E429" s="40" t="n"/>
      <c r="F429" s="40" t="n"/>
      <c r="G429" s="39">
        <f>IF(COUNTA(A429:F429)=0,"",IF(A429="EXAMPLE","Example (skipped)",IF(OR(C429="",E429="",F429=""),"✖ Portal, User ID and Password are all needed",IF(AND(A429="",COUNTIF(Clients!$B$5:$B$1005,B429)=0),"Not on Clients — will match a portal client by name",IF(AND(C429="GST",D429&lt;&gt;"",COUNTIF(Clients!$AZ$5:$AZ$1005,UPPER(D429))=0,COUNTIF(Clients!$G$5:$G$1005,"*"&amp;UPPER(D429)&amp;"*")=0),"GSTIN not on Clients — will be checked in the portal","✔ OK")))))</f>
        <v/>
      </c>
    </row>
    <row r="430">
      <c r="A430" s="40" t="n"/>
      <c r="B430" s="41" t="n"/>
      <c r="C430" s="41" t="n"/>
      <c r="D430" s="40" t="n"/>
      <c r="E430" s="40" t="n"/>
      <c r="F430" s="40" t="n"/>
      <c r="G430" s="39">
        <f>IF(COUNTA(A430:F430)=0,"",IF(A430="EXAMPLE","Example (skipped)",IF(OR(C430="",E430="",F430=""),"✖ Portal, User ID and Password are all needed",IF(AND(A430="",COUNTIF(Clients!$B$5:$B$1005,B430)=0),"Not on Clients — will match a portal client by name",IF(AND(C430="GST",D430&lt;&gt;"",COUNTIF(Clients!$AZ$5:$AZ$1005,UPPER(D430))=0,COUNTIF(Clients!$G$5:$G$1005,"*"&amp;UPPER(D430)&amp;"*")=0),"GSTIN not on Clients — will be checked in the portal","✔ OK")))))</f>
        <v/>
      </c>
    </row>
    <row r="431">
      <c r="A431" s="40" t="n"/>
      <c r="B431" s="41" t="n"/>
      <c r="C431" s="41" t="n"/>
      <c r="D431" s="40" t="n"/>
      <c r="E431" s="40" t="n"/>
      <c r="F431" s="40" t="n"/>
      <c r="G431" s="39">
        <f>IF(COUNTA(A431:F431)=0,"",IF(A431="EXAMPLE","Example (skipped)",IF(OR(C431="",E431="",F431=""),"✖ Portal, User ID and Password are all needed",IF(AND(A431="",COUNTIF(Clients!$B$5:$B$1005,B431)=0),"Not on Clients — will match a portal client by name",IF(AND(C431="GST",D431&lt;&gt;"",COUNTIF(Clients!$AZ$5:$AZ$1005,UPPER(D431))=0,COUNTIF(Clients!$G$5:$G$1005,"*"&amp;UPPER(D431)&amp;"*")=0),"GSTIN not on Clients — will be checked in the portal","✔ OK")))))</f>
        <v/>
      </c>
    </row>
    <row r="432">
      <c r="A432" s="40" t="n"/>
      <c r="B432" s="41" t="n"/>
      <c r="C432" s="41" t="n"/>
      <c r="D432" s="40" t="n"/>
      <c r="E432" s="40" t="n"/>
      <c r="F432" s="40" t="n"/>
      <c r="G432" s="39">
        <f>IF(COUNTA(A432:F432)=0,"",IF(A432="EXAMPLE","Example (skipped)",IF(OR(C432="",E432="",F432=""),"✖ Portal, User ID and Password are all needed",IF(AND(A432="",COUNTIF(Clients!$B$5:$B$1005,B432)=0),"Not on Clients — will match a portal client by name",IF(AND(C432="GST",D432&lt;&gt;"",COUNTIF(Clients!$AZ$5:$AZ$1005,UPPER(D432))=0,COUNTIF(Clients!$G$5:$G$1005,"*"&amp;UPPER(D432)&amp;"*")=0),"GSTIN not on Clients — will be checked in the portal","✔ OK")))))</f>
        <v/>
      </c>
    </row>
    <row r="433">
      <c r="A433" s="40" t="n"/>
      <c r="B433" s="41" t="n"/>
      <c r="C433" s="41" t="n"/>
      <c r="D433" s="40" t="n"/>
      <c r="E433" s="40" t="n"/>
      <c r="F433" s="40" t="n"/>
      <c r="G433" s="39">
        <f>IF(COUNTA(A433:F433)=0,"",IF(A433="EXAMPLE","Example (skipped)",IF(OR(C433="",E433="",F433=""),"✖ Portal, User ID and Password are all needed",IF(AND(A433="",COUNTIF(Clients!$B$5:$B$1005,B433)=0),"Not on Clients — will match a portal client by name",IF(AND(C433="GST",D433&lt;&gt;"",COUNTIF(Clients!$AZ$5:$AZ$1005,UPPER(D433))=0,COUNTIF(Clients!$G$5:$G$1005,"*"&amp;UPPER(D433)&amp;"*")=0),"GSTIN not on Clients — will be checked in the portal","✔ OK")))))</f>
        <v/>
      </c>
    </row>
    <row r="434">
      <c r="A434" s="40" t="n"/>
      <c r="B434" s="41" t="n"/>
      <c r="C434" s="41" t="n"/>
      <c r="D434" s="40" t="n"/>
      <c r="E434" s="40" t="n"/>
      <c r="F434" s="40" t="n"/>
      <c r="G434" s="39">
        <f>IF(COUNTA(A434:F434)=0,"",IF(A434="EXAMPLE","Example (skipped)",IF(OR(C434="",E434="",F434=""),"✖ Portal, User ID and Password are all needed",IF(AND(A434="",COUNTIF(Clients!$B$5:$B$1005,B434)=0),"Not on Clients — will match a portal client by name",IF(AND(C434="GST",D434&lt;&gt;"",COUNTIF(Clients!$AZ$5:$AZ$1005,UPPER(D434))=0,COUNTIF(Clients!$G$5:$G$1005,"*"&amp;UPPER(D434)&amp;"*")=0),"GSTIN not on Clients — will be checked in the portal","✔ OK")))))</f>
        <v/>
      </c>
    </row>
    <row r="435">
      <c r="A435" s="40" t="n"/>
      <c r="B435" s="41" t="n"/>
      <c r="C435" s="41" t="n"/>
      <c r="D435" s="40" t="n"/>
      <c r="E435" s="40" t="n"/>
      <c r="F435" s="40" t="n"/>
      <c r="G435" s="39">
        <f>IF(COUNTA(A435:F435)=0,"",IF(A435="EXAMPLE","Example (skipped)",IF(OR(C435="",E435="",F435=""),"✖ Portal, User ID and Password are all needed",IF(AND(A435="",COUNTIF(Clients!$B$5:$B$1005,B435)=0),"Not on Clients — will match a portal client by name",IF(AND(C435="GST",D435&lt;&gt;"",COUNTIF(Clients!$AZ$5:$AZ$1005,UPPER(D435))=0,COUNTIF(Clients!$G$5:$G$1005,"*"&amp;UPPER(D435)&amp;"*")=0),"GSTIN not on Clients — will be checked in the portal","✔ OK")))))</f>
        <v/>
      </c>
    </row>
    <row r="436">
      <c r="A436" s="40" t="n"/>
      <c r="B436" s="41" t="n"/>
      <c r="C436" s="41" t="n"/>
      <c r="D436" s="40" t="n"/>
      <c r="E436" s="40" t="n"/>
      <c r="F436" s="40" t="n"/>
      <c r="G436" s="39">
        <f>IF(COUNTA(A436:F436)=0,"",IF(A436="EXAMPLE","Example (skipped)",IF(OR(C436="",E436="",F436=""),"✖ Portal, User ID and Password are all needed",IF(AND(A436="",COUNTIF(Clients!$B$5:$B$1005,B436)=0),"Not on Clients — will match a portal client by name",IF(AND(C436="GST",D436&lt;&gt;"",COUNTIF(Clients!$AZ$5:$AZ$1005,UPPER(D436))=0,COUNTIF(Clients!$G$5:$G$1005,"*"&amp;UPPER(D436)&amp;"*")=0),"GSTIN not on Clients — will be checked in the portal","✔ OK")))))</f>
        <v/>
      </c>
    </row>
    <row r="437">
      <c r="A437" s="40" t="n"/>
      <c r="B437" s="41" t="n"/>
      <c r="C437" s="41" t="n"/>
      <c r="D437" s="40" t="n"/>
      <c r="E437" s="40" t="n"/>
      <c r="F437" s="40" t="n"/>
      <c r="G437" s="39">
        <f>IF(COUNTA(A437:F437)=0,"",IF(A437="EXAMPLE","Example (skipped)",IF(OR(C437="",E437="",F437=""),"✖ Portal, User ID and Password are all needed",IF(AND(A437="",COUNTIF(Clients!$B$5:$B$1005,B437)=0),"Not on Clients — will match a portal client by name",IF(AND(C437="GST",D437&lt;&gt;"",COUNTIF(Clients!$AZ$5:$AZ$1005,UPPER(D437))=0,COUNTIF(Clients!$G$5:$G$1005,"*"&amp;UPPER(D437)&amp;"*")=0),"GSTIN not on Clients — will be checked in the portal","✔ OK")))))</f>
        <v/>
      </c>
    </row>
    <row r="438">
      <c r="A438" s="40" t="n"/>
      <c r="B438" s="41" t="n"/>
      <c r="C438" s="41" t="n"/>
      <c r="D438" s="40" t="n"/>
      <c r="E438" s="40" t="n"/>
      <c r="F438" s="40" t="n"/>
      <c r="G438" s="39">
        <f>IF(COUNTA(A438:F438)=0,"",IF(A438="EXAMPLE","Example (skipped)",IF(OR(C438="",E438="",F438=""),"✖ Portal, User ID and Password are all needed",IF(AND(A438="",COUNTIF(Clients!$B$5:$B$1005,B438)=0),"Not on Clients — will match a portal client by name",IF(AND(C438="GST",D438&lt;&gt;"",COUNTIF(Clients!$AZ$5:$AZ$1005,UPPER(D438))=0,COUNTIF(Clients!$G$5:$G$1005,"*"&amp;UPPER(D438)&amp;"*")=0),"GSTIN not on Clients — will be checked in the portal","✔ OK")))))</f>
        <v/>
      </c>
    </row>
    <row r="439">
      <c r="A439" s="40" t="n"/>
      <c r="B439" s="41" t="n"/>
      <c r="C439" s="41" t="n"/>
      <c r="D439" s="40" t="n"/>
      <c r="E439" s="40" t="n"/>
      <c r="F439" s="40" t="n"/>
      <c r="G439" s="39">
        <f>IF(COUNTA(A439:F439)=0,"",IF(A439="EXAMPLE","Example (skipped)",IF(OR(C439="",E439="",F439=""),"✖ Portal, User ID and Password are all needed",IF(AND(A439="",COUNTIF(Clients!$B$5:$B$1005,B439)=0),"Not on Clients — will match a portal client by name",IF(AND(C439="GST",D439&lt;&gt;"",COUNTIF(Clients!$AZ$5:$AZ$1005,UPPER(D439))=0,COUNTIF(Clients!$G$5:$G$1005,"*"&amp;UPPER(D439)&amp;"*")=0),"GSTIN not on Clients — will be checked in the portal","✔ OK")))))</f>
        <v/>
      </c>
    </row>
    <row r="440">
      <c r="A440" s="40" t="n"/>
      <c r="B440" s="41" t="n"/>
      <c r="C440" s="41" t="n"/>
      <c r="D440" s="40" t="n"/>
      <c r="E440" s="40" t="n"/>
      <c r="F440" s="40" t="n"/>
      <c r="G440" s="39">
        <f>IF(COUNTA(A440:F440)=0,"",IF(A440="EXAMPLE","Example (skipped)",IF(OR(C440="",E440="",F440=""),"✖ Portal, User ID and Password are all needed",IF(AND(A440="",COUNTIF(Clients!$B$5:$B$1005,B440)=0),"Not on Clients — will match a portal client by name",IF(AND(C440="GST",D440&lt;&gt;"",COUNTIF(Clients!$AZ$5:$AZ$1005,UPPER(D440))=0,COUNTIF(Clients!$G$5:$G$1005,"*"&amp;UPPER(D440)&amp;"*")=0),"GSTIN not on Clients — will be checked in the portal","✔ OK")))))</f>
        <v/>
      </c>
    </row>
    <row r="441">
      <c r="A441" s="40" t="n"/>
      <c r="B441" s="41" t="n"/>
      <c r="C441" s="41" t="n"/>
      <c r="D441" s="40" t="n"/>
      <c r="E441" s="40" t="n"/>
      <c r="F441" s="40" t="n"/>
      <c r="G441" s="39">
        <f>IF(COUNTA(A441:F441)=0,"",IF(A441="EXAMPLE","Example (skipped)",IF(OR(C441="",E441="",F441=""),"✖ Portal, User ID and Password are all needed",IF(AND(A441="",COUNTIF(Clients!$B$5:$B$1005,B441)=0),"Not on Clients — will match a portal client by name",IF(AND(C441="GST",D441&lt;&gt;"",COUNTIF(Clients!$AZ$5:$AZ$1005,UPPER(D441))=0,COUNTIF(Clients!$G$5:$G$1005,"*"&amp;UPPER(D441)&amp;"*")=0),"GSTIN not on Clients — will be checked in the portal","✔ OK")))))</f>
        <v/>
      </c>
    </row>
    <row r="442">
      <c r="A442" s="40" t="n"/>
      <c r="B442" s="41" t="n"/>
      <c r="C442" s="41" t="n"/>
      <c r="D442" s="40" t="n"/>
      <c r="E442" s="40" t="n"/>
      <c r="F442" s="40" t="n"/>
      <c r="G442" s="39">
        <f>IF(COUNTA(A442:F442)=0,"",IF(A442="EXAMPLE","Example (skipped)",IF(OR(C442="",E442="",F442=""),"✖ Portal, User ID and Password are all needed",IF(AND(A442="",COUNTIF(Clients!$B$5:$B$1005,B442)=0),"Not on Clients — will match a portal client by name",IF(AND(C442="GST",D442&lt;&gt;"",COUNTIF(Clients!$AZ$5:$AZ$1005,UPPER(D442))=0,COUNTIF(Clients!$G$5:$G$1005,"*"&amp;UPPER(D442)&amp;"*")=0),"GSTIN not on Clients — will be checked in the portal","✔ OK")))))</f>
        <v/>
      </c>
    </row>
    <row r="443">
      <c r="A443" s="40" t="n"/>
      <c r="B443" s="41" t="n"/>
      <c r="C443" s="41" t="n"/>
      <c r="D443" s="40" t="n"/>
      <c r="E443" s="40" t="n"/>
      <c r="F443" s="40" t="n"/>
      <c r="G443" s="39">
        <f>IF(COUNTA(A443:F443)=0,"",IF(A443="EXAMPLE","Example (skipped)",IF(OR(C443="",E443="",F443=""),"✖ Portal, User ID and Password are all needed",IF(AND(A443="",COUNTIF(Clients!$B$5:$B$1005,B443)=0),"Not on Clients — will match a portal client by name",IF(AND(C443="GST",D443&lt;&gt;"",COUNTIF(Clients!$AZ$5:$AZ$1005,UPPER(D443))=0,COUNTIF(Clients!$G$5:$G$1005,"*"&amp;UPPER(D443)&amp;"*")=0),"GSTIN not on Clients — will be checked in the portal","✔ OK")))))</f>
        <v/>
      </c>
    </row>
    <row r="444">
      <c r="A444" s="40" t="n"/>
      <c r="B444" s="41" t="n"/>
      <c r="C444" s="41" t="n"/>
      <c r="D444" s="40" t="n"/>
      <c r="E444" s="40" t="n"/>
      <c r="F444" s="40" t="n"/>
      <c r="G444" s="39">
        <f>IF(COUNTA(A444:F444)=0,"",IF(A444="EXAMPLE","Example (skipped)",IF(OR(C444="",E444="",F444=""),"✖ Portal, User ID and Password are all needed",IF(AND(A444="",COUNTIF(Clients!$B$5:$B$1005,B444)=0),"Not on Clients — will match a portal client by name",IF(AND(C444="GST",D444&lt;&gt;"",COUNTIF(Clients!$AZ$5:$AZ$1005,UPPER(D444))=0,COUNTIF(Clients!$G$5:$G$1005,"*"&amp;UPPER(D444)&amp;"*")=0),"GSTIN not on Clients — will be checked in the portal","✔ OK")))))</f>
        <v/>
      </c>
    </row>
    <row r="445">
      <c r="A445" s="40" t="n"/>
      <c r="B445" s="41" t="n"/>
      <c r="C445" s="41" t="n"/>
      <c r="D445" s="40" t="n"/>
      <c r="E445" s="40" t="n"/>
      <c r="F445" s="40" t="n"/>
      <c r="G445" s="39">
        <f>IF(COUNTA(A445:F445)=0,"",IF(A445="EXAMPLE","Example (skipped)",IF(OR(C445="",E445="",F445=""),"✖ Portal, User ID and Password are all needed",IF(AND(A445="",COUNTIF(Clients!$B$5:$B$1005,B445)=0),"Not on Clients — will match a portal client by name",IF(AND(C445="GST",D445&lt;&gt;"",COUNTIF(Clients!$AZ$5:$AZ$1005,UPPER(D445))=0,COUNTIF(Clients!$G$5:$G$1005,"*"&amp;UPPER(D445)&amp;"*")=0),"GSTIN not on Clients — will be checked in the portal","✔ OK")))))</f>
        <v/>
      </c>
    </row>
    <row r="446">
      <c r="A446" s="40" t="n"/>
      <c r="B446" s="41" t="n"/>
      <c r="C446" s="41" t="n"/>
      <c r="D446" s="40" t="n"/>
      <c r="E446" s="40" t="n"/>
      <c r="F446" s="40" t="n"/>
      <c r="G446" s="39">
        <f>IF(COUNTA(A446:F446)=0,"",IF(A446="EXAMPLE","Example (skipped)",IF(OR(C446="",E446="",F446=""),"✖ Portal, User ID and Password are all needed",IF(AND(A446="",COUNTIF(Clients!$B$5:$B$1005,B446)=0),"Not on Clients — will match a portal client by name",IF(AND(C446="GST",D446&lt;&gt;"",COUNTIF(Clients!$AZ$5:$AZ$1005,UPPER(D446))=0,COUNTIF(Clients!$G$5:$G$1005,"*"&amp;UPPER(D446)&amp;"*")=0),"GSTIN not on Clients — will be checked in the portal","✔ OK")))))</f>
        <v/>
      </c>
    </row>
    <row r="447">
      <c r="A447" s="40" t="n"/>
      <c r="B447" s="41" t="n"/>
      <c r="C447" s="41" t="n"/>
      <c r="D447" s="40" t="n"/>
      <c r="E447" s="40" t="n"/>
      <c r="F447" s="40" t="n"/>
      <c r="G447" s="39">
        <f>IF(COUNTA(A447:F447)=0,"",IF(A447="EXAMPLE","Example (skipped)",IF(OR(C447="",E447="",F447=""),"✖ Portal, User ID and Password are all needed",IF(AND(A447="",COUNTIF(Clients!$B$5:$B$1005,B447)=0),"Not on Clients — will match a portal client by name",IF(AND(C447="GST",D447&lt;&gt;"",COUNTIF(Clients!$AZ$5:$AZ$1005,UPPER(D447))=0,COUNTIF(Clients!$G$5:$G$1005,"*"&amp;UPPER(D447)&amp;"*")=0),"GSTIN not on Clients — will be checked in the portal","✔ OK")))))</f>
        <v/>
      </c>
    </row>
    <row r="448">
      <c r="A448" s="40" t="n"/>
      <c r="B448" s="41" t="n"/>
      <c r="C448" s="41" t="n"/>
      <c r="D448" s="40" t="n"/>
      <c r="E448" s="40" t="n"/>
      <c r="F448" s="40" t="n"/>
      <c r="G448" s="39">
        <f>IF(COUNTA(A448:F448)=0,"",IF(A448="EXAMPLE","Example (skipped)",IF(OR(C448="",E448="",F448=""),"✖ Portal, User ID and Password are all needed",IF(AND(A448="",COUNTIF(Clients!$B$5:$B$1005,B448)=0),"Not on Clients — will match a portal client by name",IF(AND(C448="GST",D448&lt;&gt;"",COUNTIF(Clients!$AZ$5:$AZ$1005,UPPER(D448))=0,COUNTIF(Clients!$G$5:$G$1005,"*"&amp;UPPER(D448)&amp;"*")=0),"GSTIN not on Clients — will be checked in the portal","✔ OK")))))</f>
        <v/>
      </c>
    </row>
    <row r="449">
      <c r="A449" s="40" t="n"/>
      <c r="B449" s="41" t="n"/>
      <c r="C449" s="41" t="n"/>
      <c r="D449" s="40" t="n"/>
      <c r="E449" s="40" t="n"/>
      <c r="F449" s="40" t="n"/>
      <c r="G449" s="39">
        <f>IF(COUNTA(A449:F449)=0,"",IF(A449="EXAMPLE","Example (skipped)",IF(OR(C449="",E449="",F449=""),"✖ Portal, User ID and Password are all needed",IF(AND(A449="",COUNTIF(Clients!$B$5:$B$1005,B449)=0),"Not on Clients — will match a portal client by name",IF(AND(C449="GST",D449&lt;&gt;"",COUNTIF(Clients!$AZ$5:$AZ$1005,UPPER(D449))=0,COUNTIF(Clients!$G$5:$G$1005,"*"&amp;UPPER(D449)&amp;"*")=0),"GSTIN not on Clients — will be checked in the portal","✔ OK")))))</f>
        <v/>
      </c>
    </row>
    <row r="450">
      <c r="A450" s="40" t="n"/>
      <c r="B450" s="41" t="n"/>
      <c r="C450" s="41" t="n"/>
      <c r="D450" s="40" t="n"/>
      <c r="E450" s="40" t="n"/>
      <c r="F450" s="40" t="n"/>
      <c r="G450" s="39">
        <f>IF(COUNTA(A450:F450)=0,"",IF(A450="EXAMPLE","Example (skipped)",IF(OR(C450="",E450="",F450=""),"✖ Portal, User ID and Password are all needed",IF(AND(A450="",COUNTIF(Clients!$B$5:$B$1005,B450)=0),"Not on Clients — will match a portal client by name",IF(AND(C450="GST",D450&lt;&gt;"",COUNTIF(Clients!$AZ$5:$AZ$1005,UPPER(D450))=0,COUNTIF(Clients!$G$5:$G$1005,"*"&amp;UPPER(D450)&amp;"*")=0),"GSTIN not on Clients — will be checked in the portal","✔ OK")))))</f>
        <v/>
      </c>
    </row>
    <row r="451">
      <c r="A451" s="40" t="n"/>
      <c r="B451" s="41" t="n"/>
      <c r="C451" s="41" t="n"/>
      <c r="D451" s="40" t="n"/>
      <c r="E451" s="40" t="n"/>
      <c r="F451" s="40" t="n"/>
      <c r="G451" s="39">
        <f>IF(COUNTA(A451:F451)=0,"",IF(A451="EXAMPLE","Example (skipped)",IF(OR(C451="",E451="",F451=""),"✖ Portal, User ID and Password are all needed",IF(AND(A451="",COUNTIF(Clients!$B$5:$B$1005,B451)=0),"Not on Clients — will match a portal client by name",IF(AND(C451="GST",D451&lt;&gt;"",COUNTIF(Clients!$AZ$5:$AZ$1005,UPPER(D451))=0,COUNTIF(Clients!$G$5:$G$1005,"*"&amp;UPPER(D451)&amp;"*")=0),"GSTIN not on Clients — will be checked in the portal","✔ OK")))))</f>
        <v/>
      </c>
    </row>
    <row r="452">
      <c r="A452" s="40" t="n"/>
      <c r="B452" s="41" t="n"/>
      <c r="C452" s="41" t="n"/>
      <c r="D452" s="40" t="n"/>
      <c r="E452" s="40" t="n"/>
      <c r="F452" s="40" t="n"/>
      <c r="G452" s="39">
        <f>IF(COUNTA(A452:F452)=0,"",IF(A452="EXAMPLE","Example (skipped)",IF(OR(C452="",E452="",F452=""),"✖ Portal, User ID and Password are all needed",IF(AND(A452="",COUNTIF(Clients!$B$5:$B$1005,B452)=0),"Not on Clients — will match a portal client by name",IF(AND(C452="GST",D452&lt;&gt;"",COUNTIF(Clients!$AZ$5:$AZ$1005,UPPER(D452))=0,COUNTIF(Clients!$G$5:$G$1005,"*"&amp;UPPER(D452)&amp;"*")=0),"GSTIN not on Clients — will be checked in the portal","✔ OK")))))</f>
        <v/>
      </c>
    </row>
    <row r="453">
      <c r="A453" s="40" t="n"/>
      <c r="B453" s="41" t="n"/>
      <c r="C453" s="41" t="n"/>
      <c r="D453" s="40" t="n"/>
      <c r="E453" s="40" t="n"/>
      <c r="F453" s="40" t="n"/>
      <c r="G453" s="39">
        <f>IF(COUNTA(A453:F453)=0,"",IF(A453="EXAMPLE","Example (skipped)",IF(OR(C453="",E453="",F453=""),"✖ Portal, User ID and Password are all needed",IF(AND(A453="",COUNTIF(Clients!$B$5:$B$1005,B453)=0),"Not on Clients — will match a portal client by name",IF(AND(C453="GST",D453&lt;&gt;"",COUNTIF(Clients!$AZ$5:$AZ$1005,UPPER(D453))=0,COUNTIF(Clients!$G$5:$G$1005,"*"&amp;UPPER(D453)&amp;"*")=0),"GSTIN not on Clients — will be checked in the portal","✔ OK")))))</f>
        <v/>
      </c>
    </row>
    <row r="454">
      <c r="A454" s="40" t="n"/>
      <c r="B454" s="41" t="n"/>
      <c r="C454" s="41" t="n"/>
      <c r="D454" s="40" t="n"/>
      <c r="E454" s="40" t="n"/>
      <c r="F454" s="40" t="n"/>
      <c r="G454" s="39">
        <f>IF(COUNTA(A454:F454)=0,"",IF(A454="EXAMPLE","Example (skipped)",IF(OR(C454="",E454="",F454=""),"✖ Portal, User ID and Password are all needed",IF(AND(A454="",COUNTIF(Clients!$B$5:$B$1005,B454)=0),"Not on Clients — will match a portal client by name",IF(AND(C454="GST",D454&lt;&gt;"",COUNTIF(Clients!$AZ$5:$AZ$1005,UPPER(D454))=0,COUNTIF(Clients!$G$5:$G$1005,"*"&amp;UPPER(D454)&amp;"*")=0),"GSTIN not on Clients — will be checked in the portal","✔ OK")))))</f>
        <v/>
      </c>
    </row>
    <row r="455">
      <c r="A455" s="40" t="n"/>
      <c r="B455" s="41" t="n"/>
      <c r="C455" s="41" t="n"/>
      <c r="D455" s="40" t="n"/>
      <c r="E455" s="40" t="n"/>
      <c r="F455" s="40" t="n"/>
      <c r="G455" s="39">
        <f>IF(COUNTA(A455:F455)=0,"",IF(A455="EXAMPLE","Example (skipped)",IF(OR(C455="",E455="",F455=""),"✖ Portal, User ID and Password are all needed",IF(AND(A455="",COUNTIF(Clients!$B$5:$B$1005,B455)=0),"Not on Clients — will match a portal client by name",IF(AND(C455="GST",D455&lt;&gt;"",COUNTIF(Clients!$AZ$5:$AZ$1005,UPPER(D455))=0,COUNTIF(Clients!$G$5:$G$1005,"*"&amp;UPPER(D455)&amp;"*")=0),"GSTIN not on Clients — will be checked in the portal","✔ OK")))))</f>
        <v/>
      </c>
    </row>
    <row r="456">
      <c r="A456" s="40" t="n"/>
      <c r="B456" s="41" t="n"/>
      <c r="C456" s="41" t="n"/>
      <c r="D456" s="40" t="n"/>
      <c r="E456" s="40" t="n"/>
      <c r="F456" s="40" t="n"/>
      <c r="G456" s="39">
        <f>IF(COUNTA(A456:F456)=0,"",IF(A456="EXAMPLE","Example (skipped)",IF(OR(C456="",E456="",F456=""),"✖ Portal, User ID and Password are all needed",IF(AND(A456="",COUNTIF(Clients!$B$5:$B$1005,B456)=0),"Not on Clients — will match a portal client by name",IF(AND(C456="GST",D456&lt;&gt;"",COUNTIF(Clients!$AZ$5:$AZ$1005,UPPER(D456))=0,COUNTIF(Clients!$G$5:$G$1005,"*"&amp;UPPER(D456)&amp;"*")=0),"GSTIN not on Clients — will be checked in the portal","✔ OK")))))</f>
        <v/>
      </c>
    </row>
    <row r="457">
      <c r="A457" s="40" t="n"/>
      <c r="B457" s="41" t="n"/>
      <c r="C457" s="41" t="n"/>
      <c r="D457" s="40" t="n"/>
      <c r="E457" s="40" t="n"/>
      <c r="F457" s="40" t="n"/>
      <c r="G457" s="39">
        <f>IF(COUNTA(A457:F457)=0,"",IF(A457="EXAMPLE","Example (skipped)",IF(OR(C457="",E457="",F457=""),"✖ Portal, User ID and Password are all needed",IF(AND(A457="",COUNTIF(Clients!$B$5:$B$1005,B457)=0),"Not on Clients — will match a portal client by name",IF(AND(C457="GST",D457&lt;&gt;"",COUNTIF(Clients!$AZ$5:$AZ$1005,UPPER(D457))=0,COUNTIF(Clients!$G$5:$G$1005,"*"&amp;UPPER(D457)&amp;"*")=0),"GSTIN not on Clients — will be checked in the portal","✔ OK")))))</f>
        <v/>
      </c>
    </row>
    <row r="458">
      <c r="A458" s="40" t="n"/>
      <c r="B458" s="41" t="n"/>
      <c r="C458" s="41" t="n"/>
      <c r="D458" s="40" t="n"/>
      <c r="E458" s="40" t="n"/>
      <c r="F458" s="40" t="n"/>
      <c r="G458" s="39">
        <f>IF(COUNTA(A458:F458)=0,"",IF(A458="EXAMPLE","Example (skipped)",IF(OR(C458="",E458="",F458=""),"✖ Portal, User ID and Password are all needed",IF(AND(A458="",COUNTIF(Clients!$B$5:$B$1005,B458)=0),"Not on Clients — will match a portal client by name",IF(AND(C458="GST",D458&lt;&gt;"",COUNTIF(Clients!$AZ$5:$AZ$1005,UPPER(D458))=0,COUNTIF(Clients!$G$5:$G$1005,"*"&amp;UPPER(D458)&amp;"*")=0),"GSTIN not on Clients — will be checked in the portal","✔ OK")))))</f>
        <v/>
      </c>
    </row>
    <row r="459">
      <c r="A459" s="40" t="n"/>
      <c r="B459" s="41" t="n"/>
      <c r="C459" s="41" t="n"/>
      <c r="D459" s="40" t="n"/>
      <c r="E459" s="40" t="n"/>
      <c r="F459" s="40" t="n"/>
      <c r="G459" s="39">
        <f>IF(COUNTA(A459:F459)=0,"",IF(A459="EXAMPLE","Example (skipped)",IF(OR(C459="",E459="",F459=""),"✖ Portal, User ID and Password are all needed",IF(AND(A459="",COUNTIF(Clients!$B$5:$B$1005,B459)=0),"Not on Clients — will match a portal client by name",IF(AND(C459="GST",D459&lt;&gt;"",COUNTIF(Clients!$AZ$5:$AZ$1005,UPPER(D459))=0,COUNTIF(Clients!$G$5:$G$1005,"*"&amp;UPPER(D459)&amp;"*")=0),"GSTIN not on Clients — will be checked in the portal","✔ OK")))))</f>
        <v/>
      </c>
    </row>
    <row r="460">
      <c r="A460" s="40" t="n"/>
      <c r="B460" s="41" t="n"/>
      <c r="C460" s="41" t="n"/>
      <c r="D460" s="40" t="n"/>
      <c r="E460" s="40" t="n"/>
      <c r="F460" s="40" t="n"/>
      <c r="G460" s="39">
        <f>IF(COUNTA(A460:F460)=0,"",IF(A460="EXAMPLE","Example (skipped)",IF(OR(C460="",E460="",F460=""),"✖ Portal, User ID and Password are all needed",IF(AND(A460="",COUNTIF(Clients!$B$5:$B$1005,B460)=0),"Not on Clients — will match a portal client by name",IF(AND(C460="GST",D460&lt;&gt;"",COUNTIF(Clients!$AZ$5:$AZ$1005,UPPER(D460))=0,COUNTIF(Clients!$G$5:$G$1005,"*"&amp;UPPER(D460)&amp;"*")=0),"GSTIN not on Clients — will be checked in the portal","✔ OK")))))</f>
        <v/>
      </c>
    </row>
    <row r="461">
      <c r="A461" s="40" t="n"/>
      <c r="B461" s="41" t="n"/>
      <c r="C461" s="41" t="n"/>
      <c r="D461" s="40" t="n"/>
      <c r="E461" s="40" t="n"/>
      <c r="F461" s="40" t="n"/>
      <c r="G461" s="39">
        <f>IF(COUNTA(A461:F461)=0,"",IF(A461="EXAMPLE","Example (skipped)",IF(OR(C461="",E461="",F461=""),"✖ Portal, User ID and Password are all needed",IF(AND(A461="",COUNTIF(Clients!$B$5:$B$1005,B461)=0),"Not on Clients — will match a portal client by name",IF(AND(C461="GST",D461&lt;&gt;"",COUNTIF(Clients!$AZ$5:$AZ$1005,UPPER(D461))=0,COUNTIF(Clients!$G$5:$G$1005,"*"&amp;UPPER(D461)&amp;"*")=0),"GSTIN not on Clients — will be checked in the portal","✔ OK")))))</f>
        <v/>
      </c>
    </row>
    <row r="462">
      <c r="A462" s="40" t="n"/>
      <c r="B462" s="41" t="n"/>
      <c r="C462" s="41" t="n"/>
      <c r="D462" s="40" t="n"/>
      <c r="E462" s="40" t="n"/>
      <c r="F462" s="40" t="n"/>
      <c r="G462" s="39">
        <f>IF(COUNTA(A462:F462)=0,"",IF(A462="EXAMPLE","Example (skipped)",IF(OR(C462="",E462="",F462=""),"✖ Portal, User ID and Password are all needed",IF(AND(A462="",COUNTIF(Clients!$B$5:$B$1005,B462)=0),"Not on Clients — will match a portal client by name",IF(AND(C462="GST",D462&lt;&gt;"",COUNTIF(Clients!$AZ$5:$AZ$1005,UPPER(D462))=0,COUNTIF(Clients!$G$5:$G$1005,"*"&amp;UPPER(D462)&amp;"*")=0),"GSTIN not on Clients — will be checked in the portal","✔ OK")))))</f>
        <v/>
      </c>
    </row>
    <row r="463">
      <c r="A463" s="40" t="n"/>
      <c r="B463" s="41" t="n"/>
      <c r="C463" s="41" t="n"/>
      <c r="D463" s="40" t="n"/>
      <c r="E463" s="40" t="n"/>
      <c r="F463" s="40" t="n"/>
      <c r="G463" s="39">
        <f>IF(COUNTA(A463:F463)=0,"",IF(A463="EXAMPLE","Example (skipped)",IF(OR(C463="",E463="",F463=""),"✖ Portal, User ID and Password are all needed",IF(AND(A463="",COUNTIF(Clients!$B$5:$B$1005,B463)=0),"Not on Clients — will match a portal client by name",IF(AND(C463="GST",D463&lt;&gt;"",COUNTIF(Clients!$AZ$5:$AZ$1005,UPPER(D463))=0,COUNTIF(Clients!$G$5:$G$1005,"*"&amp;UPPER(D463)&amp;"*")=0),"GSTIN not on Clients — will be checked in the portal","✔ OK")))))</f>
        <v/>
      </c>
    </row>
    <row r="464">
      <c r="A464" s="40" t="n"/>
      <c r="B464" s="41" t="n"/>
      <c r="C464" s="41" t="n"/>
      <c r="D464" s="40" t="n"/>
      <c r="E464" s="40" t="n"/>
      <c r="F464" s="40" t="n"/>
      <c r="G464" s="39">
        <f>IF(COUNTA(A464:F464)=0,"",IF(A464="EXAMPLE","Example (skipped)",IF(OR(C464="",E464="",F464=""),"✖ Portal, User ID and Password are all needed",IF(AND(A464="",COUNTIF(Clients!$B$5:$B$1005,B464)=0),"Not on Clients — will match a portal client by name",IF(AND(C464="GST",D464&lt;&gt;"",COUNTIF(Clients!$AZ$5:$AZ$1005,UPPER(D464))=0,COUNTIF(Clients!$G$5:$G$1005,"*"&amp;UPPER(D464)&amp;"*")=0),"GSTIN not on Clients — will be checked in the portal","✔ OK")))))</f>
        <v/>
      </c>
    </row>
    <row r="465">
      <c r="A465" s="40" t="n"/>
      <c r="B465" s="41" t="n"/>
      <c r="C465" s="41" t="n"/>
      <c r="D465" s="40" t="n"/>
      <c r="E465" s="40" t="n"/>
      <c r="F465" s="40" t="n"/>
      <c r="G465" s="39">
        <f>IF(COUNTA(A465:F465)=0,"",IF(A465="EXAMPLE","Example (skipped)",IF(OR(C465="",E465="",F465=""),"✖ Portal, User ID and Password are all needed",IF(AND(A465="",COUNTIF(Clients!$B$5:$B$1005,B465)=0),"Not on Clients — will match a portal client by name",IF(AND(C465="GST",D465&lt;&gt;"",COUNTIF(Clients!$AZ$5:$AZ$1005,UPPER(D465))=0,COUNTIF(Clients!$G$5:$G$1005,"*"&amp;UPPER(D465)&amp;"*")=0),"GSTIN not on Clients — will be checked in the portal","✔ OK")))))</f>
        <v/>
      </c>
    </row>
    <row r="466">
      <c r="A466" s="40" t="n"/>
      <c r="B466" s="41" t="n"/>
      <c r="C466" s="41" t="n"/>
      <c r="D466" s="40" t="n"/>
      <c r="E466" s="40" t="n"/>
      <c r="F466" s="40" t="n"/>
      <c r="G466" s="39">
        <f>IF(COUNTA(A466:F466)=0,"",IF(A466="EXAMPLE","Example (skipped)",IF(OR(C466="",E466="",F466=""),"✖ Portal, User ID and Password are all needed",IF(AND(A466="",COUNTIF(Clients!$B$5:$B$1005,B466)=0),"Not on Clients — will match a portal client by name",IF(AND(C466="GST",D466&lt;&gt;"",COUNTIF(Clients!$AZ$5:$AZ$1005,UPPER(D466))=0,COUNTIF(Clients!$G$5:$G$1005,"*"&amp;UPPER(D466)&amp;"*")=0),"GSTIN not on Clients — will be checked in the portal","✔ OK")))))</f>
        <v/>
      </c>
    </row>
    <row r="467">
      <c r="A467" s="40" t="n"/>
      <c r="B467" s="41" t="n"/>
      <c r="C467" s="41" t="n"/>
      <c r="D467" s="40" t="n"/>
      <c r="E467" s="40" t="n"/>
      <c r="F467" s="40" t="n"/>
      <c r="G467" s="39">
        <f>IF(COUNTA(A467:F467)=0,"",IF(A467="EXAMPLE","Example (skipped)",IF(OR(C467="",E467="",F467=""),"✖ Portal, User ID and Password are all needed",IF(AND(A467="",COUNTIF(Clients!$B$5:$B$1005,B467)=0),"Not on Clients — will match a portal client by name",IF(AND(C467="GST",D467&lt;&gt;"",COUNTIF(Clients!$AZ$5:$AZ$1005,UPPER(D467))=0,COUNTIF(Clients!$G$5:$G$1005,"*"&amp;UPPER(D467)&amp;"*")=0),"GSTIN not on Clients — will be checked in the portal","✔ OK")))))</f>
        <v/>
      </c>
    </row>
    <row r="468">
      <c r="A468" s="40" t="n"/>
      <c r="B468" s="41" t="n"/>
      <c r="C468" s="41" t="n"/>
      <c r="D468" s="40" t="n"/>
      <c r="E468" s="40" t="n"/>
      <c r="F468" s="40" t="n"/>
      <c r="G468" s="39">
        <f>IF(COUNTA(A468:F468)=0,"",IF(A468="EXAMPLE","Example (skipped)",IF(OR(C468="",E468="",F468=""),"✖ Portal, User ID and Password are all needed",IF(AND(A468="",COUNTIF(Clients!$B$5:$B$1005,B468)=0),"Not on Clients — will match a portal client by name",IF(AND(C468="GST",D468&lt;&gt;"",COUNTIF(Clients!$AZ$5:$AZ$1005,UPPER(D468))=0,COUNTIF(Clients!$G$5:$G$1005,"*"&amp;UPPER(D468)&amp;"*")=0),"GSTIN not on Clients — will be checked in the portal","✔ OK")))))</f>
        <v/>
      </c>
    </row>
    <row r="469">
      <c r="A469" s="40" t="n"/>
      <c r="B469" s="41" t="n"/>
      <c r="C469" s="41" t="n"/>
      <c r="D469" s="40" t="n"/>
      <c r="E469" s="40" t="n"/>
      <c r="F469" s="40" t="n"/>
      <c r="G469" s="39">
        <f>IF(COUNTA(A469:F469)=0,"",IF(A469="EXAMPLE","Example (skipped)",IF(OR(C469="",E469="",F469=""),"✖ Portal, User ID and Password are all needed",IF(AND(A469="",COUNTIF(Clients!$B$5:$B$1005,B469)=0),"Not on Clients — will match a portal client by name",IF(AND(C469="GST",D469&lt;&gt;"",COUNTIF(Clients!$AZ$5:$AZ$1005,UPPER(D469))=0,COUNTIF(Clients!$G$5:$G$1005,"*"&amp;UPPER(D469)&amp;"*")=0),"GSTIN not on Clients — will be checked in the portal","✔ OK")))))</f>
        <v/>
      </c>
    </row>
    <row r="470">
      <c r="A470" s="40" t="n"/>
      <c r="B470" s="41" t="n"/>
      <c r="C470" s="41" t="n"/>
      <c r="D470" s="40" t="n"/>
      <c r="E470" s="40" t="n"/>
      <c r="F470" s="40" t="n"/>
      <c r="G470" s="39">
        <f>IF(COUNTA(A470:F470)=0,"",IF(A470="EXAMPLE","Example (skipped)",IF(OR(C470="",E470="",F470=""),"✖ Portal, User ID and Password are all needed",IF(AND(A470="",COUNTIF(Clients!$B$5:$B$1005,B470)=0),"Not on Clients — will match a portal client by name",IF(AND(C470="GST",D470&lt;&gt;"",COUNTIF(Clients!$AZ$5:$AZ$1005,UPPER(D470))=0,COUNTIF(Clients!$G$5:$G$1005,"*"&amp;UPPER(D470)&amp;"*")=0),"GSTIN not on Clients — will be checked in the portal","✔ OK")))))</f>
        <v/>
      </c>
    </row>
    <row r="471">
      <c r="A471" s="40" t="n"/>
      <c r="B471" s="41" t="n"/>
      <c r="C471" s="41" t="n"/>
      <c r="D471" s="40" t="n"/>
      <c r="E471" s="40" t="n"/>
      <c r="F471" s="40" t="n"/>
      <c r="G471" s="39">
        <f>IF(COUNTA(A471:F471)=0,"",IF(A471="EXAMPLE","Example (skipped)",IF(OR(C471="",E471="",F471=""),"✖ Portal, User ID and Password are all needed",IF(AND(A471="",COUNTIF(Clients!$B$5:$B$1005,B471)=0),"Not on Clients — will match a portal client by name",IF(AND(C471="GST",D471&lt;&gt;"",COUNTIF(Clients!$AZ$5:$AZ$1005,UPPER(D471))=0,COUNTIF(Clients!$G$5:$G$1005,"*"&amp;UPPER(D471)&amp;"*")=0),"GSTIN not on Clients — will be checked in the portal","✔ OK")))))</f>
        <v/>
      </c>
    </row>
    <row r="472">
      <c r="A472" s="40" t="n"/>
      <c r="B472" s="41" t="n"/>
      <c r="C472" s="41" t="n"/>
      <c r="D472" s="40" t="n"/>
      <c r="E472" s="40" t="n"/>
      <c r="F472" s="40" t="n"/>
      <c r="G472" s="39">
        <f>IF(COUNTA(A472:F472)=0,"",IF(A472="EXAMPLE","Example (skipped)",IF(OR(C472="",E472="",F472=""),"✖ Portal, User ID and Password are all needed",IF(AND(A472="",COUNTIF(Clients!$B$5:$B$1005,B472)=0),"Not on Clients — will match a portal client by name",IF(AND(C472="GST",D472&lt;&gt;"",COUNTIF(Clients!$AZ$5:$AZ$1005,UPPER(D472))=0,COUNTIF(Clients!$G$5:$G$1005,"*"&amp;UPPER(D472)&amp;"*")=0),"GSTIN not on Clients — will be checked in the portal","✔ OK")))))</f>
        <v/>
      </c>
    </row>
    <row r="473">
      <c r="A473" s="40" t="n"/>
      <c r="B473" s="41" t="n"/>
      <c r="C473" s="41" t="n"/>
      <c r="D473" s="40" t="n"/>
      <c r="E473" s="40" t="n"/>
      <c r="F473" s="40" t="n"/>
      <c r="G473" s="39">
        <f>IF(COUNTA(A473:F473)=0,"",IF(A473="EXAMPLE","Example (skipped)",IF(OR(C473="",E473="",F473=""),"✖ Portal, User ID and Password are all needed",IF(AND(A473="",COUNTIF(Clients!$B$5:$B$1005,B473)=0),"Not on Clients — will match a portal client by name",IF(AND(C473="GST",D473&lt;&gt;"",COUNTIF(Clients!$AZ$5:$AZ$1005,UPPER(D473))=0,COUNTIF(Clients!$G$5:$G$1005,"*"&amp;UPPER(D473)&amp;"*")=0),"GSTIN not on Clients — will be checked in the portal","✔ OK")))))</f>
        <v/>
      </c>
    </row>
    <row r="474">
      <c r="A474" s="40" t="n"/>
      <c r="B474" s="41" t="n"/>
      <c r="C474" s="41" t="n"/>
      <c r="D474" s="40" t="n"/>
      <c r="E474" s="40" t="n"/>
      <c r="F474" s="40" t="n"/>
      <c r="G474" s="39">
        <f>IF(COUNTA(A474:F474)=0,"",IF(A474="EXAMPLE","Example (skipped)",IF(OR(C474="",E474="",F474=""),"✖ Portal, User ID and Password are all needed",IF(AND(A474="",COUNTIF(Clients!$B$5:$B$1005,B474)=0),"Not on Clients — will match a portal client by name",IF(AND(C474="GST",D474&lt;&gt;"",COUNTIF(Clients!$AZ$5:$AZ$1005,UPPER(D474))=0,COUNTIF(Clients!$G$5:$G$1005,"*"&amp;UPPER(D474)&amp;"*")=0),"GSTIN not on Clients — will be checked in the portal","✔ OK")))))</f>
        <v/>
      </c>
    </row>
    <row r="475">
      <c r="A475" s="40" t="n"/>
      <c r="B475" s="41" t="n"/>
      <c r="C475" s="41" t="n"/>
      <c r="D475" s="40" t="n"/>
      <c r="E475" s="40" t="n"/>
      <c r="F475" s="40" t="n"/>
      <c r="G475" s="39">
        <f>IF(COUNTA(A475:F475)=0,"",IF(A475="EXAMPLE","Example (skipped)",IF(OR(C475="",E475="",F475=""),"✖ Portal, User ID and Password are all needed",IF(AND(A475="",COUNTIF(Clients!$B$5:$B$1005,B475)=0),"Not on Clients — will match a portal client by name",IF(AND(C475="GST",D475&lt;&gt;"",COUNTIF(Clients!$AZ$5:$AZ$1005,UPPER(D475))=0,COUNTIF(Clients!$G$5:$G$1005,"*"&amp;UPPER(D475)&amp;"*")=0),"GSTIN not on Clients — will be checked in the portal","✔ OK")))))</f>
        <v/>
      </c>
    </row>
    <row r="476">
      <c r="A476" s="40" t="n"/>
      <c r="B476" s="41" t="n"/>
      <c r="C476" s="41" t="n"/>
      <c r="D476" s="40" t="n"/>
      <c r="E476" s="40" t="n"/>
      <c r="F476" s="40" t="n"/>
      <c r="G476" s="39">
        <f>IF(COUNTA(A476:F476)=0,"",IF(A476="EXAMPLE","Example (skipped)",IF(OR(C476="",E476="",F476=""),"✖ Portal, User ID and Password are all needed",IF(AND(A476="",COUNTIF(Clients!$B$5:$B$1005,B476)=0),"Not on Clients — will match a portal client by name",IF(AND(C476="GST",D476&lt;&gt;"",COUNTIF(Clients!$AZ$5:$AZ$1005,UPPER(D476))=0,COUNTIF(Clients!$G$5:$G$1005,"*"&amp;UPPER(D476)&amp;"*")=0),"GSTIN not on Clients — will be checked in the portal","✔ OK")))))</f>
        <v/>
      </c>
    </row>
    <row r="477">
      <c r="A477" s="40" t="n"/>
      <c r="B477" s="41" t="n"/>
      <c r="C477" s="41" t="n"/>
      <c r="D477" s="40" t="n"/>
      <c r="E477" s="40" t="n"/>
      <c r="F477" s="40" t="n"/>
      <c r="G477" s="39">
        <f>IF(COUNTA(A477:F477)=0,"",IF(A477="EXAMPLE","Example (skipped)",IF(OR(C477="",E477="",F477=""),"✖ Portal, User ID and Password are all needed",IF(AND(A477="",COUNTIF(Clients!$B$5:$B$1005,B477)=0),"Not on Clients — will match a portal client by name",IF(AND(C477="GST",D477&lt;&gt;"",COUNTIF(Clients!$AZ$5:$AZ$1005,UPPER(D477))=0,COUNTIF(Clients!$G$5:$G$1005,"*"&amp;UPPER(D477)&amp;"*")=0),"GSTIN not on Clients — will be checked in the portal","✔ OK")))))</f>
        <v/>
      </c>
    </row>
    <row r="478">
      <c r="A478" s="40" t="n"/>
      <c r="B478" s="41" t="n"/>
      <c r="C478" s="41" t="n"/>
      <c r="D478" s="40" t="n"/>
      <c r="E478" s="40" t="n"/>
      <c r="F478" s="40" t="n"/>
      <c r="G478" s="39">
        <f>IF(COUNTA(A478:F478)=0,"",IF(A478="EXAMPLE","Example (skipped)",IF(OR(C478="",E478="",F478=""),"✖ Portal, User ID and Password are all needed",IF(AND(A478="",COUNTIF(Clients!$B$5:$B$1005,B478)=0),"Not on Clients — will match a portal client by name",IF(AND(C478="GST",D478&lt;&gt;"",COUNTIF(Clients!$AZ$5:$AZ$1005,UPPER(D478))=0,COUNTIF(Clients!$G$5:$G$1005,"*"&amp;UPPER(D478)&amp;"*")=0),"GSTIN not on Clients — will be checked in the portal","✔ OK")))))</f>
        <v/>
      </c>
    </row>
    <row r="479">
      <c r="A479" s="40" t="n"/>
      <c r="B479" s="41" t="n"/>
      <c r="C479" s="41" t="n"/>
      <c r="D479" s="40" t="n"/>
      <c r="E479" s="40" t="n"/>
      <c r="F479" s="40" t="n"/>
      <c r="G479" s="39">
        <f>IF(COUNTA(A479:F479)=0,"",IF(A479="EXAMPLE","Example (skipped)",IF(OR(C479="",E479="",F479=""),"✖ Portal, User ID and Password are all needed",IF(AND(A479="",COUNTIF(Clients!$B$5:$B$1005,B479)=0),"Not on Clients — will match a portal client by name",IF(AND(C479="GST",D479&lt;&gt;"",COUNTIF(Clients!$AZ$5:$AZ$1005,UPPER(D479))=0,COUNTIF(Clients!$G$5:$G$1005,"*"&amp;UPPER(D479)&amp;"*")=0),"GSTIN not on Clients — will be checked in the portal","✔ OK")))))</f>
        <v/>
      </c>
    </row>
    <row r="480">
      <c r="A480" s="40" t="n"/>
      <c r="B480" s="41" t="n"/>
      <c r="C480" s="41" t="n"/>
      <c r="D480" s="40" t="n"/>
      <c r="E480" s="40" t="n"/>
      <c r="F480" s="40" t="n"/>
      <c r="G480" s="39">
        <f>IF(COUNTA(A480:F480)=0,"",IF(A480="EXAMPLE","Example (skipped)",IF(OR(C480="",E480="",F480=""),"✖ Portal, User ID and Password are all needed",IF(AND(A480="",COUNTIF(Clients!$B$5:$B$1005,B480)=0),"Not on Clients — will match a portal client by name",IF(AND(C480="GST",D480&lt;&gt;"",COUNTIF(Clients!$AZ$5:$AZ$1005,UPPER(D480))=0,COUNTIF(Clients!$G$5:$G$1005,"*"&amp;UPPER(D480)&amp;"*")=0),"GSTIN not on Clients — will be checked in the portal","✔ OK")))))</f>
        <v/>
      </c>
    </row>
    <row r="481">
      <c r="A481" s="40" t="n"/>
      <c r="B481" s="41" t="n"/>
      <c r="C481" s="41" t="n"/>
      <c r="D481" s="40" t="n"/>
      <c r="E481" s="40" t="n"/>
      <c r="F481" s="40" t="n"/>
      <c r="G481" s="39">
        <f>IF(COUNTA(A481:F481)=0,"",IF(A481="EXAMPLE","Example (skipped)",IF(OR(C481="",E481="",F481=""),"✖ Portal, User ID and Password are all needed",IF(AND(A481="",COUNTIF(Clients!$B$5:$B$1005,B481)=0),"Not on Clients — will match a portal client by name",IF(AND(C481="GST",D481&lt;&gt;"",COUNTIF(Clients!$AZ$5:$AZ$1005,UPPER(D481))=0,COUNTIF(Clients!$G$5:$G$1005,"*"&amp;UPPER(D481)&amp;"*")=0),"GSTIN not on Clients — will be checked in the portal","✔ OK")))))</f>
        <v/>
      </c>
    </row>
    <row r="482">
      <c r="A482" s="40" t="n"/>
      <c r="B482" s="41" t="n"/>
      <c r="C482" s="41" t="n"/>
      <c r="D482" s="40" t="n"/>
      <c r="E482" s="40" t="n"/>
      <c r="F482" s="40" t="n"/>
      <c r="G482" s="39">
        <f>IF(COUNTA(A482:F482)=0,"",IF(A482="EXAMPLE","Example (skipped)",IF(OR(C482="",E482="",F482=""),"✖ Portal, User ID and Password are all needed",IF(AND(A482="",COUNTIF(Clients!$B$5:$B$1005,B482)=0),"Not on Clients — will match a portal client by name",IF(AND(C482="GST",D482&lt;&gt;"",COUNTIF(Clients!$AZ$5:$AZ$1005,UPPER(D482))=0,COUNTIF(Clients!$G$5:$G$1005,"*"&amp;UPPER(D482)&amp;"*")=0),"GSTIN not on Clients — will be checked in the portal","✔ OK")))))</f>
        <v/>
      </c>
    </row>
    <row r="483">
      <c r="A483" s="40" t="n"/>
      <c r="B483" s="41" t="n"/>
      <c r="C483" s="41" t="n"/>
      <c r="D483" s="40" t="n"/>
      <c r="E483" s="40" t="n"/>
      <c r="F483" s="40" t="n"/>
      <c r="G483" s="39">
        <f>IF(COUNTA(A483:F483)=0,"",IF(A483="EXAMPLE","Example (skipped)",IF(OR(C483="",E483="",F483=""),"✖ Portal, User ID and Password are all needed",IF(AND(A483="",COUNTIF(Clients!$B$5:$B$1005,B483)=0),"Not on Clients — will match a portal client by name",IF(AND(C483="GST",D483&lt;&gt;"",COUNTIF(Clients!$AZ$5:$AZ$1005,UPPER(D483))=0,COUNTIF(Clients!$G$5:$G$1005,"*"&amp;UPPER(D483)&amp;"*")=0),"GSTIN not on Clients — will be checked in the portal","✔ OK")))))</f>
        <v/>
      </c>
    </row>
    <row r="484">
      <c r="A484" s="40" t="n"/>
      <c r="B484" s="41" t="n"/>
      <c r="C484" s="41" t="n"/>
      <c r="D484" s="40" t="n"/>
      <c r="E484" s="40" t="n"/>
      <c r="F484" s="40" t="n"/>
      <c r="G484" s="39">
        <f>IF(COUNTA(A484:F484)=0,"",IF(A484="EXAMPLE","Example (skipped)",IF(OR(C484="",E484="",F484=""),"✖ Portal, User ID and Password are all needed",IF(AND(A484="",COUNTIF(Clients!$B$5:$B$1005,B484)=0),"Not on Clients — will match a portal client by name",IF(AND(C484="GST",D484&lt;&gt;"",COUNTIF(Clients!$AZ$5:$AZ$1005,UPPER(D484))=0,COUNTIF(Clients!$G$5:$G$1005,"*"&amp;UPPER(D484)&amp;"*")=0),"GSTIN not on Clients — will be checked in the portal","✔ OK")))))</f>
        <v/>
      </c>
    </row>
    <row r="485">
      <c r="A485" s="40" t="n"/>
      <c r="B485" s="41" t="n"/>
      <c r="C485" s="41" t="n"/>
      <c r="D485" s="40" t="n"/>
      <c r="E485" s="40" t="n"/>
      <c r="F485" s="40" t="n"/>
      <c r="G485" s="39">
        <f>IF(COUNTA(A485:F485)=0,"",IF(A485="EXAMPLE","Example (skipped)",IF(OR(C485="",E485="",F485=""),"✖ Portal, User ID and Password are all needed",IF(AND(A485="",COUNTIF(Clients!$B$5:$B$1005,B485)=0),"Not on Clients — will match a portal client by name",IF(AND(C485="GST",D485&lt;&gt;"",COUNTIF(Clients!$AZ$5:$AZ$1005,UPPER(D485))=0,COUNTIF(Clients!$G$5:$G$1005,"*"&amp;UPPER(D485)&amp;"*")=0),"GSTIN not on Clients — will be checked in the portal","✔ OK")))))</f>
        <v/>
      </c>
    </row>
    <row r="486">
      <c r="A486" s="40" t="n"/>
      <c r="B486" s="41" t="n"/>
      <c r="C486" s="41" t="n"/>
      <c r="D486" s="40" t="n"/>
      <c r="E486" s="40" t="n"/>
      <c r="F486" s="40" t="n"/>
      <c r="G486" s="39">
        <f>IF(COUNTA(A486:F486)=0,"",IF(A486="EXAMPLE","Example (skipped)",IF(OR(C486="",E486="",F486=""),"✖ Portal, User ID and Password are all needed",IF(AND(A486="",COUNTIF(Clients!$B$5:$B$1005,B486)=0),"Not on Clients — will match a portal client by name",IF(AND(C486="GST",D486&lt;&gt;"",COUNTIF(Clients!$AZ$5:$AZ$1005,UPPER(D486))=0,COUNTIF(Clients!$G$5:$G$1005,"*"&amp;UPPER(D486)&amp;"*")=0),"GSTIN not on Clients — will be checked in the portal","✔ OK")))))</f>
        <v/>
      </c>
    </row>
    <row r="487">
      <c r="A487" s="40" t="n"/>
      <c r="B487" s="41" t="n"/>
      <c r="C487" s="41" t="n"/>
      <c r="D487" s="40" t="n"/>
      <c r="E487" s="40" t="n"/>
      <c r="F487" s="40" t="n"/>
      <c r="G487" s="39">
        <f>IF(COUNTA(A487:F487)=0,"",IF(A487="EXAMPLE","Example (skipped)",IF(OR(C487="",E487="",F487=""),"✖ Portal, User ID and Password are all needed",IF(AND(A487="",COUNTIF(Clients!$B$5:$B$1005,B487)=0),"Not on Clients — will match a portal client by name",IF(AND(C487="GST",D487&lt;&gt;"",COUNTIF(Clients!$AZ$5:$AZ$1005,UPPER(D487))=0,COUNTIF(Clients!$G$5:$G$1005,"*"&amp;UPPER(D487)&amp;"*")=0),"GSTIN not on Clients — will be checked in the portal","✔ OK")))))</f>
        <v/>
      </c>
    </row>
    <row r="488">
      <c r="A488" s="40" t="n"/>
      <c r="B488" s="41" t="n"/>
      <c r="C488" s="41" t="n"/>
      <c r="D488" s="40" t="n"/>
      <c r="E488" s="40" t="n"/>
      <c r="F488" s="40" t="n"/>
      <c r="G488" s="39">
        <f>IF(COUNTA(A488:F488)=0,"",IF(A488="EXAMPLE","Example (skipped)",IF(OR(C488="",E488="",F488=""),"✖ Portal, User ID and Password are all needed",IF(AND(A488="",COUNTIF(Clients!$B$5:$B$1005,B488)=0),"Not on Clients — will match a portal client by name",IF(AND(C488="GST",D488&lt;&gt;"",COUNTIF(Clients!$AZ$5:$AZ$1005,UPPER(D488))=0,COUNTIF(Clients!$G$5:$G$1005,"*"&amp;UPPER(D488)&amp;"*")=0),"GSTIN not on Clients — will be checked in the portal","✔ OK")))))</f>
        <v/>
      </c>
    </row>
    <row r="489">
      <c r="A489" s="40" t="n"/>
      <c r="B489" s="41" t="n"/>
      <c r="C489" s="41" t="n"/>
      <c r="D489" s="40" t="n"/>
      <c r="E489" s="40" t="n"/>
      <c r="F489" s="40" t="n"/>
      <c r="G489" s="39">
        <f>IF(COUNTA(A489:F489)=0,"",IF(A489="EXAMPLE","Example (skipped)",IF(OR(C489="",E489="",F489=""),"✖ Portal, User ID and Password are all needed",IF(AND(A489="",COUNTIF(Clients!$B$5:$B$1005,B489)=0),"Not on Clients — will match a portal client by name",IF(AND(C489="GST",D489&lt;&gt;"",COUNTIF(Clients!$AZ$5:$AZ$1005,UPPER(D489))=0,COUNTIF(Clients!$G$5:$G$1005,"*"&amp;UPPER(D489)&amp;"*")=0),"GSTIN not on Clients — will be checked in the portal","✔ OK")))))</f>
        <v/>
      </c>
    </row>
    <row r="490">
      <c r="A490" s="40" t="n"/>
      <c r="B490" s="41" t="n"/>
      <c r="C490" s="41" t="n"/>
      <c r="D490" s="40" t="n"/>
      <c r="E490" s="40" t="n"/>
      <c r="F490" s="40" t="n"/>
      <c r="G490" s="39">
        <f>IF(COUNTA(A490:F490)=0,"",IF(A490="EXAMPLE","Example (skipped)",IF(OR(C490="",E490="",F490=""),"✖ Portal, User ID and Password are all needed",IF(AND(A490="",COUNTIF(Clients!$B$5:$B$1005,B490)=0),"Not on Clients — will match a portal client by name",IF(AND(C490="GST",D490&lt;&gt;"",COUNTIF(Clients!$AZ$5:$AZ$1005,UPPER(D490))=0,COUNTIF(Clients!$G$5:$G$1005,"*"&amp;UPPER(D490)&amp;"*")=0),"GSTIN not on Clients — will be checked in the portal","✔ OK")))))</f>
        <v/>
      </c>
    </row>
    <row r="491">
      <c r="A491" s="40" t="n"/>
      <c r="B491" s="41" t="n"/>
      <c r="C491" s="41" t="n"/>
      <c r="D491" s="40" t="n"/>
      <c r="E491" s="40" t="n"/>
      <c r="F491" s="40" t="n"/>
      <c r="G491" s="39">
        <f>IF(COUNTA(A491:F491)=0,"",IF(A491="EXAMPLE","Example (skipped)",IF(OR(C491="",E491="",F491=""),"✖ Portal, User ID and Password are all needed",IF(AND(A491="",COUNTIF(Clients!$B$5:$B$1005,B491)=0),"Not on Clients — will match a portal client by name",IF(AND(C491="GST",D491&lt;&gt;"",COUNTIF(Clients!$AZ$5:$AZ$1005,UPPER(D491))=0,COUNTIF(Clients!$G$5:$G$1005,"*"&amp;UPPER(D491)&amp;"*")=0),"GSTIN not on Clients — will be checked in the portal","✔ OK")))))</f>
        <v/>
      </c>
    </row>
    <row r="492">
      <c r="A492" s="40" t="n"/>
      <c r="B492" s="41" t="n"/>
      <c r="C492" s="41" t="n"/>
      <c r="D492" s="40" t="n"/>
      <c r="E492" s="40" t="n"/>
      <c r="F492" s="40" t="n"/>
      <c r="G492" s="39">
        <f>IF(COUNTA(A492:F492)=0,"",IF(A492="EXAMPLE","Example (skipped)",IF(OR(C492="",E492="",F492=""),"✖ Portal, User ID and Password are all needed",IF(AND(A492="",COUNTIF(Clients!$B$5:$B$1005,B492)=0),"Not on Clients — will match a portal client by name",IF(AND(C492="GST",D492&lt;&gt;"",COUNTIF(Clients!$AZ$5:$AZ$1005,UPPER(D492))=0,COUNTIF(Clients!$G$5:$G$1005,"*"&amp;UPPER(D492)&amp;"*")=0),"GSTIN not on Clients — will be checked in the portal","✔ OK")))))</f>
        <v/>
      </c>
    </row>
    <row r="493">
      <c r="A493" s="40" t="n"/>
      <c r="B493" s="41" t="n"/>
      <c r="C493" s="41" t="n"/>
      <c r="D493" s="40" t="n"/>
      <c r="E493" s="40" t="n"/>
      <c r="F493" s="40" t="n"/>
      <c r="G493" s="39">
        <f>IF(COUNTA(A493:F493)=0,"",IF(A493="EXAMPLE","Example (skipped)",IF(OR(C493="",E493="",F493=""),"✖ Portal, User ID and Password are all needed",IF(AND(A493="",COUNTIF(Clients!$B$5:$B$1005,B493)=0),"Not on Clients — will match a portal client by name",IF(AND(C493="GST",D493&lt;&gt;"",COUNTIF(Clients!$AZ$5:$AZ$1005,UPPER(D493))=0,COUNTIF(Clients!$G$5:$G$1005,"*"&amp;UPPER(D493)&amp;"*")=0),"GSTIN not on Clients — will be checked in the portal","✔ OK")))))</f>
        <v/>
      </c>
    </row>
    <row r="494">
      <c r="A494" s="40" t="n"/>
      <c r="B494" s="41" t="n"/>
      <c r="C494" s="41" t="n"/>
      <c r="D494" s="40" t="n"/>
      <c r="E494" s="40" t="n"/>
      <c r="F494" s="40" t="n"/>
      <c r="G494" s="39">
        <f>IF(COUNTA(A494:F494)=0,"",IF(A494="EXAMPLE","Example (skipped)",IF(OR(C494="",E494="",F494=""),"✖ Portal, User ID and Password are all needed",IF(AND(A494="",COUNTIF(Clients!$B$5:$B$1005,B494)=0),"Not on Clients — will match a portal client by name",IF(AND(C494="GST",D494&lt;&gt;"",COUNTIF(Clients!$AZ$5:$AZ$1005,UPPER(D494))=0,COUNTIF(Clients!$G$5:$G$1005,"*"&amp;UPPER(D494)&amp;"*")=0),"GSTIN not on Clients — will be checked in the portal","✔ OK")))))</f>
        <v/>
      </c>
    </row>
    <row r="495">
      <c r="A495" s="40" t="n"/>
      <c r="B495" s="41" t="n"/>
      <c r="C495" s="41" t="n"/>
      <c r="D495" s="40" t="n"/>
      <c r="E495" s="40" t="n"/>
      <c r="F495" s="40" t="n"/>
      <c r="G495" s="39">
        <f>IF(COUNTA(A495:F495)=0,"",IF(A495="EXAMPLE","Example (skipped)",IF(OR(C495="",E495="",F495=""),"✖ Portal, User ID and Password are all needed",IF(AND(A495="",COUNTIF(Clients!$B$5:$B$1005,B495)=0),"Not on Clients — will match a portal client by name",IF(AND(C495="GST",D495&lt;&gt;"",COUNTIF(Clients!$AZ$5:$AZ$1005,UPPER(D495))=0,COUNTIF(Clients!$G$5:$G$1005,"*"&amp;UPPER(D495)&amp;"*")=0),"GSTIN not on Clients — will be checked in the portal","✔ OK")))))</f>
        <v/>
      </c>
    </row>
    <row r="496">
      <c r="A496" s="40" t="n"/>
      <c r="B496" s="41" t="n"/>
      <c r="C496" s="41" t="n"/>
      <c r="D496" s="40" t="n"/>
      <c r="E496" s="40" t="n"/>
      <c r="F496" s="40" t="n"/>
      <c r="G496" s="39">
        <f>IF(COUNTA(A496:F496)=0,"",IF(A496="EXAMPLE","Example (skipped)",IF(OR(C496="",E496="",F496=""),"✖ Portal, User ID and Password are all needed",IF(AND(A496="",COUNTIF(Clients!$B$5:$B$1005,B496)=0),"Not on Clients — will match a portal client by name",IF(AND(C496="GST",D496&lt;&gt;"",COUNTIF(Clients!$AZ$5:$AZ$1005,UPPER(D496))=0,COUNTIF(Clients!$G$5:$G$1005,"*"&amp;UPPER(D496)&amp;"*")=0),"GSTIN not on Clients — will be checked in the portal","✔ OK")))))</f>
        <v/>
      </c>
    </row>
    <row r="497">
      <c r="A497" s="40" t="n"/>
      <c r="B497" s="41" t="n"/>
      <c r="C497" s="41" t="n"/>
      <c r="D497" s="40" t="n"/>
      <c r="E497" s="40" t="n"/>
      <c r="F497" s="40" t="n"/>
      <c r="G497" s="39">
        <f>IF(COUNTA(A497:F497)=0,"",IF(A497="EXAMPLE","Example (skipped)",IF(OR(C497="",E497="",F497=""),"✖ Portal, User ID and Password are all needed",IF(AND(A497="",COUNTIF(Clients!$B$5:$B$1005,B497)=0),"Not on Clients — will match a portal client by name",IF(AND(C497="GST",D497&lt;&gt;"",COUNTIF(Clients!$AZ$5:$AZ$1005,UPPER(D497))=0,COUNTIF(Clients!$G$5:$G$1005,"*"&amp;UPPER(D497)&amp;"*")=0),"GSTIN not on Clients — will be checked in the portal","✔ OK")))))</f>
        <v/>
      </c>
    </row>
    <row r="498">
      <c r="A498" s="40" t="n"/>
      <c r="B498" s="41" t="n"/>
      <c r="C498" s="41" t="n"/>
      <c r="D498" s="40" t="n"/>
      <c r="E498" s="40" t="n"/>
      <c r="F498" s="40" t="n"/>
      <c r="G498" s="39">
        <f>IF(COUNTA(A498:F498)=0,"",IF(A498="EXAMPLE","Example (skipped)",IF(OR(C498="",E498="",F498=""),"✖ Portal, User ID and Password are all needed",IF(AND(A498="",COUNTIF(Clients!$B$5:$B$1005,B498)=0),"Not on Clients — will match a portal client by name",IF(AND(C498="GST",D498&lt;&gt;"",COUNTIF(Clients!$AZ$5:$AZ$1005,UPPER(D498))=0,COUNTIF(Clients!$G$5:$G$1005,"*"&amp;UPPER(D498)&amp;"*")=0),"GSTIN not on Clients — will be checked in the portal","✔ OK")))))</f>
        <v/>
      </c>
    </row>
    <row r="499">
      <c r="A499" s="40" t="n"/>
      <c r="B499" s="41" t="n"/>
      <c r="C499" s="41" t="n"/>
      <c r="D499" s="40" t="n"/>
      <c r="E499" s="40" t="n"/>
      <c r="F499" s="40" t="n"/>
      <c r="G499" s="39">
        <f>IF(COUNTA(A499:F499)=0,"",IF(A499="EXAMPLE","Example (skipped)",IF(OR(C499="",E499="",F499=""),"✖ Portal, User ID and Password are all needed",IF(AND(A499="",COUNTIF(Clients!$B$5:$B$1005,B499)=0),"Not on Clients — will match a portal client by name",IF(AND(C499="GST",D499&lt;&gt;"",COUNTIF(Clients!$AZ$5:$AZ$1005,UPPER(D499))=0,COUNTIF(Clients!$G$5:$G$1005,"*"&amp;UPPER(D499)&amp;"*")=0),"GSTIN not on Clients — will be checked in the portal","✔ OK")))))</f>
        <v/>
      </c>
    </row>
    <row r="500">
      <c r="A500" s="40" t="n"/>
      <c r="B500" s="41" t="n"/>
      <c r="C500" s="41" t="n"/>
      <c r="D500" s="40" t="n"/>
      <c r="E500" s="40" t="n"/>
      <c r="F500" s="40" t="n"/>
      <c r="G500" s="39">
        <f>IF(COUNTA(A500:F500)=0,"",IF(A500="EXAMPLE","Example (skipped)",IF(OR(C500="",E500="",F500=""),"✖ Portal, User ID and Password are all needed",IF(AND(A500="",COUNTIF(Clients!$B$5:$B$1005,B500)=0),"Not on Clients — will match a portal client by name",IF(AND(C500="GST",D500&lt;&gt;"",COUNTIF(Clients!$AZ$5:$AZ$1005,UPPER(D500))=0,COUNTIF(Clients!$G$5:$G$1005,"*"&amp;UPPER(D500)&amp;"*")=0),"GSTIN not on Clients — will be checked in the portal","✔ OK")))))</f>
        <v/>
      </c>
    </row>
    <row r="501">
      <c r="A501" s="40" t="n"/>
      <c r="B501" s="41" t="n"/>
      <c r="C501" s="41" t="n"/>
      <c r="D501" s="40" t="n"/>
      <c r="E501" s="40" t="n"/>
      <c r="F501" s="40" t="n"/>
      <c r="G501" s="39">
        <f>IF(COUNTA(A501:F501)=0,"",IF(A501="EXAMPLE","Example (skipped)",IF(OR(C501="",E501="",F501=""),"✖ Portal, User ID and Password are all needed",IF(AND(A501="",COUNTIF(Clients!$B$5:$B$1005,B501)=0),"Not on Clients — will match a portal client by name",IF(AND(C501="GST",D501&lt;&gt;"",COUNTIF(Clients!$AZ$5:$AZ$1005,UPPER(D501))=0,COUNTIF(Clients!$G$5:$G$1005,"*"&amp;UPPER(D501)&amp;"*")=0),"GSTIN not on Clients — will be checked in the portal","✔ OK")))))</f>
        <v/>
      </c>
    </row>
    <row r="502">
      <c r="A502" s="40" t="n"/>
      <c r="B502" s="41" t="n"/>
      <c r="C502" s="41" t="n"/>
      <c r="D502" s="40" t="n"/>
      <c r="E502" s="40" t="n"/>
      <c r="F502" s="40" t="n"/>
      <c r="G502" s="39">
        <f>IF(COUNTA(A502:F502)=0,"",IF(A502="EXAMPLE","Example (skipped)",IF(OR(C502="",E502="",F502=""),"✖ Portal, User ID and Password are all needed",IF(AND(A502="",COUNTIF(Clients!$B$5:$B$1005,B502)=0),"Not on Clients — will match a portal client by name",IF(AND(C502="GST",D502&lt;&gt;"",COUNTIF(Clients!$AZ$5:$AZ$1005,UPPER(D502))=0,COUNTIF(Clients!$G$5:$G$1005,"*"&amp;UPPER(D502)&amp;"*")=0),"GSTIN not on Clients — will be checked in the portal","✔ OK")))))</f>
        <v/>
      </c>
    </row>
    <row r="503">
      <c r="A503" s="40" t="n"/>
      <c r="B503" s="41" t="n"/>
      <c r="C503" s="41" t="n"/>
      <c r="D503" s="40" t="n"/>
      <c r="E503" s="40" t="n"/>
      <c r="F503" s="40" t="n"/>
      <c r="G503" s="39">
        <f>IF(COUNTA(A503:F503)=0,"",IF(A503="EXAMPLE","Example (skipped)",IF(OR(C503="",E503="",F503=""),"✖ Portal, User ID and Password are all needed",IF(AND(A503="",COUNTIF(Clients!$B$5:$B$1005,B503)=0),"Not on Clients — will match a portal client by name",IF(AND(C503="GST",D503&lt;&gt;"",COUNTIF(Clients!$AZ$5:$AZ$1005,UPPER(D503))=0,COUNTIF(Clients!$G$5:$G$1005,"*"&amp;UPPER(D503)&amp;"*")=0),"GSTIN not on Clients — will be checked in the portal","✔ OK")))))</f>
        <v/>
      </c>
    </row>
    <row r="504">
      <c r="A504" s="40" t="n"/>
      <c r="B504" s="41" t="n"/>
      <c r="C504" s="41" t="n"/>
      <c r="D504" s="40" t="n"/>
      <c r="E504" s="40" t="n"/>
      <c r="F504" s="40" t="n"/>
      <c r="G504" s="39">
        <f>IF(COUNTA(A504:F504)=0,"",IF(A504="EXAMPLE","Example (skipped)",IF(OR(C504="",E504="",F504=""),"✖ Portal, User ID and Password are all needed",IF(AND(A504="",COUNTIF(Clients!$B$5:$B$1005,B504)=0),"Not on Clients — will match a portal client by name",IF(AND(C504="GST",D504&lt;&gt;"",COUNTIF(Clients!$AZ$5:$AZ$1005,UPPER(D504))=0,COUNTIF(Clients!$G$5:$G$1005,"*"&amp;UPPER(D504)&amp;"*")=0),"GSTIN not on Clients — will be checked in the portal","✔ OK")))))</f>
        <v/>
      </c>
    </row>
    <row r="505">
      <c r="A505" s="40" t="n"/>
      <c r="B505" s="41" t="n"/>
      <c r="C505" s="41" t="n"/>
      <c r="D505" s="40" t="n"/>
      <c r="E505" s="40" t="n"/>
      <c r="F505" s="40" t="n"/>
      <c r="G505" s="39">
        <f>IF(COUNTA(A505:F505)=0,"",IF(A505="EXAMPLE","Example (skipped)",IF(OR(C505="",E505="",F505=""),"✖ Portal, User ID and Password are all needed",IF(AND(A505="",COUNTIF(Clients!$B$5:$B$1005,B505)=0),"Not on Clients — will match a portal client by name",IF(AND(C505="GST",D505&lt;&gt;"",COUNTIF(Clients!$AZ$5:$AZ$1005,UPPER(D505))=0,COUNTIF(Clients!$G$5:$G$1005,"*"&amp;UPPER(D505)&amp;"*")=0),"GSTIN not on Clients — will be checked in the portal","✔ OK")))))</f>
        <v/>
      </c>
    </row>
    <row r="506">
      <c r="A506" s="40" t="n"/>
      <c r="B506" s="41" t="n"/>
      <c r="C506" s="41" t="n"/>
      <c r="D506" s="40" t="n"/>
      <c r="E506" s="40" t="n"/>
      <c r="F506" s="40" t="n"/>
      <c r="G506" s="39">
        <f>IF(COUNTA(A506:F506)=0,"",IF(A506="EXAMPLE","Example (skipped)",IF(OR(C506="",E506="",F506=""),"✖ Portal, User ID and Password are all needed",IF(AND(A506="",COUNTIF(Clients!$B$5:$B$1005,B506)=0),"Not on Clients — will match a portal client by name",IF(AND(C506="GST",D506&lt;&gt;"",COUNTIF(Clients!$AZ$5:$AZ$1005,UPPER(D506))=0,COUNTIF(Clients!$G$5:$G$1005,"*"&amp;UPPER(D506)&amp;"*")=0),"GSTIN not on Clients — will be checked in the portal","✔ OK")))))</f>
        <v/>
      </c>
    </row>
    <row r="507">
      <c r="A507" s="40" t="n"/>
      <c r="B507" s="41" t="n"/>
      <c r="C507" s="41" t="n"/>
      <c r="D507" s="40" t="n"/>
      <c r="E507" s="40" t="n"/>
      <c r="F507" s="40" t="n"/>
      <c r="G507" s="39">
        <f>IF(COUNTA(A507:F507)=0,"",IF(A507="EXAMPLE","Example (skipped)",IF(OR(C507="",E507="",F507=""),"✖ Portal, User ID and Password are all needed",IF(AND(A507="",COUNTIF(Clients!$B$5:$B$1005,B507)=0),"Not on Clients — will match a portal client by name",IF(AND(C507="GST",D507&lt;&gt;"",COUNTIF(Clients!$AZ$5:$AZ$1005,UPPER(D507))=0,COUNTIF(Clients!$G$5:$G$1005,"*"&amp;UPPER(D507)&amp;"*")=0),"GSTIN not on Clients — will be checked in the portal","✔ OK")))))</f>
        <v/>
      </c>
    </row>
    <row r="508">
      <c r="A508" s="40" t="n"/>
      <c r="B508" s="41" t="n"/>
      <c r="C508" s="41" t="n"/>
      <c r="D508" s="40" t="n"/>
      <c r="E508" s="40" t="n"/>
      <c r="F508" s="40" t="n"/>
      <c r="G508" s="39">
        <f>IF(COUNTA(A508:F508)=0,"",IF(A508="EXAMPLE","Example (skipped)",IF(OR(C508="",E508="",F508=""),"✖ Portal, User ID and Password are all needed",IF(AND(A508="",COUNTIF(Clients!$B$5:$B$1005,B508)=0),"Not on Clients — will match a portal client by name",IF(AND(C508="GST",D508&lt;&gt;"",COUNTIF(Clients!$AZ$5:$AZ$1005,UPPER(D508))=0,COUNTIF(Clients!$G$5:$G$1005,"*"&amp;UPPER(D508)&amp;"*")=0),"GSTIN not on Clients — will be checked in the portal","✔ OK")))))</f>
        <v/>
      </c>
    </row>
    <row r="509">
      <c r="A509" s="40" t="n"/>
      <c r="B509" s="41" t="n"/>
      <c r="C509" s="41" t="n"/>
      <c r="D509" s="40" t="n"/>
      <c r="E509" s="40" t="n"/>
      <c r="F509" s="40" t="n"/>
      <c r="G509" s="39">
        <f>IF(COUNTA(A509:F509)=0,"",IF(A509="EXAMPLE","Example (skipped)",IF(OR(C509="",E509="",F509=""),"✖ Portal, User ID and Password are all needed",IF(AND(A509="",COUNTIF(Clients!$B$5:$B$1005,B509)=0),"Not on Clients — will match a portal client by name",IF(AND(C509="GST",D509&lt;&gt;"",COUNTIF(Clients!$AZ$5:$AZ$1005,UPPER(D509))=0,COUNTIF(Clients!$G$5:$G$1005,"*"&amp;UPPER(D509)&amp;"*")=0),"GSTIN not on Clients — will be checked in the portal","✔ OK")))))</f>
        <v/>
      </c>
    </row>
    <row r="510">
      <c r="A510" s="40" t="n"/>
      <c r="B510" s="41" t="n"/>
      <c r="C510" s="41" t="n"/>
      <c r="D510" s="40" t="n"/>
      <c r="E510" s="40" t="n"/>
      <c r="F510" s="40" t="n"/>
      <c r="G510" s="39">
        <f>IF(COUNTA(A510:F510)=0,"",IF(A510="EXAMPLE","Example (skipped)",IF(OR(C510="",E510="",F510=""),"✖ Portal, User ID and Password are all needed",IF(AND(A510="",COUNTIF(Clients!$B$5:$B$1005,B510)=0),"Not on Clients — will match a portal client by name",IF(AND(C510="GST",D510&lt;&gt;"",COUNTIF(Clients!$AZ$5:$AZ$1005,UPPER(D510))=0,COUNTIF(Clients!$G$5:$G$1005,"*"&amp;UPPER(D510)&amp;"*")=0),"GSTIN not on Clients — will be checked in the portal","✔ OK")))))</f>
        <v/>
      </c>
    </row>
    <row r="511">
      <c r="A511" s="40" t="n"/>
      <c r="B511" s="41" t="n"/>
      <c r="C511" s="41" t="n"/>
      <c r="D511" s="40" t="n"/>
      <c r="E511" s="40" t="n"/>
      <c r="F511" s="40" t="n"/>
      <c r="G511" s="39">
        <f>IF(COUNTA(A511:F511)=0,"",IF(A511="EXAMPLE","Example (skipped)",IF(OR(C511="",E511="",F511=""),"✖ Portal, User ID and Password are all needed",IF(AND(A511="",COUNTIF(Clients!$B$5:$B$1005,B511)=0),"Not on Clients — will match a portal client by name",IF(AND(C511="GST",D511&lt;&gt;"",COUNTIF(Clients!$AZ$5:$AZ$1005,UPPER(D511))=0,COUNTIF(Clients!$G$5:$G$1005,"*"&amp;UPPER(D511)&amp;"*")=0),"GSTIN not on Clients — will be checked in the portal","✔ OK")))))</f>
        <v/>
      </c>
    </row>
    <row r="512">
      <c r="A512" s="40" t="n"/>
      <c r="B512" s="41" t="n"/>
      <c r="C512" s="41" t="n"/>
      <c r="D512" s="40" t="n"/>
      <c r="E512" s="40" t="n"/>
      <c r="F512" s="40" t="n"/>
      <c r="G512" s="39">
        <f>IF(COUNTA(A512:F512)=0,"",IF(A512="EXAMPLE","Example (skipped)",IF(OR(C512="",E512="",F512=""),"✖ Portal, User ID and Password are all needed",IF(AND(A512="",COUNTIF(Clients!$B$5:$B$1005,B512)=0),"Not on Clients — will match a portal client by name",IF(AND(C512="GST",D512&lt;&gt;"",COUNTIF(Clients!$AZ$5:$AZ$1005,UPPER(D512))=0,COUNTIF(Clients!$G$5:$G$1005,"*"&amp;UPPER(D512)&amp;"*")=0),"GSTIN not on Clients — will be checked in the portal","✔ OK")))))</f>
        <v/>
      </c>
    </row>
    <row r="513">
      <c r="A513" s="40" t="n"/>
      <c r="B513" s="41" t="n"/>
      <c r="C513" s="41" t="n"/>
      <c r="D513" s="40" t="n"/>
      <c r="E513" s="40" t="n"/>
      <c r="F513" s="40" t="n"/>
      <c r="G513" s="39">
        <f>IF(COUNTA(A513:F513)=0,"",IF(A513="EXAMPLE","Example (skipped)",IF(OR(C513="",E513="",F513=""),"✖ Portal, User ID and Password are all needed",IF(AND(A513="",COUNTIF(Clients!$B$5:$B$1005,B513)=0),"Not on Clients — will match a portal client by name",IF(AND(C513="GST",D513&lt;&gt;"",COUNTIF(Clients!$AZ$5:$AZ$1005,UPPER(D513))=0,COUNTIF(Clients!$G$5:$G$1005,"*"&amp;UPPER(D513)&amp;"*")=0),"GSTIN not on Clients — will be checked in the portal","✔ OK")))))</f>
        <v/>
      </c>
    </row>
    <row r="514">
      <c r="A514" s="40" t="n"/>
      <c r="B514" s="41" t="n"/>
      <c r="C514" s="41" t="n"/>
      <c r="D514" s="40" t="n"/>
      <c r="E514" s="40" t="n"/>
      <c r="F514" s="40" t="n"/>
      <c r="G514" s="39">
        <f>IF(COUNTA(A514:F514)=0,"",IF(A514="EXAMPLE","Example (skipped)",IF(OR(C514="",E514="",F514=""),"✖ Portal, User ID and Password are all needed",IF(AND(A514="",COUNTIF(Clients!$B$5:$B$1005,B514)=0),"Not on Clients — will match a portal client by name",IF(AND(C514="GST",D514&lt;&gt;"",COUNTIF(Clients!$AZ$5:$AZ$1005,UPPER(D514))=0,COUNTIF(Clients!$G$5:$G$1005,"*"&amp;UPPER(D514)&amp;"*")=0),"GSTIN not on Clients — will be checked in the portal","✔ OK")))))</f>
        <v/>
      </c>
    </row>
    <row r="515">
      <c r="A515" s="40" t="n"/>
      <c r="B515" s="41" t="n"/>
      <c r="C515" s="41" t="n"/>
      <c r="D515" s="40" t="n"/>
      <c r="E515" s="40" t="n"/>
      <c r="F515" s="40" t="n"/>
      <c r="G515" s="39">
        <f>IF(COUNTA(A515:F515)=0,"",IF(A515="EXAMPLE","Example (skipped)",IF(OR(C515="",E515="",F515=""),"✖ Portal, User ID and Password are all needed",IF(AND(A515="",COUNTIF(Clients!$B$5:$B$1005,B515)=0),"Not on Clients — will match a portal client by name",IF(AND(C515="GST",D515&lt;&gt;"",COUNTIF(Clients!$AZ$5:$AZ$1005,UPPER(D515))=0,COUNTIF(Clients!$G$5:$G$1005,"*"&amp;UPPER(D515)&amp;"*")=0),"GSTIN not on Clients — will be checked in the portal","✔ OK")))))</f>
        <v/>
      </c>
    </row>
    <row r="516">
      <c r="A516" s="40" t="n"/>
      <c r="B516" s="41" t="n"/>
      <c r="C516" s="41" t="n"/>
      <c r="D516" s="40" t="n"/>
      <c r="E516" s="40" t="n"/>
      <c r="F516" s="40" t="n"/>
      <c r="G516" s="39">
        <f>IF(COUNTA(A516:F516)=0,"",IF(A516="EXAMPLE","Example (skipped)",IF(OR(C516="",E516="",F516=""),"✖ Portal, User ID and Password are all needed",IF(AND(A516="",COUNTIF(Clients!$B$5:$B$1005,B516)=0),"Not on Clients — will match a portal client by name",IF(AND(C516="GST",D516&lt;&gt;"",COUNTIF(Clients!$AZ$5:$AZ$1005,UPPER(D516))=0,COUNTIF(Clients!$G$5:$G$1005,"*"&amp;UPPER(D516)&amp;"*")=0),"GSTIN not on Clients — will be checked in the portal","✔ OK")))))</f>
        <v/>
      </c>
    </row>
    <row r="517">
      <c r="A517" s="40" t="n"/>
      <c r="B517" s="41" t="n"/>
      <c r="C517" s="41" t="n"/>
      <c r="D517" s="40" t="n"/>
      <c r="E517" s="40" t="n"/>
      <c r="F517" s="40" t="n"/>
      <c r="G517" s="39">
        <f>IF(COUNTA(A517:F517)=0,"",IF(A517="EXAMPLE","Example (skipped)",IF(OR(C517="",E517="",F517=""),"✖ Portal, User ID and Password are all needed",IF(AND(A517="",COUNTIF(Clients!$B$5:$B$1005,B517)=0),"Not on Clients — will match a portal client by name",IF(AND(C517="GST",D517&lt;&gt;"",COUNTIF(Clients!$AZ$5:$AZ$1005,UPPER(D517))=0,COUNTIF(Clients!$G$5:$G$1005,"*"&amp;UPPER(D517)&amp;"*")=0),"GSTIN not on Clients — will be checked in the portal","✔ OK")))))</f>
        <v/>
      </c>
    </row>
    <row r="518">
      <c r="A518" s="40" t="n"/>
      <c r="B518" s="41" t="n"/>
      <c r="C518" s="41" t="n"/>
      <c r="D518" s="40" t="n"/>
      <c r="E518" s="40" t="n"/>
      <c r="F518" s="40" t="n"/>
      <c r="G518" s="39">
        <f>IF(COUNTA(A518:F518)=0,"",IF(A518="EXAMPLE","Example (skipped)",IF(OR(C518="",E518="",F518=""),"✖ Portal, User ID and Password are all needed",IF(AND(A518="",COUNTIF(Clients!$B$5:$B$1005,B518)=0),"Not on Clients — will match a portal client by name",IF(AND(C518="GST",D518&lt;&gt;"",COUNTIF(Clients!$AZ$5:$AZ$1005,UPPER(D518))=0,COUNTIF(Clients!$G$5:$G$1005,"*"&amp;UPPER(D518)&amp;"*")=0),"GSTIN not on Clients — will be checked in the portal","✔ OK")))))</f>
        <v/>
      </c>
    </row>
    <row r="519">
      <c r="A519" s="40" t="n"/>
      <c r="B519" s="41" t="n"/>
      <c r="C519" s="41" t="n"/>
      <c r="D519" s="40" t="n"/>
      <c r="E519" s="40" t="n"/>
      <c r="F519" s="40" t="n"/>
      <c r="G519" s="39">
        <f>IF(COUNTA(A519:F519)=0,"",IF(A519="EXAMPLE","Example (skipped)",IF(OR(C519="",E519="",F519=""),"✖ Portal, User ID and Password are all needed",IF(AND(A519="",COUNTIF(Clients!$B$5:$B$1005,B519)=0),"Not on Clients — will match a portal client by name",IF(AND(C519="GST",D519&lt;&gt;"",COUNTIF(Clients!$AZ$5:$AZ$1005,UPPER(D519))=0,COUNTIF(Clients!$G$5:$G$1005,"*"&amp;UPPER(D519)&amp;"*")=0),"GSTIN not on Clients — will be checked in the portal","✔ OK")))))</f>
        <v/>
      </c>
    </row>
    <row r="520">
      <c r="A520" s="40" t="n"/>
      <c r="B520" s="41" t="n"/>
      <c r="C520" s="41" t="n"/>
      <c r="D520" s="40" t="n"/>
      <c r="E520" s="40" t="n"/>
      <c r="F520" s="40" t="n"/>
      <c r="G520" s="39">
        <f>IF(COUNTA(A520:F520)=0,"",IF(A520="EXAMPLE","Example (skipped)",IF(OR(C520="",E520="",F520=""),"✖ Portal, User ID and Password are all needed",IF(AND(A520="",COUNTIF(Clients!$B$5:$B$1005,B520)=0),"Not on Clients — will match a portal client by name",IF(AND(C520="GST",D520&lt;&gt;"",COUNTIF(Clients!$AZ$5:$AZ$1005,UPPER(D520))=0,COUNTIF(Clients!$G$5:$G$1005,"*"&amp;UPPER(D520)&amp;"*")=0),"GSTIN not on Clients — will be checked in the portal","✔ OK")))))</f>
        <v/>
      </c>
    </row>
    <row r="521">
      <c r="A521" s="40" t="n"/>
      <c r="B521" s="41" t="n"/>
      <c r="C521" s="41" t="n"/>
      <c r="D521" s="40" t="n"/>
      <c r="E521" s="40" t="n"/>
      <c r="F521" s="40" t="n"/>
      <c r="G521" s="39">
        <f>IF(COUNTA(A521:F521)=0,"",IF(A521="EXAMPLE","Example (skipped)",IF(OR(C521="",E521="",F521=""),"✖ Portal, User ID and Password are all needed",IF(AND(A521="",COUNTIF(Clients!$B$5:$B$1005,B521)=0),"Not on Clients — will match a portal client by name",IF(AND(C521="GST",D521&lt;&gt;"",COUNTIF(Clients!$AZ$5:$AZ$1005,UPPER(D521))=0,COUNTIF(Clients!$G$5:$G$1005,"*"&amp;UPPER(D521)&amp;"*")=0),"GSTIN not on Clients — will be checked in the portal","✔ OK")))))</f>
        <v/>
      </c>
    </row>
    <row r="522">
      <c r="A522" s="40" t="n"/>
      <c r="B522" s="41" t="n"/>
      <c r="C522" s="41" t="n"/>
      <c r="D522" s="40" t="n"/>
      <c r="E522" s="40" t="n"/>
      <c r="F522" s="40" t="n"/>
      <c r="G522" s="39">
        <f>IF(COUNTA(A522:F522)=0,"",IF(A522="EXAMPLE","Example (skipped)",IF(OR(C522="",E522="",F522=""),"✖ Portal, User ID and Password are all needed",IF(AND(A522="",COUNTIF(Clients!$B$5:$B$1005,B522)=0),"Not on Clients — will match a portal client by name",IF(AND(C522="GST",D522&lt;&gt;"",COUNTIF(Clients!$AZ$5:$AZ$1005,UPPER(D522))=0,COUNTIF(Clients!$G$5:$G$1005,"*"&amp;UPPER(D522)&amp;"*")=0),"GSTIN not on Clients — will be checked in the portal","✔ OK")))))</f>
        <v/>
      </c>
    </row>
    <row r="523">
      <c r="A523" s="40" t="n"/>
      <c r="B523" s="41" t="n"/>
      <c r="C523" s="41" t="n"/>
      <c r="D523" s="40" t="n"/>
      <c r="E523" s="40" t="n"/>
      <c r="F523" s="40" t="n"/>
      <c r="G523" s="39">
        <f>IF(COUNTA(A523:F523)=0,"",IF(A523="EXAMPLE","Example (skipped)",IF(OR(C523="",E523="",F523=""),"✖ Portal, User ID and Password are all needed",IF(AND(A523="",COUNTIF(Clients!$B$5:$B$1005,B523)=0),"Not on Clients — will match a portal client by name",IF(AND(C523="GST",D523&lt;&gt;"",COUNTIF(Clients!$AZ$5:$AZ$1005,UPPER(D523))=0,COUNTIF(Clients!$G$5:$G$1005,"*"&amp;UPPER(D523)&amp;"*")=0),"GSTIN not on Clients — will be checked in the portal","✔ OK")))))</f>
        <v/>
      </c>
    </row>
    <row r="524">
      <c r="A524" s="40" t="n"/>
      <c r="B524" s="41" t="n"/>
      <c r="C524" s="41" t="n"/>
      <c r="D524" s="40" t="n"/>
      <c r="E524" s="40" t="n"/>
      <c r="F524" s="40" t="n"/>
      <c r="G524" s="39">
        <f>IF(COUNTA(A524:F524)=0,"",IF(A524="EXAMPLE","Example (skipped)",IF(OR(C524="",E524="",F524=""),"✖ Portal, User ID and Password are all needed",IF(AND(A524="",COUNTIF(Clients!$B$5:$B$1005,B524)=0),"Not on Clients — will match a portal client by name",IF(AND(C524="GST",D524&lt;&gt;"",COUNTIF(Clients!$AZ$5:$AZ$1005,UPPER(D524))=0,COUNTIF(Clients!$G$5:$G$1005,"*"&amp;UPPER(D524)&amp;"*")=0),"GSTIN not on Clients — will be checked in the portal","✔ OK")))))</f>
        <v/>
      </c>
    </row>
    <row r="525">
      <c r="A525" s="40" t="n"/>
      <c r="B525" s="41" t="n"/>
      <c r="C525" s="41" t="n"/>
      <c r="D525" s="40" t="n"/>
      <c r="E525" s="40" t="n"/>
      <c r="F525" s="40" t="n"/>
      <c r="G525" s="39">
        <f>IF(COUNTA(A525:F525)=0,"",IF(A525="EXAMPLE","Example (skipped)",IF(OR(C525="",E525="",F525=""),"✖ Portal, User ID and Password are all needed",IF(AND(A525="",COUNTIF(Clients!$B$5:$B$1005,B525)=0),"Not on Clients — will match a portal client by name",IF(AND(C525="GST",D525&lt;&gt;"",COUNTIF(Clients!$AZ$5:$AZ$1005,UPPER(D525))=0,COUNTIF(Clients!$G$5:$G$1005,"*"&amp;UPPER(D525)&amp;"*")=0),"GSTIN not on Clients — will be checked in the portal","✔ OK")))))</f>
        <v/>
      </c>
    </row>
    <row r="526">
      <c r="A526" s="40" t="n"/>
      <c r="B526" s="41" t="n"/>
      <c r="C526" s="41" t="n"/>
      <c r="D526" s="40" t="n"/>
      <c r="E526" s="40" t="n"/>
      <c r="F526" s="40" t="n"/>
      <c r="G526" s="39">
        <f>IF(COUNTA(A526:F526)=0,"",IF(A526="EXAMPLE","Example (skipped)",IF(OR(C526="",E526="",F526=""),"✖ Portal, User ID and Password are all needed",IF(AND(A526="",COUNTIF(Clients!$B$5:$B$1005,B526)=0),"Not on Clients — will match a portal client by name",IF(AND(C526="GST",D526&lt;&gt;"",COUNTIF(Clients!$AZ$5:$AZ$1005,UPPER(D526))=0,COUNTIF(Clients!$G$5:$G$1005,"*"&amp;UPPER(D526)&amp;"*")=0),"GSTIN not on Clients — will be checked in the portal","✔ OK")))))</f>
        <v/>
      </c>
    </row>
    <row r="527">
      <c r="A527" s="40" t="n"/>
      <c r="B527" s="41" t="n"/>
      <c r="C527" s="41" t="n"/>
      <c r="D527" s="40" t="n"/>
      <c r="E527" s="40" t="n"/>
      <c r="F527" s="40" t="n"/>
      <c r="G527" s="39">
        <f>IF(COUNTA(A527:F527)=0,"",IF(A527="EXAMPLE","Example (skipped)",IF(OR(C527="",E527="",F527=""),"✖ Portal, User ID and Password are all needed",IF(AND(A527="",COUNTIF(Clients!$B$5:$B$1005,B527)=0),"Not on Clients — will match a portal client by name",IF(AND(C527="GST",D527&lt;&gt;"",COUNTIF(Clients!$AZ$5:$AZ$1005,UPPER(D527))=0,COUNTIF(Clients!$G$5:$G$1005,"*"&amp;UPPER(D527)&amp;"*")=0),"GSTIN not on Clients — will be checked in the portal","✔ OK")))))</f>
        <v/>
      </c>
    </row>
    <row r="528">
      <c r="A528" s="40" t="n"/>
      <c r="B528" s="41" t="n"/>
      <c r="C528" s="41" t="n"/>
      <c r="D528" s="40" t="n"/>
      <c r="E528" s="40" t="n"/>
      <c r="F528" s="40" t="n"/>
      <c r="G528" s="39">
        <f>IF(COUNTA(A528:F528)=0,"",IF(A528="EXAMPLE","Example (skipped)",IF(OR(C528="",E528="",F528=""),"✖ Portal, User ID and Password are all needed",IF(AND(A528="",COUNTIF(Clients!$B$5:$B$1005,B528)=0),"Not on Clients — will match a portal client by name",IF(AND(C528="GST",D528&lt;&gt;"",COUNTIF(Clients!$AZ$5:$AZ$1005,UPPER(D528))=0,COUNTIF(Clients!$G$5:$G$1005,"*"&amp;UPPER(D528)&amp;"*")=0),"GSTIN not on Clients — will be checked in the portal","✔ OK")))))</f>
        <v/>
      </c>
    </row>
    <row r="529">
      <c r="A529" s="40" t="n"/>
      <c r="B529" s="41" t="n"/>
      <c r="C529" s="41" t="n"/>
      <c r="D529" s="40" t="n"/>
      <c r="E529" s="40" t="n"/>
      <c r="F529" s="40" t="n"/>
      <c r="G529" s="39">
        <f>IF(COUNTA(A529:F529)=0,"",IF(A529="EXAMPLE","Example (skipped)",IF(OR(C529="",E529="",F529=""),"✖ Portal, User ID and Password are all needed",IF(AND(A529="",COUNTIF(Clients!$B$5:$B$1005,B529)=0),"Not on Clients — will match a portal client by name",IF(AND(C529="GST",D529&lt;&gt;"",COUNTIF(Clients!$AZ$5:$AZ$1005,UPPER(D529))=0,COUNTIF(Clients!$G$5:$G$1005,"*"&amp;UPPER(D529)&amp;"*")=0),"GSTIN not on Clients — will be checked in the portal","✔ OK")))))</f>
        <v/>
      </c>
    </row>
    <row r="530">
      <c r="A530" s="40" t="n"/>
      <c r="B530" s="41" t="n"/>
      <c r="C530" s="41" t="n"/>
      <c r="D530" s="40" t="n"/>
      <c r="E530" s="40" t="n"/>
      <c r="F530" s="40" t="n"/>
      <c r="G530" s="39">
        <f>IF(COUNTA(A530:F530)=0,"",IF(A530="EXAMPLE","Example (skipped)",IF(OR(C530="",E530="",F530=""),"✖ Portal, User ID and Password are all needed",IF(AND(A530="",COUNTIF(Clients!$B$5:$B$1005,B530)=0),"Not on Clients — will match a portal client by name",IF(AND(C530="GST",D530&lt;&gt;"",COUNTIF(Clients!$AZ$5:$AZ$1005,UPPER(D530))=0,COUNTIF(Clients!$G$5:$G$1005,"*"&amp;UPPER(D530)&amp;"*")=0),"GSTIN not on Clients — will be checked in the portal","✔ OK")))))</f>
        <v/>
      </c>
    </row>
    <row r="531">
      <c r="A531" s="40" t="n"/>
      <c r="B531" s="41" t="n"/>
      <c r="C531" s="41" t="n"/>
      <c r="D531" s="40" t="n"/>
      <c r="E531" s="40" t="n"/>
      <c r="F531" s="40" t="n"/>
      <c r="G531" s="39">
        <f>IF(COUNTA(A531:F531)=0,"",IF(A531="EXAMPLE","Example (skipped)",IF(OR(C531="",E531="",F531=""),"✖ Portal, User ID and Password are all needed",IF(AND(A531="",COUNTIF(Clients!$B$5:$B$1005,B531)=0),"Not on Clients — will match a portal client by name",IF(AND(C531="GST",D531&lt;&gt;"",COUNTIF(Clients!$AZ$5:$AZ$1005,UPPER(D531))=0,COUNTIF(Clients!$G$5:$G$1005,"*"&amp;UPPER(D531)&amp;"*")=0),"GSTIN not on Clients — will be checked in the portal","✔ OK")))))</f>
        <v/>
      </c>
    </row>
    <row r="532">
      <c r="A532" s="40" t="n"/>
      <c r="B532" s="41" t="n"/>
      <c r="C532" s="41" t="n"/>
      <c r="D532" s="40" t="n"/>
      <c r="E532" s="40" t="n"/>
      <c r="F532" s="40" t="n"/>
      <c r="G532" s="39">
        <f>IF(COUNTA(A532:F532)=0,"",IF(A532="EXAMPLE","Example (skipped)",IF(OR(C532="",E532="",F532=""),"✖ Portal, User ID and Password are all needed",IF(AND(A532="",COUNTIF(Clients!$B$5:$B$1005,B532)=0),"Not on Clients — will match a portal client by name",IF(AND(C532="GST",D532&lt;&gt;"",COUNTIF(Clients!$AZ$5:$AZ$1005,UPPER(D532))=0,COUNTIF(Clients!$G$5:$G$1005,"*"&amp;UPPER(D532)&amp;"*")=0),"GSTIN not on Clients — will be checked in the portal","✔ OK")))))</f>
        <v/>
      </c>
    </row>
    <row r="533">
      <c r="A533" s="40" t="n"/>
      <c r="B533" s="41" t="n"/>
      <c r="C533" s="41" t="n"/>
      <c r="D533" s="40" t="n"/>
      <c r="E533" s="40" t="n"/>
      <c r="F533" s="40" t="n"/>
      <c r="G533" s="39">
        <f>IF(COUNTA(A533:F533)=0,"",IF(A533="EXAMPLE","Example (skipped)",IF(OR(C533="",E533="",F533=""),"✖ Portal, User ID and Password are all needed",IF(AND(A533="",COUNTIF(Clients!$B$5:$B$1005,B533)=0),"Not on Clients — will match a portal client by name",IF(AND(C533="GST",D533&lt;&gt;"",COUNTIF(Clients!$AZ$5:$AZ$1005,UPPER(D533))=0,COUNTIF(Clients!$G$5:$G$1005,"*"&amp;UPPER(D533)&amp;"*")=0),"GSTIN not on Clients — will be checked in the portal","✔ OK")))))</f>
        <v/>
      </c>
    </row>
    <row r="534">
      <c r="A534" s="40" t="n"/>
      <c r="B534" s="41" t="n"/>
      <c r="C534" s="41" t="n"/>
      <c r="D534" s="40" t="n"/>
      <c r="E534" s="40" t="n"/>
      <c r="F534" s="40" t="n"/>
      <c r="G534" s="39">
        <f>IF(COUNTA(A534:F534)=0,"",IF(A534="EXAMPLE","Example (skipped)",IF(OR(C534="",E534="",F534=""),"✖ Portal, User ID and Password are all needed",IF(AND(A534="",COUNTIF(Clients!$B$5:$B$1005,B534)=0),"Not on Clients — will match a portal client by name",IF(AND(C534="GST",D534&lt;&gt;"",COUNTIF(Clients!$AZ$5:$AZ$1005,UPPER(D534))=0,COUNTIF(Clients!$G$5:$G$1005,"*"&amp;UPPER(D534)&amp;"*")=0),"GSTIN not on Clients — will be checked in the portal","✔ OK")))))</f>
        <v/>
      </c>
    </row>
    <row r="535">
      <c r="A535" s="40" t="n"/>
      <c r="B535" s="41" t="n"/>
      <c r="C535" s="41" t="n"/>
      <c r="D535" s="40" t="n"/>
      <c r="E535" s="40" t="n"/>
      <c r="F535" s="40" t="n"/>
      <c r="G535" s="39">
        <f>IF(COUNTA(A535:F535)=0,"",IF(A535="EXAMPLE","Example (skipped)",IF(OR(C535="",E535="",F535=""),"✖ Portal, User ID and Password are all needed",IF(AND(A535="",COUNTIF(Clients!$B$5:$B$1005,B535)=0),"Not on Clients — will match a portal client by name",IF(AND(C535="GST",D535&lt;&gt;"",COUNTIF(Clients!$AZ$5:$AZ$1005,UPPER(D535))=0,COUNTIF(Clients!$G$5:$G$1005,"*"&amp;UPPER(D535)&amp;"*")=0),"GSTIN not on Clients — will be checked in the portal","✔ OK")))))</f>
        <v/>
      </c>
    </row>
    <row r="536">
      <c r="A536" s="40" t="n"/>
      <c r="B536" s="41" t="n"/>
      <c r="C536" s="41" t="n"/>
      <c r="D536" s="40" t="n"/>
      <c r="E536" s="40" t="n"/>
      <c r="F536" s="40" t="n"/>
      <c r="G536" s="39">
        <f>IF(COUNTA(A536:F536)=0,"",IF(A536="EXAMPLE","Example (skipped)",IF(OR(C536="",E536="",F536=""),"✖ Portal, User ID and Password are all needed",IF(AND(A536="",COUNTIF(Clients!$B$5:$B$1005,B536)=0),"Not on Clients — will match a portal client by name",IF(AND(C536="GST",D536&lt;&gt;"",COUNTIF(Clients!$AZ$5:$AZ$1005,UPPER(D536))=0,COUNTIF(Clients!$G$5:$G$1005,"*"&amp;UPPER(D536)&amp;"*")=0),"GSTIN not on Clients — will be checked in the portal","✔ OK")))))</f>
        <v/>
      </c>
    </row>
    <row r="537">
      <c r="A537" s="40" t="n"/>
      <c r="B537" s="41" t="n"/>
      <c r="C537" s="41" t="n"/>
      <c r="D537" s="40" t="n"/>
      <c r="E537" s="40" t="n"/>
      <c r="F537" s="40" t="n"/>
      <c r="G537" s="39">
        <f>IF(COUNTA(A537:F537)=0,"",IF(A537="EXAMPLE","Example (skipped)",IF(OR(C537="",E537="",F537=""),"✖ Portal, User ID and Password are all needed",IF(AND(A537="",COUNTIF(Clients!$B$5:$B$1005,B537)=0),"Not on Clients — will match a portal client by name",IF(AND(C537="GST",D537&lt;&gt;"",COUNTIF(Clients!$AZ$5:$AZ$1005,UPPER(D537))=0,COUNTIF(Clients!$G$5:$G$1005,"*"&amp;UPPER(D537)&amp;"*")=0),"GSTIN not on Clients — will be checked in the portal","✔ OK")))))</f>
        <v/>
      </c>
    </row>
    <row r="538">
      <c r="A538" s="40" t="n"/>
      <c r="B538" s="41" t="n"/>
      <c r="C538" s="41" t="n"/>
      <c r="D538" s="40" t="n"/>
      <c r="E538" s="40" t="n"/>
      <c r="F538" s="40" t="n"/>
      <c r="G538" s="39">
        <f>IF(COUNTA(A538:F538)=0,"",IF(A538="EXAMPLE","Example (skipped)",IF(OR(C538="",E538="",F538=""),"✖ Portal, User ID and Password are all needed",IF(AND(A538="",COUNTIF(Clients!$B$5:$B$1005,B538)=0),"Not on Clients — will match a portal client by name",IF(AND(C538="GST",D538&lt;&gt;"",COUNTIF(Clients!$AZ$5:$AZ$1005,UPPER(D538))=0,COUNTIF(Clients!$G$5:$G$1005,"*"&amp;UPPER(D538)&amp;"*")=0),"GSTIN not on Clients — will be checked in the portal","✔ OK")))))</f>
        <v/>
      </c>
    </row>
    <row r="539">
      <c r="A539" s="40" t="n"/>
      <c r="B539" s="41" t="n"/>
      <c r="C539" s="41" t="n"/>
      <c r="D539" s="40" t="n"/>
      <c r="E539" s="40" t="n"/>
      <c r="F539" s="40" t="n"/>
      <c r="G539" s="39">
        <f>IF(COUNTA(A539:F539)=0,"",IF(A539="EXAMPLE","Example (skipped)",IF(OR(C539="",E539="",F539=""),"✖ Portal, User ID and Password are all needed",IF(AND(A539="",COUNTIF(Clients!$B$5:$B$1005,B539)=0),"Not on Clients — will match a portal client by name",IF(AND(C539="GST",D539&lt;&gt;"",COUNTIF(Clients!$AZ$5:$AZ$1005,UPPER(D539))=0,COUNTIF(Clients!$G$5:$G$1005,"*"&amp;UPPER(D539)&amp;"*")=0),"GSTIN not on Clients — will be checked in the portal","✔ OK")))))</f>
        <v/>
      </c>
    </row>
    <row r="540">
      <c r="A540" s="40" t="n"/>
      <c r="B540" s="41" t="n"/>
      <c r="C540" s="41" t="n"/>
      <c r="D540" s="40" t="n"/>
      <c r="E540" s="40" t="n"/>
      <c r="F540" s="40" t="n"/>
      <c r="G540" s="39">
        <f>IF(COUNTA(A540:F540)=0,"",IF(A540="EXAMPLE","Example (skipped)",IF(OR(C540="",E540="",F540=""),"✖ Portal, User ID and Password are all needed",IF(AND(A540="",COUNTIF(Clients!$B$5:$B$1005,B540)=0),"Not on Clients — will match a portal client by name",IF(AND(C540="GST",D540&lt;&gt;"",COUNTIF(Clients!$AZ$5:$AZ$1005,UPPER(D540))=0,COUNTIF(Clients!$G$5:$G$1005,"*"&amp;UPPER(D540)&amp;"*")=0),"GSTIN not on Clients — will be checked in the portal","✔ OK")))))</f>
        <v/>
      </c>
    </row>
    <row r="541">
      <c r="A541" s="40" t="n"/>
      <c r="B541" s="41" t="n"/>
      <c r="C541" s="41" t="n"/>
      <c r="D541" s="40" t="n"/>
      <c r="E541" s="40" t="n"/>
      <c r="F541" s="40" t="n"/>
      <c r="G541" s="39">
        <f>IF(COUNTA(A541:F541)=0,"",IF(A541="EXAMPLE","Example (skipped)",IF(OR(C541="",E541="",F541=""),"✖ Portal, User ID and Password are all needed",IF(AND(A541="",COUNTIF(Clients!$B$5:$B$1005,B541)=0),"Not on Clients — will match a portal client by name",IF(AND(C541="GST",D541&lt;&gt;"",COUNTIF(Clients!$AZ$5:$AZ$1005,UPPER(D541))=0,COUNTIF(Clients!$G$5:$G$1005,"*"&amp;UPPER(D541)&amp;"*")=0),"GSTIN not on Clients — will be checked in the portal","✔ OK")))))</f>
        <v/>
      </c>
    </row>
    <row r="542">
      <c r="A542" s="40" t="n"/>
      <c r="B542" s="41" t="n"/>
      <c r="C542" s="41" t="n"/>
      <c r="D542" s="40" t="n"/>
      <c r="E542" s="40" t="n"/>
      <c r="F542" s="40" t="n"/>
      <c r="G542" s="39">
        <f>IF(COUNTA(A542:F542)=0,"",IF(A542="EXAMPLE","Example (skipped)",IF(OR(C542="",E542="",F542=""),"✖ Portal, User ID and Password are all needed",IF(AND(A542="",COUNTIF(Clients!$B$5:$B$1005,B542)=0),"Not on Clients — will match a portal client by name",IF(AND(C542="GST",D542&lt;&gt;"",COUNTIF(Clients!$AZ$5:$AZ$1005,UPPER(D542))=0,COUNTIF(Clients!$G$5:$G$1005,"*"&amp;UPPER(D542)&amp;"*")=0),"GSTIN not on Clients — will be checked in the portal","✔ OK")))))</f>
        <v/>
      </c>
    </row>
    <row r="543">
      <c r="A543" s="40" t="n"/>
      <c r="B543" s="41" t="n"/>
      <c r="C543" s="41" t="n"/>
      <c r="D543" s="40" t="n"/>
      <c r="E543" s="40" t="n"/>
      <c r="F543" s="40" t="n"/>
      <c r="G543" s="39">
        <f>IF(COUNTA(A543:F543)=0,"",IF(A543="EXAMPLE","Example (skipped)",IF(OR(C543="",E543="",F543=""),"✖ Portal, User ID and Password are all needed",IF(AND(A543="",COUNTIF(Clients!$B$5:$B$1005,B543)=0),"Not on Clients — will match a portal client by name",IF(AND(C543="GST",D543&lt;&gt;"",COUNTIF(Clients!$AZ$5:$AZ$1005,UPPER(D543))=0,COUNTIF(Clients!$G$5:$G$1005,"*"&amp;UPPER(D543)&amp;"*")=0),"GSTIN not on Clients — will be checked in the portal","✔ OK")))))</f>
        <v/>
      </c>
    </row>
    <row r="544">
      <c r="A544" s="40" t="n"/>
      <c r="B544" s="41" t="n"/>
      <c r="C544" s="41" t="n"/>
      <c r="D544" s="40" t="n"/>
      <c r="E544" s="40" t="n"/>
      <c r="F544" s="40" t="n"/>
      <c r="G544" s="39">
        <f>IF(COUNTA(A544:F544)=0,"",IF(A544="EXAMPLE","Example (skipped)",IF(OR(C544="",E544="",F544=""),"✖ Portal, User ID and Password are all needed",IF(AND(A544="",COUNTIF(Clients!$B$5:$B$1005,B544)=0),"Not on Clients — will match a portal client by name",IF(AND(C544="GST",D544&lt;&gt;"",COUNTIF(Clients!$AZ$5:$AZ$1005,UPPER(D544))=0,COUNTIF(Clients!$G$5:$G$1005,"*"&amp;UPPER(D544)&amp;"*")=0),"GSTIN not on Clients — will be checked in the portal","✔ OK")))))</f>
        <v/>
      </c>
    </row>
    <row r="545">
      <c r="A545" s="40" t="n"/>
      <c r="B545" s="41" t="n"/>
      <c r="C545" s="41" t="n"/>
      <c r="D545" s="40" t="n"/>
      <c r="E545" s="40" t="n"/>
      <c r="F545" s="40" t="n"/>
      <c r="G545" s="39">
        <f>IF(COUNTA(A545:F545)=0,"",IF(A545="EXAMPLE","Example (skipped)",IF(OR(C545="",E545="",F545=""),"✖ Portal, User ID and Password are all needed",IF(AND(A545="",COUNTIF(Clients!$B$5:$B$1005,B545)=0),"Not on Clients — will match a portal client by name",IF(AND(C545="GST",D545&lt;&gt;"",COUNTIF(Clients!$AZ$5:$AZ$1005,UPPER(D545))=0,COUNTIF(Clients!$G$5:$G$1005,"*"&amp;UPPER(D545)&amp;"*")=0),"GSTIN not on Clients — will be checked in the portal","✔ OK")))))</f>
        <v/>
      </c>
    </row>
    <row r="546">
      <c r="A546" s="40" t="n"/>
      <c r="B546" s="41" t="n"/>
      <c r="C546" s="41" t="n"/>
      <c r="D546" s="40" t="n"/>
      <c r="E546" s="40" t="n"/>
      <c r="F546" s="40" t="n"/>
      <c r="G546" s="39">
        <f>IF(COUNTA(A546:F546)=0,"",IF(A546="EXAMPLE","Example (skipped)",IF(OR(C546="",E546="",F546=""),"✖ Portal, User ID and Password are all needed",IF(AND(A546="",COUNTIF(Clients!$B$5:$B$1005,B546)=0),"Not on Clients — will match a portal client by name",IF(AND(C546="GST",D546&lt;&gt;"",COUNTIF(Clients!$AZ$5:$AZ$1005,UPPER(D546))=0,COUNTIF(Clients!$G$5:$G$1005,"*"&amp;UPPER(D546)&amp;"*")=0),"GSTIN not on Clients — will be checked in the portal","✔ OK")))))</f>
        <v/>
      </c>
    </row>
    <row r="547">
      <c r="A547" s="40" t="n"/>
      <c r="B547" s="41" t="n"/>
      <c r="C547" s="41" t="n"/>
      <c r="D547" s="40" t="n"/>
      <c r="E547" s="40" t="n"/>
      <c r="F547" s="40" t="n"/>
      <c r="G547" s="39">
        <f>IF(COUNTA(A547:F547)=0,"",IF(A547="EXAMPLE","Example (skipped)",IF(OR(C547="",E547="",F547=""),"✖ Portal, User ID and Password are all needed",IF(AND(A547="",COUNTIF(Clients!$B$5:$B$1005,B547)=0),"Not on Clients — will match a portal client by name",IF(AND(C547="GST",D547&lt;&gt;"",COUNTIF(Clients!$AZ$5:$AZ$1005,UPPER(D547))=0,COUNTIF(Clients!$G$5:$G$1005,"*"&amp;UPPER(D547)&amp;"*")=0),"GSTIN not on Clients — will be checked in the portal","✔ OK")))))</f>
        <v/>
      </c>
    </row>
    <row r="548">
      <c r="A548" s="40" t="n"/>
      <c r="B548" s="41" t="n"/>
      <c r="C548" s="41" t="n"/>
      <c r="D548" s="40" t="n"/>
      <c r="E548" s="40" t="n"/>
      <c r="F548" s="40" t="n"/>
      <c r="G548" s="39">
        <f>IF(COUNTA(A548:F548)=0,"",IF(A548="EXAMPLE","Example (skipped)",IF(OR(C548="",E548="",F548=""),"✖ Portal, User ID and Password are all needed",IF(AND(A548="",COUNTIF(Clients!$B$5:$B$1005,B548)=0),"Not on Clients — will match a portal client by name",IF(AND(C548="GST",D548&lt;&gt;"",COUNTIF(Clients!$AZ$5:$AZ$1005,UPPER(D548))=0,COUNTIF(Clients!$G$5:$G$1005,"*"&amp;UPPER(D548)&amp;"*")=0),"GSTIN not on Clients — will be checked in the portal","✔ OK")))))</f>
        <v/>
      </c>
    </row>
    <row r="549">
      <c r="A549" s="40" t="n"/>
      <c r="B549" s="41" t="n"/>
      <c r="C549" s="41" t="n"/>
      <c r="D549" s="40" t="n"/>
      <c r="E549" s="40" t="n"/>
      <c r="F549" s="40" t="n"/>
      <c r="G549" s="39">
        <f>IF(COUNTA(A549:F549)=0,"",IF(A549="EXAMPLE","Example (skipped)",IF(OR(C549="",E549="",F549=""),"✖ Portal, User ID and Password are all needed",IF(AND(A549="",COUNTIF(Clients!$B$5:$B$1005,B549)=0),"Not on Clients — will match a portal client by name",IF(AND(C549="GST",D549&lt;&gt;"",COUNTIF(Clients!$AZ$5:$AZ$1005,UPPER(D549))=0,COUNTIF(Clients!$G$5:$G$1005,"*"&amp;UPPER(D549)&amp;"*")=0),"GSTIN not on Clients — will be checked in the portal","✔ OK")))))</f>
        <v/>
      </c>
    </row>
    <row r="550">
      <c r="A550" s="40" t="n"/>
      <c r="B550" s="41" t="n"/>
      <c r="C550" s="41" t="n"/>
      <c r="D550" s="40" t="n"/>
      <c r="E550" s="40" t="n"/>
      <c r="F550" s="40" t="n"/>
      <c r="G550" s="39">
        <f>IF(COUNTA(A550:F550)=0,"",IF(A550="EXAMPLE","Example (skipped)",IF(OR(C550="",E550="",F550=""),"✖ Portal, User ID and Password are all needed",IF(AND(A550="",COUNTIF(Clients!$B$5:$B$1005,B550)=0),"Not on Clients — will match a portal client by name",IF(AND(C550="GST",D550&lt;&gt;"",COUNTIF(Clients!$AZ$5:$AZ$1005,UPPER(D550))=0,COUNTIF(Clients!$G$5:$G$1005,"*"&amp;UPPER(D550)&amp;"*")=0),"GSTIN not on Clients — will be checked in the portal","✔ OK")))))</f>
        <v/>
      </c>
    </row>
    <row r="551">
      <c r="A551" s="40" t="n"/>
      <c r="B551" s="41" t="n"/>
      <c r="C551" s="41" t="n"/>
      <c r="D551" s="40" t="n"/>
      <c r="E551" s="40" t="n"/>
      <c r="F551" s="40" t="n"/>
      <c r="G551" s="39">
        <f>IF(COUNTA(A551:F551)=0,"",IF(A551="EXAMPLE","Example (skipped)",IF(OR(C551="",E551="",F551=""),"✖ Portal, User ID and Password are all needed",IF(AND(A551="",COUNTIF(Clients!$B$5:$B$1005,B551)=0),"Not on Clients — will match a portal client by name",IF(AND(C551="GST",D551&lt;&gt;"",COUNTIF(Clients!$AZ$5:$AZ$1005,UPPER(D551))=0,COUNTIF(Clients!$G$5:$G$1005,"*"&amp;UPPER(D551)&amp;"*")=0),"GSTIN not on Clients — will be checked in the portal","✔ OK")))))</f>
        <v/>
      </c>
    </row>
    <row r="552">
      <c r="A552" s="40" t="n"/>
      <c r="B552" s="41" t="n"/>
      <c r="C552" s="41" t="n"/>
      <c r="D552" s="40" t="n"/>
      <c r="E552" s="40" t="n"/>
      <c r="F552" s="40" t="n"/>
      <c r="G552" s="39">
        <f>IF(COUNTA(A552:F552)=0,"",IF(A552="EXAMPLE","Example (skipped)",IF(OR(C552="",E552="",F552=""),"✖ Portal, User ID and Password are all needed",IF(AND(A552="",COUNTIF(Clients!$B$5:$B$1005,B552)=0),"Not on Clients — will match a portal client by name",IF(AND(C552="GST",D552&lt;&gt;"",COUNTIF(Clients!$AZ$5:$AZ$1005,UPPER(D552))=0,COUNTIF(Clients!$G$5:$G$1005,"*"&amp;UPPER(D552)&amp;"*")=0),"GSTIN not on Clients — will be checked in the portal","✔ OK")))))</f>
        <v/>
      </c>
    </row>
    <row r="553">
      <c r="A553" s="40" t="n"/>
      <c r="B553" s="41" t="n"/>
      <c r="C553" s="41" t="n"/>
      <c r="D553" s="40" t="n"/>
      <c r="E553" s="40" t="n"/>
      <c r="F553" s="40" t="n"/>
      <c r="G553" s="39">
        <f>IF(COUNTA(A553:F553)=0,"",IF(A553="EXAMPLE","Example (skipped)",IF(OR(C553="",E553="",F553=""),"✖ Portal, User ID and Password are all needed",IF(AND(A553="",COUNTIF(Clients!$B$5:$B$1005,B553)=0),"Not on Clients — will match a portal client by name",IF(AND(C553="GST",D553&lt;&gt;"",COUNTIF(Clients!$AZ$5:$AZ$1005,UPPER(D553))=0,COUNTIF(Clients!$G$5:$G$1005,"*"&amp;UPPER(D553)&amp;"*")=0),"GSTIN not on Clients — will be checked in the portal","✔ OK")))))</f>
        <v/>
      </c>
    </row>
    <row r="554">
      <c r="A554" s="40" t="n"/>
      <c r="B554" s="41" t="n"/>
      <c r="C554" s="41" t="n"/>
      <c r="D554" s="40" t="n"/>
      <c r="E554" s="40" t="n"/>
      <c r="F554" s="40" t="n"/>
      <c r="G554" s="39">
        <f>IF(COUNTA(A554:F554)=0,"",IF(A554="EXAMPLE","Example (skipped)",IF(OR(C554="",E554="",F554=""),"✖ Portal, User ID and Password are all needed",IF(AND(A554="",COUNTIF(Clients!$B$5:$B$1005,B554)=0),"Not on Clients — will match a portal client by name",IF(AND(C554="GST",D554&lt;&gt;"",COUNTIF(Clients!$AZ$5:$AZ$1005,UPPER(D554))=0,COUNTIF(Clients!$G$5:$G$1005,"*"&amp;UPPER(D554)&amp;"*")=0),"GSTIN not on Clients — will be checked in the portal","✔ OK")))))</f>
        <v/>
      </c>
    </row>
    <row r="555">
      <c r="A555" s="40" t="n"/>
      <c r="B555" s="41" t="n"/>
      <c r="C555" s="41" t="n"/>
      <c r="D555" s="40" t="n"/>
      <c r="E555" s="40" t="n"/>
      <c r="F555" s="40" t="n"/>
      <c r="G555" s="39">
        <f>IF(COUNTA(A555:F555)=0,"",IF(A555="EXAMPLE","Example (skipped)",IF(OR(C555="",E555="",F555=""),"✖ Portal, User ID and Password are all needed",IF(AND(A555="",COUNTIF(Clients!$B$5:$B$1005,B555)=0),"Not on Clients — will match a portal client by name",IF(AND(C555="GST",D555&lt;&gt;"",COUNTIF(Clients!$AZ$5:$AZ$1005,UPPER(D555))=0,COUNTIF(Clients!$G$5:$G$1005,"*"&amp;UPPER(D555)&amp;"*")=0),"GSTIN not on Clients — will be checked in the portal","✔ OK")))))</f>
        <v/>
      </c>
    </row>
    <row r="556">
      <c r="A556" s="40" t="n"/>
      <c r="B556" s="41" t="n"/>
      <c r="C556" s="41" t="n"/>
      <c r="D556" s="40" t="n"/>
      <c r="E556" s="40" t="n"/>
      <c r="F556" s="40" t="n"/>
      <c r="G556" s="39">
        <f>IF(COUNTA(A556:F556)=0,"",IF(A556="EXAMPLE","Example (skipped)",IF(OR(C556="",E556="",F556=""),"✖ Portal, User ID and Password are all needed",IF(AND(A556="",COUNTIF(Clients!$B$5:$B$1005,B556)=0),"Not on Clients — will match a portal client by name",IF(AND(C556="GST",D556&lt;&gt;"",COUNTIF(Clients!$AZ$5:$AZ$1005,UPPER(D556))=0,COUNTIF(Clients!$G$5:$G$1005,"*"&amp;UPPER(D556)&amp;"*")=0),"GSTIN not on Clients — will be checked in the portal","✔ OK")))))</f>
        <v/>
      </c>
    </row>
    <row r="557">
      <c r="A557" s="40" t="n"/>
      <c r="B557" s="41" t="n"/>
      <c r="C557" s="41" t="n"/>
      <c r="D557" s="40" t="n"/>
      <c r="E557" s="40" t="n"/>
      <c r="F557" s="40" t="n"/>
      <c r="G557" s="39">
        <f>IF(COUNTA(A557:F557)=0,"",IF(A557="EXAMPLE","Example (skipped)",IF(OR(C557="",E557="",F557=""),"✖ Portal, User ID and Password are all needed",IF(AND(A557="",COUNTIF(Clients!$B$5:$B$1005,B557)=0),"Not on Clients — will match a portal client by name",IF(AND(C557="GST",D557&lt;&gt;"",COUNTIF(Clients!$AZ$5:$AZ$1005,UPPER(D557))=0,COUNTIF(Clients!$G$5:$G$1005,"*"&amp;UPPER(D557)&amp;"*")=0),"GSTIN not on Clients — will be checked in the portal","✔ OK")))))</f>
        <v/>
      </c>
    </row>
    <row r="558">
      <c r="A558" s="40" t="n"/>
      <c r="B558" s="41" t="n"/>
      <c r="C558" s="41" t="n"/>
      <c r="D558" s="40" t="n"/>
      <c r="E558" s="40" t="n"/>
      <c r="F558" s="40" t="n"/>
      <c r="G558" s="39">
        <f>IF(COUNTA(A558:F558)=0,"",IF(A558="EXAMPLE","Example (skipped)",IF(OR(C558="",E558="",F558=""),"✖ Portal, User ID and Password are all needed",IF(AND(A558="",COUNTIF(Clients!$B$5:$B$1005,B558)=0),"Not on Clients — will match a portal client by name",IF(AND(C558="GST",D558&lt;&gt;"",COUNTIF(Clients!$AZ$5:$AZ$1005,UPPER(D558))=0,COUNTIF(Clients!$G$5:$G$1005,"*"&amp;UPPER(D558)&amp;"*")=0),"GSTIN not on Clients — will be checked in the portal","✔ OK")))))</f>
        <v/>
      </c>
    </row>
    <row r="559">
      <c r="A559" s="40" t="n"/>
      <c r="B559" s="41" t="n"/>
      <c r="C559" s="41" t="n"/>
      <c r="D559" s="40" t="n"/>
      <c r="E559" s="40" t="n"/>
      <c r="F559" s="40" t="n"/>
      <c r="G559" s="39">
        <f>IF(COUNTA(A559:F559)=0,"",IF(A559="EXAMPLE","Example (skipped)",IF(OR(C559="",E559="",F559=""),"✖ Portal, User ID and Password are all needed",IF(AND(A559="",COUNTIF(Clients!$B$5:$B$1005,B559)=0),"Not on Clients — will match a portal client by name",IF(AND(C559="GST",D559&lt;&gt;"",COUNTIF(Clients!$AZ$5:$AZ$1005,UPPER(D559))=0,COUNTIF(Clients!$G$5:$G$1005,"*"&amp;UPPER(D559)&amp;"*")=0),"GSTIN not on Clients — will be checked in the portal","✔ OK")))))</f>
        <v/>
      </c>
    </row>
    <row r="560">
      <c r="A560" s="40" t="n"/>
      <c r="B560" s="41" t="n"/>
      <c r="C560" s="41" t="n"/>
      <c r="D560" s="40" t="n"/>
      <c r="E560" s="40" t="n"/>
      <c r="F560" s="40" t="n"/>
      <c r="G560" s="39">
        <f>IF(COUNTA(A560:F560)=0,"",IF(A560="EXAMPLE","Example (skipped)",IF(OR(C560="",E560="",F560=""),"✖ Portal, User ID and Password are all needed",IF(AND(A560="",COUNTIF(Clients!$B$5:$B$1005,B560)=0),"Not on Clients — will match a portal client by name",IF(AND(C560="GST",D560&lt;&gt;"",COUNTIF(Clients!$AZ$5:$AZ$1005,UPPER(D560))=0,COUNTIF(Clients!$G$5:$G$1005,"*"&amp;UPPER(D560)&amp;"*")=0),"GSTIN not on Clients — will be checked in the portal","✔ OK")))))</f>
        <v/>
      </c>
    </row>
    <row r="561">
      <c r="A561" s="40" t="n"/>
      <c r="B561" s="41" t="n"/>
      <c r="C561" s="41" t="n"/>
      <c r="D561" s="40" t="n"/>
      <c r="E561" s="40" t="n"/>
      <c r="F561" s="40" t="n"/>
      <c r="G561" s="39">
        <f>IF(COUNTA(A561:F561)=0,"",IF(A561="EXAMPLE","Example (skipped)",IF(OR(C561="",E561="",F561=""),"✖ Portal, User ID and Password are all needed",IF(AND(A561="",COUNTIF(Clients!$B$5:$B$1005,B561)=0),"Not on Clients — will match a portal client by name",IF(AND(C561="GST",D561&lt;&gt;"",COUNTIF(Clients!$AZ$5:$AZ$1005,UPPER(D561))=0,COUNTIF(Clients!$G$5:$G$1005,"*"&amp;UPPER(D561)&amp;"*")=0),"GSTIN not on Clients — will be checked in the portal","✔ OK")))))</f>
        <v/>
      </c>
    </row>
    <row r="562">
      <c r="A562" s="40" t="n"/>
      <c r="B562" s="41" t="n"/>
      <c r="C562" s="41" t="n"/>
      <c r="D562" s="40" t="n"/>
      <c r="E562" s="40" t="n"/>
      <c r="F562" s="40" t="n"/>
      <c r="G562" s="39">
        <f>IF(COUNTA(A562:F562)=0,"",IF(A562="EXAMPLE","Example (skipped)",IF(OR(C562="",E562="",F562=""),"✖ Portal, User ID and Password are all needed",IF(AND(A562="",COUNTIF(Clients!$B$5:$B$1005,B562)=0),"Not on Clients — will match a portal client by name",IF(AND(C562="GST",D562&lt;&gt;"",COUNTIF(Clients!$AZ$5:$AZ$1005,UPPER(D562))=0,COUNTIF(Clients!$G$5:$G$1005,"*"&amp;UPPER(D562)&amp;"*")=0),"GSTIN not on Clients — will be checked in the portal","✔ OK")))))</f>
        <v/>
      </c>
    </row>
    <row r="563">
      <c r="A563" s="40" t="n"/>
      <c r="B563" s="41" t="n"/>
      <c r="C563" s="41" t="n"/>
      <c r="D563" s="40" t="n"/>
      <c r="E563" s="40" t="n"/>
      <c r="F563" s="40" t="n"/>
      <c r="G563" s="39">
        <f>IF(COUNTA(A563:F563)=0,"",IF(A563="EXAMPLE","Example (skipped)",IF(OR(C563="",E563="",F563=""),"✖ Portal, User ID and Password are all needed",IF(AND(A563="",COUNTIF(Clients!$B$5:$B$1005,B563)=0),"Not on Clients — will match a portal client by name",IF(AND(C563="GST",D563&lt;&gt;"",COUNTIF(Clients!$AZ$5:$AZ$1005,UPPER(D563))=0,COUNTIF(Clients!$G$5:$G$1005,"*"&amp;UPPER(D563)&amp;"*")=0),"GSTIN not on Clients — will be checked in the portal","✔ OK")))))</f>
        <v/>
      </c>
    </row>
    <row r="564">
      <c r="A564" s="40" t="n"/>
      <c r="B564" s="41" t="n"/>
      <c r="C564" s="41" t="n"/>
      <c r="D564" s="40" t="n"/>
      <c r="E564" s="40" t="n"/>
      <c r="F564" s="40" t="n"/>
      <c r="G564" s="39">
        <f>IF(COUNTA(A564:F564)=0,"",IF(A564="EXAMPLE","Example (skipped)",IF(OR(C564="",E564="",F564=""),"✖ Portal, User ID and Password are all needed",IF(AND(A564="",COUNTIF(Clients!$B$5:$B$1005,B564)=0),"Not on Clients — will match a portal client by name",IF(AND(C564="GST",D564&lt;&gt;"",COUNTIF(Clients!$AZ$5:$AZ$1005,UPPER(D564))=0,COUNTIF(Clients!$G$5:$G$1005,"*"&amp;UPPER(D564)&amp;"*")=0),"GSTIN not on Clients — will be checked in the portal","✔ OK")))))</f>
        <v/>
      </c>
    </row>
    <row r="565">
      <c r="A565" s="40" t="n"/>
      <c r="B565" s="41" t="n"/>
      <c r="C565" s="41" t="n"/>
      <c r="D565" s="40" t="n"/>
      <c r="E565" s="40" t="n"/>
      <c r="F565" s="40" t="n"/>
      <c r="G565" s="39">
        <f>IF(COUNTA(A565:F565)=0,"",IF(A565="EXAMPLE","Example (skipped)",IF(OR(C565="",E565="",F565=""),"✖ Portal, User ID and Password are all needed",IF(AND(A565="",COUNTIF(Clients!$B$5:$B$1005,B565)=0),"Not on Clients — will match a portal client by name",IF(AND(C565="GST",D565&lt;&gt;"",COUNTIF(Clients!$AZ$5:$AZ$1005,UPPER(D565))=0,COUNTIF(Clients!$G$5:$G$1005,"*"&amp;UPPER(D565)&amp;"*")=0),"GSTIN not on Clients — will be checked in the portal","✔ OK")))))</f>
        <v/>
      </c>
    </row>
    <row r="566">
      <c r="A566" s="40" t="n"/>
      <c r="B566" s="41" t="n"/>
      <c r="C566" s="41" t="n"/>
      <c r="D566" s="40" t="n"/>
      <c r="E566" s="40" t="n"/>
      <c r="F566" s="40" t="n"/>
      <c r="G566" s="39">
        <f>IF(COUNTA(A566:F566)=0,"",IF(A566="EXAMPLE","Example (skipped)",IF(OR(C566="",E566="",F566=""),"✖ Portal, User ID and Password are all needed",IF(AND(A566="",COUNTIF(Clients!$B$5:$B$1005,B566)=0),"Not on Clients — will match a portal client by name",IF(AND(C566="GST",D566&lt;&gt;"",COUNTIF(Clients!$AZ$5:$AZ$1005,UPPER(D566))=0,COUNTIF(Clients!$G$5:$G$1005,"*"&amp;UPPER(D566)&amp;"*")=0),"GSTIN not on Clients — will be checked in the portal","✔ OK")))))</f>
        <v/>
      </c>
    </row>
    <row r="567">
      <c r="A567" s="40" t="n"/>
      <c r="B567" s="41" t="n"/>
      <c r="C567" s="41" t="n"/>
      <c r="D567" s="40" t="n"/>
      <c r="E567" s="40" t="n"/>
      <c r="F567" s="40" t="n"/>
      <c r="G567" s="39">
        <f>IF(COUNTA(A567:F567)=0,"",IF(A567="EXAMPLE","Example (skipped)",IF(OR(C567="",E567="",F567=""),"✖ Portal, User ID and Password are all needed",IF(AND(A567="",COUNTIF(Clients!$B$5:$B$1005,B567)=0),"Not on Clients — will match a portal client by name",IF(AND(C567="GST",D567&lt;&gt;"",COUNTIF(Clients!$AZ$5:$AZ$1005,UPPER(D567))=0,COUNTIF(Clients!$G$5:$G$1005,"*"&amp;UPPER(D567)&amp;"*")=0),"GSTIN not on Clients — will be checked in the portal","✔ OK")))))</f>
        <v/>
      </c>
    </row>
    <row r="568">
      <c r="A568" s="40" t="n"/>
      <c r="B568" s="41" t="n"/>
      <c r="C568" s="41" t="n"/>
      <c r="D568" s="40" t="n"/>
      <c r="E568" s="40" t="n"/>
      <c r="F568" s="40" t="n"/>
      <c r="G568" s="39">
        <f>IF(COUNTA(A568:F568)=0,"",IF(A568="EXAMPLE","Example (skipped)",IF(OR(C568="",E568="",F568=""),"✖ Portal, User ID and Password are all needed",IF(AND(A568="",COUNTIF(Clients!$B$5:$B$1005,B568)=0),"Not on Clients — will match a portal client by name",IF(AND(C568="GST",D568&lt;&gt;"",COUNTIF(Clients!$AZ$5:$AZ$1005,UPPER(D568))=0,COUNTIF(Clients!$G$5:$G$1005,"*"&amp;UPPER(D568)&amp;"*")=0),"GSTIN not on Clients — will be checked in the portal","✔ OK")))))</f>
        <v/>
      </c>
    </row>
    <row r="569">
      <c r="A569" s="40" t="n"/>
      <c r="B569" s="41" t="n"/>
      <c r="C569" s="41" t="n"/>
      <c r="D569" s="40" t="n"/>
      <c r="E569" s="40" t="n"/>
      <c r="F569" s="40" t="n"/>
      <c r="G569" s="39">
        <f>IF(COUNTA(A569:F569)=0,"",IF(A569="EXAMPLE","Example (skipped)",IF(OR(C569="",E569="",F569=""),"✖ Portal, User ID and Password are all needed",IF(AND(A569="",COUNTIF(Clients!$B$5:$B$1005,B569)=0),"Not on Clients — will match a portal client by name",IF(AND(C569="GST",D569&lt;&gt;"",COUNTIF(Clients!$AZ$5:$AZ$1005,UPPER(D569))=0,COUNTIF(Clients!$G$5:$G$1005,"*"&amp;UPPER(D569)&amp;"*")=0),"GSTIN not on Clients — will be checked in the portal","✔ OK")))))</f>
        <v/>
      </c>
    </row>
    <row r="570">
      <c r="A570" s="40" t="n"/>
      <c r="B570" s="41" t="n"/>
      <c r="C570" s="41" t="n"/>
      <c r="D570" s="40" t="n"/>
      <c r="E570" s="40" t="n"/>
      <c r="F570" s="40" t="n"/>
      <c r="G570" s="39">
        <f>IF(COUNTA(A570:F570)=0,"",IF(A570="EXAMPLE","Example (skipped)",IF(OR(C570="",E570="",F570=""),"✖ Portal, User ID and Password are all needed",IF(AND(A570="",COUNTIF(Clients!$B$5:$B$1005,B570)=0),"Not on Clients — will match a portal client by name",IF(AND(C570="GST",D570&lt;&gt;"",COUNTIF(Clients!$AZ$5:$AZ$1005,UPPER(D570))=0,COUNTIF(Clients!$G$5:$G$1005,"*"&amp;UPPER(D570)&amp;"*")=0),"GSTIN not on Clients — will be checked in the portal","✔ OK")))))</f>
        <v/>
      </c>
    </row>
    <row r="571">
      <c r="A571" s="40" t="n"/>
      <c r="B571" s="41" t="n"/>
      <c r="C571" s="41" t="n"/>
      <c r="D571" s="40" t="n"/>
      <c r="E571" s="40" t="n"/>
      <c r="F571" s="40" t="n"/>
      <c r="G571" s="39">
        <f>IF(COUNTA(A571:F571)=0,"",IF(A571="EXAMPLE","Example (skipped)",IF(OR(C571="",E571="",F571=""),"✖ Portal, User ID and Password are all needed",IF(AND(A571="",COUNTIF(Clients!$B$5:$B$1005,B571)=0),"Not on Clients — will match a portal client by name",IF(AND(C571="GST",D571&lt;&gt;"",COUNTIF(Clients!$AZ$5:$AZ$1005,UPPER(D571))=0,COUNTIF(Clients!$G$5:$G$1005,"*"&amp;UPPER(D571)&amp;"*")=0),"GSTIN not on Clients — will be checked in the portal","✔ OK")))))</f>
        <v/>
      </c>
    </row>
    <row r="572">
      <c r="A572" s="40" t="n"/>
      <c r="B572" s="41" t="n"/>
      <c r="C572" s="41" t="n"/>
      <c r="D572" s="40" t="n"/>
      <c r="E572" s="40" t="n"/>
      <c r="F572" s="40" t="n"/>
      <c r="G572" s="39">
        <f>IF(COUNTA(A572:F572)=0,"",IF(A572="EXAMPLE","Example (skipped)",IF(OR(C572="",E572="",F572=""),"✖ Portal, User ID and Password are all needed",IF(AND(A572="",COUNTIF(Clients!$B$5:$B$1005,B572)=0),"Not on Clients — will match a portal client by name",IF(AND(C572="GST",D572&lt;&gt;"",COUNTIF(Clients!$AZ$5:$AZ$1005,UPPER(D572))=0,COUNTIF(Clients!$G$5:$G$1005,"*"&amp;UPPER(D572)&amp;"*")=0),"GSTIN not on Clients — will be checked in the portal","✔ OK")))))</f>
        <v/>
      </c>
    </row>
    <row r="573">
      <c r="A573" s="40" t="n"/>
      <c r="B573" s="41" t="n"/>
      <c r="C573" s="41" t="n"/>
      <c r="D573" s="40" t="n"/>
      <c r="E573" s="40" t="n"/>
      <c r="F573" s="40" t="n"/>
      <c r="G573" s="39">
        <f>IF(COUNTA(A573:F573)=0,"",IF(A573="EXAMPLE","Example (skipped)",IF(OR(C573="",E573="",F573=""),"✖ Portal, User ID and Password are all needed",IF(AND(A573="",COUNTIF(Clients!$B$5:$B$1005,B573)=0),"Not on Clients — will match a portal client by name",IF(AND(C573="GST",D573&lt;&gt;"",COUNTIF(Clients!$AZ$5:$AZ$1005,UPPER(D573))=0,COUNTIF(Clients!$G$5:$G$1005,"*"&amp;UPPER(D573)&amp;"*")=0),"GSTIN not on Clients — will be checked in the portal","✔ OK")))))</f>
        <v/>
      </c>
    </row>
    <row r="574">
      <c r="A574" s="40" t="n"/>
      <c r="B574" s="41" t="n"/>
      <c r="C574" s="41" t="n"/>
      <c r="D574" s="40" t="n"/>
      <c r="E574" s="40" t="n"/>
      <c r="F574" s="40" t="n"/>
      <c r="G574" s="39">
        <f>IF(COUNTA(A574:F574)=0,"",IF(A574="EXAMPLE","Example (skipped)",IF(OR(C574="",E574="",F574=""),"✖ Portal, User ID and Password are all needed",IF(AND(A574="",COUNTIF(Clients!$B$5:$B$1005,B574)=0),"Not on Clients — will match a portal client by name",IF(AND(C574="GST",D574&lt;&gt;"",COUNTIF(Clients!$AZ$5:$AZ$1005,UPPER(D574))=0,COUNTIF(Clients!$G$5:$G$1005,"*"&amp;UPPER(D574)&amp;"*")=0),"GSTIN not on Clients — will be checked in the portal","✔ OK")))))</f>
        <v/>
      </c>
    </row>
    <row r="575">
      <c r="A575" s="40" t="n"/>
      <c r="B575" s="41" t="n"/>
      <c r="C575" s="41" t="n"/>
      <c r="D575" s="40" t="n"/>
      <c r="E575" s="40" t="n"/>
      <c r="F575" s="40" t="n"/>
      <c r="G575" s="39">
        <f>IF(COUNTA(A575:F575)=0,"",IF(A575="EXAMPLE","Example (skipped)",IF(OR(C575="",E575="",F575=""),"✖ Portal, User ID and Password are all needed",IF(AND(A575="",COUNTIF(Clients!$B$5:$B$1005,B575)=0),"Not on Clients — will match a portal client by name",IF(AND(C575="GST",D575&lt;&gt;"",COUNTIF(Clients!$AZ$5:$AZ$1005,UPPER(D575))=0,COUNTIF(Clients!$G$5:$G$1005,"*"&amp;UPPER(D575)&amp;"*")=0),"GSTIN not on Clients — will be checked in the portal","✔ OK")))))</f>
        <v/>
      </c>
    </row>
    <row r="576">
      <c r="A576" s="40" t="n"/>
      <c r="B576" s="41" t="n"/>
      <c r="C576" s="41" t="n"/>
      <c r="D576" s="40" t="n"/>
      <c r="E576" s="40" t="n"/>
      <c r="F576" s="40" t="n"/>
      <c r="G576" s="39">
        <f>IF(COUNTA(A576:F576)=0,"",IF(A576="EXAMPLE","Example (skipped)",IF(OR(C576="",E576="",F576=""),"✖ Portal, User ID and Password are all needed",IF(AND(A576="",COUNTIF(Clients!$B$5:$B$1005,B576)=0),"Not on Clients — will match a portal client by name",IF(AND(C576="GST",D576&lt;&gt;"",COUNTIF(Clients!$AZ$5:$AZ$1005,UPPER(D576))=0,COUNTIF(Clients!$G$5:$G$1005,"*"&amp;UPPER(D576)&amp;"*")=0),"GSTIN not on Clients — will be checked in the portal","✔ OK")))))</f>
        <v/>
      </c>
    </row>
    <row r="577">
      <c r="A577" s="40" t="n"/>
      <c r="B577" s="41" t="n"/>
      <c r="C577" s="41" t="n"/>
      <c r="D577" s="40" t="n"/>
      <c r="E577" s="40" t="n"/>
      <c r="F577" s="40" t="n"/>
      <c r="G577" s="39">
        <f>IF(COUNTA(A577:F577)=0,"",IF(A577="EXAMPLE","Example (skipped)",IF(OR(C577="",E577="",F577=""),"✖ Portal, User ID and Password are all needed",IF(AND(A577="",COUNTIF(Clients!$B$5:$B$1005,B577)=0),"Not on Clients — will match a portal client by name",IF(AND(C577="GST",D577&lt;&gt;"",COUNTIF(Clients!$AZ$5:$AZ$1005,UPPER(D577))=0,COUNTIF(Clients!$G$5:$G$1005,"*"&amp;UPPER(D577)&amp;"*")=0),"GSTIN not on Clients — will be checked in the portal","✔ OK")))))</f>
        <v/>
      </c>
    </row>
    <row r="578">
      <c r="A578" s="40" t="n"/>
      <c r="B578" s="41" t="n"/>
      <c r="C578" s="41" t="n"/>
      <c r="D578" s="40" t="n"/>
      <c r="E578" s="40" t="n"/>
      <c r="F578" s="40" t="n"/>
      <c r="G578" s="39">
        <f>IF(COUNTA(A578:F578)=0,"",IF(A578="EXAMPLE","Example (skipped)",IF(OR(C578="",E578="",F578=""),"✖ Portal, User ID and Password are all needed",IF(AND(A578="",COUNTIF(Clients!$B$5:$B$1005,B578)=0),"Not on Clients — will match a portal client by name",IF(AND(C578="GST",D578&lt;&gt;"",COUNTIF(Clients!$AZ$5:$AZ$1005,UPPER(D578))=0,COUNTIF(Clients!$G$5:$G$1005,"*"&amp;UPPER(D578)&amp;"*")=0),"GSTIN not on Clients — will be checked in the portal","✔ OK")))))</f>
        <v/>
      </c>
    </row>
    <row r="579">
      <c r="A579" s="40" t="n"/>
      <c r="B579" s="41" t="n"/>
      <c r="C579" s="41" t="n"/>
      <c r="D579" s="40" t="n"/>
      <c r="E579" s="40" t="n"/>
      <c r="F579" s="40" t="n"/>
      <c r="G579" s="39">
        <f>IF(COUNTA(A579:F579)=0,"",IF(A579="EXAMPLE","Example (skipped)",IF(OR(C579="",E579="",F579=""),"✖ Portal, User ID and Password are all needed",IF(AND(A579="",COUNTIF(Clients!$B$5:$B$1005,B579)=0),"Not on Clients — will match a portal client by name",IF(AND(C579="GST",D579&lt;&gt;"",COUNTIF(Clients!$AZ$5:$AZ$1005,UPPER(D579))=0,COUNTIF(Clients!$G$5:$G$1005,"*"&amp;UPPER(D579)&amp;"*")=0),"GSTIN not on Clients — will be checked in the portal","✔ OK")))))</f>
        <v/>
      </c>
    </row>
    <row r="580">
      <c r="A580" s="40" t="n"/>
      <c r="B580" s="41" t="n"/>
      <c r="C580" s="41" t="n"/>
      <c r="D580" s="40" t="n"/>
      <c r="E580" s="40" t="n"/>
      <c r="F580" s="40" t="n"/>
      <c r="G580" s="39">
        <f>IF(COUNTA(A580:F580)=0,"",IF(A580="EXAMPLE","Example (skipped)",IF(OR(C580="",E580="",F580=""),"✖ Portal, User ID and Password are all needed",IF(AND(A580="",COUNTIF(Clients!$B$5:$B$1005,B580)=0),"Not on Clients — will match a portal client by name",IF(AND(C580="GST",D580&lt;&gt;"",COUNTIF(Clients!$AZ$5:$AZ$1005,UPPER(D580))=0,COUNTIF(Clients!$G$5:$G$1005,"*"&amp;UPPER(D580)&amp;"*")=0),"GSTIN not on Clients — will be checked in the portal","✔ OK")))))</f>
        <v/>
      </c>
    </row>
    <row r="581">
      <c r="A581" s="40" t="n"/>
      <c r="B581" s="41" t="n"/>
      <c r="C581" s="41" t="n"/>
      <c r="D581" s="40" t="n"/>
      <c r="E581" s="40" t="n"/>
      <c r="F581" s="40" t="n"/>
      <c r="G581" s="39">
        <f>IF(COUNTA(A581:F581)=0,"",IF(A581="EXAMPLE","Example (skipped)",IF(OR(C581="",E581="",F581=""),"✖ Portal, User ID and Password are all needed",IF(AND(A581="",COUNTIF(Clients!$B$5:$B$1005,B581)=0),"Not on Clients — will match a portal client by name",IF(AND(C581="GST",D581&lt;&gt;"",COUNTIF(Clients!$AZ$5:$AZ$1005,UPPER(D581))=0,COUNTIF(Clients!$G$5:$G$1005,"*"&amp;UPPER(D581)&amp;"*")=0),"GSTIN not on Clients — will be checked in the portal","✔ OK")))))</f>
        <v/>
      </c>
    </row>
    <row r="582">
      <c r="A582" s="40" t="n"/>
      <c r="B582" s="41" t="n"/>
      <c r="C582" s="41" t="n"/>
      <c r="D582" s="40" t="n"/>
      <c r="E582" s="40" t="n"/>
      <c r="F582" s="40" t="n"/>
      <c r="G582" s="39">
        <f>IF(COUNTA(A582:F582)=0,"",IF(A582="EXAMPLE","Example (skipped)",IF(OR(C582="",E582="",F582=""),"✖ Portal, User ID and Password are all needed",IF(AND(A582="",COUNTIF(Clients!$B$5:$B$1005,B582)=0),"Not on Clients — will match a portal client by name",IF(AND(C582="GST",D582&lt;&gt;"",COUNTIF(Clients!$AZ$5:$AZ$1005,UPPER(D582))=0,COUNTIF(Clients!$G$5:$G$1005,"*"&amp;UPPER(D582)&amp;"*")=0),"GSTIN not on Clients — will be checked in the portal","✔ OK")))))</f>
        <v/>
      </c>
    </row>
    <row r="583">
      <c r="A583" s="40" t="n"/>
      <c r="B583" s="41" t="n"/>
      <c r="C583" s="41" t="n"/>
      <c r="D583" s="40" t="n"/>
      <c r="E583" s="40" t="n"/>
      <c r="F583" s="40" t="n"/>
      <c r="G583" s="39">
        <f>IF(COUNTA(A583:F583)=0,"",IF(A583="EXAMPLE","Example (skipped)",IF(OR(C583="",E583="",F583=""),"✖ Portal, User ID and Password are all needed",IF(AND(A583="",COUNTIF(Clients!$B$5:$B$1005,B583)=0),"Not on Clients — will match a portal client by name",IF(AND(C583="GST",D583&lt;&gt;"",COUNTIF(Clients!$AZ$5:$AZ$1005,UPPER(D583))=0,COUNTIF(Clients!$G$5:$G$1005,"*"&amp;UPPER(D583)&amp;"*")=0),"GSTIN not on Clients — will be checked in the portal","✔ OK")))))</f>
        <v/>
      </c>
    </row>
    <row r="584">
      <c r="A584" s="40" t="n"/>
      <c r="B584" s="41" t="n"/>
      <c r="C584" s="41" t="n"/>
      <c r="D584" s="40" t="n"/>
      <c r="E584" s="40" t="n"/>
      <c r="F584" s="40" t="n"/>
      <c r="G584" s="39">
        <f>IF(COUNTA(A584:F584)=0,"",IF(A584="EXAMPLE","Example (skipped)",IF(OR(C584="",E584="",F584=""),"✖ Portal, User ID and Password are all needed",IF(AND(A584="",COUNTIF(Clients!$B$5:$B$1005,B584)=0),"Not on Clients — will match a portal client by name",IF(AND(C584="GST",D584&lt;&gt;"",COUNTIF(Clients!$AZ$5:$AZ$1005,UPPER(D584))=0,COUNTIF(Clients!$G$5:$G$1005,"*"&amp;UPPER(D584)&amp;"*")=0),"GSTIN not on Clients — will be checked in the portal","✔ OK")))))</f>
        <v/>
      </c>
    </row>
    <row r="585">
      <c r="A585" s="40" t="n"/>
      <c r="B585" s="41" t="n"/>
      <c r="C585" s="41" t="n"/>
      <c r="D585" s="40" t="n"/>
      <c r="E585" s="40" t="n"/>
      <c r="F585" s="40" t="n"/>
      <c r="G585" s="39">
        <f>IF(COUNTA(A585:F585)=0,"",IF(A585="EXAMPLE","Example (skipped)",IF(OR(C585="",E585="",F585=""),"✖ Portal, User ID and Password are all needed",IF(AND(A585="",COUNTIF(Clients!$B$5:$B$1005,B585)=0),"Not on Clients — will match a portal client by name",IF(AND(C585="GST",D585&lt;&gt;"",COUNTIF(Clients!$AZ$5:$AZ$1005,UPPER(D585))=0,COUNTIF(Clients!$G$5:$G$1005,"*"&amp;UPPER(D585)&amp;"*")=0),"GSTIN not on Clients — will be checked in the portal","✔ OK")))))</f>
        <v/>
      </c>
    </row>
    <row r="586">
      <c r="A586" s="40" t="n"/>
      <c r="B586" s="41" t="n"/>
      <c r="C586" s="41" t="n"/>
      <c r="D586" s="40" t="n"/>
      <c r="E586" s="40" t="n"/>
      <c r="F586" s="40" t="n"/>
      <c r="G586" s="39">
        <f>IF(COUNTA(A586:F586)=0,"",IF(A586="EXAMPLE","Example (skipped)",IF(OR(C586="",E586="",F586=""),"✖ Portal, User ID and Password are all needed",IF(AND(A586="",COUNTIF(Clients!$B$5:$B$1005,B586)=0),"Not on Clients — will match a portal client by name",IF(AND(C586="GST",D586&lt;&gt;"",COUNTIF(Clients!$AZ$5:$AZ$1005,UPPER(D586))=0,COUNTIF(Clients!$G$5:$G$1005,"*"&amp;UPPER(D586)&amp;"*")=0),"GSTIN not on Clients — will be checked in the portal","✔ OK")))))</f>
        <v/>
      </c>
    </row>
    <row r="587">
      <c r="A587" s="40" t="n"/>
      <c r="B587" s="41" t="n"/>
      <c r="C587" s="41" t="n"/>
      <c r="D587" s="40" t="n"/>
      <c r="E587" s="40" t="n"/>
      <c r="F587" s="40" t="n"/>
      <c r="G587" s="39">
        <f>IF(COUNTA(A587:F587)=0,"",IF(A587="EXAMPLE","Example (skipped)",IF(OR(C587="",E587="",F587=""),"✖ Portal, User ID and Password are all needed",IF(AND(A587="",COUNTIF(Clients!$B$5:$B$1005,B587)=0),"Not on Clients — will match a portal client by name",IF(AND(C587="GST",D587&lt;&gt;"",COUNTIF(Clients!$AZ$5:$AZ$1005,UPPER(D587))=0,COUNTIF(Clients!$G$5:$G$1005,"*"&amp;UPPER(D587)&amp;"*")=0),"GSTIN not on Clients — will be checked in the portal","✔ OK")))))</f>
        <v/>
      </c>
    </row>
    <row r="588">
      <c r="A588" s="40" t="n"/>
      <c r="B588" s="41" t="n"/>
      <c r="C588" s="41" t="n"/>
      <c r="D588" s="40" t="n"/>
      <c r="E588" s="40" t="n"/>
      <c r="F588" s="40" t="n"/>
      <c r="G588" s="39">
        <f>IF(COUNTA(A588:F588)=0,"",IF(A588="EXAMPLE","Example (skipped)",IF(OR(C588="",E588="",F588=""),"✖ Portal, User ID and Password are all needed",IF(AND(A588="",COUNTIF(Clients!$B$5:$B$1005,B588)=0),"Not on Clients — will match a portal client by name",IF(AND(C588="GST",D588&lt;&gt;"",COUNTIF(Clients!$AZ$5:$AZ$1005,UPPER(D588))=0,COUNTIF(Clients!$G$5:$G$1005,"*"&amp;UPPER(D588)&amp;"*")=0),"GSTIN not on Clients — will be checked in the portal","✔ OK")))))</f>
        <v/>
      </c>
    </row>
    <row r="589">
      <c r="A589" s="40" t="n"/>
      <c r="B589" s="41" t="n"/>
      <c r="C589" s="41" t="n"/>
      <c r="D589" s="40" t="n"/>
      <c r="E589" s="40" t="n"/>
      <c r="F589" s="40" t="n"/>
      <c r="G589" s="39">
        <f>IF(COUNTA(A589:F589)=0,"",IF(A589="EXAMPLE","Example (skipped)",IF(OR(C589="",E589="",F589=""),"✖ Portal, User ID and Password are all needed",IF(AND(A589="",COUNTIF(Clients!$B$5:$B$1005,B589)=0),"Not on Clients — will match a portal client by name",IF(AND(C589="GST",D589&lt;&gt;"",COUNTIF(Clients!$AZ$5:$AZ$1005,UPPER(D589))=0,COUNTIF(Clients!$G$5:$G$1005,"*"&amp;UPPER(D589)&amp;"*")=0),"GSTIN not on Clients — will be checked in the portal","✔ OK")))))</f>
        <v/>
      </c>
    </row>
    <row r="590">
      <c r="A590" s="40" t="n"/>
      <c r="B590" s="41" t="n"/>
      <c r="C590" s="41" t="n"/>
      <c r="D590" s="40" t="n"/>
      <c r="E590" s="40" t="n"/>
      <c r="F590" s="40" t="n"/>
      <c r="G590" s="39">
        <f>IF(COUNTA(A590:F590)=0,"",IF(A590="EXAMPLE","Example (skipped)",IF(OR(C590="",E590="",F590=""),"✖ Portal, User ID and Password are all needed",IF(AND(A590="",COUNTIF(Clients!$B$5:$B$1005,B590)=0),"Not on Clients — will match a portal client by name",IF(AND(C590="GST",D590&lt;&gt;"",COUNTIF(Clients!$AZ$5:$AZ$1005,UPPER(D590))=0,COUNTIF(Clients!$G$5:$G$1005,"*"&amp;UPPER(D590)&amp;"*")=0),"GSTIN not on Clients — will be checked in the portal","✔ OK")))))</f>
        <v/>
      </c>
    </row>
    <row r="591">
      <c r="A591" s="40" t="n"/>
      <c r="B591" s="41" t="n"/>
      <c r="C591" s="41" t="n"/>
      <c r="D591" s="40" t="n"/>
      <c r="E591" s="40" t="n"/>
      <c r="F591" s="40" t="n"/>
      <c r="G591" s="39">
        <f>IF(COUNTA(A591:F591)=0,"",IF(A591="EXAMPLE","Example (skipped)",IF(OR(C591="",E591="",F591=""),"✖ Portal, User ID and Password are all needed",IF(AND(A591="",COUNTIF(Clients!$B$5:$B$1005,B591)=0),"Not on Clients — will match a portal client by name",IF(AND(C591="GST",D591&lt;&gt;"",COUNTIF(Clients!$AZ$5:$AZ$1005,UPPER(D591))=0,COUNTIF(Clients!$G$5:$G$1005,"*"&amp;UPPER(D591)&amp;"*")=0),"GSTIN not on Clients — will be checked in the portal","✔ OK")))))</f>
        <v/>
      </c>
    </row>
    <row r="592">
      <c r="A592" s="40" t="n"/>
      <c r="B592" s="41" t="n"/>
      <c r="C592" s="41" t="n"/>
      <c r="D592" s="40" t="n"/>
      <c r="E592" s="40" t="n"/>
      <c r="F592" s="40" t="n"/>
      <c r="G592" s="39">
        <f>IF(COUNTA(A592:F592)=0,"",IF(A592="EXAMPLE","Example (skipped)",IF(OR(C592="",E592="",F592=""),"✖ Portal, User ID and Password are all needed",IF(AND(A592="",COUNTIF(Clients!$B$5:$B$1005,B592)=0),"Not on Clients — will match a portal client by name",IF(AND(C592="GST",D592&lt;&gt;"",COUNTIF(Clients!$AZ$5:$AZ$1005,UPPER(D592))=0,COUNTIF(Clients!$G$5:$G$1005,"*"&amp;UPPER(D592)&amp;"*")=0),"GSTIN not on Clients — will be checked in the portal","✔ OK")))))</f>
        <v/>
      </c>
    </row>
    <row r="593">
      <c r="A593" s="40" t="n"/>
      <c r="B593" s="41" t="n"/>
      <c r="C593" s="41" t="n"/>
      <c r="D593" s="40" t="n"/>
      <c r="E593" s="40" t="n"/>
      <c r="F593" s="40" t="n"/>
      <c r="G593" s="39">
        <f>IF(COUNTA(A593:F593)=0,"",IF(A593="EXAMPLE","Example (skipped)",IF(OR(C593="",E593="",F593=""),"✖ Portal, User ID and Password are all needed",IF(AND(A593="",COUNTIF(Clients!$B$5:$B$1005,B593)=0),"Not on Clients — will match a portal client by name",IF(AND(C593="GST",D593&lt;&gt;"",COUNTIF(Clients!$AZ$5:$AZ$1005,UPPER(D593))=0,COUNTIF(Clients!$G$5:$G$1005,"*"&amp;UPPER(D593)&amp;"*")=0),"GSTIN not on Clients — will be checked in the portal","✔ OK")))))</f>
        <v/>
      </c>
    </row>
    <row r="594">
      <c r="A594" s="40" t="n"/>
      <c r="B594" s="41" t="n"/>
      <c r="C594" s="41" t="n"/>
      <c r="D594" s="40" t="n"/>
      <c r="E594" s="40" t="n"/>
      <c r="F594" s="40" t="n"/>
      <c r="G594" s="39">
        <f>IF(COUNTA(A594:F594)=0,"",IF(A594="EXAMPLE","Example (skipped)",IF(OR(C594="",E594="",F594=""),"✖ Portal, User ID and Password are all needed",IF(AND(A594="",COUNTIF(Clients!$B$5:$B$1005,B594)=0),"Not on Clients — will match a portal client by name",IF(AND(C594="GST",D594&lt;&gt;"",COUNTIF(Clients!$AZ$5:$AZ$1005,UPPER(D594))=0,COUNTIF(Clients!$G$5:$G$1005,"*"&amp;UPPER(D594)&amp;"*")=0),"GSTIN not on Clients — will be checked in the portal","✔ OK")))))</f>
        <v/>
      </c>
    </row>
    <row r="595">
      <c r="A595" s="40" t="n"/>
      <c r="B595" s="41" t="n"/>
      <c r="C595" s="41" t="n"/>
      <c r="D595" s="40" t="n"/>
      <c r="E595" s="40" t="n"/>
      <c r="F595" s="40" t="n"/>
      <c r="G595" s="39">
        <f>IF(COUNTA(A595:F595)=0,"",IF(A595="EXAMPLE","Example (skipped)",IF(OR(C595="",E595="",F595=""),"✖ Portal, User ID and Password are all needed",IF(AND(A595="",COUNTIF(Clients!$B$5:$B$1005,B595)=0),"Not on Clients — will match a portal client by name",IF(AND(C595="GST",D595&lt;&gt;"",COUNTIF(Clients!$AZ$5:$AZ$1005,UPPER(D595))=0,COUNTIF(Clients!$G$5:$G$1005,"*"&amp;UPPER(D595)&amp;"*")=0),"GSTIN not on Clients — will be checked in the portal","✔ OK")))))</f>
        <v/>
      </c>
    </row>
    <row r="596">
      <c r="A596" s="40" t="n"/>
      <c r="B596" s="41" t="n"/>
      <c r="C596" s="41" t="n"/>
      <c r="D596" s="40" t="n"/>
      <c r="E596" s="40" t="n"/>
      <c r="F596" s="40" t="n"/>
      <c r="G596" s="39">
        <f>IF(COUNTA(A596:F596)=0,"",IF(A596="EXAMPLE","Example (skipped)",IF(OR(C596="",E596="",F596=""),"✖ Portal, User ID and Password are all needed",IF(AND(A596="",COUNTIF(Clients!$B$5:$B$1005,B596)=0),"Not on Clients — will match a portal client by name",IF(AND(C596="GST",D596&lt;&gt;"",COUNTIF(Clients!$AZ$5:$AZ$1005,UPPER(D596))=0,COUNTIF(Clients!$G$5:$G$1005,"*"&amp;UPPER(D596)&amp;"*")=0),"GSTIN not on Clients — will be checked in the portal","✔ OK")))))</f>
        <v/>
      </c>
    </row>
    <row r="597">
      <c r="A597" s="40" t="n"/>
      <c r="B597" s="41" t="n"/>
      <c r="C597" s="41" t="n"/>
      <c r="D597" s="40" t="n"/>
      <c r="E597" s="40" t="n"/>
      <c r="F597" s="40" t="n"/>
      <c r="G597" s="39">
        <f>IF(COUNTA(A597:F597)=0,"",IF(A597="EXAMPLE","Example (skipped)",IF(OR(C597="",E597="",F597=""),"✖ Portal, User ID and Password are all needed",IF(AND(A597="",COUNTIF(Clients!$B$5:$B$1005,B597)=0),"Not on Clients — will match a portal client by name",IF(AND(C597="GST",D597&lt;&gt;"",COUNTIF(Clients!$AZ$5:$AZ$1005,UPPER(D597))=0,COUNTIF(Clients!$G$5:$G$1005,"*"&amp;UPPER(D597)&amp;"*")=0),"GSTIN not on Clients — will be checked in the portal","✔ OK")))))</f>
        <v/>
      </c>
    </row>
    <row r="598">
      <c r="A598" s="40" t="n"/>
      <c r="B598" s="41" t="n"/>
      <c r="C598" s="41" t="n"/>
      <c r="D598" s="40" t="n"/>
      <c r="E598" s="40" t="n"/>
      <c r="F598" s="40" t="n"/>
      <c r="G598" s="39">
        <f>IF(COUNTA(A598:F598)=0,"",IF(A598="EXAMPLE","Example (skipped)",IF(OR(C598="",E598="",F598=""),"✖ Portal, User ID and Password are all needed",IF(AND(A598="",COUNTIF(Clients!$B$5:$B$1005,B598)=0),"Not on Clients — will match a portal client by name",IF(AND(C598="GST",D598&lt;&gt;"",COUNTIF(Clients!$AZ$5:$AZ$1005,UPPER(D598))=0,COUNTIF(Clients!$G$5:$G$1005,"*"&amp;UPPER(D598)&amp;"*")=0),"GSTIN not on Clients — will be checked in the portal","✔ OK")))))</f>
        <v/>
      </c>
    </row>
    <row r="599">
      <c r="A599" s="40" t="n"/>
      <c r="B599" s="41" t="n"/>
      <c r="C599" s="41" t="n"/>
      <c r="D599" s="40" t="n"/>
      <c r="E599" s="40" t="n"/>
      <c r="F599" s="40" t="n"/>
      <c r="G599" s="39">
        <f>IF(COUNTA(A599:F599)=0,"",IF(A599="EXAMPLE","Example (skipped)",IF(OR(C599="",E599="",F599=""),"✖ Portal, User ID and Password are all needed",IF(AND(A599="",COUNTIF(Clients!$B$5:$B$1005,B599)=0),"Not on Clients — will match a portal client by name",IF(AND(C599="GST",D599&lt;&gt;"",COUNTIF(Clients!$AZ$5:$AZ$1005,UPPER(D599))=0,COUNTIF(Clients!$G$5:$G$1005,"*"&amp;UPPER(D599)&amp;"*")=0),"GSTIN not on Clients — will be checked in the portal","✔ OK")))))</f>
        <v/>
      </c>
    </row>
    <row r="600">
      <c r="A600" s="40" t="n"/>
      <c r="B600" s="41" t="n"/>
      <c r="C600" s="41" t="n"/>
      <c r="D600" s="40" t="n"/>
      <c r="E600" s="40" t="n"/>
      <c r="F600" s="40" t="n"/>
      <c r="G600" s="39">
        <f>IF(COUNTA(A600:F600)=0,"",IF(A600="EXAMPLE","Example (skipped)",IF(OR(C600="",E600="",F600=""),"✖ Portal, User ID and Password are all needed",IF(AND(A600="",COUNTIF(Clients!$B$5:$B$1005,B600)=0),"Not on Clients — will match a portal client by name",IF(AND(C600="GST",D600&lt;&gt;"",COUNTIF(Clients!$AZ$5:$AZ$1005,UPPER(D600))=0,COUNTIF(Clients!$G$5:$G$1005,"*"&amp;UPPER(D600)&amp;"*")=0),"GSTIN not on Clients — will be checked in the portal","✔ OK")))))</f>
        <v/>
      </c>
    </row>
    <row r="601">
      <c r="A601" s="40" t="n"/>
      <c r="B601" s="41" t="n"/>
      <c r="C601" s="41" t="n"/>
      <c r="D601" s="40" t="n"/>
      <c r="E601" s="40" t="n"/>
      <c r="F601" s="40" t="n"/>
      <c r="G601" s="39">
        <f>IF(COUNTA(A601:F601)=0,"",IF(A601="EXAMPLE","Example (skipped)",IF(OR(C601="",E601="",F601=""),"✖ Portal, User ID and Password are all needed",IF(AND(A601="",COUNTIF(Clients!$B$5:$B$1005,B601)=0),"Not on Clients — will match a portal client by name",IF(AND(C601="GST",D601&lt;&gt;"",COUNTIF(Clients!$AZ$5:$AZ$1005,UPPER(D601))=0,COUNTIF(Clients!$G$5:$G$1005,"*"&amp;UPPER(D601)&amp;"*")=0),"GSTIN not on Clients — will be checked in the portal","✔ OK")))))</f>
        <v/>
      </c>
    </row>
    <row r="602">
      <c r="A602" s="40" t="n"/>
      <c r="B602" s="41" t="n"/>
      <c r="C602" s="41" t="n"/>
      <c r="D602" s="40" t="n"/>
      <c r="E602" s="40" t="n"/>
      <c r="F602" s="40" t="n"/>
      <c r="G602" s="39">
        <f>IF(COUNTA(A602:F602)=0,"",IF(A602="EXAMPLE","Example (skipped)",IF(OR(C602="",E602="",F602=""),"✖ Portal, User ID and Password are all needed",IF(AND(A602="",COUNTIF(Clients!$B$5:$B$1005,B602)=0),"Not on Clients — will match a portal client by name",IF(AND(C602="GST",D602&lt;&gt;"",COUNTIF(Clients!$AZ$5:$AZ$1005,UPPER(D602))=0,COUNTIF(Clients!$G$5:$G$1005,"*"&amp;UPPER(D602)&amp;"*")=0),"GSTIN not on Clients — will be checked in the portal","✔ OK")))))</f>
        <v/>
      </c>
    </row>
    <row r="603">
      <c r="A603" s="40" t="n"/>
      <c r="B603" s="41" t="n"/>
      <c r="C603" s="41" t="n"/>
      <c r="D603" s="40" t="n"/>
      <c r="E603" s="40" t="n"/>
      <c r="F603" s="40" t="n"/>
      <c r="G603" s="39">
        <f>IF(COUNTA(A603:F603)=0,"",IF(A603="EXAMPLE","Example (skipped)",IF(OR(C603="",E603="",F603=""),"✖ Portal, User ID and Password are all needed",IF(AND(A603="",COUNTIF(Clients!$B$5:$B$1005,B603)=0),"Not on Clients — will match a portal client by name",IF(AND(C603="GST",D603&lt;&gt;"",COUNTIF(Clients!$AZ$5:$AZ$1005,UPPER(D603))=0,COUNTIF(Clients!$G$5:$G$1005,"*"&amp;UPPER(D603)&amp;"*")=0),"GSTIN not on Clients — will be checked in the portal","✔ OK")))))</f>
        <v/>
      </c>
    </row>
    <row r="604">
      <c r="A604" s="40" t="n"/>
      <c r="B604" s="41" t="n"/>
      <c r="C604" s="41" t="n"/>
      <c r="D604" s="40" t="n"/>
      <c r="E604" s="40" t="n"/>
      <c r="F604" s="40" t="n"/>
      <c r="G604" s="39">
        <f>IF(COUNTA(A604:F604)=0,"",IF(A604="EXAMPLE","Example (skipped)",IF(OR(C604="",E604="",F604=""),"✖ Portal, User ID and Password are all needed",IF(AND(A604="",COUNTIF(Clients!$B$5:$B$1005,B604)=0),"Not on Clients — will match a portal client by name",IF(AND(C604="GST",D604&lt;&gt;"",COUNTIF(Clients!$AZ$5:$AZ$1005,UPPER(D604))=0,COUNTIF(Clients!$G$5:$G$1005,"*"&amp;UPPER(D604)&amp;"*")=0),"GSTIN not on Clients — will be checked in the portal","✔ OK")))))</f>
        <v/>
      </c>
    </row>
    <row r="605">
      <c r="A605" s="40" t="n"/>
      <c r="B605" s="41" t="n"/>
      <c r="C605" s="41" t="n"/>
      <c r="D605" s="40" t="n"/>
      <c r="E605" s="40" t="n"/>
      <c r="F605" s="40" t="n"/>
      <c r="G605" s="39">
        <f>IF(COUNTA(A605:F605)=0,"",IF(A605="EXAMPLE","Example (skipped)",IF(OR(C605="",E605="",F605=""),"✖ Portal, User ID and Password are all needed",IF(AND(A605="",COUNTIF(Clients!$B$5:$B$1005,B605)=0),"Not on Clients — will match a portal client by name",IF(AND(C605="GST",D605&lt;&gt;"",COUNTIF(Clients!$AZ$5:$AZ$1005,UPPER(D605))=0,COUNTIF(Clients!$G$5:$G$1005,"*"&amp;UPPER(D605)&amp;"*")=0),"GSTIN not on Clients — will be checked in the portal","✔ OK")))))</f>
        <v/>
      </c>
    </row>
    <row r="606">
      <c r="A606" s="40" t="n"/>
      <c r="B606" s="41" t="n"/>
      <c r="C606" s="41" t="n"/>
      <c r="D606" s="40" t="n"/>
      <c r="E606" s="40" t="n"/>
      <c r="F606" s="40" t="n"/>
      <c r="G606" s="39">
        <f>IF(COUNTA(A606:F606)=0,"",IF(A606="EXAMPLE","Example (skipped)",IF(OR(C606="",E606="",F606=""),"✖ Portal, User ID and Password are all needed",IF(AND(A606="",COUNTIF(Clients!$B$5:$B$1005,B606)=0),"Not on Clients — will match a portal client by name",IF(AND(C606="GST",D606&lt;&gt;"",COUNTIF(Clients!$AZ$5:$AZ$1005,UPPER(D606))=0,COUNTIF(Clients!$G$5:$G$1005,"*"&amp;UPPER(D606)&amp;"*")=0),"GSTIN not on Clients — will be checked in the portal","✔ OK")))))</f>
        <v/>
      </c>
    </row>
    <row r="607">
      <c r="A607" s="40" t="n"/>
      <c r="B607" s="41" t="n"/>
      <c r="C607" s="41" t="n"/>
      <c r="D607" s="40" t="n"/>
      <c r="E607" s="40" t="n"/>
      <c r="F607" s="40" t="n"/>
      <c r="G607" s="39">
        <f>IF(COUNTA(A607:F607)=0,"",IF(A607="EXAMPLE","Example (skipped)",IF(OR(C607="",E607="",F607=""),"✖ Portal, User ID and Password are all needed",IF(AND(A607="",COUNTIF(Clients!$B$5:$B$1005,B607)=0),"Not on Clients — will match a portal client by name",IF(AND(C607="GST",D607&lt;&gt;"",COUNTIF(Clients!$AZ$5:$AZ$1005,UPPER(D607))=0,COUNTIF(Clients!$G$5:$G$1005,"*"&amp;UPPER(D607)&amp;"*")=0),"GSTIN not on Clients — will be checked in the portal","✔ OK")))))</f>
        <v/>
      </c>
    </row>
    <row r="608">
      <c r="A608" s="40" t="n"/>
      <c r="B608" s="41" t="n"/>
      <c r="C608" s="41" t="n"/>
      <c r="D608" s="40" t="n"/>
      <c r="E608" s="40" t="n"/>
      <c r="F608" s="40" t="n"/>
      <c r="G608" s="39">
        <f>IF(COUNTA(A608:F608)=0,"",IF(A608="EXAMPLE","Example (skipped)",IF(OR(C608="",E608="",F608=""),"✖ Portal, User ID and Password are all needed",IF(AND(A608="",COUNTIF(Clients!$B$5:$B$1005,B608)=0),"Not on Clients — will match a portal client by name",IF(AND(C608="GST",D608&lt;&gt;"",COUNTIF(Clients!$AZ$5:$AZ$1005,UPPER(D608))=0,COUNTIF(Clients!$G$5:$G$1005,"*"&amp;UPPER(D608)&amp;"*")=0),"GSTIN not on Clients — will be checked in the portal","✔ OK")))))</f>
        <v/>
      </c>
    </row>
    <row r="609">
      <c r="A609" s="40" t="n"/>
      <c r="B609" s="41" t="n"/>
      <c r="C609" s="41" t="n"/>
      <c r="D609" s="40" t="n"/>
      <c r="E609" s="40" t="n"/>
      <c r="F609" s="40" t="n"/>
      <c r="G609" s="39">
        <f>IF(COUNTA(A609:F609)=0,"",IF(A609="EXAMPLE","Example (skipped)",IF(OR(C609="",E609="",F609=""),"✖ Portal, User ID and Password are all needed",IF(AND(A609="",COUNTIF(Clients!$B$5:$B$1005,B609)=0),"Not on Clients — will match a portal client by name",IF(AND(C609="GST",D609&lt;&gt;"",COUNTIF(Clients!$AZ$5:$AZ$1005,UPPER(D609))=0,COUNTIF(Clients!$G$5:$G$1005,"*"&amp;UPPER(D609)&amp;"*")=0),"GSTIN not on Clients — will be checked in the portal","✔ OK")))))</f>
        <v/>
      </c>
    </row>
    <row r="610">
      <c r="A610" s="40" t="n"/>
      <c r="B610" s="41" t="n"/>
      <c r="C610" s="41" t="n"/>
      <c r="D610" s="40" t="n"/>
      <c r="E610" s="40" t="n"/>
      <c r="F610" s="40" t="n"/>
      <c r="G610" s="39">
        <f>IF(COUNTA(A610:F610)=0,"",IF(A610="EXAMPLE","Example (skipped)",IF(OR(C610="",E610="",F610=""),"✖ Portal, User ID and Password are all needed",IF(AND(A610="",COUNTIF(Clients!$B$5:$B$1005,B610)=0),"Not on Clients — will match a portal client by name",IF(AND(C610="GST",D610&lt;&gt;"",COUNTIF(Clients!$AZ$5:$AZ$1005,UPPER(D610))=0,COUNTIF(Clients!$G$5:$G$1005,"*"&amp;UPPER(D610)&amp;"*")=0),"GSTIN not on Clients — will be checked in the portal","✔ OK")))))</f>
        <v/>
      </c>
    </row>
    <row r="611">
      <c r="A611" s="40" t="n"/>
      <c r="B611" s="41" t="n"/>
      <c r="C611" s="41" t="n"/>
      <c r="D611" s="40" t="n"/>
      <c r="E611" s="40" t="n"/>
      <c r="F611" s="40" t="n"/>
      <c r="G611" s="39">
        <f>IF(COUNTA(A611:F611)=0,"",IF(A611="EXAMPLE","Example (skipped)",IF(OR(C611="",E611="",F611=""),"✖ Portal, User ID and Password are all needed",IF(AND(A611="",COUNTIF(Clients!$B$5:$B$1005,B611)=0),"Not on Clients — will match a portal client by name",IF(AND(C611="GST",D611&lt;&gt;"",COUNTIF(Clients!$AZ$5:$AZ$1005,UPPER(D611))=0,COUNTIF(Clients!$G$5:$G$1005,"*"&amp;UPPER(D611)&amp;"*")=0),"GSTIN not on Clients — will be checked in the portal","✔ OK")))))</f>
        <v/>
      </c>
    </row>
    <row r="612">
      <c r="A612" s="40" t="n"/>
      <c r="B612" s="41" t="n"/>
      <c r="C612" s="41" t="n"/>
      <c r="D612" s="40" t="n"/>
      <c r="E612" s="40" t="n"/>
      <c r="F612" s="40" t="n"/>
      <c r="G612" s="39">
        <f>IF(COUNTA(A612:F612)=0,"",IF(A612="EXAMPLE","Example (skipped)",IF(OR(C612="",E612="",F612=""),"✖ Portal, User ID and Password are all needed",IF(AND(A612="",COUNTIF(Clients!$B$5:$B$1005,B612)=0),"Not on Clients — will match a portal client by name",IF(AND(C612="GST",D612&lt;&gt;"",COUNTIF(Clients!$AZ$5:$AZ$1005,UPPER(D612))=0,COUNTIF(Clients!$G$5:$G$1005,"*"&amp;UPPER(D612)&amp;"*")=0),"GSTIN not on Clients — will be checked in the portal","✔ OK")))))</f>
        <v/>
      </c>
    </row>
    <row r="613">
      <c r="A613" s="40" t="n"/>
      <c r="B613" s="41" t="n"/>
      <c r="C613" s="41" t="n"/>
      <c r="D613" s="40" t="n"/>
      <c r="E613" s="40" t="n"/>
      <c r="F613" s="40" t="n"/>
      <c r="G613" s="39">
        <f>IF(COUNTA(A613:F613)=0,"",IF(A613="EXAMPLE","Example (skipped)",IF(OR(C613="",E613="",F613=""),"✖ Portal, User ID and Password are all needed",IF(AND(A613="",COUNTIF(Clients!$B$5:$B$1005,B613)=0),"Not on Clients — will match a portal client by name",IF(AND(C613="GST",D613&lt;&gt;"",COUNTIF(Clients!$AZ$5:$AZ$1005,UPPER(D613))=0,COUNTIF(Clients!$G$5:$G$1005,"*"&amp;UPPER(D613)&amp;"*")=0),"GSTIN not on Clients — will be checked in the portal","✔ OK")))))</f>
        <v/>
      </c>
    </row>
    <row r="614">
      <c r="A614" s="40" t="n"/>
      <c r="B614" s="41" t="n"/>
      <c r="C614" s="41" t="n"/>
      <c r="D614" s="40" t="n"/>
      <c r="E614" s="40" t="n"/>
      <c r="F614" s="40" t="n"/>
      <c r="G614" s="39">
        <f>IF(COUNTA(A614:F614)=0,"",IF(A614="EXAMPLE","Example (skipped)",IF(OR(C614="",E614="",F614=""),"✖ Portal, User ID and Password are all needed",IF(AND(A614="",COUNTIF(Clients!$B$5:$B$1005,B614)=0),"Not on Clients — will match a portal client by name",IF(AND(C614="GST",D614&lt;&gt;"",COUNTIF(Clients!$AZ$5:$AZ$1005,UPPER(D614))=0,COUNTIF(Clients!$G$5:$G$1005,"*"&amp;UPPER(D614)&amp;"*")=0),"GSTIN not on Clients — will be checked in the portal","✔ OK")))))</f>
        <v/>
      </c>
    </row>
    <row r="615">
      <c r="A615" s="40" t="n"/>
      <c r="B615" s="41" t="n"/>
      <c r="C615" s="41" t="n"/>
      <c r="D615" s="40" t="n"/>
      <c r="E615" s="40" t="n"/>
      <c r="F615" s="40" t="n"/>
      <c r="G615" s="39">
        <f>IF(COUNTA(A615:F615)=0,"",IF(A615="EXAMPLE","Example (skipped)",IF(OR(C615="",E615="",F615=""),"✖ Portal, User ID and Password are all needed",IF(AND(A615="",COUNTIF(Clients!$B$5:$B$1005,B615)=0),"Not on Clients — will match a portal client by name",IF(AND(C615="GST",D615&lt;&gt;"",COUNTIF(Clients!$AZ$5:$AZ$1005,UPPER(D615))=0,COUNTIF(Clients!$G$5:$G$1005,"*"&amp;UPPER(D615)&amp;"*")=0),"GSTIN not on Clients — will be checked in the portal","✔ OK")))))</f>
        <v/>
      </c>
    </row>
    <row r="616">
      <c r="A616" s="40" t="n"/>
      <c r="B616" s="41" t="n"/>
      <c r="C616" s="41" t="n"/>
      <c r="D616" s="40" t="n"/>
      <c r="E616" s="40" t="n"/>
      <c r="F616" s="40" t="n"/>
      <c r="G616" s="39">
        <f>IF(COUNTA(A616:F616)=0,"",IF(A616="EXAMPLE","Example (skipped)",IF(OR(C616="",E616="",F616=""),"✖ Portal, User ID and Password are all needed",IF(AND(A616="",COUNTIF(Clients!$B$5:$B$1005,B616)=0),"Not on Clients — will match a portal client by name",IF(AND(C616="GST",D616&lt;&gt;"",COUNTIF(Clients!$AZ$5:$AZ$1005,UPPER(D616))=0,COUNTIF(Clients!$G$5:$G$1005,"*"&amp;UPPER(D616)&amp;"*")=0),"GSTIN not on Clients — will be checked in the portal","✔ OK")))))</f>
        <v/>
      </c>
    </row>
    <row r="617">
      <c r="A617" s="40" t="n"/>
      <c r="B617" s="41" t="n"/>
      <c r="C617" s="41" t="n"/>
      <c r="D617" s="40" t="n"/>
      <c r="E617" s="40" t="n"/>
      <c r="F617" s="40" t="n"/>
      <c r="G617" s="39">
        <f>IF(COUNTA(A617:F617)=0,"",IF(A617="EXAMPLE","Example (skipped)",IF(OR(C617="",E617="",F617=""),"✖ Portal, User ID and Password are all needed",IF(AND(A617="",COUNTIF(Clients!$B$5:$B$1005,B617)=0),"Not on Clients — will match a portal client by name",IF(AND(C617="GST",D617&lt;&gt;"",COUNTIF(Clients!$AZ$5:$AZ$1005,UPPER(D617))=0,COUNTIF(Clients!$G$5:$G$1005,"*"&amp;UPPER(D617)&amp;"*")=0),"GSTIN not on Clients — will be checked in the portal","✔ OK")))))</f>
        <v/>
      </c>
    </row>
    <row r="618">
      <c r="A618" s="40" t="n"/>
      <c r="B618" s="41" t="n"/>
      <c r="C618" s="41" t="n"/>
      <c r="D618" s="40" t="n"/>
      <c r="E618" s="40" t="n"/>
      <c r="F618" s="40" t="n"/>
      <c r="G618" s="39">
        <f>IF(COUNTA(A618:F618)=0,"",IF(A618="EXAMPLE","Example (skipped)",IF(OR(C618="",E618="",F618=""),"✖ Portal, User ID and Password are all needed",IF(AND(A618="",COUNTIF(Clients!$B$5:$B$1005,B618)=0),"Not on Clients — will match a portal client by name",IF(AND(C618="GST",D618&lt;&gt;"",COUNTIF(Clients!$AZ$5:$AZ$1005,UPPER(D618))=0,COUNTIF(Clients!$G$5:$G$1005,"*"&amp;UPPER(D618)&amp;"*")=0),"GSTIN not on Clients — will be checked in the portal","✔ OK")))))</f>
        <v/>
      </c>
    </row>
    <row r="619">
      <c r="A619" s="40" t="n"/>
      <c r="B619" s="41" t="n"/>
      <c r="C619" s="41" t="n"/>
      <c r="D619" s="40" t="n"/>
      <c r="E619" s="40" t="n"/>
      <c r="F619" s="40" t="n"/>
      <c r="G619" s="39">
        <f>IF(COUNTA(A619:F619)=0,"",IF(A619="EXAMPLE","Example (skipped)",IF(OR(C619="",E619="",F619=""),"✖ Portal, User ID and Password are all needed",IF(AND(A619="",COUNTIF(Clients!$B$5:$B$1005,B619)=0),"Not on Clients — will match a portal client by name",IF(AND(C619="GST",D619&lt;&gt;"",COUNTIF(Clients!$AZ$5:$AZ$1005,UPPER(D619))=0,COUNTIF(Clients!$G$5:$G$1005,"*"&amp;UPPER(D619)&amp;"*")=0),"GSTIN not on Clients — will be checked in the portal","✔ OK")))))</f>
        <v/>
      </c>
    </row>
    <row r="620">
      <c r="A620" s="40" t="n"/>
      <c r="B620" s="41" t="n"/>
      <c r="C620" s="41" t="n"/>
      <c r="D620" s="40" t="n"/>
      <c r="E620" s="40" t="n"/>
      <c r="F620" s="40" t="n"/>
      <c r="G620" s="39">
        <f>IF(COUNTA(A620:F620)=0,"",IF(A620="EXAMPLE","Example (skipped)",IF(OR(C620="",E620="",F620=""),"✖ Portal, User ID and Password are all needed",IF(AND(A620="",COUNTIF(Clients!$B$5:$B$1005,B620)=0),"Not on Clients — will match a portal client by name",IF(AND(C620="GST",D620&lt;&gt;"",COUNTIF(Clients!$AZ$5:$AZ$1005,UPPER(D620))=0,COUNTIF(Clients!$G$5:$G$1005,"*"&amp;UPPER(D620)&amp;"*")=0),"GSTIN not on Clients — will be checked in the portal","✔ OK")))))</f>
        <v/>
      </c>
    </row>
    <row r="621">
      <c r="A621" s="40" t="n"/>
      <c r="B621" s="41" t="n"/>
      <c r="C621" s="41" t="n"/>
      <c r="D621" s="40" t="n"/>
      <c r="E621" s="40" t="n"/>
      <c r="F621" s="40" t="n"/>
      <c r="G621" s="39">
        <f>IF(COUNTA(A621:F621)=0,"",IF(A621="EXAMPLE","Example (skipped)",IF(OR(C621="",E621="",F621=""),"✖ Portal, User ID and Password are all needed",IF(AND(A621="",COUNTIF(Clients!$B$5:$B$1005,B621)=0),"Not on Clients — will match a portal client by name",IF(AND(C621="GST",D621&lt;&gt;"",COUNTIF(Clients!$AZ$5:$AZ$1005,UPPER(D621))=0,COUNTIF(Clients!$G$5:$G$1005,"*"&amp;UPPER(D621)&amp;"*")=0),"GSTIN not on Clients — will be checked in the portal","✔ OK")))))</f>
        <v/>
      </c>
    </row>
    <row r="622">
      <c r="A622" s="40" t="n"/>
      <c r="B622" s="41" t="n"/>
      <c r="C622" s="41" t="n"/>
      <c r="D622" s="40" t="n"/>
      <c r="E622" s="40" t="n"/>
      <c r="F622" s="40" t="n"/>
      <c r="G622" s="39">
        <f>IF(COUNTA(A622:F622)=0,"",IF(A622="EXAMPLE","Example (skipped)",IF(OR(C622="",E622="",F622=""),"✖ Portal, User ID and Password are all needed",IF(AND(A622="",COUNTIF(Clients!$B$5:$B$1005,B622)=0),"Not on Clients — will match a portal client by name",IF(AND(C622="GST",D622&lt;&gt;"",COUNTIF(Clients!$AZ$5:$AZ$1005,UPPER(D622))=0,COUNTIF(Clients!$G$5:$G$1005,"*"&amp;UPPER(D622)&amp;"*")=0),"GSTIN not on Clients — will be checked in the portal","✔ OK")))))</f>
        <v/>
      </c>
    </row>
    <row r="623">
      <c r="A623" s="40" t="n"/>
      <c r="B623" s="41" t="n"/>
      <c r="C623" s="41" t="n"/>
      <c r="D623" s="40" t="n"/>
      <c r="E623" s="40" t="n"/>
      <c r="F623" s="40" t="n"/>
      <c r="G623" s="39">
        <f>IF(COUNTA(A623:F623)=0,"",IF(A623="EXAMPLE","Example (skipped)",IF(OR(C623="",E623="",F623=""),"✖ Portal, User ID and Password are all needed",IF(AND(A623="",COUNTIF(Clients!$B$5:$B$1005,B623)=0),"Not on Clients — will match a portal client by name",IF(AND(C623="GST",D623&lt;&gt;"",COUNTIF(Clients!$AZ$5:$AZ$1005,UPPER(D623))=0,COUNTIF(Clients!$G$5:$G$1005,"*"&amp;UPPER(D623)&amp;"*")=0),"GSTIN not on Clients — will be checked in the portal","✔ OK")))))</f>
        <v/>
      </c>
    </row>
    <row r="624">
      <c r="A624" s="40" t="n"/>
      <c r="B624" s="41" t="n"/>
      <c r="C624" s="41" t="n"/>
      <c r="D624" s="40" t="n"/>
      <c r="E624" s="40" t="n"/>
      <c r="F624" s="40" t="n"/>
      <c r="G624" s="39">
        <f>IF(COUNTA(A624:F624)=0,"",IF(A624="EXAMPLE","Example (skipped)",IF(OR(C624="",E624="",F624=""),"✖ Portal, User ID and Password are all needed",IF(AND(A624="",COUNTIF(Clients!$B$5:$B$1005,B624)=0),"Not on Clients — will match a portal client by name",IF(AND(C624="GST",D624&lt;&gt;"",COUNTIF(Clients!$AZ$5:$AZ$1005,UPPER(D624))=0,COUNTIF(Clients!$G$5:$G$1005,"*"&amp;UPPER(D624)&amp;"*")=0),"GSTIN not on Clients — will be checked in the portal","✔ OK")))))</f>
        <v/>
      </c>
    </row>
    <row r="625">
      <c r="A625" s="40" t="n"/>
      <c r="B625" s="41" t="n"/>
      <c r="C625" s="41" t="n"/>
      <c r="D625" s="40" t="n"/>
      <c r="E625" s="40" t="n"/>
      <c r="F625" s="40" t="n"/>
      <c r="G625" s="39">
        <f>IF(COUNTA(A625:F625)=0,"",IF(A625="EXAMPLE","Example (skipped)",IF(OR(C625="",E625="",F625=""),"✖ Portal, User ID and Password are all needed",IF(AND(A625="",COUNTIF(Clients!$B$5:$B$1005,B625)=0),"Not on Clients — will match a portal client by name",IF(AND(C625="GST",D625&lt;&gt;"",COUNTIF(Clients!$AZ$5:$AZ$1005,UPPER(D625))=0,COUNTIF(Clients!$G$5:$G$1005,"*"&amp;UPPER(D625)&amp;"*")=0),"GSTIN not on Clients — will be checked in the portal","✔ OK")))))</f>
        <v/>
      </c>
    </row>
    <row r="626">
      <c r="A626" s="40" t="n"/>
      <c r="B626" s="41" t="n"/>
      <c r="C626" s="41" t="n"/>
      <c r="D626" s="40" t="n"/>
      <c r="E626" s="40" t="n"/>
      <c r="F626" s="40" t="n"/>
      <c r="G626" s="39">
        <f>IF(COUNTA(A626:F626)=0,"",IF(A626="EXAMPLE","Example (skipped)",IF(OR(C626="",E626="",F626=""),"✖ Portal, User ID and Password are all needed",IF(AND(A626="",COUNTIF(Clients!$B$5:$B$1005,B626)=0),"Not on Clients — will match a portal client by name",IF(AND(C626="GST",D626&lt;&gt;"",COUNTIF(Clients!$AZ$5:$AZ$1005,UPPER(D626))=0,COUNTIF(Clients!$G$5:$G$1005,"*"&amp;UPPER(D626)&amp;"*")=0),"GSTIN not on Clients — will be checked in the portal","✔ OK")))))</f>
        <v/>
      </c>
    </row>
    <row r="627">
      <c r="A627" s="40" t="n"/>
      <c r="B627" s="41" t="n"/>
      <c r="C627" s="41" t="n"/>
      <c r="D627" s="40" t="n"/>
      <c r="E627" s="40" t="n"/>
      <c r="F627" s="40" t="n"/>
      <c r="G627" s="39">
        <f>IF(COUNTA(A627:F627)=0,"",IF(A627="EXAMPLE","Example (skipped)",IF(OR(C627="",E627="",F627=""),"✖ Portal, User ID and Password are all needed",IF(AND(A627="",COUNTIF(Clients!$B$5:$B$1005,B627)=0),"Not on Clients — will match a portal client by name",IF(AND(C627="GST",D627&lt;&gt;"",COUNTIF(Clients!$AZ$5:$AZ$1005,UPPER(D627))=0,COUNTIF(Clients!$G$5:$G$1005,"*"&amp;UPPER(D627)&amp;"*")=0),"GSTIN not on Clients — will be checked in the portal","✔ OK")))))</f>
        <v/>
      </c>
    </row>
    <row r="628">
      <c r="A628" s="40" t="n"/>
      <c r="B628" s="41" t="n"/>
      <c r="C628" s="41" t="n"/>
      <c r="D628" s="40" t="n"/>
      <c r="E628" s="40" t="n"/>
      <c r="F628" s="40" t="n"/>
      <c r="G628" s="39">
        <f>IF(COUNTA(A628:F628)=0,"",IF(A628="EXAMPLE","Example (skipped)",IF(OR(C628="",E628="",F628=""),"✖ Portal, User ID and Password are all needed",IF(AND(A628="",COUNTIF(Clients!$B$5:$B$1005,B628)=0),"Not on Clients — will match a portal client by name",IF(AND(C628="GST",D628&lt;&gt;"",COUNTIF(Clients!$AZ$5:$AZ$1005,UPPER(D628))=0,COUNTIF(Clients!$G$5:$G$1005,"*"&amp;UPPER(D628)&amp;"*")=0),"GSTIN not on Clients — will be checked in the portal","✔ OK")))))</f>
        <v/>
      </c>
    </row>
    <row r="629">
      <c r="A629" s="40" t="n"/>
      <c r="B629" s="41" t="n"/>
      <c r="C629" s="41" t="n"/>
      <c r="D629" s="40" t="n"/>
      <c r="E629" s="40" t="n"/>
      <c r="F629" s="40" t="n"/>
      <c r="G629" s="39">
        <f>IF(COUNTA(A629:F629)=0,"",IF(A629="EXAMPLE","Example (skipped)",IF(OR(C629="",E629="",F629=""),"✖ Portal, User ID and Password are all needed",IF(AND(A629="",COUNTIF(Clients!$B$5:$B$1005,B629)=0),"Not on Clients — will match a portal client by name",IF(AND(C629="GST",D629&lt;&gt;"",COUNTIF(Clients!$AZ$5:$AZ$1005,UPPER(D629))=0,COUNTIF(Clients!$G$5:$G$1005,"*"&amp;UPPER(D629)&amp;"*")=0),"GSTIN not on Clients — will be checked in the portal","✔ OK")))))</f>
        <v/>
      </c>
    </row>
    <row r="630">
      <c r="A630" s="40" t="n"/>
      <c r="B630" s="41" t="n"/>
      <c r="C630" s="41" t="n"/>
      <c r="D630" s="40" t="n"/>
      <c r="E630" s="40" t="n"/>
      <c r="F630" s="40" t="n"/>
      <c r="G630" s="39">
        <f>IF(COUNTA(A630:F630)=0,"",IF(A630="EXAMPLE","Example (skipped)",IF(OR(C630="",E630="",F630=""),"✖ Portal, User ID and Password are all needed",IF(AND(A630="",COUNTIF(Clients!$B$5:$B$1005,B630)=0),"Not on Clients — will match a portal client by name",IF(AND(C630="GST",D630&lt;&gt;"",COUNTIF(Clients!$AZ$5:$AZ$1005,UPPER(D630))=0,COUNTIF(Clients!$G$5:$G$1005,"*"&amp;UPPER(D630)&amp;"*")=0),"GSTIN not on Clients — will be checked in the portal","✔ OK")))))</f>
        <v/>
      </c>
    </row>
    <row r="631">
      <c r="A631" s="40" t="n"/>
      <c r="B631" s="41" t="n"/>
      <c r="C631" s="41" t="n"/>
      <c r="D631" s="40" t="n"/>
      <c r="E631" s="40" t="n"/>
      <c r="F631" s="40" t="n"/>
      <c r="G631" s="39">
        <f>IF(COUNTA(A631:F631)=0,"",IF(A631="EXAMPLE","Example (skipped)",IF(OR(C631="",E631="",F631=""),"✖ Portal, User ID and Password are all needed",IF(AND(A631="",COUNTIF(Clients!$B$5:$B$1005,B631)=0),"Not on Clients — will match a portal client by name",IF(AND(C631="GST",D631&lt;&gt;"",COUNTIF(Clients!$AZ$5:$AZ$1005,UPPER(D631))=0,COUNTIF(Clients!$G$5:$G$1005,"*"&amp;UPPER(D631)&amp;"*")=0),"GSTIN not on Clients — will be checked in the portal","✔ OK")))))</f>
        <v/>
      </c>
    </row>
    <row r="632">
      <c r="A632" s="40" t="n"/>
      <c r="B632" s="41" t="n"/>
      <c r="C632" s="41" t="n"/>
      <c r="D632" s="40" t="n"/>
      <c r="E632" s="40" t="n"/>
      <c r="F632" s="40" t="n"/>
      <c r="G632" s="39">
        <f>IF(COUNTA(A632:F632)=0,"",IF(A632="EXAMPLE","Example (skipped)",IF(OR(C632="",E632="",F632=""),"✖ Portal, User ID and Password are all needed",IF(AND(A632="",COUNTIF(Clients!$B$5:$B$1005,B632)=0),"Not on Clients — will match a portal client by name",IF(AND(C632="GST",D632&lt;&gt;"",COUNTIF(Clients!$AZ$5:$AZ$1005,UPPER(D632))=0,COUNTIF(Clients!$G$5:$G$1005,"*"&amp;UPPER(D632)&amp;"*")=0),"GSTIN not on Clients — will be checked in the portal","✔ OK")))))</f>
        <v/>
      </c>
    </row>
    <row r="633">
      <c r="A633" s="40" t="n"/>
      <c r="B633" s="41" t="n"/>
      <c r="C633" s="41" t="n"/>
      <c r="D633" s="40" t="n"/>
      <c r="E633" s="40" t="n"/>
      <c r="F633" s="40" t="n"/>
      <c r="G633" s="39">
        <f>IF(COUNTA(A633:F633)=0,"",IF(A633="EXAMPLE","Example (skipped)",IF(OR(C633="",E633="",F633=""),"✖ Portal, User ID and Password are all needed",IF(AND(A633="",COUNTIF(Clients!$B$5:$B$1005,B633)=0),"Not on Clients — will match a portal client by name",IF(AND(C633="GST",D633&lt;&gt;"",COUNTIF(Clients!$AZ$5:$AZ$1005,UPPER(D633))=0,COUNTIF(Clients!$G$5:$G$1005,"*"&amp;UPPER(D633)&amp;"*")=0),"GSTIN not on Clients — will be checked in the portal","✔ OK")))))</f>
        <v/>
      </c>
    </row>
    <row r="634">
      <c r="A634" s="40" t="n"/>
      <c r="B634" s="41" t="n"/>
      <c r="C634" s="41" t="n"/>
      <c r="D634" s="40" t="n"/>
      <c r="E634" s="40" t="n"/>
      <c r="F634" s="40" t="n"/>
      <c r="G634" s="39">
        <f>IF(COUNTA(A634:F634)=0,"",IF(A634="EXAMPLE","Example (skipped)",IF(OR(C634="",E634="",F634=""),"✖ Portal, User ID and Password are all needed",IF(AND(A634="",COUNTIF(Clients!$B$5:$B$1005,B634)=0),"Not on Clients — will match a portal client by name",IF(AND(C634="GST",D634&lt;&gt;"",COUNTIF(Clients!$AZ$5:$AZ$1005,UPPER(D634))=0,COUNTIF(Clients!$G$5:$G$1005,"*"&amp;UPPER(D634)&amp;"*")=0),"GSTIN not on Clients — will be checked in the portal","✔ OK")))))</f>
        <v/>
      </c>
    </row>
    <row r="635">
      <c r="A635" s="40" t="n"/>
      <c r="B635" s="41" t="n"/>
      <c r="C635" s="41" t="n"/>
      <c r="D635" s="40" t="n"/>
      <c r="E635" s="40" t="n"/>
      <c r="F635" s="40" t="n"/>
      <c r="G635" s="39">
        <f>IF(COUNTA(A635:F635)=0,"",IF(A635="EXAMPLE","Example (skipped)",IF(OR(C635="",E635="",F635=""),"✖ Portal, User ID and Password are all needed",IF(AND(A635="",COUNTIF(Clients!$B$5:$B$1005,B635)=0),"Not on Clients — will match a portal client by name",IF(AND(C635="GST",D635&lt;&gt;"",COUNTIF(Clients!$AZ$5:$AZ$1005,UPPER(D635))=0,COUNTIF(Clients!$G$5:$G$1005,"*"&amp;UPPER(D635)&amp;"*")=0),"GSTIN not on Clients — will be checked in the portal","✔ OK")))))</f>
        <v/>
      </c>
    </row>
    <row r="636">
      <c r="A636" s="40" t="n"/>
      <c r="B636" s="41" t="n"/>
      <c r="C636" s="41" t="n"/>
      <c r="D636" s="40" t="n"/>
      <c r="E636" s="40" t="n"/>
      <c r="F636" s="40" t="n"/>
      <c r="G636" s="39">
        <f>IF(COUNTA(A636:F636)=0,"",IF(A636="EXAMPLE","Example (skipped)",IF(OR(C636="",E636="",F636=""),"✖ Portal, User ID and Password are all needed",IF(AND(A636="",COUNTIF(Clients!$B$5:$B$1005,B636)=0),"Not on Clients — will match a portal client by name",IF(AND(C636="GST",D636&lt;&gt;"",COUNTIF(Clients!$AZ$5:$AZ$1005,UPPER(D636))=0,COUNTIF(Clients!$G$5:$G$1005,"*"&amp;UPPER(D636)&amp;"*")=0),"GSTIN not on Clients — will be checked in the portal","✔ OK")))))</f>
        <v/>
      </c>
    </row>
    <row r="637">
      <c r="A637" s="40" t="n"/>
      <c r="B637" s="41" t="n"/>
      <c r="C637" s="41" t="n"/>
      <c r="D637" s="40" t="n"/>
      <c r="E637" s="40" t="n"/>
      <c r="F637" s="40" t="n"/>
      <c r="G637" s="39">
        <f>IF(COUNTA(A637:F637)=0,"",IF(A637="EXAMPLE","Example (skipped)",IF(OR(C637="",E637="",F637=""),"✖ Portal, User ID and Password are all needed",IF(AND(A637="",COUNTIF(Clients!$B$5:$B$1005,B637)=0),"Not on Clients — will match a portal client by name",IF(AND(C637="GST",D637&lt;&gt;"",COUNTIF(Clients!$AZ$5:$AZ$1005,UPPER(D637))=0,COUNTIF(Clients!$G$5:$G$1005,"*"&amp;UPPER(D637)&amp;"*")=0),"GSTIN not on Clients — will be checked in the portal","✔ OK")))))</f>
        <v/>
      </c>
    </row>
    <row r="638">
      <c r="A638" s="40" t="n"/>
      <c r="B638" s="41" t="n"/>
      <c r="C638" s="41" t="n"/>
      <c r="D638" s="40" t="n"/>
      <c r="E638" s="40" t="n"/>
      <c r="F638" s="40" t="n"/>
      <c r="G638" s="39">
        <f>IF(COUNTA(A638:F638)=0,"",IF(A638="EXAMPLE","Example (skipped)",IF(OR(C638="",E638="",F638=""),"✖ Portal, User ID and Password are all needed",IF(AND(A638="",COUNTIF(Clients!$B$5:$B$1005,B638)=0),"Not on Clients — will match a portal client by name",IF(AND(C638="GST",D638&lt;&gt;"",COUNTIF(Clients!$AZ$5:$AZ$1005,UPPER(D638))=0,COUNTIF(Clients!$G$5:$G$1005,"*"&amp;UPPER(D638)&amp;"*")=0),"GSTIN not on Clients — will be checked in the portal","✔ OK")))))</f>
        <v/>
      </c>
    </row>
    <row r="639">
      <c r="A639" s="40" t="n"/>
      <c r="B639" s="41" t="n"/>
      <c r="C639" s="41" t="n"/>
      <c r="D639" s="40" t="n"/>
      <c r="E639" s="40" t="n"/>
      <c r="F639" s="40" t="n"/>
      <c r="G639" s="39">
        <f>IF(COUNTA(A639:F639)=0,"",IF(A639="EXAMPLE","Example (skipped)",IF(OR(C639="",E639="",F639=""),"✖ Portal, User ID and Password are all needed",IF(AND(A639="",COUNTIF(Clients!$B$5:$B$1005,B639)=0),"Not on Clients — will match a portal client by name",IF(AND(C639="GST",D639&lt;&gt;"",COUNTIF(Clients!$AZ$5:$AZ$1005,UPPER(D639))=0,COUNTIF(Clients!$G$5:$G$1005,"*"&amp;UPPER(D639)&amp;"*")=0),"GSTIN not on Clients — will be checked in the portal","✔ OK")))))</f>
        <v/>
      </c>
    </row>
    <row r="640">
      <c r="A640" s="40" t="n"/>
      <c r="B640" s="41" t="n"/>
      <c r="C640" s="41" t="n"/>
      <c r="D640" s="40" t="n"/>
      <c r="E640" s="40" t="n"/>
      <c r="F640" s="40" t="n"/>
      <c r="G640" s="39">
        <f>IF(COUNTA(A640:F640)=0,"",IF(A640="EXAMPLE","Example (skipped)",IF(OR(C640="",E640="",F640=""),"✖ Portal, User ID and Password are all needed",IF(AND(A640="",COUNTIF(Clients!$B$5:$B$1005,B640)=0),"Not on Clients — will match a portal client by name",IF(AND(C640="GST",D640&lt;&gt;"",COUNTIF(Clients!$AZ$5:$AZ$1005,UPPER(D640))=0,COUNTIF(Clients!$G$5:$G$1005,"*"&amp;UPPER(D640)&amp;"*")=0),"GSTIN not on Clients — will be checked in the portal","✔ OK")))))</f>
        <v/>
      </c>
    </row>
    <row r="641">
      <c r="A641" s="40" t="n"/>
      <c r="B641" s="41" t="n"/>
      <c r="C641" s="41" t="n"/>
      <c r="D641" s="40" t="n"/>
      <c r="E641" s="40" t="n"/>
      <c r="F641" s="40" t="n"/>
      <c r="G641" s="39">
        <f>IF(COUNTA(A641:F641)=0,"",IF(A641="EXAMPLE","Example (skipped)",IF(OR(C641="",E641="",F641=""),"✖ Portal, User ID and Password are all needed",IF(AND(A641="",COUNTIF(Clients!$B$5:$B$1005,B641)=0),"Not on Clients — will match a portal client by name",IF(AND(C641="GST",D641&lt;&gt;"",COUNTIF(Clients!$AZ$5:$AZ$1005,UPPER(D641))=0,COUNTIF(Clients!$G$5:$G$1005,"*"&amp;UPPER(D641)&amp;"*")=0),"GSTIN not on Clients — will be checked in the portal","✔ OK")))))</f>
        <v/>
      </c>
    </row>
    <row r="642">
      <c r="A642" s="40" t="n"/>
      <c r="B642" s="41" t="n"/>
      <c r="C642" s="41" t="n"/>
      <c r="D642" s="40" t="n"/>
      <c r="E642" s="40" t="n"/>
      <c r="F642" s="40" t="n"/>
      <c r="G642" s="39">
        <f>IF(COUNTA(A642:F642)=0,"",IF(A642="EXAMPLE","Example (skipped)",IF(OR(C642="",E642="",F642=""),"✖ Portal, User ID and Password are all needed",IF(AND(A642="",COUNTIF(Clients!$B$5:$B$1005,B642)=0),"Not on Clients — will match a portal client by name",IF(AND(C642="GST",D642&lt;&gt;"",COUNTIF(Clients!$AZ$5:$AZ$1005,UPPER(D642))=0,COUNTIF(Clients!$G$5:$G$1005,"*"&amp;UPPER(D642)&amp;"*")=0),"GSTIN not on Clients — will be checked in the portal","✔ OK")))))</f>
        <v/>
      </c>
    </row>
    <row r="643">
      <c r="A643" s="40" t="n"/>
      <c r="B643" s="41" t="n"/>
      <c r="C643" s="41" t="n"/>
      <c r="D643" s="40" t="n"/>
      <c r="E643" s="40" t="n"/>
      <c r="F643" s="40" t="n"/>
      <c r="G643" s="39">
        <f>IF(COUNTA(A643:F643)=0,"",IF(A643="EXAMPLE","Example (skipped)",IF(OR(C643="",E643="",F643=""),"✖ Portal, User ID and Password are all needed",IF(AND(A643="",COUNTIF(Clients!$B$5:$B$1005,B643)=0),"Not on Clients — will match a portal client by name",IF(AND(C643="GST",D643&lt;&gt;"",COUNTIF(Clients!$AZ$5:$AZ$1005,UPPER(D643))=0,COUNTIF(Clients!$G$5:$G$1005,"*"&amp;UPPER(D643)&amp;"*")=0),"GSTIN not on Clients — will be checked in the portal","✔ OK")))))</f>
        <v/>
      </c>
    </row>
    <row r="644">
      <c r="A644" s="40" t="n"/>
      <c r="B644" s="41" t="n"/>
      <c r="C644" s="41" t="n"/>
      <c r="D644" s="40" t="n"/>
      <c r="E644" s="40" t="n"/>
      <c r="F644" s="40" t="n"/>
      <c r="G644" s="39">
        <f>IF(COUNTA(A644:F644)=0,"",IF(A644="EXAMPLE","Example (skipped)",IF(OR(C644="",E644="",F644=""),"✖ Portal, User ID and Password are all needed",IF(AND(A644="",COUNTIF(Clients!$B$5:$B$1005,B644)=0),"Not on Clients — will match a portal client by name",IF(AND(C644="GST",D644&lt;&gt;"",COUNTIF(Clients!$AZ$5:$AZ$1005,UPPER(D644))=0,COUNTIF(Clients!$G$5:$G$1005,"*"&amp;UPPER(D644)&amp;"*")=0),"GSTIN not on Clients — will be checked in the portal","✔ OK")))))</f>
        <v/>
      </c>
    </row>
    <row r="645">
      <c r="A645" s="40" t="n"/>
      <c r="B645" s="41" t="n"/>
      <c r="C645" s="41" t="n"/>
      <c r="D645" s="40" t="n"/>
      <c r="E645" s="40" t="n"/>
      <c r="F645" s="40" t="n"/>
      <c r="G645" s="39">
        <f>IF(COUNTA(A645:F645)=0,"",IF(A645="EXAMPLE","Example (skipped)",IF(OR(C645="",E645="",F645=""),"✖ Portal, User ID and Password are all needed",IF(AND(A645="",COUNTIF(Clients!$B$5:$B$1005,B645)=0),"Not on Clients — will match a portal client by name",IF(AND(C645="GST",D645&lt;&gt;"",COUNTIF(Clients!$AZ$5:$AZ$1005,UPPER(D645))=0,COUNTIF(Clients!$G$5:$G$1005,"*"&amp;UPPER(D645)&amp;"*")=0),"GSTIN not on Clients — will be checked in the portal","✔ OK")))))</f>
        <v/>
      </c>
    </row>
    <row r="646">
      <c r="A646" s="40" t="n"/>
      <c r="B646" s="41" t="n"/>
      <c r="C646" s="41" t="n"/>
      <c r="D646" s="40" t="n"/>
      <c r="E646" s="40" t="n"/>
      <c r="F646" s="40" t="n"/>
      <c r="G646" s="39">
        <f>IF(COUNTA(A646:F646)=0,"",IF(A646="EXAMPLE","Example (skipped)",IF(OR(C646="",E646="",F646=""),"✖ Portal, User ID and Password are all needed",IF(AND(A646="",COUNTIF(Clients!$B$5:$B$1005,B646)=0),"Not on Clients — will match a portal client by name",IF(AND(C646="GST",D646&lt;&gt;"",COUNTIF(Clients!$AZ$5:$AZ$1005,UPPER(D646))=0,COUNTIF(Clients!$G$5:$G$1005,"*"&amp;UPPER(D646)&amp;"*")=0),"GSTIN not on Clients — will be checked in the portal","✔ OK")))))</f>
        <v/>
      </c>
    </row>
    <row r="647">
      <c r="A647" s="40" t="n"/>
      <c r="B647" s="41" t="n"/>
      <c r="C647" s="41" t="n"/>
      <c r="D647" s="40" t="n"/>
      <c r="E647" s="40" t="n"/>
      <c r="F647" s="40" t="n"/>
      <c r="G647" s="39">
        <f>IF(COUNTA(A647:F647)=0,"",IF(A647="EXAMPLE","Example (skipped)",IF(OR(C647="",E647="",F647=""),"✖ Portal, User ID and Password are all needed",IF(AND(A647="",COUNTIF(Clients!$B$5:$B$1005,B647)=0),"Not on Clients — will match a portal client by name",IF(AND(C647="GST",D647&lt;&gt;"",COUNTIF(Clients!$AZ$5:$AZ$1005,UPPER(D647))=0,COUNTIF(Clients!$G$5:$G$1005,"*"&amp;UPPER(D647)&amp;"*")=0),"GSTIN not on Clients — will be checked in the portal","✔ OK")))))</f>
        <v/>
      </c>
    </row>
    <row r="648">
      <c r="A648" s="40" t="n"/>
      <c r="B648" s="41" t="n"/>
      <c r="C648" s="41" t="n"/>
      <c r="D648" s="40" t="n"/>
      <c r="E648" s="40" t="n"/>
      <c r="F648" s="40" t="n"/>
      <c r="G648" s="39">
        <f>IF(COUNTA(A648:F648)=0,"",IF(A648="EXAMPLE","Example (skipped)",IF(OR(C648="",E648="",F648=""),"✖ Portal, User ID and Password are all needed",IF(AND(A648="",COUNTIF(Clients!$B$5:$B$1005,B648)=0),"Not on Clients — will match a portal client by name",IF(AND(C648="GST",D648&lt;&gt;"",COUNTIF(Clients!$AZ$5:$AZ$1005,UPPER(D648))=0,COUNTIF(Clients!$G$5:$G$1005,"*"&amp;UPPER(D648)&amp;"*")=0),"GSTIN not on Clients — will be checked in the portal","✔ OK")))))</f>
        <v/>
      </c>
    </row>
    <row r="649">
      <c r="A649" s="40" t="n"/>
      <c r="B649" s="41" t="n"/>
      <c r="C649" s="41" t="n"/>
      <c r="D649" s="40" t="n"/>
      <c r="E649" s="40" t="n"/>
      <c r="F649" s="40" t="n"/>
      <c r="G649" s="39">
        <f>IF(COUNTA(A649:F649)=0,"",IF(A649="EXAMPLE","Example (skipped)",IF(OR(C649="",E649="",F649=""),"✖ Portal, User ID and Password are all needed",IF(AND(A649="",COUNTIF(Clients!$B$5:$B$1005,B649)=0),"Not on Clients — will match a portal client by name",IF(AND(C649="GST",D649&lt;&gt;"",COUNTIF(Clients!$AZ$5:$AZ$1005,UPPER(D649))=0,COUNTIF(Clients!$G$5:$G$1005,"*"&amp;UPPER(D649)&amp;"*")=0),"GSTIN not on Clients — will be checked in the portal","✔ OK")))))</f>
        <v/>
      </c>
    </row>
    <row r="650">
      <c r="A650" s="40" t="n"/>
      <c r="B650" s="41" t="n"/>
      <c r="C650" s="41" t="n"/>
      <c r="D650" s="40" t="n"/>
      <c r="E650" s="40" t="n"/>
      <c r="F650" s="40" t="n"/>
      <c r="G650" s="39">
        <f>IF(COUNTA(A650:F650)=0,"",IF(A650="EXAMPLE","Example (skipped)",IF(OR(C650="",E650="",F650=""),"✖ Portal, User ID and Password are all needed",IF(AND(A650="",COUNTIF(Clients!$B$5:$B$1005,B650)=0),"Not on Clients — will match a portal client by name",IF(AND(C650="GST",D650&lt;&gt;"",COUNTIF(Clients!$AZ$5:$AZ$1005,UPPER(D650))=0,COUNTIF(Clients!$G$5:$G$1005,"*"&amp;UPPER(D650)&amp;"*")=0),"GSTIN not on Clients — will be checked in the portal","✔ OK")))))</f>
        <v/>
      </c>
    </row>
    <row r="651">
      <c r="A651" s="40" t="n"/>
      <c r="B651" s="41" t="n"/>
      <c r="C651" s="41" t="n"/>
      <c r="D651" s="40" t="n"/>
      <c r="E651" s="40" t="n"/>
      <c r="F651" s="40" t="n"/>
      <c r="G651" s="39">
        <f>IF(COUNTA(A651:F651)=0,"",IF(A651="EXAMPLE","Example (skipped)",IF(OR(C651="",E651="",F651=""),"✖ Portal, User ID and Password are all needed",IF(AND(A651="",COUNTIF(Clients!$B$5:$B$1005,B651)=0),"Not on Clients — will match a portal client by name",IF(AND(C651="GST",D651&lt;&gt;"",COUNTIF(Clients!$AZ$5:$AZ$1005,UPPER(D651))=0,COUNTIF(Clients!$G$5:$G$1005,"*"&amp;UPPER(D651)&amp;"*")=0),"GSTIN not on Clients — will be checked in the portal","✔ OK")))))</f>
        <v/>
      </c>
    </row>
    <row r="652">
      <c r="A652" s="40" t="n"/>
      <c r="B652" s="41" t="n"/>
      <c r="C652" s="41" t="n"/>
      <c r="D652" s="40" t="n"/>
      <c r="E652" s="40" t="n"/>
      <c r="F652" s="40" t="n"/>
      <c r="G652" s="39">
        <f>IF(COUNTA(A652:F652)=0,"",IF(A652="EXAMPLE","Example (skipped)",IF(OR(C652="",E652="",F652=""),"✖ Portal, User ID and Password are all needed",IF(AND(A652="",COUNTIF(Clients!$B$5:$B$1005,B652)=0),"Not on Clients — will match a portal client by name",IF(AND(C652="GST",D652&lt;&gt;"",COUNTIF(Clients!$AZ$5:$AZ$1005,UPPER(D652))=0,COUNTIF(Clients!$G$5:$G$1005,"*"&amp;UPPER(D652)&amp;"*")=0),"GSTIN not on Clients — will be checked in the portal","✔ OK")))))</f>
        <v/>
      </c>
    </row>
    <row r="653">
      <c r="A653" s="40" t="n"/>
      <c r="B653" s="41" t="n"/>
      <c r="C653" s="41" t="n"/>
      <c r="D653" s="40" t="n"/>
      <c r="E653" s="40" t="n"/>
      <c r="F653" s="40" t="n"/>
      <c r="G653" s="39">
        <f>IF(COUNTA(A653:F653)=0,"",IF(A653="EXAMPLE","Example (skipped)",IF(OR(C653="",E653="",F653=""),"✖ Portal, User ID and Password are all needed",IF(AND(A653="",COUNTIF(Clients!$B$5:$B$1005,B653)=0),"Not on Clients — will match a portal client by name",IF(AND(C653="GST",D653&lt;&gt;"",COUNTIF(Clients!$AZ$5:$AZ$1005,UPPER(D653))=0,COUNTIF(Clients!$G$5:$G$1005,"*"&amp;UPPER(D653)&amp;"*")=0),"GSTIN not on Clients — will be checked in the portal","✔ OK")))))</f>
        <v/>
      </c>
    </row>
    <row r="654">
      <c r="A654" s="40" t="n"/>
      <c r="B654" s="41" t="n"/>
      <c r="C654" s="41" t="n"/>
      <c r="D654" s="40" t="n"/>
      <c r="E654" s="40" t="n"/>
      <c r="F654" s="40" t="n"/>
      <c r="G654" s="39">
        <f>IF(COUNTA(A654:F654)=0,"",IF(A654="EXAMPLE","Example (skipped)",IF(OR(C654="",E654="",F654=""),"✖ Portal, User ID and Password are all needed",IF(AND(A654="",COUNTIF(Clients!$B$5:$B$1005,B654)=0),"Not on Clients — will match a portal client by name",IF(AND(C654="GST",D654&lt;&gt;"",COUNTIF(Clients!$AZ$5:$AZ$1005,UPPER(D654))=0,COUNTIF(Clients!$G$5:$G$1005,"*"&amp;UPPER(D654)&amp;"*")=0),"GSTIN not on Clients — will be checked in the portal","✔ OK")))))</f>
        <v/>
      </c>
    </row>
    <row r="655">
      <c r="A655" s="40" t="n"/>
      <c r="B655" s="41" t="n"/>
      <c r="C655" s="41" t="n"/>
      <c r="D655" s="40" t="n"/>
      <c r="E655" s="40" t="n"/>
      <c r="F655" s="40" t="n"/>
      <c r="G655" s="39">
        <f>IF(COUNTA(A655:F655)=0,"",IF(A655="EXAMPLE","Example (skipped)",IF(OR(C655="",E655="",F655=""),"✖ Portal, User ID and Password are all needed",IF(AND(A655="",COUNTIF(Clients!$B$5:$B$1005,B655)=0),"Not on Clients — will match a portal client by name",IF(AND(C655="GST",D655&lt;&gt;"",COUNTIF(Clients!$AZ$5:$AZ$1005,UPPER(D655))=0,COUNTIF(Clients!$G$5:$G$1005,"*"&amp;UPPER(D655)&amp;"*")=0),"GSTIN not on Clients — will be checked in the portal","✔ OK")))))</f>
        <v/>
      </c>
    </row>
    <row r="656">
      <c r="A656" s="40" t="n"/>
      <c r="B656" s="41" t="n"/>
      <c r="C656" s="41" t="n"/>
      <c r="D656" s="40" t="n"/>
      <c r="E656" s="40" t="n"/>
      <c r="F656" s="40" t="n"/>
      <c r="G656" s="39">
        <f>IF(COUNTA(A656:F656)=0,"",IF(A656="EXAMPLE","Example (skipped)",IF(OR(C656="",E656="",F656=""),"✖ Portal, User ID and Password are all needed",IF(AND(A656="",COUNTIF(Clients!$B$5:$B$1005,B656)=0),"Not on Clients — will match a portal client by name",IF(AND(C656="GST",D656&lt;&gt;"",COUNTIF(Clients!$AZ$5:$AZ$1005,UPPER(D656))=0,COUNTIF(Clients!$G$5:$G$1005,"*"&amp;UPPER(D656)&amp;"*")=0),"GSTIN not on Clients — will be checked in the portal","✔ OK")))))</f>
        <v/>
      </c>
    </row>
    <row r="657">
      <c r="A657" s="40" t="n"/>
      <c r="B657" s="41" t="n"/>
      <c r="C657" s="41" t="n"/>
      <c r="D657" s="40" t="n"/>
      <c r="E657" s="40" t="n"/>
      <c r="F657" s="40" t="n"/>
      <c r="G657" s="39">
        <f>IF(COUNTA(A657:F657)=0,"",IF(A657="EXAMPLE","Example (skipped)",IF(OR(C657="",E657="",F657=""),"✖ Portal, User ID and Password are all needed",IF(AND(A657="",COUNTIF(Clients!$B$5:$B$1005,B657)=0),"Not on Clients — will match a portal client by name",IF(AND(C657="GST",D657&lt;&gt;"",COUNTIF(Clients!$AZ$5:$AZ$1005,UPPER(D657))=0,COUNTIF(Clients!$G$5:$G$1005,"*"&amp;UPPER(D657)&amp;"*")=0),"GSTIN not on Clients — will be checked in the portal","✔ OK")))))</f>
        <v/>
      </c>
    </row>
    <row r="658">
      <c r="A658" s="40" t="n"/>
      <c r="B658" s="41" t="n"/>
      <c r="C658" s="41" t="n"/>
      <c r="D658" s="40" t="n"/>
      <c r="E658" s="40" t="n"/>
      <c r="F658" s="40" t="n"/>
      <c r="G658" s="39">
        <f>IF(COUNTA(A658:F658)=0,"",IF(A658="EXAMPLE","Example (skipped)",IF(OR(C658="",E658="",F658=""),"✖ Portal, User ID and Password are all needed",IF(AND(A658="",COUNTIF(Clients!$B$5:$B$1005,B658)=0),"Not on Clients — will match a portal client by name",IF(AND(C658="GST",D658&lt;&gt;"",COUNTIF(Clients!$AZ$5:$AZ$1005,UPPER(D658))=0,COUNTIF(Clients!$G$5:$G$1005,"*"&amp;UPPER(D658)&amp;"*")=0),"GSTIN not on Clients — will be checked in the portal","✔ OK")))))</f>
        <v/>
      </c>
    </row>
    <row r="659">
      <c r="A659" s="40" t="n"/>
      <c r="B659" s="41" t="n"/>
      <c r="C659" s="41" t="n"/>
      <c r="D659" s="40" t="n"/>
      <c r="E659" s="40" t="n"/>
      <c r="F659" s="40" t="n"/>
      <c r="G659" s="39">
        <f>IF(COUNTA(A659:F659)=0,"",IF(A659="EXAMPLE","Example (skipped)",IF(OR(C659="",E659="",F659=""),"✖ Portal, User ID and Password are all needed",IF(AND(A659="",COUNTIF(Clients!$B$5:$B$1005,B659)=0),"Not on Clients — will match a portal client by name",IF(AND(C659="GST",D659&lt;&gt;"",COUNTIF(Clients!$AZ$5:$AZ$1005,UPPER(D659))=0,COUNTIF(Clients!$G$5:$G$1005,"*"&amp;UPPER(D659)&amp;"*")=0),"GSTIN not on Clients — will be checked in the portal","✔ OK")))))</f>
        <v/>
      </c>
    </row>
    <row r="660">
      <c r="A660" s="40" t="n"/>
      <c r="B660" s="41" t="n"/>
      <c r="C660" s="41" t="n"/>
      <c r="D660" s="40" t="n"/>
      <c r="E660" s="40" t="n"/>
      <c r="F660" s="40" t="n"/>
      <c r="G660" s="39">
        <f>IF(COUNTA(A660:F660)=0,"",IF(A660="EXAMPLE","Example (skipped)",IF(OR(C660="",E660="",F660=""),"✖ Portal, User ID and Password are all needed",IF(AND(A660="",COUNTIF(Clients!$B$5:$B$1005,B660)=0),"Not on Clients — will match a portal client by name",IF(AND(C660="GST",D660&lt;&gt;"",COUNTIF(Clients!$AZ$5:$AZ$1005,UPPER(D660))=0,COUNTIF(Clients!$G$5:$G$1005,"*"&amp;UPPER(D660)&amp;"*")=0),"GSTIN not on Clients — will be checked in the portal","✔ OK")))))</f>
        <v/>
      </c>
    </row>
    <row r="661">
      <c r="A661" s="40" t="n"/>
      <c r="B661" s="41" t="n"/>
      <c r="C661" s="41" t="n"/>
      <c r="D661" s="40" t="n"/>
      <c r="E661" s="40" t="n"/>
      <c r="F661" s="40" t="n"/>
      <c r="G661" s="39">
        <f>IF(COUNTA(A661:F661)=0,"",IF(A661="EXAMPLE","Example (skipped)",IF(OR(C661="",E661="",F661=""),"✖ Portal, User ID and Password are all needed",IF(AND(A661="",COUNTIF(Clients!$B$5:$B$1005,B661)=0),"Not on Clients — will match a portal client by name",IF(AND(C661="GST",D661&lt;&gt;"",COUNTIF(Clients!$AZ$5:$AZ$1005,UPPER(D661))=0,COUNTIF(Clients!$G$5:$G$1005,"*"&amp;UPPER(D661)&amp;"*")=0),"GSTIN not on Clients — will be checked in the portal","✔ OK")))))</f>
        <v/>
      </c>
    </row>
    <row r="662">
      <c r="A662" s="40" t="n"/>
      <c r="B662" s="41" t="n"/>
      <c r="C662" s="41" t="n"/>
      <c r="D662" s="40" t="n"/>
      <c r="E662" s="40" t="n"/>
      <c r="F662" s="40" t="n"/>
      <c r="G662" s="39">
        <f>IF(COUNTA(A662:F662)=0,"",IF(A662="EXAMPLE","Example (skipped)",IF(OR(C662="",E662="",F662=""),"✖ Portal, User ID and Password are all needed",IF(AND(A662="",COUNTIF(Clients!$B$5:$B$1005,B662)=0),"Not on Clients — will match a portal client by name",IF(AND(C662="GST",D662&lt;&gt;"",COUNTIF(Clients!$AZ$5:$AZ$1005,UPPER(D662))=0,COUNTIF(Clients!$G$5:$G$1005,"*"&amp;UPPER(D662)&amp;"*")=0),"GSTIN not on Clients — will be checked in the portal","✔ OK")))))</f>
        <v/>
      </c>
    </row>
    <row r="663">
      <c r="A663" s="40" t="n"/>
      <c r="B663" s="41" t="n"/>
      <c r="C663" s="41" t="n"/>
      <c r="D663" s="40" t="n"/>
      <c r="E663" s="40" t="n"/>
      <c r="F663" s="40" t="n"/>
      <c r="G663" s="39">
        <f>IF(COUNTA(A663:F663)=0,"",IF(A663="EXAMPLE","Example (skipped)",IF(OR(C663="",E663="",F663=""),"✖ Portal, User ID and Password are all needed",IF(AND(A663="",COUNTIF(Clients!$B$5:$B$1005,B663)=0),"Not on Clients — will match a portal client by name",IF(AND(C663="GST",D663&lt;&gt;"",COUNTIF(Clients!$AZ$5:$AZ$1005,UPPER(D663))=0,COUNTIF(Clients!$G$5:$G$1005,"*"&amp;UPPER(D663)&amp;"*")=0),"GSTIN not on Clients — will be checked in the portal","✔ OK")))))</f>
        <v/>
      </c>
    </row>
    <row r="664">
      <c r="A664" s="40" t="n"/>
      <c r="B664" s="41" t="n"/>
      <c r="C664" s="41" t="n"/>
      <c r="D664" s="40" t="n"/>
      <c r="E664" s="40" t="n"/>
      <c r="F664" s="40" t="n"/>
      <c r="G664" s="39">
        <f>IF(COUNTA(A664:F664)=0,"",IF(A664="EXAMPLE","Example (skipped)",IF(OR(C664="",E664="",F664=""),"✖ Portal, User ID and Password are all needed",IF(AND(A664="",COUNTIF(Clients!$B$5:$B$1005,B664)=0),"Not on Clients — will match a portal client by name",IF(AND(C664="GST",D664&lt;&gt;"",COUNTIF(Clients!$AZ$5:$AZ$1005,UPPER(D664))=0,COUNTIF(Clients!$G$5:$G$1005,"*"&amp;UPPER(D664)&amp;"*")=0),"GSTIN not on Clients — will be checked in the portal","✔ OK")))))</f>
        <v/>
      </c>
    </row>
    <row r="665">
      <c r="A665" s="40" t="n"/>
      <c r="B665" s="41" t="n"/>
      <c r="C665" s="41" t="n"/>
      <c r="D665" s="40" t="n"/>
      <c r="E665" s="40" t="n"/>
      <c r="F665" s="40" t="n"/>
      <c r="G665" s="39">
        <f>IF(COUNTA(A665:F665)=0,"",IF(A665="EXAMPLE","Example (skipped)",IF(OR(C665="",E665="",F665=""),"✖ Portal, User ID and Password are all needed",IF(AND(A665="",COUNTIF(Clients!$B$5:$B$1005,B665)=0),"Not on Clients — will match a portal client by name",IF(AND(C665="GST",D665&lt;&gt;"",COUNTIF(Clients!$AZ$5:$AZ$1005,UPPER(D665))=0,COUNTIF(Clients!$G$5:$G$1005,"*"&amp;UPPER(D665)&amp;"*")=0),"GSTIN not on Clients — will be checked in the portal","✔ OK")))))</f>
        <v/>
      </c>
    </row>
    <row r="666">
      <c r="A666" s="40" t="n"/>
      <c r="B666" s="41" t="n"/>
      <c r="C666" s="41" t="n"/>
      <c r="D666" s="40" t="n"/>
      <c r="E666" s="40" t="n"/>
      <c r="F666" s="40" t="n"/>
      <c r="G666" s="39">
        <f>IF(COUNTA(A666:F666)=0,"",IF(A666="EXAMPLE","Example (skipped)",IF(OR(C666="",E666="",F666=""),"✖ Portal, User ID and Password are all needed",IF(AND(A666="",COUNTIF(Clients!$B$5:$B$1005,B666)=0),"Not on Clients — will match a portal client by name",IF(AND(C666="GST",D666&lt;&gt;"",COUNTIF(Clients!$AZ$5:$AZ$1005,UPPER(D666))=0,COUNTIF(Clients!$G$5:$G$1005,"*"&amp;UPPER(D666)&amp;"*")=0),"GSTIN not on Clients — will be checked in the portal","✔ OK")))))</f>
        <v/>
      </c>
    </row>
    <row r="667">
      <c r="A667" s="40" t="n"/>
      <c r="B667" s="41" t="n"/>
      <c r="C667" s="41" t="n"/>
      <c r="D667" s="40" t="n"/>
      <c r="E667" s="40" t="n"/>
      <c r="F667" s="40" t="n"/>
      <c r="G667" s="39">
        <f>IF(COUNTA(A667:F667)=0,"",IF(A667="EXAMPLE","Example (skipped)",IF(OR(C667="",E667="",F667=""),"✖ Portal, User ID and Password are all needed",IF(AND(A667="",COUNTIF(Clients!$B$5:$B$1005,B667)=0),"Not on Clients — will match a portal client by name",IF(AND(C667="GST",D667&lt;&gt;"",COUNTIF(Clients!$AZ$5:$AZ$1005,UPPER(D667))=0,COUNTIF(Clients!$G$5:$G$1005,"*"&amp;UPPER(D667)&amp;"*")=0),"GSTIN not on Clients — will be checked in the portal","✔ OK")))))</f>
        <v/>
      </c>
    </row>
    <row r="668">
      <c r="A668" s="40" t="n"/>
      <c r="B668" s="41" t="n"/>
      <c r="C668" s="41" t="n"/>
      <c r="D668" s="40" t="n"/>
      <c r="E668" s="40" t="n"/>
      <c r="F668" s="40" t="n"/>
      <c r="G668" s="39">
        <f>IF(COUNTA(A668:F668)=0,"",IF(A668="EXAMPLE","Example (skipped)",IF(OR(C668="",E668="",F668=""),"✖ Portal, User ID and Password are all needed",IF(AND(A668="",COUNTIF(Clients!$B$5:$B$1005,B668)=0),"Not on Clients — will match a portal client by name",IF(AND(C668="GST",D668&lt;&gt;"",COUNTIF(Clients!$AZ$5:$AZ$1005,UPPER(D668))=0,COUNTIF(Clients!$G$5:$G$1005,"*"&amp;UPPER(D668)&amp;"*")=0),"GSTIN not on Clients — will be checked in the portal","✔ OK")))))</f>
        <v/>
      </c>
    </row>
    <row r="669">
      <c r="A669" s="40" t="n"/>
      <c r="B669" s="41" t="n"/>
      <c r="C669" s="41" t="n"/>
      <c r="D669" s="40" t="n"/>
      <c r="E669" s="40" t="n"/>
      <c r="F669" s="40" t="n"/>
      <c r="G669" s="39">
        <f>IF(COUNTA(A669:F669)=0,"",IF(A669="EXAMPLE","Example (skipped)",IF(OR(C669="",E669="",F669=""),"✖ Portal, User ID and Password are all needed",IF(AND(A669="",COUNTIF(Clients!$B$5:$B$1005,B669)=0),"Not on Clients — will match a portal client by name",IF(AND(C669="GST",D669&lt;&gt;"",COUNTIF(Clients!$AZ$5:$AZ$1005,UPPER(D669))=0,COUNTIF(Clients!$G$5:$G$1005,"*"&amp;UPPER(D669)&amp;"*")=0),"GSTIN not on Clients — will be checked in the portal","✔ OK")))))</f>
        <v/>
      </c>
    </row>
    <row r="670">
      <c r="A670" s="40" t="n"/>
      <c r="B670" s="41" t="n"/>
      <c r="C670" s="41" t="n"/>
      <c r="D670" s="40" t="n"/>
      <c r="E670" s="40" t="n"/>
      <c r="F670" s="40" t="n"/>
      <c r="G670" s="39">
        <f>IF(COUNTA(A670:F670)=0,"",IF(A670="EXAMPLE","Example (skipped)",IF(OR(C670="",E670="",F670=""),"✖ Portal, User ID and Password are all needed",IF(AND(A670="",COUNTIF(Clients!$B$5:$B$1005,B670)=0),"Not on Clients — will match a portal client by name",IF(AND(C670="GST",D670&lt;&gt;"",COUNTIF(Clients!$AZ$5:$AZ$1005,UPPER(D670))=0,COUNTIF(Clients!$G$5:$G$1005,"*"&amp;UPPER(D670)&amp;"*")=0),"GSTIN not on Clients — will be checked in the portal","✔ OK")))))</f>
        <v/>
      </c>
    </row>
    <row r="671">
      <c r="A671" s="40" t="n"/>
      <c r="B671" s="41" t="n"/>
      <c r="C671" s="41" t="n"/>
      <c r="D671" s="40" t="n"/>
      <c r="E671" s="40" t="n"/>
      <c r="F671" s="40" t="n"/>
      <c r="G671" s="39">
        <f>IF(COUNTA(A671:F671)=0,"",IF(A671="EXAMPLE","Example (skipped)",IF(OR(C671="",E671="",F671=""),"✖ Portal, User ID and Password are all needed",IF(AND(A671="",COUNTIF(Clients!$B$5:$B$1005,B671)=0),"Not on Clients — will match a portal client by name",IF(AND(C671="GST",D671&lt;&gt;"",COUNTIF(Clients!$AZ$5:$AZ$1005,UPPER(D671))=0,COUNTIF(Clients!$G$5:$G$1005,"*"&amp;UPPER(D671)&amp;"*")=0),"GSTIN not on Clients — will be checked in the portal","✔ OK")))))</f>
        <v/>
      </c>
    </row>
    <row r="672">
      <c r="A672" s="40" t="n"/>
      <c r="B672" s="41" t="n"/>
      <c r="C672" s="41" t="n"/>
      <c r="D672" s="40" t="n"/>
      <c r="E672" s="40" t="n"/>
      <c r="F672" s="40" t="n"/>
      <c r="G672" s="39">
        <f>IF(COUNTA(A672:F672)=0,"",IF(A672="EXAMPLE","Example (skipped)",IF(OR(C672="",E672="",F672=""),"✖ Portal, User ID and Password are all needed",IF(AND(A672="",COUNTIF(Clients!$B$5:$B$1005,B672)=0),"Not on Clients — will match a portal client by name",IF(AND(C672="GST",D672&lt;&gt;"",COUNTIF(Clients!$AZ$5:$AZ$1005,UPPER(D672))=0,COUNTIF(Clients!$G$5:$G$1005,"*"&amp;UPPER(D672)&amp;"*")=0),"GSTIN not on Clients — will be checked in the portal","✔ OK")))))</f>
        <v/>
      </c>
    </row>
    <row r="673">
      <c r="A673" s="40" t="n"/>
      <c r="B673" s="41" t="n"/>
      <c r="C673" s="41" t="n"/>
      <c r="D673" s="40" t="n"/>
      <c r="E673" s="40" t="n"/>
      <c r="F673" s="40" t="n"/>
      <c r="G673" s="39">
        <f>IF(COUNTA(A673:F673)=0,"",IF(A673="EXAMPLE","Example (skipped)",IF(OR(C673="",E673="",F673=""),"✖ Portal, User ID and Password are all needed",IF(AND(A673="",COUNTIF(Clients!$B$5:$B$1005,B673)=0),"Not on Clients — will match a portal client by name",IF(AND(C673="GST",D673&lt;&gt;"",COUNTIF(Clients!$AZ$5:$AZ$1005,UPPER(D673))=0,COUNTIF(Clients!$G$5:$G$1005,"*"&amp;UPPER(D673)&amp;"*")=0),"GSTIN not on Clients — will be checked in the portal","✔ OK")))))</f>
        <v/>
      </c>
    </row>
    <row r="674">
      <c r="A674" s="40" t="n"/>
      <c r="B674" s="41" t="n"/>
      <c r="C674" s="41" t="n"/>
      <c r="D674" s="40" t="n"/>
      <c r="E674" s="40" t="n"/>
      <c r="F674" s="40" t="n"/>
      <c r="G674" s="39">
        <f>IF(COUNTA(A674:F674)=0,"",IF(A674="EXAMPLE","Example (skipped)",IF(OR(C674="",E674="",F674=""),"✖ Portal, User ID and Password are all needed",IF(AND(A674="",COUNTIF(Clients!$B$5:$B$1005,B674)=0),"Not on Clients — will match a portal client by name",IF(AND(C674="GST",D674&lt;&gt;"",COUNTIF(Clients!$AZ$5:$AZ$1005,UPPER(D674))=0,COUNTIF(Clients!$G$5:$G$1005,"*"&amp;UPPER(D674)&amp;"*")=0),"GSTIN not on Clients — will be checked in the portal","✔ OK")))))</f>
        <v/>
      </c>
    </row>
    <row r="675">
      <c r="A675" s="40" t="n"/>
      <c r="B675" s="41" t="n"/>
      <c r="C675" s="41" t="n"/>
      <c r="D675" s="40" t="n"/>
      <c r="E675" s="40" t="n"/>
      <c r="F675" s="40" t="n"/>
      <c r="G675" s="39">
        <f>IF(COUNTA(A675:F675)=0,"",IF(A675="EXAMPLE","Example (skipped)",IF(OR(C675="",E675="",F675=""),"✖ Portal, User ID and Password are all needed",IF(AND(A675="",COUNTIF(Clients!$B$5:$B$1005,B675)=0),"Not on Clients — will match a portal client by name",IF(AND(C675="GST",D675&lt;&gt;"",COUNTIF(Clients!$AZ$5:$AZ$1005,UPPER(D675))=0,COUNTIF(Clients!$G$5:$G$1005,"*"&amp;UPPER(D675)&amp;"*")=0),"GSTIN not on Clients — will be checked in the portal","✔ OK")))))</f>
        <v/>
      </c>
    </row>
    <row r="676">
      <c r="A676" s="40" t="n"/>
      <c r="B676" s="41" t="n"/>
      <c r="C676" s="41" t="n"/>
      <c r="D676" s="40" t="n"/>
      <c r="E676" s="40" t="n"/>
      <c r="F676" s="40" t="n"/>
      <c r="G676" s="39">
        <f>IF(COUNTA(A676:F676)=0,"",IF(A676="EXAMPLE","Example (skipped)",IF(OR(C676="",E676="",F676=""),"✖ Portal, User ID and Password are all needed",IF(AND(A676="",COUNTIF(Clients!$B$5:$B$1005,B676)=0),"Not on Clients — will match a portal client by name",IF(AND(C676="GST",D676&lt;&gt;"",COUNTIF(Clients!$AZ$5:$AZ$1005,UPPER(D676))=0,COUNTIF(Clients!$G$5:$G$1005,"*"&amp;UPPER(D676)&amp;"*")=0),"GSTIN not on Clients — will be checked in the portal","✔ OK")))))</f>
        <v/>
      </c>
    </row>
    <row r="677">
      <c r="A677" s="40" t="n"/>
      <c r="B677" s="41" t="n"/>
      <c r="C677" s="41" t="n"/>
      <c r="D677" s="40" t="n"/>
      <c r="E677" s="40" t="n"/>
      <c r="F677" s="40" t="n"/>
      <c r="G677" s="39">
        <f>IF(COUNTA(A677:F677)=0,"",IF(A677="EXAMPLE","Example (skipped)",IF(OR(C677="",E677="",F677=""),"✖ Portal, User ID and Password are all needed",IF(AND(A677="",COUNTIF(Clients!$B$5:$B$1005,B677)=0),"Not on Clients — will match a portal client by name",IF(AND(C677="GST",D677&lt;&gt;"",COUNTIF(Clients!$AZ$5:$AZ$1005,UPPER(D677))=0,COUNTIF(Clients!$G$5:$G$1005,"*"&amp;UPPER(D677)&amp;"*")=0),"GSTIN not on Clients — will be checked in the portal","✔ OK")))))</f>
        <v/>
      </c>
    </row>
    <row r="678">
      <c r="A678" s="40" t="n"/>
      <c r="B678" s="41" t="n"/>
      <c r="C678" s="41" t="n"/>
      <c r="D678" s="40" t="n"/>
      <c r="E678" s="40" t="n"/>
      <c r="F678" s="40" t="n"/>
      <c r="G678" s="39">
        <f>IF(COUNTA(A678:F678)=0,"",IF(A678="EXAMPLE","Example (skipped)",IF(OR(C678="",E678="",F678=""),"✖ Portal, User ID and Password are all needed",IF(AND(A678="",COUNTIF(Clients!$B$5:$B$1005,B678)=0),"Not on Clients — will match a portal client by name",IF(AND(C678="GST",D678&lt;&gt;"",COUNTIF(Clients!$AZ$5:$AZ$1005,UPPER(D678))=0,COUNTIF(Clients!$G$5:$G$1005,"*"&amp;UPPER(D678)&amp;"*")=0),"GSTIN not on Clients — will be checked in the portal","✔ OK")))))</f>
        <v/>
      </c>
    </row>
    <row r="679">
      <c r="A679" s="40" t="n"/>
      <c r="B679" s="41" t="n"/>
      <c r="C679" s="41" t="n"/>
      <c r="D679" s="40" t="n"/>
      <c r="E679" s="40" t="n"/>
      <c r="F679" s="40" t="n"/>
      <c r="G679" s="39">
        <f>IF(COUNTA(A679:F679)=0,"",IF(A679="EXAMPLE","Example (skipped)",IF(OR(C679="",E679="",F679=""),"✖ Portal, User ID and Password are all needed",IF(AND(A679="",COUNTIF(Clients!$B$5:$B$1005,B679)=0),"Not on Clients — will match a portal client by name",IF(AND(C679="GST",D679&lt;&gt;"",COUNTIF(Clients!$AZ$5:$AZ$1005,UPPER(D679))=0,COUNTIF(Clients!$G$5:$G$1005,"*"&amp;UPPER(D679)&amp;"*")=0),"GSTIN not on Clients — will be checked in the portal","✔ OK")))))</f>
        <v/>
      </c>
    </row>
    <row r="680">
      <c r="A680" s="40" t="n"/>
      <c r="B680" s="41" t="n"/>
      <c r="C680" s="41" t="n"/>
      <c r="D680" s="40" t="n"/>
      <c r="E680" s="40" t="n"/>
      <c r="F680" s="40" t="n"/>
      <c r="G680" s="39">
        <f>IF(COUNTA(A680:F680)=0,"",IF(A680="EXAMPLE","Example (skipped)",IF(OR(C680="",E680="",F680=""),"✖ Portal, User ID and Password are all needed",IF(AND(A680="",COUNTIF(Clients!$B$5:$B$1005,B680)=0),"Not on Clients — will match a portal client by name",IF(AND(C680="GST",D680&lt;&gt;"",COUNTIF(Clients!$AZ$5:$AZ$1005,UPPER(D680))=0,COUNTIF(Clients!$G$5:$G$1005,"*"&amp;UPPER(D680)&amp;"*")=0),"GSTIN not on Clients — will be checked in the portal","✔ OK")))))</f>
        <v/>
      </c>
    </row>
    <row r="681">
      <c r="A681" s="40" t="n"/>
      <c r="B681" s="41" t="n"/>
      <c r="C681" s="41" t="n"/>
      <c r="D681" s="40" t="n"/>
      <c r="E681" s="40" t="n"/>
      <c r="F681" s="40" t="n"/>
      <c r="G681" s="39">
        <f>IF(COUNTA(A681:F681)=0,"",IF(A681="EXAMPLE","Example (skipped)",IF(OR(C681="",E681="",F681=""),"✖ Portal, User ID and Password are all needed",IF(AND(A681="",COUNTIF(Clients!$B$5:$B$1005,B681)=0),"Not on Clients — will match a portal client by name",IF(AND(C681="GST",D681&lt;&gt;"",COUNTIF(Clients!$AZ$5:$AZ$1005,UPPER(D681))=0,COUNTIF(Clients!$G$5:$G$1005,"*"&amp;UPPER(D681)&amp;"*")=0),"GSTIN not on Clients — will be checked in the portal","✔ OK")))))</f>
        <v/>
      </c>
    </row>
    <row r="682">
      <c r="A682" s="40" t="n"/>
      <c r="B682" s="41" t="n"/>
      <c r="C682" s="41" t="n"/>
      <c r="D682" s="40" t="n"/>
      <c r="E682" s="40" t="n"/>
      <c r="F682" s="40" t="n"/>
      <c r="G682" s="39">
        <f>IF(COUNTA(A682:F682)=0,"",IF(A682="EXAMPLE","Example (skipped)",IF(OR(C682="",E682="",F682=""),"✖ Portal, User ID and Password are all needed",IF(AND(A682="",COUNTIF(Clients!$B$5:$B$1005,B682)=0),"Not on Clients — will match a portal client by name",IF(AND(C682="GST",D682&lt;&gt;"",COUNTIF(Clients!$AZ$5:$AZ$1005,UPPER(D682))=0,COUNTIF(Clients!$G$5:$G$1005,"*"&amp;UPPER(D682)&amp;"*")=0),"GSTIN not on Clients — will be checked in the portal","✔ OK")))))</f>
        <v/>
      </c>
    </row>
    <row r="683">
      <c r="A683" s="40" t="n"/>
      <c r="B683" s="41" t="n"/>
      <c r="C683" s="41" t="n"/>
      <c r="D683" s="40" t="n"/>
      <c r="E683" s="40" t="n"/>
      <c r="F683" s="40" t="n"/>
      <c r="G683" s="39">
        <f>IF(COUNTA(A683:F683)=0,"",IF(A683="EXAMPLE","Example (skipped)",IF(OR(C683="",E683="",F683=""),"✖ Portal, User ID and Password are all needed",IF(AND(A683="",COUNTIF(Clients!$B$5:$B$1005,B683)=0),"Not on Clients — will match a portal client by name",IF(AND(C683="GST",D683&lt;&gt;"",COUNTIF(Clients!$AZ$5:$AZ$1005,UPPER(D683))=0,COUNTIF(Clients!$G$5:$G$1005,"*"&amp;UPPER(D683)&amp;"*")=0),"GSTIN not on Clients — will be checked in the portal","✔ OK")))))</f>
        <v/>
      </c>
    </row>
    <row r="684">
      <c r="A684" s="40" t="n"/>
      <c r="B684" s="41" t="n"/>
      <c r="C684" s="41" t="n"/>
      <c r="D684" s="40" t="n"/>
      <c r="E684" s="40" t="n"/>
      <c r="F684" s="40" t="n"/>
      <c r="G684" s="39">
        <f>IF(COUNTA(A684:F684)=0,"",IF(A684="EXAMPLE","Example (skipped)",IF(OR(C684="",E684="",F684=""),"✖ Portal, User ID and Password are all needed",IF(AND(A684="",COUNTIF(Clients!$B$5:$B$1005,B684)=0),"Not on Clients — will match a portal client by name",IF(AND(C684="GST",D684&lt;&gt;"",COUNTIF(Clients!$AZ$5:$AZ$1005,UPPER(D684))=0,COUNTIF(Clients!$G$5:$G$1005,"*"&amp;UPPER(D684)&amp;"*")=0),"GSTIN not on Clients — will be checked in the portal","✔ OK")))))</f>
        <v/>
      </c>
    </row>
    <row r="685">
      <c r="A685" s="40" t="n"/>
      <c r="B685" s="41" t="n"/>
      <c r="C685" s="41" t="n"/>
      <c r="D685" s="40" t="n"/>
      <c r="E685" s="40" t="n"/>
      <c r="F685" s="40" t="n"/>
      <c r="G685" s="39">
        <f>IF(COUNTA(A685:F685)=0,"",IF(A685="EXAMPLE","Example (skipped)",IF(OR(C685="",E685="",F685=""),"✖ Portal, User ID and Password are all needed",IF(AND(A685="",COUNTIF(Clients!$B$5:$B$1005,B685)=0),"Not on Clients — will match a portal client by name",IF(AND(C685="GST",D685&lt;&gt;"",COUNTIF(Clients!$AZ$5:$AZ$1005,UPPER(D685))=0,COUNTIF(Clients!$G$5:$G$1005,"*"&amp;UPPER(D685)&amp;"*")=0),"GSTIN not on Clients — will be checked in the portal","✔ OK")))))</f>
        <v/>
      </c>
    </row>
    <row r="686">
      <c r="A686" s="40" t="n"/>
      <c r="B686" s="41" t="n"/>
      <c r="C686" s="41" t="n"/>
      <c r="D686" s="40" t="n"/>
      <c r="E686" s="40" t="n"/>
      <c r="F686" s="40" t="n"/>
      <c r="G686" s="39">
        <f>IF(COUNTA(A686:F686)=0,"",IF(A686="EXAMPLE","Example (skipped)",IF(OR(C686="",E686="",F686=""),"✖ Portal, User ID and Password are all needed",IF(AND(A686="",COUNTIF(Clients!$B$5:$B$1005,B686)=0),"Not on Clients — will match a portal client by name",IF(AND(C686="GST",D686&lt;&gt;"",COUNTIF(Clients!$AZ$5:$AZ$1005,UPPER(D686))=0,COUNTIF(Clients!$G$5:$G$1005,"*"&amp;UPPER(D686)&amp;"*")=0),"GSTIN not on Clients — will be checked in the portal","✔ OK")))))</f>
        <v/>
      </c>
    </row>
    <row r="687">
      <c r="A687" s="40" t="n"/>
      <c r="B687" s="41" t="n"/>
      <c r="C687" s="41" t="n"/>
      <c r="D687" s="40" t="n"/>
      <c r="E687" s="40" t="n"/>
      <c r="F687" s="40" t="n"/>
      <c r="G687" s="39">
        <f>IF(COUNTA(A687:F687)=0,"",IF(A687="EXAMPLE","Example (skipped)",IF(OR(C687="",E687="",F687=""),"✖ Portal, User ID and Password are all needed",IF(AND(A687="",COUNTIF(Clients!$B$5:$B$1005,B687)=0),"Not on Clients — will match a portal client by name",IF(AND(C687="GST",D687&lt;&gt;"",COUNTIF(Clients!$AZ$5:$AZ$1005,UPPER(D687))=0,COUNTIF(Clients!$G$5:$G$1005,"*"&amp;UPPER(D687)&amp;"*")=0),"GSTIN not on Clients — will be checked in the portal","✔ OK")))))</f>
        <v/>
      </c>
    </row>
    <row r="688">
      <c r="A688" s="40" t="n"/>
      <c r="B688" s="41" t="n"/>
      <c r="C688" s="41" t="n"/>
      <c r="D688" s="40" t="n"/>
      <c r="E688" s="40" t="n"/>
      <c r="F688" s="40" t="n"/>
      <c r="G688" s="39">
        <f>IF(COUNTA(A688:F688)=0,"",IF(A688="EXAMPLE","Example (skipped)",IF(OR(C688="",E688="",F688=""),"✖ Portal, User ID and Password are all needed",IF(AND(A688="",COUNTIF(Clients!$B$5:$B$1005,B688)=0),"Not on Clients — will match a portal client by name",IF(AND(C688="GST",D688&lt;&gt;"",COUNTIF(Clients!$AZ$5:$AZ$1005,UPPER(D688))=0,COUNTIF(Clients!$G$5:$G$1005,"*"&amp;UPPER(D688)&amp;"*")=0),"GSTIN not on Clients — will be checked in the portal","✔ OK")))))</f>
        <v/>
      </c>
    </row>
    <row r="689">
      <c r="A689" s="40" t="n"/>
      <c r="B689" s="41" t="n"/>
      <c r="C689" s="41" t="n"/>
      <c r="D689" s="40" t="n"/>
      <c r="E689" s="40" t="n"/>
      <c r="F689" s="40" t="n"/>
      <c r="G689" s="39">
        <f>IF(COUNTA(A689:F689)=0,"",IF(A689="EXAMPLE","Example (skipped)",IF(OR(C689="",E689="",F689=""),"✖ Portal, User ID and Password are all needed",IF(AND(A689="",COUNTIF(Clients!$B$5:$B$1005,B689)=0),"Not on Clients — will match a portal client by name",IF(AND(C689="GST",D689&lt;&gt;"",COUNTIF(Clients!$AZ$5:$AZ$1005,UPPER(D689))=0,COUNTIF(Clients!$G$5:$G$1005,"*"&amp;UPPER(D689)&amp;"*")=0),"GSTIN not on Clients — will be checked in the portal","✔ OK")))))</f>
        <v/>
      </c>
    </row>
    <row r="690">
      <c r="A690" s="40" t="n"/>
      <c r="B690" s="41" t="n"/>
      <c r="C690" s="41" t="n"/>
      <c r="D690" s="40" t="n"/>
      <c r="E690" s="40" t="n"/>
      <c r="F690" s="40" t="n"/>
      <c r="G690" s="39">
        <f>IF(COUNTA(A690:F690)=0,"",IF(A690="EXAMPLE","Example (skipped)",IF(OR(C690="",E690="",F690=""),"✖ Portal, User ID and Password are all needed",IF(AND(A690="",COUNTIF(Clients!$B$5:$B$1005,B690)=0),"Not on Clients — will match a portal client by name",IF(AND(C690="GST",D690&lt;&gt;"",COUNTIF(Clients!$AZ$5:$AZ$1005,UPPER(D690))=0,COUNTIF(Clients!$G$5:$G$1005,"*"&amp;UPPER(D690)&amp;"*")=0),"GSTIN not on Clients — will be checked in the portal","✔ OK")))))</f>
        <v/>
      </c>
    </row>
    <row r="691">
      <c r="A691" s="40" t="n"/>
      <c r="B691" s="41" t="n"/>
      <c r="C691" s="41" t="n"/>
      <c r="D691" s="40" t="n"/>
      <c r="E691" s="40" t="n"/>
      <c r="F691" s="40" t="n"/>
      <c r="G691" s="39">
        <f>IF(COUNTA(A691:F691)=0,"",IF(A691="EXAMPLE","Example (skipped)",IF(OR(C691="",E691="",F691=""),"✖ Portal, User ID and Password are all needed",IF(AND(A691="",COUNTIF(Clients!$B$5:$B$1005,B691)=0),"Not on Clients — will match a portal client by name",IF(AND(C691="GST",D691&lt;&gt;"",COUNTIF(Clients!$AZ$5:$AZ$1005,UPPER(D691))=0,COUNTIF(Clients!$G$5:$G$1005,"*"&amp;UPPER(D691)&amp;"*")=0),"GSTIN not on Clients — will be checked in the portal","✔ OK")))))</f>
        <v/>
      </c>
    </row>
    <row r="692">
      <c r="A692" s="40" t="n"/>
      <c r="B692" s="41" t="n"/>
      <c r="C692" s="41" t="n"/>
      <c r="D692" s="40" t="n"/>
      <c r="E692" s="40" t="n"/>
      <c r="F692" s="40" t="n"/>
      <c r="G692" s="39">
        <f>IF(COUNTA(A692:F692)=0,"",IF(A692="EXAMPLE","Example (skipped)",IF(OR(C692="",E692="",F692=""),"✖ Portal, User ID and Password are all needed",IF(AND(A692="",COUNTIF(Clients!$B$5:$B$1005,B692)=0),"Not on Clients — will match a portal client by name",IF(AND(C692="GST",D692&lt;&gt;"",COUNTIF(Clients!$AZ$5:$AZ$1005,UPPER(D692))=0,COUNTIF(Clients!$G$5:$G$1005,"*"&amp;UPPER(D692)&amp;"*")=0),"GSTIN not on Clients — will be checked in the portal","✔ OK")))))</f>
        <v/>
      </c>
    </row>
    <row r="693">
      <c r="A693" s="40" t="n"/>
      <c r="B693" s="41" t="n"/>
      <c r="C693" s="41" t="n"/>
      <c r="D693" s="40" t="n"/>
      <c r="E693" s="40" t="n"/>
      <c r="F693" s="40" t="n"/>
      <c r="G693" s="39">
        <f>IF(COUNTA(A693:F693)=0,"",IF(A693="EXAMPLE","Example (skipped)",IF(OR(C693="",E693="",F693=""),"✖ Portal, User ID and Password are all needed",IF(AND(A693="",COUNTIF(Clients!$B$5:$B$1005,B693)=0),"Not on Clients — will match a portal client by name",IF(AND(C693="GST",D693&lt;&gt;"",COUNTIF(Clients!$AZ$5:$AZ$1005,UPPER(D693))=0,COUNTIF(Clients!$G$5:$G$1005,"*"&amp;UPPER(D693)&amp;"*")=0),"GSTIN not on Clients — will be checked in the portal","✔ OK")))))</f>
        <v/>
      </c>
    </row>
    <row r="694">
      <c r="A694" s="40" t="n"/>
      <c r="B694" s="41" t="n"/>
      <c r="C694" s="41" t="n"/>
      <c r="D694" s="40" t="n"/>
      <c r="E694" s="40" t="n"/>
      <c r="F694" s="40" t="n"/>
      <c r="G694" s="39">
        <f>IF(COUNTA(A694:F694)=0,"",IF(A694="EXAMPLE","Example (skipped)",IF(OR(C694="",E694="",F694=""),"✖ Portal, User ID and Password are all needed",IF(AND(A694="",COUNTIF(Clients!$B$5:$B$1005,B694)=0),"Not on Clients — will match a portal client by name",IF(AND(C694="GST",D694&lt;&gt;"",COUNTIF(Clients!$AZ$5:$AZ$1005,UPPER(D694))=0,COUNTIF(Clients!$G$5:$G$1005,"*"&amp;UPPER(D694)&amp;"*")=0),"GSTIN not on Clients — will be checked in the portal","✔ OK")))))</f>
        <v/>
      </c>
    </row>
    <row r="695">
      <c r="A695" s="40" t="n"/>
      <c r="B695" s="41" t="n"/>
      <c r="C695" s="41" t="n"/>
      <c r="D695" s="40" t="n"/>
      <c r="E695" s="40" t="n"/>
      <c r="F695" s="40" t="n"/>
      <c r="G695" s="39">
        <f>IF(COUNTA(A695:F695)=0,"",IF(A695="EXAMPLE","Example (skipped)",IF(OR(C695="",E695="",F695=""),"✖ Portal, User ID and Password are all needed",IF(AND(A695="",COUNTIF(Clients!$B$5:$B$1005,B695)=0),"Not on Clients — will match a portal client by name",IF(AND(C695="GST",D695&lt;&gt;"",COUNTIF(Clients!$AZ$5:$AZ$1005,UPPER(D695))=0,COUNTIF(Clients!$G$5:$G$1005,"*"&amp;UPPER(D695)&amp;"*")=0),"GSTIN not on Clients — will be checked in the portal","✔ OK")))))</f>
        <v/>
      </c>
    </row>
    <row r="696">
      <c r="A696" s="40" t="n"/>
      <c r="B696" s="41" t="n"/>
      <c r="C696" s="41" t="n"/>
      <c r="D696" s="40" t="n"/>
      <c r="E696" s="40" t="n"/>
      <c r="F696" s="40" t="n"/>
      <c r="G696" s="39">
        <f>IF(COUNTA(A696:F696)=0,"",IF(A696="EXAMPLE","Example (skipped)",IF(OR(C696="",E696="",F696=""),"✖ Portal, User ID and Password are all needed",IF(AND(A696="",COUNTIF(Clients!$B$5:$B$1005,B696)=0),"Not on Clients — will match a portal client by name",IF(AND(C696="GST",D696&lt;&gt;"",COUNTIF(Clients!$AZ$5:$AZ$1005,UPPER(D696))=0,COUNTIF(Clients!$G$5:$G$1005,"*"&amp;UPPER(D696)&amp;"*")=0),"GSTIN not on Clients — will be checked in the portal","✔ OK")))))</f>
        <v/>
      </c>
    </row>
    <row r="697">
      <c r="A697" s="40" t="n"/>
      <c r="B697" s="41" t="n"/>
      <c r="C697" s="41" t="n"/>
      <c r="D697" s="40" t="n"/>
      <c r="E697" s="40" t="n"/>
      <c r="F697" s="40" t="n"/>
      <c r="G697" s="39">
        <f>IF(COUNTA(A697:F697)=0,"",IF(A697="EXAMPLE","Example (skipped)",IF(OR(C697="",E697="",F697=""),"✖ Portal, User ID and Password are all needed",IF(AND(A697="",COUNTIF(Clients!$B$5:$B$1005,B697)=0),"Not on Clients — will match a portal client by name",IF(AND(C697="GST",D697&lt;&gt;"",COUNTIF(Clients!$AZ$5:$AZ$1005,UPPER(D697))=0,COUNTIF(Clients!$G$5:$G$1005,"*"&amp;UPPER(D697)&amp;"*")=0),"GSTIN not on Clients — will be checked in the portal","✔ OK")))))</f>
        <v/>
      </c>
    </row>
    <row r="698">
      <c r="A698" s="40" t="n"/>
      <c r="B698" s="41" t="n"/>
      <c r="C698" s="41" t="n"/>
      <c r="D698" s="40" t="n"/>
      <c r="E698" s="40" t="n"/>
      <c r="F698" s="40" t="n"/>
      <c r="G698" s="39">
        <f>IF(COUNTA(A698:F698)=0,"",IF(A698="EXAMPLE","Example (skipped)",IF(OR(C698="",E698="",F698=""),"✖ Portal, User ID and Password are all needed",IF(AND(A698="",COUNTIF(Clients!$B$5:$B$1005,B698)=0),"Not on Clients — will match a portal client by name",IF(AND(C698="GST",D698&lt;&gt;"",COUNTIF(Clients!$AZ$5:$AZ$1005,UPPER(D698))=0,COUNTIF(Clients!$G$5:$G$1005,"*"&amp;UPPER(D698)&amp;"*")=0),"GSTIN not on Clients — will be checked in the portal","✔ OK")))))</f>
        <v/>
      </c>
    </row>
    <row r="699">
      <c r="A699" s="40" t="n"/>
      <c r="B699" s="41" t="n"/>
      <c r="C699" s="41" t="n"/>
      <c r="D699" s="40" t="n"/>
      <c r="E699" s="40" t="n"/>
      <c r="F699" s="40" t="n"/>
      <c r="G699" s="39">
        <f>IF(COUNTA(A699:F699)=0,"",IF(A699="EXAMPLE","Example (skipped)",IF(OR(C699="",E699="",F699=""),"✖ Portal, User ID and Password are all needed",IF(AND(A699="",COUNTIF(Clients!$B$5:$B$1005,B699)=0),"Not on Clients — will match a portal client by name",IF(AND(C699="GST",D699&lt;&gt;"",COUNTIF(Clients!$AZ$5:$AZ$1005,UPPER(D699))=0,COUNTIF(Clients!$G$5:$G$1005,"*"&amp;UPPER(D699)&amp;"*")=0),"GSTIN not on Clients — will be checked in the portal","✔ OK")))))</f>
        <v/>
      </c>
    </row>
    <row r="700">
      <c r="A700" s="40" t="n"/>
      <c r="B700" s="41" t="n"/>
      <c r="C700" s="41" t="n"/>
      <c r="D700" s="40" t="n"/>
      <c r="E700" s="40" t="n"/>
      <c r="F700" s="40" t="n"/>
      <c r="G700" s="39">
        <f>IF(COUNTA(A700:F700)=0,"",IF(A700="EXAMPLE","Example (skipped)",IF(OR(C700="",E700="",F700=""),"✖ Portal, User ID and Password are all needed",IF(AND(A700="",COUNTIF(Clients!$B$5:$B$1005,B700)=0),"Not on Clients — will match a portal client by name",IF(AND(C700="GST",D700&lt;&gt;"",COUNTIF(Clients!$AZ$5:$AZ$1005,UPPER(D700))=0,COUNTIF(Clients!$G$5:$G$1005,"*"&amp;UPPER(D700)&amp;"*")=0),"GSTIN not on Clients — will be checked in the portal","✔ OK")))))</f>
        <v/>
      </c>
    </row>
    <row r="701">
      <c r="A701" s="40" t="n"/>
      <c r="B701" s="41" t="n"/>
      <c r="C701" s="41" t="n"/>
      <c r="D701" s="40" t="n"/>
      <c r="E701" s="40" t="n"/>
      <c r="F701" s="40" t="n"/>
      <c r="G701" s="39">
        <f>IF(COUNTA(A701:F701)=0,"",IF(A701="EXAMPLE","Example (skipped)",IF(OR(C701="",E701="",F701=""),"✖ Portal, User ID and Password are all needed",IF(AND(A701="",COUNTIF(Clients!$B$5:$B$1005,B701)=0),"Not on Clients — will match a portal client by name",IF(AND(C701="GST",D701&lt;&gt;"",COUNTIF(Clients!$AZ$5:$AZ$1005,UPPER(D701))=0,COUNTIF(Clients!$G$5:$G$1005,"*"&amp;UPPER(D701)&amp;"*")=0),"GSTIN not on Clients — will be checked in the portal","✔ OK")))))</f>
        <v/>
      </c>
    </row>
    <row r="702">
      <c r="A702" s="40" t="n"/>
      <c r="B702" s="41" t="n"/>
      <c r="C702" s="41" t="n"/>
      <c r="D702" s="40" t="n"/>
      <c r="E702" s="40" t="n"/>
      <c r="F702" s="40" t="n"/>
      <c r="G702" s="39">
        <f>IF(COUNTA(A702:F702)=0,"",IF(A702="EXAMPLE","Example (skipped)",IF(OR(C702="",E702="",F702=""),"✖ Portal, User ID and Password are all needed",IF(AND(A702="",COUNTIF(Clients!$B$5:$B$1005,B702)=0),"Not on Clients — will match a portal client by name",IF(AND(C702="GST",D702&lt;&gt;"",COUNTIF(Clients!$AZ$5:$AZ$1005,UPPER(D702))=0,COUNTIF(Clients!$G$5:$G$1005,"*"&amp;UPPER(D702)&amp;"*")=0),"GSTIN not on Clients — will be checked in the portal","✔ OK")))))</f>
        <v/>
      </c>
    </row>
    <row r="703">
      <c r="A703" s="40" t="n"/>
      <c r="B703" s="41" t="n"/>
      <c r="C703" s="41" t="n"/>
      <c r="D703" s="40" t="n"/>
      <c r="E703" s="40" t="n"/>
      <c r="F703" s="40" t="n"/>
      <c r="G703" s="39">
        <f>IF(COUNTA(A703:F703)=0,"",IF(A703="EXAMPLE","Example (skipped)",IF(OR(C703="",E703="",F703=""),"✖ Portal, User ID and Password are all needed",IF(AND(A703="",COUNTIF(Clients!$B$5:$B$1005,B703)=0),"Not on Clients — will match a portal client by name",IF(AND(C703="GST",D703&lt;&gt;"",COUNTIF(Clients!$AZ$5:$AZ$1005,UPPER(D703))=0,COUNTIF(Clients!$G$5:$G$1005,"*"&amp;UPPER(D703)&amp;"*")=0),"GSTIN not on Clients — will be checked in the portal","✔ OK")))))</f>
        <v/>
      </c>
    </row>
    <row r="704">
      <c r="A704" s="40" t="n"/>
      <c r="B704" s="41" t="n"/>
      <c r="C704" s="41" t="n"/>
      <c r="D704" s="40" t="n"/>
      <c r="E704" s="40" t="n"/>
      <c r="F704" s="40" t="n"/>
      <c r="G704" s="39">
        <f>IF(COUNTA(A704:F704)=0,"",IF(A704="EXAMPLE","Example (skipped)",IF(OR(C704="",E704="",F704=""),"✖ Portal, User ID and Password are all needed",IF(AND(A704="",COUNTIF(Clients!$B$5:$B$1005,B704)=0),"Not on Clients — will match a portal client by name",IF(AND(C704="GST",D704&lt;&gt;"",COUNTIF(Clients!$AZ$5:$AZ$1005,UPPER(D704))=0,COUNTIF(Clients!$G$5:$G$1005,"*"&amp;UPPER(D704)&amp;"*")=0),"GSTIN not on Clients — will be checked in the portal","✔ OK")))))</f>
        <v/>
      </c>
    </row>
    <row r="705">
      <c r="A705" s="40" t="n"/>
      <c r="B705" s="41" t="n"/>
      <c r="C705" s="41" t="n"/>
      <c r="D705" s="40" t="n"/>
      <c r="E705" s="40" t="n"/>
      <c r="F705" s="40" t="n"/>
      <c r="G705" s="39">
        <f>IF(COUNTA(A705:F705)=0,"",IF(A705="EXAMPLE","Example (skipped)",IF(OR(C705="",E705="",F705=""),"✖ Portal, User ID and Password are all needed",IF(AND(A705="",COUNTIF(Clients!$B$5:$B$1005,B705)=0),"Not on Clients — will match a portal client by name",IF(AND(C705="GST",D705&lt;&gt;"",COUNTIF(Clients!$AZ$5:$AZ$1005,UPPER(D705))=0,COUNTIF(Clients!$G$5:$G$1005,"*"&amp;UPPER(D705)&amp;"*")=0),"GSTIN not on Clients — will be checked in the portal","✔ OK")))))</f>
        <v/>
      </c>
    </row>
    <row r="706">
      <c r="A706" s="40" t="n"/>
      <c r="B706" s="41" t="n"/>
      <c r="C706" s="41" t="n"/>
      <c r="D706" s="40" t="n"/>
      <c r="E706" s="40" t="n"/>
      <c r="F706" s="40" t="n"/>
      <c r="G706" s="39">
        <f>IF(COUNTA(A706:F706)=0,"",IF(A706="EXAMPLE","Example (skipped)",IF(OR(C706="",E706="",F706=""),"✖ Portal, User ID and Password are all needed",IF(AND(A706="",COUNTIF(Clients!$B$5:$B$1005,B706)=0),"Not on Clients — will match a portal client by name",IF(AND(C706="GST",D706&lt;&gt;"",COUNTIF(Clients!$AZ$5:$AZ$1005,UPPER(D706))=0,COUNTIF(Clients!$G$5:$G$1005,"*"&amp;UPPER(D706)&amp;"*")=0),"GSTIN not on Clients — will be checked in the portal","✔ OK")))))</f>
        <v/>
      </c>
    </row>
    <row r="707">
      <c r="A707" s="40" t="n"/>
      <c r="B707" s="41" t="n"/>
      <c r="C707" s="41" t="n"/>
      <c r="D707" s="40" t="n"/>
      <c r="E707" s="40" t="n"/>
      <c r="F707" s="40" t="n"/>
      <c r="G707" s="39">
        <f>IF(COUNTA(A707:F707)=0,"",IF(A707="EXAMPLE","Example (skipped)",IF(OR(C707="",E707="",F707=""),"✖ Portal, User ID and Password are all needed",IF(AND(A707="",COUNTIF(Clients!$B$5:$B$1005,B707)=0),"Not on Clients — will match a portal client by name",IF(AND(C707="GST",D707&lt;&gt;"",COUNTIF(Clients!$AZ$5:$AZ$1005,UPPER(D707))=0,COUNTIF(Clients!$G$5:$G$1005,"*"&amp;UPPER(D707)&amp;"*")=0),"GSTIN not on Clients — will be checked in the portal","✔ OK")))))</f>
        <v/>
      </c>
    </row>
    <row r="708">
      <c r="A708" s="40" t="n"/>
      <c r="B708" s="41" t="n"/>
      <c r="C708" s="41" t="n"/>
      <c r="D708" s="40" t="n"/>
      <c r="E708" s="40" t="n"/>
      <c r="F708" s="40" t="n"/>
      <c r="G708" s="39">
        <f>IF(COUNTA(A708:F708)=0,"",IF(A708="EXAMPLE","Example (skipped)",IF(OR(C708="",E708="",F708=""),"✖ Portal, User ID and Password are all needed",IF(AND(A708="",COUNTIF(Clients!$B$5:$B$1005,B708)=0),"Not on Clients — will match a portal client by name",IF(AND(C708="GST",D708&lt;&gt;"",COUNTIF(Clients!$AZ$5:$AZ$1005,UPPER(D708))=0,COUNTIF(Clients!$G$5:$G$1005,"*"&amp;UPPER(D708)&amp;"*")=0),"GSTIN not on Clients — will be checked in the portal","✔ OK")))))</f>
        <v/>
      </c>
    </row>
    <row r="709">
      <c r="A709" s="40" t="n"/>
      <c r="B709" s="41" t="n"/>
      <c r="C709" s="41" t="n"/>
      <c r="D709" s="40" t="n"/>
      <c r="E709" s="40" t="n"/>
      <c r="F709" s="40" t="n"/>
      <c r="G709" s="39">
        <f>IF(COUNTA(A709:F709)=0,"",IF(A709="EXAMPLE","Example (skipped)",IF(OR(C709="",E709="",F709=""),"✖ Portal, User ID and Password are all needed",IF(AND(A709="",COUNTIF(Clients!$B$5:$B$1005,B709)=0),"Not on Clients — will match a portal client by name",IF(AND(C709="GST",D709&lt;&gt;"",COUNTIF(Clients!$AZ$5:$AZ$1005,UPPER(D709))=0,COUNTIF(Clients!$G$5:$G$1005,"*"&amp;UPPER(D709)&amp;"*")=0),"GSTIN not on Clients — will be checked in the portal","✔ OK")))))</f>
        <v/>
      </c>
    </row>
    <row r="710">
      <c r="A710" s="40" t="n"/>
      <c r="B710" s="41" t="n"/>
      <c r="C710" s="41" t="n"/>
      <c r="D710" s="40" t="n"/>
      <c r="E710" s="40" t="n"/>
      <c r="F710" s="40" t="n"/>
      <c r="G710" s="39">
        <f>IF(COUNTA(A710:F710)=0,"",IF(A710="EXAMPLE","Example (skipped)",IF(OR(C710="",E710="",F710=""),"✖ Portal, User ID and Password are all needed",IF(AND(A710="",COUNTIF(Clients!$B$5:$B$1005,B710)=0),"Not on Clients — will match a portal client by name",IF(AND(C710="GST",D710&lt;&gt;"",COUNTIF(Clients!$AZ$5:$AZ$1005,UPPER(D710))=0,COUNTIF(Clients!$G$5:$G$1005,"*"&amp;UPPER(D710)&amp;"*")=0),"GSTIN not on Clients — will be checked in the portal","✔ OK")))))</f>
        <v/>
      </c>
    </row>
    <row r="711">
      <c r="A711" s="40" t="n"/>
      <c r="B711" s="41" t="n"/>
      <c r="C711" s="41" t="n"/>
      <c r="D711" s="40" t="n"/>
      <c r="E711" s="40" t="n"/>
      <c r="F711" s="40" t="n"/>
      <c r="G711" s="39">
        <f>IF(COUNTA(A711:F711)=0,"",IF(A711="EXAMPLE","Example (skipped)",IF(OR(C711="",E711="",F711=""),"✖ Portal, User ID and Password are all needed",IF(AND(A711="",COUNTIF(Clients!$B$5:$B$1005,B711)=0),"Not on Clients — will match a portal client by name",IF(AND(C711="GST",D711&lt;&gt;"",COUNTIF(Clients!$AZ$5:$AZ$1005,UPPER(D711))=0,COUNTIF(Clients!$G$5:$G$1005,"*"&amp;UPPER(D711)&amp;"*")=0),"GSTIN not on Clients — will be checked in the portal","✔ OK")))))</f>
        <v/>
      </c>
    </row>
    <row r="712">
      <c r="A712" s="40" t="n"/>
      <c r="B712" s="41" t="n"/>
      <c r="C712" s="41" t="n"/>
      <c r="D712" s="40" t="n"/>
      <c r="E712" s="40" t="n"/>
      <c r="F712" s="40" t="n"/>
      <c r="G712" s="39">
        <f>IF(COUNTA(A712:F712)=0,"",IF(A712="EXAMPLE","Example (skipped)",IF(OR(C712="",E712="",F712=""),"✖ Portal, User ID and Password are all needed",IF(AND(A712="",COUNTIF(Clients!$B$5:$B$1005,B712)=0),"Not on Clients — will match a portal client by name",IF(AND(C712="GST",D712&lt;&gt;"",COUNTIF(Clients!$AZ$5:$AZ$1005,UPPER(D712))=0,COUNTIF(Clients!$G$5:$G$1005,"*"&amp;UPPER(D712)&amp;"*")=0),"GSTIN not on Clients — will be checked in the portal","✔ OK")))))</f>
        <v/>
      </c>
    </row>
    <row r="713">
      <c r="A713" s="40" t="n"/>
      <c r="B713" s="41" t="n"/>
      <c r="C713" s="41" t="n"/>
      <c r="D713" s="40" t="n"/>
      <c r="E713" s="40" t="n"/>
      <c r="F713" s="40" t="n"/>
      <c r="G713" s="39">
        <f>IF(COUNTA(A713:F713)=0,"",IF(A713="EXAMPLE","Example (skipped)",IF(OR(C713="",E713="",F713=""),"✖ Portal, User ID and Password are all needed",IF(AND(A713="",COUNTIF(Clients!$B$5:$B$1005,B713)=0),"Not on Clients — will match a portal client by name",IF(AND(C713="GST",D713&lt;&gt;"",COUNTIF(Clients!$AZ$5:$AZ$1005,UPPER(D713))=0,COUNTIF(Clients!$G$5:$G$1005,"*"&amp;UPPER(D713)&amp;"*")=0),"GSTIN not on Clients — will be checked in the portal","✔ OK")))))</f>
        <v/>
      </c>
    </row>
    <row r="714">
      <c r="A714" s="40" t="n"/>
      <c r="B714" s="41" t="n"/>
      <c r="C714" s="41" t="n"/>
      <c r="D714" s="40" t="n"/>
      <c r="E714" s="40" t="n"/>
      <c r="F714" s="40" t="n"/>
      <c r="G714" s="39">
        <f>IF(COUNTA(A714:F714)=0,"",IF(A714="EXAMPLE","Example (skipped)",IF(OR(C714="",E714="",F714=""),"✖ Portal, User ID and Password are all needed",IF(AND(A714="",COUNTIF(Clients!$B$5:$B$1005,B714)=0),"Not on Clients — will match a portal client by name",IF(AND(C714="GST",D714&lt;&gt;"",COUNTIF(Clients!$AZ$5:$AZ$1005,UPPER(D714))=0,COUNTIF(Clients!$G$5:$G$1005,"*"&amp;UPPER(D714)&amp;"*")=0),"GSTIN not on Clients — will be checked in the portal","✔ OK")))))</f>
        <v/>
      </c>
    </row>
    <row r="715">
      <c r="A715" s="40" t="n"/>
      <c r="B715" s="41" t="n"/>
      <c r="C715" s="41" t="n"/>
      <c r="D715" s="40" t="n"/>
      <c r="E715" s="40" t="n"/>
      <c r="F715" s="40" t="n"/>
      <c r="G715" s="39">
        <f>IF(COUNTA(A715:F715)=0,"",IF(A715="EXAMPLE","Example (skipped)",IF(OR(C715="",E715="",F715=""),"✖ Portal, User ID and Password are all needed",IF(AND(A715="",COUNTIF(Clients!$B$5:$B$1005,B715)=0),"Not on Clients — will match a portal client by name",IF(AND(C715="GST",D715&lt;&gt;"",COUNTIF(Clients!$AZ$5:$AZ$1005,UPPER(D715))=0,COUNTIF(Clients!$G$5:$G$1005,"*"&amp;UPPER(D715)&amp;"*")=0),"GSTIN not on Clients — will be checked in the portal","✔ OK")))))</f>
        <v/>
      </c>
    </row>
    <row r="716">
      <c r="A716" s="40" t="n"/>
      <c r="B716" s="41" t="n"/>
      <c r="C716" s="41" t="n"/>
      <c r="D716" s="40" t="n"/>
      <c r="E716" s="40" t="n"/>
      <c r="F716" s="40" t="n"/>
      <c r="G716" s="39">
        <f>IF(COUNTA(A716:F716)=0,"",IF(A716="EXAMPLE","Example (skipped)",IF(OR(C716="",E716="",F716=""),"✖ Portal, User ID and Password are all needed",IF(AND(A716="",COUNTIF(Clients!$B$5:$B$1005,B716)=0),"Not on Clients — will match a portal client by name",IF(AND(C716="GST",D716&lt;&gt;"",COUNTIF(Clients!$AZ$5:$AZ$1005,UPPER(D716))=0,COUNTIF(Clients!$G$5:$G$1005,"*"&amp;UPPER(D716)&amp;"*")=0),"GSTIN not on Clients — will be checked in the portal","✔ OK")))))</f>
        <v/>
      </c>
    </row>
    <row r="717">
      <c r="A717" s="40" t="n"/>
      <c r="B717" s="41" t="n"/>
      <c r="C717" s="41" t="n"/>
      <c r="D717" s="40" t="n"/>
      <c r="E717" s="40" t="n"/>
      <c r="F717" s="40" t="n"/>
      <c r="G717" s="39">
        <f>IF(COUNTA(A717:F717)=0,"",IF(A717="EXAMPLE","Example (skipped)",IF(OR(C717="",E717="",F717=""),"✖ Portal, User ID and Password are all needed",IF(AND(A717="",COUNTIF(Clients!$B$5:$B$1005,B717)=0),"Not on Clients — will match a portal client by name",IF(AND(C717="GST",D717&lt;&gt;"",COUNTIF(Clients!$AZ$5:$AZ$1005,UPPER(D717))=0,COUNTIF(Clients!$G$5:$G$1005,"*"&amp;UPPER(D717)&amp;"*")=0),"GSTIN not on Clients — will be checked in the portal","✔ OK")))))</f>
        <v/>
      </c>
    </row>
    <row r="718">
      <c r="A718" s="40" t="n"/>
      <c r="B718" s="41" t="n"/>
      <c r="C718" s="41" t="n"/>
      <c r="D718" s="40" t="n"/>
      <c r="E718" s="40" t="n"/>
      <c r="F718" s="40" t="n"/>
      <c r="G718" s="39">
        <f>IF(COUNTA(A718:F718)=0,"",IF(A718="EXAMPLE","Example (skipped)",IF(OR(C718="",E718="",F718=""),"✖ Portal, User ID and Password are all needed",IF(AND(A718="",COUNTIF(Clients!$B$5:$B$1005,B718)=0),"Not on Clients — will match a portal client by name",IF(AND(C718="GST",D718&lt;&gt;"",COUNTIF(Clients!$AZ$5:$AZ$1005,UPPER(D718))=0,COUNTIF(Clients!$G$5:$G$1005,"*"&amp;UPPER(D718)&amp;"*")=0),"GSTIN not on Clients — will be checked in the portal","✔ OK")))))</f>
        <v/>
      </c>
    </row>
    <row r="719">
      <c r="A719" s="40" t="n"/>
      <c r="B719" s="41" t="n"/>
      <c r="C719" s="41" t="n"/>
      <c r="D719" s="40" t="n"/>
      <c r="E719" s="40" t="n"/>
      <c r="F719" s="40" t="n"/>
      <c r="G719" s="39">
        <f>IF(COUNTA(A719:F719)=0,"",IF(A719="EXAMPLE","Example (skipped)",IF(OR(C719="",E719="",F719=""),"✖ Portal, User ID and Password are all needed",IF(AND(A719="",COUNTIF(Clients!$B$5:$B$1005,B719)=0),"Not on Clients — will match a portal client by name",IF(AND(C719="GST",D719&lt;&gt;"",COUNTIF(Clients!$AZ$5:$AZ$1005,UPPER(D719))=0,COUNTIF(Clients!$G$5:$G$1005,"*"&amp;UPPER(D719)&amp;"*")=0),"GSTIN not on Clients — will be checked in the portal","✔ OK")))))</f>
        <v/>
      </c>
    </row>
    <row r="720">
      <c r="A720" s="40" t="n"/>
      <c r="B720" s="41" t="n"/>
      <c r="C720" s="41" t="n"/>
      <c r="D720" s="40" t="n"/>
      <c r="E720" s="40" t="n"/>
      <c r="F720" s="40" t="n"/>
      <c r="G720" s="39">
        <f>IF(COUNTA(A720:F720)=0,"",IF(A720="EXAMPLE","Example (skipped)",IF(OR(C720="",E720="",F720=""),"✖ Portal, User ID and Password are all needed",IF(AND(A720="",COUNTIF(Clients!$B$5:$B$1005,B720)=0),"Not on Clients — will match a portal client by name",IF(AND(C720="GST",D720&lt;&gt;"",COUNTIF(Clients!$AZ$5:$AZ$1005,UPPER(D720))=0,COUNTIF(Clients!$G$5:$G$1005,"*"&amp;UPPER(D720)&amp;"*")=0),"GSTIN not on Clients — will be checked in the portal","✔ OK")))))</f>
        <v/>
      </c>
    </row>
    <row r="721">
      <c r="A721" s="40" t="n"/>
      <c r="B721" s="41" t="n"/>
      <c r="C721" s="41" t="n"/>
      <c r="D721" s="40" t="n"/>
      <c r="E721" s="40" t="n"/>
      <c r="F721" s="40" t="n"/>
      <c r="G721" s="39">
        <f>IF(COUNTA(A721:F721)=0,"",IF(A721="EXAMPLE","Example (skipped)",IF(OR(C721="",E721="",F721=""),"✖ Portal, User ID and Password are all needed",IF(AND(A721="",COUNTIF(Clients!$B$5:$B$1005,B721)=0),"Not on Clients — will match a portal client by name",IF(AND(C721="GST",D721&lt;&gt;"",COUNTIF(Clients!$AZ$5:$AZ$1005,UPPER(D721))=0,COUNTIF(Clients!$G$5:$G$1005,"*"&amp;UPPER(D721)&amp;"*")=0),"GSTIN not on Clients — will be checked in the portal","✔ OK")))))</f>
        <v/>
      </c>
    </row>
    <row r="722">
      <c r="A722" s="40" t="n"/>
      <c r="B722" s="41" t="n"/>
      <c r="C722" s="41" t="n"/>
      <c r="D722" s="40" t="n"/>
      <c r="E722" s="40" t="n"/>
      <c r="F722" s="40" t="n"/>
      <c r="G722" s="39">
        <f>IF(COUNTA(A722:F722)=0,"",IF(A722="EXAMPLE","Example (skipped)",IF(OR(C722="",E722="",F722=""),"✖ Portal, User ID and Password are all needed",IF(AND(A722="",COUNTIF(Clients!$B$5:$B$1005,B722)=0),"Not on Clients — will match a portal client by name",IF(AND(C722="GST",D722&lt;&gt;"",COUNTIF(Clients!$AZ$5:$AZ$1005,UPPER(D722))=0,COUNTIF(Clients!$G$5:$G$1005,"*"&amp;UPPER(D722)&amp;"*")=0),"GSTIN not on Clients — will be checked in the portal","✔ OK")))))</f>
        <v/>
      </c>
    </row>
    <row r="723">
      <c r="A723" s="40" t="n"/>
      <c r="B723" s="41" t="n"/>
      <c r="C723" s="41" t="n"/>
      <c r="D723" s="40" t="n"/>
      <c r="E723" s="40" t="n"/>
      <c r="F723" s="40" t="n"/>
      <c r="G723" s="39">
        <f>IF(COUNTA(A723:F723)=0,"",IF(A723="EXAMPLE","Example (skipped)",IF(OR(C723="",E723="",F723=""),"✖ Portal, User ID and Password are all needed",IF(AND(A723="",COUNTIF(Clients!$B$5:$B$1005,B723)=0),"Not on Clients — will match a portal client by name",IF(AND(C723="GST",D723&lt;&gt;"",COUNTIF(Clients!$AZ$5:$AZ$1005,UPPER(D723))=0,COUNTIF(Clients!$G$5:$G$1005,"*"&amp;UPPER(D723)&amp;"*")=0),"GSTIN not on Clients — will be checked in the portal","✔ OK")))))</f>
        <v/>
      </c>
    </row>
    <row r="724">
      <c r="A724" s="40" t="n"/>
      <c r="B724" s="41" t="n"/>
      <c r="C724" s="41" t="n"/>
      <c r="D724" s="40" t="n"/>
      <c r="E724" s="40" t="n"/>
      <c r="F724" s="40" t="n"/>
      <c r="G724" s="39">
        <f>IF(COUNTA(A724:F724)=0,"",IF(A724="EXAMPLE","Example (skipped)",IF(OR(C724="",E724="",F724=""),"✖ Portal, User ID and Password are all needed",IF(AND(A724="",COUNTIF(Clients!$B$5:$B$1005,B724)=0),"Not on Clients — will match a portal client by name",IF(AND(C724="GST",D724&lt;&gt;"",COUNTIF(Clients!$AZ$5:$AZ$1005,UPPER(D724))=0,COUNTIF(Clients!$G$5:$G$1005,"*"&amp;UPPER(D724)&amp;"*")=0),"GSTIN not on Clients — will be checked in the portal","✔ OK")))))</f>
        <v/>
      </c>
    </row>
    <row r="725">
      <c r="A725" s="40" t="n"/>
      <c r="B725" s="41" t="n"/>
      <c r="C725" s="41" t="n"/>
      <c r="D725" s="40" t="n"/>
      <c r="E725" s="40" t="n"/>
      <c r="F725" s="40" t="n"/>
      <c r="G725" s="39">
        <f>IF(COUNTA(A725:F725)=0,"",IF(A725="EXAMPLE","Example (skipped)",IF(OR(C725="",E725="",F725=""),"✖ Portal, User ID and Password are all needed",IF(AND(A725="",COUNTIF(Clients!$B$5:$B$1005,B725)=0),"Not on Clients — will match a portal client by name",IF(AND(C725="GST",D725&lt;&gt;"",COUNTIF(Clients!$AZ$5:$AZ$1005,UPPER(D725))=0,COUNTIF(Clients!$G$5:$G$1005,"*"&amp;UPPER(D725)&amp;"*")=0),"GSTIN not on Clients — will be checked in the portal","✔ OK")))))</f>
        <v/>
      </c>
    </row>
    <row r="726">
      <c r="A726" s="40" t="n"/>
      <c r="B726" s="41" t="n"/>
      <c r="C726" s="41" t="n"/>
      <c r="D726" s="40" t="n"/>
      <c r="E726" s="40" t="n"/>
      <c r="F726" s="40" t="n"/>
      <c r="G726" s="39">
        <f>IF(COUNTA(A726:F726)=0,"",IF(A726="EXAMPLE","Example (skipped)",IF(OR(C726="",E726="",F726=""),"✖ Portal, User ID and Password are all needed",IF(AND(A726="",COUNTIF(Clients!$B$5:$B$1005,B726)=0),"Not on Clients — will match a portal client by name",IF(AND(C726="GST",D726&lt;&gt;"",COUNTIF(Clients!$AZ$5:$AZ$1005,UPPER(D726))=0,COUNTIF(Clients!$G$5:$G$1005,"*"&amp;UPPER(D726)&amp;"*")=0),"GSTIN not on Clients — will be checked in the portal","✔ OK")))))</f>
        <v/>
      </c>
    </row>
    <row r="727">
      <c r="A727" s="40" t="n"/>
      <c r="B727" s="41" t="n"/>
      <c r="C727" s="41" t="n"/>
      <c r="D727" s="40" t="n"/>
      <c r="E727" s="40" t="n"/>
      <c r="F727" s="40" t="n"/>
      <c r="G727" s="39">
        <f>IF(COUNTA(A727:F727)=0,"",IF(A727="EXAMPLE","Example (skipped)",IF(OR(C727="",E727="",F727=""),"✖ Portal, User ID and Password are all needed",IF(AND(A727="",COUNTIF(Clients!$B$5:$B$1005,B727)=0),"Not on Clients — will match a portal client by name",IF(AND(C727="GST",D727&lt;&gt;"",COUNTIF(Clients!$AZ$5:$AZ$1005,UPPER(D727))=0,COUNTIF(Clients!$G$5:$G$1005,"*"&amp;UPPER(D727)&amp;"*")=0),"GSTIN not on Clients — will be checked in the portal","✔ OK")))))</f>
        <v/>
      </c>
    </row>
    <row r="728">
      <c r="A728" s="40" t="n"/>
      <c r="B728" s="41" t="n"/>
      <c r="C728" s="41" t="n"/>
      <c r="D728" s="40" t="n"/>
      <c r="E728" s="40" t="n"/>
      <c r="F728" s="40" t="n"/>
      <c r="G728" s="39">
        <f>IF(COUNTA(A728:F728)=0,"",IF(A728="EXAMPLE","Example (skipped)",IF(OR(C728="",E728="",F728=""),"✖ Portal, User ID and Password are all needed",IF(AND(A728="",COUNTIF(Clients!$B$5:$B$1005,B728)=0),"Not on Clients — will match a portal client by name",IF(AND(C728="GST",D728&lt;&gt;"",COUNTIF(Clients!$AZ$5:$AZ$1005,UPPER(D728))=0,COUNTIF(Clients!$G$5:$G$1005,"*"&amp;UPPER(D728)&amp;"*")=0),"GSTIN not on Clients — will be checked in the portal","✔ OK")))))</f>
        <v/>
      </c>
    </row>
    <row r="729">
      <c r="A729" s="40" t="n"/>
      <c r="B729" s="41" t="n"/>
      <c r="C729" s="41" t="n"/>
      <c r="D729" s="40" t="n"/>
      <c r="E729" s="40" t="n"/>
      <c r="F729" s="40" t="n"/>
      <c r="G729" s="39">
        <f>IF(COUNTA(A729:F729)=0,"",IF(A729="EXAMPLE","Example (skipped)",IF(OR(C729="",E729="",F729=""),"✖ Portal, User ID and Password are all needed",IF(AND(A729="",COUNTIF(Clients!$B$5:$B$1005,B729)=0),"Not on Clients — will match a portal client by name",IF(AND(C729="GST",D729&lt;&gt;"",COUNTIF(Clients!$AZ$5:$AZ$1005,UPPER(D729))=0,COUNTIF(Clients!$G$5:$G$1005,"*"&amp;UPPER(D729)&amp;"*")=0),"GSTIN not on Clients — will be checked in the portal","✔ OK")))))</f>
        <v/>
      </c>
    </row>
    <row r="730">
      <c r="A730" s="40" t="n"/>
      <c r="B730" s="41" t="n"/>
      <c r="C730" s="41" t="n"/>
      <c r="D730" s="40" t="n"/>
      <c r="E730" s="40" t="n"/>
      <c r="F730" s="40" t="n"/>
      <c r="G730" s="39">
        <f>IF(COUNTA(A730:F730)=0,"",IF(A730="EXAMPLE","Example (skipped)",IF(OR(C730="",E730="",F730=""),"✖ Portal, User ID and Password are all needed",IF(AND(A730="",COUNTIF(Clients!$B$5:$B$1005,B730)=0),"Not on Clients — will match a portal client by name",IF(AND(C730="GST",D730&lt;&gt;"",COUNTIF(Clients!$AZ$5:$AZ$1005,UPPER(D730))=0,COUNTIF(Clients!$G$5:$G$1005,"*"&amp;UPPER(D730)&amp;"*")=0),"GSTIN not on Clients — will be checked in the portal","✔ OK")))))</f>
        <v/>
      </c>
    </row>
    <row r="731">
      <c r="A731" s="40" t="n"/>
      <c r="B731" s="41" t="n"/>
      <c r="C731" s="41" t="n"/>
      <c r="D731" s="40" t="n"/>
      <c r="E731" s="40" t="n"/>
      <c r="F731" s="40" t="n"/>
      <c r="G731" s="39">
        <f>IF(COUNTA(A731:F731)=0,"",IF(A731="EXAMPLE","Example (skipped)",IF(OR(C731="",E731="",F731=""),"✖ Portal, User ID and Password are all needed",IF(AND(A731="",COUNTIF(Clients!$B$5:$B$1005,B731)=0),"Not on Clients — will match a portal client by name",IF(AND(C731="GST",D731&lt;&gt;"",COUNTIF(Clients!$AZ$5:$AZ$1005,UPPER(D731))=0,COUNTIF(Clients!$G$5:$G$1005,"*"&amp;UPPER(D731)&amp;"*")=0),"GSTIN not on Clients — will be checked in the portal","✔ OK")))))</f>
        <v/>
      </c>
    </row>
    <row r="732">
      <c r="A732" s="40" t="n"/>
      <c r="B732" s="41" t="n"/>
      <c r="C732" s="41" t="n"/>
      <c r="D732" s="40" t="n"/>
      <c r="E732" s="40" t="n"/>
      <c r="F732" s="40" t="n"/>
      <c r="G732" s="39">
        <f>IF(COUNTA(A732:F732)=0,"",IF(A732="EXAMPLE","Example (skipped)",IF(OR(C732="",E732="",F732=""),"✖ Portal, User ID and Password are all needed",IF(AND(A732="",COUNTIF(Clients!$B$5:$B$1005,B732)=0),"Not on Clients — will match a portal client by name",IF(AND(C732="GST",D732&lt;&gt;"",COUNTIF(Clients!$AZ$5:$AZ$1005,UPPER(D732))=0,COUNTIF(Clients!$G$5:$G$1005,"*"&amp;UPPER(D732)&amp;"*")=0),"GSTIN not on Clients — will be checked in the portal","✔ OK")))))</f>
        <v/>
      </c>
    </row>
    <row r="733">
      <c r="A733" s="40" t="n"/>
      <c r="B733" s="41" t="n"/>
      <c r="C733" s="41" t="n"/>
      <c r="D733" s="40" t="n"/>
      <c r="E733" s="40" t="n"/>
      <c r="F733" s="40" t="n"/>
      <c r="G733" s="39">
        <f>IF(COUNTA(A733:F733)=0,"",IF(A733="EXAMPLE","Example (skipped)",IF(OR(C733="",E733="",F733=""),"✖ Portal, User ID and Password are all needed",IF(AND(A733="",COUNTIF(Clients!$B$5:$B$1005,B733)=0),"Not on Clients — will match a portal client by name",IF(AND(C733="GST",D733&lt;&gt;"",COUNTIF(Clients!$AZ$5:$AZ$1005,UPPER(D733))=0,COUNTIF(Clients!$G$5:$G$1005,"*"&amp;UPPER(D733)&amp;"*")=0),"GSTIN not on Clients — will be checked in the portal","✔ OK")))))</f>
        <v/>
      </c>
    </row>
    <row r="734">
      <c r="A734" s="40" t="n"/>
      <c r="B734" s="41" t="n"/>
      <c r="C734" s="41" t="n"/>
      <c r="D734" s="40" t="n"/>
      <c r="E734" s="40" t="n"/>
      <c r="F734" s="40" t="n"/>
      <c r="G734" s="39">
        <f>IF(COUNTA(A734:F734)=0,"",IF(A734="EXAMPLE","Example (skipped)",IF(OR(C734="",E734="",F734=""),"✖ Portal, User ID and Password are all needed",IF(AND(A734="",COUNTIF(Clients!$B$5:$B$1005,B734)=0),"Not on Clients — will match a portal client by name",IF(AND(C734="GST",D734&lt;&gt;"",COUNTIF(Clients!$AZ$5:$AZ$1005,UPPER(D734))=0,COUNTIF(Clients!$G$5:$G$1005,"*"&amp;UPPER(D734)&amp;"*")=0),"GSTIN not on Clients — will be checked in the portal","✔ OK")))))</f>
        <v/>
      </c>
    </row>
    <row r="735">
      <c r="A735" s="40" t="n"/>
      <c r="B735" s="41" t="n"/>
      <c r="C735" s="41" t="n"/>
      <c r="D735" s="40" t="n"/>
      <c r="E735" s="40" t="n"/>
      <c r="F735" s="40" t="n"/>
      <c r="G735" s="39">
        <f>IF(COUNTA(A735:F735)=0,"",IF(A735="EXAMPLE","Example (skipped)",IF(OR(C735="",E735="",F735=""),"✖ Portal, User ID and Password are all needed",IF(AND(A735="",COUNTIF(Clients!$B$5:$B$1005,B735)=0),"Not on Clients — will match a portal client by name",IF(AND(C735="GST",D735&lt;&gt;"",COUNTIF(Clients!$AZ$5:$AZ$1005,UPPER(D735))=0,COUNTIF(Clients!$G$5:$G$1005,"*"&amp;UPPER(D735)&amp;"*")=0),"GSTIN not on Clients — will be checked in the portal","✔ OK")))))</f>
        <v/>
      </c>
    </row>
    <row r="736">
      <c r="A736" s="40" t="n"/>
      <c r="B736" s="41" t="n"/>
      <c r="C736" s="41" t="n"/>
      <c r="D736" s="40" t="n"/>
      <c r="E736" s="40" t="n"/>
      <c r="F736" s="40" t="n"/>
      <c r="G736" s="39">
        <f>IF(COUNTA(A736:F736)=0,"",IF(A736="EXAMPLE","Example (skipped)",IF(OR(C736="",E736="",F736=""),"✖ Portal, User ID and Password are all needed",IF(AND(A736="",COUNTIF(Clients!$B$5:$B$1005,B736)=0),"Not on Clients — will match a portal client by name",IF(AND(C736="GST",D736&lt;&gt;"",COUNTIF(Clients!$AZ$5:$AZ$1005,UPPER(D736))=0,COUNTIF(Clients!$G$5:$G$1005,"*"&amp;UPPER(D736)&amp;"*")=0),"GSTIN not on Clients — will be checked in the portal","✔ OK")))))</f>
        <v/>
      </c>
    </row>
    <row r="737">
      <c r="A737" s="40" t="n"/>
      <c r="B737" s="41" t="n"/>
      <c r="C737" s="41" t="n"/>
      <c r="D737" s="40" t="n"/>
      <c r="E737" s="40" t="n"/>
      <c r="F737" s="40" t="n"/>
      <c r="G737" s="39">
        <f>IF(COUNTA(A737:F737)=0,"",IF(A737="EXAMPLE","Example (skipped)",IF(OR(C737="",E737="",F737=""),"✖ Portal, User ID and Password are all needed",IF(AND(A737="",COUNTIF(Clients!$B$5:$B$1005,B737)=0),"Not on Clients — will match a portal client by name",IF(AND(C737="GST",D737&lt;&gt;"",COUNTIF(Clients!$AZ$5:$AZ$1005,UPPER(D737))=0,COUNTIF(Clients!$G$5:$G$1005,"*"&amp;UPPER(D737)&amp;"*")=0),"GSTIN not on Clients — will be checked in the portal","✔ OK")))))</f>
        <v/>
      </c>
    </row>
    <row r="738">
      <c r="A738" s="40" t="n"/>
      <c r="B738" s="41" t="n"/>
      <c r="C738" s="41" t="n"/>
      <c r="D738" s="40" t="n"/>
      <c r="E738" s="40" t="n"/>
      <c r="F738" s="40" t="n"/>
      <c r="G738" s="39">
        <f>IF(COUNTA(A738:F738)=0,"",IF(A738="EXAMPLE","Example (skipped)",IF(OR(C738="",E738="",F738=""),"✖ Portal, User ID and Password are all needed",IF(AND(A738="",COUNTIF(Clients!$B$5:$B$1005,B738)=0),"Not on Clients — will match a portal client by name",IF(AND(C738="GST",D738&lt;&gt;"",COUNTIF(Clients!$AZ$5:$AZ$1005,UPPER(D738))=0,COUNTIF(Clients!$G$5:$G$1005,"*"&amp;UPPER(D738)&amp;"*")=0),"GSTIN not on Clients — will be checked in the portal","✔ OK")))))</f>
        <v/>
      </c>
    </row>
    <row r="739">
      <c r="A739" s="40" t="n"/>
      <c r="B739" s="41" t="n"/>
      <c r="C739" s="41" t="n"/>
      <c r="D739" s="40" t="n"/>
      <c r="E739" s="40" t="n"/>
      <c r="F739" s="40" t="n"/>
      <c r="G739" s="39">
        <f>IF(COUNTA(A739:F739)=0,"",IF(A739="EXAMPLE","Example (skipped)",IF(OR(C739="",E739="",F739=""),"✖ Portal, User ID and Password are all needed",IF(AND(A739="",COUNTIF(Clients!$B$5:$B$1005,B739)=0),"Not on Clients — will match a portal client by name",IF(AND(C739="GST",D739&lt;&gt;"",COUNTIF(Clients!$AZ$5:$AZ$1005,UPPER(D739))=0,COUNTIF(Clients!$G$5:$G$1005,"*"&amp;UPPER(D739)&amp;"*")=0),"GSTIN not on Clients — will be checked in the portal","✔ OK")))))</f>
        <v/>
      </c>
    </row>
    <row r="740">
      <c r="A740" s="40" t="n"/>
      <c r="B740" s="41" t="n"/>
      <c r="C740" s="41" t="n"/>
      <c r="D740" s="40" t="n"/>
      <c r="E740" s="40" t="n"/>
      <c r="F740" s="40" t="n"/>
      <c r="G740" s="39">
        <f>IF(COUNTA(A740:F740)=0,"",IF(A740="EXAMPLE","Example (skipped)",IF(OR(C740="",E740="",F740=""),"✖ Portal, User ID and Password are all needed",IF(AND(A740="",COUNTIF(Clients!$B$5:$B$1005,B740)=0),"Not on Clients — will match a portal client by name",IF(AND(C740="GST",D740&lt;&gt;"",COUNTIF(Clients!$AZ$5:$AZ$1005,UPPER(D740))=0,COUNTIF(Clients!$G$5:$G$1005,"*"&amp;UPPER(D740)&amp;"*")=0),"GSTIN not on Clients — will be checked in the portal","✔ OK")))))</f>
        <v/>
      </c>
    </row>
    <row r="741">
      <c r="A741" s="40" t="n"/>
      <c r="B741" s="41" t="n"/>
      <c r="C741" s="41" t="n"/>
      <c r="D741" s="40" t="n"/>
      <c r="E741" s="40" t="n"/>
      <c r="F741" s="40" t="n"/>
      <c r="G741" s="39">
        <f>IF(COUNTA(A741:F741)=0,"",IF(A741="EXAMPLE","Example (skipped)",IF(OR(C741="",E741="",F741=""),"✖ Portal, User ID and Password are all needed",IF(AND(A741="",COUNTIF(Clients!$B$5:$B$1005,B741)=0),"Not on Clients — will match a portal client by name",IF(AND(C741="GST",D741&lt;&gt;"",COUNTIF(Clients!$AZ$5:$AZ$1005,UPPER(D741))=0,COUNTIF(Clients!$G$5:$G$1005,"*"&amp;UPPER(D741)&amp;"*")=0),"GSTIN not on Clients — will be checked in the portal","✔ OK")))))</f>
        <v/>
      </c>
    </row>
    <row r="742">
      <c r="A742" s="40" t="n"/>
      <c r="B742" s="41" t="n"/>
      <c r="C742" s="41" t="n"/>
      <c r="D742" s="40" t="n"/>
      <c r="E742" s="40" t="n"/>
      <c r="F742" s="40" t="n"/>
      <c r="G742" s="39">
        <f>IF(COUNTA(A742:F742)=0,"",IF(A742="EXAMPLE","Example (skipped)",IF(OR(C742="",E742="",F742=""),"✖ Portal, User ID and Password are all needed",IF(AND(A742="",COUNTIF(Clients!$B$5:$B$1005,B742)=0),"Not on Clients — will match a portal client by name",IF(AND(C742="GST",D742&lt;&gt;"",COUNTIF(Clients!$AZ$5:$AZ$1005,UPPER(D742))=0,COUNTIF(Clients!$G$5:$G$1005,"*"&amp;UPPER(D742)&amp;"*")=0),"GSTIN not on Clients — will be checked in the portal","✔ OK")))))</f>
        <v/>
      </c>
    </row>
    <row r="743">
      <c r="A743" s="40" t="n"/>
      <c r="B743" s="41" t="n"/>
      <c r="C743" s="41" t="n"/>
      <c r="D743" s="40" t="n"/>
      <c r="E743" s="40" t="n"/>
      <c r="F743" s="40" t="n"/>
      <c r="G743" s="39">
        <f>IF(COUNTA(A743:F743)=0,"",IF(A743="EXAMPLE","Example (skipped)",IF(OR(C743="",E743="",F743=""),"✖ Portal, User ID and Password are all needed",IF(AND(A743="",COUNTIF(Clients!$B$5:$B$1005,B743)=0),"Not on Clients — will match a portal client by name",IF(AND(C743="GST",D743&lt;&gt;"",COUNTIF(Clients!$AZ$5:$AZ$1005,UPPER(D743))=0,COUNTIF(Clients!$G$5:$G$1005,"*"&amp;UPPER(D743)&amp;"*")=0),"GSTIN not on Clients — will be checked in the portal","✔ OK")))))</f>
        <v/>
      </c>
    </row>
    <row r="744">
      <c r="A744" s="40" t="n"/>
      <c r="B744" s="41" t="n"/>
      <c r="C744" s="41" t="n"/>
      <c r="D744" s="40" t="n"/>
      <c r="E744" s="40" t="n"/>
      <c r="F744" s="40" t="n"/>
      <c r="G744" s="39">
        <f>IF(COUNTA(A744:F744)=0,"",IF(A744="EXAMPLE","Example (skipped)",IF(OR(C744="",E744="",F744=""),"✖ Portal, User ID and Password are all needed",IF(AND(A744="",COUNTIF(Clients!$B$5:$B$1005,B744)=0),"Not on Clients — will match a portal client by name",IF(AND(C744="GST",D744&lt;&gt;"",COUNTIF(Clients!$AZ$5:$AZ$1005,UPPER(D744))=0,COUNTIF(Clients!$G$5:$G$1005,"*"&amp;UPPER(D744)&amp;"*")=0),"GSTIN not on Clients — will be checked in the portal","✔ OK")))))</f>
        <v/>
      </c>
    </row>
    <row r="745">
      <c r="A745" s="40" t="n"/>
      <c r="B745" s="41" t="n"/>
      <c r="C745" s="41" t="n"/>
      <c r="D745" s="40" t="n"/>
      <c r="E745" s="40" t="n"/>
      <c r="F745" s="40" t="n"/>
      <c r="G745" s="39">
        <f>IF(COUNTA(A745:F745)=0,"",IF(A745="EXAMPLE","Example (skipped)",IF(OR(C745="",E745="",F745=""),"✖ Portal, User ID and Password are all needed",IF(AND(A745="",COUNTIF(Clients!$B$5:$B$1005,B745)=0),"Not on Clients — will match a portal client by name",IF(AND(C745="GST",D745&lt;&gt;"",COUNTIF(Clients!$AZ$5:$AZ$1005,UPPER(D745))=0,COUNTIF(Clients!$G$5:$G$1005,"*"&amp;UPPER(D745)&amp;"*")=0),"GSTIN not on Clients — will be checked in the portal","✔ OK")))))</f>
        <v/>
      </c>
    </row>
    <row r="746">
      <c r="A746" s="40" t="n"/>
      <c r="B746" s="41" t="n"/>
      <c r="C746" s="41" t="n"/>
      <c r="D746" s="40" t="n"/>
      <c r="E746" s="40" t="n"/>
      <c r="F746" s="40" t="n"/>
      <c r="G746" s="39">
        <f>IF(COUNTA(A746:F746)=0,"",IF(A746="EXAMPLE","Example (skipped)",IF(OR(C746="",E746="",F746=""),"✖ Portal, User ID and Password are all needed",IF(AND(A746="",COUNTIF(Clients!$B$5:$B$1005,B746)=0),"Not on Clients — will match a portal client by name",IF(AND(C746="GST",D746&lt;&gt;"",COUNTIF(Clients!$AZ$5:$AZ$1005,UPPER(D746))=0,COUNTIF(Clients!$G$5:$G$1005,"*"&amp;UPPER(D746)&amp;"*")=0),"GSTIN not on Clients — will be checked in the portal","✔ OK")))))</f>
        <v/>
      </c>
    </row>
    <row r="747">
      <c r="A747" s="40" t="n"/>
      <c r="B747" s="41" t="n"/>
      <c r="C747" s="41" t="n"/>
      <c r="D747" s="40" t="n"/>
      <c r="E747" s="40" t="n"/>
      <c r="F747" s="40" t="n"/>
      <c r="G747" s="39">
        <f>IF(COUNTA(A747:F747)=0,"",IF(A747="EXAMPLE","Example (skipped)",IF(OR(C747="",E747="",F747=""),"✖ Portal, User ID and Password are all needed",IF(AND(A747="",COUNTIF(Clients!$B$5:$B$1005,B747)=0),"Not on Clients — will match a portal client by name",IF(AND(C747="GST",D747&lt;&gt;"",COUNTIF(Clients!$AZ$5:$AZ$1005,UPPER(D747))=0,COUNTIF(Clients!$G$5:$G$1005,"*"&amp;UPPER(D747)&amp;"*")=0),"GSTIN not on Clients — will be checked in the portal","✔ OK")))))</f>
        <v/>
      </c>
    </row>
    <row r="748">
      <c r="A748" s="40" t="n"/>
      <c r="B748" s="41" t="n"/>
      <c r="C748" s="41" t="n"/>
      <c r="D748" s="40" t="n"/>
      <c r="E748" s="40" t="n"/>
      <c r="F748" s="40" t="n"/>
      <c r="G748" s="39">
        <f>IF(COUNTA(A748:F748)=0,"",IF(A748="EXAMPLE","Example (skipped)",IF(OR(C748="",E748="",F748=""),"✖ Portal, User ID and Password are all needed",IF(AND(A748="",COUNTIF(Clients!$B$5:$B$1005,B748)=0),"Not on Clients — will match a portal client by name",IF(AND(C748="GST",D748&lt;&gt;"",COUNTIF(Clients!$AZ$5:$AZ$1005,UPPER(D748))=0,COUNTIF(Clients!$G$5:$G$1005,"*"&amp;UPPER(D748)&amp;"*")=0),"GSTIN not on Clients — will be checked in the portal","✔ OK")))))</f>
        <v/>
      </c>
    </row>
    <row r="749">
      <c r="A749" s="40" t="n"/>
      <c r="B749" s="41" t="n"/>
      <c r="C749" s="41" t="n"/>
      <c r="D749" s="40" t="n"/>
      <c r="E749" s="40" t="n"/>
      <c r="F749" s="40" t="n"/>
      <c r="G749" s="39">
        <f>IF(COUNTA(A749:F749)=0,"",IF(A749="EXAMPLE","Example (skipped)",IF(OR(C749="",E749="",F749=""),"✖ Portal, User ID and Password are all needed",IF(AND(A749="",COUNTIF(Clients!$B$5:$B$1005,B749)=0),"Not on Clients — will match a portal client by name",IF(AND(C749="GST",D749&lt;&gt;"",COUNTIF(Clients!$AZ$5:$AZ$1005,UPPER(D749))=0,COUNTIF(Clients!$G$5:$G$1005,"*"&amp;UPPER(D749)&amp;"*")=0),"GSTIN not on Clients — will be checked in the portal","✔ OK")))))</f>
        <v/>
      </c>
    </row>
    <row r="750">
      <c r="A750" s="40" t="n"/>
      <c r="B750" s="41" t="n"/>
      <c r="C750" s="41" t="n"/>
      <c r="D750" s="40" t="n"/>
      <c r="E750" s="40" t="n"/>
      <c r="F750" s="40" t="n"/>
      <c r="G750" s="39">
        <f>IF(COUNTA(A750:F750)=0,"",IF(A750="EXAMPLE","Example (skipped)",IF(OR(C750="",E750="",F750=""),"✖ Portal, User ID and Password are all needed",IF(AND(A750="",COUNTIF(Clients!$B$5:$B$1005,B750)=0),"Not on Clients — will match a portal client by name",IF(AND(C750="GST",D750&lt;&gt;"",COUNTIF(Clients!$AZ$5:$AZ$1005,UPPER(D750))=0,COUNTIF(Clients!$G$5:$G$1005,"*"&amp;UPPER(D750)&amp;"*")=0),"GSTIN not on Clients — will be checked in the portal","✔ OK")))))</f>
        <v/>
      </c>
    </row>
    <row r="751">
      <c r="A751" s="40" t="n"/>
      <c r="B751" s="41" t="n"/>
      <c r="C751" s="41" t="n"/>
      <c r="D751" s="40" t="n"/>
      <c r="E751" s="40" t="n"/>
      <c r="F751" s="40" t="n"/>
      <c r="G751" s="39">
        <f>IF(COUNTA(A751:F751)=0,"",IF(A751="EXAMPLE","Example (skipped)",IF(OR(C751="",E751="",F751=""),"✖ Portal, User ID and Password are all needed",IF(AND(A751="",COUNTIF(Clients!$B$5:$B$1005,B751)=0),"Not on Clients — will match a portal client by name",IF(AND(C751="GST",D751&lt;&gt;"",COUNTIF(Clients!$AZ$5:$AZ$1005,UPPER(D751))=0,COUNTIF(Clients!$G$5:$G$1005,"*"&amp;UPPER(D751)&amp;"*")=0),"GSTIN not on Clients — will be checked in the portal","✔ OK")))))</f>
        <v/>
      </c>
    </row>
    <row r="752">
      <c r="A752" s="40" t="n"/>
      <c r="B752" s="41" t="n"/>
      <c r="C752" s="41" t="n"/>
      <c r="D752" s="40" t="n"/>
      <c r="E752" s="40" t="n"/>
      <c r="F752" s="40" t="n"/>
      <c r="G752" s="39">
        <f>IF(COUNTA(A752:F752)=0,"",IF(A752="EXAMPLE","Example (skipped)",IF(OR(C752="",E752="",F752=""),"✖ Portal, User ID and Password are all needed",IF(AND(A752="",COUNTIF(Clients!$B$5:$B$1005,B752)=0),"Not on Clients — will match a portal client by name",IF(AND(C752="GST",D752&lt;&gt;"",COUNTIF(Clients!$AZ$5:$AZ$1005,UPPER(D752))=0,COUNTIF(Clients!$G$5:$G$1005,"*"&amp;UPPER(D752)&amp;"*")=0),"GSTIN not on Clients — will be checked in the portal","✔ OK")))))</f>
        <v/>
      </c>
    </row>
    <row r="753">
      <c r="A753" s="40" t="n"/>
      <c r="B753" s="41" t="n"/>
      <c r="C753" s="41" t="n"/>
      <c r="D753" s="40" t="n"/>
      <c r="E753" s="40" t="n"/>
      <c r="F753" s="40" t="n"/>
      <c r="G753" s="39">
        <f>IF(COUNTA(A753:F753)=0,"",IF(A753="EXAMPLE","Example (skipped)",IF(OR(C753="",E753="",F753=""),"✖ Portal, User ID and Password are all needed",IF(AND(A753="",COUNTIF(Clients!$B$5:$B$1005,B753)=0),"Not on Clients — will match a portal client by name",IF(AND(C753="GST",D753&lt;&gt;"",COUNTIF(Clients!$AZ$5:$AZ$1005,UPPER(D753))=0,COUNTIF(Clients!$G$5:$G$1005,"*"&amp;UPPER(D753)&amp;"*")=0),"GSTIN not on Clients — will be checked in the portal","✔ OK")))))</f>
        <v/>
      </c>
    </row>
    <row r="754">
      <c r="A754" s="40" t="n"/>
      <c r="B754" s="41" t="n"/>
      <c r="C754" s="41" t="n"/>
      <c r="D754" s="40" t="n"/>
      <c r="E754" s="40" t="n"/>
      <c r="F754" s="40" t="n"/>
      <c r="G754" s="39">
        <f>IF(COUNTA(A754:F754)=0,"",IF(A754="EXAMPLE","Example (skipped)",IF(OR(C754="",E754="",F754=""),"✖ Portal, User ID and Password are all needed",IF(AND(A754="",COUNTIF(Clients!$B$5:$B$1005,B754)=0),"Not on Clients — will match a portal client by name",IF(AND(C754="GST",D754&lt;&gt;"",COUNTIF(Clients!$AZ$5:$AZ$1005,UPPER(D754))=0,COUNTIF(Clients!$G$5:$G$1005,"*"&amp;UPPER(D754)&amp;"*")=0),"GSTIN not on Clients — will be checked in the portal","✔ OK")))))</f>
        <v/>
      </c>
    </row>
    <row r="755">
      <c r="A755" s="40" t="n"/>
      <c r="B755" s="41" t="n"/>
      <c r="C755" s="41" t="n"/>
      <c r="D755" s="40" t="n"/>
      <c r="E755" s="40" t="n"/>
      <c r="F755" s="40" t="n"/>
      <c r="G755" s="39">
        <f>IF(COUNTA(A755:F755)=0,"",IF(A755="EXAMPLE","Example (skipped)",IF(OR(C755="",E755="",F755=""),"✖ Portal, User ID and Password are all needed",IF(AND(A755="",COUNTIF(Clients!$B$5:$B$1005,B755)=0),"Not on Clients — will match a portal client by name",IF(AND(C755="GST",D755&lt;&gt;"",COUNTIF(Clients!$AZ$5:$AZ$1005,UPPER(D755))=0,COUNTIF(Clients!$G$5:$G$1005,"*"&amp;UPPER(D755)&amp;"*")=0),"GSTIN not on Clients — will be checked in the portal","✔ OK")))))</f>
        <v/>
      </c>
    </row>
    <row r="756">
      <c r="A756" s="40" t="n"/>
      <c r="B756" s="41" t="n"/>
      <c r="C756" s="41" t="n"/>
      <c r="D756" s="40" t="n"/>
      <c r="E756" s="40" t="n"/>
      <c r="F756" s="40" t="n"/>
      <c r="G756" s="39">
        <f>IF(COUNTA(A756:F756)=0,"",IF(A756="EXAMPLE","Example (skipped)",IF(OR(C756="",E756="",F756=""),"✖ Portal, User ID and Password are all needed",IF(AND(A756="",COUNTIF(Clients!$B$5:$B$1005,B756)=0),"Not on Clients — will match a portal client by name",IF(AND(C756="GST",D756&lt;&gt;"",COUNTIF(Clients!$AZ$5:$AZ$1005,UPPER(D756))=0,COUNTIF(Clients!$G$5:$G$1005,"*"&amp;UPPER(D756)&amp;"*")=0),"GSTIN not on Clients — will be checked in the portal","✔ OK")))))</f>
        <v/>
      </c>
    </row>
    <row r="757">
      <c r="A757" s="40" t="n"/>
      <c r="B757" s="41" t="n"/>
      <c r="C757" s="41" t="n"/>
      <c r="D757" s="40" t="n"/>
      <c r="E757" s="40" t="n"/>
      <c r="F757" s="40" t="n"/>
      <c r="G757" s="39">
        <f>IF(COUNTA(A757:F757)=0,"",IF(A757="EXAMPLE","Example (skipped)",IF(OR(C757="",E757="",F757=""),"✖ Portal, User ID and Password are all needed",IF(AND(A757="",COUNTIF(Clients!$B$5:$B$1005,B757)=0),"Not on Clients — will match a portal client by name",IF(AND(C757="GST",D757&lt;&gt;"",COUNTIF(Clients!$AZ$5:$AZ$1005,UPPER(D757))=0,COUNTIF(Clients!$G$5:$G$1005,"*"&amp;UPPER(D757)&amp;"*")=0),"GSTIN not on Clients — will be checked in the portal","✔ OK")))))</f>
        <v/>
      </c>
    </row>
    <row r="758">
      <c r="A758" s="40" t="n"/>
      <c r="B758" s="41" t="n"/>
      <c r="C758" s="41" t="n"/>
      <c r="D758" s="40" t="n"/>
      <c r="E758" s="40" t="n"/>
      <c r="F758" s="40" t="n"/>
      <c r="G758" s="39">
        <f>IF(COUNTA(A758:F758)=0,"",IF(A758="EXAMPLE","Example (skipped)",IF(OR(C758="",E758="",F758=""),"✖ Portal, User ID and Password are all needed",IF(AND(A758="",COUNTIF(Clients!$B$5:$B$1005,B758)=0),"Not on Clients — will match a portal client by name",IF(AND(C758="GST",D758&lt;&gt;"",COUNTIF(Clients!$AZ$5:$AZ$1005,UPPER(D758))=0,COUNTIF(Clients!$G$5:$G$1005,"*"&amp;UPPER(D758)&amp;"*")=0),"GSTIN not on Clients — will be checked in the portal","✔ OK")))))</f>
        <v/>
      </c>
    </row>
    <row r="759">
      <c r="A759" s="40" t="n"/>
      <c r="B759" s="41" t="n"/>
      <c r="C759" s="41" t="n"/>
      <c r="D759" s="40" t="n"/>
      <c r="E759" s="40" t="n"/>
      <c r="F759" s="40" t="n"/>
      <c r="G759" s="39">
        <f>IF(COUNTA(A759:F759)=0,"",IF(A759="EXAMPLE","Example (skipped)",IF(OR(C759="",E759="",F759=""),"✖ Portal, User ID and Password are all needed",IF(AND(A759="",COUNTIF(Clients!$B$5:$B$1005,B759)=0),"Not on Clients — will match a portal client by name",IF(AND(C759="GST",D759&lt;&gt;"",COUNTIF(Clients!$AZ$5:$AZ$1005,UPPER(D759))=0,COUNTIF(Clients!$G$5:$G$1005,"*"&amp;UPPER(D759)&amp;"*")=0),"GSTIN not on Clients — will be checked in the portal","✔ OK")))))</f>
        <v/>
      </c>
    </row>
    <row r="760">
      <c r="A760" s="40" t="n"/>
      <c r="B760" s="41" t="n"/>
      <c r="C760" s="41" t="n"/>
      <c r="D760" s="40" t="n"/>
      <c r="E760" s="40" t="n"/>
      <c r="F760" s="40" t="n"/>
      <c r="G760" s="39">
        <f>IF(COUNTA(A760:F760)=0,"",IF(A760="EXAMPLE","Example (skipped)",IF(OR(C760="",E760="",F760=""),"✖ Portal, User ID and Password are all needed",IF(AND(A760="",COUNTIF(Clients!$B$5:$B$1005,B760)=0),"Not on Clients — will match a portal client by name",IF(AND(C760="GST",D760&lt;&gt;"",COUNTIF(Clients!$AZ$5:$AZ$1005,UPPER(D760))=0,COUNTIF(Clients!$G$5:$G$1005,"*"&amp;UPPER(D760)&amp;"*")=0),"GSTIN not on Clients — will be checked in the portal","✔ OK")))))</f>
        <v/>
      </c>
    </row>
    <row r="761">
      <c r="A761" s="40" t="n"/>
      <c r="B761" s="41" t="n"/>
      <c r="C761" s="41" t="n"/>
      <c r="D761" s="40" t="n"/>
      <c r="E761" s="40" t="n"/>
      <c r="F761" s="40" t="n"/>
      <c r="G761" s="39">
        <f>IF(COUNTA(A761:F761)=0,"",IF(A761="EXAMPLE","Example (skipped)",IF(OR(C761="",E761="",F761=""),"✖ Portal, User ID and Password are all needed",IF(AND(A761="",COUNTIF(Clients!$B$5:$B$1005,B761)=0),"Not on Clients — will match a portal client by name",IF(AND(C761="GST",D761&lt;&gt;"",COUNTIF(Clients!$AZ$5:$AZ$1005,UPPER(D761))=0,COUNTIF(Clients!$G$5:$G$1005,"*"&amp;UPPER(D761)&amp;"*")=0),"GSTIN not on Clients — will be checked in the portal","✔ OK")))))</f>
        <v/>
      </c>
    </row>
    <row r="762">
      <c r="A762" s="40" t="n"/>
      <c r="B762" s="41" t="n"/>
      <c r="C762" s="41" t="n"/>
      <c r="D762" s="40" t="n"/>
      <c r="E762" s="40" t="n"/>
      <c r="F762" s="40" t="n"/>
      <c r="G762" s="39">
        <f>IF(COUNTA(A762:F762)=0,"",IF(A762="EXAMPLE","Example (skipped)",IF(OR(C762="",E762="",F762=""),"✖ Portal, User ID and Password are all needed",IF(AND(A762="",COUNTIF(Clients!$B$5:$B$1005,B762)=0),"Not on Clients — will match a portal client by name",IF(AND(C762="GST",D762&lt;&gt;"",COUNTIF(Clients!$AZ$5:$AZ$1005,UPPER(D762))=0,COUNTIF(Clients!$G$5:$G$1005,"*"&amp;UPPER(D762)&amp;"*")=0),"GSTIN not on Clients — will be checked in the portal","✔ OK")))))</f>
        <v/>
      </c>
    </row>
    <row r="763">
      <c r="A763" s="40" t="n"/>
      <c r="B763" s="41" t="n"/>
      <c r="C763" s="41" t="n"/>
      <c r="D763" s="40" t="n"/>
      <c r="E763" s="40" t="n"/>
      <c r="F763" s="40" t="n"/>
      <c r="G763" s="39">
        <f>IF(COUNTA(A763:F763)=0,"",IF(A763="EXAMPLE","Example (skipped)",IF(OR(C763="",E763="",F763=""),"✖ Portal, User ID and Password are all needed",IF(AND(A763="",COUNTIF(Clients!$B$5:$B$1005,B763)=0),"Not on Clients — will match a portal client by name",IF(AND(C763="GST",D763&lt;&gt;"",COUNTIF(Clients!$AZ$5:$AZ$1005,UPPER(D763))=0,COUNTIF(Clients!$G$5:$G$1005,"*"&amp;UPPER(D763)&amp;"*")=0),"GSTIN not on Clients — will be checked in the portal","✔ OK")))))</f>
        <v/>
      </c>
    </row>
    <row r="764">
      <c r="A764" s="40" t="n"/>
      <c r="B764" s="41" t="n"/>
      <c r="C764" s="41" t="n"/>
      <c r="D764" s="40" t="n"/>
      <c r="E764" s="40" t="n"/>
      <c r="F764" s="40" t="n"/>
      <c r="G764" s="39">
        <f>IF(COUNTA(A764:F764)=0,"",IF(A764="EXAMPLE","Example (skipped)",IF(OR(C764="",E764="",F764=""),"✖ Portal, User ID and Password are all needed",IF(AND(A764="",COUNTIF(Clients!$B$5:$B$1005,B764)=0),"Not on Clients — will match a portal client by name",IF(AND(C764="GST",D764&lt;&gt;"",COUNTIF(Clients!$AZ$5:$AZ$1005,UPPER(D764))=0,COUNTIF(Clients!$G$5:$G$1005,"*"&amp;UPPER(D764)&amp;"*")=0),"GSTIN not on Clients — will be checked in the portal","✔ OK")))))</f>
        <v/>
      </c>
    </row>
    <row r="765">
      <c r="A765" s="40" t="n"/>
      <c r="B765" s="41" t="n"/>
      <c r="C765" s="41" t="n"/>
      <c r="D765" s="40" t="n"/>
      <c r="E765" s="40" t="n"/>
      <c r="F765" s="40" t="n"/>
      <c r="G765" s="39">
        <f>IF(COUNTA(A765:F765)=0,"",IF(A765="EXAMPLE","Example (skipped)",IF(OR(C765="",E765="",F765=""),"✖ Portal, User ID and Password are all needed",IF(AND(A765="",COUNTIF(Clients!$B$5:$B$1005,B765)=0),"Not on Clients — will match a portal client by name",IF(AND(C765="GST",D765&lt;&gt;"",COUNTIF(Clients!$AZ$5:$AZ$1005,UPPER(D765))=0,COUNTIF(Clients!$G$5:$G$1005,"*"&amp;UPPER(D765)&amp;"*")=0),"GSTIN not on Clients — will be checked in the portal","✔ OK")))))</f>
        <v/>
      </c>
    </row>
    <row r="766">
      <c r="A766" s="40" t="n"/>
      <c r="B766" s="41" t="n"/>
      <c r="C766" s="41" t="n"/>
      <c r="D766" s="40" t="n"/>
      <c r="E766" s="40" t="n"/>
      <c r="F766" s="40" t="n"/>
      <c r="G766" s="39">
        <f>IF(COUNTA(A766:F766)=0,"",IF(A766="EXAMPLE","Example (skipped)",IF(OR(C766="",E766="",F766=""),"✖ Portal, User ID and Password are all needed",IF(AND(A766="",COUNTIF(Clients!$B$5:$B$1005,B766)=0),"Not on Clients — will match a portal client by name",IF(AND(C766="GST",D766&lt;&gt;"",COUNTIF(Clients!$AZ$5:$AZ$1005,UPPER(D766))=0,COUNTIF(Clients!$G$5:$G$1005,"*"&amp;UPPER(D766)&amp;"*")=0),"GSTIN not on Clients — will be checked in the portal","✔ OK")))))</f>
        <v/>
      </c>
    </row>
    <row r="767">
      <c r="A767" s="40" t="n"/>
      <c r="B767" s="41" t="n"/>
      <c r="C767" s="41" t="n"/>
      <c r="D767" s="40" t="n"/>
      <c r="E767" s="40" t="n"/>
      <c r="F767" s="40" t="n"/>
      <c r="G767" s="39">
        <f>IF(COUNTA(A767:F767)=0,"",IF(A767="EXAMPLE","Example (skipped)",IF(OR(C767="",E767="",F767=""),"✖ Portal, User ID and Password are all needed",IF(AND(A767="",COUNTIF(Clients!$B$5:$B$1005,B767)=0),"Not on Clients — will match a portal client by name",IF(AND(C767="GST",D767&lt;&gt;"",COUNTIF(Clients!$AZ$5:$AZ$1005,UPPER(D767))=0,COUNTIF(Clients!$G$5:$G$1005,"*"&amp;UPPER(D767)&amp;"*")=0),"GSTIN not on Clients — will be checked in the portal","✔ OK")))))</f>
        <v/>
      </c>
    </row>
    <row r="768">
      <c r="A768" s="40" t="n"/>
      <c r="B768" s="41" t="n"/>
      <c r="C768" s="41" t="n"/>
      <c r="D768" s="40" t="n"/>
      <c r="E768" s="40" t="n"/>
      <c r="F768" s="40" t="n"/>
      <c r="G768" s="39">
        <f>IF(COUNTA(A768:F768)=0,"",IF(A768="EXAMPLE","Example (skipped)",IF(OR(C768="",E768="",F768=""),"✖ Portal, User ID and Password are all needed",IF(AND(A768="",COUNTIF(Clients!$B$5:$B$1005,B768)=0),"Not on Clients — will match a portal client by name",IF(AND(C768="GST",D768&lt;&gt;"",COUNTIF(Clients!$AZ$5:$AZ$1005,UPPER(D768))=0,COUNTIF(Clients!$G$5:$G$1005,"*"&amp;UPPER(D768)&amp;"*")=0),"GSTIN not on Clients — will be checked in the portal","✔ OK")))))</f>
        <v/>
      </c>
    </row>
    <row r="769">
      <c r="A769" s="40" t="n"/>
      <c r="B769" s="41" t="n"/>
      <c r="C769" s="41" t="n"/>
      <c r="D769" s="40" t="n"/>
      <c r="E769" s="40" t="n"/>
      <c r="F769" s="40" t="n"/>
      <c r="G769" s="39">
        <f>IF(COUNTA(A769:F769)=0,"",IF(A769="EXAMPLE","Example (skipped)",IF(OR(C769="",E769="",F769=""),"✖ Portal, User ID and Password are all needed",IF(AND(A769="",COUNTIF(Clients!$B$5:$B$1005,B769)=0),"Not on Clients — will match a portal client by name",IF(AND(C769="GST",D769&lt;&gt;"",COUNTIF(Clients!$AZ$5:$AZ$1005,UPPER(D769))=0,COUNTIF(Clients!$G$5:$G$1005,"*"&amp;UPPER(D769)&amp;"*")=0),"GSTIN not on Clients — will be checked in the portal","✔ OK")))))</f>
        <v/>
      </c>
    </row>
    <row r="770">
      <c r="A770" s="40" t="n"/>
      <c r="B770" s="41" t="n"/>
      <c r="C770" s="41" t="n"/>
      <c r="D770" s="40" t="n"/>
      <c r="E770" s="40" t="n"/>
      <c r="F770" s="40" t="n"/>
      <c r="G770" s="39">
        <f>IF(COUNTA(A770:F770)=0,"",IF(A770="EXAMPLE","Example (skipped)",IF(OR(C770="",E770="",F770=""),"✖ Portal, User ID and Password are all needed",IF(AND(A770="",COUNTIF(Clients!$B$5:$B$1005,B770)=0),"Not on Clients — will match a portal client by name",IF(AND(C770="GST",D770&lt;&gt;"",COUNTIF(Clients!$AZ$5:$AZ$1005,UPPER(D770))=0,COUNTIF(Clients!$G$5:$G$1005,"*"&amp;UPPER(D770)&amp;"*")=0),"GSTIN not on Clients — will be checked in the portal","✔ OK")))))</f>
        <v/>
      </c>
    </row>
    <row r="771">
      <c r="A771" s="40" t="n"/>
      <c r="B771" s="41" t="n"/>
      <c r="C771" s="41" t="n"/>
      <c r="D771" s="40" t="n"/>
      <c r="E771" s="40" t="n"/>
      <c r="F771" s="40" t="n"/>
      <c r="G771" s="39">
        <f>IF(COUNTA(A771:F771)=0,"",IF(A771="EXAMPLE","Example (skipped)",IF(OR(C771="",E771="",F771=""),"✖ Portal, User ID and Password are all needed",IF(AND(A771="",COUNTIF(Clients!$B$5:$B$1005,B771)=0),"Not on Clients — will match a portal client by name",IF(AND(C771="GST",D771&lt;&gt;"",COUNTIF(Clients!$AZ$5:$AZ$1005,UPPER(D771))=0,COUNTIF(Clients!$G$5:$G$1005,"*"&amp;UPPER(D771)&amp;"*")=0),"GSTIN not on Clients — will be checked in the portal","✔ OK")))))</f>
        <v/>
      </c>
    </row>
    <row r="772">
      <c r="A772" s="40" t="n"/>
      <c r="B772" s="41" t="n"/>
      <c r="C772" s="41" t="n"/>
      <c r="D772" s="40" t="n"/>
      <c r="E772" s="40" t="n"/>
      <c r="F772" s="40" t="n"/>
      <c r="G772" s="39">
        <f>IF(COUNTA(A772:F772)=0,"",IF(A772="EXAMPLE","Example (skipped)",IF(OR(C772="",E772="",F772=""),"✖ Portal, User ID and Password are all needed",IF(AND(A772="",COUNTIF(Clients!$B$5:$B$1005,B772)=0),"Not on Clients — will match a portal client by name",IF(AND(C772="GST",D772&lt;&gt;"",COUNTIF(Clients!$AZ$5:$AZ$1005,UPPER(D772))=0,COUNTIF(Clients!$G$5:$G$1005,"*"&amp;UPPER(D772)&amp;"*")=0),"GSTIN not on Clients — will be checked in the portal","✔ OK")))))</f>
        <v/>
      </c>
    </row>
    <row r="773">
      <c r="A773" s="40" t="n"/>
      <c r="B773" s="41" t="n"/>
      <c r="C773" s="41" t="n"/>
      <c r="D773" s="40" t="n"/>
      <c r="E773" s="40" t="n"/>
      <c r="F773" s="40" t="n"/>
      <c r="G773" s="39">
        <f>IF(COUNTA(A773:F773)=0,"",IF(A773="EXAMPLE","Example (skipped)",IF(OR(C773="",E773="",F773=""),"✖ Portal, User ID and Password are all needed",IF(AND(A773="",COUNTIF(Clients!$B$5:$B$1005,B773)=0),"Not on Clients — will match a portal client by name",IF(AND(C773="GST",D773&lt;&gt;"",COUNTIF(Clients!$AZ$5:$AZ$1005,UPPER(D773))=0,COUNTIF(Clients!$G$5:$G$1005,"*"&amp;UPPER(D773)&amp;"*")=0),"GSTIN not on Clients — will be checked in the portal","✔ OK")))))</f>
        <v/>
      </c>
    </row>
    <row r="774">
      <c r="A774" s="40" t="n"/>
      <c r="B774" s="41" t="n"/>
      <c r="C774" s="41" t="n"/>
      <c r="D774" s="40" t="n"/>
      <c r="E774" s="40" t="n"/>
      <c r="F774" s="40" t="n"/>
      <c r="G774" s="39">
        <f>IF(COUNTA(A774:F774)=0,"",IF(A774="EXAMPLE","Example (skipped)",IF(OR(C774="",E774="",F774=""),"✖ Portal, User ID and Password are all needed",IF(AND(A774="",COUNTIF(Clients!$B$5:$B$1005,B774)=0),"Not on Clients — will match a portal client by name",IF(AND(C774="GST",D774&lt;&gt;"",COUNTIF(Clients!$AZ$5:$AZ$1005,UPPER(D774))=0,COUNTIF(Clients!$G$5:$G$1005,"*"&amp;UPPER(D774)&amp;"*")=0),"GSTIN not on Clients — will be checked in the portal","✔ OK")))))</f>
        <v/>
      </c>
    </row>
    <row r="775">
      <c r="A775" s="40" t="n"/>
      <c r="B775" s="41" t="n"/>
      <c r="C775" s="41" t="n"/>
      <c r="D775" s="40" t="n"/>
      <c r="E775" s="40" t="n"/>
      <c r="F775" s="40" t="n"/>
      <c r="G775" s="39">
        <f>IF(COUNTA(A775:F775)=0,"",IF(A775="EXAMPLE","Example (skipped)",IF(OR(C775="",E775="",F775=""),"✖ Portal, User ID and Password are all needed",IF(AND(A775="",COUNTIF(Clients!$B$5:$B$1005,B775)=0),"Not on Clients — will match a portal client by name",IF(AND(C775="GST",D775&lt;&gt;"",COUNTIF(Clients!$AZ$5:$AZ$1005,UPPER(D775))=0,COUNTIF(Clients!$G$5:$G$1005,"*"&amp;UPPER(D775)&amp;"*")=0),"GSTIN not on Clients — will be checked in the portal","✔ OK")))))</f>
        <v/>
      </c>
    </row>
    <row r="776">
      <c r="A776" s="40" t="n"/>
      <c r="B776" s="41" t="n"/>
      <c r="C776" s="41" t="n"/>
      <c r="D776" s="40" t="n"/>
      <c r="E776" s="40" t="n"/>
      <c r="F776" s="40" t="n"/>
      <c r="G776" s="39">
        <f>IF(COUNTA(A776:F776)=0,"",IF(A776="EXAMPLE","Example (skipped)",IF(OR(C776="",E776="",F776=""),"✖ Portal, User ID and Password are all needed",IF(AND(A776="",COUNTIF(Clients!$B$5:$B$1005,B776)=0),"Not on Clients — will match a portal client by name",IF(AND(C776="GST",D776&lt;&gt;"",COUNTIF(Clients!$AZ$5:$AZ$1005,UPPER(D776))=0,COUNTIF(Clients!$G$5:$G$1005,"*"&amp;UPPER(D776)&amp;"*")=0),"GSTIN not on Clients — will be checked in the portal","✔ OK")))))</f>
        <v/>
      </c>
    </row>
    <row r="777">
      <c r="A777" s="40" t="n"/>
      <c r="B777" s="41" t="n"/>
      <c r="C777" s="41" t="n"/>
      <c r="D777" s="40" t="n"/>
      <c r="E777" s="40" t="n"/>
      <c r="F777" s="40" t="n"/>
      <c r="G777" s="39">
        <f>IF(COUNTA(A777:F777)=0,"",IF(A777="EXAMPLE","Example (skipped)",IF(OR(C777="",E777="",F777=""),"✖ Portal, User ID and Password are all needed",IF(AND(A777="",COUNTIF(Clients!$B$5:$B$1005,B777)=0),"Not on Clients — will match a portal client by name",IF(AND(C777="GST",D777&lt;&gt;"",COUNTIF(Clients!$AZ$5:$AZ$1005,UPPER(D777))=0,COUNTIF(Clients!$G$5:$G$1005,"*"&amp;UPPER(D777)&amp;"*")=0),"GSTIN not on Clients — will be checked in the portal","✔ OK")))))</f>
        <v/>
      </c>
    </row>
    <row r="778">
      <c r="A778" s="40" t="n"/>
      <c r="B778" s="41" t="n"/>
      <c r="C778" s="41" t="n"/>
      <c r="D778" s="40" t="n"/>
      <c r="E778" s="40" t="n"/>
      <c r="F778" s="40" t="n"/>
      <c r="G778" s="39">
        <f>IF(COUNTA(A778:F778)=0,"",IF(A778="EXAMPLE","Example (skipped)",IF(OR(C778="",E778="",F778=""),"✖ Portal, User ID and Password are all needed",IF(AND(A778="",COUNTIF(Clients!$B$5:$B$1005,B778)=0),"Not on Clients — will match a portal client by name",IF(AND(C778="GST",D778&lt;&gt;"",COUNTIF(Clients!$AZ$5:$AZ$1005,UPPER(D778))=0,COUNTIF(Clients!$G$5:$G$1005,"*"&amp;UPPER(D778)&amp;"*")=0),"GSTIN not on Clients — will be checked in the portal","✔ OK")))))</f>
        <v/>
      </c>
    </row>
    <row r="779">
      <c r="A779" s="40" t="n"/>
      <c r="B779" s="41" t="n"/>
      <c r="C779" s="41" t="n"/>
      <c r="D779" s="40" t="n"/>
      <c r="E779" s="40" t="n"/>
      <c r="F779" s="40" t="n"/>
      <c r="G779" s="39">
        <f>IF(COUNTA(A779:F779)=0,"",IF(A779="EXAMPLE","Example (skipped)",IF(OR(C779="",E779="",F779=""),"✖ Portal, User ID and Password are all needed",IF(AND(A779="",COUNTIF(Clients!$B$5:$B$1005,B779)=0),"Not on Clients — will match a portal client by name",IF(AND(C779="GST",D779&lt;&gt;"",COUNTIF(Clients!$AZ$5:$AZ$1005,UPPER(D779))=0,COUNTIF(Clients!$G$5:$G$1005,"*"&amp;UPPER(D779)&amp;"*")=0),"GSTIN not on Clients — will be checked in the portal","✔ OK")))))</f>
        <v/>
      </c>
    </row>
    <row r="780">
      <c r="A780" s="40" t="n"/>
      <c r="B780" s="41" t="n"/>
      <c r="C780" s="41" t="n"/>
      <c r="D780" s="40" t="n"/>
      <c r="E780" s="40" t="n"/>
      <c r="F780" s="40" t="n"/>
      <c r="G780" s="39">
        <f>IF(COUNTA(A780:F780)=0,"",IF(A780="EXAMPLE","Example (skipped)",IF(OR(C780="",E780="",F780=""),"✖ Portal, User ID and Password are all needed",IF(AND(A780="",COUNTIF(Clients!$B$5:$B$1005,B780)=0),"Not on Clients — will match a portal client by name",IF(AND(C780="GST",D780&lt;&gt;"",COUNTIF(Clients!$AZ$5:$AZ$1005,UPPER(D780))=0,COUNTIF(Clients!$G$5:$G$1005,"*"&amp;UPPER(D780)&amp;"*")=0),"GSTIN not on Clients — will be checked in the portal","✔ OK")))))</f>
        <v/>
      </c>
    </row>
    <row r="781">
      <c r="A781" s="40" t="n"/>
      <c r="B781" s="41" t="n"/>
      <c r="C781" s="41" t="n"/>
      <c r="D781" s="40" t="n"/>
      <c r="E781" s="40" t="n"/>
      <c r="F781" s="40" t="n"/>
      <c r="G781" s="39">
        <f>IF(COUNTA(A781:F781)=0,"",IF(A781="EXAMPLE","Example (skipped)",IF(OR(C781="",E781="",F781=""),"✖ Portal, User ID and Password are all needed",IF(AND(A781="",COUNTIF(Clients!$B$5:$B$1005,B781)=0),"Not on Clients — will match a portal client by name",IF(AND(C781="GST",D781&lt;&gt;"",COUNTIF(Clients!$AZ$5:$AZ$1005,UPPER(D781))=0,COUNTIF(Clients!$G$5:$G$1005,"*"&amp;UPPER(D781)&amp;"*")=0),"GSTIN not on Clients — will be checked in the portal","✔ OK")))))</f>
        <v/>
      </c>
    </row>
    <row r="782">
      <c r="A782" s="40" t="n"/>
      <c r="B782" s="41" t="n"/>
      <c r="C782" s="41" t="n"/>
      <c r="D782" s="40" t="n"/>
      <c r="E782" s="40" t="n"/>
      <c r="F782" s="40" t="n"/>
      <c r="G782" s="39">
        <f>IF(COUNTA(A782:F782)=0,"",IF(A782="EXAMPLE","Example (skipped)",IF(OR(C782="",E782="",F782=""),"✖ Portal, User ID and Password are all needed",IF(AND(A782="",COUNTIF(Clients!$B$5:$B$1005,B782)=0),"Not on Clients — will match a portal client by name",IF(AND(C782="GST",D782&lt;&gt;"",COUNTIF(Clients!$AZ$5:$AZ$1005,UPPER(D782))=0,COUNTIF(Clients!$G$5:$G$1005,"*"&amp;UPPER(D782)&amp;"*")=0),"GSTIN not on Clients — will be checked in the portal","✔ OK")))))</f>
        <v/>
      </c>
    </row>
    <row r="783">
      <c r="A783" s="40" t="n"/>
      <c r="B783" s="41" t="n"/>
      <c r="C783" s="41" t="n"/>
      <c r="D783" s="40" t="n"/>
      <c r="E783" s="40" t="n"/>
      <c r="F783" s="40" t="n"/>
      <c r="G783" s="39">
        <f>IF(COUNTA(A783:F783)=0,"",IF(A783="EXAMPLE","Example (skipped)",IF(OR(C783="",E783="",F783=""),"✖ Portal, User ID and Password are all needed",IF(AND(A783="",COUNTIF(Clients!$B$5:$B$1005,B783)=0),"Not on Clients — will match a portal client by name",IF(AND(C783="GST",D783&lt;&gt;"",COUNTIF(Clients!$AZ$5:$AZ$1005,UPPER(D783))=0,COUNTIF(Clients!$G$5:$G$1005,"*"&amp;UPPER(D783)&amp;"*")=0),"GSTIN not on Clients — will be checked in the portal","✔ OK")))))</f>
        <v/>
      </c>
    </row>
    <row r="784">
      <c r="A784" s="40" t="n"/>
      <c r="B784" s="41" t="n"/>
      <c r="C784" s="41" t="n"/>
      <c r="D784" s="40" t="n"/>
      <c r="E784" s="40" t="n"/>
      <c r="F784" s="40" t="n"/>
      <c r="G784" s="39">
        <f>IF(COUNTA(A784:F784)=0,"",IF(A784="EXAMPLE","Example (skipped)",IF(OR(C784="",E784="",F784=""),"✖ Portal, User ID and Password are all needed",IF(AND(A784="",COUNTIF(Clients!$B$5:$B$1005,B784)=0),"Not on Clients — will match a portal client by name",IF(AND(C784="GST",D784&lt;&gt;"",COUNTIF(Clients!$AZ$5:$AZ$1005,UPPER(D784))=0,COUNTIF(Clients!$G$5:$G$1005,"*"&amp;UPPER(D784)&amp;"*")=0),"GSTIN not on Clients — will be checked in the portal","✔ OK")))))</f>
        <v/>
      </c>
    </row>
    <row r="785">
      <c r="A785" s="40" t="n"/>
      <c r="B785" s="41" t="n"/>
      <c r="C785" s="41" t="n"/>
      <c r="D785" s="40" t="n"/>
      <c r="E785" s="40" t="n"/>
      <c r="F785" s="40" t="n"/>
      <c r="G785" s="39">
        <f>IF(COUNTA(A785:F785)=0,"",IF(A785="EXAMPLE","Example (skipped)",IF(OR(C785="",E785="",F785=""),"✖ Portal, User ID and Password are all needed",IF(AND(A785="",COUNTIF(Clients!$B$5:$B$1005,B785)=0),"Not on Clients — will match a portal client by name",IF(AND(C785="GST",D785&lt;&gt;"",COUNTIF(Clients!$AZ$5:$AZ$1005,UPPER(D785))=0,COUNTIF(Clients!$G$5:$G$1005,"*"&amp;UPPER(D785)&amp;"*")=0),"GSTIN not on Clients — will be checked in the portal","✔ OK")))))</f>
        <v/>
      </c>
    </row>
    <row r="786">
      <c r="A786" s="40" t="n"/>
      <c r="B786" s="41" t="n"/>
      <c r="C786" s="41" t="n"/>
      <c r="D786" s="40" t="n"/>
      <c r="E786" s="40" t="n"/>
      <c r="F786" s="40" t="n"/>
      <c r="G786" s="39">
        <f>IF(COUNTA(A786:F786)=0,"",IF(A786="EXAMPLE","Example (skipped)",IF(OR(C786="",E786="",F786=""),"✖ Portal, User ID and Password are all needed",IF(AND(A786="",COUNTIF(Clients!$B$5:$B$1005,B786)=0),"Not on Clients — will match a portal client by name",IF(AND(C786="GST",D786&lt;&gt;"",COUNTIF(Clients!$AZ$5:$AZ$1005,UPPER(D786))=0,COUNTIF(Clients!$G$5:$G$1005,"*"&amp;UPPER(D786)&amp;"*")=0),"GSTIN not on Clients — will be checked in the portal","✔ OK")))))</f>
        <v/>
      </c>
    </row>
    <row r="787">
      <c r="A787" s="40" t="n"/>
      <c r="B787" s="41" t="n"/>
      <c r="C787" s="41" t="n"/>
      <c r="D787" s="40" t="n"/>
      <c r="E787" s="40" t="n"/>
      <c r="F787" s="40" t="n"/>
      <c r="G787" s="39">
        <f>IF(COUNTA(A787:F787)=0,"",IF(A787="EXAMPLE","Example (skipped)",IF(OR(C787="",E787="",F787=""),"✖ Portal, User ID and Password are all needed",IF(AND(A787="",COUNTIF(Clients!$B$5:$B$1005,B787)=0),"Not on Clients — will match a portal client by name",IF(AND(C787="GST",D787&lt;&gt;"",COUNTIF(Clients!$AZ$5:$AZ$1005,UPPER(D787))=0,COUNTIF(Clients!$G$5:$G$1005,"*"&amp;UPPER(D787)&amp;"*")=0),"GSTIN not on Clients — will be checked in the portal","✔ OK")))))</f>
        <v/>
      </c>
    </row>
    <row r="788">
      <c r="A788" s="40" t="n"/>
      <c r="B788" s="41" t="n"/>
      <c r="C788" s="41" t="n"/>
      <c r="D788" s="40" t="n"/>
      <c r="E788" s="40" t="n"/>
      <c r="F788" s="40" t="n"/>
      <c r="G788" s="39">
        <f>IF(COUNTA(A788:F788)=0,"",IF(A788="EXAMPLE","Example (skipped)",IF(OR(C788="",E788="",F788=""),"✖ Portal, User ID and Password are all needed",IF(AND(A788="",COUNTIF(Clients!$B$5:$B$1005,B788)=0),"Not on Clients — will match a portal client by name",IF(AND(C788="GST",D788&lt;&gt;"",COUNTIF(Clients!$AZ$5:$AZ$1005,UPPER(D788))=0,COUNTIF(Clients!$G$5:$G$1005,"*"&amp;UPPER(D788)&amp;"*")=0),"GSTIN not on Clients — will be checked in the portal","✔ OK")))))</f>
        <v/>
      </c>
    </row>
    <row r="789">
      <c r="A789" s="40" t="n"/>
      <c r="B789" s="41" t="n"/>
      <c r="C789" s="41" t="n"/>
      <c r="D789" s="40" t="n"/>
      <c r="E789" s="40" t="n"/>
      <c r="F789" s="40" t="n"/>
      <c r="G789" s="39">
        <f>IF(COUNTA(A789:F789)=0,"",IF(A789="EXAMPLE","Example (skipped)",IF(OR(C789="",E789="",F789=""),"✖ Portal, User ID and Password are all needed",IF(AND(A789="",COUNTIF(Clients!$B$5:$B$1005,B789)=0),"Not on Clients — will match a portal client by name",IF(AND(C789="GST",D789&lt;&gt;"",COUNTIF(Clients!$AZ$5:$AZ$1005,UPPER(D789))=0,COUNTIF(Clients!$G$5:$G$1005,"*"&amp;UPPER(D789)&amp;"*")=0),"GSTIN not on Clients — will be checked in the portal","✔ OK")))))</f>
        <v/>
      </c>
    </row>
    <row r="790">
      <c r="A790" s="40" t="n"/>
      <c r="B790" s="41" t="n"/>
      <c r="C790" s="41" t="n"/>
      <c r="D790" s="40" t="n"/>
      <c r="E790" s="40" t="n"/>
      <c r="F790" s="40" t="n"/>
      <c r="G790" s="39">
        <f>IF(COUNTA(A790:F790)=0,"",IF(A790="EXAMPLE","Example (skipped)",IF(OR(C790="",E790="",F790=""),"✖ Portal, User ID and Password are all needed",IF(AND(A790="",COUNTIF(Clients!$B$5:$B$1005,B790)=0),"Not on Clients — will match a portal client by name",IF(AND(C790="GST",D790&lt;&gt;"",COUNTIF(Clients!$AZ$5:$AZ$1005,UPPER(D790))=0,COUNTIF(Clients!$G$5:$G$1005,"*"&amp;UPPER(D790)&amp;"*")=0),"GSTIN not on Clients — will be checked in the portal","✔ OK")))))</f>
        <v/>
      </c>
    </row>
    <row r="791">
      <c r="A791" s="40" t="n"/>
      <c r="B791" s="41" t="n"/>
      <c r="C791" s="41" t="n"/>
      <c r="D791" s="40" t="n"/>
      <c r="E791" s="40" t="n"/>
      <c r="F791" s="40" t="n"/>
      <c r="G791" s="39">
        <f>IF(COUNTA(A791:F791)=0,"",IF(A791="EXAMPLE","Example (skipped)",IF(OR(C791="",E791="",F791=""),"✖ Portal, User ID and Password are all needed",IF(AND(A791="",COUNTIF(Clients!$B$5:$B$1005,B791)=0),"Not on Clients — will match a portal client by name",IF(AND(C791="GST",D791&lt;&gt;"",COUNTIF(Clients!$AZ$5:$AZ$1005,UPPER(D791))=0,COUNTIF(Clients!$G$5:$G$1005,"*"&amp;UPPER(D791)&amp;"*")=0),"GSTIN not on Clients — will be checked in the portal","✔ OK")))))</f>
        <v/>
      </c>
    </row>
    <row r="792">
      <c r="A792" s="40" t="n"/>
      <c r="B792" s="41" t="n"/>
      <c r="C792" s="41" t="n"/>
      <c r="D792" s="40" t="n"/>
      <c r="E792" s="40" t="n"/>
      <c r="F792" s="40" t="n"/>
      <c r="G792" s="39">
        <f>IF(COUNTA(A792:F792)=0,"",IF(A792="EXAMPLE","Example (skipped)",IF(OR(C792="",E792="",F792=""),"✖ Portal, User ID and Password are all needed",IF(AND(A792="",COUNTIF(Clients!$B$5:$B$1005,B792)=0),"Not on Clients — will match a portal client by name",IF(AND(C792="GST",D792&lt;&gt;"",COUNTIF(Clients!$AZ$5:$AZ$1005,UPPER(D792))=0,COUNTIF(Clients!$G$5:$G$1005,"*"&amp;UPPER(D792)&amp;"*")=0),"GSTIN not on Clients — will be checked in the portal","✔ OK")))))</f>
        <v/>
      </c>
    </row>
    <row r="793">
      <c r="A793" s="40" t="n"/>
      <c r="B793" s="41" t="n"/>
      <c r="C793" s="41" t="n"/>
      <c r="D793" s="40" t="n"/>
      <c r="E793" s="40" t="n"/>
      <c r="F793" s="40" t="n"/>
      <c r="G793" s="39">
        <f>IF(COUNTA(A793:F793)=0,"",IF(A793="EXAMPLE","Example (skipped)",IF(OR(C793="",E793="",F793=""),"✖ Portal, User ID and Password are all needed",IF(AND(A793="",COUNTIF(Clients!$B$5:$B$1005,B793)=0),"Not on Clients — will match a portal client by name",IF(AND(C793="GST",D793&lt;&gt;"",COUNTIF(Clients!$AZ$5:$AZ$1005,UPPER(D793))=0,COUNTIF(Clients!$G$5:$G$1005,"*"&amp;UPPER(D793)&amp;"*")=0),"GSTIN not on Clients — will be checked in the portal","✔ OK")))))</f>
        <v/>
      </c>
    </row>
    <row r="794">
      <c r="A794" s="40" t="n"/>
      <c r="B794" s="41" t="n"/>
      <c r="C794" s="41" t="n"/>
      <c r="D794" s="40" t="n"/>
      <c r="E794" s="40" t="n"/>
      <c r="F794" s="40" t="n"/>
      <c r="G794" s="39">
        <f>IF(COUNTA(A794:F794)=0,"",IF(A794="EXAMPLE","Example (skipped)",IF(OR(C794="",E794="",F794=""),"✖ Portal, User ID and Password are all needed",IF(AND(A794="",COUNTIF(Clients!$B$5:$B$1005,B794)=0),"Not on Clients — will match a portal client by name",IF(AND(C794="GST",D794&lt;&gt;"",COUNTIF(Clients!$AZ$5:$AZ$1005,UPPER(D794))=0,COUNTIF(Clients!$G$5:$G$1005,"*"&amp;UPPER(D794)&amp;"*")=0),"GSTIN not on Clients — will be checked in the portal","✔ OK")))))</f>
        <v/>
      </c>
    </row>
    <row r="795">
      <c r="A795" s="40" t="n"/>
      <c r="B795" s="41" t="n"/>
      <c r="C795" s="41" t="n"/>
      <c r="D795" s="40" t="n"/>
      <c r="E795" s="40" t="n"/>
      <c r="F795" s="40" t="n"/>
      <c r="G795" s="39">
        <f>IF(COUNTA(A795:F795)=0,"",IF(A795="EXAMPLE","Example (skipped)",IF(OR(C795="",E795="",F795=""),"✖ Portal, User ID and Password are all needed",IF(AND(A795="",COUNTIF(Clients!$B$5:$B$1005,B795)=0),"Not on Clients — will match a portal client by name",IF(AND(C795="GST",D795&lt;&gt;"",COUNTIF(Clients!$AZ$5:$AZ$1005,UPPER(D795))=0,COUNTIF(Clients!$G$5:$G$1005,"*"&amp;UPPER(D795)&amp;"*")=0),"GSTIN not on Clients — will be checked in the portal","✔ OK")))))</f>
        <v/>
      </c>
    </row>
    <row r="796">
      <c r="A796" s="40" t="n"/>
      <c r="B796" s="41" t="n"/>
      <c r="C796" s="41" t="n"/>
      <c r="D796" s="40" t="n"/>
      <c r="E796" s="40" t="n"/>
      <c r="F796" s="40" t="n"/>
      <c r="G796" s="39">
        <f>IF(COUNTA(A796:F796)=0,"",IF(A796="EXAMPLE","Example (skipped)",IF(OR(C796="",E796="",F796=""),"✖ Portal, User ID and Password are all needed",IF(AND(A796="",COUNTIF(Clients!$B$5:$B$1005,B796)=0),"Not on Clients — will match a portal client by name",IF(AND(C796="GST",D796&lt;&gt;"",COUNTIF(Clients!$AZ$5:$AZ$1005,UPPER(D796))=0,COUNTIF(Clients!$G$5:$G$1005,"*"&amp;UPPER(D796)&amp;"*")=0),"GSTIN not on Clients — will be checked in the portal","✔ OK")))))</f>
        <v/>
      </c>
    </row>
    <row r="797">
      <c r="A797" s="40" t="n"/>
      <c r="B797" s="41" t="n"/>
      <c r="C797" s="41" t="n"/>
      <c r="D797" s="40" t="n"/>
      <c r="E797" s="40" t="n"/>
      <c r="F797" s="40" t="n"/>
      <c r="G797" s="39">
        <f>IF(COUNTA(A797:F797)=0,"",IF(A797="EXAMPLE","Example (skipped)",IF(OR(C797="",E797="",F797=""),"✖ Portal, User ID and Password are all needed",IF(AND(A797="",COUNTIF(Clients!$B$5:$B$1005,B797)=0),"Not on Clients — will match a portal client by name",IF(AND(C797="GST",D797&lt;&gt;"",COUNTIF(Clients!$AZ$5:$AZ$1005,UPPER(D797))=0,COUNTIF(Clients!$G$5:$G$1005,"*"&amp;UPPER(D797)&amp;"*")=0),"GSTIN not on Clients — will be checked in the portal","✔ OK")))))</f>
        <v/>
      </c>
    </row>
    <row r="798">
      <c r="A798" s="40" t="n"/>
      <c r="B798" s="41" t="n"/>
      <c r="C798" s="41" t="n"/>
      <c r="D798" s="40" t="n"/>
      <c r="E798" s="40" t="n"/>
      <c r="F798" s="40" t="n"/>
      <c r="G798" s="39">
        <f>IF(COUNTA(A798:F798)=0,"",IF(A798="EXAMPLE","Example (skipped)",IF(OR(C798="",E798="",F798=""),"✖ Portal, User ID and Password are all needed",IF(AND(A798="",COUNTIF(Clients!$B$5:$B$1005,B798)=0),"Not on Clients — will match a portal client by name",IF(AND(C798="GST",D798&lt;&gt;"",COUNTIF(Clients!$AZ$5:$AZ$1005,UPPER(D798))=0,COUNTIF(Clients!$G$5:$G$1005,"*"&amp;UPPER(D798)&amp;"*")=0),"GSTIN not on Clients — will be checked in the portal","✔ OK")))))</f>
        <v/>
      </c>
    </row>
    <row r="799">
      <c r="A799" s="40" t="n"/>
      <c r="B799" s="41" t="n"/>
      <c r="C799" s="41" t="n"/>
      <c r="D799" s="40" t="n"/>
      <c r="E799" s="40" t="n"/>
      <c r="F799" s="40" t="n"/>
      <c r="G799" s="39">
        <f>IF(COUNTA(A799:F799)=0,"",IF(A799="EXAMPLE","Example (skipped)",IF(OR(C799="",E799="",F799=""),"✖ Portal, User ID and Password are all needed",IF(AND(A799="",COUNTIF(Clients!$B$5:$B$1005,B799)=0),"Not on Clients — will match a portal client by name",IF(AND(C799="GST",D799&lt;&gt;"",COUNTIF(Clients!$AZ$5:$AZ$1005,UPPER(D799))=0,COUNTIF(Clients!$G$5:$G$1005,"*"&amp;UPPER(D799)&amp;"*")=0),"GSTIN not on Clients — will be checked in the portal","✔ OK")))))</f>
        <v/>
      </c>
    </row>
    <row r="800">
      <c r="A800" s="40" t="n"/>
      <c r="B800" s="41" t="n"/>
      <c r="C800" s="41" t="n"/>
      <c r="D800" s="40" t="n"/>
      <c r="E800" s="40" t="n"/>
      <c r="F800" s="40" t="n"/>
      <c r="G800" s="39">
        <f>IF(COUNTA(A800:F800)=0,"",IF(A800="EXAMPLE","Example (skipped)",IF(OR(C800="",E800="",F800=""),"✖ Portal, User ID and Password are all needed",IF(AND(A800="",COUNTIF(Clients!$B$5:$B$1005,B800)=0),"Not on Clients — will match a portal client by name",IF(AND(C800="GST",D800&lt;&gt;"",COUNTIF(Clients!$AZ$5:$AZ$1005,UPPER(D800))=0,COUNTIF(Clients!$G$5:$G$1005,"*"&amp;UPPER(D800)&amp;"*")=0),"GSTIN not on Clients — will be checked in the portal","✔ OK")))))</f>
        <v/>
      </c>
    </row>
    <row r="801">
      <c r="A801" s="40" t="n"/>
      <c r="B801" s="41" t="n"/>
      <c r="C801" s="41" t="n"/>
      <c r="D801" s="40" t="n"/>
      <c r="E801" s="40" t="n"/>
      <c r="F801" s="40" t="n"/>
      <c r="G801" s="39">
        <f>IF(COUNTA(A801:F801)=0,"",IF(A801="EXAMPLE","Example (skipped)",IF(OR(C801="",E801="",F801=""),"✖ Portal, User ID and Password are all needed",IF(AND(A801="",COUNTIF(Clients!$B$5:$B$1005,B801)=0),"Not on Clients — will match a portal client by name",IF(AND(C801="GST",D801&lt;&gt;"",COUNTIF(Clients!$AZ$5:$AZ$1005,UPPER(D801))=0,COUNTIF(Clients!$G$5:$G$1005,"*"&amp;UPPER(D801)&amp;"*")=0),"GSTIN not on Clients — will be checked in the portal","✔ OK")))))</f>
        <v/>
      </c>
    </row>
    <row r="802">
      <c r="A802" s="40" t="n"/>
      <c r="B802" s="41" t="n"/>
      <c r="C802" s="41" t="n"/>
      <c r="D802" s="40" t="n"/>
      <c r="E802" s="40" t="n"/>
      <c r="F802" s="40" t="n"/>
      <c r="G802" s="39">
        <f>IF(COUNTA(A802:F802)=0,"",IF(A802="EXAMPLE","Example (skipped)",IF(OR(C802="",E802="",F802=""),"✖ Portal, User ID and Password are all needed",IF(AND(A802="",COUNTIF(Clients!$B$5:$B$1005,B802)=0),"Not on Clients — will match a portal client by name",IF(AND(C802="GST",D802&lt;&gt;"",COUNTIF(Clients!$AZ$5:$AZ$1005,UPPER(D802))=0,COUNTIF(Clients!$G$5:$G$1005,"*"&amp;UPPER(D802)&amp;"*")=0),"GSTIN not on Clients — will be checked in the portal","✔ OK")))))</f>
        <v/>
      </c>
    </row>
    <row r="803">
      <c r="A803" s="40" t="n"/>
      <c r="B803" s="41" t="n"/>
      <c r="C803" s="41" t="n"/>
      <c r="D803" s="40" t="n"/>
      <c r="E803" s="40" t="n"/>
      <c r="F803" s="40" t="n"/>
      <c r="G803" s="39">
        <f>IF(COUNTA(A803:F803)=0,"",IF(A803="EXAMPLE","Example (skipped)",IF(OR(C803="",E803="",F803=""),"✖ Portal, User ID and Password are all needed",IF(AND(A803="",COUNTIF(Clients!$B$5:$B$1005,B803)=0),"Not on Clients — will match a portal client by name",IF(AND(C803="GST",D803&lt;&gt;"",COUNTIF(Clients!$AZ$5:$AZ$1005,UPPER(D803))=0,COUNTIF(Clients!$G$5:$G$1005,"*"&amp;UPPER(D803)&amp;"*")=0),"GSTIN not on Clients — will be checked in the portal","✔ OK")))))</f>
        <v/>
      </c>
    </row>
    <row r="804">
      <c r="A804" s="40" t="n"/>
      <c r="B804" s="41" t="n"/>
      <c r="C804" s="41" t="n"/>
      <c r="D804" s="40" t="n"/>
      <c r="E804" s="40" t="n"/>
      <c r="F804" s="40" t="n"/>
      <c r="G804" s="39">
        <f>IF(COUNTA(A804:F804)=0,"",IF(A804="EXAMPLE","Example (skipped)",IF(OR(C804="",E804="",F804=""),"✖ Portal, User ID and Password are all needed",IF(AND(A804="",COUNTIF(Clients!$B$5:$B$1005,B804)=0),"Not on Clients — will match a portal client by name",IF(AND(C804="GST",D804&lt;&gt;"",COUNTIF(Clients!$AZ$5:$AZ$1005,UPPER(D804))=0,COUNTIF(Clients!$G$5:$G$1005,"*"&amp;UPPER(D804)&amp;"*")=0),"GSTIN not on Clients — will be checked in the portal","✔ OK")))))</f>
        <v/>
      </c>
    </row>
    <row r="805">
      <c r="A805" s="40" t="n"/>
      <c r="B805" s="41" t="n"/>
      <c r="C805" s="41" t="n"/>
      <c r="D805" s="40" t="n"/>
      <c r="E805" s="40" t="n"/>
      <c r="F805" s="40" t="n"/>
      <c r="G805" s="39">
        <f>IF(COUNTA(A805:F805)=0,"",IF(A805="EXAMPLE","Example (skipped)",IF(OR(C805="",E805="",F805=""),"✖ Portal, User ID and Password are all needed",IF(AND(A805="",COUNTIF(Clients!$B$5:$B$1005,B805)=0),"Not on Clients — will match a portal client by name",IF(AND(C805="GST",D805&lt;&gt;"",COUNTIF(Clients!$AZ$5:$AZ$1005,UPPER(D805))=0,COUNTIF(Clients!$G$5:$G$1005,"*"&amp;UPPER(D805)&amp;"*")=0),"GSTIN not on Clients — will be checked in the portal","✔ OK")))))</f>
        <v/>
      </c>
    </row>
    <row r="806">
      <c r="A806" s="40" t="n"/>
      <c r="B806" s="41" t="n"/>
      <c r="C806" s="41" t="n"/>
      <c r="D806" s="40" t="n"/>
      <c r="E806" s="40" t="n"/>
      <c r="F806" s="40" t="n"/>
      <c r="G806" s="39">
        <f>IF(COUNTA(A806:F806)=0,"",IF(A806="EXAMPLE","Example (skipped)",IF(OR(C806="",E806="",F806=""),"✖ Portal, User ID and Password are all needed",IF(AND(A806="",COUNTIF(Clients!$B$5:$B$1005,B806)=0),"Not on Clients — will match a portal client by name",IF(AND(C806="GST",D806&lt;&gt;"",COUNTIF(Clients!$AZ$5:$AZ$1005,UPPER(D806))=0,COUNTIF(Clients!$G$5:$G$1005,"*"&amp;UPPER(D806)&amp;"*")=0),"GSTIN not on Clients — will be checked in the portal","✔ OK")))))</f>
        <v/>
      </c>
    </row>
    <row r="807">
      <c r="A807" s="40" t="n"/>
      <c r="B807" s="41" t="n"/>
      <c r="C807" s="41" t="n"/>
      <c r="D807" s="40" t="n"/>
      <c r="E807" s="40" t="n"/>
      <c r="F807" s="40" t="n"/>
      <c r="G807" s="39">
        <f>IF(COUNTA(A807:F807)=0,"",IF(A807="EXAMPLE","Example (skipped)",IF(OR(C807="",E807="",F807=""),"✖ Portal, User ID and Password are all needed",IF(AND(A807="",COUNTIF(Clients!$B$5:$B$1005,B807)=0),"Not on Clients — will match a portal client by name",IF(AND(C807="GST",D807&lt;&gt;"",COUNTIF(Clients!$AZ$5:$AZ$1005,UPPER(D807))=0,COUNTIF(Clients!$G$5:$G$1005,"*"&amp;UPPER(D807)&amp;"*")=0),"GSTIN not on Clients — will be checked in the portal","✔ OK")))))</f>
        <v/>
      </c>
    </row>
    <row r="808">
      <c r="A808" s="40" t="n"/>
      <c r="B808" s="41" t="n"/>
      <c r="C808" s="41" t="n"/>
      <c r="D808" s="40" t="n"/>
      <c r="E808" s="40" t="n"/>
      <c r="F808" s="40" t="n"/>
      <c r="G808" s="39">
        <f>IF(COUNTA(A808:F808)=0,"",IF(A808="EXAMPLE","Example (skipped)",IF(OR(C808="",E808="",F808=""),"✖ Portal, User ID and Password are all needed",IF(AND(A808="",COUNTIF(Clients!$B$5:$B$1005,B808)=0),"Not on Clients — will match a portal client by name",IF(AND(C808="GST",D808&lt;&gt;"",COUNTIF(Clients!$AZ$5:$AZ$1005,UPPER(D808))=0,COUNTIF(Clients!$G$5:$G$1005,"*"&amp;UPPER(D808)&amp;"*")=0),"GSTIN not on Clients — will be checked in the portal","✔ OK")))))</f>
        <v/>
      </c>
    </row>
    <row r="809">
      <c r="A809" s="40" t="n"/>
      <c r="B809" s="41" t="n"/>
      <c r="C809" s="41" t="n"/>
      <c r="D809" s="40" t="n"/>
      <c r="E809" s="40" t="n"/>
      <c r="F809" s="40" t="n"/>
      <c r="G809" s="39">
        <f>IF(COUNTA(A809:F809)=0,"",IF(A809="EXAMPLE","Example (skipped)",IF(OR(C809="",E809="",F809=""),"✖ Portal, User ID and Password are all needed",IF(AND(A809="",COUNTIF(Clients!$B$5:$B$1005,B809)=0),"Not on Clients — will match a portal client by name",IF(AND(C809="GST",D809&lt;&gt;"",COUNTIF(Clients!$AZ$5:$AZ$1005,UPPER(D809))=0,COUNTIF(Clients!$G$5:$G$1005,"*"&amp;UPPER(D809)&amp;"*")=0),"GSTIN not on Clients — will be checked in the portal","✔ OK")))))</f>
        <v/>
      </c>
    </row>
    <row r="810">
      <c r="A810" s="40" t="n"/>
      <c r="B810" s="41" t="n"/>
      <c r="C810" s="41" t="n"/>
      <c r="D810" s="40" t="n"/>
      <c r="E810" s="40" t="n"/>
      <c r="F810" s="40" t="n"/>
      <c r="G810" s="39">
        <f>IF(COUNTA(A810:F810)=0,"",IF(A810="EXAMPLE","Example (skipped)",IF(OR(C810="",E810="",F810=""),"✖ Portal, User ID and Password are all needed",IF(AND(A810="",COUNTIF(Clients!$B$5:$B$1005,B810)=0),"Not on Clients — will match a portal client by name",IF(AND(C810="GST",D810&lt;&gt;"",COUNTIF(Clients!$AZ$5:$AZ$1005,UPPER(D810))=0,COUNTIF(Clients!$G$5:$G$1005,"*"&amp;UPPER(D810)&amp;"*")=0),"GSTIN not on Clients — will be checked in the portal","✔ OK")))))</f>
        <v/>
      </c>
    </row>
    <row r="811">
      <c r="A811" s="40" t="n"/>
      <c r="B811" s="41" t="n"/>
      <c r="C811" s="41" t="n"/>
      <c r="D811" s="40" t="n"/>
      <c r="E811" s="40" t="n"/>
      <c r="F811" s="40" t="n"/>
      <c r="G811" s="39">
        <f>IF(COUNTA(A811:F811)=0,"",IF(A811="EXAMPLE","Example (skipped)",IF(OR(C811="",E811="",F811=""),"✖ Portal, User ID and Password are all needed",IF(AND(A811="",COUNTIF(Clients!$B$5:$B$1005,B811)=0),"Not on Clients — will match a portal client by name",IF(AND(C811="GST",D811&lt;&gt;"",COUNTIF(Clients!$AZ$5:$AZ$1005,UPPER(D811))=0,COUNTIF(Clients!$G$5:$G$1005,"*"&amp;UPPER(D811)&amp;"*")=0),"GSTIN not on Clients — will be checked in the portal","✔ OK")))))</f>
        <v/>
      </c>
    </row>
    <row r="812">
      <c r="A812" s="40" t="n"/>
      <c r="B812" s="41" t="n"/>
      <c r="C812" s="41" t="n"/>
      <c r="D812" s="40" t="n"/>
      <c r="E812" s="40" t="n"/>
      <c r="F812" s="40" t="n"/>
      <c r="G812" s="39">
        <f>IF(COUNTA(A812:F812)=0,"",IF(A812="EXAMPLE","Example (skipped)",IF(OR(C812="",E812="",F812=""),"✖ Portal, User ID and Password are all needed",IF(AND(A812="",COUNTIF(Clients!$B$5:$B$1005,B812)=0),"Not on Clients — will match a portal client by name",IF(AND(C812="GST",D812&lt;&gt;"",COUNTIF(Clients!$AZ$5:$AZ$1005,UPPER(D812))=0,COUNTIF(Clients!$G$5:$G$1005,"*"&amp;UPPER(D812)&amp;"*")=0),"GSTIN not on Clients — will be checked in the portal","✔ OK")))))</f>
        <v/>
      </c>
    </row>
    <row r="813">
      <c r="A813" s="40" t="n"/>
      <c r="B813" s="41" t="n"/>
      <c r="C813" s="41" t="n"/>
      <c r="D813" s="40" t="n"/>
      <c r="E813" s="40" t="n"/>
      <c r="F813" s="40" t="n"/>
      <c r="G813" s="39">
        <f>IF(COUNTA(A813:F813)=0,"",IF(A813="EXAMPLE","Example (skipped)",IF(OR(C813="",E813="",F813=""),"✖ Portal, User ID and Password are all needed",IF(AND(A813="",COUNTIF(Clients!$B$5:$B$1005,B813)=0),"Not on Clients — will match a portal client by name",IF(AND(C813="GST",D813&lt;&gt;"",COUNTIF(Clients!$AZ$5:$AZ$1005,UPPER(D813))=0,COUNTIF(Clients!$G$5:$G$1005,"*"&amp;UPPER(D813)&amp;"*")=0),"GSTIN not on Clients — will be checked in the portal","✔ OK")))))</f>
        <v/>
      </c>
    </row>
    <row r="814">
      <c r="A814" s="40" t="n"/>
      <c r="B814" s="41" t="n"/>
      <c r="C814" s="41" t="n"/>
      <c r="D814" s="40" t="n"/>
      <c r="E814" s="40" t="n"/>
      <c r="F814" s="40" t="n"/>
      <c r="G814" s="39">
        <f>IF(COUNTA(A814:F814)=0,"",IF(A814="EXAMPLE","Example (skipped)",IF(OR(C814="",E814="",F814=""),"✖ Portal, User ID and Password are all needed",IF(AND(A814="",COUNTIF(Clients!$B$5:$B$1005,B814)=0),"Not on Clients — will match a portal client by name",IF(AND(C814="GST",D814&lt;&gt;"",COUNTIF(Clients!$AZ$5:$AZ$1005,UPPER(D814))=0,COUNTIF(Clients!$G$5:$G$1005,"*"&amp;UPPER(D814)&amp;"*")=0),"GSTIN not on Clients — will be checked in the portal","✔ OK")))))</f>
        <v/>
      </c>
    </row>
    <row r="815">
      <c r="A815" s="40" t="n"/>
      <c r="B815" s="41" t="n"/>
      <c r="C815" s="41" t="n"/>
      <c r="D815" s="40" t="n"/>
      <c r="E815" s="40" t="n"/>
      <c r="F815" s="40" t="n"/>
      <c r="G815" s="39">
        <f>IF(COUNTA(A815:F815)=0,"",IF(A815="EXAMPLE","Example (skipped)",IF(OR(C815="",E815="",F815=""),"✖ Portal, User ID and Password are all needed",IF(AND(A815="",COUNTIF(Clients!$B$5:$B$1005,B815)=0),"Not on Clients — will match a portal client by name",IF(AND(C815="GST",D815&lt;&gt;"",COUNTIF(Clients!$AZ$5:$AZ$1005,UPPER(D815))=0,COUNTIF(Clients!$G$5:$G$1005,"*"&amp;UPPER(D815)&amp;"*")=0),"GSTIN not on Clients — will be checked in the portal","✔ OK")))))</f>
        <v/>
      </c>
    </row>
    <row r="816">
      <c r="A816" s="40" t="n"/>
      <c r="B816" s="41" t="n"/>
      <c r="C816" s="41" t="n"/>
      <c r="D816" s="40" t="n"/>
      <c r="E816" s="40" t="n"/>
      <c r="F816" s="40" t="n"/>
      <c r="G816" s="39">
        <f>IF(COUNTA(A816:F816)=0,"",IF(A816="EXAMPLE","Example (skipped)",IF(OR(C816="",E816="",F816=""),"✖ Portal, User ID and Password are all needed",IF(AND(A816="",COUNTIF(Clients!$B$5:$B$1005,B816)=0),"Not on Clients — will match a portal client by name",IF(AND(C816="GST",D816&lt;&gt;"",COUNTIF(Clients!$AZ$5:$AZ$1005,UPPER(D816))=0,COUNTIF(Clients!$G$5:$G$1005,"*"&amp;UPPER(D816)&amp;"*")=0),"GSTIN not on Clients — will be checked in the portal","✔ OK")))))</f>
        <v/>
      </c>
    </row>
    <row r="817">
      <c r="A817" s="40" t="n"/>
      <c r="B817" s="41" t="n"/>
      <c r="C817" s="41" t="n"/>
      <c r="D817" s="40" t="n"/>
      <c r="E817" s="40" t="n"/>
      <c r="F817" s="40" t="n"/>
      <c r="G817" s="39">
        <f>IF(COUNTA(A817:F817)=0,"",IF(A817="EXAMPLE","Example (skipped)",IF(OR(C817="",E817="",F817=""),"✖ Portal, User ID and Password are all needed",IF(AND(A817="",COUNTIF(Clients!$B$5:$B$1005,B817)=0),"Not on Clients — will match a portal client by name",IF(AND(C817="GST",D817&lt;&gt;"",COUNTIF(Clients!$AZ$5:$AZ$1005,UPPER(D817))=0,COUNTIF(Clients!$G$5:$G$1005,"*"&amp;UPPER(D817)&amp;"*")=0),"GSTIN not on Clients — will be checked in the portal","✔ OK")))))</f>
        <v/>
      </c>
    </row>
    <row r="818">
      <c r="A818" s="40" t="n"/>
      <c r="B818" s="41" t="n"/>
      <c r="C818" s="41" t="n"/>
      <c r="D818" s="40" t="n"/>
      <c r="E818" s="40" t="n"/>
      <c r="F818" s="40" t="n"/>
      <c r="G818" s="39">
        <f>IF(COUNTA(A818:F818)=0,"",IF(A818="EXAMPLE","Example (skipped)",IF(OR(C818="",E818="",F818=""),"✖ Portal, User ID and Password are all needed",IF(AND(A818="",COUNTIF(Clients!$B$5:$B$1005,B818)=0),"Not on Clients — will match a portal client by name",IF(AND(C818="GST",D818&lt;&gt;"",COUNTIF(Clients!$AZ$5:$AZ$1005,UPPER(D818))=0,COUNTIF(Clients!$G$5:$G$1005,"*"&amp;UPPER(D818)&amp;"*")=0),"GSTIN not on Clients — will be checked in the portal","✔ OK")))))</f>
        <v/>
      </c>
    </row>
    <row r="819">
      <c r="A819" s="40" t="n"/>
      <c r="B819" s="41" t="n"/>
      <c r="C819" s="41" t="n"/>
      <c r="D819" s="40" t="n"/>
      <c r="E819" s="40" t="n"/>
      <c r="F819" s="40" t="n"/>
      <c r="G819" s="39">
        <f>IF(COUNTA(A819:F819)=0,"",IF(A819="EXAMPLE","Example (skipped)",IF(OR(C819="",E819="",F819=""),"✖ Portal, User ID and Password are all needed",IF(AND(A819="",COUNTIF(Clients!$B$5:$B$1005,B819)=0),"Not on Clients — will match a portal client by name",IF(AND(C819="GST",D819&lt;&gt;"",COUNTIF(Clients!$AZ$5:$AZ$1005,UPPER(D819))=0,COUNTIF(Clients!$G$5:$G$1005,"*"&amp;UPPER(D819)&amp;"*")=0),"GSTIN not on Clients — will be checked in the portal","✔ OK")))))</f>
        <v/>
      </c>
    </row>
    <row r="820">
      <c r="A820" s="40" t="n"/>
      <c r="B820" s="41" t="n"/>
      <c r="C820" s="41" t="n"/>
      <c r="D820" s="40" t="n"/>
      <c r="E820" s="40" t="n"/>
      <c r="F820" s="40" t="n"/>
      <c r="G820" s="39">
        <f>IF(COUNTA(A820:F820)=0,"",IF(A820="EXAMPLE","Example (skipped)",IF(OR(C820="",E820="",F820=""),"✖ Portal, User ID and Password are all needed",IF(AND(A820="",COUNTIF(Clients!$B$5:$B$1005,B820)=0),"Not on Clients — will match a portal client by name",IF(AND(C820="GST",D820&lt;&gt;"",COUNTIF(Clients!$AZ$5:$AZ$1005,UPPER(D820))=0,COUNTIF(Clients!$G$5:$G$1005,"*"&amp;UPPER(D820)&amp;"*")=0),"GSTIN not on Clients — will be checked in the portal","✔ OK")))))</f>
        <v/>
      </c>
    </row>
    <row r="821">
      <c r="A821" s="40" t="n"/>
      <c r="B821" s="41" t="n"/>
      <c r="C821" s="41" t="n"/>
      <c r="D821" s="40" t="n"/>
      <c r="E821" s="40" t="n"/>
      <c r="F821" s="40" t="n"/>
      <c r="G821" s="39">
        <f>IF(COUNTA(A821:F821)=0,"",IF(A821="EXAMPLE","Example (skipped)",IF(OR(C821="",E821="",F821=""),"✖ Portal, User ID and Password are all needed",IF(AND(A821="",COUNTIF(Clients!$B$5:$B$1005,B821)=0),"Not on Clients — will match a portal client by name",IF(AND(C821="GST",D821&lt;&gt;"",COUNTIF(Clients!$AZ$5:$AZ$1005,UPPER(D821))=0,COUNTIF(Clients!$G$5:$G$1005,"*"&amp;UPPER(D821)&amp;"*")=0),"GSTIN not on Clients — will be checked in the portal","✔ OK")))))</f>
        <v/>
      </c>
    </row>
    <row r="822">
      <c r="A822" s="40" t="n"/>
      <c r="B822" s="41" t="n"/>
      <c r="C822" s="41" t="n"/>
      <c r="D822" s="40" t="n"/>
      <c r="E822" s="40" t="n"/>
      <c r="F822" s="40" t="n"/>
      <c r="G822" s="39">
        <f>IF(COUNTA(A822:F822)=0,"",IF(A822="EXAMPLE","Example (skipped)",IF(OR(C822="",E822="",F822=""),"✖ Portal, User ID and Password are all needed",IF(AND(A822="",COUNTIF(Clients!$B$5:$B$1005,B822)=0),"Not on Clients — will match a portal client by name",IF(AND(C822="GST",D822&lt;&gt;"",COUNTIF(Clients!$AZ$5:$AZ$1005,UPPER(D822))=0,COUNTIF(Clients!$G$5:$G$1005,"*"&amp;UPPER(D822)&amp;"*")=0),"GSTIN not on Clients — will be checked in the portal","✔ OK")))))</f>
        <v/>
      </c>
    </row>
    <row r="823">
      <c r="A823" s="40" t="n"/>
      <c r="B823" s="41" t="n"/>
      <c r="C823" s="41" t="n"/>
      <c r="D823" s="40" t="n"/>
      <c r="E823" s="40" t="n"/>
      <c r="F823" s="40" t="n"/>
      <c r="G823" s="39">
        <f>IF(COUNTA(A823:F823)=0,"",IF(A823="EXAMPLE","Example (skipped)",IF(OR(C823="",E823="",F823=""),"✖ Portal, User ID and Password are all needed",IF(AND(A823="",COUNTIF(Clients!$B$5:$B$1005,B823)=0),"Not on Clients — will match a portal client by name",IF(AND(C823="GST",D823&lt;&gt;"",COUNTIF(Clients!$AZ$5:$AZ$1005,UPPER(D823))=0,COUNTIF(Clients!$G$5:$G$1005,"*"&amp;UPPER(D823)&amp;"*")=0),"GSTIN not on Clients — will be checked in the portal","✔ OK")))))</f>
        <v/>
      </c>
    </row>
    <row r="824">
      <c r="A824" s="40" t="n"/>
      <c r="B824" s="41" t="n"/>
      <c r="C824" s="41" t="n"/>
      <c r="D824" s="40" t="n"/>
      <c r="E824" s="40" t="n"/>
      <c r="F824" s="40" t="n"/>
      <c r="G824" s="39">
        <f>IF(COUNTA(A824:F824)=0,"",IF(A824="EXAMPLE","Example (skipped)",IF(OR(C824="",E824="",F824=""),"✖ Portal, User ID and Password are all needed",IF(AND(A824="",COUNTIF(Clients!$B$5:$B$1005,B824)=0),"Not on Clients — will match a portal client by name",IF(AND(C824="GST",D824&lt;&gt;"",COUNTIF(Clients!$AZ$5:$AZ$1005,UPPER(D824))=0,COUNTIF(Clients!$G$5:$G$1005,"*"&amp;UPPER(D824)&amp;"*")=0),"GSTIN not on Clients — will be checked in the portal","✔ OK")))))</f>
        <v/>
      </c>
    </row>
    <row r="825">
      <c r="A825" s="40" t="n"/>
      <c r="B825" s="41" t="n"/>
      <c r="C825" s="41" t="n"/>
      <c r="D825" s="40" t="n"/>
      <c r="E825" s="40" t="n"/>
      <c r="F825" s="40" t="n"/>
      <c r="G825" s="39">
        <f>IF(COUNTA(A825:F825)=0,"",IF(A825="EXAMPLE","Example (skipped)",IF(OR(C825="",E825="",F825=""),"✖ Portal, User ID and Password are all needed",IF(AND(A825="",COUNTIF(Clients!$B$5:$B$1005,B825)=0),"Not on Clients — will match a portal client by name",IF(AND(C825="GST",D825&lt;&gt;"",COUNTIF(Clients!$AZ$5:$AZ$1005,UPPER(D825))=0,COUNTIF(Clients!$G$5:$G$1005,"*"&amp;UPPER(D825)&amp;"*")=0),"GSTIN not on Clients — will be checked in the portal","✔ OK")))))</f>
        <v/>
      </c>
    </row>
    <row r="826">
      <c r="A826" s="40" t="n"/>
      <c r="B826" s="41" t="n"/>
      <c r="C826" s="41" t="n"/>
      <c r="D826" s="40" t="n"/>
      <c r="E826" s="40" t="n"/>
      <c r="F826" s="40" t="n"/>
      <c r="G826" s="39">
        <f>IF(COUNTA(A826:F826)=0,"",IF(A826="EXAMPLE","Example (skipped)",IF(OR(C826="",E826="",F826=""),"✖ Portal, User ID and Password are all needed",IF(AND(A826="",COUNTIF(Clients!$B$5:$B$1005,B826)=0),"Not on Clients — will match a portal client by name",IF(AND(C826="GST",D826&lt;&gt;"",COUNTIF(Clients!$AZ$5:$AZ$1005,UPPER(D826))=0,COUNTIF(Clients!$G$5:$G$1005,"*"&amp;UPPER(D826)&amp;"*")=0),"GSTIN not on Clients — will be checked in the portal","✔ OK")))))</f>
        <v/>
      </c>
    </row>
    <row r="827">
      <c r="A827" s="40" t="n"/>
      <c r="B827" s="41" t="n"/>
      <c r="C827" s="41" t="n"/>
      <c r="D827" s="40" t="n"/>
      <c r="E827" s="40" t="n"/>
      <c r="F827" s="40" t="n"/>
      <c r="G827" s="39">
        <f>IF(COUNTA(A827:F827)=0,"",IF(A827="EXAMPLE","Example (skipped)",IF(OR(C827="",E827="",F827=""),"✖ Portal, User ID and Password are all needed",IF(AND(A827="",COUNTIF(Clients!$B$5:$B$1005,B827)=0),"Not on Clients — will match a portal client by name",IF(AND(C827="GST",D827&lt;&gt;"",COUNTIF(Clients!$AZ$5:$AZ$1005,UPPER(D827))=0,COUNTIF(Clients!$G$5:$G$1005,"*"&amp;UPPER(D827)&amp;"*")=0),"GSTIN not on Clients — will be checked in the portal","✔ OK")))))</f>
        <v/>
      </c>
    </row>
    <row r="828">
      <c r="A828" s="40" t="n"/>
      <c r="B828" s="41" t="n"/>
      <c r="C828" s="41" t="n"/>
      <c r="D828" s="40" t="n"/>
      <c r="E828" s="40" t="n"/>
      <c r="F828" s="40" t="n"/>
      <c r="G828" s="39">
        <f>IF(COUNTA(A828:F828)=0,"",IF(A828="EXAMPLE","Example (skipped)",IF(OR(C828="",E828="",F828=""),"✖ Portal, User ID and Password are all needed",IF(AND(A828="",COUNTIF(Clients!$B$5:$B$1005,B828)=0),"Not on Clients — will match a portal client by name",IF(AND(C828="GST",D828&lt;&gt;"",COUNTIF(Clients!$AZ$5:$AZ$1005,UPPER(D828))=0,COUNTIF(Clients!$G$5:$G$1005,"*"&amp;UPPER(D828)&amp;"*")=0),"GSTIN not on Clients — will be checked in the portal","✔ OK")))))</f>
        <v/>
      </c>
    </row>
    <row r="829">
      <c r="A829" s="40" t="n"/>
      <c r="B829" s="41" t="n"/>
      <c r="C829" s="41" t="n"/>
      <c r="D829" s="40" t="n"/>
      <c r="E829" s="40" t="n"/>
      <c r="F829" s="40" t="n"/>
      <c r="G829" s="39">
        <f>IF(COUNTA(A829:F829)=0,"",IF(A829="EXAMPLE","Example (skipped)",IF(OR(C829="",E829="",F829=""),"✖ Portal, User ID and Password are all needed",IF(AND(A829="",COUNTIF(Clients!$B$5:$B$1005,B829)=0),"Not on Clients — will match a portal client by name",IF(AND(C829="GST",D829&lt;&gt;"",COUNTIF(Clients!$AZ$5:$AZ$1005,UPPER(D829))=0,COUNTIF(Clients!$G$5:$G$1005,"*"&amp;UPPER(D829)&amp;"*")=0),"GSTIN not on Clients — will be checked in the portal","✔ OK")))))</f>
        <v/>
      </c>
    </row>
    <row r="830">
      <c r="A830" s="40" t="n"/>
      <c r="B830" s="41" t="n"/>
      <c r="C830" s="41" t="n"/>
      <c r="D830" s="40" t="n"/>
      <c r="E830" s="40" t="n"/>
      <c r="F830" s="40" t="n"/>
      <c r="G830" s="39">
        <f>IF(COUNTA(A830:F830)=0,"",IF(A830="EXAMPLE","Example (skipped)",IF(OR(C830="",E830="",F830=""),"✖ Portal, User ID and Password are all needed",IF(AND(A830="",COUNTIF(Clients!$B$5:$B$1005,B830)=0),"Not on Clients — will match a portal client by name",IF(AND(C830="GST",D830&lt;&gt;"",COUNTIF(Clients!$AZ$5:$AZ$1005,UPPER(D830))=0,COUNTIF(Clients!$G$5:$G$1005,"*"&amp;UPPER(D830)&amp;"*")=0),"GSTIN not on Clients — will be checked in the portal","✔ OK")))))</f>
        <v/>
      </c>
    </row>
    <row r="831">
      <c r="A831" s="40" t="n"/>
      <c r="B831" s="41" t="n"/>
      <c r="C831" s="41" t="n"/>
      <c r="D831" s="40" t="n"/>
      <c r="E831" s="40" t="n"/>
      <c r="F831" s="40" t="n"/>
      <c r="G831" s="39">
        <f>IF(COUNTA(A831:F831)=0,"",IF(A831="EXAMPLE","Example (skipped)",IF(OR(C831="",E831="",F831=""),"✖ Portal, User ID and Password are all needed",IF(AND(A831="",COUNTIF(Clients!$B$5:$B$1005,B831)=0),"Not on Clients — will match a portal client by name",IF(AND(C831="GST",D831&lt;&gt;"",COUNTIF(Clients!$AZ$5:$AZ$1005,UPPER(D831))=0,COUNTIF(Clients!$G$5:$G$1005,"*"&amp;UPPER(D831)&amp;"*")=0),"GSTIN not on Clients — will be checked in the portal","✔ OK")))))</f>
        <v/>
      </c>
    </row>
    <row r="832">
      <c r="A832" s="40" t="n"/>
      <c r="B832" s="41" t="n"/>
      <c r="C832" s="41" t="n"/>
      <c r="D832" s="40" t="n"/>
      <c r="E832" s="40" t="n"/>
      <c r="F832" s="40" t="n"/>
      <c r="G832" s="39">
        <f>IF(COUNTA(A832:F832)=0,"",IF(A832="EXAMPLE","Example (skipped)",IF(OR(C832="",E832="",F832=""),"✖ Portal, User ID and Password are all needed",IF(AND(A832="",COUNTIF(Clients!$B$5:$B$1005,B832)=0),"Not on Clients — will match a portal client by name",IF(AND(C832="GST",D832&lt;&gt;"",COUNTIF(Clients!$AZ$5:$AZ$1005,UPPER(D832))=0,COUNTIF(Clients!$G$5:$G$1005,"*"&amp;UPPER(D832)&amp;"*")=0),"GSTIN not on Clients — will be checked in the portal","✔ OK")))))</f>
        <v/>
      </c>
    </row>
    <row r="833">
      <c r="A833" s="40" t="n"/>
      <c r="B833" s="41" t="n"/>
      <c r="C833" s="41" t="n"/>
      <c r="D833" s="40" t="n"/>
      <c r="E833" s="40" t="n"/>
      <c r="F833" s="40" t="n"/>
      <c r="G833" s="39">
        <f>IF(COUNTA(A833:F833)=0,"",IF(A833="EXAMPLE","Example (skipped)",IF(OR(C833="",E833="",F833=""),"✖ Portal, User ID and Password are all needed",IF(AND(A833="",COUNTIF(Clients!$B$5:$B$1005,B833)=0),"Not on Clients — will match a portal client by name",IF(AND(C833="GST",D833&lt;&gt;"",COUNTIF(Clients!$AZ$5:$AZ$1005,UPPER(D833))=0,COUNTIF(Clients!$G$5:$G$1005,"*"&amp;UPPER(D833)&amp;"*")=0),"GSTIN not on Clients — will be checked in the portal","✔ OK")))))</f>
        <v/>
      </c>
    </row>
    <row r="834">
      <c r="A834" s="40" t="n"/>
      <c r="B834" s="41" t="n"/>
      <c r="C834" s="41" t="n"/>
      <c r="D834" s="40" t="n"/>
      <c r="E834" s="40" t="n"/>
      <c r="F834" s="40" t="n"/>
      <c r="G834" s="39">
        <f>IF(COUNTA(A834:F834)=0,"",IF(A834="EXAMPLE","Example (skipped)",IF(OR(C834="",E834="",F834=""),"✖ Portal, User ID and Password are all needed",IF(AND(A834="",COUNTIF(Clients!$B$5:$B$1005,B834)=0),"Not on Clients — will match a portal client by name",IF(AND(C834="GST",D834&lt;&gt;"",COUNTIF(Clients!$AZ$5:$AZ$1005,UPPER(D834))=0,COUNTIF(Clients!$G$5:$G$1005,"*"&amp;UPPER(D834)&amp;"*")=0),"GSTIN not on Clients — will be checked in the portal","✔ OK")))))</f>
        <v/>
      </c>
    </row>
    <row r="835">
      <c r="A835" s="40" t="n"/>
      <c r="B835" s="41" t="n"/>
      <c r="C835" s="41" t="n"/>
      <c r="D835" s="40" t="n"/>
      <c r="E835" s="40" t="n"/>
      <c r="F835" s="40" t="n"/>
      <c r="G835" s="39">
        <f>IF(COUNTA(A835:F835)=0,"",IF(A835="EXAMPLE","Example (skipped)",IF(OR(C835="",E835="",F835=""),"✖ Portal, User ID and Password are all needed",IF(AND(A835="",COUNTIF(Clients!$B$5:$B$1005,B835)=0),"Not on Clients — will match a portal client by name",IF(AND(C835="GST",D835&lt;&gt;"",COUNTIF(Clients!$AZ$5:$AZ$1005,UPPER(D835))=0,COUNTIF(Clients!$G$5:$G$1005,"*"&amp;UPPER(D835)&amp;"*")=0),"GSTIN not on Clients — will be checked in the portal","✔ OK")))))</f>
        <v/>
      </c>
    </row>
    <row r="836">
      <c r="A836" s="40" t="n"/>
      <c r="B836" s="41" t="n"/>
      <c r="C836" s="41" t="n"/>
      <c r="D836" s="40" t="n"/>
      <c r="E836" s="40" t="n"/>
      <c r="F836" s="40" t="n"/>
      <c r="G836" s="39">
        <f>IF(COUNTA(A836:F836)=0,"",IF(A836="EXAMPLE","Example (skipped)",IF(OR(C836="",E836="",F836=""),"✖ Portal, User ID and Password are all needed",IF(AND(A836="",COUNTIF(Clients!$B$5:$B$1005,B836)=0),"Not on Clients — will match a portal client by name",IF(AND(C836="GST",D836&lt;&gt;"",COUNTIF(Clients!$AZ$5:$AZ$1005,UPPER(D836))=0,COUNTIF(Clients!$G$5:$G$1005,"*"&amp;UPPER(D836)&amp;"*")=0),"GSTIN not on Clients — will be checked in the portal","✔ OK")))))</f>
        <v/>
      </c>
    </row>
    <row r="837">
      <c r="A837" s="40" t="n"/>
      <c r="B837" s="41" t="n"/>
      <c r="C837" s="41" t="n"/>
      <c r="D837" s="40" t="n"/>
      <c r="E837" s="40" t="n"/>
      <c r="F837" s="40" t="n"/>
      <c r="G837" s="39">
        <f>IF(COUNTA(A837:F837)=0,"",IF(A837="EXAMPLE","Example (skipped)",IF(OR(C837="",E837="",F837=""),"✖ Portal, User ID and Password are all needed",IF(AND(A837="",COUNTIF(Clients!$B$5:$B$1005,B837)=0),"Not on Clients — will match a portal client by name",IF(AND(C837="GST",D837&lt;&gt;"",COUNTIF(Clients!$AZ$5:$AZ$1005,UPPER(D837))=0,COUNTIF(Clients!$G$5:$G$1005,"*"&amp;UPPER(D837)&amp;"*")=0),"GSTIN not on Clients — will be checked in the portal","✔ OK")))))</f>
        <v/>
      </c>
    </row>
    <row r="838">
      <c r="A838" s="40" t="n"/>
      <c r="B838" s="41" t="n"/>
      <c r="C838" s="41" t="n"/>
      <c r="D838" s="40" t="n"/>
      <c r="E838" s="40" t="n"/>
      <c r="F838" s="40" t="n"/>
      <c r="G838" s="39">
        <f>IF(COUNTA(A838:F838)=0,"",IF(A838="EXAMPLE","Example (skipped)",IF(OR(C838="",E838="",F838=""),"✖ Portal, User ID and Password are all needed",IF(AND(A838="",COUNTIF(Clients!$B$5:$B$1005,B838)=0),"Not on Clients — will match a portal client by name",IF(AND(C838="GST",D838&lt;&gt;"",COUNTIF(Clients!$AZ$5:$AZ$1005,UPPER(D838))=0,COUNTIF(Clients!$G$5:$G$1005,"*"&amp;UPPER(D838)&amp;"*")=0),"GSTIN not on Clients — will be checked in the portal","✔ OK")))))</f>
        <v/>
      </c>
    </row>
    <row r="839">
      <c r="A839" s="40" t="n"/>
      <c r="B839" s="41" t="n"/>
      <c r="C839" s="41" t="n"/>
      <c r="D839" s="40" t="n"/>
      <c r="E839" s="40" t="n"/>
      <c r="F839" s="40" t="n"/>
      <c r="G839" s="39">
        <f>IF(COUNTA(A839:F839)=0,"",IF(A839="EXAMPLE","Example (skipped)",IF(OR(C839="",E839="",F839=""),"✖ Portal, User ID and Password are all needed",IF(AND(A839="",COUNTIF(Clients!$B$5:$B$1005,B839)=0),"Not on Clients — will match a portal client by name",IF(AND(C839="GST",D839&lt;&gt;"",COUNTIF(Clients!$AZ$5:$AZ$1005,UPPER(D839))=0,COUNTIF(Clients!$G$5:$G$1005,"*"&amp;UPPER(D839)&amp;"*")=0),"GSTIN not on Clients — will be checked in the portal","✔ OK")))))</f>
        <v/>
      </c>
    </row>
    <row r="840">
      <c r="A840" s="40" t="n"/>
      <c r="B840" s="41" t="n"/>
      <c r="C840" s="41" t="n"/>
      <c r="D840" s="40" t="n"/>
      <c r="E840" s="40" t="n"/>
      <c r="F840" s="40" t="n"/>
      <c r="G840" s="39">
        <f>IF(COUNTA(A840:F840)=0,"",IF(A840="EXAMPLE","Example (skipped)",IF(OR(C840="",E840="",F840=""),"✖ Portal, User ID and Password are all needed",IF(AND(A840="",COUNTIF(Clients!$B$5:$B$1005,B840)=0),"Not on Clients — will match a portal client by name",IF(AND(C840="GST",D840&lt;&gt;"",COUNTIF(Clients!$AZ$5:$AZ$1005,UPPER(D840))=0,COUNTIF(Clients!$G$5:$G$1005,"*"&amp;UPPER(D840)&amp;"*")=0),"GSTIN not on Clients — will be checked in the portal","✔ OK")))))</f>
        <v/>
      </c>
    </row>
    <row r="841">
      <c r="A841" s="40" t="n"/>
      <c r="B841" s="41" t="n"/>
      <c r="C841" s="41" t="n"/>
      <c r="D841" s="40" t="n"/>
      <c r="E841" s="40" t="n"/>
      <c r="F841" s="40" t="n"/>
      <c r="G841" s="39">
        <f>IF(COUNTA(A841:F841)=0,"",IF(A841="EXAMPLE","Example (skipped)",IF(OR(C841="",E841="",F841=""),"✖ Portal, User ID and Password are all needed",IF(AND(A841="",COUNTIF(Clients!$B$5:$B$1005,B841)=0),"Not on Clients — will match a portal client by name",IF(AND(C841="GST",D841&lt;&gt;"",COUNTIF(Clients!$AZ$5:$AZ$1005,UPPER(D841))=0,COUNTIF(Clients!$G$5:$G$1005,"*"&amp;UPPER(D841)&amp;"*")=0),"GSTIN not on Clients — will be checked in the portal","✔ OK")))))</f>
        <v/>
      </c>
    </row>
    <row r="842">
      <c r="A842" s="40" t="n"/>
      <c r="B842" s="41" t="n"/>
      <c r="C842" s="41" t="n"/>
      <c r="D842" s="40" t="n"/>
      <c r="E842" s="40" t="n"/>
      <c r="F842" s="40" t="n"/>
      <c r="G842" s="39">
        <f>IF(COUNTA(A842:F842)=0,"",IF(A842="EXAMPLE","Example (skipped)",IF(OR(C842="",E842="",F842=""),"✖ Portal, User ID and Password are all needed",IF(AND(A842="",COUNTIF(Clients!$B$5:$B$1005,B842)=0),"Not on Clients — will match a portal client by name",IF(AND(C842="GST",D842&lt;&gt;"",COUNTIF(Clients!$AZ$5:$AZ$1005,UPPER(D842))=0,COUNTIF(Clients!$G$5:$G$1005,"*"&amp;UPPER(D842)&amp;"*")=0),"GSTIN not on Clients — will be checked in the portal","✔ OK")))))</f>
        <v/>
      </c>
    </row>
    <row r="843">
      <c r="A843" s="40" t="n"/>
      <c r="B843" s="41" t="n"/>
      <c r="C843" s="41" t="n"/>
      <c r="D843" s="40" t="n"/>
      <c r="E843" s="40" t="n"/>
      <c r="F843" s="40" t="n"/>
      <c r="G843" s="39">
        <f>IF(COUNTA(A843:F843)=0,"",IF(A843="EXAMPLE","Example (skipped)",IF(OR(C843="",E843="",F843=""),"✖ Portal, User ID and Password are all needed",IF(AND(A843="",COUNTIF(Clients!$B$5:$B$1005,B843)=0),"Not on Clients — will match a portal client by name",IF(AND(C843="GST",D843&lt;&gt;"",COUNTIF(Clients!$AZ$5:$AZ$1005,UPPER(D843))=0,COUNTIF(Clients!$G$5:$G$1005,"*"&amp;UPPER(D843)&amp;"*")=0),"GSTIN not on Clients — will be checked in the portal","✔ OK")))))</f>
        <v/>
      </c>
    </row>
    <row r="844">
      <c r="A844" s="40" t="n"/>
      <c r="B844" s="41" t="n"/>
      <c r="C844" s="41" t="n"/>
      <c r="D844" s="40" t="n"/>
      <c r="E844" s="40" t="n"/>
      <c r="F844" s="40" t="n"/>
      <c r="G844" s="39">
        <f>IF(COUNTA(A844:F844)=0,"",IF(A844="EXAMPLE","Example (skipped)",IF(OR(C844="",E844="",F844=""),"✖ Portal, User ID and Password are all needed",IF(AND(A844="",COUNTIF(Clients!$B$5:$B$1005,B844)=0),"Not on Clients — will match a portal client by name",IF(AND(C844="GST",D844&lt;&gt;"",COUNTIF(Clients!$AZ$5:$AZ$1005,UPPER(D844))=0,COUNTIF(Clients!$G$5:$G$1005,"*"&amp;UPPER(D844)&amp;"*")=0),"GSTIN not on Clients — will be checked in the portal","✔ OK")))))</f>
        <v/>
      </c>
    </row>
    <row r="845">
      <c r="A845" s="40" t="n"/>
      <c r="B845" s="41" t="n"/>
      <c r="C845" s="41" t="n"/>
      <c r="D845" s="40" t="n"/>
      <c r="E845" s="40" t="n"/>
      <c r="F845" s="40" t="n"/>
      <c r="G845" s="39">
        <f>IF(COUNTA(A845:F845)=0,"",IF(A845="EXAMPLE","Example (skipped)",IF(OR(C845="",E845="",F845=""),"✖ Portal, User ID and Password are all needed",IF(AND(A845="",COUNTIF(Clients!$B$5:$B$1005,B845)=0),"Not on Clients — will match a portal client by name",IF(AND(C845="GST",D845&lt;&gt;"",COUNTIF(Clients!$AZ$5:$AZ$1005,UPPER(D845))=0,COUNTIF(Clients!$G$5:$G$1005,"*"&amp;UPPER(D845)&amp;"*")=0),"GSTIN not on Clients — will be checked in the portal","✔ OK")))))</f>
        <v/>
      </c>
    </row>
    <row r="846">
      <c r="A846" s="40" t="n"/>
      <c r="B846" s="41" t="n"/>
      <c r="C846" s="41" t="n"/>
      <c r="D846" s="40" t="n"/>
      <c r="E846" s="40" t="n"/>
      <c r="F846" s="40" t="n"/>
      <c r="G846" s="39">
        <f>IF(COUNTA(A846:F846)=0,"",IF(A846="EXAMPLE","Example (skipped)",IF(OR(C846="",E846="",F846=""),"✖ Portal, User ID and Password are all needed",IF(AND(A846="",COUNTIF(Clients!$B$5:$B$1005,B846)=0),"Not on Clients — will match a portal client by name",IF(AND(C846="GST",D846&lt;&gt;"",COUNTIF(Clients!$AZ$5:$AZ$1005,UPPER(D846))=0,COUNTIF(Clients!$G$5:$G$1005,"*"&amp;UPPER(D846)&amp;"*")=0),"GSTIN not on Clients — will be checked in the portal","✔ OK")))))</f>
        <v/>
      </c>
    </row>
    <row r="847">
      <c r="A847" s="40" t="n"/>
      <c r="B847" s="41" t="n"/>
      <c r="C847" s="41" t="n"/>
      <c r="D847" s="40" t="n"/>
      <c r="E847" s="40" t="n"/>
      <c r="F847" s="40" t="n"/>
      <c r="G847" s="39">
        <f>IF(COUNTA(A847:F847)=0,"",IF(A847="EXAMPLE","Example (skipped)",IF(OR(C847="",E847="",F847=""),"✖ Portal, User ID and Password are all needed",IF(AND(A847="",COUNTIF(Clients!$B$5:$B$1005,B847)=0),"Not on Clients — will match a portal client by name",IF(AND(C847="GST",D847&lt;&gt;"",COUNTIF(Clients!$AZ$5:$AZ$1005,UPPER(D847))=0,COUNTIF(Clients!$G$5:$G$1005,"*"&amp;UPPER(D847)&amp;"*")=0),"GSTIN not on Clients — will be checked in the portal","✔ OK")))))</f>
        <v/>
      </c>
    </row>
    <row r="848">
      <c r="A848" s="40" t="n"/>
      <c r="B848" s="41" t="n"/>
      <c r="C848" s="41" t="n"/>
      <c r="D848" s="40" t="n"/>
      <c r="E848" s="40" t="n"/>
      <c r="F848" s="40" t="n"/>
      <c r="G848" s="39">
        <f>IF(COUNTA(A848:F848)=0,"",IF(A848="EXAMPLE","Example (skipped)",IF(OR(C848="",E848="",F848=""),"✖ Portal, User ID and Password are all needed",IF(AND(A848="",COUNTIF(Clients!$B$5:$B$1005,B848)=0),"Not on Clients — will match a portal client by name",IF(AND(C848="GST",D848&lt;&gt;"",COUNTIF(Clients!$AZ$5:$AZ$1005,UPPER(D848))=0,COUNTIF(Clients!$G$5:$G$1005,"*"&amp;UPPER(D848)&amp;"*")=0),"GSTIN not on Clients — will be checked in the portal","✔ OK")))))</f>
        <v/>
      </c>
    </row>
    <row r="849">
      <c r="A849" s="40" t="n"/>
      <c r="B849" s="41" t="n"/>
      <c r="C849" s="41" t="n"/>
      <c r="D849" s="40" t="n"/>
      <c r="E849" s="40" t="n"/>
      <c r="F849" s="40" t="n"/>
      <c r="G849" s="39">
        <f>IF(COUNTA(A849:F849)=0,"",IF(A849="EXAMPLE","Example (skipped)",IF(OR(C849="",E849="",F849=""),"✖ Portal, User ID and Password are all needed",IF(AND(A849="",COUNTIF(Clients!$B$5:$B$1005,B849)=0),"Not on Clients — will match a portal client by name",IF(AND(C849="GST",D849&lt;&gt;"",COUNTIF(Clients!$AZ$5:$AZ$1005,UPPER(D849))=0,COUNTIF(Clients!$G$5:$G$1005,"*"&amp;UPPER(D849)&amp;"*")=0),"GSTIN not on Clients — will be checked in the portal","✔ OK")))))</f>
        <v/>
      </c>
    </row>
    <row r="850">
      <c r="A850" s="40" t="n"/>
      <c r="B850" s="41" t="n"/>
      <c r="C850" s="41" t="n"/>
      <c r="D850" s="40" t="n"/>
      <c r="E850" s="40" t="n"/>
      <c r="F850" s="40" t="n"/>
      <c r="G850" s="39">
        <f>IF(COUNTA(A850:F850)=0,"",IF(A850="EXAMPLE","Example (skipped)",IF(OR(C850="",E850="",F850=""),"✖ Portal, User ID and Password are all needed",IF(AND(A850="",COUNTIF(Clients!$B$5:$B$1005,B850)=0),"Not on Clients — will match a portal client by name",IF(AND(C850="GST",D850&lt;&gt;"",COUNTIF(Clients!$AZ$5:$AZ$1005,UPPER(D850))=0,COUNTIF(Clients!$G$5:$G$1005,"*"&amp;UPPER(D850)&amp;"*")=0),"GSTIN not on Clients — will be checked in the portal","✔ OK")))))</f>
        <v/>
      </c>
    </row>
    <row r="851">
      <c r="A851" s="40" t="n"/>
      <c r="B851" s="41" t="n"/>
      <c r="C851" s="41" t="n"/>
      <c r="D851" s="40" t="n"/>
      <c r="E851" s="40" t="n"/>
      <c r="F851" s="40" t="n"/>
      <c r="G851" s="39">
        <f>IF(COUNTA(A851:F851)=0,"",IF(A851="EXAMPLE","Example (skipped)",IF(OR(C851="",E851="",F851=""),"✖ Portal, User ID and Password are all needed",IF(AND(A851="",COUNTIF(Clients!$B$5:$B$1005,B851)=0),"Not on Clients — will match a portal client by name",IF(AND(C851="GST",D851&lt;&gt;"",COUNTIF(Clients!$AZ$5:$AZ$1005,UPPER(D851))=0,COUNTIF(Clients!$G$5:$G$1005,"*"&amp;UPPER(D851)&amp;"*")=0),"GSTIN not on Clients — will be checked in the portal","✔ OK")))))</f>
        <v/>
      </c>
    </row>
    <row r="852">
      <c r="A852" s="40" t="n"/>
      <c r="B852" s="41" t="n"/>
      <c r="C852" s="41" t="n"/>
      <c r="D852" s="40" t="n"/>
      <c r="E852" s="40" t="n"/>
      <c r="F852" s="40" t="n"/>
      <c r="G852" s="39">
        <f>IF(COUNTA(A852:F852)=0,"",IF(A852="EXAMPLE","Example (skipped)",IF(OR(C852="",E852="",F852=""),"✖ Portal, User ID and Password are all needed",IF(AND(A852="",COUNTIF(Clients!$B$5:$B$1005,B852)=0),"Not on Clients — will match a portal client by name",IF(AND(C852="GST",D852&lt;&gt;"",COUNTIF(Clients!$AZ$5:$AZ$1005,UPPER(D852))=0,COUNTIF(Clients!$G$5:$G$1005,"*"&amp;UPPER(D852)&amp;"*")=0),"GSTIN not on Clients — will be checked in the portal","✔ OK")))))</f>
        <v/>
      </c>
    </row>
    <row r="853">
      <c r="A853" s="40" t="n"/>
      <c r="B853" s="41" t="n"/>
      <c r="C853" s="41" t="n"/>
      <c r="D853" s="40" t="n"/>
      <c r="E853" s="40" t="n"/>
      <c r="F853" s="40" t="n"/>
      <c r="G853" s="39">
        <f>IF(COUNTA(A853:F853)=0,"",IF(A853="EXAMPLE","Example (skipped)",IF(OR(C853="",E853="",F853=""),"✖ Portal, User ID and Password are all needed",IF(AND(A853="",COUNTIF(Clients!$B$5:$B$1005,B853)=0),"Not on Clients — will match a portal client by name",IF(AND(C853="GST",D853&lt;&gt;"",COUNTIF(Clients!$AZ$5:$AZ$1005,UPPER(D853))=0,COUNTIF(Clients!$G$5:$G$1005,"*"&amp;UPPER(D853)&amp;"*")=0),"GSTIN not on Clients — will be checked in the portal","✔ OK")))))</f>
        <v/>
      </c>
    </row>
    <row r="854">
      <c r="A854" s="40" t="n"/>
      <c r="B854" s="41" t="n"/>
      <c r="C854" s="41" t="n"/>
      <c r="D854" s="40" t="n"/>
      <c r="E854" s="40" t="n"/>
      <c r="F854" s="40" t="n"/>
      <c r="G854" s="39">
        <f>IF(COUNTA(A854:F854)=0,"",IF(A854="EXAMPLE","Example (skipped)",IF(OR(C854="",E854="",F854=""),"✖ Portal, User ID and Password are all needed",IF(AND(A854="",COUNTIF(Clients!$B$5:$B$1005,B854)=0),"Not on Clients — will match a portal client by name",IF(AND(C854="GST",D854&lt;&gt;"",COUNTIF(Clients!$AZ$5:$AZ$1005,UPPER(D854))=0,COUNTIF(Clients!$G$5:$G$1005,"*"&amp;UPPER(D854)&amp;"*")=0),"GSTIN not on Clients — will be checked in the portal","✔ OK")))))</f>
        <v/>
      </c>
    </row>
    <row r="855">
      <c r="A855" s="40" t="n"/>
      <c r="B855" s="41" t="n"/>
      <c r="C855" s="41" t="n"/>
      <c r="D855" s="40" t="n"/>
      <c r="E855" s="40" t="n"/>
      <c r="F855" s="40" t="n"/>
      <c r="G855" s="39">
        <f>IF(COUNTA(A855:F855)=0,"",IF(A855="EXAMPLE","Example (skipped)",IF(OR(C855="",E855="",F855=""),"✖ Portal, User ID and Password are all needed",IF(AND(A855="",COUNTIF(Clients!$B$5:$B$1005,B855)=0),"Not on Clients — will match a portal client by name",IF(AND(C855="GST",D855&lt;&gt;"",COUNTIF(Clients!$AZ$5:$AZ$1005,UPPER(D855))=0,COUNTIF(Clients!$G$5:$G$1005,"*"&amp;UPPER(D855)&amp;"*")=0),"GSTIN not on Clients — will be checked in the portal","✔ OK")))))</f>
        <v/>
      </c>
    </row>
    <row r="856">
      <c r="A856" s="40" t="n"/>
      <c r="B856" s="41" t="n"/>
      <c r="C856" s="41" t="n"/>
      <c r="D856" s="40" t="n"/>
      <c r="E856" s="40" t="n"/>
      <c r="F856" s="40" t="n"/>
      <c r="G856" s="39">
        <f>IF(COUNTA(A856:F856)=0,"",IF(A856="EXAMPLE","Example (skipped)",IF(OR(C856="",E856="",F856=""),"✖ Portal, User ID and Password are all needed",IF(AND(A856="",COUNTIF(Clients!$B$5:$B$1005,B856)=0),"Not on Clients — will match a portal client by name",IF(AND(C856="GST",D856&lt;&gt;"",COUNTIF(Clients!$AZ$5:$AZ$1005,UPPER(D856))=0,COUNTIF(Clients!$G$5:$G$1005,"*"&amp;UPPER(D856)&amp;"*")=0),"GSTIN not on Clients — will be checked in the portal","✔ OK")))))</f>
        <v/>
      </c>
    </row>
    <row r="857">
      <c r="A857" s="40" t="n"/>
      <c r="B857" s="41" t="n"/>
      <c r="C857" s="41" t="n"/>
      <c r="D857" s="40" t="n"/>
      <c r="E857" s="40" t="n"/>
      <c r="F857" s="40" t="n"/>
      <c r="G857" s="39">
        <f>IF(COUNTA(A857:F857)=0,"",IF(A857="EXAMPLE","Example (skipped)",IF(OR(C857="",E857="",F857=""),"✖ Portal, User ID and Password are all needed",IF(AND(A857="",COUNTIF(Clients!$B$5:$B$1005,B857)=0),"Not on Clients — will match a portal client by name",IF(AND(C857="GST",D857&lt;&gt;"",COUNTIF(Clients!$AZ$5:$AZ$1005,UPPER(D857))=0,COUNTIF(Clients!$G$5:$G$1005,"*"&amp;UPPER(D857)&amp;"*")=0),"GSTIN not on Clients — will be checked in the portal","✔ OK")))))</f>
        <v/>
      </c>
    </row>
    <row r="858">
      <c r="A858" s="40" t="n"/>
      <c r="B858" s="41" t="n"/>
      <c r="C858" s="41" t="n"/>
      <c r="D858" s="40" t="n"/>
      <c r="E858" s="40" t="n"/>
      <c r="F858" s="40" t="n"/>
      <c r="G858" s="39">
        <f>IF(COUNTA(A858:F858)=0,"",IF(A858="EXAMPLE","Example (skipped)",IF(OR(C858="",E858="",F858=""),"✖ Portal, User ID and Password are all needed",IF(AND(A858="",COUNTIF(Clients!$B$5:$B$1005,B858)=0),"Not on Clients — will match a portal client by name",IF(AND(C858="GST",D858&lt;&gt;"",COUNTIF(Clients!$AZ$5:$AZ$1005,UPPER(D858))=0,COUNTIF(Clients!$G$5:$G$1005,"*"&amp;UPPER(D858)&amp;"*")=0),"GSTIN not on Clients — will be checked in the portal","✔ OK")))))</f>
        <v/>
      </c>
    </row>
    <row r="859">
      <c r="A859" s="40" t="n"/>
      <c r="B859" s="41" t="n"/>
      <c r="C859" s="41" t="n"/>
      <c r="D859" s="40" t="n"/>
      <c r="E859" s="40" t="n"/>
      <c r="F859" s="40" t="n"/>
      <c r="G859" s="39">
        <f>IF(COUNTA(A859:F859)=0,"",IF(A859="EXAMPLE","Example (skipped)",IF(OR(C859="",E859="",F859=""),"✖ Portal, User ID and Password are all needed",IF(AND(A859="",COUNTIF(Clients!$B$5:$B$1005,B859)=0),"Not on Clients — will match a portal client by name",IF(AND(C859="GST",D859&lt;&gt;"",COUNTIF(Clients!$AZ$5:$AZ$1005,UPPER(D859))=0,COUNTIF(Clients!$G$5:$G$1005,"*"&amp;UPPER(D859)&amp;"*")=0),"GSTIN not on Clients — will be checked in the portal","✔ OK")))))</f>
        <v/>
      </c>
    </row>
    <row r="860">
      <c r="A860" s="40" t="n"/>
      <c r="B860" s="41" t="n"/>
      <c r="C860" s="41" t="n"/>
      <c r="D860" s="40" t="n"/>
      <c r="E860" s="40" t="n"/>
      <c r="F860" s="40" t="n"/>
      <c r="G860" s="39">
        <f>IF(COUNTA(A860:F860)=0,"",IF(A860="EXAMPLE","Example (skipped)",IF(OR(C860="",E860="",F860=""),"✖ Portal, User ID and Password are all needed",IF(AND(A860="",COUNTIF(Clients!$B$5:$B$1005,B860)=0),"Not on Clients — will match a portal client by name",IF(AND(C860="GST",D860&lt;&gt;"",COUNTIF(Clients!$AZ$5:$AZ$1005,UPPER(D860))=0,COUNTIF(Clients!$G$5:$G$1005,"*"&amp;UPPER(D860)&amp;"*")=0),"GSTIN not on Clients — will be checked in the portal","✔ OK")))))</f>
        <v/>
      </c>
    </row>
    <row r="861">
      <c r="A861" s="40" t="n"/>
      <c r="B861" s="41" t="n"/>
      <c r="C861" s="41" t="n"/>
      <c r="D861" s="40" t="n"/>
      <c r="E861" s="40" t="n"/>
      <c r="F861" s="40" t="n"/>
      <c r="G861" s="39">
        <f>IF(COUNTA(A861:F861)=0,"",IF(A861="EXAMPLE","Example (skipped)",IF(OR(C861="",E861="",F861=""),"✖ Portal, User ID and Password are all needed",IF(AND(A861="",COUNTIF(Clients!$B$5:$B$1005,B861)=0),"Not on Clients — will match a portal client by name",IF(AND(C861="GST",D861&lt;&gt;"",COUNTIF(Clients!$AZ$5:$AZ$1005,UPPER(D861))=0,COUNTIF(Clients!$G$5:$G$1005,"*"&amp;UPPER(D861)&amp;"*")=0),"GSTIN not on Clients — will be checked in the portal","✔ OK")))))</f>
        <v/>
      </c>
    </row>
    <row r="862">
      <c r="A862" s="40" t="n"/>
      <c r="B862" s="41" t="n"/>
      <c r="C862" s="41" t="n"/>
      <c r="D862" s="40" t="n"/>
      <c r="E862" s="40" t="n"/>
      <c r="F862" s="40" t="n"/>
      <c r="G862" s="39">
        <f>IF(COUNTA(A862:F862)=0,"",IF(A862="EXAMPLE","Example (skipped)",IF(OR(C862="",E862="",F862=""),"✖ Portal, User ID and Password are all needed",IF(AND(A862="",COUNTIF(Clients!$B$5:$B$1005,B862)=0),"Not on Clients — will match a portal client by name",IF(AND(C862="GST",D862&lt;&gt;"",COUNTIF(Clients!$AZ$5:$AZ$1005,UPPER(D862))=0,COUNTIF(Clients!$G$5:$G$1005,"*"&amp;UPPER(D862)&amp;"*")=0),"GSTIN not on Clients — will be checked in the portal","✔ OK")))))</f>
        <v/>
      </c>
    </row>
    <row r="863">
      <c r="A863" s="40" t="n"/>
      <c r="B863" s="41" t="n"/>
      <c r="C863" s="41" t="n"/>
      <c r="D863" s="40" t="n"/>
      <c r="E863" s="40" t="n"/>
      <c r="F863" s="40" t="n"/>
      <c r="G863" s="39">
        <f>IF(COUNTA(A863:F863)=0,"",IF(A863="EXAMPLE","Example (skipped)",IF(OR(C863="",E863="",F863=""),"✖ Portal, User ID and Password are all needed",IF(AND(A863="",COUNTIF(Clients!$B$5:$B$1005,B863)=0),"Not on Clients — will match a portal client by name",IF(AND(C863="GST",D863&lt;&gt;"",COUNTIF(Clients!$AZ$5:$AZ$1005,UPPER(D863))=0,COUNTIF(Clients!$G$5:$G$1005,"*"&amp;UPPER(D863)&amp;"*")=0),"GSTIN not on Clients — will be checked in the portal","✔ OK")))))</f>
        <v/>
      </c>
    </row>
    <row r="864">
      <c r="A864" s="40" t="n"/>
      <c r="B864" s="41" t="n"/>
      <c r="C864" s="41" t="n"/>
      <c r="D864" s="40" t="n"/>
      <c r="E864" s="40" t="n"/>
      <c r="F864" s="40" t="n"/>
      <c r="G864" s="39">
        <f>IF(COUNTA(A864:F864)=0,"",IF(A864="EXAMPLE","Example (skipped)",IF(OR(C864="",E864="",F864=""),"✖ Portal, User ID and Password are all needed",IF(AND(A864="",COUNTIF(Clients!$B$5:$B$1005,B864)=0),"Not on Clients — will match a portal client by name",IF(AND(C864="GST",D864&lt;&gt;"",COUNTIF(Clients!$AZ$5:$AZ$1005,UPPER(D864))=0,COUNTIF(Clients!$G$5:$G$1005,"*"&amp;UPPER(D864)&amp;"*")=0),"GSTIN not on Clients — will be checked in the portal","✔ OK")))))</f>
        <v/>
      </c>
    </row>
    <row r="865">
      <c r="A865" s="40" t="n"/>
      <c r="B865" s="41" t="n"/>
      <c r="C865" s="41" t="n"/>
      <c r="D865" s="40" t="n"/>
      <c r="E865" s="40" t="n"/>
      <c r="F865" s="40" t="n"/>
      <c r="G865" s="39">
        <f>IF(COUNTA(A865:F865)=0,"",IF(A865="EXAMPLE","Example (skipped)",IF(OR(C865="",E865="",F865=""),"✖ Portal, User ID and Password are all needed",IF(AND(A865="",COUNTIF(Clients!$B$5:$B$1005,B865)=0),"Not on Clients — will match a portal client by name",IF(AND(C865="GST",D865&lt;&gt;"",COUNTIF(Clients!$AZ$5:$AZ$1005,UPPER(D865))=0,COUNTIF(Clients!$G$5:$G$1005,"*"&amp;UPPER(D865)&amp;"*")=0),"GSTIN not on Clients — will be checked in the portal","✔ OK")))))</f>
        <v/>
      </c>
    </row>
    <row r="866">
      <c r="A866" s="40" t="n"/>
      <c r="B866" s="41" t="n"/>
      <c r="C866" s="41" t="n"/>
      <c r="D866" s="40" t="n"/>
      <c r="E866" s="40" t="n"/>
      <c r="F866" s="40" t="n"/>
      <c r="G866" s="39">
        <f>IF(COUNTA(A866:F866)=0,"",IF(A866="EXAMPLE","Example (skipped)",IF(OR(C866="",E866="",F866=""),"✖ Portal, User ID and Password are all needed",IF(AND(A866="",COUNTIF(Clients!$B$5:$B$1005,B866)=0),"Not on Clients — will match a portal client by name",IF(AND(C866="GST",D866&lt;&gt;"",COUNTIF(Clients!$AZ$5:$AZ$1005,UPPER(D866))=0,COUNTIF(Clients!$G$5:$G$1005,"*"&amp;UPPER(D866)&amp;"*")=0),"GSTIN not on Clients — will be checked in the portal","✔ OK")))))</f>
        <v/>
      </c>
    </row>
    <row r="867">
      <c r="A867" s="40" t="n"/>
      <c r="B867" s="41" t="n"/>
      <c r="C867" s="41" t="n"/>
      <c r="D867" s="40" t="n"/>
      <c r="E867" s="40" t="n"/>
      <c r="F867" s="40" t="n"/>
      <c r="G867" s="39">
        <f>IF(COUNTA(A867:F867)=0,"",IF(A867="EXAMPLE","Example (skipped)",IF(OR(C867="",E867="",F867=""),"✖ Portal, User ID and Password are all needed",IF(AND(A867="",COUNTIF(Clients!$B$5:$B$1005,B867)=0),"Not on Clients — will match a portal client by name",IF(AND(C867="GST",D867&lt;&gt;"",COUNTIF(Clients!$AZ$5:$AZ$1005,UPPER(D867))=0,COUNTIF(Clients!$G$5:$G$1005,"*"&amp;UPPER(D867)&amp;"*")=0),"GSTIN not on Clients — will be checked in the portal","✔ OK")))))</f>
        <v/>
      </c>
    </row>
    <row r="868">
      <c r="A868" s="40" t="n"/>
      <c r="B868" s="41" t="n"/>
      <c r="C868" s="41" t="n"/>
      <c r="D868" s="40" t="n"/>
      <c r="E868" s="40" t="n"/>
      <c r="F868" s="40" t="n"/>
      <c r="G868" s="39">
        <f>IF(COUNTA(A868:F868)=0,"",IF(A868="EXAMPLE","Example (skipped)",IF(OR(C868="",E868="",F868=""),"✖ Portal, User ID and Password are all needed",IF(AND(A868="",COUNTIF(Clients!$B$5:$B$1005,B868)=0),"Not on Clients — will match a portal client by name",IF(AND(C868="GST",D868&lt;&gt;"",COUNTIF(Clients!$AZ$5:$AZ$1005,UPPER(D868))=0,COUNTIF(Clients!$G$5:$G$1005,"*"&amp;UPPER(D868)&amp;"*")=0),"GSTIN not on Clients — will be checked in the portal","✔ OK")))))</f>
        <v/>
      </c>
    </row>
    <row r="869">
      <c r="A869" s="40" t="n"/>
      <c r="B869" s="41" t="n"/>
      <c r="C869" s="41" t="n"/>
      <c r="D869" s="40" t="n"/>
      <c r="E869" s="40" t="n"/>
      <c r="F869" s="40" t="n"/>
      <c r="G869" s="39">
        <f>IF(COUNTA(A869:F869)=0,"",IF(A869="EXAMPLE","Example (skipped)",IF(OR(C869="",E869="",F869=""),"✖ Portal, User ID and Password are all needed",IF(AND(A869="",COUNTIF(Clients!$B$5:$B$1005,B869)=0),"Not on Clients — will match a portal client by name",IF(AND(C869="GST",D869&lt;&gt;"",COUNTIF(Clients!$AZ$5:$AZ$1005,UPPER(D869))=0,COUNTIF(Clients!$G$5:$G$1005,"*"&amp;UPPER(D869)&amp;"*")=0),"GSTIN not on Clients — will be checked in the portal","✔ OK")))))</f>
        <v/>
      </c>
    </row>
    <row r="870">
      <c r="A870" s="40" t="n"/>
      <c r="B870" s="41" t="n"/>
      <c r="C870" s="41" t="n"/>
      <c r="D870" s="40" t="n"/>
      <c r="E870" s="40" t="n"/>
      <c r="F870" s="40" t="n"/>
      <c r="G870" s="39">
        <f>IF(COUNTA(A870:F870)=0,"",IF(A870="EXAMPLE","Example (skipped)",IF(OR(C870="",E870="",F870=""),"✖ Portal, User ID and Password are all needed",IF(AND(A870="",COUNTIF(Clients!$B$5:$B$1005,B870)=0),"Not on Clients — will match a portal client by name",IF(AND(C870="GST",D870&lt;&gt;"",COUNTIF(Clients!$AZ$5:$AZ$1005,UPPER(D870))=0,COUNTIF(Clients!$G$5:$G$1005,"*"&amp;UPPER(D870)&amp;"*")=0),"GSTIN not on Clients — will be checked in the portal","✔ OK")))))</f>
        <v/>
      </c>
    </row>
    <row r="871">
      <c r="A871" s="40" t="n"/>
      <c r="B871" s="41" t="n"/>
      <c r="C871" s="41" t="n"/>
      <c r="D871" s="40" t="n"/>
      <c r="E871" s="40" t="n"/>
      <c r="F871" s="40" t="n"/>
      <c r="G871" s="39">
        <f>IF(COUNTA(A871:F871)=0,"",IF(A871="EXAMPLE","Example (skipped)",IF(OR(C871="",E871="",F871=""),"✖ Portal, User ID and Password are all needed",IF(AND(A871="",COUNTIF(Clients!$B$5:$B$1005,B871)=0),"Not on Clients — will match a portal client by name",IF(AND(C871="GST",D871&lt;&gt;"",COUNTIF(Clients!$AZ$5:$AZ$1005,UPPER(D871))=0,COUNTIF(Clients!$G$5:$G$1005,"*"&amp;UPPER(D871)&amp;"*")=0),"GSTIN not on Clients — will be checked in the portal","✔ OK")))))</f>
        <v/>
      </c>
    </row>
    <row r="872">
      <c r="A872" s="40" t="n"/>
      <c r="B872" s="41" t="n"/>
      <c r="C872" s="41" t="n"/>
      <c r="D872" s="40" t="n"/>
      <c r="E872" s="40" t="n"/>
      <c r="F872" s="40" t="n"/>
      <c r="G872" s="39">
        <f>IF(COUNTA(A872:F872)=0,"",IF(A872="EXAMPLE","Example (skipped)",IF(OR(C872="",E872="",F872=""),"✖ Portal, User ID and Password are all needed",IF(AND(A872="",COUNTIF(Clients!$B$5:$B$1005,B872)=0),"Not on Clients — will match a portal client by name",IF(AND(C872="GST",D872&lt;&gt;"",COUNTIF(Clients!$AZ$5:$AZ$1005,UPPER(D872))=0,COUNTIF(Clients!$G$5:$G$1005,"*"&amp;UPPER(D872)&amp;"*")=0),"GSTIN not on Clients — will be checked in the portal","✔ OK")))))</f>
        <v/>
      </c>
    </row>
    <row r="873">
      <c r="A873" s="40" t="n"/>
      <c r="B873" s="41" t="n"/>
      <c r="C873" s="41" t="n"/>
      <c r="D873" s="40" t="n"/>
      <c r="E873" s="40" t="n"/>
      <c r="F873" s="40" t="n"/>
      <c r="G873" s="39">
        <f>IF(COUNTA(A873:F873)=0,"",IF(A873="EXAMPLE","Example (skipped)",IF(OR(C873="",E873="",F873=""),"✖ Portal, User ID and Password are all needed",IF(AND(A873="",COUNTIF(Clients!$B$5:$B$1005,B873)=0),"Not on Clients — will match a portal client by name",IF(AND(C873="GST",D873&lt;&gt;"",COUNTIF(Clients!$AZ$5:$AZ$1005,UPPER(D873))=0,COUNTIF(Clients!$G$5:$G$1005,"*"&amp;UPPER(D873)&amp;"*")=0),"GSTIN not on Clients — will be checked in the portal","✔ OK")))))</f>
        <v/>
      </c>
    </row>
    <row r="874">
      <c r="A874" s="40" t="n"/>
      <c r="B874" s="41" t="n"/>
      <c r="C874" s="41" t="n"/>
      <c r="D874" s="40" t="n"/>
      <c r="E874" s="40" t="n"/>
      <c r="F874" s="40" t="n"/>
      <c r="G874" s="39">
        <f>IF(COUNTA(A874:F874)=0,"",IF(A874="EXAMPLE","Example (skipped)",IF(OR(C874="",E874="",F874=""),"✖ Portal, User ID and Password are all needed",IF(AND(A874="",COUNTIF(Clients!$B$5:$B$1005,B874)=0),"Not on Clients — will match a portal client by name",IF(AND(C874="GST",D874&lt;&gt;"",COUNTIF(Clients!$AZ$5:$AZ$1005,UPPER(D874))=0,COUNTIF(Clients!$G$5:$G$1005,"*"&amp;UPPER(D874)&amp;"*")=0),"GSTIN not on Clients — will be checked in the portal","✔ OK")))))</f>
        <v/>
      </c>
    </row>
    <row r="875">
      <c r="A875" s="40" t="n"/>
      <c r="B875" s="41" t="n"/>
      <c r="C875" s="41" t="n"/>
      <c r="D875" s="40" t="n"/>
      <c r="E875" s="40" t="n"/>
      <c r="F875" s="40" t="n"/>
      <c r="G875" s="39">
        <f>IF(COUNTA(A875:F875)=0,"",IF(A875="EXAMPLE","Example (skipped)",IF(OR(C875="",E875="",F875=""),"✖ Portal, User ID and Password are all needed",IF(AND(A875="",COUNTIF(Clients!$B$5:$B$1005,B875)=0),"Not on Clients — will match a portal client by name",IF(AND(C875="GST",D875&lt;&gt;"",COUNTIF(Clients!$AZ$5:$AZ$1005,UPPER(D875))=0,COUNTIF(Clients!$G$5:$G$1005,"*"&amp;UPPER(D875)&amp;"*")=0),"GSTIN not on Clients — will be checked in the portal","✔ OK")))))</f>
        <v/>
      </c>
    </row>
    <row r="876">
      <c r="A876" s="40" t="n"/>
      <c r="B876" s="41" t="n"/>
      <c r="C876" s="41" t="n"/>
      <c r="D876" s="40" t="n"/>
      <c r="E876" s="40" t="n"/>
      <c r="F876" s="40" t="n"/>
      <c r="G876" s="39">
        <f>IF(COUNTA(A876:F876)=0,"",IF(A876="EXAMPLE","Example (skipped)",IF(OR(C876="",E876="",F876=""),"✖ Portal, User ID and Password are all needed",IF(AND(A876="",COUNTIF(Clients!$B$5:$B$1005,B876)=0),"Not on Clients — will match a portal client by name",IF(AND(C876="GST",D876&lt;&gt;"",COUNTIF(Clients!$AZ$5:$AZ$1005,UPPER(D876))=0,COUNTIF(Clients!$G$5:$G$1005,"*"&amp;UPPER(D876)&amp;"*")=0),"GSTIN not on Clients — will be checked in the portal","✔ OK")))))</f>
        <v/>
      </c>
    </row>
    <row r="877">
      <c r="A877" s="40" t="n"/>
      <c r="B877" s="41" t="n"/>
      <c r="C877" s="41" t="n"/>
      <c r="D877" s="40" t="n"/>
      <c r="E877" s="40" t="n"/>
      <c r="F877" s="40" t="n"/>
      <c r="G877" s="39">
        <f>IF(COUNTA(A877:F877)=0,"",IF(A877="EXAMPLE","Example (skipped)",IF(OR(C877="",E877="",F877=""),"✖ Portal, User ID and Password are all needed",IF(AND(A877="",COUNTIF(Clients!$B$5:$B$1005,B877)=0),"Not on Clients — will match a portal client by name",IF(AND(C877="GST",D877&lt;&gt;"",COUNTIF(Clients!$AZ$5:$AZ$1005,UPPER(D877))=0,COUNTIF(Clients!$G$5:$G$1005,"*"&amp;UPPER(D877)&amp;"*")=0),"GSTIN not on Clients — will be checked in the portal","✔ OK")))))</f>
        <v/>
      </c>
    </row>
    <row r="878">
      <c r="A878" s="40" t="n"/>
      <c r="B878" s="41" t="n"/>
      <c r="C878" s="41" t="n"/>
      <c r="D878" s="40" t="n"/>
      <c r="E878" s="40" t="n"/>
      <c r="F878" s="40" t="n"/>
      <c r="G878" s="39">
        <f>IF(COUNTA(A878:F878)=0,"",IF(A878="EXAMPLE","Example (skipped)",IF(OR(C878="",E878="",F878=""),"✖ Portal, User ID and Password are all needed",IF(AND(A878="",COUNTIF(Clients!$B$5:$B$1005,B878)=0),"Not on Clients — will match a portal client by name",IF(AND(C878="GST",D878&lt;&gt;"",COUNTIF(Clients!$AZ$5:$AZ$1005,UPPER(D878))=0,COUNTIF(Clients!$G$5:$G$1005,"*"&amp;UPPER(D878)&amp;"*")=0),"GSTIN not on Clients — will be checked in the portal","✔ OK")))))</f>
        <v/>
      </c>
    </row>
    <row r="879">
      <c r="A879" s="40" t="n"/>
      <c r="B879" s="41" t="n"/>
      <c r="C879" s="41" t="n"/>
      <c r="D879" s="40" t="n"/>
      <c r="E879" s="40" t="n"/>
      <c r="F879" s="40" t="n"/>
      <c r="G879" s="39">
        <f>IF(COUNTA(A879:F879)=0,"",IF(A879="EXAMPLE","Example (skipped)",IF(OR(C879="",E879="",F879=""),"✖ Portal, User ID and Password are all needed",IF(AND(A879="",COUNTIF(Clients!$B$5:$B$1005,B879)=0),"Not on Clients — will match a portal client by name",IF(AND(C879="GST",D879&lt;&gt;"",COUNTIF(Clients!$AZ$5:$AZ$1005,UPPER(D879))=0,COUNTIF(Clients!$G$5:$G$1005,"*"&amp;UPPER(D879)&amp;"*")=0),"GSTIN not on Clients — will be checked in the portal","✔ OK")))))</f>
        <v/>
      </c>
    </row>
    <row r="880">
      <c r="A880" s="40" t="n"/>
      <c r="B880" s="41" t="n"/>
      <c r="C880" s="41" t="n"/>
      <c r="D880" s="40" t="n"/>
      <c r="E880" s="40" t="n"/>
      <c r="F880" s="40" t="n"/>
      <c r="G880" s="39">
        <f>IF(COUNTA(A880:F880)=0,"",IF(A880="EXAMPLE","Example (skipped)",IF(OR(C880="",E880="",F880=""),"✖ Portal, User ID and Password are all needed",IF(AND(A880="",COUNTIF(Clients!$B$5:$B$1005,B880)=0),"Not on Clients — will match a portal client by name",IF(AND(C880="GST",D880&lt;&gt;"",COUNTIF(Clients!$AZ$5:$AZ$1005,UPPER(D880))=0,COUNTIF(Clients!$G$5:$G$1005,"*"&amp;UPPER(D880)&amp;"*")=0),"GSTIN not on Clients — will be checked in the portal","✔ OK")))))</f>
        <v/>
      </c>
    </row>
    <row r="881">
      <c r="A881" s="40" t="n"/>
      <c r="B881" s="41" t="n"/>
      <c r="C881" s="41" t="n"/>
      <c r="D881" s="40" t="n"/>
      <c r="E881" s="40" t="n"/>
      <c r="F881" s="40" t="n"/>
      <c r="G881" s="39">
        <f>IF(COUNTA(A881:F881)=0,"",IF(A881="EXAMPLE","Example (skipped)",IF(OR(C881="",E881="",F881=""),"✖ Portal, User ID and Password are all needed",IF(AND(A881="",COUNTIF(Clients!$B$5:$B$1005,B881)=0),"Not on Clients — will match a portal client by name",IF(AND(C881="GST",D881&lt;&gt;"",COUNTIF(Clients!$AZ$5:$AZ$1005,UPPER(D881))=0,COUNTIF(Clients!$G$5:$G$1005,"*"&amp;UPPER(D881)&amp;"*")=0),"GSTIN not on Clients — will be checked in the portal","✔ OK")))))</f>
        <v/>
      </c>
    </row>
    <row r="882">
      <c r="A882" s="40" t="n"/>
      <c r="B882" s="41" t="n"/>
      <c r="C882" s="41" t="n"/>
      <c r="D882" s="40" t="n"/>
      <c r="E882" s="40" t="n"/>
      <c r="F882" s="40" t="n"/>
      <c r="G882" s="39">
        <f>IF(COUNTA(A882:F882)=0,"",IF(A882="EXAMPLE","Example (skipped)",IF(OR(C882="",E882="",F882=""),"✖ Portal, User ID and Password are all needed",IF(AND(A882="",COUNTIF(Clients!$B$5:$B$1005,B882)=0),"Not on Clients — will match a portal client by name",IF(AND(C882="GST",D882&lt;&gt;"",COUNTIF(Clients!$AZ$5:$AZ$1005,UPPER(D882))=0,COUNTIF(Clients!$G$5:$G$1005,"*"&amp;UPPER(D882)&amp;"*")=0),"GSTIN not on Clients — will be checked in the portal","✔ OK")))))</f>
        <v/>
      </c>
    </row>
    <row r="883">
      <c r="A883" s="40" t="n"/>
      <c r="B883" s="41" t="n"/>
      <c r="C883" s="41" t="n"/>
      <c r="D883" s="40" t="n"/>
      <c r="E883" s="40" t="n"/>
      <c r="F883" s="40" t="n"/>
      <c r="G883" s="39">
        <f>IF(COUNTA(A883:F883)=0,"",IF(A883="EXAMPLE","Example (skipped)",IF(OR(C883="",E883="",F883=""),"✖ Portal, User ID and Password are all needed",IF(AND(A883="",COUNTIF(Clients!$B$5:$B$1005,B883)=0),"Not on Clients — will match a portal client by name",IF(AND(C883="GST",D883&lt;&gt;"",COUNTIF(Clients!$AZ$5:$AZ$1005,UPPER(D883))=0,COUNTIF(Clients!$G$5:$G$1005,"*"&amp;UPPER(D883)&amp;"*")=0),"GSTIN not on Clients — will be checked in the portal","✔ OK")))))</f>
        <v/>
      </c>
    </row>
    <row r="884">
      <c r="A884" s="40" t="n"/>
      <c r="B884" s="41" t="n"/>
      <c r="C884" s="41" t="n"/>
      <c r="D884" s="40" t="n"/>
      <c r="E884" s="40" t="n"/>
      <c r="F884" s="40" t="n"/>
      <c r="G884" s="39">
        <f>IF(COUNTA(A884:F884)=0,"",IF(A884="EXAMPLE","Example (skipped)",IF(OR(C884="",E884="",F884=""),"✖ Portal, User ID and Password are all needed",IF(AND(A884="",COUNTIF(Clients!$B$5:$B$1005,B884)=0),"Not on Clients — will match a portal client by name",IF(AND(C884="GST",D884&lt;&gt;"",COUNTIF(Clients!$AZ$5:$AZ$1005,UPPER(D884))=0,COUNTIF(Clients!$G$5:$G$1005,"*"&amp;UPPER(D884)&amp;"*")=0),"GSTIN not on Clients — will be checked in the portal","✔ OK")))))</f>
        <v/>
      </c>
    </row>
    <row r="885">
      <c r="A885" s="40" t="n"/>
      <c r="B885" s="41" t="n"/>
      <c r="C885" s="41" t="n"/>
      <c r="D885" s="40" t="n"/>
      <c r="E885" s="40" t="n"/>
      <c r="F885" s="40" t="n"/>
      <c r="G885" s="39">
        <f>IF(COUNTA(A885:F885)=0,"",IF(A885="EXAMPLE","Example (skipped)",IF(OR(C885="",E885="",F885=""),"✖ Portal, User ID and Password are all needed",IF(AND(A885="",COUNTIF(Clients!$B$5:$B$1005,B885)=0),"Not on Clients — will match a portal client by name",IF(AND(C885="GST",D885&lt;&gt;"",COUNTIF(Clients!$AZ$5:$AZ$1005,UPPER(D885))=0,COUNTIF(Clients!$G$5:$G$1005,"*"&amp;UPPER(D885)&amp;"*")=0),"GSTIN not on Clients — will be checked in the portal","✔ OK")))))</f>
        <v/>
      </c>
    </row>
    <row r="886">
      <c r="A886" s="40" t="n"/>
      <c r="B886" s="41" t="n"/>
      <c r="C886" s="41" t="n"/>
      <c r="D886" s="40" t="n"/>
      <c r="E886" s="40" t="n"/>
      <c r="F886" s="40" t="n"/>
      <c r="G886" s="39">
        <f>IF(COUNTA(A886:F886)=0,"",IF(A886="EXAMPLE","Example (skipped)",IF(OR(C886="",E886="",F886=""),"✖ Portal, User ID and Password are all needed",IF(AND(A886="",COUNTIF(Clients!$B$5:$B$1005,B886)=0),"Not on Clients — will match a portal client by name",IF(AND(C886="GST",D886&lt;&gt;"",COUNTIF(Clients!$AZ$5:$AZ$1005,UPPER(D886))=0,COUNTIF(Clients!$G$5:$G$1005,"*"&amp;UPPER(D886)&amp;"*")=0),"GSTIN not on Clients — will be checked in the portal","✔ OK")))))</f>
        <v/>
      </c>
    </row>
    <row r="887">
      <c r="A887" s="40" t="n"/>
      <c r="B887" s="41" t="n"/>
      <c r="C887" s="41" t="n"/>
      <c r="D887" s="40" t="n"/>
      <c r="E887" s="40" t="n"/>
      <c r="F887" s="40" t="n"/>
      <c r="G887" s="39">
        <f>IF(COUNTA(A887:F887)=0,"",IF(A887="EXAMPLE","Example (skipped)",IF(OR(C887="",E887="",F887=""),"✖ Portal, User ID and Password are all needed",IF(AND(A887="",COUNTIF(Clients!$B$5:$B$1005,B887)=0),"Not on Clients — will match a portal client by name",IF(AND(C887="GST",D887&lt;&gt;"",COUNTIF(Clients!$AZ$5:$AZ$1005,UPPER(D887))=0,COUNTIF(Clients!$G$5:$G$1005,"*"&amp;UPPER(D887)&amp;"*")=0),"GSTIN not on Clients — will be checked in the portal","✔ OK")))))</f>
        <v/>
      </c>
    </row>
    <row r="888">
      <c r="A888" s="40" t="n"/>
      <c r="B888" s="41" t="n"/>
      <c r="C888" s="41" t="n"/>
      <c r="D888" s="40" t="n"/>
      <c r="E888" s="40" t="n"/>
      <c r="F888" s="40" t="n"/>
      <c r="G888" s="39">
        <f>IF(COUNTA(A888:F888)=0,"",IF(A888="EXAMPLE","Example (skipped)",IF(OR(C888="",E888="",F888=""),"✖ Portal, User ID and Password are all needed",IF(AND(A888="",COUNTIF(Clients!$B$5:$B$1005,B888)=0),"Not on Clients — will match a portal client by name",IF(AND(C888="GST",D888&lt;&gt;"",COUNTIF(Clients!$AZ$5:$AZ$1005,UPPER(D888))=0,COUNTIF(Clients!$G$5:$G$1005,"*"&amp;UPPER(D888)&amp;"*")=0),"GSTIN not on Clients — will be checked in the portal","✔ OK")))))</f>
        <v/>
      </c>
    </row>
    <row r="889">
      <c r="A889" s="40" t="n"/>
      <c r="B889" s="41" t="n"/>
      <c r="C889" s="41" t="n"/>
      <c r="D889" s="40" t="n"/>
      <c r="E889" s="40" t="n"/>
      <c r="F889" s="40" t="n"/>
      <c r="G889" s="39">
        <f>IF(COUNTA(A889:F889)=0,"",IF(A889="EXAMPLE","Example (skipped)",IF(OR(C889="",E889="",F889=""),"✖ Portal, User ID and Password are all needed",IF(AND(A889="",COUNTIF(Clients!$B$5:$B$1005,B889)=0),"Not on Clients — will match a portal client by name",IF(AND(C889="GST",D889&lt;&gt;"",COUNTIF(Clients!$AZ$5:$AZ$1005,UPPER(D889))=0,COUNTIF(Clients!$G$5:$G$1005,"*"&amp;UPPER(D889)&amp;"*")=0),"GSTIN not on Clients — will be checked in the portal","✔ OK")))))</f>
        <v/>
      </c>
    </row>
    <row r="890">
      <c r="A890" s="40" t="n"/>
      <c r="B890" s="41" t="n"/>
      <c r="C890" s="41" t="n"/>
      <c r="D890" s="40" t="n"/>
      <c r="E890" s="40" t="n"/>
      <c r="F890" s="40" t="n"/>
      <c r="G890" s="39">
        <f>IF(COUNTA(A890:F890)=0,"",IF(A890="EXAMPLE","Example (skipped)",IF(OR(C890="",E890="",F890=""),"✖ Portal, User ID and Password are all needed",IF(AND(A890="",COUNTIF(Clients!$B$5:$B$1005,B890)=0),"Not on Clients — will match a portal client by name",IF(AND(C890="GST",D890&lt;&gt;"",COUNTIF(Clients!$AZ$5:$AZ$1005,UPPER(D890))=0,COUNTIF(Clients!$G$5:$G$1005,"*"&amp;UPPER(D890)&amp;"*")=0),"GSTIN not on Clients — will be checked in the portal","✔ OK")))))</f>
        <v/>
      </c>
    </row>
    <row r="891">
      <c r="A891" s="40" t="n"/>
      <c r="B891" s="41" t="n"/>
      <c r="C891" s="41" t="n"/>
      <c r="D891" s="40" t="n"/>
      <c r="E891" s="40" t="n"/>
      <c r="F891" s="40" t="n"/>
      <c r="G891" s="39">
        <f>IF(COUNTA(A891:F891)=0,"",IF(A891="EXAMPLE","Example (skipped)",IF(OR(C891="",E891="",F891=""),"✖ Portal, User ID and Password are all needed",IF(AND(A891="",COUNTIF(Clients!$B$5:$B$1005,B891)=0),"Not on Clients — will match a portal client by name",IF(AND(C891="GST",D891&lt;&gt;"",COUNTIF(Clients!$AZ$5:$AZ$1005,UPPER(D891))=0,COUNTIF(Clients!$G$5:$G$1005,"*"&amp;UPPER(D891)&amp;"*")=0),"GSTIN not on Clients — will be checked in the portal","✔ OK")))))</f>
        <v/>
      </c>
    </row>
    <row r="892">
      <c r="A892" s="40" t="n"/>
      <c r="B892" s="41" t="n"/>
      <c r="C892" s="41" t="n"/>
      <c r="D892" s="40" t="n"/>
      <c r="E892" s="40" t="n"/>
      <c r="F892" s="40" t="n"/>
      <c r="G892" s="39">
        <f>IF(COUNTA(A892:F892)=0,"",IF(A892="EXAMPLE","Example (skipped)",IF(OR(C892="",E892="",F892=""),"✖ Portal, User ID and Password are all needed",IF(AND(A892="",COUNTIF(Clients!$B$5:$B$1005,B892)=0),"Not on Clients — will match a portal client by name",IF(AND(C892="GST",D892&lt;&gt;"",COUNTIF(Clients!$AZ$5:$AZ$1005,UPPER(D892))=0,COUNTIF(Clients!$G$5:$G$1005,"*"&amp;UPPER(D892)&amp;"*")=0),"GSTIN not on Clients — will be checked in the portal","✔ OK")))))</f>
        <v/>
      </c>
    </row>
    <row r="893">
      <c r="A893" s="40" t="n"/>
      <c r="B893" s="41" t="n"/>
      <c r="C893" s="41" t="n"/>
      <c r="D893" s="40" t="n"/>
      <c r="E893" s="40" t="n"/>
      <c r="F893" s="40" t="n"/>
      <c r="G893" s="39">
        <f>IF(COUNTA(A893:F893)=0,"",IF(A893="EXAMPLE","Example (skipped)",IF(OR(C893="",E893="",F893=""),"✖ Portal, User ID and Password are all needed",IF(AND(A893="",COUNTIF(Clients!$B$5:$B$1005,B893)=0),"Not on Clients — will match a portal client by name",IF(AND(C893="GST",D893&lt;&gt;"",COUNTIF(Clients!$AZ$5:$AZ$1005,UPPER(D893))=0,COUNTIF(Clients!$G$5:$G$1005,"*"&amp;UPPER(D893)&amp;"*")=0),"GSTIN not on Clients — will be checked in the portal","✔ OK")))))</f>
        <v/>
      </c>
    </row>
    <row r="894">
      <c r="A894" s="40" t="n"/>
      <c r="B894" s="41" t="n"/>
      <c r="C894" s="41" t="n"/>
      <c r="D894" s="40" t="n"/>
      <c r="E894" s="40" t="n"/>
      <c r="F894" s="40" t="n"/>
      <c r="G894" s="39">
        <f>IF(COUNTA(A894:F894)=0,"",IF(A894="EXAMPLE","Example (skipped)",IF(OR(C894="",E894="",F894=""),"✖ Portal, User ID and Password are all needed",IF(AND(A894="",COUNTIF(Clients!$B$5:$B$1005,B894)=0),"Not on Clients — will match a portal client by name",IF(AND(C894="GST",D894&lt;&gt;"",COUNTIF(Clients!$AZ$5:$AZ$1005,UPPER(D894))=0,COUNTIF(Clients!$G$5:$G$1005,"*"&amp;UPPER(D894)&amp;"*")=0),"GSTIN not on Clients — will be checked in the portal","✔ OK")))))</f>
        <v/>
      </c>
    </row>
    <row r="895">
      <c r="A895" s="40" t="n"/>
      <c r="B895" s="41" t="n"/>
      <c r="C895" s="41" t="n"/>
      <c r="D895" s="40" t="n"/>
      <c r="E895" s="40" t="n"/>
      <c r="F895" s="40" t="n"/>
      <c r="G895" s="39">
        <f>IF(COUNTA(A895:F895)=0,"",IF(A895="EXAMPLE","Example (skipped)",IF(OR(C895="",E895="",F895=""),"✖ Portal, User ID and Password are all needed",IF(AND(A895="",COUNTIF(Clients!$B$5:$B$1005,B895)=0),"Not on Clients — will match a portal client by name",IF(AND(C895="GST",D895&lt;&gt;"",COUNTIF(Clients!$AZ$5:$AZ$1005,UPPER(D895))=0,COUNTIF(Clients!$G$5:$G$1005,"*"&amp;UPPER(D895)&amp;"*")=0),"GSTIN not on Clients — will be checked in the portal","✔ OK")))))</f>
        <v/>
      </c>
    </row>
    <row r="896">
      <c r="A896" s="40" t="n"/>
      <c r="B896" s="41" t="n"/>
      <c r="C896" s="41" t="n"/>
      <c r="D896" s="40" t="n"/>
      <c r="E896" s="40" t="n"/>
      <c r="F896" s="40" t="n"/>
      <c r="G896" s="39">
        <f>IF(COUNTA(A896:F896)=0,"",IF(A896="EXAMPLE","Example (skipped)",IF(OR(C896="",E896="",F896=""),"✖ Portal, User ID and Password are all needed",IF(AND(A896="",COUNTIF(Clients!$B$5:$B$1005,B896)=0),"Not on Clients — will match a portal client by name",IF(AND(C896="GST",D896&lt;&gt;"",COUNTIF(Clients!$AZ$5:$AZ$1005,UPPER(D896))=0,COUNTIF(Clients!$G$5:$G$1005,"*"&amp;UPPER(D896)&amp;"*")=0),"GSTIN not on Clients — will be checked in the portal","✔ OK")))))</f>
        <v/>
      </c>
    </row>
    <row r="897">
      <c r="A897" s="40" t="n"/>
      <c r="B897" s="41" t="n"/>
      <c r="C897" s="41" t="n"/>
      <c r="D897" s="40" t="n"/>
      <c r="E897" s="40" t="n"/>
      <c r="F897" s="40" t="n"/>
      <c r="G897" s="39">
        <f>IF(COUNTA(A897:F897)=0,"",IF(A897="EXAMPLE","Example (skipped)",IF(OR(C897="",E897="",F897=""),"✖ Portal, User ID and Password are all needed",IF(AND(A897="",COUNTIF(Clients!$B$5:$B$1005,B897)=0),"Not on Clients — will match a portal client by name",IF(AND(C897="GST",D897&lt;&gt;"",COUNTIF(Clients!$AZ$5:$AZ$1005,UPPER(D897))=0,COUNTIF(Clients!$G$5:$G$1005,"*"&amp;UPPER(D897)&amp;"*")=0),"GSTIN not on Clients — will be checked in the portal","✔ OK")))))</f>
        <v/>
      </c>
    </row>
    <row r="898">
      <c r="A898" s="40" t="n"/>
      <c r="B898" s="41" t="n"/>
      <c r="C898" s="41" t="n"/>
      <c r="D898" s="40" t="n"/>
      <c r="E898" s="40" t="n"/>
      <c r="F898" s="40" t="n"/>
      <c r="G898" s="39">
        <f>IF(COUNTA(A898:F898)=0,"",IF(A898="EXAMPLE","Example (skipped)",IF(OR(C898="",E898="",F898=""),"✖ Portal, User ID and Password are all needed",IF(AND(A898="",COUNTIF(Clients!$B$5:$B$1005,B898)=0),"Not on Clients — will match a portal client by name",IF(AND(C898="GST",D898&lt;&gt;"",COUNTIF(Clients!$AZ$5:$AZ$1005,UPPER(D898))=0,COUNTIF(Clients!$G$5:$G$1005,"*"&amp;UPPER(D898)&amp;"*")=0),"GSTIN not on Clients — will be checked in the portal","✔ OK")))))</f>
        <v/>
      </c>
    </row>
    <row r="899">
      <c r="A899" s="40" t="n"/>
      <c r="B899" s="41" t="n"/>
      <c r="C899" s="41" t="n"/>
      <c r="D899" s="40" t="n"/>
      <c r="E899" s="40" t="n"/>
      <c r="F899" s="40" t="n"/>
      <c r="G899" s="39">
        <f>IF(COUNTA(A899:F899)=0,"",IF(A899="EXAMPLE","Example (skipped)",IF(OR(C899="",E899="",F899=""),"✖ Portal, User ID and Password are all needed",IF(AND(A899="",COUNTIF(Clients!$B$5:$B$1005,B899)=0),"Not on Clients — will match a portal client by name",IF(AND(C899="GST",D899&lt;&gt;"",COUNTIF(Clients!$AZ$5:$AZ$1005,UPPER(D899))=0,COUNTIF(Clients!$G$5:$G$1005,"*"&amp;UPPER(D899)&amp;"*")=0),"GSTIN not on Clients — will be checked in the portal","✔ OK")))))</f>
        <v/>
      </c>
    </row>
    <row r="900">
      <c r="A900" s="40" t="n"/>
      <c r="B900" s="41" t="n"/>
      <c r="C900" s="41" t="n"/>
      <c r="D900" s="40" t="n"/>
      <c r="E900" s="40" t="n"/>
      <c r="F900" s="40" t="n"/>
      <c r="G900" s="39">
        <f>IF(COUNTA(A900:F900)=0,"",IF(A900="EXAMPLE","Example (skipped)",IF(OR(C900="",E900="",F900=""),"✖ Portal, User ID and Password are all needed",IF(AND(A900="",COUNTIF(Clients!$B$5:$B$1005,B900)=0),"Not on Clients — will match a portal client by name",IF(AND(C900="GST",D900&lt;&gt;"",COUNTIF(Clients!$AZ$5:$AZ$1005,UPPER(D900))=0,COUNTIF(Clients!$G$5:$G$1005,"*"&amp;UPPER(D900)&amp;"*")=0),"GSTIN not on Clients — will be checked in the portal","✔ OK")))))</f>
        <v/>
      </c>
    </row>
    <row r="901">
      <c r="A901" s="40" t="n"/>
      <c r="B901" s="41" t="n"/>
      <c r="C901" s="41" t="n"/>
      <c r="D901" s="40" t="n"/>
      <c r="E901" s="40" t="n"/>
      <c r="F901" s="40" t="n"/>
      <c r="G901" s="39">
        <f>IF(COUNTA(A901:F901)=0,"",IF(A901="EXAMPLE","Example (skipped)",IF(OR(C901="",E901="",F901=""),"✖ Portal, User ID and Password are all needed",IF(AND(A901="",COUNTIF(Clients!$B$5:$B$1005,B901)=0),"Not on Clients — will match a portal client by name",IF(AND(C901="GST",D901&lt;&gt;"",COUNTIF(Clients!$AZ$5:$AZ$1005,UPPER(D901))=0,COUNTIF(Clients!$G$5:$G$1005,"*"&amp;UPPER(D901)&amp;"*")=0),"GSTIN not on Clients — will be checked in the portal","✔ OK")))))</f>
        <v/>
      </c>
    </row>
    <row r="902">
      <c r="A902" s="40" t="n"/>
      <c r="B902" s="41" t="n"/>
      <c r="C902" s="41" t="n"/>
      <c r="D902" s="40" t="n"/>
      <c r="E902" s="40" t="n"/>
      <c r="F902" s="40" t="n"/>
      <c r="G902" s="39">
        <f>IF(COUNTA(A902:F902)=0,"",IF(A902="EXAMPLE","Example (skipped)",IF(OR(C902="",E902="",F902=""),"✖ Portal, User ID and Password are all needed",IF(AND(A902="",COUNTIF(Clients!$B$5:$B$1005,B902)=0),"Not on Clients — will match a portal client by name",IF(AND(C902="GST",D902&lt;&gt;"",COUNTIF(Clients!$AZ$5:$AZ$1005,UPPER(D902))=0,COUNTIF(Clients!$G$5:$G$1005,"*"&amp;UPPER(D902)&amp;"*")=0),"GSTIN not on Clients — will be checked in the portal","✔ OK")))))</f>
        <v/>
      </c>
    </row>
    <row r="903">
      <c r="A903" s="40" t="n"/>
      <c r="B903" s="41" t="n"/>
      <c r="C903" s="41" t="n"/>
      <c r="D903" s="40" t="n"/>
      <c r="E903" s="40" t="n"/>
      <c r="F903" s="40" t="n"/>
      <c r="G903" s="39">
        <f>IF(COUNTA(A903:F903)=0,"",IF(A903="EXAMPLE","Example (skipped)",IF(OR(C903="",E903="",F903=""),"✖ Portal, User ID and Password are all needed",IF(AND(A903="",COUNTIF(Clients!$B$5:$B$1005,B903)=0),"Not on Clients — will match a portal client by name",IF(AND(C903="GST",D903&lt;&gt;"",COUNTIF(Clients!$AZ$5:$AZ$1005,UPPER(D903))=0,COUNTIF(Clients!$G$5:$G$1005,"*"&amp;UPPER(D903)&amp;"*")=0),"GSTIN not on Clients — will be checked in the portal","✔ OK")))))</f>
        <v/>
      </c>
    </row>
    <row r="904">
      <c r="A904" s="40" t="n"/>
      <c r="B904" s="41" t="n"/>
      <c r="C904" s="41" t="n"/>
      <c r="D904" s="40" t="n"/>
      <c r="E904" s="40" t="n"/>
      <c r="F904" s="40" t="n"/>
      <c r="G904" s="39">
        <f>IF(COUNTA(A904:F904)=0,"",IF(A904="EXAMPLE","Example (skipped)",IF(OR(C904="",E904="",F904=""),"✖ Portal, User ID and Password are all needed",IF(AND(A904="",COUNTIF(Clients!$B$5:$B$1005,B904)=0),"Not on Clients — will match a portal client by name",IF(AND(C904="GST",D904&lt;&gt;"",COUNTIF(Clients!$AZ$5:$AZ$1005,UPPER(D904))=0,COUNTIF(Clients!$G$5:$G$1005,"*"&amp;UPPER(D904)&amp;"*")=0),"GSTIN not on Clients — will be checked in the portal","✔ OK")))))</f>
        <v/>
      </c>
    </row>
    <row r="905">
      <c r="A905" s="40" t="n"/>
      <c r="B905" s="41" t="n"/>
      <c r="C905" s="41" t="n"/>
      <c r="D905" s="40" t="n"/>
      <c r="E905" s="40" t="n"/>
      <c r="F905" s="40" t="n"/>
      <c r="G905" s="39">
        <f>IF(COUNTA(A905:F905)=0,"",IF(A905="EXAMPLE","Example (skipped)",IF(OR(C905="",E905="",F905=""),"✖ Portal, User ID and Password are all needed",IF(AND(A905="",COUNTIF(Clients!$B$5:$B$1005,B905)=0),"Not on Clients — will match a portal client by name",IF(AND(C905="GST",D905&lt;&gt;"",COUNTIF(Clients!$AZ$5:$AZ$1005,UPPER(D905))=0,COUNTIF(Clients!$G$5:$G$1005,"*"&amp;UPPER(D905)&amp;"*")=0),"GSTIN not on Clients — will be checked in the portal","✔ OK")))))</f>
        <v/>
      </c>
    </row>
    <row r="906">
      <c r="A906" s="40" t="n"/>
      <c r="B906" s="41" t="n"/>
      <c r="C906" s="41" t="n"/>
      <c r="D906" s="40" t="n"/>
      <c r="E906" s="40" t="n"/>
      <c r="F906" s="40" t="n"/>
      <c r="G906" s="39">
        <f>IF(COUNTA(A906:F906)=0,"",IF(A906="EXAMPLE","Example (skipped)",IF(OR(C906="",E906="",F906=""),"✖ Portal, User ID and Password are all needed",IF(AND(A906="",COUNTIF(Clients!$B$5:$B$1005,B906)=0),"Not on Clients — will match a portal client by name",IF(AND(C906="GST",D906&lt;&gt;"",COUNTIF(Clients!$AZ$5:$AZ$1005,UPPER(D906))=0,COUNTIF(Clients!$G$5:$G$1005,"*"&amp;UPPER(D906)&amp;"*")=0),"GSTIN not on Clients — will be checked in the portal","✔ OK")))))</f>
        <v/>
      </c>
    </row>
    <row r="907">
      <c r="A907" s="40" t="n"/>
      <c r="B907" s="41" t="n"/>
      <c r="C907" s="41" t="n"/>
      <c r="D907" s="40" t="n"/>
      <c r="E907" s="40" t="n"/>
      <c r="F907" s="40" t="n"/>
      <c r="G907" s="39">
        <f>IF(COUNTA(A907:F907)=0,"",IF(A907="EXAMPLE","Example (skipped)",IF(OR(C907="",E907="",F907=""),"✖ Portal, User ID and Password are all needed",IF(AND(A907="",COUNTIF(Clients!$B$5:$B$1005,B907)=0),"Not on Clients — will match a portal client by name",IF(AND(C907="GST",D907&lt;&gt;"",COUNTIF(Clients!$AZ$5:$AZ$1005,UPPER(D907))=0,COUNTIF(Clients!$G$5:$G$1005,"*"&amp;UPPER(D907)&amp;"*")=0),"GSTIN not on Clients — will be checked in the portal","✔ OK")))))</f>
        <v/>
      </c>
    </row>
    <row r="908">
      <c r="A908" s="40" t="n"/>
      <c r="B908" s="41" t="n"/>
      <c r="C908" s="41" t="n"/>
      <c r="D908" s="40" t="n"/>
      <c r="E908" s="40" t="n"/>
      <c r="F908" s="40" t="n"/>
      <c r="G908" s="39">
        <f>IF(COUNTA(A908:F908)=0,"",IF(A908="EXAMPLE","Example (skipped)",IF(OR(C908="",E908="",F908=""),"✖ Portal, User ID and Password are all needed",IF(AND(A908="",COUNTIF(Clients!$B$5:$B$1005,B908)=0),"Not on Clients — will match a portal client by name",IF(AND(C908="GST",D908&lt;&gt;"",COUNTIF(Clients!$AZ$5:$AZ$1005,UPPER(D908))=0,COUNTIF(Clients!$G$5:$G$1005,"*"&amp;UPPER(D908)&amp;"*")=0),"GSTIN not on Clients — will be checked in the portal","✔ OK")))))</f>
        <v/>
      </c>
    </row>
    <row r="909">
      <c r="A909" s="40" t="n"/>
      <c r="B909" s="41" t="n"/>
      <c r="C909" s="41" t="n"/>
      <c r="D909" s="40" t="n"/>
      <c r="E909" s="40" t="n"/>
      <c r="F909" s="40" t="n"/>
      <c r="G909" s="39">
        <f>IF(COUNTA(A909:F909)=0,"",IF(A909="EXAMPLE","Example (skipped)",IF(OR(C909="",E909="",F909=""),"✖ Portal, User ID and Password are all needed",IF(AND(A909="",COUNTIF(Clients!$B$5:$B$1005,B909)=0),"Not on Clients — will match a portal client by name",IF(AND(C909="GST",D909&lt;&gt;"",COUNTIF(Clients!$AZ$5:$AZ$1005,UPPER(D909))=0,COUNTIF(Clients!$G$5:$G$1005,"*"&amp;UPPER(D909)&amp;"*")=0),"GSTIN not on Clients — will be checked in the portal","✔ OK")))))</f>
        <v/>
      </c>
    </row>
    <row r="910">
      <c r="A910" s="40" t="n"/>
      <c r="B910" s="41" t="n"/>
      <c r="C910" s="41" t="n"/>
      <c r="D910" s="40" t="n"/>
      <c r="E910" s="40" t="n"/>
      <c r="F910" s="40" t="n"/>
      <c r="G910" s="39">
        <f>IF(COUNTA(A910:F910)=0,"",IF(A910="EXAMPLE","Example (skipped)",IF(OR(C910="",E910="",F910=""),"✖ Portal, User ID and Password are all needed",IF(AND(A910="",COUNTIF(Clients!$B$5:$B$1005,B910)=0),"Not on Clients — will match a portal client by name",IF(AND(C910="GST",D910&lt;&gt;"",COUNTIF(Clients!$AZ$5:$AZ$1005,UPPER(D910))=0,COUNTIF(Clients!$G$5:$G$1005,"*"&amp;UPPER(D910)&amp;"*")=0),"GSTIN not on Clients — will be checked in the portal","✔ OK")))))</f>
        <v/>
      </c>
    </row>
    <row r="911">
      <c r="A911" s="40" t="n"/>
      <c r="B911" s="41" t="n"/>
      <c r="C911" s="41" t="n"/>
      <c r="D911" s="40" t="n"/>
      <c r="E911" s="40" t="n"/>
      <c r="F911" s="40" t="n"/>
      <c r="G911" s="39">
        <f>IF(COUNTA(A911:F911)=0,"",IF(A911="EXAMPLE","Example (skipped)",IF(OR(C911="",E911="",F911=""),"✖ Portal, User ID and Password are all needed",IF(AND(A911="",COUNTIF(Clients!$B$5:$B$1005,B911)=0),"Not on Clients — will match a portal client by name",IF(AND(C911="GST",D911&lt;&gt;"",COUNTIF(Clients!$AZ$5:$AZ$1005,UPPER(D911))=0,COUNTIF(Clients!$G$5:$G$1005,"*"&amp;UPPER(D911)&amp;"*")=0),"GSTIN not on Clients — will be checked in the portal","✔ OK")))))</f>
        <v/>
      </c>
    </row>
    <row r="912">
      <c r="A912" s="40" t="n"/>
      <c r="B912" s="41" t="n"/>
      <c r="C912" s="41" t="n"/>
      <c r="D912" s="40" t="n"/>
      <c r="E912" s="40" t="n"/>
      <c r="F912" s="40" t="n"/>
      <c r="G912" s="39">
        <f>IF(COUNTA(A912:F912)=0,"",IF(A912="EXAMPLE","Example (skipped)",IF(OR(C912="",E912="",F912=""),"✖ Portal, User ID and Password are all needed",IF(AND(A912="",COUNTIF(Clients!$B$5:$B$1005,B912)=0),"Not on Clients — will match a portal client by name",IF(AND(C912="GST",D912&lt;&gt;"",COUNTIF(Clients!$AZ$5:$AZ$1005,UPPER(D912))=0,COUNTIF(Clients!$G$5:$G$1005,"*"&amp;UPPER(D912)&amp;"*")=0),"GSTIN not on Clients — will be checked in the portal","✔ OK")))))</f>
        <v/>
      </c>
    </row>
    <row r="913">
      <c r="A913" s="40" t="n"/>
      <c r="B913" s="41" t="n"/>
      <c r="C913" s="41" t="n"/>
      <c r="D913" s="40" t="n"/>
      <c r="E913" s="40" t="n"/>
      <c r="F913" s="40" t="n"/>
      <c r="G913" s="39">
        <f>IF(COUNTA(A913:F913)=0,"",IF(A913="EXAMPLE","Example (skipped)",IF(OR(C913="",E913="",F913=""),"✖ Portal, User ID and Password are all needed",IF(AND(A913="",COUNTIF(Clients!$B$5:$B$1005,B913)=0),"Not on Clients — will match a portal client by name",IF(AND(C913="GST",D913&lt;&gt;"",COUNTIF(Clients!$AZ$5:$AZ$1005,UPPER(D913))=0,COUNTIF(Clients!$G$5:$G$1005,"*"&amp;UPPER(D913)&amp;"*")=0),"GSTIN not on Clients — will be checked in the portal","✔ OK")))))</f>
        <v/>
      </c>
    </row>
    <row r="914">
      <c r="A914" s="40" t="n"/>
      <c r="B914" s="41" t="n"/>
      <c r="C914" s="41" t="n"/>
      <c r="D914" s="40" t="n"/>
      <c r="E914" s="40" t="n"/>
      <c r="F914" s="40" t="n"/>
      <c r="G914" s="39">
        <f>IF(COUNTA(A914:F914)=0,"",IF(A914="EXAMPLE","Example (skipped)",IF(OR(C914="",E914="",F914=""),"✖ Portal, User ID and Password are all needed",IF(AND(A914="",COUNTIF(Clients!$B$5:$B$1005,B914)=0),"Not on Clients — will match a portal client by name",IF(AND(C914="GST",D914&lt;&gt;"",COUNTIF(Clients!$AZ$5:$AZ$1005,UPPER(D914))=0,COUNTIF(Clients!$G$5:$G$1005,"*"&amp;UPPER(D914)&amp;"*")=0),"GSTIN not on Clients — will be checked in the portal","✔ OK")))))</f>
        <v/>
      </c>
    </row>
    <row r="915">
      <c r="A915" s="40" t="n"/>
      <c r="B915" s="41" t="n"/>
      <c r="C915" s="41" t="n"/>
      <c r="D915" s="40" t="n"/>
      <c r="E915" s="40" t="n"/>
      <c r="F915" s="40" t="n"/>
      <c r="G915" s="39">
        <f>IF(COUNTA(A915:F915)=0,"",IF(A915="EXAMPLE","Example (skipped)",IF(OR(C915="",E915="",F915=""),"✖ Portal, User ID and Password are all needed",IF(AND(A915="",COUNTIF(Clients!$B$5:$B$1005,B915)=0),"Not on Clients — will match a portal client by name",IF(AND(C915="GST",D915&lt;&gt;"",COUNTIF(Clients!$AZ$5:$AZ$1005,UPPER(D915))=0,COUNTIF(Clients!$G$5:$G$1005,"*"&amp;UPPER(D915)&amp;"*")=0),"GSTIN not on Clients — will be checked in the portal","✔ OK")))))</f>
        <v/>
      </c>
    </row>
    <row r="916">
      <c r="A916" s="40" t="n"/>
      <c r="B916" s="41" t="n"/>
      <c r="C916" s="41" t="n"/>
      <c r="D916" s="40" t="n"/>
      <c r="E916" s="40" t="n"/>
      <c r="F916" s="40" t="n"/>
      <c r="G916" s="39">
        <f>IF(COUNTA(A916:F916)=0,"",IF(A916="EXAMPLE","Example (skipped)",IF(OR(C916="",E916="",F916=""),"✖ Portal, User ID and Password are all needed",IF(AND(A916="",COUNTIF(Clients!$B$5:$B$1005,B916)=0),"Not on Clients — will match a portal client by name",IF(AND(C916="GST",D916&lt;&gt;"",COUNTIF(Clients!$AZ$5:$AZ$1005,UPPER(D916))=0,COUNTIF(Clients!$G$5:$G$1005,"*"&amp;UPPER(D916)&amp;"*")=0),"GSTIN not on Clients — will be checked in the portal","✔ OK")))))</f>
        <v/>
      </c>
    </row>
    <row r="917">
      <c r="A917" s="40" t="n"/>
      <c r="B917" s="41" t="n"/>
      <c r="C917" s="41" t="n"/>
      <c r="D917" s="40" t="n"/>
      <c r="E917" s="40" t="n"/>
      <c r="F917" s="40" t="n"/>
      <c r="G917" s="39">
        <f>IF(COUNTA(A917:F917)=0,"",IF(A917="EXAMPLE","Example (skipped)",IF(OR(C917="",E917="",F917=""),"✖ Portal, User ID and Password are all needed",IF(AND(A917="",COUNTIF(Clients!$B$5:$B$1005,B917)=0),"Not on Clients — will match a portal client by name",IF(AND(C917="GST",D917&lt;&gt;"",COUNTIF(Clients!$AZ$5:$AZ$1005,UPPER(D917))=0,COUNTIF(Clients!$G$5:$G$1005,"*"&amp;UPPER(D917)&amp;"*")=0),"GSTIN not on Clients — will be checked in the portal","✔ OK")))))</f>
        <v/>
      </c>
    </row>
    <row r="918">
      <c r="A918" s="40" t="n"/>
      <c r="B918" s="41" t="n"/>
      <c r="C918" s="41" t="n"/>
      <c r="D918" s="40" t="n"/>
      <c r="E918" s="40" t="n"/>
      <c r="F918" s="40" t="n"/>
      <c r="G918" s="39">
        <f>IF(COUNTA(A918:F918)=0,"",IF(A918="EXAMPLE","Example (skipped)",IF(OR(C918="",E918="",F918=""),"✖ Portal, User ID and Password are all needed",IF(AND(A918="",COUNTIF(Clients!$B$5:$B$1005,B918)=0),"Not on Clients — will match a portal client by name",IF(AND(C918="GST",D918&lt;&gt;"",COUNTIF(Clients!$AZ$5:$AZ$1005,UPPER(D918))=0,COUNTIF(Clients!$G$5:$G$1005,"*"&amp;UPPER(D918)&amp;"*")=0),"GSTIN not on Clients — will be checked in the portal","✔ OK")))))</f>
        <v/>
      </c>
    </row>
    <row r="919">
      <c r="A919" s="40" t="n"/>
      <c r="B919" s="41" t="n"/>
      <c r="C919" s="41" t="n"/>
      <c r="D919" s="40" t="n"/>
      <c r="E919" s="40" t="n"/>
      <c r="F919" s="40" t="n"/>
      <c r="G919" s="39">
        <f>IF(COUNTA(A919:F919)=0,"",IF(A919="EXAMPLE","Example (skipped)",IF(OR(C919="",E919="",F919=""),"✖ Portal, User ID and Password are all needed",IF(AND(A919="",COUNTIF(Clients!$B$5:$B$1005,B919)=0),"Not on Clients — will match a portal client by name",IF(AND(C919="GST",D919&lt;&gt;"",COUNTIF(Clients!$AZ$5:$AZ$1005,UPPER(D919))=0,COUNTIF(Clients!$G$5:$G$1005,"*"&amp;UPPER(D919)&amp;"*")=0),"GSTIN not on Clients — will be checked in the portal","✔ OK")))))</f>
        <v/>
      </c>
    </row>
    <row r="920">
      <c r="A920" s="40" t="n"/>
      <c r="B920" s="41" t="n"/>
      <c r="C920" s="41" t="n"/>
      <c r="D920" s="40" t="n"/>
      <c r="E920" s="40" t="n"/>
      <c r="F920" s="40" t="n"/>
      <c r="G920" s="39">
        <f>IF(COUNTA(A920:F920)=0,"",IF(A920="EXAMPLE","Example (skipped)",IF(OR(C920="",E920="",F920=""),"✖ Portal, User ID and Password are all needed",IF(AND(A920="",COUNTIF(Clients!$B$5:$B$1005,B920)=0),"Not on Clients — will match a portal client by name",IF(AND(C920="GST",D920&lt;&gt;"",COUNTIF(Clients!$AZ$5:$AZ$1005,UPPER(D920))=0,COUNTIF(Clients!$G$5:$G$1005,"*"&amp;UPPER(D920)&amp;"*")=0),"GSTIN not on Clients — will be checked in the portal","✔ OK")))))</f>
        <v/>
      </c>
    </row>
    <row r="921">
      <c r="A921" s="40" t="n"/>
      <c r="B921" s="41" t="n"/>
      <c r="C921" s="41" t="n"/>
      <c r="D921" s="40" t="n"/>
      <c r="E921" s="40" t="n"/>
      <c r="F921" s="40" t="n"/>
      <c r="G921" s="39">
        <f>IF(COUNTA(A921:F921)=0,"",IF(A921="EXAMPLE","Example (skipped)",IF(OR(C921="",E921="",F921=""),"✖ Portal, User ID and Password are all needed",IF(AND(A921="",COUNTIF(Clients!$B$5:$B$1005,B921)=0),"Not on Clients — will match a portal client by name",IF(AND(C921="GST",D921&lt;&gt;"",COUNTIF(Clients!$AZ$5:$AZ$1005,UPPER(D921))=0,COUNTIF(Clients!$G$5:$G$1005,"*"&amp;UPPER(D921)&amp;"*")=0),"GSTIN not on Clients — will be checked in the portal","✔ OK")))))</f>
        <v/>
      </c>
    </row>
    <row r="922">
      <c r="A922" s="40" t="n"/>
      <c r="B922" s="41" t="n"/>
      <c r="C922" s="41" t="n"/>
      <c r="D922" s="40" t="n"/>
      <c r="E922" s="40" t="n"/>
      <c r="F922" s="40" t="n"/>
      <c r="G922" s="39">
        <f>IF(COUNTA(A922:F922)=0,"",IF(A922="EXAMPLE","Example (skipped)",IF(OR(C922="",E922="",F922=""),"✖ Portal, User ID and Password are all needed",IF(AND(A922="",COUNTIF(Clients!$B$5:$B$1005,B922)=0),"Not on Clients — will match a portal client by name",IF(AND(C922="GST",D922&lt;&gt;"",COUNTIF(Clients!$AZ$5:$AZ$1005,UPPER(D922))=0,COUNTIF(Clients!$G$5:$G$1005,"*"&amp;UPPER(D922)&amp;"*")=0),"GSTIN not on Clients — will be checked in the portal","✔ OK")))))</f>
        <v/>
      </c>
    </row>
    <row r="923">
      <c r="A923" s="40" t="n"/>
      <c r="B923" s="41" t="n"/>
      <c r="C923" s="41" t="n"/>
      <c r="D923" s="40" t="n"/>
      <c r="E923" s="40" t="n"/>
      <c r="F923" s="40" t="n"/>
      <c r="G923" s="39">
        <f>IF(COUNTA(A923:F923)=0,"",IF(A923="EXAMPLE","Example (skipped)",IF(OR(C923="",E923="",F923=""),"✖ Portal, User ID and Password are all needed",IF(AND(A923="",COUNTIF(Clients!$B$5:$B$1005,B923)=0),"Not on Clients — will match a portal client by name",IF(AND(C923="GST",D923&lt;&gt;"",COUNTIF(Clients!$AZ$5:$AZ$1005,UPPER(D923))=0,COUNTIF(Clients!$G$5:$G$1005,"*"&amp;UPPER(D923)&amp;"*")=0),"GSTIN not on Clients — will be checked in the portal","✔ OK")))))</f>
        <v/>
      </c>
    </row>
    <row r="924">
      <c r="A924" s="40" t="n"/>
      <c r="B924" s="41" t="n"/>
      <c r="C924" s="41" t="n"/>
      <c r="D924" s="40" t="n"/>
      <c r="E924" s="40" t="n"/>
      <c r="F924" s="40" t="n"/>
      <c r="G924" s="39">
        <f>IF(COUNTA(A924:F924)=0,"",IF(A924="EXAMPLE","Example (skipped)",IF(OR(C924="",E924="",F924=""),"✖ Portal, User ID and Password are all needed",IF(AND(A924="",COUNTIF(Clients!$B$5:$B$1005,B924)=0),"Not on Clients — will match a portal client by name",IF(AND(C924="GST",D924&lt;&gt;"",COUNTIF(Clients!$AZ$5:$AZ$1005,UPPER(D924))=0,COUNTIF(Clients!$G$5:$G$1005,"*"&amp;UPPER(D924)&amp;"*")=0),"GSTIN not on Clients — will be checked in the portal","✔ OK")))))</f>
        <v/>
      </c>
    </row>
    <row r="925">
      <c r="A925" s="40" t="n"/>
      <c r="B925" s="41" t="n"/>
      <c r="C925" s="41" t="n"/>
      <c r="D925" s="40" t="n"/>
      <c r="E925" s="40" t="n"/>
      <c r="F925" s="40" t="n"/>
      <c r="G925" s="39">
        <f>IF(COUNTA(A925:F925)=0,"",IF(A925="EXAMPLE","Example (skipped)",IF(OR(C925="",E925="",F925=""),"✖ Portal, User ID and Password are all needed",IF(AND(A925="",COUNTIF(Clients!$B$5:$B$1005,B925)=0),"Not on Clients — will match a portal client by name",IF(AND(C925="GST",D925&lt;&gt;"",COUNTIF(Clients!$AZ$5:$AZ$1005,UPPER(D925))=0,COUNTIF(Clients!$G$5:$G$1005,"*"&amp;UPPER(D925)&amp;"*")=0),"GSTIN not on Clients — will be checked in the portal","✔ OK")))))</f>
        <v/>
      </c>
    </row>
    <row r="926">
      <c r="A926" s="40" t="n"/>
      <c r="B926" s="41" t="n"/>
      <c r="C926" s="41" t="n"/>
      <c r="D926" s="40" t="n"/>
      <c r="E926" s="40" t="n"/>
      <c r="F926" s="40" t="n"/>
      <c r="G926" s="39">
        <f>IF(COUNTA(A926:F926)=0,"",IF(A926="EXAMPLE","Example (skipped)",IF(OR(C926="",E926="",F926=""),"✖ Portal, User ID and Password are all needed",IF(AND(A926="",COUNTIF(Clients!$B$5:$B$1005,B926)=0),"Not on Clients — will match a portal client by name",IF(AND(C926="GST",D926&lt;&gt;"",COUNTIF(Clients!$AZ$5:$AZ$1005,UPPER(D926))=0,COUNTIF(Clients!$G$5:$G$1005,"*"&amp;UPPER(D926)&amp;"*")=0),"GSTIN not on Clients — will be checked in the portal","✔ OK")))))</f>
        <v/>
      </c>
    </row>
    <row r="927">
      <c r="A927" s="40" t="n"/>
      <c r="B927" s="41" t="n"/>
      <c r="C927" s="41" t="n"/>
      <c r="D927" s="40" t="n"/>
      <c r="E927" s="40" t="n"/>
      <c r="F927" s="40" t="n"/>
      <c r="G927" s="39">
        <f>IF(COUNTA(A927:F927)=0,"",IF(A927="EXAMPLE","Example (skipped)",IF(OR(C927="",E927="",F927=""),"✖ Portal, User ID and Password are all needed",IF(AND(A927="",COUNTIF(Clients!$B$5:$B$1005,B927)=0),"Not on Clients — will match a portal client by name",IF(AND(C927="GST",D927&lt;&gt;"",COUNTIF(Clients!$AZ$5:$AZ$1005,UPPER(D927))=0,COUNTIF(Clients!$G$5:$G$1005,"*"&amp;UPPER(D927)&amp;"*")=0),"GSTIN not on Clients — will be checked in the portal","✔ OK")))))</f>
        <v/>
      </c>
    </row>
    <row r="928">
      <c r="A928" s="40" t="n"/>
      <c r="B928" s="41" t="n"/>
      <c r="C928" s="41" t="n"/>
      <c r="D928" s="40" t="n"/>
      <c r="E928" s="40" t="n"/>
      <c r="F928" s="40" t="n"/>
      <c r="G928" s="39">
        <f>IF(COUNTA(A928:F928)=0,"",IF(A928="EXAMPLE","Example (skipped)",IF(OR(C928="",E928="",F928=""),"✖ Portal, User ID and Password are all needed",IF(AND(A928="",COUNTIF(Clients!$B$5:$B$1005,B928)=0),"Not on Clients — will match a portal client by name",IF(AND(C928="GST",D928&lt;&gt;"",COUNTIF(Clients!$AZ$5:$AZ$1005,UPPER(D928))=0,COUNTIF(Clients!$G$5:$G$1005,"*"&amp;UPPER(D928)&amp;"*")=0),"GSTIN not on Clients — will be checked in the portal","✔ OK")))))</f>
        <v/>
      </c>
    </row>
    <row r="929">
      <c r="A929" s="40" t="n"/>
      <c r="B929" s="41" t="n"/>
      <c r="C929" s="41" t="n"/>
      <c r="D929" s="40" t="n"/>
      <c r="E929" s="40" t="n"/>
      <c r="F929" s="40" t="n"/>
      <c r="G929" s="39">
        <f>IF(COUNTA(A929:F929)=0,"",IF(A929="EXAMPLE","Example (skipped)",IF(OR(C929="",E929="",F929=""),"✖ Portal, User ID and Password are all needed",IF(AND(A929="",COUNTIF(Clients!$B$5:$B$1005,B929)=0),"Not on Clients — will match a portal client by name",IF(AND(C929="GST",D929&lt;&gt;"",COUNTIF(Clients!$AZ$5:$AZ$1005,UPPER(D929))=0,COUNTIF(Clients!$G$5:$G$1005,"*"&amp;UPPER(D929)&amp;"*")=0),"GSTIN not on Clients — will be checked in the portal","✔ OK")))))</f>
        <v/>
      </c>
    </row>
    <row r="930">
      <c r="A930" s="40" t="n"/>
      <c r="B930" s="41" t="n"/>
      <c r="C930" s="41" t="n"/>
      <c r="D930" s="40" t="n"/>
      <c r="E930" s="40" t="n"/>
      <c r="F930" s="40" t="n"/>
      <c r="G930" s="39">
        <f>IF(COUNTA(A930:F930)=0,"",IF(A930="EXAMPLE","Example (skipped)",IF(OR(C930="",E930="",F930=""),"✖ Portal, User ID and Password are all needed",IF(AND(A930="",COUNTIF(Clients!$B$5:$B$1005,B930)=0),"Not on Clients — will match a portal client by name",IF(AND(C930="GST",D930&lt;&gt;"",COUNTIF(Clients!$AZ$5:$AZ$1005,UPPER(D930))=0,COUNTIF(Clients!$G$5:$G$1005,"*"&amp;UPPER(D930)&amp;"*")=0),"GSTIN not on Clients — will be checked in the portal","✔ OK")))))</f>
        <v/>
      </c>
    </row>
    <row r="931">
      <c r="A931" s="40" t="n"/>
      <c r="B931" s="41" t="n"/>
      <c r="C931" s="41" t="n"/>
      <c r="D931" s="40" t="n"/>
      <c r="E931" s="40" t="n"/>
      <c r="F931" s="40" t="n"/>
      <c r="G931" s="39">
        <f>IF(COUNTA(A931:F931)=0,"",IF(A931="EXAMPLE","Example (skipped)",IF(OR(C931="",E931="",F931=""),"✖ Portal, User ID and Password are all needed",IF(AND(A931="",COUNTIF(Clients!$B$5:$B$1005,B931)=0),"Not on Clients — will match a portal client by name",IF(AND(C931="GST",D931&lt;&gt;"",COUNTIF(Clients!$AZ$5:$AZ$1005,UPPER(D931))=0,COUNTIF(Clients!$G$5:$G$1005,"*"&amp;UPPER(D931)&amp;"*")=0),"GSTIN not on Clients — will be checked in the portal","✔ OK")))))</f>
        <v/>
      </c>
    </row>
    <row r="932">
      <c r="A932" s="40" t="n"/>
      <c r="B932" s="41" t="n"/>
      <c r="C932" s="41" t="n"/>
      <c r="D932" s="40" t="n"/>
      <c r="E932" s="40" t="n"/>
      <c r="F932" s="40" t="n"/>
      <c r="G932" s="39">
        <f>IF(COUNTA(A932:F932)=0,"",IF(A932="EXAMPLE","Example (skipped)",IF(OR(C932="",E932="",F932=""),"✖ Portal, User ID and Password are all needed",IF(AND(A932="",COUNTIF(Clients!$B$5:$B$1005,B932)=0),"Not on Clients — will match a portal client by name",IF(AND(C932="GST",D932&lt;&gt;"",COUNTIF(Clients!$AZ$5:$AZ$1005,UPPER(D932))=0,COUNTIF(Clients!$G$5:$G$1005,"*"&amp;UPPER(D932)&amp;"*")=0),"GSTIN not on Clients — will be checked in the portal","✔ OK")))))</f>
        <v/>
      </c>
    </row>
    <row r="933">
      <c r="A933" s="40" t="n"/>
      <c r="B933" s="41" t="n"/>
      <c r="C933" s="41" t="n"/>
      <c r="D933" s="40" t="n"/>
      <c r="E933" s="40" t="n"/>
      <c r="F933" s="40" t="n"/>
      <c r="G933" s="39">
        <f>IF(COUNTA(A933:F933)=0,"",IF(A933="EXAMPLE","Example (skipped)",IF(OR(C933="",E933="",F933=""),"✖ Portal, User ID and Password are all needed",IF(AND(A933="",COUNTIF(Clients!$B$5:$B$1005,B933)=0),"Not on Clients — will match a portal client by name",IF(AND(C933="GST",D933&lt;&gt;"",COUNTIF(Clients!$AZ$5:$AZ$1005,UPPER(D933))=0,COUNTIF(Clients!$G$5:$G$1005,"*"&amp;UPPER(D933)&amp;"*")=0),"GSTIN not on Clients — will be checked in the portal","✔ OK")))))</f>
        <v/>
      </c>
    </row>
    <row r="934">
      <c r="A934" s="40" t="n"/>
      <c r="B934" s="41" t="n"/>
      <c r="C934" s="41" t="n"/>
      <c r="D934" s="40" t="n"/>
      <c r="E934" s="40" t="n"/>
      <c r="F934" s="40" t="n"/>
      <c r="G934" s="39">
        <f>IF(COUNTA(A934:F934)=0,"",IF(A934="EXAMPLE","Example (skipped)",IF(OR(C934="",E934="",F934=""),"✖ Portal, User ID and Password are all needed",IF(AND(A934="",COUNTIF(Clients!$B$5:$B$1005,B934)=0),"Not on Clients — will match a portal client by name",IF(AND(C934="GST",D934&lt;&gt;"",COUNTIF(Clients!$AZ$5:$AZ$1005,UPPER(D934))=0,COUNTIF(Clients!$G$5:$G$1005,"*"&amp;UPPER(D934)&amp;"*")=0),"GSTIN not on Clients — will be checked in the portal","✔ OK")))))</f>
        <v/>
      </c>
    </row>
    <row r="935">
      <c r="A935" s="40" t="n"/>
      <c r="B935" s="41" t="n"/>
      <c r="C935" s="41" t="n"/>
      <c r="D935" s="40" t="n"/>
      <c r="E935" s="40" t="n"/>
      <c r="F935" s="40" t="n"/>
      <c r="G935" s="39">
        <f>IF(COUNTA(A935:F935)=0,"",IF(A935="EXAMPLE","Example (skipped)",IF(OR(C935="",E935="",F935=""),"✖ Portal, User ID and Password are all needed",IF(AND(A935="",COUNTIF(Clients!$B$5:$B$1005,B935)=0),"Not on Clients — will match a portal client by name",IF(AND(C935="GST",D935&lt;&gt;"",COUNTIF(Clients!$AZ$5:$AZ$1005,UPPER(D935))=0,COUNTIF(Clients!$G$5:$G$1005,"*"&amp;UPPER(D935)&amp;"*")=0),"GSTIN not on Clients — will be checked in the portal","✔ OK")))))</f>
        <v/>
      </c>
    </row>
    <row r="936">
      <c r="A936" s="40" t="n"/>
      <c r="B936" s="41" t="n"/>
      <c r="C936" s="41" t="n"/>
      <c r="D936" s="40" t="n"/>
      <c r="E936" s="40" t="n"/>
      <c r="F936" s="40" t="n"/>
      <c r="G936" s="39">
        <f>IF(COUNTA(A936:F936)=0,"",IF(A936="EXAMPLE","Example (skipped)",IF(OR(C936="",E936="",F936=""),"✖ Portal, User ID and Password are all needed",IF(AND(A936="",COUNTIF(Clients!$B$5:$B$1005,B936)=0),"Not on Clients — will match a portal client by name",IF(AND(C936="GST",D936&lt;&gt;"",COUNTIF(Clients!$AZ$5:$AZ$1005,UPPER(D936))=0,COUNTIF(Clients!$G$5:$G$1005,"*"&amp;UPPER(D936)&amp;"*")=0),"GSTIN not on Clients — will be checked in the portal","✔ OK")))))</f>
        <v/>
      </c>
    </row>
    <row r="937">
      <c r="A937" s="40" t="n"/>
      <c r="B937" s="41" t="n"/>
      <c r="C937" s="41" t="n"/>
      <c r="D937" s="40" t="n"/>
      <c r="E937" s="40" t="n"/>
      <c r="F937" s="40" t="n"/>
      <c r="G937" s="39">
        <f>IF(COUNTA(A937:F937)=0,"",IF(A937="EXAMPLE","Example (skipped)",IF(OR(C937="",E937="",F937=""),"✖ Portal, User ID and Password are all needed",IF(AND(A937="",COUNTIF(Clients!$B$5:$B$1005,B937)=0),"Not on Clients — will match a portal client by name",IF(AND(C937="GST",D937&lt;&gt;"",COUNTIF(Clients!$AZ$5:$AZ$1005,UPPER(D937))=0,COUNTIF(Clients!$G$5:$G$1005,"*"&amp;UPPER(D937)&amp;"*")=0),"GSTIN not on Clients — will be checked in the portal","✔ OK")))))</f>
        <v/>
      </c>
    </row>
    <row r="938">
      <c r="A938" s="40" t="n"/>
      <c r="B938" s="41" t="n"/>
      <c r="C938" s="41" t="n"/>
      <c r="D938" s="40" t="n"/>
      <c r="E938" s="40" t="n"/>
      <c r="F938" s="40" t="n"/>
      <c r="G938" s="39">
        <f>IF(COUNTA(A938:F938)=0,"",IF(A938="EXAMPLE","Example (skipped)",IF(OR(C938="",E938="",F938=""),"✖ Portal, User ID and Password are all needed",IF(AND(A938="",COUNTIF(Clients!$B$5:$B$1005,B938)=0),"Not on Clients — will match a portal client by name",IF(AND(C938="GST",D938&lt;&gt;"",COUNTIF(Clients!$AZ$5:$AZ$1005,UPPER(D938))=0,COUNTIF(Clients!$G$5:$G$1005,"*"&amp;UPPER(D938)&amp;"*")=0),"GSTIN not on Clients — will be checked in the portal","✔ OK")))))</f>
        <v/>
      </c>
    </row>
    <row r="939">
      <c r="A939" s="40" t="n"/>
      <c r="B939" s="41" t="n"/>
      <c r="C939" s="41" t="n"/>
      <c r="D939" s="40" t="n"/>
      <c r="E939" s="40" t="n"/>
      <c r="F939" s="40" t="n"/>
      <c r="G939" s="39">
        <f>IF(COUNTA(A939:F939)=0,"",IF(A939="EXAMPLE","Example (skipped)",IF(OR(C939="",E939="",F939=""),"✖ Portal, User ID and Password are all needed",IF(AND(A939="",COUNTIF(Clients!$B$5:$B$1005,B939)=0),"Not on Clients — will match a portal client by name",IF(AND(C939="GST",D939&lt;&gt;"",COUNTIF(Clients!$AZ$5:$AZ$1005,UPPER(D939))=0,COUNTIF(Clients!$G$5:$G$1005,"*"&amp;UPPER(D939)&amp;"*")=0),"GSTIN not on Clients — will be checked in the portal","✔ OK")))))</f>
        <v/>
      </c>
    </row>
    <row r="940">
      <c r="A940" s="40" t="n"/>
      <c r="B940" s="41" t="n"/>
      <c r="C940" s="41" t="n"/>
      <c r="D940" s="40" t="n"/>
      <c r="E940" s="40" t="n"/>
      <c r="F940" s="40" t="n"/>
      <c r="G940" s="39">
        <f>IF(COUNTA(A940:F940)=0,"",IF(A940="EXAMPLE","Example (skipped)",IF(OR(C940="",E940="",F940=""),"✖ Portal, User ID and Password are all needed",IF(AND(A940="",COUNTIF(Clients!$B$5:$B$1005,B940)=0),"Not on Clients — will match a portal client by name",IF(AND(C940="GST",D940&lt;&gt;"",COUNTIF(Clients!$AZ$5:$AZ$1005,UPPER(D940))=0,COUNTIF(Clients!$G$5:$G$1005,"*"&amp;UPPER(D940)&amp;"*")=0),"GSTIN not on Clients — will be checked in the portal","✔ OK")))))</f>
        <v/>
      </c>
    </row>
    <row r="941">
      <c r="A941" s="40" t="n"/>
      <c r="B941" s="41" t="n"/>
      <c r="C941" s="41" t="n"/>
      <c r="D941" s="40" t="n"/>
      <c r="E941" s="40" t="n"/>
      <c r="F941" s="40" t="n"/>
      <c r="G941" s="39">
        <f>IF(COUNTA(A941:F941)=0,"",IF(A941="EXAMPLE","Example (skipped)",IF(OR(C941="",E941="",F941=""),"✖ Portal, User ID and Password are all needed",IF(AND(A941="",COUNTIF(Clients!$B$5:$B$1005,B941)=0),"Not on Clients — will match a portal client by name",IF(AND(C941="GST",D941&lt;&gt;"",COUNTIF(Clients!$AZ$5:$AZ$1005,UPPER(D941))=0,COUNTIF(Clients!$G$5:$G$1005,"*"&amp;UPPER(D941)&amp;"*")=0),"GSTIN not on Clients — will be checked in the portal","✔ OK")))))</f>
        <v/>
      </c>
    </row>
    <row r="942">
      <c r="A942" s="40" t="n"/>
      <c r="B942" s="41" t="n"/>
      <c r="C942" s="41" t="n"/>
      <c r="D942" s="40" t="n"/>
      <c r="E942" s="40" t="n"/>
      <c r="F942" s="40" t="n"/>
      <c r="G942" s="39">
        <f>IF(COUNTA(A942:F942)=0,"",IF(A942="EXAMPLE","Example (skipped)",IF(OR(C942="",E942="",F942=""),"✖ Portal, User ID and Password are all needed",IF(AND(A942="",COUNTIF(Clients!$B$5:$B$1005,B942)=0),"Not on Clients — will match a portal client by name",IF(AND(C942="GST",D942&lt;&gt;"",COUNTIF(Clients!$AZ$5:$AZ$1005,UPPER(D942))=0,COUNTIF(Clients!$G$5:$G$1005,"*"&amp;UPPER(D942)&amp;"*")=0),"GSTIN not on Clients — will be checked in the portal","✔ OK")))))</f>
        <v/>
      </c>
    </row>
    <row r="943">
      <c r="A943" s="40" t="n"/>
      <c r="B943" s="41" t="n"/>
      <c r="C943" s="41" t="n"/>
      <c r="D943" s="40" t="n"/>
      <c r="E943" s="40" t="n"/>
      <c r="F943" s="40" t="n"/>
      <c r="G943" s="39">
        <f>IF(COUNTA(A943:F943)=0,"",IF(A943="EXAMPLE","Example (skipped)",IF(OR(C943="",E943="",F943=""),"✖ Portal, User ID and Password are all needed",IF(AND(A943="",COUNTIF(Clients!$B$5:$B$1005,B943)=0),"Not on Clients — will match a portal client by name",IF(AND(C943="GST",D943&lt;&gt;"",COUNTIF(Clients!$AZ$5:$AZ$1005,UPPER(D943))=0,COUNTIF(Clients!$G$5:$G$1005,"*"&amp;UPPER(D943)&amp;"*")=0),"GSTIN not on Clients — will be checked in the portal","✔ OK")))))</f>
        <v/>
      </c>
    </row>
    <row r="944">
      <c r="A944" s="40" t="n"/>
      <c r="B944" s="41" t="n"/>
      <c r="C944" s="41" t="n"/>
      <c r="D944" s="40" t="n"/>
      <c r="E944" s="40" t="n"/>
      <c r="F944" s="40" t="n"/>
      <c r="G944" s="39">
        <f>IF(COUNTA(A944:F944)=0,"",IF(A944="EXAMPLE","Example (skipped)",IF(OR(C944="",E944="",F944=""),"✖ Portal, User ID and Password are all needed",IF(AND(A944="",COUNTIF(Clients!$B$5:$B$1005,B944)=0),"Not on Clients — will match a portal client by name",IF(AND(C944="GST",D944&lt;&gt;"",COUNTIF(Clients!$AZ$5:$AZ$1005,UPPER(D944))=0,COUNTIF(Clients!$G$5:$G$1005,"*"&amp;UPPER(D944)&amp;"*")=0),"GSTIN not on Clients — will be checked in the portal","✔ OK")))))</f>
        <v/>
      </c>
    </row>
    <row r="945">
      <c r="A945" s="40" t="n"/>
      <c r="B945" s="41" t="n"/>
      <c r="C945" s="41" t="n"/>
      <c r="D945" s="40" t="n"/>
      <c r="E945" s="40" t="n"/>
      <c r="F945" s="40" t="n"/>
      <c r="G945" s="39">
        <f>IF(COUNTA(A945:F945)=0,"",IF(A945="EXAMPLE","Example (skipped)",IF(OR(C945="",E945="",F945=""),"✖ Portal, User ID and Password are all needed",IF(AND(A945="",COUNTIF(Clients!$B$5:$B$1005,B945)=0),"Not on Clients — will match a portal client by name",IF(AND(C945="GST",D945&lt;&gt;"",COUNTIF(Clients!$AZ$5:$AZ$1005,UPPER(D945))=0,COUNTIF(Clients!$G$5:$G$1005,"*"&amp;UPPER(D945)&amp;"*")=0),"GSTIN not on Clients — will be checked in the portal","✔ OK")))))</f>
        <v/>
      </c>
    </row>
    <row r="946">
      <c r="A946" s="40" t="n"/>
      <c r="B946" s="41" t="n"/>
      <c r="C946" s="41" t="n"/>
      <c r="D946" s="40" t="n"/>
      <c r="E946" s="40" t="n"/>
      <c r="F946" s="40" t="n"/>
      <c r="G946" s="39">
        <f>IF(COUNTA(A946:F946)=0,"",IF(A946="EXAMPLE","Example (skipped)",IF(OR(C946="",E946="",F946=""),"✖ Portal, User ID and Password are all needed",IF(AND(A946="",COUNTIF(Clients!$B$5:$B$1005,B946)=0),"Not on Clients — will match a portal client by name",IF(AND(C946="GST",D946&lt;&gt;"",COUNTIF(Clients!$AZ$5:$AZ$1005,UPPER(D946))=0,COUNTIF(Clients!$G$5:$G$1005,"*"&amp;UPPER(D946)&amp;"*")=0),"GSTIN not on Clients — will be checked in the portal","✔ OK")))))</f>
        <v/>
      </c>
    </row>
    <row r="947">
      <c r="A947" s="40" t="n"/>
      <c r="B947" s="41" t="n"/>
      <c r="C947" s="41" t="n"/>
      <c r="D947" s="40" t="n"/>
      <c r="E947" s="40" t="n"/>
      <c r="F947" s="40" t="n"/>
      <c r="G947" s="39">
        <f>IF(COUNTA(A947:F947)=0,"",IF(A947="EXAMPLE","Example (skipped)",IF(OR(C947="",E947="",F947=""),"✖ Portal, User ID and Password are all needed",IF(AND(A947="",COUNTIF(Clients!$B$5:$B$1005,B947)=0),"Not on Clients — will match a portal client by name",IF(AND(C947="GST",D947&lt;&gt;"",COUNTIF(Clients!$AZ$5:$AZ$1005,UPPER(D947))=0,COUNTIF(Clients!$G$5:$G$1005,"*"&amp;UPPER(D947)&amp;"*")=0),"GSTIN not on Clients — will be checked in the portal","✔ OK")))))</f>
        <v/>
      </c>
    </row>
    <row r="948">
      <c r="A948" s="40" t="n"/>
      <c r="B948" s="41" t="n"/>
      <c r="C948" s="41" t="n"/>
      <c r="D948" s="40" t="n"/>
      <c r="E948" s="40" t="n"/>
      <c r="F948" s="40" t="n"/>
      <c r="G948" s="39">
        <f>IF(COUNTA(A948:F948)=0,"",IF(A948="EXAMPLE","Example (skipped)",IF(OR(C948="",E948="",F948=""),"✖ Portal, User ID and Password are all needed",IF(AND(A948="",COUNTIF(Clients!$B$5:$B$1005,B948)=0),"Not on Clients — will match a portal client by name",IF(AND(C948="GST",D948&lt;&gt;"",COUNTIF(Clients!$AZ$5:$AZ$1005,UPPER(D948))=0,COUNTIF(Clients!$G$5:$G$1005,"*"&amp;UPPER(D948)&amp;"*")=0),"GSTIN not on Clients — will be checked in the portal","✔ OK")))))</f>
        <v/>
      </c>
    </row>
    <row r="949">
      <c r="A949" s="40" t="n"/>
      <c r="B949" s="41" t="n"/>
      <c r="C949" s="41" t="n"/>
      <c r="D949" s="40" t="n"/>
      <c r="E949" s="40" t="n"/>
      <c r="F949" s="40" t="n"/>
      <c r="G949" s="39">
        <f>IF(COUNTA(A949:F949)=0,"",IF(A949="EXAMPLE","Example (skipped)",IF(OR(C949="",E949="",F949=""),"✖ Portal, User ID and Password are all needed",IF(AND(A949="",COUNTIF(Clients!$B$5:$B$1005,B949)=0),"Not on Clients — will match a portal client by name",IF(AND(C949="GST",D949&lt;&gt;"",COUNTIF(Clients!$AZ$5:$AZ$1005,UPPER(D949))=0,COUNTIF(Clients!$G$5:$G$1005,"*"&amp;UPPER(D949)&amp;"*")=0),"GSTIN not on Clients — will be checked in the portal","✔ OK")))))</f>
        <v/>
      </c>
    </row>
    <row r="950">
      <c r="A950" s="40" t="n"/>
      <c r="B950" s="41" t="n"/>
      <c r="C950" s="41" t="n"/>
      <c r="D950" s="40" t="n"/>
      <c r="E950" s="40" t="n"/>
      <c r="F950" s="40" t="n"/>
      <c r="G950" s="39">
        <f>IF(COUNTA(A950:F950)=0,"",IF(A950="EXAMPLE","Example (skipped)",IF(OR(C950="",E950="",F950=""),"✖ Portal, User ID and Password are all needed",IF(AND(A950="",COUNTIF(Clients!$B$5:$B$1005,B950)=0),"Not on Clients — will match a portal client by name",IF(AND(C950="GST",D950&lt;&gt;"",COUNTIF(Clients!$AZ$5:$AZ$1005,UPPER(D950))=0,COUNTIF(Clients!$G$5:$G$1005,"*"&amp;UPPER(D950)&amp;"*")=0),"GSTIN not on Clients — will be checked in the portal","✔ OK")))))</f>
        <v/>
      </c>
    </row>
    <row r="951">
      <c r="A951" s="40" t="n"/>
      <c r="B951" s="41" t="n"/>
      <c r="C951" s="41" t="n"/>
      <c r="D951" s="40" t="n"/>
      <c r="E951" s="40" t="n"/>
      <c r="F951" s="40" t="n"/>
      <c r="G951" s="39">
        <f>IF(COUNTA(A951:F951)=0,"",IF(A951="EXAMPLE","Example (skipped)",IF(OR(C951="",E951="",F951=""),"✖ Portal, User ID and Password are all needed",IF(AND(A951="",COUNTIF(Clients!$B$5:$B$1005,B951)=0),"Not on Clients — will match a portal client by name",IF(AND(C951="GST",D951&lt;&gt;"",COUNTIF(Clients!$AZ$5:$AZ$1005,UPPER(D951))=0,COUNTIF(Clients!$G$5:$G$1005,"*"&amp;UPPER(D951)&amp;"*")=0),"GSTIN not on Clients — will be checked in the portal","✔ OK")))))</f>
        <v/>
      </c>
    </row>
    <row r="952">
      <c r="A952" s="40" t="n"/>
      <c r="B952" s="41" t="n"/>
      <c r="C952" s="41" t="n"/>
      <c r="D952" s="40" t="n"/>
      <c r="E952" s="40" t="n"/>
      <c r="F952" s="40" t="n"/>
      <c r="G952" s="39">
        <f>IF(COUNTA(A952:F952)=0,"",IF(A952="EXAMPLE","Example (skipped)",IF(OR(C952="",E952="",F952=""),"✖ Portal, User ID and Password are all needed",IF(AND(A952="",COUNTIF(Clients!$B$5:$B$1005,B952)=0),"Not on Clients — will match a portal client by name",IF(AND(C952="GST",D952&lt;&gt;"",COUNTIF(Clients!$AZ$5:$AZ$1005,UPPER(D952))=0,COUNTIF(Clients!$G$5:$G$1005,"*"&amp;UPPER(D952)&amp;"*")=0),"GSTIN not on Clients — will be checked in the portal","✔ OK")))))</f>
        <v/>
      </c>
    </row>
    <row r="953">
      <c r="A953" s="40" t="n"/>
      <c r="B953" s="41" t="n"/>
      <c r="C953" s="41" t="n"/>
      <c r="D953" s="40" t="n"/>
      <c r="E953" s="40" t="n"/>
      <c r="F953" s="40" t="n"/>
      <c r="G953" s="39">
        <f>IF(COUNTA(A953:F953)=0,"",IF(A953="EXAMPLE","Example (skipped)",IF(OR(C953="",E953="",F953=""),"✖ Portal, User ID and Password are all needed",IF(AND(A953="",COUNTIF(Clients!$B$5:$B$1005,B953)=0),"Not on Clients — will match a portal client by name",IF(AND(C953="GST",D953&lt;&gt;"",COUNTIF(Clients!$AZ$5:$AZ$1005,UPPER(D953))=0,COUNTIF(Clients!$G$5:$G$1005,"*"&amp;UPPER(D953)&amp;"*")=0),"GSTIN not on Clients — will be checked in the portal","✔ OK")))))</f>
        <v/>
      </c>
    </row>
    <row r="954">
      <c r="A954" s="40" t="n"/>
      <c r="B954" s="41" t="n"/>
      <c r="C954" s="41" t="n"/>
      <c r="D954" s="40" t="n"/>
      <c r="E954" s="40" t="n"/>
      <c r="F954" s="40" t="n"/>
      <c r="G954" s="39">
        <f>IF(COUNTA(A954:F954)=0,"",IF(A954="EXAMPLE","Example (skipped)",IF(OR(C954="",E954="",F954=""),"✖ Portal, User ID and Password are all needed",IF(AND(A954="",COUNTIF(Clients!$B$5:$B$1005,B954)=0),"Not on Clients — will match a portal client by name",IF(AND(C954="GST",D954&lt;&gt;"",COUNTIF(Clients!$AZ$5:$AZ$1005,UPPER(D954))=0,COUNTIF(Clients!$G$5:$G$1005,"*"&amp;UPPER(D954)&amp;"*")=0),"GSTIN not on Clients — will be checked in the portal","✔ OK")))))</f>
        <v/>
      </c>
    </row>
    <row r="955">
      <c r="A955" s="40" t="n"/>
      <c r="B955" s="41" t="n"/>
      <c r="C955" s="41" t="n"/>
      <c r="D955" s="40" t="n"/>
      <c r="E955" s="40" t="n"/>
      <c r="F955" s="40" t="n"/>
      <c r="G955" s="39">
        <f>IF(COUNTA(A955:F955)=0,"",IF(A955="EXAMPLE","Example (skipped)",IF(OR(C955="",E955="",F955=""),"✖ Portal, User ID and Password are all needed",IF(AND(A955="",COUNTIF(Clients!$B$5:$B$1005,B955)=0),"Not on Clients — will match a portal client by name",IF(AND(C955="GST",D955&lt;&gt;"",COUNTIF(Clients!$AZ$5:$AZ$1005,UPPER(D955))=0,COUNTIF(Clients!$G$5:$G$1005,"*"&amp;UPPER(D955)&amp;"*")=0),"GSTIN not on Clients — will be checked in the portal","✔ OK")))))</f>
        <v/>
      </c>
    </row>
    <row r="956">
      <c r="A956" s="40" t="n"/>
      <c r="B956" s="41" t="n"/>
      <c r="C956" s="41" t="n"/>
      <c r="D956" s="40" t="n"/>
      <c r="E956" s="40" t="n"/>
      <c r="F956" s="40" t="n"/>
      <c r="G956" s="39">
        <f>IF(COUNTA(A956:F956)=0,"",IF(A956="EXAMPLE","Example (skipped)",IF(OR(C956="",E956="",F956=""),"✖ Portal, User ID and Password are all needed",IF(AND(A956="",COUNTIF(Clients!$B$5:$B$1005,B956)=0),"Not on Clients — will match a portal client by name",IF(AND(C956="GST",D956&lt;&gt;"",COUNTIF(Clients!$AZ$5:$AZ$1005,UPPER(D956))=0,COUNTIF(Clients!$G$5:$G$1005,"*"&amp;UPPER(D956)&amp;"*")=0),"GSTIN not on Clients — will be checked in the portal","✔ OK")))))</f>
        <v/>
      </c>
    </row>
    <row r="957">
      <c r="A957" s="40" t="n"/>
      <c r="B957" s="41" t="n"/>
      <c r="C957" s="41" t="n"/>
      <c r="D957" s="40" t="n"/>
      <c r="E957" s="40" t="n"/>
      <c r="F957" s="40" t="n"/>
      <c r="G957" s="39">
        <f>IF(COUNTA(A957:F957)=0,"",IF(A957="EXAMPLE","Example (skipped)",IF(OR(C957="",E957="",F957=""),"✖ Portal, User ID and Password are all needed",IF(AND(A957="",COUNTIF(Clients!$B$5:$B$1005,B957)=0),"Not on Clients — will match a portal client by name",IF(AND(C957="GST",D957&lt;&gt;"",COUNTIF(Clients!$AZ$5:$AZ$1005,UPPER(D957))=0,COUNTIF(Clients!$G$5:$G$1005,"*"&amp;UPPER(D957)&amp;"*")=0),"GSTIN not on Clients — will be checked in the portal","✔ OK")))))</f>
        <v/>
      </c>
    </row>
    <row r="958">
      <c r="A958" s="40" t="n"/>
      <c r="B958" s="41" t="n"/>
      <c r="C958" s="41" t="n"/>
      <c r="D958" s="40" t="n"/>
      <c r="E958" s="40" t="n"/>
      <c r="F958" s="40" t="n"/>
      <c r="G958" s="39">
        <f>IF(COUNTA(A958:F958)=0,"",IF(A958="EXAMPLE","Example (skipped)",IF(OR(C958="",E958="",F958=""),"✖ Portal, User ID and Password are all needed",IF(AND(A958="",COUNTIF(Clients!$B$5:$B$1005,B958)=0),"Not on Clients — will match a portal client by name",IF(AND(C958="GST",D958&lt;&gt;"",COUNTIF(Clients!$AZ$5:$AZ$1005,UPPER(D958))=0,COUNTIF(Clients!$G$5:$G$1005,"*"&amp;UPPER(D958)&amp;"*")=0),"GSTIN not on Clients — will be checked in the portal","✔ OK")))))</f>
        <v/>
      </c>
    </row>
    <row r="959">
      <c r="A959" s="40" t="n"/>
      <c r="B959" s="41" t="n"/>
      <c r="C959" s="41" t="n"/>
      <c r="D959" s="40" t="n"/>
      <c r="E959" s="40" t="n"/>
      <c r="F959" s="40" t="n"/>
      <c r="G959" s="39">
        <f>IF(COUNTA(A959:F959)=0,"",IF(A959="EXAMPLE","Example (skipped)",IF(OR(C959="",E959="",F959=""),"✖ Portal, User ID and Password are all needed",IF(AND(A959="",COUNTIF(Clients!$B$5:$B$1005,B959)=0),"Not on Clients — will match a portal client by name",IF(AND(C959="GST",D959&lt;&gt;"",COUNTIF(Clients!$AZ$5:$AZ$1005,UPPER(D959))=0,COUNTIF(Clients!$G$5:$G$1005,"*"&amp;UPPER(D959)&amp;"*")=0),"GSTIN not on Clients — will be checked in the portal","✔ OK")))))</f>
        <v/>
      </c>
    </row>
    <row r="960">
      <c r="A960" s="40" t="n"/>
      <c r="B960" s="41" t="n"/>
      <c r="C960" s="41" t="n"/>
      <c r="D960" s="40" t="n"/>
      <c r="E960" s="40" t="n"/>
      <c r="F960" s="40" t="n"/>
      <c r="G960" s="39">
        <f>IF(COUNTA(A960:F960)=0,"",IF(A960="EXAMPLE","Example (skipped)",IF(OR(C960="",E960="",F960=""),"✖ Portal, User ID and Password are all needed",IF(AND(A960="",COUNTIF(Clients!$B$5:$B$1005,B960)=0),"Not on Clients — will match a portal client by name",IF(AND(C960="GST",D960&lt;&gt;"",COUNTIF(Clients!$AZ$5:$AZ$1005,UPPER(D960))=0,COUNTIF(Clients!$G$5:$G$1005,"*"&amp;UPPER(D960)&amp;"*")=0),"GSTIN not on Clients — will be checked in the portal","✔ OK")))))</f>
        <v/>
      </c>
    </row>
    <row r="961">
      <c r="A961" s="40" t="n"/>
      <c r="B961" s="41" t="n"/>
      <c r="C961" s="41" t="n"/>
      <c r="D961" s="40" t="n"/>
      <c r="E961" s="40" t="n"/>
      <c r="F961" s="40" t="n"/>
      <c r="G961" s="39">
        <f>IF(COUNTA(A961:F961)=0,"",IF(A961="EXAMPLE","Example (skipped)",IF(OR(C961="",E961="",F961=""),"✖ Portal, User ID and Password are all needed",IF(AND(A961="",COUNTIF(Clients!$B$5:$B$1005,B961)=0),"Not on Clients — will match a portal client by name",IF(AND(C961="GST",D961&lt;&gt;"",COUNTIF(Clients!$AZ$5:$AZ$1005,UPPER(D961))=0,COUNTIF(Clients!$G$5:$G$1005,"*"&amp;UPPER(D961)&amp;"*")=0),"GSTIN not on Clients — will be checked in the portal","✔ OK")))))</f>
        <v/>
      </c>
    </row>
    <row r="962">
      <c r="A962" s="40" t="n"/>
      <c r="B962" s="41" t="n"/>
      <c r="C962" s="41" t="n"/>
      <c r="D962" s="40" t="n"/>
      <c r="E962" s="40" t="n"/>
      <c r="F962" s="40" t="n"/>
      <c r="G962" s="39">
        <f>IF(COUNTA(A962:F962)=0,"",IF(A962="EXAMPLE","Example (skipped)",IF(OR(C962="",E962="",F962=""),"✖ Portal, User ID and Password are all needed",IF(AND(A962="",COUNTIF(Clients!$B$5:$B$1005,B962)=0),"Not on Clients — will match a portal client by name",IF(AND(C962="GST",D962&lt;&gt;"",COUNTIF(Clients!$AZ$5:$AZ$1005,UPPER(D962))=0,COUNTIF(Clients!$G$5:$G$1005,"*"&amp;UPPER(D962)&amp;"*")=0),"GSTIN not on Clients — will be checked in the portal","✔ OK")))))</f>
        <v/>
      </c>
    </row>
    <row r="963">
      <c r="A963" s="40" t="n"/>
      <c r="B963" s="41" t="n"/>
      <c r="C963" s="41" t="n"/>
      <c r="D963" s="40" t="n"/>
      <c r="E963" s="40" t="n"/>
      <c r="F963" s="40" t="n"/>
      <c r="G963" s="39">
        <f>IF(COUNTA(A963:F963)=0,"",IF(A963="EXAMPLE","Example (skipped)",IF(OR(C963="",E963="",F963=""),"✖ Portal, User ID and Password are all needed",IF(AND(A963="",COUNTIF(Clients!$B$5:$B$1005,B963)=0),"Not on Clients — will match a portal client by name",IF(AND(C963="GST",D963&lt;&gt;"",COUNTIF(Clients!$AZ$5:$AZ$1005,UPPER(D963))=0,COUNTIF(Clients!$G$5:$G$1005,"*"&amp;UPPER(D963)&amp;"*")=0),"GSTIN not on Clients — will be checked in the portal","✔ OK")))))</f>
        <v/>
      </c>
    </row>
    <row r="964">
      <c r="A964" s="40" t="n"/>
      <c r="B964" s="41" t="n"/>
      <c r="C964" s="41" t="n"/>
      <c r="D964" s="40" t="n"/>
      <c r="E964" s="40" t="n"/>
      <c r="F964" s="40" t="n"/>
      <c r="G964" s="39">
        <f>IF(COUNTA(A964:F964)=0,"",IF(A964="EXAMPLE","Example (skipped)",IF(OR(C964="",E964="",F964=""),"✖ Portal, User ID and Password are all needed",IF(AND(A964="",COUNTIF(Clients!$B$5:$B$1005,B964)=0),"Not on Clients — will match a portal client by name",IF(AND(C964="GST",D964&lt;&gt;"",COUNTIF(Clients!$AZ$5:$AZ$1005,UPPER(D964))=0,COUNTIF(Clients!$G$5:$G$1005,"*"&amp;UPPER(D964)&amp;"*")=0),"GSTIN not on Clients — will be checked in the portal","✔ OK")))))</f>
        <v/>
      </c>
    </row>
    <row r="965">
      <c r="A965" s="40" t="n"/>
      <c r="B965" s="41" t="n"/>
      <c r="C965" s="41" t="n"/>
      <c r="D965" s="40" t="n"/>
      <c r="E965" s="40" t="n"/>
      <c r="F965" s="40" t="n"/>
      <c r="G965" s="39">
        <f>IF(COUNTA(A965:F965)=0,"",IF(A965="EXAMPLE","Example (skipped)",IF(OR(C965="",E965="",F965=""),"✖ Portal, User ID and Password are all needed",IF(AND(A965="",COUNTIF(Clients!$B$5:$B$1005,B965)=0),"Not on Clients — will match a portal client by name",IF(AND(C965="GST",D965&lt;&gt;"",COUNTIF(Clients!$AZ$5:$AZ$1005,UPPER(D965))=0,COUNTIF(Clients!$G$5:$G$1005,"*"&amp;UPPER(D965)&amp;"*")=0),"GSTIN not on Clients — will be checked in the portal","✔ OK")))))</f>
        <v/>
      </c>
    </row>
    <row r="966">
      <c r="A966" s="40" t="n"/>
      <c r="B966" s="41" t="n"/>
      <c r="C966" s="41" t="n"/>
      <c r="D966" s="40" t="n"/>
      <c r="E966" s="40" t="n"/>
      <c r="F966" s="40" t="n"/>
      <c r="G966" s="39">
        <f>IF(COUNTA(A966:F966)=0,"",IF(A966="EXAMPLE","Example (skipped)",IF(OR(C966="",E966="",F966=""),"✖ Portal, User ID and Password are all needed",IF(AND(A966="",COUNTIF(Clients!$B$5:$B$1005,B966)=0),"Not on Clients — will match a portal client by name",IF(AND(C966="GST",D966&lt;&gt;"",COUNTIF(Clients!$AZ$5:$AZ$1005,UPPER(D966))=0,COUNTIF(Clients!$G$5:$G$1005,"*"&amp;UPPER(D966)&amp;"*")=0),"GSTIN not on Clients — will be checked in the portal","✔ OK")))))</f>
        <v/>
      </c>
    </row>
    <row r="967">
      <c r="A967" s="40" t="n"/>
      <c r="B967" s="41" t="n"/>
      <c r="C967" s="41" t="n"/>
      <c r="D967" s="40" t="n"/>
      <c r="E967" s="40" t="n"/>
      <c r="F967" s="40" t="n"/>
      <c r="G967" s="39">
        <f>IF(COUNTA(A967:F967)=0,"",IF(A967="EXAMPLE","Example (skipped)",IF(OR(C967="",E967="",F967=""),"✖ Portal, User ID and Password are all needed",IF(AND(A967="",COUNTIF(Clients!$B$5:$B$1005,B967)=0),"Not on Clients — will match a portal client by name",IF(AND(C967="GST",D967&lt;&gt;"",COUNTIF(Clients!$AZ$5:$AZ$1005,UPPER(D967))=0,COUNTIF(Clients!$G$5:$G$1005,"*"&amp;UPPER(D967)&amp;"*")=0),"GSTIN not on Clients — will be checked in the portal","✔ OK")))))</f>
        <v/>
      </c>
    </row>
    <row r="968">
      <c r="A968" s="40" t="n"/>
      <c r="B968" s="41" t="n"/>
      <c r="C968" s="41" t="n"/>
      <c r="D968" s="40" t="n"/>
      <c r="E968" s="40" t="n"/>
      <c r="F968" s="40" t="n"/>
      <c r="G968" s="39">
        <f>IF(COUNTA(A968:F968)=0,"",IF(A968="EXAMPLE","Example (skipped)",IF(OR(C968="",E968="",F968=""),"✖ Portal, User ID and Password are all needed",IF(AND(A968="",COUNTIF(Clients!$B$5:$B$1005,B968)=0),"Not on Clients — will match a portal client by name",IF(AND(C968="GST",D968&lt;&gt;"",COUNTIF(Clients!$AZ$5:$AZ$1005,UPPER(D968))=0,COUNTIF(Clients!$G$5:$G$1005,"*"&amp;UPPER(D968)&amp;"*")=0),"GSTIN not on Clients — will be checked in the portal","✔ OK")))))</f>
        <v/>
      </c>
    </row>
    <row r="969">
      <c r="A969" s="40" t="n"/>
      <c r="B969" s="41" t="n"/>
      <c r="C969" s="41" t="n"/>
      <c r="D969" s="40" t="n"/>
      <c r="E969" s="40" t="n"/>
      <c r="F969" s="40" t="n"/>
      <c r="G969" s="39">
        <f>IF(COUNTA(A969:F969)=0,"",IF(A969="EXAMPLE","Example (skipped)",IF(OR(C969="",E969="",F969=""),"✖ Portal, User ID and Password are all needed",IF(AND(A969="",COUNTIF(Clients!$B$5:$B$1005,B969)=0),"Not on Clients — will match a portal client by name",IF(AND(C969="GST",D969&lt;&gt;"",COUNTIF(Clients!$AZ$5:$AZ$1005,UPPER(D969))=0,COUNTIF(Clients!$G$5:$G$1005,"*"&amp;UPPER(D969)&amp;"*")=0),"GSTIN not on Clients — will be checked in the portal","✔ OK")))))</f>
        <v/>
      </c>
    </row>
    <row r="970">
      <c r="A970" s="40" t="n"/>
      <c r="B970" s="41" t="n"/>
      <c r="C970" s="41" t="n"/>
      <c r="D970" s="40" t="n"/>
      <c r="E970" s="40" t="n"/>
      <c r="F970" s="40" t="n"/>
      <c r="G970" s="39">
        <f>IF(COUNTA(A970:F970)=0,"",IF(A970="EXAMPLE","Example (skipped)",IF(OR(C970="",E970="",F970=""),"✖ Portal, User ID and Password are all needed",IF(AND(A970="",COUNTIF(Clients!$B$5:$B$1005,B970)=0),"Not on Clients — will match a portal client by name",IF(AND(C970="GST",D970&lt;&gt;"",COUNTIF(Clients!$AZ$5:$AZ$1005,UPPER(D970))=0,COUNTIF(Clients!$G$5:$G$1005,"*"&amp;UPPER(D970)&amp;"*")=0),"GSTIN not on Clients — will be checked in the portal","✔ OK")))))</f>
        <v/>
      </c>
    </row>
    <row r="971">
      <c r="A971" s="40" t="n"/>
      <c r="B971" s="41" t="n"/>
      <c r="C971" s="41" t="n"/>
      <c r="D971" s="40" t="n"/>
      <c r="E971" s="40" t="n"/>
      <c r="F971" s="40" t="n"/>
      <c r="G971" s="39">
        <f>IF(COUNTA(A971:F971)=0,"",IF(A971="EXAMPLE","Example (skipped)",IF(OR(C971="",E971="",F971=""),"✖ Portal, User ID and Password are all needed",IF(AND(A971="",COUNTIF(Clients!$B$5:$B$1005,B971)=0),"Not on Clients — will match a portal client by name",IF(AND(C971="GST",D971&lt;&gt;"",COUNTIF(Clients!$AZ$5:$AZ$1005,UPPER(D971))=0,COUNTIF(Clients!$G$5:$G$1005,"*"&amp;UPPER(D971)&amp;"*")=0),"GSTIN not on Clients — will be checked in the portal","✔ OK")))))</f>
        <v/>
      </c>
    </row>
    <row r="972">
      <c r="A972" s="40" t="n"/>
      <c r="B972" s="41" t="n"/>
      <c r="C972" s="41" t="n"/>
      <c r="D972" s="40" t="n"/>
      <c r="E972" s="40" t="n"/>
      <c r="F972" s="40" t="n"/>
      <c r="G972" s="39">
        <f>IF(COUNTA(A972:F972)=0,"",IF(A972="EXAMPLE","Example (skipped)",IF(OR(C972="",E972="",F972=""),"✖ Portal, User ID and Password are all needed",IF(AND(A972="",COUNTIF(Clients!$B$5:$B$1005,B972)=0),"Not on Clients — will match a portal client by name",IF(AND(C972="GST",D972&lt;&gt;"",COUNTIF(Clients!$AZ$5:$AZ$1005,UPPER(D972))=0,COUNTIF(Clients!$G$5:$G$1005,"*"&amp;UPPER(D972)&amp;"*")=0),"GSTIN not on Clients — will be checked in the portal","✔ OK")))))</f>
        <v/>
      </c>
    </row>
    <row r="973">
      <c r="A973" s="40" t="n"/>
      <c r="B973" s="41" t="n"/>
      <c r="C973" s="41" t="n"/>
      <c r="D973" s="40" t="n"/>
      <c r="E973" s="40" t="n"/>
      <c r="F973" s="40" t="n"/>
      <c r="G973" s="39">
        <f>IF(COUNTA(A973:F973)=0,"",IF(A973="EXAMPLE","Example (skipped)",IF(OR(C973="",E973="",F973=""),"✖ Portal, User ID and Password are all needed",IF(AND(A973="",COUNTIF(Clients!$B$5:$B$1005,B973)=0),"Not on Clients — will match a portal client by name",IF(AND(C973="GST",D973&lt;&gt;"",COUNTIF(Clients!$AZ$5:$AZ$1005,UPPER(D973))=0,COUNTIF(Clients!$G$5:$G$1005,"*"&amp;UPPER(D973)&amp;"*")=0),"GSTIN not on Clients — will be checked in the portal","✔ OK")))))</f>
        <v/>
      </c>
    </row>
    <row r="974">
      <c r="A974" s="40" t="n"/>
      <c r="B974" s="41" t="n"/>
      <c r="C974" s="41" t="n"/>
      <c r="D974" s="40" t="n"/>
      <c r="E974" s="40" t="n"/>
      <c r="F974" s="40" t="n"/>
      <c r="G974" s="39">
        <f>IF(COUNTA(A974:F974)=0,"",IF(A974="EXAMPLE","Example (skipped)",IF(OR(C974="",E974="",F974=""),"✖ Portal, User ID and Password are all needed",IF(AND(A974="",COUNTIF(Clients!$B$5:$B$1005,B974)=0),"Not on Clients — will match a portal client by name",IF(AND(C974="GST",D974&lt;&gt;"",COUNTIF(Clients!$AZ$5:$AZ$1005,UPPER(D974))=0,COUNTIF(Clients!$G$5:$G$1005,"*"&amp;UPPER(D974)&amp;"*")=0),"GSTIN not on Clients — will be checked in the portal","✔ OK")))))</f>
        <v/>
      </c>
    </row>
    <row r="975">
      <c r="A975" s="40" t="n"/>
      <c r="B975" s="41" t="n"/>
      <c r="C975" s="41" t="n"/>
      <c r="D975" s="40" t="n"/>
      <c r="E975" s="40" t="n"/>
      <c r="F975" s="40" t="n"/>
      <c r="G975" s="39">
        <f>IF(COUNTA(A975:F975)=0,"",IF(A975="EXAMPLE","Example (skipped)",IF(OR(C975="",E975="",F975=""),"✖ Portal, User ID and Password are all needed",IF(AND(A975="",COUNTIF(Clients!$B$5:$B$1005,B975)=0),"Not on Clients — will match a portal client by name",IF(AND(C975="GST",D975&lt;&gt;"",COUNTIF(Clients!$AZ$5:$AZ$1005,UPPER(D975))=0,COUNTIF(Clients!$G$5:$G$1005,"*"&amp;UPPER(D975)&amp;"*")=0),"GSTIN not on Clients — will be checked in the portal","✔ OK")))))</f>
        <v/>
      </c>
    </row>
    <row r="976">
      <c r="A976" s="40" t="n"/>
      <c r="B976" s="41" t="n"/>
      <c r="C976" s="41" t="n"/>
      <c r="D976" s="40" t="n"/>
      <c r="E976" s="40" t="n"/>
      <c r="F976" s="40" t="n"/>
      <c r="G976" s="39">
        <f>IF(COUNTA(A976:F976)=0,"",IF(A976="EXAMPLE","Example (skipped)",IF(OR(C976="",E976="",F976=""),"✖ Portal, User ID and Password are all needed",IF(AND(A976="",COUNTIF(Clients!$B$5:$B$1005,B976)=0),"Not on Clients — will match a portal client by name",IF(AND(C976="GST",D976&lt;&gt;"",COUNTIF(Clients!$AZ$5:$AZ$1005,UPPER(D976))=0,COUNTIF(Clients!$G$5:$G$1005,"*"&amp;UPPER(D976)&amp;"*")=0),"GSTIN not on Clients — will be checked in the portal","✔ OK")))))</f>
        <v/>
      </c>
    </row>
    <row r="977">
      <c r="A977" s="40" t="n"/>
      <c r="B977" s="41" t="n"/>
      <c r="C977" s="41" t="n"/>
      <c r="D977" s="40" t="n"/>
      <c r="E977" s="40" t="n"/>
      <c r="F977" s="40" t="n"/>
      <c r="G977" s="39">
        <f>IF(COUNTA(A977:F977)=0,"",IF(A977="EXAMPLE","Example (skipped)",IF(OR(C977="",E977="",F977=""),"✖ Portal, User ID and Password are all needed",IF(AND(A977="",COUNTIF(Clients!$B$5:$B$1005,B977)=0),"Not on Clients — will match a portal client by name",IF(AND(C977="GST",D977&lt;&gt;"",COUNTIF(Clients!$AZ$5:$AZ$1005,UPPER(D977))=0,COUNTIF(Clients!$G$5:$G$1005,"*"&amp;UPPER(D977)&amp;"*")=0),"GSTIN not on Clients — will be checked in the portal","✔ OK")))))</f>
        <v/>
      </c>
    </row>
    <row r="978">
      <c r="A978" s="40" t="n"/>
      <c r="B978" s="41" t="n"/>
      <c r="C978" s="41" t="n"/>
      <c r="D978" s="40" t="n"/>
      <c r="E978" s="40" t="n"/>
      <c r="F978" s="40" t="n"/>
      <c r="G978" s="39">
        <f>IF(COUNTA(A978:F978)=0,"",IF(A978="EXAMPLE","Example (skipped)",IF(OR(C978="",E978="",F978=""),"✖ Portal, User ID and Password are all needed",IF(AND(A978="",COUNTIF(Clients!$B$5:$B$1005,B978)=0),"Not on Clients — will match a portal client by name",IF(AND(C978="GST",D978&lt;&gt;"",COUNTIF(Clients!$AZ$5:$AZ$1005,UPPER(D978))=0,COUNTIF(Clients!$G$5:$G$1005,"*"&amp;UPPER(D978)&amp;"*")=0),"GSTIN not on Clients — will be checked in the portal","✔ OK")))))</f>
        <v/>
      </c>
    </row>
    <row r="979">
      <c r="A979" s="40" t="n"/>
      <c r="B979" s="41" t="n"/>
      <c r="C979" s="41" t="n"/>
      <c r="D979" s="40" t="n"/>
      <c r="E979" s="40" t="n"/>
      <c r="F979" s="40" t="n"/>
      <c r="G979" s="39">
        <f>IF(COUNTA(A979:F979)=0,"",IF(A979="EXAMPLE","Example (skipped)",IF(OR(C979="",E979="",F979=""),"✖ Portal, User ID and Password are all needed",IF(AND(A979="",COUNTIF(Clients!$B$5:$B$1005,B979)=0),"Not on Clients — will match a portal client by name",IF(AND(C979="GST",D979&lt;&gt;"",COUNTIF(Clients!$AZ$5:$AZ$1005,UPPER(D979))=0,COUNTIF(Clients!$G$5:$G$1005,"*"&amp;UPPER(D979)&amp;"*")=0),"GSTIN not on Clients — will be checked in the portal","✔ OK")))))</f>
        <v/>
      </c>
    </row>
    <row r="980">
      <c r="A980" s="40" t="n"/>
      <c r="B980" s="41" t="n"/>
      <c r="C980" s="41" t="n"/>
      <c r="D980" s="40" t="n"/>
      <c r="E980" s="40" t="n"/>
      <c r="F980" s="40" t="n"/>
      <c r="G980" s="39">
        <f>IF(COUNTA(A980:F980)=0,"",IF(A980="EXAMPLE","Example (skipped)",IF(OR(C980="",E980="",F980=""),"✖ Portal, User ID and Password are all needed",IF(AND(A980="",COUNTIF(Clients!$B$5:$B$1005,B980)=0),"Not on Clients — will match a portal client by name",IF(AND(C980="GST",D980&lt;&gt;"",COUNTIF(Clients!$AZ$5:$AZ$1005,UPPER(D980))=0,COUNTIF(Clients!$G$5:$G$1005,"*"&amp;UPPER(D980)&amp;"*")=0),"GSTIN not on Clients — will be checked in the portal","✔ OK")))))</f>
        <v/>
      </c>
    </row>
    <row r="981">
      <c r="A981" s="40" t="n"/>
      <c r="B981" s="41" t="n"/>
      <c r="C981" s="41" t="n"/>
      <c r="D981" s="40" t="n"/>
      <c r="E981" s="40" t="n"/>
      <c r="F981" s="40" t="n"/>
      <c r="G981" s="39">
        <f>IF(COUNTA(A981:F981)=0,"",IF(A981="EXAMPLE","Example (skipped)",IF(OR(C981="",E981="",F981=""),"✖ Portal, User ID and Password are all needed",IF(AND(A981="",COUNTIF(Clients!$B$5:$B$1005,B981)=0),"Not on Clients — will match a portal client by name",IF(AND(C981="GST",D981&lt;&gt;"",COUNTIF(Clients!$AZ$5:$AZ$1005,UPPER(D981))=0,COUNTIF(Clients!$G$5:$G$1005,"*"&amp;UPPER(D981)&amp;"*")=0),"GSTIN not on Clients — will be checked in the portal","✔ OK")))))</f>
        <v/>
      </c>
    </row>
    <row r="982">
      <c r="A982" s="40" t="n"/>
      <c r="B982" s="41" t="n"/>
      <c r="C982" s="41" t="n"/>
      <c r="D982" s="40" t="n"/>
      <c r="E982" s="40" t="n"/>
      <c r="F982" s="40" t="n"/>
      <c r="G982" s="39">
        <f>IF(COUNTA(A982:F982)=0,"",IF(A982="EXAMPLE","Example (skipped)",IF(OR(C982="",E982="",F982=""),"✖ Portal, User ID and Password are all needed",IF(AND(A982="",COUNTIF(Clients!$B$5:$B$1005,B982)=0),"Not on Clients — will match a portal client by name",IF(AND(C982="GST",D982&lt;&gt;"",COUNTIF(Clients!$AZ$5:$AZ$1005,UPPER(D982))=0,COUNTIF(Clients!$G$5:$G$1005,"*"&amp;UPPER(D982)&amp;"*")=0),"GSTIN not on Clients — will be checked in the portal","✔ OK")))))</f>
        <v/>
      </c>
    </row>
    <row r="983">
      <c r="A983" s="40" t="n"/>
      <c r="B983" s="41" t="n"/>
      <c r="C983" s="41" t="n"/>
      <c r="D983" s="40" t="n"/>
      <c r="E983" s="40" t="n"/>
      <c r="F983" s="40" t="n"/>
      <c r="G983" s="39">
        <f>IF(COUNTA(A983:F983)=0,"",IF(A983="EXAMPLE","Example (skipped)",IF(OR(C983="",E983="",F983=""),"✖ Portal, User ID and Password are all needed",IF(AND(A983="",COUNTIF(Clients!$B$5:$B$1005,B983)=0),"Not on Clients — will match a portal client by name",IF(AND(C983="GST",D983&lt;&gt;"",COUNTIF(Clients!$AZ$5:$AZ$1005,UPPER(D983))=0,COUNTIF(Clients!$G$5:$G$1005,"*"&amp;UPPER(D983)&amp;"*")=0),"GSTIN not on Clients — will be checked in the portal","✔ OK")))))</f>
        <v/>
      </c>
    </row>
    <row r="984">
      <c r="A984" s="40" t="n"/>
      <c r="B984" s="41" t="n"/>
      <c r="C984" s="41" t="n"/>
      <c r="D984" s="40" t="n"/>
      <c r="E984" s="40" t="n"/>
      <c r="F984" s="40" t="n"/>
      <c r="G984" s="39">
        <f>IF(COUNTA(A984:F984)=0,"",IF(A984="EXAMPLE","Example (skipped)",IF(OR(C984="",E984="",F984=""),"✖ Portal, User ID and Password are all needed",IF(AND(A984="",COUNTIF(Clients!$B$5:$B$1005,B984)=0),"Not on Clients — will match a portal client by name",IF(AND(C984="GST",D984&lt;&gt;"",COUNTIF(Clients!$AZ$5:$AZ$1005,UPPER(D984))=0,COUNTIF(Clients!$G$5:$G$1005,"*"&amp;UPPER(D984)&amp;"*")=0),"GSTIN not on Clients — will be checked in the portal","✔ OK")))))</f>
        <v/>
      </c>
    </row>
    <row r="985">
      <c r="A985" s="40" t="n"/>
      <c r="B985" s="41" t="n"/>
      <c r="C985" s="41" t="n"/>
      <c r="D985" s="40" t="n"/>
      <c r="E985" s="40" t="n"/>
      <c r="F985" s="40" t="n"/>
      <c r="G985" s="39">
        <f>IF(COUNTA(A985:F985)=0,"",IF(A985="EXAMPLE","Example (skipped)",IF(OR(C985="",E985="",F985=""),"✖ Portal, User ID and Password are all needed",IF(AND(A985="",COUNTIF(Clients!$B$5:$B$1005,B985)=0),"Not on Clients — will match a portal client by name",IF(AND(C985="GST",D985&lt;&gt;"",COUNTIF(Clients!$AZ$5:$AZ$1005,UPPER(D985))=0,COUNTIF(Clients!$G$5:$G$1005,"*"&amp;UPPER(D985)&amp;"*")=0),"GSTIN not on Clients — will be checked in the portal","✔ OK")))))</f>
        <v/>
      </c>
    </row>
    <row r="986">
      <c r="A986" s="40" t="n"/>
      <c r="B986" s="41" t="n"/>
      <c r="C986" s="41" t="n"/>
      <c r="D986" s="40" t="n"/>
      <c r="E986" s="40" t="n"/>
      <c r="F986" s="40" t="n"/>
      <c r="G986" s="39">
        <f>IF(COUNTA(A986:F986)=0,"",IF(A986="EXAMPLE","Example (skipped)",IF(OR(C986="",E986="",F986=""),"✖ Portal, User ID and Password are all needed",IF(AND(A986="",COUNTIF(Clients!$B$5:$B$1005,B986)=0),"Not on Clients — will match a portal client by name",IF(AND(C986="GST",D986&lt;&gt;"",COUNTIF(Clients!$AZ$5:$AZ$1005,UPPER(D986))=0,COUNTIF(Clients!$G$5:$G$1005,"*"&amp;UPPER(D986)&amp;"*")=0),"GSTIN not on Clients — will be checked in the portal","✔ OK")))))</f>
        <v/>
      </c>
    </row>
    <row r="987">
      <c r="A987" s="40" t="n"/>
      <c r="B987" s="41" t="n"/>
      <c r="C987" s="41" t="n"/>
      <c r="D987" s="40" t="n"/>
      <c r="E987" s="40" t="n"/>
      <c r="F987" s="40" t="n"/>
      <c r="G987" s="39">
        <f>IF(COUNTA(A987:F987)=0,"",IF(A987="EXAMPLE","Example (skipped)",IF(OR(C987="",E987="",F987=""),"✖ Portal, User ID and Password are all needed",IF(AND(A987="",COUNTIF(Clients!$B$5:$B$1005,B987)=0),"Not on Clients — will match a portal client by name",IF(AND(C987="GST",D987&lt;&gt;"",COUNTIF(Clients!$AZ$5:$AZ$1005,UPPER(D987))=0,COUNTIF(Clients!$G$5:$G$1005,"*"&amp;UPPER(D987)&amp;"*")=0),"GSTIN not on Clients — will be checked in the portal","✔ OK")))))</f>
        <v/>
      </c>
    </row>
    <row r="988">
      <c r="A988" s="40" t="n"/>
      <c r="B988" s="41" t="n"/>
      <c r="C988" s="41" t="n"/>
      <c r="D988" s="40" t="n"/>
      <c r="E988" s="40" t="n"/>
      <c r="F988" s="40" t="n"/>
      <c r="G988" s="39">
        <f>IF(COUNTA(A988:F988)=0,"",IF(A988="EXAMPLE","Example (skipped)",IF(OR(C988="",E988="",F988=""),"✖ Portal, User ID and Password are all needed",IF(AND(A988="",COUNTIF(Clients!$B$5:$B$1005,B988)=0),"Not on Clients — will match a portal client by name",IF(AND(C988="GST",D988&lt;&gt;"",COUNTIF(Clients!$AZ$5:$AZ$1005,UPPER(D988))=0,COUNTIF(Clients!$G$5:$G$1005,"*"&amp;UPPER(D988)&amp;"*")=0),"GSTIN not on Clients — will be checked in the portal","✔ OK")))))</f>
        <v/>
      </c>
    </row>
    <row r="989">
      <c r="A989" s="40" t="n"/>
      <c r="B989" s="41" t="n"/>
      <c r="C989" s="41" t="n"/>
      <c r="D989" s="40" t="n"/>
      <c r="E989" s="40" t="n"/>
      <c r="F989" s="40" t="n"/>
      <c r="G989" s="39">
        <f>IF(COUNTA(A989:F989)=0,"",IF(A989="EXAMPLE","Example (skipped)",IF(OR(C989="",E989="",F989=""),"✖ Portal, User ID and Password are all needed",IF(AND(A989="",COUNTIF(Clients!$B$5:$B$1005,B989)=0),"Not on Clients — will match a portal client by name",IF(AND(C989="GST",D989&lt;&gt;"",COUNTIF(Clients!$AZ$5:$AZ$1005,UPPER(D989))=0,COUNTIF(Clients!$G$5:$G$1005,"*"&amp;UPPER(D989)&amp;"*")=0),"GSTIN not on Clients — will be checked in the portal","✔ OK")))))</f>
        <v/>
      </c>
    </row>
    <row r="990">
      <c r="A990" s="40" t="n"/>
      <c r="B990" s="41" t="n"/>
      <c r="C990" s="41" t="n"/>
      <c r="D990" s="40" t="n"/>
      <c r="E990" s="40" t="n"/>
      <c r="F990" s="40" t="n"/>
      <c r="G990" s="39">
        <f>IF(COUNTA(A990:F990)=0,"",IF(A990="EXAMPLE","Example (skipped)",IF(OR(C990="",E990="",F990=""),"✖ Portal, User ID and Password are all needed",IF(AND(A990="",COUNTIF(Clients!$B$5:$B$1005,B990)=0),"Not on Clients — will match a portal client by name",IF(AND(C990="GST",D990&lt;&gt;"",COUNTIF(Clients!$AZ$5:$AZ$1005,UPPER(D990))=0,COUNTIF(Clients!$G$5:$G$1005,"*"&amp;UPPER(D990)&amp;"*")=0),"GSTIN not on Clients — will be checked in the portal","✔ OK")))))</f>
        <v/>
      </c>
    </row>
    <row r="991">
      <c r="A991" s="40" t="n"/>
      <c r="B991" s="41" t="n"/>
      <c r="C991" s="41" t="n"/>
      <c r="D991" s="40" t="n"/>
      <c r="E991" s="40" t="n"/>
      <c r="F991" s="40" t="n"/>
      <c r="G991" s="39">
        <f>IF(COUNTA(A991:F991)=0,"",IF(A991="EXAMPLE","Example (skipped)",IF(OR(C991="",E991="",F991=""),"✖ Portal, User ID and Password are all needed",IF(AND(A991="",COUNTIF(Clients!$B$5:$B$1005,B991)=0),"Not on Clients — will match a portal client by name",IF(AND(C991="GST",D991&lt;&gt;"",COUNTIF(Clients!$AZ$5:$AZ$1005,UPPER(D991))=0,COUNTIF(Clients!$G$5:$G$1005,"*"&amp;UPPER(D991)&amp;"*")=0),"GSTIN not on Clients — will be checked in the portal","✔ OK")))))</f>
        <v/>
      </c>
    </row>
    <row r="992">
      <c r="A992" s="40" t="n"/>
      <c r="B992" s="41" t="n"/>
      <c r="C992" s="41" t="n"/>
      <c r="D992" s="40" t="n"/>
      <c r="E992" s="40" t="n"/>
      <c r="F992" s="40" t="n"/>
      <c r="G992" s="39">
        <f>IF(COUNTA(A992:F992)=0,"",IF(A992="EXAMPLE","Example (skipped)",IF(OR(C992="",E992="",F992=""),"✖ Portal, User ID and Password are all needed",IF(AND(A992="",COUNTIF(Clients!$B$5:$B$1005,B992)=0),"Not on Clients — will match a portal client by name",IF(AND(C992="GST",D992&lt;&gt;"",COUNTIF(Clients!$AZ$5:$AZ$1005,UPPER(D992))=0,COUNTIF(Clients!$G$5:$G$1005,"*"&amp;UPPER(D992)&amp;"*")=0),"GSTIN not on Clients — will be checked in the portal","✔ OK")))))</f>
        <v/>
      </c>
    </row>
    <row r="993">
      <c r="A993" s="40" t="n"/>
      <c r="B993" s="41" t="n"/>
      <c r="C993" s="41" t="n"/>
      <c r="D993" s="40" t="n"/>
      <c r="E993" s="40" t="n"/>
      <c r="F993" s="40" t="n"/>
      <c r="G993" s="39">
        <f>IF(COUNTA(A993:F993)=0,"",IF(A993="EXAMPLE","Example (skipped)",IF(OR(C993="",E993="",F993=""),"✖ Portal, User ID and Password are all needed",IF(AND(A993="",COUNTIF(Clients!$B$5:$B$1005,B993)=0),"Not on Clients — will match a portal client by name",IF(AND(C993="GST",D993&lt;&gt;"",COUNTIF(Clients!$AZ$5:$AZ$1005,UPPER(D993))=0,COUNTIF(Clients!$G$5:$G$1005,"*"&amp;UPPER(D993)&amp;"*")=0),"GSTIN not on Clients — will be checked in the portal","✔ OK")))))</f>
        <v/>
      </c>
    </row>
    <row r="994">
      <c r="A994" s="40" t="n"/>
      <c r="B994" s="41" t="n"/>
      <c r="C994" s="41" t="n"/>
      <c r="D994" s="40" t="n"/>
      <c r="E994" s="40" t="n"/>
      <c r="F994" s="40" t="n"/>
      <c r="G994" s="39">
        <f>IF(COUNTA(A994:F994)=0,"",IF(A994="EXAMPLE","Example (skipped)",IF(OR(C994="",E994="",F994=""),"✖ Portal, User ID and Password are all needed",IF(AND(A994="",COUNTIF(Clients!$B$5:$B$1005,B994)=0),"Not on Clients — will match a portal client by name",IF(AND(C994="GST",D994&lt;&gt;"",COUNTIF(Clients!$AZ$5:$AZ$1005,UPPER(D994))=0,COUNTIF(Clients!$G$5:$G$1005,"*"&amp;UPPER(D994)&amp;"*")=0),"GSTIN not on Clients — will be checked in the portal","✔ OK")))))</f>
        <v/>
      </c>
    </row>
    <row r="995">
      <c r="A995" s="40" t="n"/>
      <c r="B995" s="41" t="n"/>
      <c r="C995" s="41" t="n"/>
      <c r="D995" s="40" t="n"/>
      <c r="E995" s="40" t="n"/>
      <c r="F995" s="40" t="n"/>
      <c r="G995" s="39">
        <f>IF(COUNTA(A995:F995)=0,"",IF(A995="EXAMPLE","Example (skipped)",IF(OR(C995="",E995="",F995=""),"✖ Portal, User ID and Password are all needed",IF(AND(A995="",COUNTIF(Clients!$B$5:$B$1005,B995)=0),"Not on Clients — will match a portal client by name",IF(AND(C995="GST",D995&lt;&gt;"",COUNTIF(Clients!$AZ$5:$AZ$1005,UPPER(D995))=0,COUNTIF(Clients!$G$5:$G$1005,"*"&amp;UPPER(D995)&amp;"*")=0),"GSTIN not on Clients — will be checked in the portal","✔ OK")))))</f>
        <v/>
      </c>
    </row>
    <row r="996">
      <c r="A996" s="40" t="n"/>
      <c r="B996" s="41" t="n"/>
      <c r="C996" s="41" t="n"/>
      <c r="D996" s="40" t="n"/>
      <c r="E996" s="40" t="n"/>
      <c r="F996" s="40" t="n"/>
      <c r="G996" s="39">
        <f>IF(COUNTA(A996:F996)=0,"",IF(A996="EXAMPLE","Example (skipped)",IF(OR(C996="",E996="",F996=""),"✖ Portal, User ID and Password are all needed",IF(AND(A996="",COUNTIF(Clients!$B$5:$B$1005,B996)=0),"Not on Clients — will match a portal client by name",IF(AND(C996="GST",D996&lt;&gt;"",COUNTIF(Clients!$AZ$5:$AZ$1005,UPPER(D996))=0,COUNTIF(Clients!$G$5:$G$1005,"*"&amp;UPPER(D996)&amp;"*")=0),"GSTIN not on Clients — will be checked in the portal","✔ OK")))))</f>
        <v/>
      </c>
    </row>
    <row r="997">
      <c r="A997" s="40" t="n"/>
      <c r="B997" s="41" t="n"/>
      <c r="C997" s="41" t="n"/>
      <c r="D997" s="40" t="n"/>
      <c r="E997" s="40" t="n"/>
      <c r="F997" s="40" t="n"/>
      <c r="G997" s="39">
        <f>IF(COUNTA(A997:F997)=0,"",IF(A997="EXAMPLE","Example (skipped)",IF(OR(C997="",E997="",F997=""),"✖ Portal, User ID and Password are all needed",IF(AND(A997="",COUNTIF(Clients!$B$5:$B$1005,B997)=0),"Not on Clients — will match a portal client by name",IF(AND(C997="GST",D997&lt;&gt;"",COUNTIF(Clients!$AZ$5:$AZ$1005,UPPER(D997))=0,COUNTIF(Clients!$G$5:$G$1005,"*"&amp;UPPER(D997)&amp;"*")=0),"GSTIN not on Clients — will be checked in the portal","✔ OK")))))</f>
        <v/>
      </c>
    </row>
    <row r="998">
      <c r="A998" s="40" t="n"/>
      <c r="B998" s="41" t="n"/>
      <c r="C998" s="41" t="n"/>
      <c r="D998" s="40" t="n"/>
      <c r="E998" s="40" t="n"/>
      <c r="F998" s="40" t="n"/>
      <c r="G998" s="39">
        <f>IF(COUNTA(A998:F998)=0,"",IF(A998="EXAMPLE","Example (skipped)",IF(OR(C998="",E998="",F998=""),"✖ Portal, User ID and Password are all needed",IF(AND(A998="",COUNTIF(Clients!$B$5:$B$1005,B998)=0),"Not on Clients — will match a portal client by name",IF(AND(C998="GST",D998&lt;&gt;"",COUNTIF(Clients!$AZ$5:$AZ$1005,UPPER(D998))=0,COUNTIF(Clients!$G$5:$G$1005,"*"&amp;UPPER(D998)&amp;"*")=0),"GSTIN not on Clients — will be checked in the portal","✔ OK")))))</f>
        <v/>
      </c>
    </row>
    <row r="999">
      <c r="A999" s="40" t="n"/>
      <c r="B999" s="41" t="n"/>
      <c r="C999" s="41" t="n"/>
      <c r="D999" s="40" t="n"/>
      <c r="E999" s="40" t="n"/>
      <c r="F999" s="40" t="n"/>
      <c r="G999" s="39">
        <f>IF(COUNTA(A999:F999)=0,"",IF(A999="EXAMPLE","Example (skipped)",IF(OR(C999="",E999="",F999=""),"✖ Portal, User ID and Password are all needed",IF(AND(A999="",COUNTIF(Clients!$B$5:$B$1005,B999)=0),"Not on Clients — will match a portal client by name",IF(AND(C999="GST",D999&lt;&gt;"",COUNTIF(Clients!$AZ$5:$AZ$1005,UPPER(D999))=0,COUNTIF(Clients!$G$5:$G$1005,"*"&amp;UPPER(D999)&amp;"*")=0),"GSTIN not on Clients — will be checked in the portal","✔ OK")))))</f>
        <v/>
      </c>
    </row>
    <row r="1000">
      <c r="A1000" s="40" t="n"/>
      <c r="B1000" s="41" t="n"/>
      <c r="C1000" s="41" t="n"/>
      <c r="D1000" s="40" t="n"/>
      <c r="E1000" s="40" t="n"/>
      <c r="F1000" s="40" t="n"/>
      <c r="G1000" s="39">
        <f>IF(COUNTA(A1000:F1000)=0,"",IF(A1000="EXAMPLE","Example (skipped)",IF(OR(C1000="",E1000="",F1000=""),"✖ Portal, User ID and Password are all needed",IF(AND(A1000="",COUNTIF(Clients!$B$5:$B$1005,B1000)=0),"Not on Clients — will match a portal client by name",IF(AND(C1000="GST",D1000&lt;&gt;"",COUNTIF(Clients!$AZ$5:$AZ$1005,UPPER(D1000))=0,COUNTIF(Clients!$G$5:$G$1005,"*"&amp;UPPER(D1000)&amp;"*")=0),"GSTIN not on Clients — will be checked in the portal","✔ OK")))))</f>
        <v/>
      </c>
    </row>
    <row r="1001">
      <c r="A1001" s="40" t="n"/>
      <c r="B1001" s="41" t="n"/>
      <c r="C1001" s="41" t="n"/>
      <c r="D1001" s="40" t="n"/>
      <c r="E1001" s="40" t="n"/>
      <c r="F1001" s="40" t="n"/>
      <c r="G1001" s="39">
        <f>IF(COUNTA(A1001:F1001)=0,"",IF(A1001="EXAMPLE","Example (skipped)",IF(OR(C1001="",E1001="",F1001=""),"✖ Portal, User ID and Password are all needed",IF(AND(A1001="",COUNTIF(Clients!$B$5:$B$1005,B1001)=0),"Not on Clients — will match a portal client by name",IF(AND(C1001="GST",D1001&lt;&gt;"",COUNTIF(Clients!$AZ$5:$AZ$1005,UPPER(D1001))=0,COUNTIF(Clients!$G$5:$G$1005,"*"&amp;UPPER(D1001)&amp;"*")=0),"GSTIN not on Clients — will be checked in the portal","✔ OK")))))</f>
        <v/>
      </c>
    </row>
    <row r="1002">
      <c r="A1002" s="40" t="n"/>
      <c r="B1002" s="41" t="n"/>
      <c r="C1002" s="41" t="n"/>
      <c r="D1002" s="40" t="n"/>
      <c r="E1002" s="40" t="n"/>
      <c r="F1002" s="40" t="n"/>
      <c r="G1002" s="39">
        <f>IF(COUNTA(A1002:F1002)=0,"",IF(A1002="EXAMPLE","Example (skipped)",IF(OR(C1002="",E1002="",F1002=""),"✖ Portal, User ID and Password are all needed",IF(AND(A1002="",COUNTIF(Clients!$B$5:$B$1005,B1002)=0),"Not on Clients — will match a portal client by name",IF(AND(C1002="GST",D1002&lt;&gt;"",COUNTIF(Clients!$AZ$5:$AZ$1005,UPPER(D1002))=0,COUNTIF(Clients!$G$5:$G$1005,"*"&amp;UPPER(D1002)&amp;"*")=0),"GSTIN not on Clients — will be checked in the portal","✔ OK")))))</f>
        <v/>
      </c>
    </row>
    <row r="1003">
      <c r="A1003" s="40" t="n"/>
      <c r="B1003" s="41" t="n"/>
      <c r="C1003" s="41" t="n"/>
      <c r="D1003" s="40" t="n"/>
      <c r="E1003" s="40" t="n"/>
      <c r="F1003" s="40" t="n"/>
      <c r="G1003" s="39">
        <f>IF(COUNTA(A1003:F1003)=0,"",IF(A1003="EXAMPLE","Example (skipped)",IF(OR(C1003="",E1003="",F1003=""),"✖ Portal, User ID and Password are all needed",IF(AND(A1003="",COUNTIF(Clients!$B$5:$B$1005,B1003)=0),"Not on Clients — will match a portal client by name",IF(AND(C1003="GST",D1003&lt;&gt;"",COUNTIF(Clients!$AZ$5:$AZ$1005,UPPER(D1003))=0,COUNTIF(Clients!$G$5:$G$1005,"*"&amp;UPPER(D1003)&amp;"*")=0),"GSTIN not on Clients — will be checked in the portal","✔ OK")))))</f>
        <v/>
      </c>
    </row>
    <row r="1004">
      <c r="A1004" s="40" t="n"/>
      <c r="B1004" s="41" t="n"/>
      <c r="C1004" s="41" t="n"/>
      <c r="D1004" s="40" t="n"/>
      <c r="E1004" s="40" t="n"/>
      <c r="F1004" s="40" t="n"/>
      <c r="G1004" s="39">
        <f>IF(COUNTA(A1004:F1004)=0,"",IF(A1004="EXAMPLE","Example (skipped)",IF(OR(C1004="",E1004="",F1004=""),"✖ Portal, User ID and Password are all needed",IF(AND(A1004="",COUNTIF(Clients!$B$5:$B$1005,B1004)=0),"Not on Clients — will match a portal client by name",IF(AND(C1004="GST",D1004&lt;&gt;"",COUNTIF(Clients!$AZ$5:$AZ$1005,UPPER(D1004))=0,COUNTIF(Clients!$G$5:$G$1005,"*"&amp;UPPER(D1004)&amp;"*")=0),"GSTIN not on Clients — will be checked in the portal","✔ OK")))))</f>
        <v/>
      </c>
    </row>
    <row r="1005">
      <c r="A1005" s="40" t="n"/>
      <c r="B1005" s="41" t="n"/>
      <c r="C1005" s="41" t="n"/>
      <c r="D1005" s="40" t="n"/>
      <c r="E1005" s="40" t="n"/>
      <c r="F1005" s="40" t="n"/>
      <c r="G1005" s="39">
        <f>IF(COUNTA(A1005:F1005)=0,"",IF(A1005="EXAMPLE","Example (skipped)",IF(OR(C1005="",E1005="",F1005=""),"✖ Portal, User ID and Password are all needed",IF(AND(A1005="",COUNTIF(Clients!$B$5:$B$1005,B1005)=0),"Not on Clients — will match a portal client by name",IF(AND(C1005="GST",D1005&lt;&gt;"",COUNTIF(Clients!$AZ$5:$AZ$1005,UPPER(D1005))=0,COUNTIF(Clients!$G$5:$G$1005,"*"&amp;UPPER(D1005)&amp;"*")=0),"GSTIN not on Clients — will be checked in the portal","✔ OK")))))</f>
        <v/>
      </c>
    </row>
    <row r="1006">
      <c r="A1006" s="40" t="n"/>
      <c r="B1006" s="41" t="n"/>
      <c r="C1006" s="41" t="n"/>
      <c r="D1006" s="40" t="n"/>
      <c r="E1006" s="40" t="n"/>
      <c r="F1006" s="40" t="n"/>
      <c r="G1006" s="39">
        <f>IF(COUNTA(A1006:F1006)=0,"",IF(A1006="EXAMPLE","Example (skipped)",IF(OR(C1006="",E1006="",F1006=""),"✖ Portal, User ID and Password are all needed",IF(AND(A1006="",COUNTIF(Clients!$B$5:$B$1005,B1006)=0),"Not on Clients — will match a portal client by name",IF(AND(C1006="GST",D1006&lt;&gt;"",COUNTIF(Clients!$AZ$5:$AZ$1005,UPPER(D1006))=0,COUNTIF(Clients!$G$5:$G$1005,"*"&amp;UPPER(D1006)&amp;"*")=0),"GSTIN not on Clients — will be checked in the portal","✔ OK")))))</f>
        <v/>
      </c>
    </row>
    <row r="1007">
      <c r="A1007" s="40" t="n"/>
      <c r="B1007" s="41" t="n"/>
      <c r="C1007" s="41" t="n"/>
      <c r="D1007" s="40" t="n"/>
      <c r="E1007" s="40" t="n"/>
      <c r="F1007" s="40" t="n"/>
      <c r="G1007" s="39">
        <f>IF(COUNTA(A1007:F1007)=0,"",IF(A1007="EXAMPLE","Example (skipped)",IF(OR(C1007="",E1007="",F1007=""),"✖ Portal, User ID and Password are all needed",IF(AND(A1007="",COUNTIF(Clients!$B$5:$B$1005,B1007)=0),"Not on Clients — will match a portal client by name",IF(AND(C1007="GST",D1007&lt;&gt;"",COUNTIF(Clients!$AZ$5:$AZ$1005,UPPER(D1007))=0,COUNTIF(Clients!$G$5:$G$1005,"*"&amp;UPPER(D1007)&amp;"*")=0),"GSTIN not on Clients — will be checked in the portal","✔ OK")))))</f>
        <v/>
      </c>
    </row>
    <row r="1008">
      <c r="A1008" s="40" t="n"/>
      <c r="B1008" s="41" t="n"/>
      <c r="C1008" s="41" t="n"/>
      <c r="D1008" s="40" t="n"/>
      <c r="E1008" s="40" t="n"/>
      <c r="F1008" s="40" t="n"/>
      <c r="G1008" s="39">
        <f>IF(COUNTA(A1008:F1008)=0,"",IF(A1008="EXAMPLE","Example (skipped)",IF(OR(C1008="",E1008="",F1008=""),"✖ Portal, User ID and Password are all needed",IF(AND(A1008="",COUNTIF(Clients!$B$5:$B$1005,B1008)=0),"Not on Clients — will match a portal client by name",IF(AND(C1008="GST",D1008&lt;&gt;"",COUNTIF(Clients!$AZ$5:$AZ$1005,UPPER(D1008))=0,COUNTIF(Clients!$G$5:$G$1005,"*"&amp;UPPER(D1008)&amp;"*")=0),"GSTIN not on Clients — will be checked in the portal","✔ OK")))))</f>
        <v/>
      </c>
    </row>
    <row r="1009">
      <c r="A1009" s="40" t="n"/>
      <c r="B1009" s="41" t="n"/>
      <c r="C1009" s="41" t="n"/>
      <c r="D1009" s="40" t="n"/>
      <c r="E1009" s="40" t="n"/>
      <c r="F1009" s="40" t="n"/>
      <c r="G1009" s="39">
        <f>IF(COUNTA(A1009:F1009)=0,"",IF(A1009="EXAMPLE","Example (skipped)",IF(OR(C1009="",E1009="",F1009=""),"✖ Portal, User ID and Password are all needed",IF(AND(A1009="",COUNTIF(Clients!$B$5:$B$1005,B1009)=0),"Not on Clients — will match a portal client by name",IF(AND(C1009="GST",D1009&lt;&gt;"",COUNTIF(Clients!$AZ$5:$AZ$1005,UPPER(D1009))=0,COUNTIF(Clients!$G$5:$G$1005,"*"&amp;UPPER(D1009)&amp;"*")=0),"GSTIN not on Clients — will be checked in the portal","✔ OK")))))</f>
        <v/>
      </c>
    </row>
    <row r="1010">
      <c r="A1010" s="40" t="n"/>
      <c r="B1010" s="41" t="n"/>
      <c r="C1010" s="41" t="n"/>
      <c r="D1010" s="40" t="n"/>
      <c r="E1010" s="40" t="n"/>
      <c r="F1010" s="40" t="n"/>
      <c r="G1010" s="39">
        <f>IF(COUNTA(A1010:F1010)=0,"",IF(A1010="EXAMPLE","Example (skipped)",IF(OR(C1010="",E1010="",F1010=""),"✖ Portal, User ID and Password are all needed",IF(AND(A1010="",COUNTIF(Clients!$B$5:$B$1005,B1010)=0),"Not on Clients — will match a portal client by name",IF(AND(C1010="GST",D1010&lt;&gt;"",COUNTIF(Clients!$AZ$5:$AZ$1005,UPPER(D1010))=0,COUNTIF(Clients!$G$5:$G$1005,"*"&amp;UPPER(D1010)&amp;"*")=0),"GSTIN not on Clients — will be checked in the portal","✔ OK")))))</f>
        <v/>
      </c>
    </row>
    <row r="1011">
      <c r="A1011" s="40" t="n"/>
      <c r="B1011" s="41" t="n"/>
      <c r="C1011" s="41" t="n"/>
      <c r="D1011" s="40" t="n"/>
      <c r="E1011" s="40" t="n"/>
      <c r="F1011" s="40" t="n"/>
      <c r="G1011" s="39">
        <f>IF(COUNTA(A1011:F1011)=0,"",IF(A1011="EXAMPLE","Example (skipped)",IF(OR(C1011="",E1011="",F1011=""),"✖ Portal, User ID and Password are all needed",IF(AND(A1011="",COUNTIF(Clients!$B$5:$B$1005,B1011)=0),"Not on Clients — will match a portal client by name",IF(AND(C1011="GST",D1011&lt;&gt;"",COUNTIF(Clients!$AZ$5:$AZ$1005,UPPER(D1011))=0,COUNTIF(Clients!$G$5:$G$1005,"*"&amp;UPPER(D1011)&amp;"*")=0),"GSTIN not on Clients — will be checked in the portal","✔ OK")))))</f>
        <v/>
      </c>
    </row>
    <row r="1012">
      <c r="A1012" s="40" t="n"/>
      <c r="B1012" s="41" t="n"/>
      <c r="C1012" s="41" t="n"/>
      <c r="D1012" s="40" t="n"/>
      <c r="E1012" s="40" t="n"/>
      <c r="F1012" s="40" t="n"/>
      <c r="G1012" s="39">
        <f>IF(COUNTA(A1012:F1012)=0,"",IF(A1012="EXAMPLE","Example (skipped)",IF(OR(C1012="",E1012="",F1012=""),"✖ Portal, User ID and Password are all needed",IF(AND(A1012="",COUNTIF(Clients!$B$5:$B$1005,B1012)=0),"Not on Clients — will match a portal client by name",IF(AND(C1012="GST",D1012&lt;&gt;"",COUNTIF(Clients!$AZ$5:$AZ$1005,UPPER(D1012))=0,COUNTIF(Clients!$G$5:$G$1005,"*"&amp;UPPER(D1012)&amp;"*")=0),"GSTIN not on Clients — will be checked in the portal","✔ OK")))))</f>
        <v/>
      </c>
    </row>
    <row r="1013">
      <c r="A1013" s="40" t="n"/>
      <c r="B1013" s="41" t="n"/>
      <c r="C1013" s="41" t="n"/>
      <c r="D1013" s="40" t="n"/>
      <c r="E1013" s="40" t="n"/>
      <c r="F1013" s="40" t="n"/>
      <c r="G1013" s="39">
        <f>IF(COUNTA(A1013:F1013)=0,"",IF(A1013="EXAMPLE","Example (skipped)",IF(OR(C1013="",E1013="",F1013=""),"✖ Portal, User ID and Password are all needed",IF(AND(A1013="",COUNTIF(Clients!$B$5:$B$1005,B1013)=0),"Not on Clients — will match a portal client by name",IF(AND(C1013="GST",D1013&lt;&gt;"",COUNTIF(Clients!$AZ$5:$AZ$1005,UPPER(D1013))=0,COUNTIF(Clients!$G$5:$G$1005,"*"&amp;UPPER(D1013)&amp;"*")=0),"GSTIN not on Clients — will be checked in the portal","✔ OK")))))</f>
        <v/>
      </c>
    </row>
    <row r="1014">
      <c r="A1014" s="40" t="n"/>
      <c r="B1014" s="41" t="n"/>
      <c r="C1014" s="41" t="n"/>
      <c r="D1014" s="40" t="n"/>
      <c r="E1014" s="40" t="n"/>
      <c r="F1014" s="40" t="n"/>
      <c r="G1014" s="39">
        <f>IF(COUNTA(A1014:F1014)=0,"",IF(A1014="EXAMPLE","Example (skipped)",IF(OR(C1014="",E1014="",F1014=""),"✖ Portal, User ID and Password are all needed",IF(AND(A1014="",COUNTIF(Clients!$B$5:$B$1005,B1014)=0),"Not on Clients — will match a portal client by name",IF(AND(C1014="GST",D1014&lt;&gt;"",COUNTIF(Clients!$AZ$5:$AZ$1005,UPPER(D1014))=0,COUNTIF(Clients!$G$5:$G$1005,"*"&amp;UPPER(D1014)&amp;"*")=0),"GSTIN not on Clients — will be checked in the portal","✔ OK")))))</f>
        <v/>
      </c>
    </row>
    <row r="1015">
      <c r="A1015" s="40" t="n"/>
      <c r="B1015" s="41" t="n"/>
      <c r="C1015" s="41" t="n"/>
      <c r="D1015" s="40" t="n"/>
      <c r="E1015" s="40" t="n"/>
      <c r="F1015" s="40" t="n"/>
      <c r="G1015" s="39">
        <f>IF(COUNTA(A1015:F1015)=0,"",IF(A1015="EXAMPLE","Example (skipped)",IF(OR(C1015="",E1015="",F1015=""),"✖ Portal, User ID and Password are all needed",IF(AND(A1015="",COUNTIF(Clients!$B$5:$B$1005,B1015)=0),"Not on Clients — will match a portal client by name",IF(AND(C1015="GST",D1015&lt;&gt;"",COUNTIF(Clients!$AZ$5:$AZ$1005,UPPER(D1015))=0,COUNTIF(Clients!$G$5:$G$1005,"*"&amp;UPPER(D1015)&amp;"*")=0),"GSTIN not on Clients — will be checked in the portal","✔ OK")))))</f>
        <v/>
      </c>
    </row>
    <row r="1016">
      <c r="A1016" s="40" t="n"/>
      <c r="B1016" s="41" t="n"/>
      <c r="C1016" s="41" t="n"/>
      <c r="D1016" s="40" t="n"/>
      <c r="E1016" s="40" t="n"/>
      <c r="F1016" s="40" t="n"/>
      <c r="G1016" s="39">
        <f>IF(COUNTA(A1016:F1016)=0,"",IF(A1016="EXAMPLE","Example (skipped)",IF(OR(C1016="",E1016="",F1016=""),"✖ Portal, User ID and Password are all needed",IF(AND(A1016="",COUNTIF(Clients!$B$5:$B$1005,B1016)=0),"Not on Clients — will match a portal client by name",IF(AND(C1016="GST",D1016&lt;&gt;"",COUNTIF(Clients!$AZ$5:$AZ$1005,UPPER(D1016))=0,COUNTIF(Clients!$G$5:$G$1005,"*"&amp;UPPER(D1016)&amp;"*")=0),"GSTIN not on Clients — will be checked in the portal","✔ OK")))))</f>
        <v/>
      </c>
    </row>
    <row r="1017">
      <c r="A1017" s="40" t="n"/>
      <c r="B1017" s="41" t="n"/>
      <c r="C1017" s="41" t="n"/>
      <c r="D1017" s="40" t="n"/>
      <c r="E1017" s="40" t="n"/>
      <c r="F1017" s="40" t="n"/>
      <c r="G1017" s="39">
        <f>IF(COUNTA(A1017:F1017)=0,"",IF(A1017="EXAMPLE","Example (skipped)",IF(OR(C1017="",E1017="",F1017=""),"✖ Portal, User ID and Password are all needed",IF(AND(A1017="",COUNTIF(Clients!$B$5:$B$1005,B1017)=0),"Not on Clients — will match a portal client by name",IF(AND(C1017="GST",D1017&lt;&gt;"",COUNTIF(Clients!$AZ$5:$AZ$1005,UPPER(D1017))=0,COUNTIF(Clients!$G$5:$G$1005,"*"&amp;UPPER(D1017)&amp;"*")=0),"GSTIN not on Clients — will be checked in the portal","✔ OK")))))</f>
        <v/>
      </c>
    </row>
    <row r="1018">
      <c r="A1018" s="40" t="n"/>
      <c r="B1018" s="41" t="n"/>
      <c r="C1018" s="41" t="n"/>
      <c r="D1018" s="40" t="n"/>
      <c r="E1018" s="40" t="n"/>
      <c r="F1018" s="40" t="n"/>
      <c r="G1018" s="39">
        <f>IF(COUNTA(A1018:F1018)=0,"",IF(A1018="EXAMPLE","Example (skipped)",IF(OR(C1018="",E1018="",F1018=""),"✖ Portal, User ID and Password are all needed",IF(AND(A1018="",COUNTIF(Clients!$B$5:$B$1005,B1018)=0),"Not on Clients — will match a portal client by name",IF(AND(C1018="GST",D1018&lt;&gt;"",COUNTIF(Clients!$AZ$5:$AZ$1005,UPPER(D1018))=0,COUNTIF(Clients!$G$5:$G$1005,"*"&amp;UPPER(D1018)&amp;"*")=0),"GSTIN not on Clients — will be checked in the portal","✔ OK")))))</f>
        <v/>
      </c>
    </row>
    <row r="1019">
      <c r="A1019" s="40" t="n"/>
      <c r="B1019" s="41" t="n"/>
      <c r="C1019" s="41" t="n"/>
      <c r="D1019" s="40" t="n"/>
      <c r="E1019" s="40" t="n"/>
      <c r="F1019" s="40" t="n"/>
      <c r="G1019" s="39">
        <f>IF(COUNTA(A1019:F1019)=0,"",IF(A1019="EXAMPLE","Example (skipped)",IF(OR(C1019="",E1019="",F1019=""),"✖ Portal, User ID and Password are all needed",IF(AND(A1019="",COUNTIF(Clients!$B$5:$B$1005,B1019)=0),"Not on Clients — will match a portal client by name",IF(AND(C1019="GST",D1019&lt;&gt;"",COUNTIF(Clients!$AZ$5:$AZ$1005,UPPER(D1019))=0,COUNTIF(Clients!$G$5:$G$1005,"*"&amp;UPPER(D1019)&amp;"*")=0),"GSTIN not on Clients — will be checked in the portal","✔ OK")))))</f>
        <v/>
      </c>
    </row>
    <row r="1020">
      <c r="A1020" s="40" t="n"/>
      <c r="B1020" s="41" t="n"/>
      <c r="C1020" s="41" t="n"/>
      <c r="D1020" s="40" t="n"/>
      <c r="E1020" s="40" t="n"/>
      <c r="F1020" s="40" t="n"/>
      <c r="G1020" s="39">
        <f>IF(COUNTA(A1020:F1020)=0,"",IF(A1020="EXAMPLE","Example (skipped)",IF(OR(C1020="",E1020="",F1020=""),"✖ Portal, User ID and Password are all needed",IF(AND(A1020="",COUNTIF(Clients!$B$5:$B$1005,B1020)=0),"Not on Clients — will match a portal client by name",IF(AND(C1020="GST",D1020&lt;&gt;"",COUNTIF(Clients!$AZ$5:$AZ$1005,UPPER(D1020))=0,COUNTIF(Clients!$G$5:$G$1005,"*"&amp;UPPER(D1020)&amp;"*")=0),"GSTIN not on Clients — will be checked in the portal","✔ OK")))))</f>
        <v/>
      </c>
    </row>
    <row r="1021">
      <c r="A1021" s="40" t="n"/>
      <c r="B1021" s="41" t="n"/>
      <c r="C1021" s="41" t="n"/>
      <c r="D1021" s="40" t="n"/>
      <c r="E1021" s="40" t="n"/>
      <c r="F1021" s="40" t="n"/>
      <c r="G1021" s="39">
        <f>IF(COUNTA(A1021:F1021)=0,"",IF(A1021="EXAMPLE","Example (skipped)",IF(OR(C1021="",E1021="",F1021=""),"✖ Portal, User ID and Password are all needed",IF(AND(A1021="",COUNTIF(Clients!$B$5:$B$1005,B1021)=0),"Not on Clients — will match a portal client by name",IF(AND(C1021="GST",D1021&lt;&gt;"",COUNTIF(Clients!$AZ$5:$AZ$1005,UPPER(D1021))=0,COUNTIF(Clients!$G$5:$G$1005,"*"&amp;UPPER(D1021)&amp;"*")=0),"GSTIN not on Clients — will be checked in the portal","✔ OK")))))</f>
        <v/>
      </c>
    </row>
    <row r="1022">
      <c r="A1022" s="40" t="n"/>
      <c r="B1022" s="41" t="n"/>
      <c r="C1022" s="41" t="n"/>
      <c r="D1022" s="40" t="n"/>
      <c r="E1022" s="40" t="n"/>
      <c r="F1022" s="40" t="n"/>
      <c r="G1022" s="39">
        <f>IF(COUNTA(A1022:F1022)=0,"",IF(A1022="EXAMPLE","Example (skipped)",IF(OR(C1022="",E1022="",F1022=""),"✖ Portal, User ID and Password are all needed",IF(AND(A1022="",COUNTIF(Clients!$B$5:$B$1005,B1022)=0),"Not on Clients — will match a portal client by name",IF(AND(C1022="GST",D1022&lt;&gt;"",COUNTIF(Clients!$AZ$5:$AZ$1005,UPPER(D1022))=0,COUNTIF(Clients!$G$5:$G$1005,"*"&amp;UPPER(D1022)&amp;"*")=0),"GSTIN not on Clients — will be checked in the portal","✔ OK")))))</f>
        <v/>
      </c>
    </row>
    <row r="1023">
      <c r="A1023" s="40" t="n"/>
      <c r="B1023" s="41" t="n"/>
      <c r="C1023" s="41" t="n"/>
      <c r="D1023" s="40" t="n"/>
      <c r="E1023" s="40" t="n"/>
      <c r="F1023" s="40" t="n"/>
      <c r="G1023" s="39">
        <f>IF(COUNTA(A1023:F1023)=0,"",IF(A1023="EXAMPLE","Example (skipped)",IF(OR(C1023="",E1023="",F1023=""),"✖ Portal, User ID and Password are all needed",IF(AND(A1023="",COUNTIF(Clients!$B$5:$B$1005,B1023)=0),"Not on Clients — will match a portal client by name",IF(AND(C1023="GST",D1023&lt;&gt;"",COUNTIF(Clients!$AZ$5:$AZ$1005,UPPER(D1023))=0,COUNTIF(Clients!$G$5:$G$1005,"*"&amp;UPPER(D1023)&amp;"*")=0),"GSTIN not on Clients — will be checked in the portal","✔ OK")))))</f>
        <v/>
      </c>
    </row>
    <row r="1024">
      <c r="A1024" s="40" t="n"/>
      <c r="B1024" s="41" t="n"/>
      <c r="C1024" s="41" t="n"/>
      <c r="D1024" s="40" t="n"/>
      <c r="E1024" s="40" t="n"/>
      <c r="F1024" s="40" t="n"/>
      <c r="G1024" s="39">
        <f>IF(COUNTA(A1024:F1024)=0,"",IF(A1024="EXAMPLE","Example (skipped)",IF(OR(C1024="",E1024="",F1024=""),"✖ Portal, User ID and Password are all needed",IF(AND(A1024="",COUNTIF(Clients!$B$5:$B$1005,B1024)=0),"Not on Clients — will match a portal client by name",IF(AND(C1024="GST",D1024&lt;&gt;"",COUNTIF(Clients!$AZ$5:$AZ$1005,UPPER(D1024))=0,COUNTIF(Clients!$G$5:$G$1005,"*"&amp;UPPER(D1024)&amp;"*")=0),"GSTIN not on Clients — will be checked in the portal","✔ OK")))))</f>
        <v/>
      </c>
    </row>
    <row r="1025">
      <c r="A1025" s="40" t="n"/>
      <c r="B1025" s="41" t="n"/>
      <c r="C1025" s="41" t="n"/>
      <c r="D1025" s="40" t="n"/>
      <c r="E1025" s="40" t="n"/>
      <c r="F1025" s="40" t="n"/>
      <c r="G1025" s="39">
        <f>IF(COUNTA(A1025:F1025)=0,"",IF(A1025="EXAMPLE","Example (skipped)",IF(OR(C1025="",E1025="",F1025=""),"✖ Portal, User ID and Password are all needed",IF(AND(A1025="",COUNTIF(Clients!$B$5:$B$1005,B1025)=0),"Not on Clients — will match a portal client by name",IF(AND(C1025="GST",D1025&lt;&gt;"",COUNTIF(Clients!$AZ$5:$AZ$1005,UPPER(D1025))=0,COUNTIF(Clients!$G$5:$G$1005,"*"&amp;UPPER(D1025)&amp;"*")=0),"GSTIN not on Clients — will be checked in the portal","✔ OK")))))</f>
        <v/>
      </c>
    </row>
    <row r="1026">
      <c r="A1026" s="40" t="n"/>
      <c r="B1026" s="41" t="n"/>
      <c r="C1026" s="41" t="n"/>
      <c r="D1026" s="40" t="n"/>
      <c r="E1026" s="40" t="n"/>
      <c r="F1026" s="40" t="n"/>
      <c r="G1026" s="39">
        <f>IF(COUNTA(A1026:F1026)=0,"",IF(A1026="EXAMPLE","Example (skipped)",IF(OR(C1026="",E1026="",F1026=""),"✖ Portal, User ID and Password are all needed",IF(AND(A1026="",COUNTIF(Clients!$B$5:$B$1005,B1026)=0),"Not on Clients — will match a portal client by name",IF(AND(C1026="GST",D1026&lt;&gt;"",COUNTIF(Clients!$AZ$5:$AZ$1005,UPPER(D1026))=0,COUNTIF(Clients!$G$5:$G$1005,"*"&amp;UPPER(D1026)&amp;"*")=0),"GSTIN not on Clients — will be checked in the portal","✔ OK")))))</f>
        <v/>
      </c>
    </row>
    <row r="1027">
      <c r="A1027" s="40" t="n"/>
      <c r="B1027" s="41" t="n"/>
      <c r="C1027" s="41" t="n"/>
      <c r="D1027" s="40" t="n"/>
      <c r="E1027" s="40" t="n"/>
      <c r="F1027" s="40" t="n"/>
      <c r="G1027" s="39">
        <f>IF(COUNTA(A1027:F1027)=0,"",IF(A1027="EXAMPLE","Example (skipped)",IF(OR(C1027="",E1027="",F1027=""),"✖ Portal, User ID and Password are all needed",IF(AND(A1027="",COUNTIF(Clients!$B$5:$B$1005,B1027)=0),"Not on Clients — will match a portal client by name",IF(AND(C1027="GST",D1027&lt;&gt;"",COUNTIF(Clients!$AZ$5:$AZ$1005,UPPER(D1027))=0,COUNTIF(Clients!$G$5:$G$1005,"*"&amp;UPPER(D1027)&amp;"*")=0),"GSTIN not on Clients — will be checked in the portal","✔ OK")))))</f>
        <v/>
      </c>
    </row>
    <row r="1028">
      <c r="A1028" s="40" t="n"/>
      <c r="B1028" s="41" t="n"/>
      <c r="C1028" s="41" t="n"/>
      <c r="D1028" s="40" t="n"/>
      <c r="E1028" s="40" t="n"/>
      <c r="F1028" s="40" t="n"/>
      <c r="G1028" s="39">
        <f>IF(COUNTA(A1028:F1028)=0,"",IF(A1028="EXAMPLE","Example (skipped)",IF(OR(C1028="",E1028="",F1028=""),"✖ Portal, User ID and Password are all needed",IF(AND(A1028="",COUNTIF(Clients!$B$5:$B$1005,B1028)=0),"Not on Clients — will match a portal client by name",IF(AND(C1028="GST",D1028&lt;&gt;"",COUNTIF(Clients!$AZ$5:$AZ$1005,UPPER(D1028))=0,COUNTIF(Clients!$G$5:$G$1005,"*"&amp;UPPER(D1028)&amp;"*")=0),"GSTIN not on Clients — will be checked in the portal","✔ OK")))))</f>
        <v/>
      </c>
    </row>
    <row r="1029">
      <c r="A1029" s="40" t="n"/>
      <c r="B1029" s="41" t="n"/>
      <c r="C1029" s="41" t="n"/>
      <c r="D1029" s="40" t="n"/>
      <c r="E1029" s="40" t="n"/>
      <c r="F1029" s="40" t="n"/>
      <c r="G1029" s="39">
        <f>IF(COUNTA(A1029:F1029)=0,"",IF(A1029="EXAMPLE","Example (skipped)",IF(OR(C1029="",E1029="",F1029=""),"✖ Portal, User ID and Password are all needed",IF(AND(A1029="",COUNTIF(Clients!$B$5:$B$1005,B1029)=0),"Not on Clients — will match a portal client by name",IF(AND(C1029="GST",D1029&lt;&gt;"",COUNTIF(Clients!$AZ$5:$AZ$1005,UPPER(D1029))=0,COUNTIF(Clients!$G$5:$G$1005,"*"&amp;UPPER(D1029)&amp;"*")=0),"GSTIN not on Clients — will be checked in the portal","✔ OK")))))</f>
        <v/>
      </c>
    </row>
    <row r="1030">
      <c r="A1030" s="40" t="n"/>
      <c r="B1030" s="41" t="n"/>
      <c r="C1030" s="41" t="n"/>
      <c r="D1030" s="40" t="n"/>
      <c r="E1030" s="40" t="n"/>
      <c r="F1030" s="40" t="n"/>
      <c r="G1030" s="39">
        <f>IF(COUNTA(A1030:F1030)=0,"",IF(A1030="EXAMPLE","Example (skipped)",IF(OR(C1030="",E1030="",F1030=""),"✖ Portal, User ID and Password are all needed",IF(AND(A1030="",COUNTIF(Clients!$B$5:$B$1005,B1030)=0),"Not on Clients — will match a portal client by name",IF(AND(C1030="GST",D1030&lt;&gt;"",COUNTIF(Clients!$AZ$5:$AZ$1005,UPPER(D1030))=0,COUNTIF(Clients!$G$5:$G$1005,"*"&amp;UPPER(D1030)&amp;"*")=0),"GSTIN not on Clients — will be checked in the portal","✔ OK")))))</f>
        <v/>
      </c>
    </row>
    <row r="1031">
      <c r="A1031" s="40" t="n"/>
      <c r="B1031" s="41" t="n"/>
      <c r="C1031" s="41" t="n"/>
      <c r="D1031" s="40" t="n"/>
      <c r="E1031" s="40" t="n"/>
      <c r="F1031" s="40" t="n"/>
      <c r="G1031" s="39">
        <f>IF(COUNTA(A1031:F1031)=0,"",IF(A1031="EXAMPLE","Example (skipped)",IF(OR(C1031="",E1031="",F1031=""),"✖ Portal, User ID and Password are all needed",IF(AND(A1031="",COUNTIF(Clients!$B$5:$B$1005,B1031)=0),"Not on Clients — will match a portal client by name",IF(AND(C1031="GST",D1031&lt;&gt;"",COUNTIF(Clients!$AZ$5:$AZ$1005,UPPER(D1031))=0,COUNTIF(Clients!$G$5:$G$1005,"*"&amp;UPPER(D1031)&amp;"*")=0),"GSTIN not on Clients — will be checked in the portal","✔ OK")))))</f>
        <v/>
      </c>
    </row>
    <row r="1032">
      <c r="A1032" s="40" t="n"/>
      <c r="B1032" s="41" t="n"/>
      <c r="C1032" s="41" t="n"/>
      <c r="D1032" s="40" t="n"/>
      <c r="E1032" s="40" t="n"/>
      <c r="F1032" s="40" t="n"/>
      <c r="G1032" s="39">
        <f>IF(COUNTA(A1032:F1032)=0,"",IF(A1032="EXAMPLE","Example (skipped)",IF(OR(C1032="",E1032="",F1032=""),"✖ Portal, User ID and Password are all needed",IF(AND(A1032="",COUNTIF(Clients!$B$5:$B$1005,B1032)=0),"Not on Clients — will match a portal client by name",IF(AND(C1032="GST",D1032&lt;&gt;"",COUNTIF(Clients!$AZ$5:$AZ$1005,UPPER(D1032))=0,COUNTIF(Clients!$G$5:$G$1005,"*"&amp;UPPER(D1032)&amp;"*")=0),"GSTIN not on Clients — will be checked in the portal","✔ OK")))))</f>
        <v/>
      </c>
    </row>
    <row r="1033">
      <c r="A1033" s="40" t="n"/>
      <c r="B1033" s="41" t="n"/>
      <c r="C1033" s="41" t="n"/>
      <c r="D1033" s="40" t="n"/>
      <c r="E1033" s="40" t="n"/>
      <c r="F1033" s="40" t="n"/>
      <c r="G1033" s="39">
        <f>IF(COUNTA(A1033:F1033)=0,"",IF(A1033="EXAMPLE","Example (skipped)",IF(OR(C1033="",E1033="",F1033=""),"✖ Portal, User ID and Password are all needed",IF(AND(A1033="",COUNTIF(Clients!$B$5:$B$1005,B1033)=0),"Not on Clients — will match a portal client by name",IF(AND(C1033="GST",D1033&lt;&gt;"",COUNTIF(Clients!$AZ$5:$AZ$1005,UPPER(D1033))=0,COUNTIF(Clients!$G$5:$G$1005,"*"&amp;UPPER(D1033)&amp;"*")=0),"GSTIN not on Clients — will be checked in the portal","✔ OK")))))</f>
        <v/>
      </c>
    </row>
    <row r="1034">
      <c r="A1034" s="40" t="n"/>
      <c r="B1034" s="41" t="n"/>
      <c r="C1034" s="41" t="n"/>
      <c r="D1034" s="40" t="n"/>
      <c r="E1034" s="40" t="n"/>
      <c r="F1034" s="40" t="n"/>
      <c r="G1034" s="39">
        <f>IF(COUNTA(A1034:F1034)=0,"",IF(A1034="EXAMPLE","Example (skipped)",IF(OR(C1034="",E1034="",F1034=""),"✖ Portal, User ID and Password are all needed",IF(AND(A1034="",COUNTIF(Clients!$B$5:$B$1005,B1034)=0),"Not on Clients — will match a portal client by name",IF(AND(C1034="GST",D1034&lt;&gt;"",COUNTIF(Clients!$AZ$5:$AZ$1005,UPPER(D1034))=0,COUNTIF(Clients!$G$5:$G$1005,"*"&amp;UPPER(D1034)&amp;"*")=0),"GSTIN not on Clients — will be checked in the portal","✔ OK")))))</f>
        <v/>
      </c>
    </row>
    <row r="1035">
      <c r="A1035" s="40" t="n"/>
      <c r="B1035" s="41" t="n"/>
      <c r="C1035" s="41" t="n"/>
      <c r="D1035" s="40" t="n"/>
      <c r="E1035" s="40" t="n"/>
      <c r="F1035" s="40" t="n"/>
      <c r="G1035" s="39">
        <f>IF(COUNTA(A1035:F1035)=0,"",IF(A1035="EXAMPLE","Example (skipped)",IF(OR(C1035="",E1035="",F1035=""),"✖ Portal, User ID and Password are all needed",IF(AND(A1035="",COUNTIF(Clients!$B$5:$B$1005,B1035)=0),"Not on Clients — will match a portal client by name",IF(AND(C1035="GST",D1035&lt;&gt;"",COUNTIF(Clients!$AZ$5:$AZ$1005,UPPER(D1035))=0,COUNTIF(Clients!$G$5:$G$1005,"*"&amp;UPPER(D1035)&amp;"*")=0),"GSTIN not on Clients — will be checked in the portal","✔ OK")))))</f>
        <v/>
      </c>
    </row>
    <row r="1036">
      <c r="A1036" s="40" t="n"/>
      <c r="B1036" s="41" t="n"/>
      <c r="C1036" s="41" t="n"/>
      <c r="D1036" s="40" t="n"/>
      <c r="E1036" s="40" t="n"/>
      <c r="F1036" s="40" t="n"/>
      <c r="G1036" s="39">
        <f>IF(COUNTA(A1036:F1036)=0,"",IF(A1036="EXAMPLE","Example (skipped)",IF(OR(C1036="",E1036="",F1036=""),"✖ Portal, User ID and Password are all needed",IF(AND(A1036="",COUNTIF(Clients!$B$5:$B$1005,B1036)=0),"Not on Clients — will match a portal client by name",IF(AND(C1036="GST",D1036&lt;&gt;"",COUNTIF(Clients!$AZ$5:$AZ$1005,UPPER(D1036))=0,COUNTIF(Clients!$G$5:$G$1005,"*"&amp;UPPER(D1036)&amp;"*")=0),"GSTIN not on Clients — will be checked in the portal","✔ OK")))))</f>
        <v/>
      </c>
    </row>
    <row r="1037">
      <c r="A1037" s="40" t="n"/>
      <c r="B1037" s="41" t="n"/>
      <c r="C1037" s="41" t="n"/>
      <c r="D1037" s="40" t="n"/>
      <c r="E1037" s="40" t="n"/>
      <c r="F1037" s="40" t="n"/>
      <c r="G1037" s="39">
        <f>IF(COUNTA(A1037:F1037)=0,"",IF(A1037="EXAMPLE","Example (skipped)",IF(OR(C1037="",E1037="",F1037=""),"✖ Portal, User ID and Password are all needed",IF(AND(A1037="",COUNTIF(Clients!$B$5:$B$1005,B1037)=0),"Not on Clients — will match a portal client by name",IF(AND(C1037="GST",D1037&lt;&gt;"",COUNTIF(Clients!$AZ$5:$AZ$1005,UPPER(D1037))=0,COUNTIF(Clients!$G$5:$G$1005,"*"&amp;UPPER(D1037)&amp;"*")=0),"GSTIN not on Clients — will be checked in the portal","✔ OK")))))</f>
        <v/>
      </c>
    </row>
    <row r="1038">
      <c r="A1038" s="40" t="n"/>
      <c r="B1038" s="41" t="n"/>
      <c r="C1038" s="41" t="n"/>
      <c r="D1038" s="40" t="n"/>
      <c r="E1038" s="40" t="n"/>
      <c r="F1038" s="40" t="n"/>
      <c r="G1038" s="39">
        <f>IF(COUNTA(A1038:F1038)=0,"",IF(A1038="EXAMPLE","Example (skipped)",IF(OR(C1038="",E1038="",F1038=""),"✖ Portal, User ID and Password are all needed",IF(AND(A1038="",COUNTIF(Clients!$B$5:$B$1005,B1038)=0),"Not on Clients — will match a portal client by name",IF(AND(C1038="GST",D1038&lt;&gt;"",COUNTIF(Clients!$AZ$5:$AZ$1005,UPPER(D1038))=0,COUNTIF(Clients!$G$5:$G$1005,"*"&amp;UPPER(D1038)&amp;"*")=0),"GSTIN not on Clients — will be checked in the portal","✔ OK")))))</f>
        <v/>
      </c>
    </row>
    <row r="1039">
      <c r="A1039" s="40" t="n"/>
      <c r="B1039" s="41" t="n"/>
      <c r="C1039" s="41" t="n"/>
      <c r="D1039" s="40" t="n"/>
      <c r="E1039" s="40" t="n"/>
      <c r="F1039" s="40" t="n"/>
      <c r="G1039" s="39">
        <f>IF(COUNTA(A1039:F1039)=0,"",IF(A1039="EXAMPLE","Example (skipped)",IF(OR(C1039="",E1039="",F1039=""),"✖ Portal, User ID and Password are all needed",IF(AND(A1039="",COUNTIF(Clients!$B$5:$B$1005,B1039)=0),"Not on Clients — will match a portal client by name",IF(AND(C1039="GST",D1039&lt;&gt;"",COUNTIF(Clients!$AZ$5:$AZ$1005,UPPER(D1039))=0,COUNTIF(Clients!$G$5:$G$1005,"*"&amp;UPPER(D1039)&amp;"*")=0),"GSTIN not on Clients — will be checked in the portal","✔ OK")))))</f>
        <v/>
      </c>
    </row>
    <row r="1040">
      <c r="A1040" s="40" t="n"/>
      <c r="B1040" s="41" t="n"/>
      <c r="C1040" s="41" t="n"/>
      <c r="D1040" s="40" t="n"/>
      <c r="E1040" s="40" t="n"/>
      <c r="F1040" s="40" t="n"/>
      <c r="G1040" s="39">
        <f>IF(COUNTA(A1040:F1040)=0,"",IF(A1040="EXAMPLE","Example (skipped)",IF(OR(C1040="",E1040="",F1040=""),"✖ Portal, User ID and Password are all needed",IF(AND(A1040="",COUNTIF(Clients!$B$5:$B$1005,B1040)=0),"Not on Clients — will match a portal client by name",IF(AND(C1040="GST",D1040&lt;&gt;"",COUNTIF(Clients!$AZ$5:$AZ$1005,UPPER(D1040))=0,COUNTIF(Clients!$G$5:$G$1005,"*"&amp;UPPER(D1040)&amp;"*")=0),"GSTIN not on Clients — will be checked in the portal","✔ OK")))))</f>
        <v/>
      </c>
    </row>
    <row r="1041">
      <c r="A1041" s="40" t="n"/>
      <c r="B1041" s="41" t="n"/>
      <c r="C1041" s="41" t="n"/>
      <c r="D1041" s="40" t="n"/>
      <c r="E1041" s="40" t="n"/>
      <c r="F1041" s="40" t="n"/>
      <c r="G1041" s="39">
        <f>IF(COUNTA(A1041:F1041)=0,"",IF(A1041="EXAMPLE","Example (skipped)",IF(OR(C1041="",E1041="",F1041=""),"✖ Portal, User ID and Password are all needed",IF(AND(A1041="",COUNTIF(Clients!$B$5:$B$1005,B1041)=0),"Not on Clients — will match a portal client by name",IF(AND(C1041="GST",D1041&lt;&gt;"",COUNTIF(Clients!$AZ$5:$AZ$1005,UPPER(D1041))=0,COUNTIF(Clients!$G$5:$G$1005,"*"&amp;UPPER(D1041)&amp;"*")=0),"GSTIN not on Clients — will be checked in the portal","✔ OK")))))</f>
        <v/>
      </c>
    </row>
    <row r="1042">
      <c r="A1042" s="40" t="n"/>
      <c r="B1042" s="41" t="n"/>
      <c r="C1042" s="41" t="n"/>
      <c r="D1042" s="40" t="n"/>
      <c r="E1042" s="40" t="n"/>
      <c r="F1042" s="40" t="n"/>
      <c r="G1042" s="39">
        <f>IF(COUNTA(A1042:F1042)=0,"",IF(A1042="EXAMPLE","Example (skipped)",IF(OR(C1042="",E1042="",F1042=""),"✖ Portal, User ID and Password are all needed",IF(AND(A1042="",COUNTIF(Clients!$B$5:$B$1005,B1042)=0),"Not on Clients — will match a portal client by name",IF(AND(C1042="GST",D1042&lt;&gt;"",COUNTIF(Clients!$AZ$5:$AZ$1005,UPPER(D1042))=0,COUNTIF(Clients!$G$5:$G$1005,"*"&amp;UPPER(D1042)&amp;"*")=0),"GSTIN not on Clients — will be checked in the portal","✔ OK")))))</f>
        <v/>
      </c>
    </row>
    <row r="1043">
      <c r="A1043" s="40" t="n"/>
      <c r="B1043" s="41" t="n"/>
      <c r="C1043" s="41" t="n"/>
      <c r="D1043" s="40" t="n"/>
      <c r="E1043" s="40" t="n"/>
      <c r="F1043" s="40" t="n"/>
      <c r="G1043" s="39">
        <f>IF(COUNTA(A1043:F1043)=0,"",IF(A1043="EXAMPLE","Example (skipped)",IF(OR(C1043="",E1043="",F1043=""),"✖ Portal, User ID and Password are all needed",IF(AND(A1043="",COUNTIF(Clients!$B$5:$B$1005,B1043)=0),"Not on Clients — will match a portal client by name",IF(AND(C1043="GST",D1043&lt;&gt;"",COUNTIF(Clients!$AZ$5:$AZ$1005,UPPER(D1043))=0,COUNTIF(Clients!$G$5:$G$1005,"*"&amp;UPPER(D1043)&amp;"*")=0),"GSTIN not on Clients — will be checked in the portal","✔ OK")))))</f>
        <v/>
      </c>
    </row>
    <row r="1044">
      <c r="A1044" s="40" t="n"/>
      <c r="B1044" s="41" t="n"/>
      <c r="C1044" s="41" t="n"/>
      <c r="D1044" s="40" t="n"/>
      <c r="E1044" s="40" t="n"/>
      <c r="F1044" s="40" t="n"/>
      <c r="G1044" s="39">
        <f>IF(COUNTA(A1044:F1044)=0,"",IF(A1044="EXAMPLE","Example (skipped)",IF(OR(C1044="",E1044="",F1044=""),"✖ Portal, User ID and Password are all needed",IF(AND(A1044="",COUNTIF(Clients!$B$5:$B$1005,B1044)=0),"Not on Clients — will match a portal client by name",IF(AND(C1044="GST",D1044&lt;&gt;"",COUNTIF(Clients!$AZ$5:$AZ$1005,UPPER(D1044))=0,COUNTIF(Clients!$G$5:$G$1005,"*"&amp;UPPER(D1044)&amp;"*")=0),"GSTIN not on Clients — will be checked in the portal","✔ OK")))))</f>
        <v/>
      </c>
    </row>
    <row r="1045">
      <c r="A1045" s="40" t="n"/>
      <c r="B1045" s="41" t="n"/>
      <c r="C1045" s="41" t="n"/>
      <c r="D1045" s="40" t="n"/>
      <c r="E1045" s="40" t="n"/>
      <c r="F1045" s="40" t="n"/>
      <c r="G1045" s="39">
        <f>IF(COUNTA(A1045:F1045)=0,"",IF(A1045="EXAMPLE","Example (skipped)",IF(OR(C1045="",E1045="",F1045=""),"✖ Portal, User ID and Password are all needed",IF(AND(A1045="",COUNTIF(Clients!$B$5:$B$1005,B1045)=0),"Not on Clients — will match a portal client by name",IF(AND(C1045="GST",D1045&lt;&gt;"",COUNTIF(Clients!$AZ$5:$AZ$1005,UPPER(D1045))=0,COUNTIF(Clients!$G$5:$G$1005,"*"&amp;UPPER(D1045)&amp;"*")=0),"GSTIN not on Clients — will be checked in the portal","✔ OK")))))</f>
        <v/>
      </c>
    </row>
    <row r="1046">
      <c r="A1046" s="40" t="n"/>
      <c r="B1046" s="41" t="n"/>
      <c r="C1046" s="41" t="n"/>
      <c r="D1046" s="40" t="n"/>
      <c r="E1046" s="40" t="n"/>
      <c r="F1046" s="40" t="n"/>
      <c r="G1046" s="39">
        <f>IF(COUNTA(A1046:F1046)=0,"",IF(A1046="EXAMPLE","Example (skipped)",IF(OR(C1046="",E1046="",F1046=""),"✖ Portal, User ID and Password are all needed",IF(AND(A1046="",COUNTIF(Clients!$B$5:$B$1005,B1046)=0),"Not on Clients — will match a portal client by name",IF(AND(C1046="GST",D1046&lt;&gt;"",COUNTIF(Clients!$AZ$5:$AZ$1005,UPPER(D1046))=0,COUNTIF(Clients!$G$5:$G$1005,"*"&amp;UPPER(D1046)&amp;"*")=0),"GSTIN not on Clients — will be checked in the portal","✔ OK")))))</f>
        <v/>
      </c>
    </row>
    <row r="1047">
      <c r="A1047" s="40" t="n"/>
      <c r="B1047" s="41" t="n"/>
      <c r="C1047" s="41" t="n"/>
      <c r="D1047" s="40" t="n"/>
      <c r="E1047" s="40" t="n"/>
      <c r="F1047" s="40" t="n"/>
      <c r="G1047" s="39">
        <f>IF(COUNTA(A1047:F1047)=0,"",IF(A1047="EXAMPLE","Example (skipped)",IF(OR(C1047="",E1047="",F1047=""),"✖ Portal, User ID and Password are all needed",IF(AND(A1047="",COUNTIF(Clients!$B$5:$B$1005,B1047)=0),"Not on Clients — will match a portal client by name",IF(AND(C1047="GST",D1047&lt;&gt;"",COUNTIF(Clients!$AZ$5:$AZ$1005,UPPER(D1047))=0,COUNTIF(Clients!$G$5:$G$1005,"*"&amp;UPPER(D1047)&amp;"*")=0),"GSTIN not on Clients — will be checked in the portal","✔ OK")))))</f>
        <v/>
      </c>
    </row>
    <row r="1048">
      <c r="A1048" s="40" t="n"/>
      <c r="B1048" s="41" t="n"/>
      <c r="C1048" s="41" t="n"/>
      <c r="D1048" s="40" t="n"/>
      <c r="E1048" s="40" t="n"/>
      <c r="F1048" s="40" t="n"/>
      <c r="G1048" s="39">
        <f>IF(COUNTA(A1048:F1048)=0,"",IF(A1048="EXAMPLE","Example (skipped)",IF(OR(C1048="",E1048="",F1048=""),"✖ Portal, User ID and Password are all needed",IF(AND(A1048="",COUNTIF(Clients!$B$5:$B$1005,B1048)=0),"Not on Clients — will match a portal client by name",IF(AND(C1048="GST",D1048&lt;&gt;"",COUNTIF(Clients!$AZ$5:$AZ$1005,UPPER(D1048))=0,COUNTIF(Clients!$G$5:$G$1005,"*"&amp;UPPER(D1048)&amp;"*")=0),"GSTIN not on Clients — will be checked in the portal","✔ OK")))))</f>
        <v/>
      </c>
    </row>
    <row r="1049">
      <c r="A1049" s="40" t="n"/>
      <c r="B1049" s="41" t="n"/>
      <c r="C1049" s="41" t="n"/>
      <c r="D1049" s="40" t="n"/>
      <c r="E1049" s="40" t="n"/>
      <c r="F1049" s="40" t="n"/>
      <c r="G1049" s="39">
        <f>IF(COUNTA(A1049:F1049)=0,"",IF(A1049="EXAMPLE","Example (skipped)",IF(OR(C1049="",E1049="",F1049=""),"✖ Portal, User ID and Password are all needed",IF(AND(A1049="",COUNTIF(Clients!$B$5:$B$1005,B1049)=0),"Not on Clients — will match a portal client by name",IF(AND(C1049="GST",D1049&lt;&gt;"",COUNTIF(Clients!$AZ$5:$AZ$1005,UPPER(D1049))=0,COUNTIF(Clients!$G$5:$G$1005,"*"&amp;UPPER(D1049)&amp;"*")=0),"GSTIN not on Clients — will be checked in the portal","✔ OK")))))</f>
        <v/>
      </c>
    </row>
    <row r="1050">
      <c r="A1050" s="40" t="n"/>
      <c r="B1050" s="41" t="n"/>
      <c r="C1050" s="41" t="n"/>
      <c r="D1050" s="40" t="n"/>
      <c r="E1050" s="40" t="n"/>
      <c r="F1050" s="40" t="n"/>
      <c r="G1050" s="39">
        <f>IF(COUNTA(A1050:F1050)=0,"",IF(A1050="EXAMPLE","Example (skipped)",IF(OR(C1050="",E1050="",F1050=""),"✖ Portal, User ID and Password are all needed",IF(AND(A1050="",COUNTIF(Clients!$B$5:$B$1005,B1050)=0),"Not on Clients — will match a portal client by name",IF(AND(C1050="GST",D1050&lt;&gt;"",COUNTIF(Clients!$AZ$5:$AZ$1005,UPPER(D1050))=0,COUNTIF(Clients!$G$5:$G$1005,"*"&amp;UPPER(D1050)&amp;"*")=0),"GSTIN not on Clients — will be checked in the portal","✔ OK")))))</f>
        <v/>
      </c>
    </row>
    <row r="1051">
      <c r="A1051" s="40" t="n"/>
      <c r="B1051" s="41" t="n"/>
      <c r="C1051" s="41" t="n"/>
      <c r="D1051" s="40" t="n"/>
      <c r="E1051" s="40" t="n"/>
      <c r="F1051" s="40" t="n"/>
      <c r="G1051" s="39">
        <f>IF(COUNTA(A1051:F1051)=0,"",IF(A1051="EXAMPLE","Example (skipped)",IF(OR(C1051="",E1051="",F1051=""),"✖ Portal, User ID and Password are all needed",IF(AND(A1051="",COUNTIF(Clients!$B$5:$B$1005,B1051)=0),"Not on Clients — will match a portal client by name",IF(AND(C1051="GST",D1051&lt;&gt;"",COUNTIF(Clients!$AZ$5:$AZ$1005,UPPER(D1051))=0,COUNTIF(Clients!$G$5:$G$1005,"*"&amp;UPPER(D1051)&amp;"*")=0),"GSTIN not on Clients — will be checked in the portal","✔ OK")))))</f>
        <v/>
      </c>
    </row>
    <row r="1052">
      <c r="A1052" s="40" t="n"/>
      <c r="B1052" s="41" t="n"/>
      <c r="C1052" s="41" t="n"/>
      <c r="D1052" s="40" t="n"/>
      <c r="E1052" s="40" t="n"/>
      <c r="F1052" s="40" t="n"/>
      <c r="G1052" s="39">
        <f>IF(COUNTA(A1052:F1052)=0,"",IF(A1052="EXAMPLE","Example (skipped)",IF(OR(C1052="",E1052="",F1052=""),"✖ Portal, User ID and Password are all needed",IF(AND(A1052="",COUNTIF(Clients!$B$5:$B$1005,B1052)=0),"Not on Clients — will match a portal client by name",IF(AND(C1052="GST",D1052&lt;&gt;"",COUNTIF(Clients!$AZ$5:$AZ$1005,UPPER(D1052))=0,COUNTIF(Clients!$G$5:$G$1005,"*"&amp;UPPER(D1052)&amp;"*")=0),"GSTIN not on Clients — will be checked in the portal","✔ OK")))))</f>
        <v/>
      </c>
    </row>
    <row r="1053">
      <c r="A1053" s="40" t="n"/>
      <c r="B1053" s="41" t="n"/>
      <c r="C1053" s="41" t="n"/>
      <c r="D1053" s="40" t="n"/>
      <c r="E1053" s="40" t="n"/>
      <c r="F1053" s="40" t="n"/>
      <c r="G1053" s="39">
        <f>IF(COUNTA(A1053:F1053)=0,"",IF(A1053="EXAMPLE","Example (skipped)",IF(OR(C1053="",E1053="",F1053=""),"✖ Portal, User ID and Password are all needed",IF(AND(A1053="",COUNTIF(Clients!$B$5:$B$1005,B1053)=0),"Not on Clients — will match a portal client by name",IF(AND(C1053="GST",D1053&lt;&gt;"",COUNTIF(Clients!$AZ$5:$AZ$1005,UPPER(D1053))=0,COUNTIF(Clients!$G$5:$G$1005,"*"&amp;UPPER(D1053)&amp;"*")=0),"GSTIN not on Clients — will be checked in the portal","✔ OK")))))</f>
        <v/>
      </c>
    </row>
    <row r="1054">
      <c r="A1054" s="40" t="n"/>
      <c r="B1054" s="41" t="n"/>
      <c r="C1054" s="41" t="n"/>
      <c r="D1054" s="40" t="n"/>
      <c r="E1054" s="40" t="n"/>
      <c r="F1054" s="40" t="n"/>
      <c r="G1054" s="39">
        <f>IF(COUNTA(A1054:F1054)=0,"",IF(A1054="EXAMPLE","Example (skipped)",IF(OR(C1054="",E1054="",F1054=""),"✖ Portal, User ID and Password are all needed",IF(AND(A1054="",COUNTIF(Clients!$B$5:$B$1005,B1054)=0),"Not on Clients — will match a portal client by name",IF(AND(C1054="GST",D1054&lt;&gt;"",COUNTIF(Clients!$AZ$5:$AZ$1005,UPPER(D1054))=0,COUNTIF(Clients!$G$5:$G$1005,"*"&amp;UPPER(D1054)&amp;"*")=0),"GSTIN not on Clients — will be checked in the portal","✔ OK")))))</f>
        <v/>
      </c>
    </row>
    <row r="1055">
      <c r="A1055" s="40" t="n"/>
      <c r="B1055" s="41" t="n"/>
      <c r="C1055" s="41" t="n"/>
      <c r="D1055" s="40" t="n"/>
      <c r="E1055" s="40" t="n"/>
      <c r="F1055" s="40" t="n"/>
      <c r="G1055" s="39">
        <f>IF(COUNTA(A1055:F1055)=0,"",IF(A1055="EXAMPLE","Example (skipped)",IF(OR(C1055="",E1055="",F1055=""),"✖ Portal, User ID and Password are all needed",IF(AND(A1055="",COUNTIF(Clients!$B$5:$B$1005,B1055)=0),"Not on Clients — will match a portal client by name",IF(AND(C1055="GST",D1055&lt;&gt;"",COUNTIF(Clients!$AZ$5:$AZ$1005,UPPER(D1055))=0,COUNTIF(Clients!$G$5:$G$1005,"*"&amp;UPPER(D1055)&amp;"*")=0),"GSTIN not on Clients — will be checked in the portal","✔ OK")))))</f>
        <v/>
      </c>
    </row>
    <row r="1056">
      <c r="A1056" s="40" t="n"/>
      <c r="B1056" s="41" t="n"/>
      <c r="C1056" s="41" t="n"/>
      <c r="D1056" s="40" t="n"/>
      <c r="E1056" s="40" t="n"/>
      <c r="F1056" s="40" t="n"/>
      <c r="G1056" s="39">
        <f>IF(COUNTA(A1056:F1056)=0,"",IF(A1056="EXAMPLE","Example (skipped)",IF(OR(C1056="",E1056="",F1056=""),"✖ Portal, User ID and Password are all needed",IF(AND(A1056="",COUNTIF(Clients!$B$5:$B$1005,B1056)=0),"Not on Clients — will match a portal client by name",IF(AND(C1056="GST",D1056&lt;&gt;"",COUNTIF(Clients!$AZ$5:$AZ$1005,UPPER(D1056))=0,COUNTIF(Clients!$G$5:$G$1005,"*"&amp;UPPER(D1056)&amp;"*")=0),"GSTIN not on Clients — will be checked in the portal","✔ OK")))))</f>
        <v/>
      </c>
    </row>
    <row r="1057">
      <c r="A1057" s="40" t="n"/>
      <c r="B1057" s="41" t="n"/>
      <c r="C1057" s="41" t="n"/>
      <c r="D1057" s="40" t="n"/>
      <c r="E1057" s="40" t="n"/>
      <c r="F1057" s="40" t="n"/>
      <c r="G1057" s="39">
        <f>IF(COUNTA(A1057:F1057)=0,"",IF(A1057="EXAMPLE","Example (skipped)",IF(OR(C1057="",E1057="",F1057=""),"✖ Portal, User ID and Password are all needed",IF(AND(A1057="",COUNTIF(Clients!$B$5:$B$1005,B1057)=0),"Not on Clients — will match a portal client by name",IF(AND(C1057="GST",D1057&lt;&gt;"",COUNTIF(Clients!$AZ$5:$AZ$1005,UPPER(D1057))=0,COUNTIF(Clients!$G$5:$G$1005,"*"&amp;UPPER(D1057)&amp;"*")=0),"GSTIN not on Clients — will be checked in the portal","✔ OK")))))</f>
        <v/>
      </c>
    </row>
    <row r="1058">
      <c r="A1058" s="40" t="n"/>
      <c r="B1058" s="41" t="n"/>
      <c r="C1058" s="41" t="n"/>
      <c r="D1058" s="40" t="n"/>
      <c r="E1058" s="40" t="n"/>
      <c r="F1058" s="40" t="n"/>
      <c r="G1058" s="39">
        <f>IF(COUNTA(A1058:F1058)=0,"",IF(A1058="EXAMPLE","Example (skipped)",IF(OR(C1058="",E1058="",F1058=""),"✖ Portal, User ID and Password are all needed",IF(AND(A1058="",COUNTIF(Clients!$B$5:$B$1005,B1058)=0),"Not on Clients — will match a portal client by name",IF(AND(C1058="GST",D1058&lt;&gt;"",COUNTIF(Clients!$AZ$5:$AZ$1005,UPPER(D1058))=0,COUNTIF(Clients!$G$5:$G$1005,"*"&amp;UPPER(D1058)&amp;"*")=0),"GSTIN not on Clients — will be checked in the portal","✔ OK")))))</f>
        <v/>
      </c>
    </row>
    <row r="1059">
      <c r="A1059" s="40" t="n"/>
      <c r="B1059" s="41" t="n"/>
      <c r="C1059" s="41" t="n"/>
      <c r="D1059" s="40" t="n"/>
      <c r="E1059" s="40" t="n"/>
      <c r="F1059" s="40" t="n"/>
      <c r="G1059" s="39">
        <f>IF(COUNTA(A1059:F1059)=0,"",IF(A1059="EXAMPLE","Example (skipped)",IF(OR(C1059="",E1059="",F1059=""),"✖ Portal, User ID and Password are all needed",IF(AND(A1059="",COUNTIF(Clients!$B$5:$B$1005,B1059)=0),"Not on Clients — will match a portal client by name",IF(AND(C1059="GST",D1059&lt;&gt;"",COUNTIF(Clients!$AZ$5:$AZ$1005,UPPER(D1059))=0,COUNTIF(Clients!$G$5:$G$1005,"*"&amp;UPPER(D1059)&amp;"*")=0),"GSTIN not on Clients — will be checked in the portal","✔ OK")))))</f>
        <v/>
      </c>
    </row>
    <row r="1060">
      <c r="A1060" s="40" t="n"/>
      <c r="B1060" s="41" t="n"/>
      <c r="C1060" s="41" t="n"/>
      <c r="D1060" s="40" t="n"/>
      <c r="E1060" s="40" t="n"/>
      <c r="F1060" s="40" t="n"/>
      <c r="G1060" s="39">
        <f>IF(COUNTA(A1060:F1060)=0,"",IF(A1060="EXAMPLE","Example (skipped)",IF(OR(C1060="",E1060="",F1060=""),"✖ Portal, User ID and Password are all needed",IF(AND(A1060="",COUNTIF(Clients!$B$5:$B$1005,B1060)=0),"Not on Clients — will match a portal client by name",IF(AND(C1060="GST",D1060&lt;&gt;"",COUNTIF(Clients!$AZ$5:$AZ$1005,UPPER(D1060))=0,COUNTIF(Clients!$G$5:$G$1005,"*"&amp;UPPER(D1060)&amp;"*")=0),"GSTIN not on Clients — will be checked in the portal","✔ OK")))))</f>
        <v/>
      </c>
    </row>
    <row r="1061">
      <c r="A1061" s="40" t="n"/>
      <c r="B1061" s="41" t="n"/>
      <c r="C1061" s="41" t="n"/>
      <c r="D1061" s="40" t="n"/>
      <c r="E1061" s="40" t="n"/>
      <c r="F1061" s="40" t="n"/>
      <c r="G1061" s="39">
        <f>IF(COUNTA(A1061:F1061)=0,"",IF(A1061="EXAMPLE","Example (skipped)",IF(OR(C1061="",E1061="",F1061=""),"✖ Portal, User ID and Password are all needed",IF(AND(A1061="",COUNTIF(Clients!$B$5:$B$1005,B1061)=0),"Not on Clients — will match a portal client by name",IF(AND(C1061="GST",D1061&lt;&gt;"",COUNTIF(Clients!$AZ$5:$AZ$1005,UPPER(D1061))=0,COUNTIF(Clients!$G$5:$G$1005,"*"&amp;UPPER(D1061)&amp;"*")=0),"GSTIN not on Clients — will be checked in the portal","✔ OK")))))</f>
        <v/>
      </c>
    </row>
    <row r="1062">
      <c r="A1062" s="40" t="n"/>
      <c r="B1062" s="41" t="n"/>
      <c r="C1062" s="41" t="n"/>
      <c r="D1062" s="40" t="n"/>
      <c r="E1062" s="40" t="n"/>
      <c r="F1062" s="40" t="n"/>
      <c r="G1062" s="39">
        <f>IF(COUNTA(A1062:F1062)=0,"",IF(A1062="EXAMPLE","Example (skipped)",IF(OR(C1062="",E1062="",F1062=""),"✖ Portal, User ID and Password are all needed",IF(AND(A1062="",COUNTIF(Clients!$B$5:$B$1005,B1062)=0),"Not on Clients — will match a portal client by name",IF(AND(C1062="GST",D1062&lt;&gt;"",COUNTIF(Clients!$AZ$5:$AZ$1005,UPPER(D1062))=0,COUNTIF(Clients!$G$5:$G$1005,"*"&amp;UPPER(D1062)&amp;"*")=0),"GSTIN not on Clients — will be checked in the portal","✔ OK")))))</f>
        <v/>
      </c>
    </row>
    <row r="1063">
      <c r="A1063" s="40" t="n"/>
      <c r="B1063" s="41" t="n"/>
      <c r="C1063" s="41" t="n"/>
      <c r="D1063" s="40" t="n"/>
      <c r="E1063" s="40" t="n"/>
      <c r="F1063" s="40" t="n"/>
      <c r="G1063" s="39">
        <f>IF(COUNTA(A1063:F1063)=0,"",IF(A1063="EXAMPLE","Example (skipped)",IF(OR(C1063="",E1063="",F1063=""),"✖ Portal, User ID and Password are all needed",IF(AND(A1063="",COUNTIF(Clients!$B$5:$B$1005,B1063)=0),"Not on Clients — will match a portal client by name",IF(AND(C1063="GST",D1063&lt;&gt;"",COUNTIF(Clients!$AZ$5:$AZ$1005,UPPER(D1063))=0,COUNTIF(Clients!$G$5:$G$1005,"*"&amp;UPPER(D1063)&amp;"*")=0),"GSTIN not on Clients — will be checked in the portal","✔ OK")))))</f>
        <v/>
      </c>
    </row>
    <row r="1064">
      <c r="A1064" s="40" t="n"/>
      <c r="B1064" s="41" t="n"/>
      <c r="C1064" s="41" t="n"/>
      <c r="D1064" s="40" t="n"/>
      <c r="E1064" s="40" t="n"/>
      <c r="F1064" s="40" t="n"/>
      <c r="G1064" s="39">
        <f>IF(COUNTA(A1064:F1064)=0,"",IF(A1064="EXAMPLE","Example (skipped)",IF(OR(C1064="",E1064="",F1064=""),"✖ Portal, User ID and Password are all needed",IF(AND(A1064="",COUNTIF(Clients!$B$5:$B$1005,B1064)=0),"Not on Clients — will match a portal client by name",IF(AND(C1064="GST",D1064&lt;&gt;"",COUNTIF(Clients!$AZ$5:$AZ$1005,UPPER(D1064))=0,COUNTIF(Clients!$G$5:$G$1005,"*"&amp;UPPER(D1064)&amp;"*")=0),"GSTIN not on Clients — will be checked in the portal","✔ OK")))))</f>
        <v/>
      </c>
    </row>
    <row r="1065">
      <c r="A1065" s="40" t="n"/>
      <c r="B1065" s="41" t="n"/>
      <c r="C1065" s="41" t="n"/>
      <c r="D1065" s="40" t="n"/>
      <c r="E1065" s="40" t="n"/>
      <c r="F1065" s="40" t="n"/>
      <c r="G1065" s="39">
        <f>IF(COUNTA(A1065:F1065)=0,"",IF(A1065="EXAMPLE","Example (skipped)",IF(OR(C1065="",E1065="",F1065=""),"✖ Portal, User ID and Password are all needed",IF(AND(A1065="",COUNTIF(Clients!$B$5:$B$1005,B1065)=0),"Not on Clients — will match a portal client by name",IF(AND(C1065="GST",D1065&lt;&gt;"",COUNTIF(Clients!$AZ$5:$AZ$1005,UPPER(D1065))=0,COUNTIF(Clients!$G$5:$G$1005,"*"&amp;UPPER(D1065)&amp;"*")=0),"GSTIN not on Clients — will be checked in the portal","✔ OK")))))</f>
        <v/>
      </c>
    </row>
    <row r="1066">
      <c r="A1066" s="40" t="n"/>
      <c r="B1066" s="41" t="n"/>
      <c r="C1066" s="41" t="n"/>
      <c r="D1066" s="40" t="n"/>
      <c r="E1066" s="40" t="n"/>
      <c r="F1066" s="40" t="n"/>
      <c r="G1066" s="39">
        <f>IF(COUNTA(A1066:F1066)=0,"",IF(A1066="EXAMPLE","Example (skipped)",IF(OR(C1066="",E1066="",F1066=""),"✖ Portal, User ID and Password are all needed",IF(AND(A1066="",COUNTIF(Clients!$B$5:$B$1005,B1066)=0),"Not on Clients — will match a portal client by name",IF(AND(C1066="GST",D1066&lt;&gt;"",COUNTIF(Clients!$AZ$5:$AZ$1005,UPPER(D1066))=0,COUNTIF(Clients!$G$5:$G$1005,"*"&amp;UPPER(D1066)&amp;"*")=0),"GSTIN not on Clients — will be checked in the portal","✔ OK")))))</f>
        <v/>
      </c>
    </row>
    <row r="1067">
      <c r="A1067" s="40" t="n"/>
      <c r="B1067" s="41" t="n"/>
      <c r="C1067" s="41" t="n"/>
      <c r="D1067" s="40" t="n"/>
      <c r="E1067" s="40" t="n"/>
      <c r="F1067" s="40" t="n"/>
      <c r="G1067" s="39">
        <f>IF(COUNTA(A1067:F1067)=0,"",IF(A1067="EXAMPLE","Example (skipped)",IF(OR(C1067="",E1067="",F1067=""),"✖ Portal, User ID and Password are all needed",IF(AND(A1067="",COUNTIF(Clients!$B$5:$B$1005,B1067)=0),"Not on Clients — will match a portal client by name",IF(AND(C1067="GST",D1067&lt;&gt;"",COUNTIF(Clients!$AZ$5:$AZ$1005,UPPER(D1067))=0,COUNTIF(Clients!$G$5:$G$1005,"*"&amp;UPPER(D1067)&amp;"*")=0),"GSTIN not on Clients — will be checked in the portal","✔ OK")))))</f>
        <v/>
      </c>
    </row>
    <row r="1068">
      <c r="A1068" s="40" t="n"/>
      <c r="B1068" s="41" t="n"/>
      <c r="C1068" s="41" t="n"/>
      <c r="D1068" s="40" t="n"/>
      <c r="E1068" s="40" t="n"/>
      <c r="F1068" s="40" t="n"/>
      <c r="G1068" s="39">
        <f>IF(COUNTA(A1068:F1068)=0,"",IF(A1068="EXAMPLE","Example (skipped)",IF(OR(C1068="",E1068="",F1068=""),"✖ Portal, User ID and Password are all needed",IF(AND(A1068="",COUNTIF(Clients!$B$5:$B$1005,B1068)=0),"Not on Clients — will match a portal client by name",IF(AND(C1068="GST",D1068&lt;&gt;"",COUNTIF(Clients!$AZ$5:$AZ$1005,UPPER(D1068))=0,COUNTIF(Clients!$G$5:$G$1005,"*"&amp;UPPER(D1068)&amp;"*")=0),"GSTIN not on Clients — will be checked in the portal","✔ OK")))))</f>
        <v/>
      </c>
    </row>
    <row r="1069">
      <c r="A1069" s="40" t="n"/>
      <c r="B1069" s="41" t="n"/>
      <c r="C1069" s="41" t="n"/>
      <c r="D1069" s="40" t="n"/>
      <c r="E1069" s="40" t="n"/>
      <c r="F1069" s="40" t="n"/>
      <c r="G1069" s="39">
        <f>IF(COUNTA(A1069:F1069)=0,"",IF(A1069="EXAMPLE","Example (skipped)",IF(OR(C1069="",E1069="",F1069=""),"✖ Portal, User ID and Password are all needed",IF(AND(A1069="",COUNTIF(Clients!$B$5:$B$1005,B1069)=0),"Not on Clients — will match a portal client by name",IF(AND(C1069="GST",D1069&lt;&gt;"",COUNTIF(Clients!$AZ$5:$AZ$1005,UPPER(D1069))=0,COUNTIF(Clients!$G$5:$G$1005,"*"&amp;UPPER(D1069)&amp;"*")=0),"GSTIN not on Clients — will be checked in the portal","✔ OK")))))</f>
        <v/>
      </c>
    </row>
    <row r="1070">
      <c r="A1070" s="40" t="n"/>
      <c r="B1070" s="41" t="n"/>
      <c r="C1070" s="41" t="n"/>
      <c r="D1070" s="40" t="n"/>
      <c r="E1070" s="40" t="n"/>
      <c r="F1070" s="40" t="n"/>
      <c r="G1070" s="39">
        <f>IF(COUNTA(A1070:F1070)=0,"",IF(A1070="EXAMPLE","Example (skipped)",IF(OR(C1070="",E1070="",F1070=""),"✖ Portal, User ID and Password are all needed",IF(AND(A1070="",COUNTIF(Clients!$B$5:$B$1005,B1070)=0),"Not on Clients — will match a portal client by name",IF(AND(C1070="GST",D1070&lt;&gt;"",COUNTIF(Clients!$AZ$5:$AZ$1005,UPPER(D1070))=0,COUNTIF(Clients!$G$5:$G$1005,"*"&amp;UPPER(D1070)&amp;"*")=0),"GSTIN not on Clients — will be checked in the portal","✔ OK")))))</f>
        <v/>
      </c>
    </row>
    <row r="1071">
      <c r="A1071" s="40" t="n"/>
      <c r="B1071" s="41" t="n"/>
      <c r="C1071" s="41" t="n"/>
      <c r="D1071" s="40" t="n"/>
      <c r="E1071" s="40" t="n"/>
      <c r="F1071" s="40" t="n"/>
      <c r="G1071" s="39">
        <f>IF(COUNTA(A1071:F1071)=0,"",IF(A1071="EXAMPLE","Example (skipped)",IF(OR(C1071="",E1071="",F1071=""),"✖ Portal, User ID and Password are all needed",IF(AND(A1071="",COUNTIF(Clients!$B$5:$B$1005,B1071)=0),"Not on Clients — will match a portal client by name",IF(AND(C1071="GST",D1071&lt;&gt;"",COUNTIF(Clients!$AZ$5:$AZ$1005,UPPER(D1071))=0,COUNTIF(Clients!$G$5:$G$1005,"*"&amp;UPPER(D1071)&amp;"*")=0),"GSTIN not on Clients — will be checked in the portal","✔ OK")))))</f>
        <v/>
      </c>
    </row>
    <row r="1072">
      <c r="A1072" s="40" t="n"/>
      <c r="B1072" s="41" t="n"/>
      <c r="C1072" s="41" t="n"/>
      <c r="D1072" s="40" t="n"/>
      <c r="E1072" s="40" t="n"/>
      <c r="F1072" s="40" t="n"/>
      <c r="G1072" s="39">
        <f>IF(COUNTA(A1072:F1072)=0,"",IF(A1072="EXAMPLE","Example (skipped)",IF(OR(C1072="",E1072="",F1072=""),"✖ Portal, User ID and Password are all needed",IF(AND(A1072="",COUNTIF(Clients!$B$5:$B$1005,B1072)=0),"Not on Clients — will match a portal client by name",IF(AND(C1072="GST",D1072&lt;&gt;"",COUNTIF(Clients!$AZ$5:$AZ$1005,UPPER(D1072))=0,COUNTIF(Clients!$G$5:$G$1005,"*"&amp;UPPER(D1072)&amp;"*")=0),"GSTIN not on Clients — will be checked in the portal","✔ OK")))))</f>
        <v/>
      </c>
    </row>
    <row r="1073">
      <c r="A1073" s="40" t="n"/>
      <c r="B1073" s="41" t="n"/>
      <c r="C1073" s="41" t="n"/>
      <c r="D1073" s="40" t="n"/>
      <c r="E1073" s="40" t="n"/>
      <c r="F1073" s="40" t="n"/>
      <c r="G1073" s="39">
        <f>IF(COUNTA(A1073:F1073)=0,"",IF(A1073="EXAMPLE","Example (skipped)",IF(OR(C1073="",E1073="",F1073=""),"✖ Portal, User ID and Password are all needed",IF(AND(A1073="",COUNTIF(Clients!$B$5:$B$1005,B1073)=0),"Not on Clients — will match a portal client by name",IF(AND(C1073="GST",D1073&lt;&gt;"",COUNTIF(Clients!$AZ$5:$AZ$1005,UPPER(D1073))=0,COUNTIF(Clients!$G$5:$G$1005,"*"&amp;UPPER(D1073)&amp;"*")=0),"GSTIN not on Clients — will be checked in the portal","✔ OK")))))</f>
        <v/>
      </c>
    </row>
    <row r="1074">
      <c r="A1074" s="40" t="n"/>
      <c r="B1074" s="41" t="n"/>
      <c r="C1074" s="41" t="n"/>
      <c r="D1074" s="40" t="n"/>
      <c r="E1074" s="40" t="n"/>
      <c r="F1074" s="40" t="n"/>
      <c r="G1074" s="39">
        <f>IF(COUNTA(A1074:F1074)=0,"",IF(A1074="EXAMPLE","Example (skipped)",IF(OR(C1074="",E1074="",F1074=""),"✖ Portal, User ID and Password are all needed",IF(AND(A1074="",COUNTIF(Clients!$B$5:$B$1005,B1074)=0),"Not on Clients — will match a portal client by name",IF(AND(C1074="GST",D1074&lt;&gt;"",COUNTIF(Clients!$AZ$5:$AZ$1005,UPPER(D1074))=0,COUNTIF(Clients!$G$5:$G$1005,"*"&amp;UPPER(D1074)&amp;"*")=0),"GSTIN not on Clients — will be checked in the portal","✔ OK")))))</f>
        <v/>
      </c>
    </row>
    <row r="1075">
      <c r="A1075" s="40" t="n"/>
      <c r="B1075" s="41" t="n"/>
      <c r="C1075" s="41" t="n"/>
      <c r="D1075" s="40" t="n"/>
      <c r="E1075" s="40" t="n"/>
      <c r="F1075" s="40" t="n"/>
      <c r="G1075" s="39">
        <f>IF(COUNTA(A1075:F1075)=0,"",IF(A1075="EXAMPLE","Example (skipped)",IF(OR(C1075="",E1075="",F1075=""),"✖ Portal, User ID and Password are all needed",IF(AND(A1075="",COUNTIF(Clients!$B$5:$B$1005,B1075)=0),"Not on Clients — will match a portal client by name",IF(AND(C1075="GST",D1075&lt;&gt;"",COUNTIF(Clients!$AZ$5:$AZ$1005,UPPER(D1075))=0,COUNTIF(Clients!$G$5:$G$1005,"*"&amp;UPPER(D1075)&amp;"*")=0),"GSTIN not on Clients — will be checked in the portal","✔ OK")))))</f>
        <v/>
      </c>
    </row>
    <row r="1076">
      <c r="A1076" s="40" t="n"/>
      <c r="B1076" s="41" t="n"/>
      <c r="C1076" s="41" t="n"/>
      <c r="D1076" s="40" t="n"/>
      <c r="E1076" s="40" t="n"/>
      <c r="F1076" s="40" t="n"/>
      <c r="G1076" s="39">
        <f>IF(COUNTA(A1076:F1076)=0,"",IF(A1076="EXAMPLE","Example (skipped)",IF(OR(C1076="",E1076="",F1076=""),"✖ Portal, User ID and Password are all needed",IF(AND(A1076="",COUNTIF(Clients!$B$5:$B$1005,B1076)=0),"Not on Clients — will match a portal client by name",IF(AND(C1076="GST",D1076&lt;&gt;"",COUNTIF(Clients!$AZ$5:$AZ$1005,UPPER(D1076))=0,COUNTIF(Clients!$G$5:$G$1005,"*"&amp;UPPER(D1076)&amp;"*")=0),"GSTIN not on Clients — will be checked in the portal","✔ OK")))))</f>
        <v/>
      </c>
    </row>
    <row r="1077">
      <c r="A1077" s="40" t="n"/>
      <c r="B1077" s="41" t="n"/>
      <c r="C1077" s="41" t="n"/>
      <c r="D1077" s="40" t="n"/>
      <c r="E1077" s="40" t="n"/>
      <c r="F1077" s="40" t="n"/>
      <c r="G1077" s="39">
        <f>IF(COUNTA(A1077:F1077)=0,"",IF(A1077="EXAMPLE","Example (skipped)",IF(OR(C1077="",E1077="",F1077=""),"✖ Portal, User ID and Password are all needed",IF(AND(A1077="",COUNTIF(Clients!$B$5:$B$1005,B1077)=0),"Not on Clients — will match a portal client by name",IF(AND(C1077="GST",D1077&lt;&gt;"",COUNTIF(Clients!$AZ$5:$AZ$1005,UPPER(D1077))=0,COUNTIF(Clients!$G$5:$G$1005,"*"&amp;UPPER(D1077)&amp;"*")=0),"GSTIN not on Clients — will be checked in the portal","✔ OK")))))</f>
        <v/>
      </c>
    </row>
    <row r="1078">
      <c r="A1078" s="40" t="n"/>
      <c r="B1078" s="41" t="n"/>
      <c r="C1078" s="41" t="n"/>
      <c r="D1078" s="40" t="n"/>
      <c r="E1078" s="40" t="n"/>
      <c r="F1078" s="40" t="n"/>
      <c r="G1078" s="39">
        <f>IF(COUNTA(A1078:F1078)=0,"",IF(A1078="EXAMPLE","Example (skipped)",IF(OR(C1078="",E1078="",F1078=""),"✖ Portal, User ID and Password are all needed",IF(AND(A1078="",COUNTIF(Clients!$B$5:$B$1005,B1078)=0),"Not on Clients — will match a portal client by name",IF(AND(C1078="GST",D1078&lt;&gt;"",COUNTIF(Clients!$AZ$5:$AZ$1005,UPPER(D1078))=0,COUNTIF(Clients!$G$5:$G$1005,"*"&amp;UPPER(D1078)&amp;"*")=0),"GSTIN not on Clients — will be checked in the portal","✔ OK")))))</f>
        <v/>
      </c>
    </row>
    <row r="1079">
      <c r="A1079" s="40" t="n"/>
      <c r="B1079" s="41" t="n"/>
      <c r="C1079" s="41" t="n"/>
      <c r="D1079" s="40" t="n"/>
      <c r="E1079" s="40" t="n"/>
      <c r="F1079" s="40" t="n"/>
      <c r="G1079" s="39">
        <f>IF(COUNTA(A1079:F1079)=0,"",IF(A1079="EXAMPLE","Example (skipped)",IF(OR(C1079="",E1079="",F1079=""),"✖ Portal, User ID and Password are all needed",IF(AND(A1079="",COUNTIF(Clients!$B$5:$B$1005,B1079)=0),"Not on Clients — will match a portal client by name",IF(AND(C1079="GST",D1079&lt;&gt;"",COUNTIF(Clients!$AZ$5:$AZ$1005,UPPER(D1079))=0,COUNTIF(Clients!$G$5:$G$1005,"*"&amp;UPPER(D1079)&amp;"*")=0),"GSTIN not on Clients — will be checked in the portal","✔ OK")))))</f>
        <v/>
      </c>
    </row>
    <row r="1080">
      <c r="A1080" s="40" t="n"/>
      <c r="B1080" s="41" t="n"/>
      <c r="C1080" s="41" t="n"/>
      <c r="D1080" s="40" t="n"/>
      <c r="E1080" s="40" t="n"/>
      <c r="F1080" s="40" t="n"/>
      <c r="G1080" s="39">
        <f>IF(COUNTA(A1080:F1080)=0,"",IF(A1080="EXAMPLE","Example (skipped)",IF(OR(C1080="",E1080="",F1080=""),"✖ Portal, User ID and Password are all needed",IF(AND(A1080="",COUNTIF(Clients!$B$5:$B$1005,B1080)=0),"Not on Clients — will match a portal client by name",IF(AND(C1080="GST",D1080&lt;&gt;"",COUNTIF(Clients!$AZ$5:$AZ$1005,UPPER(D1080))=0,COUNTIF(Clients!$G$5:$G$1005,"*"&amp;UPPER(D1080)&amp;"*")=0),"GSTIN not on Clients — will be checked in the portal","✔ OK")))))</f>
        <v/>
      </c>
    </row>
    <row r="1081">
      <c r="A1081" s="40" t="n"/>
      <c r="B1081" s="41" t="n"/>
      <c r="C1081" s="41" t="n"/>
      <c r="D1081" s="40" t="n"/>
      <c r="E1081" s="40" t="n"/>
      <c r="F1081" s="40" t="n"/>
      <c r="G1081" s="39">
        <f>IF(COUNTA(A1081:F1081)=0,"",IF(A1081="EXAMPLE","Example (skipped)",IF(OR(C1081="",E1081="",F1081=""),"✖ Portal, User ID and Password are all needed",IF(AND(A1081="",COUNTIF(Clients!$B$5:$B$1005,B1081)=0),"Not on Clients — will match a portal client by name",IF(AND(C1081="GST",D1081&lt;&gt;"",COUNTIF(Clients!$AZ$5:$AZ$1005,UPPER(D1081))=0,COUNTIF(Clients!$G$5:$G$1005,"*"&amp;UPPER(D1081)&amp;"*")=0),"GSTIN not on Clients — will be checked in the portal","✔ OK")))))</f>
        <v/>
      </c>
    </row>
    <row r="1082">
      <c r="A1082" s="40" t="n"/>
      <c r="B1082" s="41" t="n"/>
      <c r="C1082" s="41" t="n"/>
      <c r="D1082" s="40" t="n"/>
      <c r="E1082" s="40" t="n"/>
      <c r="F1082" s="40" t="n"/>
      <c r="G1082" s="39">
        <f>IF(COUNTA(A1082:F1082)=0,"",IF(A1082="EXAMPLE","Example (skipped)",IF(OR(C1082="",E1082="",F1082=""),"✖ Portal, User ID and Password are all needed",IF(AND(A1082="",COUNTIF(Clients!$B$5:$B$1005,B1082)=0),"Not on Clients — will match a portal client by name",IF(AND(C1082="GST",D1082&lt;&gt;"",COUNTIF(Clients!$AZ$5:$AZ$1005,UPPER(D1082))=0,COUNTIF(Clients!$G$5:$G$1005,"*"&amp;UPPER(D1082)&amp;"*")=0),"GSTIN not on Clients — will be checked in the portal","✔ OK")))))</f>
        <v/>
      </c>
    </row>
    <row r="1083">
      <c r="A1083" s="40" t="n"/>
      <c r="B1083" s="41" t="n"/>
      <c r="C1083" s="41" t="n"/>
      <c r="D1083" s="40" t="n"/>
      <c r="E1083" s="40" t="n"/>
      <c r="F1083" s="40" t="n"/>
      <c r="G1083" s="39">
        <f>IF(COUNTA(A1083:F1083)=0,"",IF(A1083="EXAMPLE","Example (skipped)",IF(OR(C1083="",E1083="",F1083=""),"✖ Portal, User ID and Password are all needed",IF(AND(A1083="",COUNTIF(Clients!$B$5:$B$1005,B1083)=0),"Not on Clients — will match a portal client by name",IF(AND(C1083="GST",D1083&lt;&gt;"",COUNTIF(Clients!$AZ$5:$AZ$1005,UPPER(D1083))=0,COUNTIF(Clients!$G$5:$G$1005,"*"&amp;UPPER(D1083)&amp;"*")=0),"GSTIN not on Clients — will be checked in the portal","✔ OK")))))</f>
        <v/>
      </c>
    </row>
    <row r="1084">
      <c r="A1084" s="40" t="n"/>
      <c r="B1084" s="41" t="n"/>
      <c r="C1084" s="41" t="n"/>
      <c r="D1084" s="40" t="n"/>
      <c r="E1084" s="40" t="n"/>
      <c r="F1084" s="40" t="n"/>
      <c r="G1084" s="39">
        <f>IF(COUNTA(A1084:F1084)=0,"",IF(A1084="EXAMPLE","Example (skipped)",IF(OR(C1084="",E1084="",F1084=""),"✖ Portal, User ID and Password are all needed",IF(AND(A1084="",COUNTIF(Clients!$B$5:$B$1005,B1084)=0),"Not on Clients — will match a portal client by name",IF(AND(C1084="GST",D1084&lt;&gt;"",COUNTIF(Clients!$AZ$5:$AZ$1005,UPPER(D1084))=0,COUNTIF(Clients!$G$5:$G$1005,"*"&amp;UPPER(D1084)&amp;"*")=0),"GSTIN not on Clients — will be checked in the portal","✔ OK")))))</f>
        <v/>
      </c>
    </row>
    <row r="1085">
      <c r="A1085" s="40" t="n"/>
      <c r="B1085" s="41" t="n"/>
      <c r="C1085" s="41" t="n"/>
      <c r="D1085" s="40" t="n"/>
      <c r="E1085" s="40" t="n"/>
      <c r="F1085" s="40" t="n"/>
      <c r="G1085" s="39">
        <f>IF(COUNTA(A1085:F1085)=0,"",IF(A1085="EXAMPLE","Example (skipped)",IF(OR(C1085="",E1085="",F1085=""),"✖ Portal, User ID and Password are all needed",IF(AND(A1085="",COUNTIF(Clients!$B$5:$B$1005,B1085)=0),"Not on Clients — will match a portal client by name",IF(AND(C1085="GST",D1085&lt;&gt;"",COUNTIF(Clients!$AZ$5:$AZ$1005,UPPER(D1085))=0,COUNTIF(Clients!$G$5:$G$1005,"*"&amp;UPPER(D1085)&amp;"*")=0),"GSTIN not on Clients — will be checked in the portal","✔ OK")))))</f>
        <v/>
      </c>
    </row>
    <row r="1086">
      <c r="A1086" s="40" t="n"/>
      <c r="B1086" s="41" t="n"/>
      <c r="C1086" s="41" t="n"/>
      <c r="D1086" s="40" t="n"/>
      <c r="E1086" s="40" t="n"/>
      <c r="F1086" s="40" t="n"/>
      <c r="G1086" s="39">
        <f>IF(COUNTA(A1086:F1086)=0,"",IF(A1086="EXAMPLE","Example (skipped)",IF(OR(C1086="",E1086="",F1086=""),"✖ Portal, User ID and Password are all needed",IF(AND(A1086="",COUNTIF(Clients!$B$5:$B$1005,B1086)=0),"Not on Clients — will match a portal client by name",IF(AND(C1086="GST",D1086&lt;&gt;"",COUNTIF(Clients!$AZ$5:$AZ$1005,UPPER(D1086))=0,COUNTIF(Clients!$G$5:$G$1005,"*"&amp;UPPER(D1086)&amp;"*")=0),"GSTIN not on Clients — will be checked in the portal","✔ OK")))))</f>
        <v/>
      </c>
    </row>
    <row r="1087">
      <c r="A1087" s="40" t="n"/>
      <c r="B1087" s="41" t="n"/>
      <c r="C1087" s="41" t="n"/>
      <c r="D1087" s="40" t="n"/>
      <c r="E1087" s="40" t="n"/>
      <c r="F1087" s="40" t="n"/>
      <c r="G1087" s="39">
        <f>IF(COUNTA(A1087:F1087)=0,"",IF(A1087="EXAMPLE","Example (skipped)",IF(OR(C1087="",E1087="",F1087=""),"✖ Portal, User ID and Password are all needed",IF(AND(A1087="",COUNTIF(Clients!$B$5:$B$1005,B1087)=0),"Not on Clients — will match a portal client by name",IF(AND(C1087="GST",D1087&lt;&gt;"",COUNTIF(Clients!$AZ$5:$AZ$1005,UPPER(D1087))=0,COUNTIF(Clients!$G$5:$G$1005,"*"&amp;UPPER(D1087)&amp;"*")=0),"GSTIN not on Clients — will be checked in the portal","✔ OK")))))</f>
        <v/>
      </c>
    </row>
    <row r="1088">
      <c r="A1088" s="40" t="n"/>
      <c r="B1088" s="41" t="n"/>
      <c r="C1088" s="41" t="n"/>
      <c r="D1088" s="40" t="n"/>
      <c r="E1088" s="40" t="n"/>
      <c r="F1088" s="40" t="n"/>
      <c r="G1088" s="39">
        <f>IF(COUNTA(A1088:F1088)=0,"",IF(A1088="EXAMPLE","Example (skipped)",IF(OR(C1088="",E1088="",F1088=""),"✖ Portal, User ID and Password are all needed",IF(AND(A1088="",COUNTIF(Clients!$B$5:$B$1005,B1088)=0),"Not on Clients — will match a portal client by name",IF(AND(C1088="GST",D1088&lt;&gt;"",COUNTIF(Clients!$AZ$5:$AZ$1005,UPPER(D1088))=0,COUNTIF(Clients!$G$5:$G$1005,"*"&amp;UPPER(D1088)&amp;"*")=0),"GSTIN not on Clients — will be checked in the portal","✔ OK")))))</f>
        <v/>
      </c>
    </row>
    <row r="1089">
      <c r="A1089" s="40" t="n"/>
      <c r="B1089" s="41" t="n"/>
      <c r="C1089" s="41" t="n"/>
      <c r="D1089" s="40" t="n"/>
      <c r="E1089" s="40" t="n"/>
      <c r="F1089" s="40" t="n"/>
      <c r="G1089" s="39">
        <f>IF(COUNTA(A1089:F1089)=0,"",IF(A1089="EXAMPLE","Example (skipped)",IF(OR(C1089="",E1089="",F1089=""),"✖ Portal, User ID and Password are all needed",IF(AND(A1089="",COUNTIF(Clients!$B$5:$B$1005,B1089)=0),"Not on Clients — will match a portal client by name",IF(AND(C1089="GST",D1089&lt;&gt;"",COUNTIF(Clients!$AZ$5:$AZ$1005,UPPER(D1089))=0,COUNTIF(Clients!$G$5:$G$1005,"*"&amp;UPPER(D1089)&amp;"*")=0),"GSTIN not on Clients — will be checked in the portal","✔ OK")))))</f>
        <v/>
      </c>
    </row>
    <row r="1090">
      <c r="A1090" s="40" t="n"/>
      <c r="B1090" s="41" t="n"/>
      <c r="C1090" s="41" t="n"/>
      <c r="D1090" s="40" t="n"/>
      <c r="E1090" s="40" t="n"/>
      <c r="F1090" s="40" t="n"/>
      <c r="G1090" s="39">
        <f>IF(COUNTA(A1090:F1090)=0,"",IF(A1090="EXAMPLE","Example (skipped)",IF(OR(C1090="",E1090="",F1090=""),"✖ Portal, User ID and Password are all needed",IF(AND(A1090="",COUNTIF(Clients!$B$5:$B$1005,B1090)=0),"Not on Clients — will match a portal client by name",IF(AND(C1090="GST",D1090&lt;&gt;"",COUNTIF(Clients!$AZ$5:$AZ$1005,UPPER(D1090))=0,COUNTIF(Clients!$G$5:$G$1005,"*"&amp;UPPER(D1090)&amp;"*")=0),"GSTIN not on Clients — will be checked in the portal","✔ OK")))))</f>
        <v/>
      </c>
    </row>
    <row r="1091">
      <c r="A1091" s="40" t="n"/>
      <c r="B1091" s="41" t="n"/>
      <c r="C1091" s="41" t="n"/>
      <c r="D1091" s="40" t="n"/>
      <c r="E1091" s="40" t="n"/>
      <c r="F1091" s="40" t="n"/>
      <c r="G1091" s="39">
        <f>IF(COUNTA(A1091:F1091)=0,"",IF(A1091="EXAMPLE","Example (skipped)",IF(OR(C1091="",E1091="",F1091=""),"✖ Portal, User ID and Password are all needed",IF(AND(A1091="",COUNTIF(Clients!$B$5:$B$1005,B1091)=0),"Not on Clients — will match a portal client by name",IF(AND(C1091="GST",D1091&lt;&gt;"",COUNTIF(Clients!$AZ$5:$AZ$1005,UPPER(D1091))=0,COUNTIF(Clients!$G$5:$G$1005,"*"&amp;UPPER(D1091)&amp;"*")=0),"GSTIN not on Clients — will be checked in the portal","✔ OK")))))</f>
        <v/>
      </c>
    </row>
    <row r="1092">
      <c r="A1092" s="40" t="n"/>
      <c r="B1092" s="41" t="n"/>
      <c r="C1092" s="41" t="n"/>
      <c r="D1092" s="40" t="n"/>
      <c r="E1092" s="40" t="n"/>
      <c r="F1092" s="40" t="n"/>
      <c r="G1092" s="39">
        <f>IF(COUNTA(A1092:F1092)=0,"",IF(A1092="EXAMPLE","Example (skipped)",IF(OR(C1092="",E1092="",F1092=""),"✖ Portal, User ID and Password are all needed",IF(AND(A1092="",COUNTIF(Clients!$B$5:$B$1005,B1092)=0),"Not on Clients — will match a portal client by name",IF(AND(C1092="GST",D1092&lt;&gt;"",COUNTIF(Clients!$AZ$5:$AZ$1005,UPPER(D1092))=0,COUNTIF(Clients!$G$5:$G$1005,"*"&amp;UPPER(D1092)&amp;"*")=0),"GSTIN not on Clients — will be checked in the portal","✔ OK")))))</f>
        <v/>
      </c>
    </row>
    <row r="1093">
      <c r="A1093" s="40" t="n"/>
      <c r="B1093" s="41" t="n"/>
      <c r="C1093" s="41" t="n"/>
      <c r="D1093" s="40" t="n"/>
      <c r="E1093" s="40" t="n"/>
      <c r="F1093" s="40" t="n"/>
      <c r="G1093" s="39">
        <f>IF(COUNTA(A1093:F1093)=0,"",IF(A1093="EXAMPLE","Example (skipped)",IF(OR(C1093="",E1093="",F1093=""),"✖ Portal, User ID and Password are all needed",IF(AND(A1093="",COUNTIF(Clients!$B$5:$B$1005,B1093)=0),"Not on Clients — will match a portal client by name",IF(AND(C1093="GST",D1093&lt;&gt;"",COUNTIF(Clients!$AZ$5:$AZ$1005,UPPER(D1093))=0,COUNTIF(Clients!$G$5:$G$1005,"*"&amp;UPPER(D1093)&amp;"*")=0),"GSTIN not on Clients — will be checked in the portal","✔ OK")))))</f>
        <v/>
      </c>
    </row>
    <row r="1094">
      <c r="A1094" s="40" t="n"/>
      <c r="B1094" s="41" t="n"/>
      <c r="C1094" s="41" t="n"/>
      <c r="D1094" s="40" t="n"/>
      <c r="E1094" s="40" t="n"/>
      <c r="F1094" s="40" t="n"/>
      <c r="G1094" s="39">
        <f>IF(COUNTA(A1094:F1094)=0,"",IF(A1094="EXAMPLE","Example (skipped)",IF(OR(C1094="",E1094="",F1094=""),"✖ Portal, User ID and Password are all needed",IF(AND(A1094="",COUNTIF(Clients!$B$5:$B$1005,B1094)=0),"Not on Clients — will match a portal client by name",IF(AND(C1094="GST",D1094&lt;&gt;"",COUNTIF(Clients!$AZ$5:$AZ$1005,UPPER(D1094))=0,COUNTIF(Clients!$G$5:$G$1005,"*"&amp;UPPER(D1094)&amp;"*")=0),"GSTIN not on Clients — will be checked in the portal","✔ OK")))))</f>
        <v/>
      </c>
    </row>
    <row r="1095">
      <c r="A1095" s="40" t="n"/>
      <c r="B1095" s="41" t="n"/>
      <c r="C1095" s="41" t="n"/>
      <c r="D1095" s="40" t="n"/>
      <c r="E1095" s="40" t="n"/>
      <c r="F1095" s="40" t="n"/>
      <c r="G1095" s="39">
        <f>IF(COUNTA(A1095:F1095)=0,"",IF(A1095="EXAMPLE","Example (skipped)",IF(OR(C1095="",E1095="",F1095=""),"✖ Portal, User ID and Password are all needed",IF(AND(A1095="",COUNTIF(Clients!$B$5:$B$1005,B1095)=0),"Not on Clients — will match a portal client by name",IF(AND(C1095="GST",D1095&lt;&gt;"",COUNTIF(Clients!$AZ$5:$AZ$1005,UPPER(D1095))=0,COUNTIF(Clients!$G$5:$G$1005,"*"&amp;UPPER(D1095)&amp;"*")=0),"GSTIN not on Clients — will be checked in the portal","✔ OK")))))</f>
        <v/>
      </c>
    </row>
    <row r="1096">
      <c r="A1096" s="40" t="n"/>
      <c r="B1096" s="41" t="n"/>
      <c r="C1096" s="41" t="n"/>
      <c r="D1096" s="40" t="n"/>
      <c r="E1096" s="40" t="n"/>
      <c r="F1096" s="40" t="n"/>
      <c r="G1096" s="39">
        <f>IF(COUNTA(A1096:F1096)=0,"",IF(A1096="EXAMPLE","Example (skipped)",IF(OR(C1096="",E1096="",F1096=""),"✖ Portal, User ID and Password are all needed",IF(AND(A1096="",COUNTIF(Clients!$B$5:$B$1005,B1096)=0),"Not on Clients — will match a portal client by name",IF(AND(C1096="GST",D1096&lt;&gt;"",COUNTIF(Clients!$AZ$5:$AZ$1005,UPPER(D1096))=0,COUNTIF(Clients!$G$5:$G$1005,"*"&amp;UPPER(D1096)&amp;"*")=0),"GSTIN not on Clients — will be checked in the portal","✔ OK")))))</f>
        <v/>
      </c>
    </row>
    <row r="1097">
      <c r="A1097" s="40" t="n"/>
      <c r="B1097" s="41" t="n"/>
      <c r="C1097" s="41" t="n"/>
      <c r="D1097" s="40" t="n"/>
      <c r="E1097" s="40" t="n"/>
      <c r="F1097" s="40" t="n"/>
      <c r="G1097" s="39">
        <f>IF(COUNTA(A1097:F1097)=0,"",IF(A1097="EXAMPLE","Example (skipped)",IF(OR(C1097="",E1097="",F1097=""),"✖ Portal, User ID and Password are all needed",IF(AND(A1097="",COUNTIF(Clients!$B$5:$B$1005,B1097)=0),"Not on Clients — will match a portal client by name",IF(AND(C1097="GST",D1097&lt;&gt;"",COUNTIF(Clients!$AZ$5:$AZ$1005,UPPER(D1097))=0,COUNTIF(Clients!$G$5:$G$1005,"*"&amp;UPPER(D1097)&amp;"*")=0),"GSTIN not on Clients — will be checked in the portal","✔ OK")))))</f>
        <v/>
      </c>
    </row>
    <row r="1098">
      <c r="A1098" s="40" t="n"/>
      <c r="B1098" s="41" t="n"/>
      <c r="C1098" s="41" t="n"/>
      <c r="D1098" s="40" t="n"/>
      <c r="E1098" s="40" t="n"/>
      <c r="F1098" s="40" t="n"/>
      <c r="G1098" s="39">
        <f>IF(COUNTA(A1098:F1098)=0,"",IF(A1098="EXAMPLE","Example (skipped)",IF(OR(C1098="",E1098="",F1098=""),"✖ Portal, User ID and Password are all needed",IF(AND(A1098="",COUNTIF(Clients!$B$5:$B$1005,B1098)=0),"Not on Clients — will match a portal client by name",IF(AND(C1098="GST",D1098&lt;&gt;"",COUNTIF(Clients!$AZ$5:$AZ$1005,UPPER(D1098))=0,COUNTIF(Clients!$G$5:$G$1005,"*"&amp;UPPER(D1098)&amp;"*")=0),"GSTIN not on Clients — will be checked in the portal","✔ OK")))))</f>
        <v/>
      </c>
    </row>
    <row r="1099">
      <c r="A1099" s="40" t="n"/>
      <c r="B1099" s="41" t="n"/>
      <c r="C1099" s="41" t="n"/>
      <c r="D1099" s="40" t="n"/>
      <c r="E1099" s="40" t="n"/>
      <c r="F1099" s="40" t="n"/>
      <c r="G1099" s="39">
        <f>IF(COUNTA(A1099:F1099)=0,"",IF(A1099="EXAMPLE","Example (skipped)",IF(OR(C1099="",E1099="",F1099=""),"✖ Portal, User ID and Password are all needed",IF(AND(A1099="",COUNTIF(Clients!$B$5:$B$1005,B1099)=0),"Not on Clients — will match a portal client by name",IF(AND(C1099="GST",D1099&lt;&gt;"",COUNTIF(Clients!$AZ$5:$AZ$1005,UPPER(D1099))=0,COUNTIF(Clients!$G$5:$G$1005,"*"&amp;UPPER(D1099)&amp;"*")=0),"GSTIN not on Clients — will be checked in the portal","✔ OK")))))</f>
        <v/>
      </c>
    </row>
    <row r="1100">
      <c r="A1100" s="40" t="n"/>
      <c r="B1100" s="41" t="n"/>
      <c r="C1100" s="41" t="n"/>
      <c r="D1100" s="40" t="n"/>
      <c r="E1100" s="40" t="n"/>
      <c r="F1100" s="40" t="n"/>
      <c r="G1100" s="39">
        <f>IF(COUNTA(A1100:F1100)=0,"",IF(A1100="EXAMPLE","Example (skipped)",IF(OR(C1100="",E1100="",F1100=""),"✖ Portal, User ID and Password are all needed",IF(AND(A1100="",COUNTIF(Clients!$B$5:$B$1005,B1100)=0),"Not on Clients — will match a portal client by name",IF(AND(C1100="GST",D1100&lt;&gt;"",COUNTIF(Clients!$AZ$5:$AZ$1005,UPPER(D1100))=0,COUNTIF(Clients!$G$5:$G$1005,"*"&amp;UPPER(D1100)&amp;"*")=0),"GSTIN not on Clients — will be checked in the portal","✔ OK")))))</f>
        <v/>
      </c>
    </row>
    <row r="1101">
      <c r="A1101" s="40" t="n"/>
      <c r="B1101" s="41" t="n"/>
      <c r="C1101" s="41" t="n"/>
      <c r="D1101" s="40" t="n"/>
      <c r="E1101" s="40" t="n"/>
      <c r="F1101" s="40" t="n"/>
      <c r="G1101" s="39">
        <f>IF(COUNTA(A1101:F1101)=0,"",IF(A1101="EXAMPLE","Example (skipped)",IF(OR(C1101="",E1101="",F1101=""),"✖ Portal, User ID and Password are all needed",IF(AND(A1101="",COUNTIF(Clients!$B$5:$B$1005,B1101)=0),"Not on Clients — will match a portal client by name",IF(AND(C1101="GST",D1101&lt;&gt;"",COUNTIF(Clients!$AZ$5:$AZ$1005,UPPER(D1101))=0,COUNTIF(Clients!$G$5:$G$1005,"*"&amp;UPPER(D1101)&amp;"*")=0),"GSTIN not on Clients — will be checked in the portal","✔ OK")))))</f>
        <v/>
      </c>
    </row>
    <row r="1102">
      <c r="A1102" s="40" t="n"/>
      <c r="B1102" s="41" t="n"/>
      <c r="C1102" s="41" t="n"/>
      <c r="D1102" s="40" t="n"/>
      <c r="E1102" s="40" t="n"/>
      <c r="F1102" s="40" t="n"/>
      <c r="G1102" s="39">
        <f>IF(COUNTA(A1102:F1102)=0,"",IF(A1102="EXAMPLE","Example (skipped)",IF(OR(C1102="",E1102="",F1102=""),"✖ Portal, User ID and Password are all needed",IF(AND(A1102="",COUNTIF(Clients!$B$5:$B$1005,B1102)=0),"Not on Clients — will match a portal client by name",IF(AND(C1102="GST",D1102&lt;&gt;"",COUNTIF(Clients!$AZ$5:$AZ$1005,UPPER(D1102))=0,COUNTIF(Clients!$G$5:$G$1005,"*"&amp;UPPER(D1102)&amp;"*")=0),"GSTIN not on Clients — will be checked in the portal","✔ OK")))))</f>
        <v/>
      </c>
    </row>
    <row r="1103">
      <c r="A1103" s="40" t="n"/>
      <c r="B1103" s="41" t="n"/>
      <c r="C1103" s="41" t="n"/>
      <c r="D1103" s="40" t="n"/>
      <c r="E1103" s="40" t="n"/>
      <c r="F1103" s="40" t="n"/>
      <c r="G1103" s="39">
        <f>IF(COUNTA(A1103:F1103)=0,"",IF(A1103="EXAMPLE","Example (skipped)",IF(OR(C1103="",E1103="",F1103=""),"✖ Portal, User ID and Password are all needed",IF(AND(A1103="",COUNTIF(Clients!$B$5:$B$1005,B1103)=0),"Not on Clients — will match a portal client by name",IF(AND(C1103="GST",D1103&lt;&gt;"",COUNTIF(Clients!$AZ$5:$AZ$1005,UPPER(D1103))=0,COUNTIF(Clients!$G$5:$G$1005,"*"&amp;UPPER(D1103)&amp;"*")=0),"GSTIN not on Clients — will be checked in the portal","✔ OK")))))</f>
        <v/>
      </c>
    </row>
    <row r="1104">
      <c r="A1104" s="40" t="n"/>
      <c r="B1104" s="41" t="n"/>
      <c r="C1104" s="41" t="n"/>
      <c r="D1104" s="40" t="n"/>
      <c r="E1104" s="40" t="n"/>
      <c r="F1104" s="40" t="n"/>
      <c r="G1104" s="39">
        <f>IF(COUNTA(A1104:F1104)=0,"",IF(A1104="EXAMPLE","Example (skipped)",IF(OR(C1104="",E1104="",F1104=""),"✖ Portal, User ID and Password are all needed",IF(AND(A1104="",COUNTIF(Clients!$B$5:$B$1005,B1104)=0),"Not on Clients — will match a portal client by name",IF(AND(C1104="GST",D1104&lt;&gt;"",COUNTIF(Clients!$AZ$5:$AZ$1005,UPPER(D1104))=0,COUNTIF(Clients!$G$5:$G$1005,"*"&amp;UPPER(D1104)&amp;"*")=0),"GSTIN not on Clients — will be checked in the portal","✔ OK")))))</f>
        <v/>
      </c>
    </row>
    <row r="1105">
      <c r="A1105" s="40" t="n"/>
      <c r="B1105" s="41" t="n"/>
      <c r="C1105" s="41" t="n"/>
      <c r="D1105" s="40" t="n"/>
      <c r="E1105" s="40" t="n"/>
      <c r="F1105" s="40" t="n"/>
      <c r="G1105" s="39">
        <f>IF(COUNTA(A1105:F1105)=0,"",IF(A1105="EXAMPLE","Example (skipped)",IF(OR(C1105="",E1105="",F1105=""),"✖ Portal, User ID and Password are all needed",IF(AND(A1105="",COUNTIF(Clients!$B$5:$B$1005,B1105)=0),"Not on Clients — will match a portal client by name",IF(AND(C1105="GST",D1105&lt;&gt;"",COUNTIF(Clients!$AZ$5:$AZ$1005,UPPER(D1105))=0,COUNTIF(Clients!$G$5:$G$1005,"*"&amp;UPPER(D1105)&amp;"*")=0),"GSTIN not on Clients — will be checked in the portal","✔ OK")))))</f>
        <v/>
      </c>
    </row>
    <row r="1106">
      <c r="A1106" s="40" t="n"/>
      <c r="B1106" s="41" t="n"/>
      <c r="C1106" s="41" t="n"/>
      <c r="D1106" s="40" t="n"/>
      <c r="E1106" s="40" t="n"/>
      <c r="F1106" s="40" t="n"/>
      <c r="G1106" s="39">
        <f>IF(COUNTA(A1106:F1106)=0,"",IF(A1106="EXAMPLE","Example (skipped)",IF(OR(C1106="",E1106="",F1106=""),"✖ Portal, User ID and Password are all needed",IF(AND(A1106="",COUNTIF(Clients!$B$5:$B$1005,B1106)=0),"Not on Clients — will match a portal client by name",IF(AND(C1106="GST",D1106&lt;&gt;"",COUNTIF(Clients!$AZ$5:$AZ$1005,UPPER(D1106))=0,COUNTIF(Clients!$G$5:$G$1005,"*"&amp;UPPER(D1106)&amp;"*")=0),"GSTIN not on Clients — will be checked in the portal","✔ OK")))))</f>
        <v/>
      </c>
    </row>
    <row r="1107">
      <c r="A1107" s="40" t="n"/>
      <c r="B1107" s="41" t="n"/>
      <c r="C1107" s="41" t="n"/>
      <c r="D1107" s="40" t="n"/>
      <c r="E1107" s="40" t="n"/>
      <c r="F1107" s="40" t="n"/>
      <c r="G1107" s="39">
        <f>IF(COUNTA(A1107:F1107)=0,"",IF(A1107="EXAMPLE","Example (skipped)",IF(OR(C1107="",E1107="",F1107=""),"✖ Portal, User ID and Password are all needed",IF(AND(A1107="",COUNTIF(Clients!$B$5:$B$1005,B1107)=0),"Not on Clients — will match a portal client by name",IF(AND(C1107="GST",D1107&lt;&gt;"",COUNTIF(Clients!$AZ$5:$AZ$1005,UPPER(D1107))=0,COUNTIF(Clients!$G$5:$G$1005,"*"&amp;UPPER(D1107)&amp;"*")=0),"GSTIN not on Clients — will be checked in the portal","✔ OK")))))</f>
        <v/>
      </c>
    </row>
    <row r="1108">
      <c r="A1108" s="40" t="n"/>
      <c r="B1108" s="41" t="n"/>
      <c r="C1108" s="41" t="n"/>
      <c r="D1108" s="40" t="n"/>
      <c r="E1108" s="40" t="n"/>
      <c r="F1108" s="40" t="n"/>
      <c r="G1108" s="39">
        <f>IF(COUNTA(A1108:F1108)=0,"",IF(A1108="EXAMPLE","Example (skipped)",IF(OR(C1108="",E1108="",F1108=""),"✖ Portal, User ID and Password are all needed",IF(AND(A1108="",COUNTIF(Clients!$B$5:$B$1005,B1108)=0),"Not on Clients — will match a portal client by name",IF(AND(C1108="GST",D1108&lt;&gt;"",COUNTIF(Clients!$AZ$5:$AZ$1005,UPPER(D1108))=0,COUNTIF(Clients!$G$5:$G$1005,"*"&amp;UPPER(D1108)&amp;"*")=0),"GSTIN not on Clients — will be checked in the portal","✔ OK")))))</f>
        <v/>
      </c>
    </row>
    <row r="1109">
      <c r="A1109" s="40" t="n"/>
      <c r="B1109" s="41" t="n"/>
      <c r="C1109" s="41" t="n"/>
      <c r="D1109" s="40" t="n"/>
      <c r="E1109" s="40" t="n"/>
      <c r="F1109" s="40" t="n"/>
      <c r="G1109" s="39">
        <f>IF(COUNTA(A1109:F1109)=0,"",IF(A1109="EXAMPLE","Example (skipped)",IF(OR(C1109="",E1109="",F1109=""),"✖ Portal, User ID and Password are all needed",IF(AND(A1109="",COUNTIF(Clients!$B$5:$B$1005,B1109)=0),"Not on Clients — will match a portal client by name",IF(AND(C1109="GST",D1109&lt;&gt;"",COUNTIF(Clients!$AZ$5:$AZ$1005,UPPER(D1109))=0,COUNTIF(Clients!$G$5:$G$1005,"*"&amp;UPPER(D1109)&amp;"*")=0),"GSTIN not on Clients — will be checked in the portal","✔ OK")))))</f>
        <v/>
      </c>
    </row>
    <row r="1110">
      <c r="A1110" s="40" t="n"/>
      <c r="B1110" s="41" t="n"/>
      <c r="C1110" s="41" t="n"/>
      <c r="D1110" s="40" t="n"/>
      <c r="E1110" s="40" t="n"/>
      <c r="F1110" s="40" t="n"/>
      <c r="G1110" s="39">
        <f>IF(COUNTA(A1110:F1110)=0,"",IF(A1110="EXAMPLE","Example (skipped)",IF(OR(C1110="",E1110="",F1110=""),"✖ Portal, User ID and Password are all needed",IF(AND(A1110="",COUNTIF(Clients!$B$5:$B$1005,B1110)=0),"Not on Clients — will match a portal client by name",IF(AND(C1110="GST",D1110&lt;&gt;"",COUNTIF(Clients!$AZ$5:$AZ$1005,UPPER(D1110))=0,COUNTIF(Clients!$G$5:$G$1005,"*"&amp;UPPER(D1110)&amp;"*")=0),"GSTIN not on Clients — will be checked in the portal","✔ OK")))))</f>
        <v/>
      </c>
    </row>
    <row r="1111">
      <c r="A1111" s="40" t="n"/>
      <c r="B1111" s="41" t="n"/>
      <c r="C1111" s="41" t="n"/>
      <c r="D1111" s="40" t="n"/>
      <c r="E1111" s="40" t="n"/>
      <c r="F1111" s="40" t="n"/>
      <c r="G1111" s="39">
        <f>IF(COUNTA(A1111:F1111)=0,"",IF(A1111="EXAMPLE","Example (skipped)",IF(OR(C1111="",E1111="",F1111=""),"✖ Portal, User ID and Password are all needed",IF(AND(A1111="",COUNTIF(Clients!$B$5:$B$1005,B1111)=0),"Not on Clients — will match a portal client by name",IF(AND(C1111="GST",D1111&lt;&gt;"",COUNTIF(Clients!$AZ$5:$AZ$1005,UPPER(D1111))=0,COUNTIF(Clients!$G$5:$G$1005,"*"&amp;UPPER(D1111)&amp;"*")=0),"GSTIN not on Clients — will be checked in the portal","✔ OK")))))</f>
        <v/>
      </c>
    </row>
    <row r="1112">
      <c r="A1112" s="40" t="n"/>
      <c r="B1112" s="41" t="n"/>
      <c r="C1112" s="41" t="n"/>
      <c r="D1112" s="40" t="n"/>
      <c r="E1112" s="40" t="n"/>
      <c r="F1112" s="40" t="n"/>
      <c r="G1112" s="39">
        <f>IF(COUNTA(A1112:F1112)=0,"",IF(A1112="EXAMPLE","Example (skipped)",IF(OR(C1112="",E1112="",F1112=""),"✖ Portal, User ID and Password are all needed",IF(AND(A1112="",COUNTIF(Clients!$B$5:$B$1005,B1112)=0),"Not on Clients — will match a portal client by name",IF(AND(C1112="GST",D1112&lt;&gt;"",COUNTIF(Clients!$AZ$5:$AZ$1005,UPPER(D1112))=0,COUNTIF(Clients!$G$5:$G$1005,"*"&amp;UPPER(D1112)&amp;"*")=0),"GSTIN not on Clients — will be checked in the portal","✔ OK")))))</f>
        <v/>
      </c>
    </row>
    <row r="1113">
      <c r="A1113" s="40" t="n"/>
      <c r="B1113" s="41" t="n"/>
      <c r="C1113" s="41" t="n"/>
      <c r="D1113" s="40" t="n"/>
      <c r="E1113" s="40" t="n"/>
      <c r="F1113" s="40" t="n"/>
      <c r="G1113" s="39">
        <f>IF(COUNTA(A1113:F1113)=0,"",IF(A1113="EXAMPLE","Example (skipped)",IF(OR(C1113="",E1113="",F1113=""),"✖ Portal, User ID and Password are all needed",IF(AND(A1113="",COUNTIF(Clients!$B$5:$B$1005,B1113)=0),"Not on Clients — will match a portal client by name",IF(AND(C1113="GST",D1113&lt;&gt;"",COUNTIF(Clients!$AZ$5:$AZ$1005,UPPER(D1113))=0,COUNTIF(Clients!$G$5:$G$1005,"*"&amp;UPPER(D1113)&amp;"*")=0),"GSTIN not on Clients — will be checked in the portal","✔ OK")))))</f>
        <v/>
      </c>
    </row>
    <row r="1114">
      <c r="A1114" s="40" t="n"/>
      <c r="B1114" s="41" t="n"/>
      <c r="C1114" s="41" t="n"/>
      <c r="D1114" s="40" t="n"/>
      <c r="E1114" s="40" t="n"/>
      <c r="F1114" s="40" t="n"/>
      <c r="G1114" s="39">
        <f>IF(COUNTA(A1114:F1114)=0,"",IF(A1114="EXAMPLE","Example (skipped)",IF(OR(C1114="",E1114="",F1114=""),"✖ Portal, User ID and Password are all needed",IF(AND(A1114="",COUNTIF(Clients!$B$5:$B$1005,B1114)=0),"Not on Clients — will match a portal client by name",IF(AND(C1114="GST",D1114&lt;&gt;"",COUNTIF(Clients!$AZ$5:$AZ$1005,UPPER(D1114))=0,COUNTIF(Clients!$G$5:$G$1005,"*"&amp;UPPER(D1114)&amp;"*")=0),"GSTIN not on Clients — will be checked in the portal","✔ OK")))))</f>
        <v/>
      </c>
    </row>
    <row r="1115">
      <c r="A1115" s="40" t="n"/>
      <c r="B1115" s="41" t="n"/>
      <c r="C1115" s="41" t="n"/>
      <c r="D1115" s="40" t="n"/>
      <c r="E1115" s="40" t="n"/>
      <c r="F1115" s="40" t="n"/>
      <c r="G1115" s="39">
        <f>IF(COUNTA(A1115:F1115)=0,"",IF(A1115="EXAMPLE","Example (skipped)",IF(OR(C1115="",E1115="",F1115=""),"✖ Portal, User ID and Password are all needed",IF(AND(A1115="",COUNTIF(Clients!$B$5:$B$1005,B1115)=0),"Not on Clients — will match a portal client by name",IF(AND(C1115="GST",D1115&lt;&gt;"",COUNTIF(Clients!$AZ$5:$AZ$1005,UPPER(D1115))=0,COUNTIF(Clients!$G$5:$G$1005,"*"&amp;UPPER(D1115)&amp;"*")=0),"GSTIN not on Clients — will be checked in the portal","✔ OK")))))</f>
        <v/>
      </c>
    </row>
    <row r="1116">
      <c r="A1116" s="40" t="n"/>
      <c r="B1116" s="41" t="n"/>
      <c r="C1116" s="41" t="n"/>
      <c r="D1116" s="40" t="n"/>
      <c r="E1116" s="40" t="n"/>
      <c r="F1116" s="40" t="n"/>
      <c r="G1116" s="39">
        <f>IF(COUNTA(A1116:F1116)=0,"",IF(A1116="EXAMPLE","Example (skipped)",IF(OR(C1116="",E1116="",F1116=""),"✖ Portal, User ID and Password are all needed",IF(AND(A1116="",COUNTIF(Clients!$B$5:$B$1005,B1116)=0),"Not on Clients — will match a portal client by name",IF(AND(C1116="GST",D1116&lt;&gt;"",COUNTIF(Clients!$AZ$5:$AZ$1005,UPPER(D1116))=0,COUNTIF(Clients!$G$5:$G$1005,"*"&amp;UPPER(D1116)&amp;"*")=0),"GSTIN not on Clients — will be checked in the portal","✔ OK")))))</f>
        <v/>
      </c>
    </row>
    <row r="1117">
      <c r="A1117" s="40" t="n"/>
      <c r="B1117" s="41" t="n"/>
      <c r="C1117" s="41" t="n"/>
      <c r="D1117" s="40" t="n"/>
      <c r="E1117" s="40" t="n"/>
      <c r="F1117" s="40" t="n"/>
      <c r="G1117" s="39">
        <f>IF(COUNTA(A1117:F1117)=0,"",IF(A1117="EXAMPLE","Example (skipped)",IF(OR(C1117="",E1117="",F1117=""),"✖ Portal, User ID and Password are all needed",IF(AND(A1117="",COUNTIF(Clients!$B$5:$B$1005,B1117)=0),"Not on Clients — will match a portal client by name",IF(AND(C1117="GST",D1117&lt;&gt;"",COUNTIF(Clients!$AZ$5:$AZ$1005,UPPER(D1117))=0,COUNTIF(Clients!$G$5:$G$1005,"*"&amp;UPPER(D1117)&amp;"*")=0),"GSTIN not on Clients — will be checked in the portal","✔ OK")))))</f>
        <v/>
      </c>
    </row>
    <row r="1118">
      <c r="A1118" s="40" t="n"/>
      <c r="B1118" s="41" t="n"/>
      <c r="C1118" s="41" t="n"/>
      <c r="D1118" s="40" t="n"/>
      <c r="E1118" s="40" t="n"/>
      <c r="F1118" s="40" t="n"/>
      <c r="G1118" s="39">
        <f>IF(COUNTA(A1118:F1118)=0,"",IF(A1118="EXAMPLE","Example (skipped)",IF(OR(C1118="",E1118="",F1118=""),"✖ Portal, User ID and Password are all needed",IF(AND(A1118="",COUNTIF(Clients!$B$5:$B$1005,B1118)=0),"Not on Clients — will match a portal client by name",IF(AND(C1118="GST",D1118&lt;&gt;"",COUNTIF(Clients!$AZ$5:$AZ$1005,UPPER(D1118))=0,COUNTIF(Clients!$G$5:$G$1005,"*"&amp;UPPER(D1118)&amp;"*")=0),"GSTIN not on Clients — will be checked in the portal","✔ OK")))))</f>
        <v/>
      </c>
    </row>
    <row r="1119">
      <c r="A1119" s="40" t="n"/>
      <c r="B1119" s="41" t="n"/>
      <c r="C1119" s="41" t="n"/>
      <c r="D1119" s="40" t="n"/>
      <c r="E1119" s="40" t="n"/>
      <c r="F1119" s="40" t="n"/>
      <c r="G1119" s="39">
        <f>IF(COUNTA(A1119:F1119)=0,"",IF(A1119="EXAMPLE","Example (skipped)",IF(OR(C1119="",E1119="",F1119=""),"✖ Portal, User ID and Password are all needed",IF(AND(A1119="",COUNTIF(Clients!$B$5:$B$1005,B1119)=0),"Not on Clients — will match a portal client by name",IF(AND(C1119="GST",D1119&lt;&gt;"",COUNTIF(Clients!$AZ$5:$AZ$1005,UPPER(D1119))=0,COUNTIF(Clients!$G$5:$G$1005,"*"&amp;UPPER(D1119)&amp;"*")=0),"GSTIN not on Clients — will be checked in the portal","✔ OK")))))</f>
        <v/>
      </c>
    </row>
    <row r="1120">
      <c r="A1120" s="40" t="n"/>
      <c r="B1120" s="41" t="n"/>
      <c r="C1120" s="41" t="n"/>
      <c r="D1120" s="40" t="n"/>
      <c r="E1120" s="40" t="n"/>
      <c r="F1120" s="40" t="n"/>
      <c r="G1120" s="39">
        <f>IF(COUNTA(A1120:F1120)=0,"",IF(A1120="EXAMPLE","Example (skipped)",IF(OR(C1120="",E1120="",F1120=""),"✖ Portal, User ID and Password are all needed",IF(AND(A1120="",COUNTIF(Clients!$B$5:$B$1005,B1120)=0),"Not on Clients — will match a portal client by name",IF(AND(C1120="GST",D1120&lt;&gt;"",COUNTIF(Clients!$AZ$5:$AZ$1005,UPPER(D1120))=0,COUNTIF(Clients!$G$5:$G$1005,"*"&amp;UPPER(D1120)&amp;"*")=0),"GSTIN not on Clients — will be checked in the portal","✔ OK")))))</f>
        <v/>
      </c>
    </row>
    <row r="1121">
      <c r="A1121" s="40" t="n"/>
      <c r="B1121" s="41" t="n"/>
      <c r="C1121" s="41" t="n"/>
      <c r="D1121" s="40" t="n"/>
      <c r="E1121" s="40" t="n"/>
      <c r="F1121" s="40" t="n"/>
      <c r="G1121" s="39">
        <f>IF(COUNTA(A1121:F1121)=0,"",IF(A1121="EXAMPLE","Example (skipped)",IF(OR(C1121="",E1121="",F1121=""),"✖ Portal, User ID and Password are all needed",IF(AND(A1121="",COUNTIF(Clients!$B$5:$B$1005,B1121)=0),"Not on Clients — will match a portal client by name",IF(AND(C1121="GST",D1121&lt;&gt;"",COUNTIF(Clients!$AZ$5:$AZ$1005,UPPER(D1121))=0,COUNTIF(Clients!$G$5:$G$1005,"*"&amp;UPPER(D1121)&amp;"*")=0),"GSTIN not on Clients — will be checked in the portal","✔ OK")))))</f>
        <v/>
      </c>
    </row>
    <row r="1122">
      <c r="A1122" s="40" t="n"/>
      <c r="B1122" s="41" t="n"/>
      <c r="C1122" s="41" t="n"/>
      <c r="D1122" s="40" t="n"/>
      <c r="E1122" s="40" t="n"/>
      <c r="F1122" s="40" t="n"/>
      <c r="G1122" s="39">
        <f>IF(COUNTA(A1122:F1122)=0,"",IF(A1122="EXAMPLE","Example (skipped)",IF(OR(C1122="",E1122="",F1122=""),"✖ Portal, User ID and Password are all needed",IF(AND(A1122="",COUNTIF(Clients!$B$5:$B$1005,B1122)=0),"Not on Clients — will match a portal client by name",IF(AND(C1122="GST",D1122&lt;&gt;"",COUNTIF(Clients!$AZ$5:$AZ$1005,UPPER(D1122))=0,COUNTIF(Clients!$G$5:$G$1005,"*"&amp;UPPER(D1122)&amp;"*")=0),"GSTIN not on Clients — will be checked in the portal","✔ OK")))))</f>
        <v/>
      </c>
    </row>
    <row r="1123">
      <c r="A1123" s="40" t="n"/>
      <c r="B1123" s="41" t="n"/>
      <c r="C1123" s="41" t="n"/>
      <c r="D1123" s="40" t="n"/>
      <c r="E1123" s="40" t="n"/>
      <c r="F1123" s="40" t="n"/>
      <c r="G1123" s="39">
        <f>IF(COUNTA(A1123:F1123)=0,"",IF(A1123="EXAMPLE","Example (skipped)",IF(OR(C1123="",E1123="",F1123=""),"✖ Portal, User ID and Password are all needed",IF(AND(A1123="",COUNTIF(Clients!$B$5:$B$1005,B1123)=0),"Not on Clients — will match a portal client by name",IF(AND(C1123="GST",D1123&lt;&gt;"",COUNTIF(Clients!$AZ$5:$AZ$1005,UPPER(D1123))=0,COUNTIF(Clients!$G$5:$G$1005,"*"&amp;UPPER(D1123)&amp;"*")=0),"GSTIN not on Clients — will be checked in the portal","✔ OK")))))</f>
        <v/>
      </c>
    </row>
    <row r="1124">
      <c r="A1124" s="40" t="n"/>
      <c r="B1124" s="41" t="n"/>
      <c r="C1124" s="41" t="n"/>
      <c r="D1124" s="40" t="n"/>
      <c r="E1124" s="40" t="n"/>
      <c r="F1124" s="40" t="n"/>
      <c r="G1124" s="39">
        <f>IF(COUNTA(A1124:F1124)=0,"",IF(A1124="EXAMPLE","Example (skipped)",IF(OR(C1124="",E1124="",F1124=""),"✖ Portal, User ID and Password are all needed",IF(AND(A1124="",COUNTIF(Clients!$B$5:$B$1005,B1124)=0),"Not on Clients — will match a portal client by name",IF(AND(C1124="GST",D1124&lt;&gt;"",COUNTIF(Clients!$AZ$5:$AZ$1005,UPPER(D1124))=0,COUNTIF(Clients!$G$5:$G$1005,"*"&amp;UPPER(D1124)&amp;"*")=0),"GSTIN not on Clients — will be checked in the portal","✔ OK")))))</f>
        <v/>
      </c>
    </row>
    <row r="1125">
      <c r="A1125" s="40" t="n"/>
      <c r="B1125" s="41" t="n"/>
      <c r="C1125" s="41" t="n"/>
      <c r="D1125" s="40" t="n"/>
      <c r="E1125" s="40" t="n"/>
      <c r="F1125" s="40" t="n"/>
      <c r="G1125" s="39">
        <f>IF(COUNTA(A1125:F1125)=0,"",IF(A1125="EXAMPLE","Example (skipped)",IF(OR(C1125="",E1125="",F1125=""),"✖ Portal, User ID and Password are all needed",IF(AND(A1125="",COUNTIF(Clients!$B$5:$B$1005,B1125)=0),"Not on Clients — will match a portal client by name",IF(AND(C1125="GST",D1125&lt;&gt;"",COUNTIF(Clients!$AZ$5:$AZ$1005,UPPER(D1125))=0,COUNTIF(Clients!$G$5:$G$1005,"*"&amp;UPPER(D1125)&amp;"*")=0),"GSTIN not on Clients — will be checked in the portal","✔ OK")))))</f>
        <v/>
      </c>
    </row>
    <row r="1126">
      <c r="A1126" s="40" t="n"/>
      <c r="B1126" s="41" t="n"/>
      <c r="C1126" s="41" t="n"/>
      <c r="D1126" s="40" t="n"/>
      <c r="E1126" s="40" t="n"/>
      <c r="F1126" s="40" t="n"/>
      <c r="G1126" s="39">
        <f>IF(COUNTA(A1126:F1126)=0,"",IF(A1126="EXAMPLE","Example (skipped)",IF(OR(C1126="",E1126="",F1126=""),"✖ Portal, User ID and Password are all needed",IF(AND(A1126="",COUNTIF(Clients!$B$5:$B$1005,B1126)=0),"Not on Clients — will match a portal client by name",IF(AND(C1126="GST",D1126&lt;&gt;"",COUNTIF(Clients!$AZ$5:$AZ$1005,UPPER(D1126))=0,COUNTIF(Clients!$G$5:$G$1005,"*"&amp;UPPER(D1126)&amp;"*")=0),"GSTIN not on Clients — will be checked in the portal","✔ OK")))))</f>
        <v/>
      </c>
    </row>
    <row r="1127">
      <c r="A1127" s="40" t="n"/>
      <c r="B1127" s="41" t="n"/>
      <c r="C1127" s="41" t="n"/>
      <c r="D1127" s="40" t="n"/>
      <c r="E1127" s="40" t="n"/>
      <c r="F1127" s="40" t="n"/>
      <c r="G1127" s="39">
        <f>IF(COUNTA(A1127:F1127)=0,"",IF(A1127="EXAMPLE","Example (skipped)",IF(OR(C1127="",E1127="",F1127=""),"✖ Portal, User ID and Password are all needed",IF(AND(A1127="",COUNTIF(Clients!$B$5:$B$1005,B1127)=0),"Not on Clients — will match a portal client by name",IF(AND(C1127="GST",D1127&lt;&gt;"",COUNTIF(Clients!$AZ$5:$AZ$1005,UPPER(D1127))=0,COUNTIF(Clients!$G$5:$G$1005,"*"&amp;UPPER(D1127)&amp;"*")=0),"GSTIN not on Clients — will be checked in the portal","✔ OK")))))</f>
        <v/>
      </c>
    </row>
    <row r="1128">
      <c r="A1128" s="40" t="n"/>
      <c r="B1128" s="41" t="n"/>
      <c r="C1128" s="41" t="n"/>
      <c r="D1128" s="40" t="n"/>
      <c r="E1128" s="40" t="n"/>
      <c r="F1128" s="40" t="n"/>
      <c r="G1128" s="39">
        <f>IF(COUNTA(A1128:F1128)=0,"",IF(A1128="EXAMPLE","Example (skipped)",IF(OR(C1128="",E1128="",F1128=""),"✖ Portal, User ID and Password are all needed",IF(AND(A1128="",COUNTIF(Clients!$B$5:$B$1005,B1128)=0),"Not on Clients — will match a portal client by name",IF(AND(C1128="GST",D1128&lt;&gt;"",COUNTIF(Clients!$AZ$5:$AZ$1005,UPPER(D1128))=0,COUNTIF(Clients!$G$5:$G$1005,"*"&amp;UPPER(D1128)&amp;"*")=0),"GSTIN not on Clients — will be checked in the portal","✔ OK")))))</f>
        <v/>
      </c>
    </row>
    <row r="1129">
      <c r="A1129" s="40" t="n"/>
      <c r="B1129" s="41" t="n"/>
      <c r="C1129" s="41" t="n"/>
      <c r="D1129" s="40" t="n"/>
      <c r="E1129" s="40" t="n"/>
      <c r="F1129" s="40" t="n"/>
      <c r="G1129" s="39">
        <f>IF(COUNTA(A1129:F1129)=0,"",IF(A1129="EXAMPLE","Example (skipped)",IF(OR(C1129="",E1129="",F1129=""),"✖ Portal, User ID and Password are all needed",IF(AND(A1129="",COUNTIF(Clients!$B$5:$B$1005,B1129)=0),"Not on Clients — will match a portal client by name",IF(AND(C1129="GST",D1129&lt;&gt;"",COUNTIF(Clients!$AZ$5:$AZ$1005,UPPER(D1129))=0,COUNTIF(Clients!$G$5:$G$1005,"*"&amp;UPPER(D1129)&amp;"*")=0),"GSTIN not on Clients — will be checked in the portal","✔ OK")))))</f>
        <v/>
      </c>
    </row>
    <row r="1130">
      <c r="A1130" s="40" t="n"/>
      <c r="B1130" s="41" t="n"/>
      <c r="C1130" s="41" t="n"/>
      <c r="D1130" s="40" t="n"/>
      <c r="E1130" s="40" t="n"/>
      <c r="F1130" s="40" t="n"/>
      <c r="G1130" s="39">
        <f>IF(COUNTA(A1130:F1130)=0,"",IF(A1130="EXAMPLE","Example (skipped)",IF(OR(C1130="",E1130="",F1130=""),"✖ Portal, User ID and Password are all needed",IF(AND(A1130="",COUNTIF(Clients!$B$5:$B$1005,B1130)=0),"Not on Clients — will match a portal client by name",IF(AND(C1130="GST",D1130&lt;&gt;"",COUNTIF(Clients!$AZ$5:$AZ$1005,UPPER(D1130))=0,COUNTIF(Clients!$G$5:$G$1005,"*"&amp;UPPER(D1130)&amp;"*")=0),"GSTIN not on Clients — will be checked in the portal","✔ OK")))))</f>
        <v/>
      </c>
    </row>
    <row r="1131">
      <c r="A1131" s="40" t="n"/>
      <c r="B1131" s="41" t="n"/>
      <c r="C1131" s="41" t="n"/>
      <c r="D1131" s="40" t="n"/>
      <c r="E1131" s="40" t="n"/>
      <c r="F1131" s="40" t="n"/>
      <c r="G1131" s="39">
        <f>IF(COUNTA(A1131:F1131)=0,"",IF(A1131="EXAMPLE","Example (skipped)",IF(OR(C1131="",E1131="",F1131=""),"✖ Portal, User ID and Password are all needed",IF(AND(A1131="",COUNTIF(Clients!$B$5:$B$1005,B1131)=0),"Not on Clients — will match a portal client by name",IF(AND(C1131="GST",D1131&lt;&gt;"",COUNTIF(Clients!$AZ$5:$AZ$1005,UPPER(D1131))=0,COUNTIF(Clients!$G$5:$G$1005,"*"&amp;UPPER(D1131)&amp;"*")=0),"GSTIN not on Clients — will be checked in the portal","✔ OK")))))</f>
        <v/>
      </c>
    </row>
    <row r="1132">
      <c r="A1132" s="40" t="n"/>
      <c r="B1132" s="41" t="n"/>
      <c r="C1132" s="41" t="n"/>
      <c r="D1132" s="40" t="n"/>
      <c r="E1132" s="40" t="n"/>
      <c r="F1132" s="40" t="n"/>
      <c r="G1132" s="39">
        <f>IF(COUNTA(A1132:F1132)=0,"",IF(A1132="EXAMPLE","Example (skipped)",IF(OR(C1132="",E1132="",F1132=""),"✖ Portal, User ID and Password are all needed",IF(AND(A1132="",COUNTIF(Clients!$B$5:$B$1005,B1132)=0),"Not on Clients — will match a portal client by name",IF(AND(C1132="GST",D1132&lt;&gt;"",COUNTIF(Clients!$AZ$5:$AZ$1005,UPPER(D1132))=0,COUNTIF(Clients!$G$5:$G$1005,"*"&amp;UPPER(D1132)&amp;"*")=0),"GSTIN not on Clients — will be checked in the portal","✔ OK")))))</f>
        <v/>
      </c>
    </row>
    <row r="1133">
      <c r="A1133" s="40" t="n"/>
      <c r="B1133" s="41" t="n"/>
      <c r="C1133" s="41" t="n"/>
      <c r="D1133" s="40" t="n"/>
      <c r="E1133" s="40" t="n"/>
      <c r="F1133" s="40" t="n"/>
      <c r="G1133" s="39">
        <f>IF(COUNTA(A1133:F1133)=0,"",IF(A1133="EXAMPLE","Example (skipped)",IF(OR(C1133="",E1133="",F1133=""),"✖ Portal, User ID and Password are all needed",IF(AND(A1133="",COUNTIF(Clients!$B$5:$B$1005,B1133)=0),"Not on Clients — will match a portal client by name",IF(AND(C1133="GST",D1133&lt;&gt;"",COUNTIF(Clients!$AZ$5:$AZ$1005,UPPER(D1133))=0,COUNTIF(Clients!$G$5:$G$1005,"*"&amp;UPPER(D1133)&amp;"*")=0),"GSTIN not on Clients — will be checked in the portal","✔ OK")))))</f>
        <v/>
      </c>
    </row>
    <row r="1134">
      <c r="A1134" s="40" t="n"/>
      <c r="B1134" s="41" t="n"/>
      <c r="C1134" s="41" t="n"/>
      <c r="D1134" s="40" t="n"/>
      <c r="E1134" s="40" t="n"/>
      <c r="F1134" s="40" t="n"/>
      <c r="G1134" s="39">
        <f>IF(COUNTA(A1134:F1134)=0,"",IF(A1134="EXAMPLE","Example (skipped)",IF(OR(C1134="",E1134="",F1134=""),"✖ Portal, User ID and Password are all needed",IF(AND(A1134="",COUNTIF(Clients!$B$5:$B$1005,B1134)=0),"Not on Clients — will match a portal client by name",IF(AND(C1134="GST",D1134&lt;&gt;"",COUNTIF(Clients!$AZ$5:$AZ$1005,UPPER(D1134))=0,COUNTIF(Clients!$G$5:$G$1005,"*"&amp;UPPER(D1134)&amp;"*")=0),"GSTIN not on Clients — will be checked in the portal","✔ OK")))))</f>
        <v/>
      </c>
    </row>
    <row r="1135">
      <c r="A1135" s="40" t="n"/>
      <c r="B1135" s="41" t="n"/>
      <c r="C1135" s="41" t="n"/>
      <c r="D1135" s="40" t="n"/>
      <c r="E1135" s="40" t="n"/>
      <c r="F1135" s="40" t="n"/>
      <c r="G1135" s="39">
        <f>IF(COUNTA(A1135:F1135)=0,"",IF(A1135="EXAMPLE","Example (skipped)",IF(OR(C1135="",E1135="",F1135=""),"✖ Portal, User ID and Password are all needed",IF(AND(A1135="",COUNTIF(Clients!$B$5:$B$1005,B1135)=0),"Not on Clients — will match a portal client by name",IF(AND(C1135="GST",D1135&lt;&gt;"",COUNTIF(Clients!$AZ$5:$AZ$1005,UPPER(D1135))=0,COUNTIF(Clients!$G$5:$G$1005,"*"&amp;UPPER(D1135)&amp;"*")=0),"GSTIN not on Clients — will be checked in the portal","✔ OK")))))</f>
        <v/>
      </c>
    </row>
    <row r="1136">
      <c r="A1136" s="40" t="n"/>
      <c r="B1136" s="41" t="n"/>
      <c r="C1136" s="41" t="n"/>
      <c r="D1136" s="40" t="n"/>
      <c r="E1136" s="40" t="n"/>
      <c r="F1136" s="40" t="n"/>
      <c r="G1136" s="39">
        <f>IF(COUNTA(A1136:F1136)=0,"",IF(A1136="EXAMPLE","Example (skipped)",IF(OR(C1136="",E1136="",F1136=""),"✖ Portal, User ID and Password are all needed",IF(AND(A1136="",COUNTIF(Clients!$B$5:$B$1005,B1136)=0),"Not on Clients — will match a portal client by name",IF(AND(C1136="GST",D1136&lt;&gt;"",COUNTIF(Clients!$AZ$5:$AZ$1005,UPPER(D1136))=0,COUNTIF(Clients!$G$5:$G$1005,"*"&amp;UPPER(D1136)&amp;"*")=0),"GSTIN not on Clients — will be checked in the portal","✔ OK")))))</f>
        <v/>
      </c>
    </row>
    <row r="1137">
      <c r="A1137" s="40" t="n"/>
      <c r="B1137" s="41" t="n"/>
      <c r="C1137" s="41" t="n"/>
      <c r="D1137" s="40" t="n"/>
      <c r="E1137" s="40" t="n"/>
      <c r="F1137" s="40" t="n"/>
      <c r="G1137" s="39">
        <f>IF(COUNTA(A1137:F1137)=0,"",IF(A1137="EXAMPLE","Example (skipped)",IF(OR(C1137="",E1137="",F1137=""),"✖ Portal, User ID and Password are all needed",IF(AND(A1137="",COUNTIF(Clients!$B$5:$B$1005,B1137)=0),"Not on Clients — will match a portal client by name",IF(AND(C1137="GST",D1137&lt;&gt;"",COUNTIF(Clients!$AZ$5:$AZ$1005,UPPER(D1137))=0,COUNTIF(Clients!$G$5:$G$1005,"*"&amp;UPPER(D1137)&amp;"*")=0),"GSTIN not on Clients — will be checked in the portal","✔ OK")))))</f>
        <v/>
      </c>
    </row>
    <row r="1138">
      <c r="A1138" s="40" t="n"/>
      <c r="B1138" s="41" t="n"/>
      <c r="C1138" s="41" t="n"/>
      <c r="D1138" s="40" t="n"/>
      <c r="E1138" s="40" t="n"/>
      <c r="F1138" s="40" t="n"/>
      <c r="G1138" s="39">
        <f>IF(COUNTA(A1138:F1138)=0,"",IF(A1138="EXAMPLE","Example (skipped)",IF(OR(C1138="",E1138="",F1138=""),"✖ Portal, User ID and Password are all needed",IF(AND(A1138="",COUNTIF(Clients!$B$5:$B$1005,B1138)=0),"Not on Clients — will match a portal client by name",IF(AND(C1138="GST",D1138&lt;&gt;"",COUNTIF(Clients!$AZ$5:$AZ$1005,UPPER(D1138))=0,COUNTIF(Clients!$G$5:$G$1005,"*"&amp;UPPER(D1138)&amp;"*")=0),"GSTIN not on Clients — will be checked in the portal","✔ OK")))))</f>
        <v/>
      </c>
    </row>
    <row r="1139">
      <c r="A1139" s="40" t="n"/>
      <c r="B1139" s="41" t="n"/>
      <c r="C1139" s="41" t="n"/>
      <c r="D1139" s="40" t="n"/>
      <c r="E1139" s="40" t="n"/>
      <c r="F1139" s="40" t="n"/>
      <c r="G1139" s="39">
        <f>IF(COUNTA(A1139:F1139)=0,"",IF(A1139="EXAMPLE","Example (skipped)",IF(OR(C1139="",E1139="",F1139=""),"✖ Portal, User ID and Password are all needed",IF(AND(A1139="",COUNTIF(Clients!$B$5:$B$1005,B1139)=0),"Not on Clients — will match a portal client by name",IF(AND(C1139="GST",D1139&lt;&gt;"",COUNTIF(Clients!$AZ$5:$AZ$1005,UPPER(D1139))=0,COUNTIF(Clients!$G$5:$G$1005,"*"&amp;UPPER(D1139)&amp;"*")=0),"GSTIN not on Clients — will be checked in the portal","✔ OK")))))</f>
        <v/>
      </c>
    </row>
    <row r="1140">
      <c r="A1140" s="40" t="n"/>
      <c r="B1140" s="41" t="n"/>
      <c r="C1140" s="41" t="n"/>
      <c r="D1140" s="40" t="n"/>
      <c r="E1140" s="40" t="n"/>
      <c r="F1140" s="40" t="n"/>
      <c r="G1140" s="39">
        <f>IF(COUNTA(A1140:F1140)=0,"",IF(A1140="EXAMPLE","Example (skipped)",IF(OR(C1140="",E1140="",F1140=""),"✖ Portal, User ID and Password are all needed",IF(AND(A1140="",COUNTIF(Clients!$B$5:$B$1005,B1140)=0),"Not on Clients — will match a portal client by name",IF(AND(C1140="GST",D1140&lt;&gt;"",COUNTIF(Clients!$AZ$5:$AZ$1005,UPPER(D1140))=0,COUNTIF(Clients!$G$5:$G$1005,"*"&amp;UPPER(D1140)&amp;"*")=0),"GSTIN not on Clients — will be checked in the portal","✔ OK")))))</f>
        <v/>
      </c>
    </row>
    <row r="1141">
      <c r="A1141" s="40" t="n"/>
      <c r="B1141" s="41" t="n"/>
      <c r="C1141" s="41" t="n"/>
      <c r="D1141" s="40" t="n"/>
      <c r="E1141" s="40" t="n"/>
      <c r="F1141" s="40" t="n"/>
      <c r="G1141" s="39">
        <f>IF(COUNTA(A1141:F1141)=0,"",IF(A1141="EXAMPLE","Example (skipped)",IF(OR(C1141="",E1141="",F1141=""),"✖ Portal, User ID and Password are all needed",IF(AND(A1141="",COUNTIF(Clients!$B$5:$B$1005,B1141)=0),"Not on Clients — will match a portal client by name",IF(AND(C1141="GST",D1141&lt;&gt;"",COUNTIF(Clients!$AZ$5:$AZ$1005,UPPER(D1141))=0,COUNTIF(Clients!$G$5:$G$1005,"*"&amp;UPPER(D1141)&amp;"*")=0),"GSTIN not on Clients — will be checked in the portal","✔ OK")))))</f>
        <v/>
      </c>
    </row>
    <row r="1142">
      <c r="A1142" s="40" t="n"/>
      <c r="B1142" s="41" t="n"/>
      <c r="C1142" s="41" t="n"/>
      <c r="D1142" s="40" t="n"/>
      <c r="E1142" s="40" t="n"/>
      <c r="F1142" s="40" t="n"/>
      <c r="G1142" s="39">
        <f>IF(COUNTA(A1142:F1142)=0,"",IF(A1142="EXAMPLE","Example (skipped)",IF(OR(C1142="",E1142="",F1142=""),"✖ Portal, User ID and Password are all needed",IF(AND(A1142="",COUNTIF(Clients!$B$5:$B$1005,B1142)=0),"Not on Clients — will match a portal client by name",IF(AND(C1142="GST",D1142&lt;&gt;"",COUNTIF(Clients!$AZ$5:$AZ$1005,UPPER(D1142))=0,COUNTIF(Clients!$G$5:$G$1005,"*"&amp;UPPER(D1142)&amp;"*")=0),"GSTIN not on Clients — will be checked in the portal","✔ OK")))))</f>
        <v/>
      </c>
    </row>
    <row r="1143">
      <c r="A1143" s="40" t="n"/>
      <c r="B1143" s="41" t="n"/>
      <c r="C1143" s="41" t="n"/>
      <c r="D1143" s="40" t="n"/>
      <c r="E1143" s="40" t="n"/>
      <c r="F1143" s="40" t="n"/>
      <c r="G1143" s="39">
        <f>IF(COUNTA(A1143:F1143)=0,"",IF(A1143="EXAMPLE","Example (skipped)",IF(OR(C1143="",E1143="",F1143=""),"✖ Portal, User ID and Password are all needed",IF(AND(A1143="",COUNTIF(Clients!$B$5:$B$1005,B1143)=0),"Not on Clients — will match a portal client by name",IF(AND(C1143="GST",D1143&lt;&gt;"",COUNTIF(Clients!$AZ$5:$AZ$1005,UPPER(D1143))=0,COUNTIF(Clients!$G$5:$G$1005,"*"&amp;UPPER(D1143)&amp;"*")=0),"GSTIN not on Clients — will be checked in the portal","✔ OK")))))</f>
        <v/>
      </c>
    </row>
    <row r="1144">
      <c r="A1144" s="40" t="n"/>
      <c r="B1144" s="41" t="n"/>
      <c r="C1144" s="41" t="n"/>
      <c r="D1144" s="40" t="n"/>
      <c r="E1144" s="40" t="n"/>
      <c r="F1144" s="40" t="n"/>
      <c r="G1144" s="39">
        <f>IF(COUNTA(A1144:F1144)=0,"",IF(A1144="EXAMPLE","Example (skipped)",IF(OR(C1144="",E1144="",F1144=""),"✖ Portal, User ID and Password are all needed",IF(AND(A1144="",COUNTIF(Clients!$B$5:$B$1005,B1144)=0),"Not on Clients — will match a portal client by name",IF(AND(C1144="GST",D1144&lt;&gt;"",COUNTIF(Clients!$AZ$5:$AZ$1005,UPPER(D1144))=0,COUNTIF(Clients!$G$5:$G$1005,"*"&amp;UPPER(D1144)&amp;"*")=0),"GSTIN not on Clients — will be checked in the portal","✔ OK")))))</f>
        <v/>
      </c>
    </row>
    <row r="1145">
      <c r="A1145" s="40" t="n"/>
      <c r="B1145" s="41" t="n"/>
      <c r="C1145" s="41" t="n"/>
      <c r="D1145" s="40" t="n"/>
      <c r="E1145" s="40" t="n"/>
      <c r="F1145" s="40" t="n"/>
      <c r="G1145" s="39">
        <f>IF(COUNTA(A1145:F1145)=0,"",IF(A1145="EXAMPLE","Example (skipped)",IF(OR(C1145="",E1145="",F1145=""),"✖ Portal, User ID and Password are all needed",IF(AND(A1145="",COUNTIF(Clients!$B$5:$B$1005,B1145)=0),"Not on Clients — will match a portal client by name",IF(AND(C1145="GST",D1145&lt;&gt;"",COUNTIF(Clients!$AZ$5:$AZ$1005,UPPER(D1145))=0,COUNTIF(Clients!$G$5:$G$1005,"*"&amp;UPPER(D1145)&amp;"*")=0),"GSTIN not on Clients — will be checked in the portal","✔ OK")))))</f>
        <v/>
      </c>
    </row>
    <row r="1146">
      <c r="A1146" s="40" t="n"/>
      <c r="B1146" s="41" t="n"/>
      <c r="C1146" s="41" t="n"/>
      <c r="D1146" s="40" t="n"/>
      <c r="E1146" s="40" t="n"/>
      <c r="F1146" s="40" t="n"/>
      <c r="G1146" s="39">
        <f>IF(COUNTA(A1146:F1146)=0,"",IF(A1146="EXAMPLE","Example (skipped)",IF(OR(C1146="",E1146="",F1146=""),"✖ Portal, User ID and Password are all needed",IF(AND(A1146="",COUNTIF(Clients!$B$5:$B$1005,B1146)=0),"Not on Clients — will match a portal client by name",IF(AND(C1146="GST",D1146&lt;&gt;"",COUNTIF(Clients!$AZ$5:$AZ$1005,UPPER(D1146))=0,COUNTIF(Clients!$G$5:$G$1005,"*"&amp;UPPER(D1146)&amp;"*")=0),"GSTIN not on Clients — will be checked in the portal","✔ OK")))))</f>
        <v/>
      </c>
    </row>
    <row r="1147">
      <c r="A1147" s="40" t="n"/>
      <c r="B1147" s="41" t="n"/>
      <c r="C1147" s="41" t="n"/>
      <c r="D1147" s="40" t="n"/>
      <c r="E1147" s="40" t="n"/>
      <c r="F1147" s="40" t="n"/>
      <c r="G1147" s="39">
        <f>IF(COUNTA(A1147:F1147)=0,"",IF(A1147="EXAMPLE","Example (skipped)",IF(OR(C1147="",E1147="",F1147=""),"✖ Portal, User ID and Password are all needed",IF(AND(A1147="",COUNTIF(Clients!$B$5:$B$1005,B1147)=0),"Not on Clients — will match a portal client by name",IF(AND(C1147="GST",D1147&lt;&gt;"",COUNTIF(Clients!$AZ$5:$AZ$1005,UPPER(D1147))=0,COUNTIF(Clients!$G$5:$G$1005,"*"&amp;UPPER(D1147)&amp;"*")=0),"GSTIN not on Clients — will be checked in the portal","✔ OK")))))</f>
        <v/>
      </c>
    </row>
    <row r="1148">
      <c r="A1148" s="40" t="n"/>
      <c r="B1148" s="41" t="n"/>
      <c r="C1148" s="41" t="n"/>
      <c r="D1148" s="40" t="n"/>
      <c r="E1148" s="40" t="n"/>
      <c r="F1148" s="40" t="n"/>
      <c r="G1148" s="39">
        <f>IF(COUNTA(A1148:F1148)=0,"",IF(A1148="EXAMPLE","Example (skipped)",IF(OR(C1148="",E1148="",F1148=""),"✖ Portal, User ID and Password are all needed",IF(AND(A1148="",COUNTIF(Clients!$B$5:$B$1005,B1148)=0),"Not on Clients — will match a portal client by name",IF(AND(C1148="GST",D1148&lt;&gt;"",COUNTIF(Clients!$AZ$5:$AZ$1005,UPPER(D1148))=0,COUNTIF(Clients!$G$5:$G$1005,"*"&amp;UPPER(D1148)&amp;"*")=0),"GSTIN not on Clients — will be checked in the portal","✔ OK")))))</f>
        <v/>
      </c>
    </row>
    <row r="1149">
      <c r="A1149" s="40" t="n"/>
      <c r="B1149" s="41" t="n"/>
      <c r="C1149" s="41" t="n"/>
      <c r="D1149" s="40" t="n"/>
      <c r="E1149" s="40" t="n"/>
      <c r="F1149" s="40" t="n"/>
      <c r="G1149" s="39">
        <f>IF(COUNTA(A1149:F1149)=0,"",IF(A1149="EXAMPLE","Example (skipped)",IF(OR(C1149="",E1149="",F1149=""),"✖ Portal, User ID and Password are all needed",IF(AND(A1149="",COUNTIF(Clients!$B$5:$B$1005,B1149)=0),"Not on Clients — will match a portal client by name",IF(AND(C1149="GST",D1149&lt;&gt;"",COUNTIF(Clients!$AZ$5:$AZ$1005,UPPER(D1149))=0,COUNTIF(Clients!$G$5:$G$1005,"*"&amp;UPPER(D1149)&amp;"*")=0),"GSTIN not on Clients — will be checked in the portal","✔ OK")))))</f>
        <v/>
      </c>
    </row>
    <row r="1150">
      <c r="A1150" s="40" t="n"/>
      <c r="B1150" s="41" t="n"/>
      <c r="C1150" s="41" t="n"/>
      <c r="D1150" s="40" t="n"/>
      <c r="E1150" s="40" t="n"/>
      <c r="F1150" s="40" t="n"/>
      <c r="G1150" s="39">
        <f>IF(COUNTA(A1150:F1150)=0,"",IF(A1150="EXAMPLE","Example (skipped)",IF(OR(C1150="",E1150="",F1150=""),"✖ Portal, User ID and Password are all needed",IF(AND(A1150="",COUNTIF(Clients!$B$5:$B$1005,B1150)=0),"Not on Clients — will match a portal client by name",IF(AND(C1150="GST",D1150&lt;&gt;"",COUNTIF(Clients!$AZ$5:$AZ$1005,UPPER(D1150))=0,COUNTIF(Clients!$G$5:$G$1005,"*"&amp;UPPER(D1150)&amp;"*")=0),"GSTIN not on Clients — will be checked in the portal","✔ OK")))))</f>
        <v/>
      </c>
    </row>
    <row r="1151">
      <c r="A1151" s="40" t="n"/>
      <c r="B1151" s="41" t="n"/>
      <c r="C1151" s="41" t="n"/>
      <c r="D1151" s="40" t="n"/>
      <c r="E1151" s="40" t="n"/>
      <c r="F1151" s="40" t="n"/>
      <c r="G1151" s="39">
        <f>IF(COUNTA(A1151:F1151)=0,"",IF(A1151="EXAMPLE","Example (skipped)",IF(OR(C1151="",E1151="",F1151=""),"✖ Portal, User ID and Password are all needed",IF(AND(A1151="",COUNTIF(Clients!$B$5:$B$1005,B1151)=0),"Not on Clients — will match a portal client by name",IF(AND(C1151="GST",D1151&lt;&gt;"",COUNTIF(Clients!$AZ$5:$AZ$1005,UPPER(D1151))=0,COUNTIF(Clients!$G$5:$G$1005,"*"&amp;UPPER(D1151)&amp;"*")=0),"GSTIN not on Clients — will be checked in the portal","✔ OK")))))</f>
        <v/>
      </c>
    </row>
    <row r="1152">
      <c r="A1152" s="40" t="n"/>
      <c r="B1152" s="41" t="n"/>
      <c r="C1152" s="41" t="n"/>
      <c r="D1152" s="40" t="n"/>
      <c r="E1152" s="40" t="n"/>
      <c r="F1152" s="40" t="n"/>
      <c r="G1152" s="39">
        <f>IF(COUNTA(A1152:F1152)=0,"",IF(A1152="EXAMPLE","Example (skipped)",IF(OR(C1152="",E1152="",F1152=""),"✖ Portal, User ID and Password are all needed",IF(AND(A1152="",COUNTIF(Clients!$B$5:$B$1005,B1152)=0),"Not on Clients — will match a portal client by name",IF(AND(C1152="GST",D1152&lt;&gt;"",COUNTIF(Clients!$AZ$5:$AZ$1005,UPPER(D1152))=0,COUNTIF(Clients!$G$5:$G$1005,"*"&amp;UPPER(D1152)&amp;"*")=0),"GSTIN not on Clients — will be checked in the portal","✔ OK")))))</f>
        <v/>
      </c>
    </row>
    <row r="1153">
      <c r="A1153" s="40" t="n"/>
      <c r="B1153" s="41" t="n"/>
      <c r="C1153" s="41" t="n"/>
      <c r="D1153" s="40" t="n"/>
      <c r="E1153" s="40" t="n"/>
      <c r="F1153" s="40" t="n"/>
      <c r="G1153" s="39">
        <f>IF(COUNTA(A1153:F1153)=0,"",IF(A1153="EXAMPLE","Example (skipped)",IF(OR(C1153="",E1153="",F1153=""),"✖ Portal, User ID and Password are all needed",IF(AND(A1153="",COUNTIF(Clients!$B$5:$B$1005,B1153)=0),"Not on Clients — will match a portal client by name",IF(AND(C1153="GST",D1153&lt;&gt;"",COUNTIF(Clients!$AZ$5:$AZ$1005,UPPER(D1153))=0,COUNTIF(Clients!$G$5:$G$1005,"*"&amp;UPPER(D1153)&amp;"*")=0),"GSTIN not on Clients — will be checked in the portal","✔ OK")))))</f>
        <v/>
      </c>
    </row>
    <row r="1154">
      <c r="A1154" s="40" t="n"/>
      <c r="B1154" s="41" t="n"/>
      <c r="C1154" s="41" t="n"/>
      <c r="D1154" s="40" t="n"/>
      <c r="E1154" s="40" t="n"/>
      <c r="F1154" s="40" t="n"/>
      <c r="G1154" s="39">
        <f>IF(COUNTA(A1154:F1154)=0,"",IF(A1154="EXAMPLE","Example (skipped)",IF(OR(C1154="",E1154="",F1154=""),"✖ Portal, User ID and Password are all needed",IF(AND(A1154="",COUNTIF(Clients!$B$5:$B$1005,B1154)=0),"Not on Clients — will match a portal client by name",IF(AND(C1154="GST",D1154&lt;&gt;"",COUNTIF(Clients!$AZ$5:$AZ$1005,UPPER(D1154))=0,COUNTIF(Clients!$G$5:$G$1005,"*"&amp;UPPER(D1154)&amp;"*")=0),"GSTIN not on Clients — will be checked in the portal","✔ OK")))))</f>
        <v/>
      </c>
    </row>
    <row r="1155">
      <c r="A1155" s="40" t="n"/>
      <c r="B1155" s="41" t="n"/>
      <c r="C1155" s="41" t="n"/>
      <c r="D1155" s="40" t="n"/>
      <c r="E1155" s="40" t="n"/>
      <c r="F1155" s="40" t="n"/>
      <c r="G1155" s="39">
        <f>IF(COUNTA(A1155:F1155)=0,"",IF(A1155="EXAMPLE","Example (skipped)",IF(OR(C1155="",E1155="",F1155=""),"✖ Portal, User ID and Password are all needed",IF(AND(A1155="",COUNTIF(Clients!$B$5:$B$1005,B1155)=0),"Not on Clients — will match a portal client by name",IF(AND(C1155="GST",D1155&lt;&gt;"",COUNTIF(Clients!$AZ$5:$AZ$1005,UPPER(D1155))=0,COUNTIF(Clients!$G$5:$G$1005,"*"&amp;UPPER(D1155)&amp;"*")=0),"GSTIN not on Clients — will be checked in the portal","✔ OK")))))</f>
        <v/>
      </c>
    </row>
    <row r="1156">
      <c r="A1156" s="40" t="n"/>
      <c r="B1156" s="41" t="n"/>
      <c r="C1156" s="41" t="n"/>
      <c r="D1156" s="40" t="n"/>
      <c r="E1156" s="40" t="n"/>
      <c r="F1156" s="40" t="n"/>
      <c r="G1156" s="39">
        <f>IF(COUNTA(A1156:F1156)=0,"",IF(A1156="EXAMPLE","Example (skipped)",IF(OR(C1156="",E1156="",F1156=""),"✖ Portal, User ID and Password are all needed",IF(AND(A1156="",COUNTIF(Clients!$B$5:$B$1005,B1156)=0),"Not on Clients — will match a portal client by name",IF(AND(C1156="GST",D1156&lt;&gt;"",COUNTIF(Clients!$AZ$5:$AZ$1005,UPPER(D1156))=0,COUNTIF(Clients!$G$5:$G$1005,"*"&amp;UPPER(D1156)&amp;"*")=0),"GSTIN not on Clients — will be checked in the portal","✔ OK")))))</f>
        <v/>
      </c>
    </row>
    <row r="1157">
      <c r="A1157" s="40" t="n"/>
      <c r="B1157" s="41" t="n"/>
      <c r="C1157" s="41" t="n"/>
      <c r="D1157" s="40" t="n"/>
      <c r="E1157" s="40" t="n"/>
      <c r="F1157" s="40" t="n"/>
      <c r="G1157" s="39">
        <f>IF(COUNTA(A1157:F1157)=0,"",IF(A1157="EXAMPLE","Example (skipped)",IF(OR(C1157="",E1157="",F1157=""),"✖ Portal, User ID and Password are all needed",IF(AND(A1157="",COUNTIF(Clients!$B$5:$B$1005,B1157)=0),"Not on Clients — will match a portal client by name",IF(AND(C1157="GST",D1157&lt;&gt;"",COUNTIF(Clients!$AZ$5:$AZ$1005,UPPER(D1157))=0,COUNTIF(Clients!$G$5:$G$1005,"*"&amp;UPPER(D1157)&amp;"*")=0),"GSTIN not on Clients — will be checked in the portal","✔ OK")))))</f>
        <v/>
      </c>
    </row>
    <row r="1158">
      <c r="A1158" s="40" t="n"/>
      <c r="B1158" s="41" t="n"/>
      <c r="C1158" s="41" t="n"/>
      <c r="D1158" s="40" t="n"/>
      <c r="E1158" s="40" t="n"/>
      <c r="F1158" s="40" t="n"/>
      <c r="G1158" s="39">
        <f>IF(COUNTA(A1158:F1158)=0,"",IF(A1158="EXAMPLE","Example (skipped)",IF(OR(C1158="",E1158="",F1158=""),"✖ Portal, User ID and Password are all needed",IF(AND(A1158="",COUNTIF(Clients!$B$5:$B$1005,B1158)=0),"Not on Clients — will match a portal client by name",IF(AND(C1158="GST",D1158&lt;&gt;"",COUNTIF(Clients!$AZ$5:$AZ$1005,UPPER(D1158))=0,COUNTIF(Clients!$G$5:$G$1005,"*"&amp;UPPER(D1158)&amp;"*")=0),"GSTIN not on Clients — will be checked in the portal","✔ OK")))))</f>
        <v/>
      </c>
    </row>
    <row r="1159">
      <c r="A1159" s="40" t="n"/>
      <c r="B1159" s="41" t="n"/>
      <c r="C1159" s="41" t="n"/>
      <c r="D1159" s="40" t="n"/>
      <c r="E1159" s="40" t="n"/>
      <c r="F1159" s="40" t="n"/>
      <c r="G1159" s="39">
        <f>IF(COUNTA(A1159:F1159)=0,"",IF(A1159="EXAMPLE","Example (skipped)",IF(OR(C1159="",E1159="",F1159=""),"✖ Portal, User ID and Password are all needed",IF(AND(A1159="",COUNTIF(Clients!$B$5:$B$1005,B1159)=0),"Not on Clients — will match a portal client by name",IF(AND(C1159="GST",D1159&lt;&gt;"",COUNTIF(Clients!$AZ$5:$AZ$1005,UPPER(D1159))=0,COUNTIF(Clients!$G$5:$G$1005,"*"&amp;UPPER(D1159)&amp;"*")=0),"GSTIN not on Clients — will be checked in the portal","✔ OK")))))</f>
        <v/>
      </c>
    </row>
    <row r="1160">
      <c r="A1160" s="40" t="n"/>
      <c r="B1160" s="41" t="n"/>
      <c r="C1160" s="41" t="n"/>
      <c r="D1160" s="40" t="n"/>
      <c r="E1160" s="40" t="n"/>
      <c r="F1160" s="40" t="n"/>
      <c r="G1160" s="39">
        <f>IF(COUNTA(A1160:F1160)=0,"",IF(A1160="EXAMPLE","Example (skipped)",IF(OR(C1160="",E1160="",F1160=""),"✖ Portal, User ID and Password are all needed",IF(AND(A1160="",COUNTIF(Clients!$B$5:$B$1005,B1160)=0),"Not on Clients — will match a portal client by name",IF(AND(C1160="GST",D1160&lt;&gt;"",COUNTIF(Clients!$AZ$5:$AZ$1005,UPPER(D1160))=0,COUNTIF(Clients!$G$5:$G$1005,"*"&amp;UPPER(D1160)&amp;"*")=0),"GSTIN not on Clients — will be checked in the portal","✔ OK")))))</f>
        <v/>
      </c>
    </row>
    <row r="1161">
      <c r="A1161" s="40" t="n"/>
      <c r="B1161" s="41" t="n"/>
      <c r="C1161" s="41" t="n"/>
      <c r="D1161" s="40" t="n"/>
      <c r="E1161" s="40" t="n"/>
      <c r="F1161" s="40" t="n"/>
      <c r="G1161" s="39">
        <f>IF(COUNTA(A1161:F1161)=0,"",IF(A1161="EXAMPLE","Example (skipped)",IF(OR(C1161="",E1161="",F1161=""),"✖ Portal, User ID and Password are all needed",IF(AND(A1161="",COUNTIF(Clients!$B$5:$B$1005,B1161)=0),"Not on Clients — will match a portal client by name",IF(AND(C1161="GST",D1161&lt;&gt;"",COUNTIF(Clients!$AZ$5:$AZ$1005,UPPER(D1161))=0,COUNTIF(Clients!$G$5:$G$1005,"*"&amp;UPPER(D1161)&amp;"*")=0),"GSTIN not on Clients — will be checked in the portal","✔ OK")))))</f>
        <v/>
      </c>
    </row>
    <row r="1162">
      <c r="A1162" s="40" t="n"/>
      <c r="B1162" s="41" t="n"/>
      <c r="C1162" s="41" t="n"/>
      <c r="D1162" s="40" t="n"/>
      <c r="E1162" s="40" t="n"/>
      <c r="F1162" s="40" t="n"/>
      <c r="G1162" s="39">
        <f>IF(COUNTA(A1162:F1162)=0,"",IF(A1162="EXAMPLE","Example (skipped)",IF(OR(C1162="",E1162="",F1162=""),"✖ Portal, User ID and Password are all needed",IF(AND(A1162="",COUNTIF(Clients!$B$5:$B$1005,B1162)=0),"Not on Clients — will match a portal client by name",IF(AND(C1162="GST",D1162&lt;&gt;"",COUNTIF(Clients!$AZ$5:$AZ$1005,UPPER(D1162))=0,COUNTIF(Clients!$G$5:$G$1005,"*"&amp;UPPER(D1162)&amp;"*")=0),"GSTIN not on Clients — will be checked in the portal","✔ OK")))))</f>
        <v/>
      </c>
    </row>
    <row r="1163">
      <c r="A1163" s="40" t="n"/>
      <c r="B1163" s="41" t="n"/>
      <c r="C1163" s="41" t="n"/>
      <c r="D1163" s="40" t="n"/>
      <c r="E1163" s="40" t="n"/>
      <c r="F1163" s="40" t="n"/>
      <c r="G1163" s="39">
        <f>IF(COUNTA(A1163:F1163)=0,"",IF(A1163="EXAMPLE","Example (skipped)",IF(OR(C1163="",E1163="",F1163=""),"✖ Portal, User ID and Password are all needed",IF(AND(A1163="",COUNTIF(Clients!$B$5:$B$1005,B1163)=0),"Not on Clients — will match a portal client by name",IF(AND(C1163="GST",D1163&lt;&gt;"",COUNTIF(Clients!$AZ$5:$AZ$1005,UPPER(D1163))=0,COUNTIF(Clients!$G$5:$G$1005,"*"&amp;UPPER(D1163)&amp;"*")=0),"GSTIN not on Clients — will be checked in the portal","✔ OK")))))</f>
        <v/>
      </c>
    </row>
    <row r="1164">
      <c r="A1164" s="40" t="n"/>
      <c r="B1164" s="41" t="n"/>
      <c r="C1164" s="41" t="n"/>
      <c r="D1164" s="40" t="n"/>
      <c r="E1164" s="40" t="n"/>
      <c r="F1164" s="40" t="n"/>
      <c r="G1164" s="39">
        <f>IF(COUNTA(A1164:F1164)=0,"",IF(A1164="EXAMPLE","Example (skipped)",IF(OR(C1164="",E1164="",F1164=""),"✖ Portal, User ID and Password are all needed",IF(AND(A1164="",COUNTIF(Clients!$B$5:$B$1005,B1164)=0),"Not on Clients — will match a portal client by name",IF(AND(C1164="GST",D1164&lt;&gt;"",COUNTIF(Clients!$AZ$5:$AZ$1005,UPPER(D1164))=0,COUNTIF(Clients!$G$5:$G$1005,"*"&amp;UPPER(D1164)&amp;"*")=0),"GSTIN not on Clients — will be checked in the portal","✔ OK")))))</f>
        <v/>
      </c>
    </row>
    <row r="1165">
      <c r="A1165" s="40" t="n"/>
      <c r="B1165" s="41" t="n"/>
      <c r="C1165" s="41" t="n"/>
      <c r="D1165" s="40" t="n"/>
      <c r="E1165" s="40" t="n"/>
      <c r="F1165" s="40" t="n"/>
      <c r="G1165" s="39">
        <f>IF(COUNTA(A1165:F1165)=0,"",IF(A1165="EXAMPLE","Example (skipped)",IF(OR(C1165="",E1165="",F1165=""),"✖ Portal, User ID and Password are all needed",IF(AND(A1165="",COUNTIF(Clients!$B$5:$B$1005,B1165)=0),"Not on Clients — will match a portal client by name",IF(AND(C1165="GST",D1165&lt;&gt;"",COUNTIF(Clients!$AZ$5:$AZ$1005,UPPER(D1165))=0,COUNTIF(Clients!$G$5:$G$1005,"*"&amp;UPPER(D1165)&amp;"*")=0),"GSTIN not on Clients — will be checked in the portal","✔ OK")))))</f>
        <v/>
      </c>
    </row>
    <row r="1166">
      <c r="A1166" s="40" t="n"/>
      <c r="B1166" s="41" t="n"/>
      <c r="C1166" s="41" t="n"/>
      <c r="D1166" s="40" t="n"/>
      <c r="E1166" s="40" t="n"/>
      <c r="F1166" s="40" t="n"/>
      <c r="G1166" s="39">
        <f>IF(COUNTA(A1166:F1166)=0,"",IF(A1166="EXAMPLE","Example (skipped)",IF(OR(C1166="",E1166="",F1166=""),"✖ Portal, User ID and Password are all needed",IF(AND(A1166="",COUNTIF(Clients!$B$5:$B$1005,B1166)=0),"Not on Clients — will match a portal client by name",IF(AND(C1166="GST",D1166&lt;&gt;"",COUNTIF(Clients!$AZ$5:$AZ$1005,UPPER(D1166))=0,COUNTIF(Clients!$G$5:$G$1005,"*"&amp;UPPER(D1166)&amp;"*")=0),"GSTIN not on Clients — will be checked in the portal","✔ OK")))))</f>
        <v/>
      </c>
    </row>
    <row r="1167">
      <c r="A1167" s="40" t="n"/>
      <c r="B1167" s="41" t="n"/>
      <c r="C1167" s="41" t="n"/>
      <c r="D1167" s="40" t="n"/>
      <c r="E1167" s="40" t="n"/>
      <c r="F1167" s="40" t="n"/>
      <c r="G1167" s="39">
        <f>IF(COUNTA(A1167:F1167)=0,"",IF(A1167="EXAMPLE","Example (skipped)",IF(OR(C1167="",E1167="",F1167=""),"✖ Portal, User ID and Password are all needed",IF(AND(A1167="",COUNTIF(Clients!$B$5:$B$1005,B1167)=0),"Not on Clients — will match a portal client by name",IF(AND(C1167="GST",D1167&lt;&gt;"",COUNTIF(Clients!$AZ$5:$AZ$1005,UPPER(D1167))=0,COUNTIF(Clients!$G$5:$G$1005,"*"&amp;UPPER(D1167)&amp;"*")=0),"GSTIN not on Clients — will be checked in the portal","✔ OK")))))</f>
        <v/>
      </c>
    </row>
    <row r="1168">
      <c r="A1168" s="40" t="n"/>
      <c r="B1168" s="41" t="n"/>
      <c r="C1168" s="41" t="n"/>
      <c r="D1168" s="40" t="n"/>
      <c r="E1168" s="40" t="n"/>
      <c r="F1168" s="40" t="n"/>
      <c r="G1168" s="39">
        <f>IF(COUNTA(A1168:F1168)=0,"",IF(A1168="EXAMPLE","Example (skipped)",IF(OR(C1168="",E1168="",F1168=""),"✖ Portal, User ID and Password are all needed",IF(AND(A1168="",COUNTIF(Clients!$B$5:$B$1005,B1168)=0),"Not on Clients — will match a portal client by name",IF(AND(C1168="GST",D1168&lt;&gt;"",COUNTIF(Clients!$AZ$5:$AZ$1005,UPPER(D1168))=0,COUNTIF(Clients!$G$5:$G$1005,"*"&amp;UPPER(D1168)&amp;"*")=0),"GSTIN not on Clients — will be checked in the portal","✔ OK")))))</f>
        <v/>
      </c>
    </row>
    <row r="1169">
      <c r="A1169" s="40" t="n"/>
      <c r="B1169" s="41" t="n"/>
      <c r="C1169" s="41" t="n"/>
      <c r="D1169" s="40" t="n"/>
      <c r="E1169" s="40" t="n"/>
      <c r="F1169" s="40" t="n"/>
      <c r="G1169" s="39">
        <f>IF(COUNTA(A1169:F1169)=0,"",IF(A1169="EXAMPLE","Example (skipped)",IF(OR(C1169="",E1169="",F1169=""),"✖ Portal, User ID and Password are all needed",IF(AND(A1169="",COUNTIF(Clients!$B$5:$B$1005,B1169)=0),"Not on Clients — will match a portal client by name",IF(AND(C1169="GST",D1169&lt;&gt;"",COUNTIF(Clients!$AZ$5:$AZ$1005,UPPER(D1169))=0,COUNTIF(Clients!$G$5:$G$1005,"*"&amp;UPPER(D1169)&amp;"*")=0),"GSTIN not on Clients — will be checked in the portal","✔ OK")))))</f>
        <v/>
      </c>
    </row>
    <row r="1170">
      <c r="A1170" s="40" t="n"/>
      <c r="B1170" s="41" t="n"/>
      <c r="C1170" s="41" t="n"/>
      <c r="D1170" s="40" t="n"/>
      <c r="E1170" s="40" t="n"/>
      <c r="F1170" s="40" t="n"/>
      <c r="G1170" s="39">
        <f>IF(COUNTA(A1170:F1170)=0,"",IF(A1170="EXAMPLE","Example (skipped)",IF(OR(C1170="",E1170="",F1170=""),"✖ Portal, User ID and Password are all needed",IF(AND(A1170="",COUNTIF(Clients!$B$5:$B$1005,B1170)=0),"Not on Clients — will match a portal client by name",IF(AND(C1170="GST",D1170&lt;&gt;"",COUNTIF(Clients!$AZ$5:$AZ$1005,UPPER(D1170))=0,COUNTIF(Clients!$G$5:$G$1005,"*"&amp;UPPER(D1170)&amp;"*")=0),"GSTIN not on Clients — will be checked in the portal","✔ OK")))))</f>
        <v/>
      </c>
    </row>
    <row r="1171">
      <c r="A1171" s="40" t="n"/>
      <c r="B1171" s="41" t="n"/>
      <c r="C1171" s="41" t="n"/>
      <c r="D1171" s="40" t="n"/>
      <c r="E1171" s="40" t="n"/>
      <c r="F1171" s="40" t="n"/>
      <c r="G1171" s="39">
        <f>IF(COUNTA(A1171:F1171)=0,"",IF(A1171="EXAMPLE","Example (skipped)",IF(OR(C1171="",E1171="",F1171=""),"✖ Portal, User ID and Password are all needed",IF(AND(A1171="",COUNTIF(Clients!$B$5:$B$1005,B1171)=0),"Not on Clients — will match a portal client by name",IF(AND(C1171="GST",D1171&lt;&gt;"",COUNTIF(Clients!$AZ$5:$AZ$1005,UPPER(D1171))=0,COUNTIF(Clients!$G$5:$G$1005,"*"&amp;UPPER(D1171)&amp;"*")=0),"GSTIN not on Clients — will be checked in the portal","✔ OK")))))</f>
        <v/>
      </c>
    </row>
    <row r="1172">
      <c r="A1172" s="40" t="n"/>
      <c r="B1172" s="41" t="n"/>
      <c r="C1172" s="41" t="n"/>
      <c r="D1172" s="40" t="n"/>
      <c r="E1172" s="40" t="n"/>
      <c r="F1172" s="40" t="n"/>
      <c r="G1172" s="39">
        <f>IF(COUNTA(A1172:F1172)=0,"",IF(A1172="EXAMPLE","Example (skipped)",IF(OR(C1172="",E1172="",F1172=""),"✖ Portal, User ID and Password are all needed",IF(AND(A1172="",COUNTIF(Clients!$B$5:$B$1005,B1172)=0),"Not on Clients — will match a portal client by name",IF(AND(C1172="GST",D1172&lt;&gt;"",COUNTIF(Clients!$AZ$5:$AZ$1005,UPPER(D1172))=0,COUNTIF(Clients!$G$5:$G$1005,"*"&amp;UPPER(D1172)&amp;"*")=0),"GSTIN not on Clients — will be checked in the portal","✔ OK")))))</f>
        <v/>
      </c>
    </row>
    <row r="1173">
      <c r="A1173" s="40" t="n"/>
      <c r="B1173" s="41" t="n"/>
      <c r="C1173" s="41" t="n"/>
      <c r="D1173" s="40" t="n"/>
      <c r="E1173" s="40" t="n"/>
      <c r="F1173" s="40" t="n"/>
      <c r="G1173" s="39">
        <f>IF(COUNTA(A1173:F1173)=0,"",IF(A1173="EXAMPLE","Example (skipped)",IF(OR(C1173="",E1173="",F1173=""),"✖ Portal, User ID and Password are all needed",IF(AND(A1173="",COUNTIF(Clients!$B$5:$B$1005,B1173)=0),"Not on Clients — will match a portal client by name",IF(AND(C1173="GST",D1173&lt;&gt;"",COUNTIF(Clients!$AZ$5:$AZ$1005,UPPER(D1173))=0,COUNTIF(Clients!$G$5:$G$1005,"*"&amp;UPPER(D1173)&amp;"*")=0),"GSTIN not on Clients — will be checked in the portal","✔ OK")))))</f>
        <v/>
      </c>
    </row>
    <row r="1174">
      <c r="A1174" s="40" t="n"/>
      <c r="B1174" s="41" t="n"/>
      <c r="C1174" s="41" t="n"/>
      <c r="D1174" s="40" t="n"/>
      <c r="E1174" s="40" t="n"/>
      <c r="F1174" s="40" t="n"/>
      <c r="G1174" s="39">
        <f>IF(COUNTA(A1174:F1174)=0,"",IF(A1174="EXAMPLE","Example (skipped)",IF(OR(C1174="",E1174="",F1174=""),"✖ Portal, User ID and Password are all needed",IF(AND(A1174="",COUNTIF(Clients!$B$5:$B$1005,B1174)=0),"Not on Clients — will match a portal client by name",IF(AND(C1174="GST",D1174&lt;&gt;"",COUNTIF(Clients!$AZ$5:$AZ$1005,UPPER(D1174))=0,COUNTIF(Clients!$G$5:$G$1005,"*"&amp;UPPER(D1174)&amp;"*")=0),"GSTIN not on Clients — will be checked in the portal","✔ OK")))))</f>
        <v/>
      </c>
    </row>
    <row r="1175">
      <c r="A1175" s="40" t="n"/>
      <c r="B1175" s="41" t="n"/>
      <c r="C1175" s="41" t="n"/>
      <c r="D1175" s="40" t="n"/>
      <c r="E1175" s="40" t="n"/>
      <c r="F1175" s="40" t="n"/>
      <c r="G1175" s="39">
        <f>IF(COUNTA(A1175:F1175)=0,"",IF(A1175="EXAMPLE","Example (skipped)",IF(OR(C1175="",E1175="",F1175=""),"✖ Portal, User ID and Password are all needed",IF(AND(A1175="",COUNTIF(Clients!$B$5:$B$1005,B1175)=0),"Not on Clients — will match a portal client by name",IF(AND(C1175="GST",D1175&lt;&gt;"",COUNTIF(Clients!$AZ$5:$AZ$1005,UPPER(D1175))=0,COUNTIF(Clients!$G$5:$G$1005,"*"&amp;UPPER(D1175)&amp;"*")=0),"GSTIN not on Clients — will be checked in the portal","✔ OK")))))</f>
        <v/>
      </c>
    </row>
    <row r="1176">
      <c r="A1176" s="40" t="n"/>
      <c r="B1176" s="41" t="n"/>
      <c r="C1176" s="41" t="n"/>
      <c r="D1176" s="40" t="n"/>
      <c r="E1176" s="40" t="n"/>
      <c r="F1176" s="40" t="n"/>
      <c r="G1176" s="39">
        <f>IF(COUNTA(A1176:F1176)=0,"",IF(A1176="EXAMPLE","Example (skipped)",IF(OR(C1176="",E1176="",F1176=""),"✖ Portal, User ID and Password are all needed",IF(AND(A1176="",COUNTIF(Clients!$B$5:$B$1005,B1176)=0),"Not on Clients — will match a portal client by name",IF(AND(C1176="GST",D1176&lt;&gt;"",COUNTIF(Clients!$AZ$5:$AZ$1005,UPPER(D1176))=0,COUNTIF(Clients!$G$5:$G$1005,"*"&amp;UPPER(D1176)&amp;"*")=0),"GSTIN not on Clients — will be checked in the portal","✔ OK")))))</f>
        <v/>
      </c>
    </row>
    <row r="1177">
      <c r="A1177" s="40" t="n"/>
      <c r="B1177" s="41" t="n"/>
      <c r="C1177" s="41" t="n"/>
      <c r="D1177" s="40" t="n"/>
      <c r="E1177" s="40" t="n"/>
      <c r="F1177" s="40" t="n"/>
      <c r="G1177" s="39">
        <f>IF(COUNTA(A1177:F1177)=0,"",IF(A1177="EXAMPLE","Example (skipped)",IF(OR(C1177="",E1177="",F1177=""),"✖ Portal, User ID and Password are all needed",IF(AND(A1177="",COUNTIF(Clients!$B$5:$B$1005,B1177)=0),"Not on Clients — will match a portal client by name",IF(AND(C1177="GST",D1177&lt;&gt;"",COUNTIF(Clients!$AZ$5:$AZ$1005,UPPER(D1177))=0,COUNTIF(Clients!$G$5:$G$1005,"*"&amp;UPPER(D1177)&amp;"*")=0),"GSTIN not on Clients — will be checked in the portal","✔ OK")))))</f>
        <v/>
      </c>
    </row>
    <row r="1178">
      <c r="A1178" s="40" t="n"/>
      <c r="B1178" s="41" t="n"/>
      <c r="C1178" s="41" t="n"/>
      <c r="D1178" s="40" t="n"/>
      <c r="E1178" s="40" t="n"/>
      <c r="F1178" s="40" t="n"/>
      <c r="G1178" s="39">
        <f>IF(COUNTA(A1178:F1178)=0,"",IF(A1178="EXAMPLE","Example (skipped)",IF(OR(C1178="",E1178="",F1178=""),"✖ Portal, User ID and Password are all needed",IF(AND(A1178="",COUNTIF(Clients!$B$5:$B$1005,B1178)=0),"Not on Clients — will match a portal client by name",IF(AND(C1178="GST",D1178&lt;&gt;"",COUNTIF(Clients!$AZ$5:$AZ$1005,UPPER(D1178))=0,COUNTIF(Clients!$G$5:$G$1005,"*"&amp;UPPER(D1178)&amp;"*")=0),"GSTIN not on Clients — will be checked in the portal","✔ OK")))))</f>
        <v/>
      </c>
    </row>
    <row r="1179">
      <c r="A1179" s="40" t="n"/>
      <c r="B1179" s="41" t="n"/>
      <c r="C1179" s="41" t="n"/>
      <c r="D1179" s="40" t="n"/>
      <c r="E1179" s="40" t="n"/>
      <c r="F1179" s="40" t="n"/>
      <c r="G1179" s="39">
        <f>IF(COUNTA(A1179:F1179)=0,"",IF(A1179="EXAMPLE","Example (skipped)",IF(OR(C1179="",E1179="",F1179=""),"✖ Portal, User ID and Password are all needed",IF(AND(A1179="",COUNTIF(Clients!$B$5:$B$1005,B1179)=0),"Not on Clients — will match a portal client by name",IF(AND(C1179="GST",D1179&lt;&gt;"",COUNTIF(Clients!$AZ$5:$AZ$1005,UPPER(D1179))=0,COUNTIF(Clients!$G$5:$G$1005,"*"&amp;UPPER(D1179)&amp;"*")=0),"GSTIN not on Clients — will be checked in the portal","✔ OK")))))</f>
        <v/>
      </c>
    </row>
    <row r="1180">
      <c r="A1180" s="40" t="n"/>
      <c r="B1180" s="41" t="n"/>
      <c r="C1180" s="41" t="n"/>
      <c r="D1180" s="40" t="n"/>
      <c r="E1180" s="40" t="n"/>
      <c r="F1180" s="40" t="n"/>
      <c r="G1180" s="39">
        <f>IF(COUNTA(A1180:F1180)=0,"",IF(A1180="EXAMPLE","Example (skipped)",IF(OR(C1180="",E1180="",F1180=""),"✖ Portal, User ID and Password are all needed",IF(AND(A1180="",COUNTIF(Clients!$B$5:$B$1005,B1180)=0),"Not on Clients — will match a portal client by name",IF(AND(C1180="GST",D1180&lt;&gt;"",COUNTIF(Clients!$AZ$5:$AZ$1005,UPPER(D1180))=0,COUNTIF(Clients!$G$5:$G$1005,"*"&amp;UPPER(D1180)&amp;"*")=0),"GSTIN not on Clients — will be checked in the portal","✔ OK")))))</f>
        <v/>
      </c>
    </row>
    <row r="1181">
      <c r="A1181" s="40" t="n"/>
      <c r="B1181" s="41" t="n"/>
      <c r="C1181" s="41" t="n"/>
      <c r="D1181" s="40" t="n"/>
      <c r="E1181" s="40" t="n"/>
      <c r="F1181" s="40" t="n"/>
      <c r="G1181" s="39">
        <f>IF(COUNTA(A1181:F1181)=0,"",IF(A1181="EXAMPLE","Example (skipped)",IF(OR(C1181="",E1181="",F1181=""),"✖ Portal, User ID and Password are all needed",IF(AND(A1181="",COUNTIF(Clients!$B$5:$B$1005,B1181)=0),"Not on Clients — will match a portal client by name",IF(AND(C1181="GST",D1181&lt;&gt;"",COUNTIF(Clients!$AZ$5:$AZ$1005,UPPER(D1181))=0,COUNTIF(Clients!$G$5:$G$1005,"*"&amp;UPPER(D1181)&amp;"*")=0),"GSTIN not on Clients — will be checked in the portal","✔ OK")))))</f>
        <v/>
      </c>
    </row>
    <row r="1182">
      <c r="A1182" s="40" t="n"/>
      <c r="B1182" s="41" t="n"/>
      <c r="C1182" s="41" t="n"/>
      <c r="D1182" s="40" t="n"/>
      <c r="E1182" s="40" t="n"/>
      <c r="F1182" s="40" t="n"/>
      <c r="G1182" s="39">
        <f>IF(COUNTA(A1182:F1182)=0,"",IF(A1182="EXAMPLE","Example (skipped)",IF(OR(C1182="",E1182="",F1182=""),"✖ Portal, User ID and Password are all needed",IF(AND(A1182="",COUNTIF(Clients!$B$5:$B$1005,B1182)=0),"Not on Clients — will match a portal client by name",IF(AND(C1182="GST",D1182&lt;&gt;"",COUNTIF(Clients!$AZ$5:$AZ$1005,UPPER(D1182))=0,COUNTIF(Clients!$G$5:$G$1005,"*"&amp;UPPER(D1182)&amp;"*")=0),"GSTIN not on Clients — will be checked in the portal","✔ OK")))))</f>
        <v/>
      </c>
    </row>
    <row r="1183">
      <c r="A1183" s="40" t="n"/>
      <c r="B1183" s="41" t="n"/>
      <c r="C1183" s="41" t="n"/>
      <c r="D1183" s="40" t="n"/>
      <c r="E1183" s="40" t="n"/>
      <c r="F1183" s="40" t="n"/>
      <c r="G1183" s="39">
        <f>IF(COUNTA(A1183:F1183)=0,"",IF(A1183="EXAMPLE","Example (skipped)",IF(OR(C1183="",E1183="",F1183=""),"✖ Portal, User ID and Password are all needed",IF(AND(A1183="",COUNTIF(Clients!$B$5:$B$1005,B1183)=0),"Not on Clients — will match a portal client by name",IF(AND(C1183="GST",D1183&lt;&gt;"",COUNTIF(Clients!$AZ$5:$AZ$1005,UPPER(D1183))=0,COUNTIF(Clients!$G$5:$G$1005,"*"&amp;UPPER(D1183)&amp;"*")=0),"GSTIN not on Clients — will be checked in the portal","✔ OK")))))</f>
        <v/>
      </c>
    </row>
    <row r="1184">
      <c r="A1184" s="40" t="n"/>
      <c r="B1184" s="41" t="n"/>
      <c r="C1184" s="41" t="n"/>
      <c r="D1184" s="40" t="n"/>
      <c r="E1184" s="40" t="n"/>
      <c r="F1184" s="40" t="n"/>
      <c r="G1184" s="39">
        <f>IF(COUNTA(A1184:F1184)=0,"",IF(A1184="EXAMPLE","Example (skipped)",IF(OR(C1184="",E1184="",F1184=""),"✖ Portal, User ID and Password are all needed",IF(AND(A1184="",COUNTIF(Clients!$B$5:$B$1005,B1184)=0),"Not on Clients — will match a portal client by name",IF(AND(C1184="GST",D1184&lt;&gt;"",COUNTIF(Clients!$AZ$5:$AZ$1005,UPPER(D1184))=0,COUNTIF(Clients!$G$5:$G$1005,"*"&amp;UPPER(D1184)&amp;"*")=0),"GSTIN not on Clients — will be checked in the portal","✔ OK")))))</f>
        <v/>
      </c>
    </row>
    <row r="1185">
      <c r="A1185" s="40" t="n"/>
      <c r="B1185" s="41" t="n"/>
      <c r="C1185" s="41" t="n"/>
      <c r="D1185" s="40" t="n"/>
      <c r="E1185" s="40" t="n"/>
      <c r="F1185" s="40" t="n"/>
      <c r="G1185" s="39">
        <f>IF(COUNTA(A1185:F1185)=0,"",IF(A1185="EXAMPLE","Example (skipped)",IF(OR(C1185="",E1185="",F1185=""),"✖ Portal, User ID and Password are all needed",IF(AND(A1185="",COUNTIF(Clients!$B$5:$B$1005,B1185)=0),"Not on Clients — will match a portal client by name",IF(AND(C1185="GST",D1185&lt;&gt;"",COUNTIF(Clients!$AZ$5:$AZ$1005,UPPER(D1185))=0,COUNTIF(Clients!$G$5:$G$1005,"*"&amp;UPPER(D1185)&amp;"*")=0),"GSTIN not on Clients — will be checked in the portal","✔ OK")))))</f>
        <v/>
      </c>
    </row>
    <row r="1186">
      <c r="A1186" s="40" t="n"/>
      <c r="B1186" s="41" t="n"/>
      <c r="C1186" s="41" t="n"/>
      <c r="D1186" s="40" t="n"/>
      <c r="E1186" s="40" t="n"/>
      <c r="F1186" s="40" t="n"/>
      <c r="G1186" s="39">
        <f>IF(COUNTA(A1186:F1186)=0,"",IF(A1186="EXAMPLE","Example (skipped)",IF(OR(C1186="",E1186="",F1186=""),"✖ Portal, User ID and Password are all needed",IF(AND(A1186="",COUNTIF(Clients!$B$5:$B$1005,B1186)=0),"Not on Clients — will match a portal client by name",IF(AND(C1186="GST",D1186&lt;&gt;"",COUNTIF(Clients!$AZ$5:$AZ$1005,UPPER(D1186))=0,COUNTIF(Clients!$G$5:$G$1005,"*"&amp;UPPER(D1186)&amp;"*")=0),"GSTIN not on Clients — will be checked in the portal","✔ OK")))))</f>
        <v/>
      </c>
    </row>
    <row r="1187">
      <c r="A1187" s="40" t="n"/>
      <c r="B1187" s="41" t="n"/>
      <c r="C1187" s="41" t="n"/>
      <c r="D1187" s="40" t="n"/>
      <c r="E1187" s="40" t="n"/>
      <c r="F1187" s="40" t="n"/>
      <c r="G1187" s="39">
        <f>IF(COUNTA(A1187:F1187)=0,"",IF(A1187="EXAMPLE","Example (skipped)",IF(OR(C1187="",E1187="",F1187=""),"✖ Portal, User ID and Password are all needed",IF(AND(A1187="",COUNTIF(Clients!$B$5:$B$1005,B1187)=0),"Not on Clients — will match a portal client by name",IF(AND(C1187="GST",D1187&lt;&gt;"",COUNTIF(Clients!$AZ$5:$AZ$1005,UPPER(D1187))=0,COUNTIF(Clients!$G$5:$G$1005,"*"&amp;UPPER(D1187)&amp;"*")=0),"GSTIN not on Clients — will be checked in the portal","✔ OK")))))</f>
        <v/>
      </c>
    </row>
    <row r="1188">
      <c r="A1188" s="40" t="n"/>
      <c r="B1188" s="41" t="n"/>
      <c r="C1188" s="41" t="n"/>
      <c r="D1188" s="40" t="n"/>
      <c r="E1188" s="40" t="n"/>
      <c r="F1188" s="40" t="n"/>
      <c r="G1188" s="39">
        <f>IF(COUNTA(A1188:F1188)=0,"",IF(A1188="EXAMPLE","Example (skipped)",IF(OR(C1188="",E1188="",F1188=""),"✖ Portal, User ID and Password are all needed",IF(AND(A1188="",COUNTIF(Clients!$B$5:$B$1005,B1188)=0),"Not on Clients — will match a portal client by name",IF(AND(C1188="GST",D1188&lt;&gt;"",COUNTIF(Clients!$AZ$5:$AZ$1005,UPPER(D1188))=0,COUNTIF(Clients!$G$5:$G$1005,"*"&amp;UPPER(D1188)&amp;"*")=0),"GSTIN not on Clients — will be checked in the portal","✔ OK")))))</f>
        <v/>
      </c>
    </row>
    <row r="1189">
      <c r="A1189" s="40" t="n"/>
      <c r="B1189" s="41" t="n"/>
      <c r="C1189" s="41" t="n"/>
      <c r="D1189" s="40" t="n"/>
      <c r="E1189" s="40" t="n"/>
      <c r="F1189" s="40" t="n"/>
      <c r="G1189" s="39">
        <f>IF(COUNTA(A1189:F1189)=0,"",IF(A1189="EXAMPLE","Example (skipped)",IF(OR(C1189="",E1189="",F1189=""),"✖ Portal, User ID and Password are all needed",IF(AND(A1189="",COUNTIF(Clients!$B$5:$B$1005,B1189)=0),"Not on Clients — will match a portal client by name",IF(AND(C1189="GST",D1189&lt;&gt;"",COUNTIF(Clients!$AZ$5:$AZ$1005,UPPER(D1189))=0,COUNTIF(Clients!$G$5:$G$1005,"*"&amp;UPPER(D1189)&amp;"*")=0),"GSTIN not on Clients — will be checked in the portal","✔ OK")))))</f>
        <v/>
      </c>
    </row>
    <row r="1190">
      <c r="A1190" s="40" t="n"/>
      <c r="B1190" s="41" t="n"/>
      <c r="C1190" s="41" t="n"/>
      <c r="D1190" s="40" t="n"/>
      <c r="E1190" s="40" t="n"/>
      <c r="F1190" s="40" t="n"/>
      <c r="G1190" s="39">
        <f>IF(COUNTA(A1190:F1190)=0,"",IF(A1190="EXAMPLE","Example (skipped)",IF(OR(C1190="",E1190="",F1190=""),"✖ Portal, User ID and Password are all needed",IF(AND(A1190="",COUNTIF(Clients!$B$5:$B$1005,B1190)=0),"Not on Clients — will match a portal client by name",IF(AND(C1190="GST",D1190&lt;&gt;"",COUNTIF(Clients!$AZ$5:$AZ$1005,UPPER(D1190))=0,COUNTIF(Clients!$G$5:$G$1005,"*"&amp;UPPER(D1190)&amp;"*")=0),"GSTIN not on Clients — will be checked in the portal","✔ OK")))))</f>
        <v/>
      </c>
    </row>
    <row r="1191">
      <c r="A1191" s="40" t="n"/>
      <c r="B1191" s="41" t="n"/>
      <c r="C1191" s="41" t="n"/>
      <c r="D1191" s="40" t="n"/>
      <c r="E1191" s="40" t="n"/>
      <c r="F1191" s="40" t="n"/>
      <c r="G1191" s="39">
        <f>IF(COUNTA(A1191:F1191)=0,"",IF(A1191="EXAMPLE","Example (skipped)",IF(OR(C1191="",E1191="",F1191=""),"✖ Portal, User ID and Password are all needed",IF(AND(A1191="",COUNTIF(Clients!$B$5:$B$1005,B1191)=0),"Not on Clients — will match a portal client by name",IF(AND(C1191="GST",D1191&lt;&gt;"",COUNTIF(Clients!$AZ$5:$AZ$1005,UPPER(D1191))=0,COUNTIF(Clients!$G$5:$G$1005,"*"&amp;UPPER(D1191)&amp;"*")=0),"GSTIN not on Clients — will be checked in the portal","✔ OK")))))</f>
        <v/>
      </c>
    </row>
    <row r="1192">
      <c r="A1192" s="40" t="n"/>
      <c r="B1192" s="41" t="n"/>
      <c r="C1192" s="41" t="n"/>
      <c r="D1192" s="40" t="n"/>
      <c r="E1192" s="40" t="n"/>
      <c r="F1192" s="40" t="n"/>
      <c r="G1192" s="39">
        <f>IF(COUNTA(A1192:F1192)=0,"",IF(A1192="EXAMPLE","Example (skipped)",IF(OR(C1192="",E1192="",F1192=""),"✖ Portal, User ID and Password are all needed",IF(AND(A1192="",COUNTIF(Clients!$B$5:$B$1005,B1192)=0),"Not on Clients — will match a portal client by name",IF(AND(C1192="GST",D1192&lt;&gt;"",COUNTIF(Clients!$AZ$5:$AZ$1005,UPPER(D1192))=0,COUNTIF(Clients!$G$5:$G$1005,"*"&amp;UPPER(D1192)&amp;"*")=0),"GSTIN not on Clients — will be checked in the portal","✔ OK")))))</f>
        <v/>
      </c>
    </row>
    <row r="1193">
      <c r="A1193" s="40" t="n"/>
      <c r="B1193" s="41" t="n"/>
      <c r="C1193" s="41" t="n"/>
      <c r="D1193" s="40" t="n"/>
      <c r="E1193" s="40" t="n"/>
      <c r="F1193" s="40" t="n"/>
      <c r="G1193" s="39">
        <f>IF(COUNTA(A1193:F1193)=0,"",IF(A1193="EXAMPLE","Example (skipped)",IF(OR(C1193="",E1193="",F1193=""),"✖ Portal, User ID and Password are all needed",IF(AND(A1193="",COUNTIF(Clients!$B$5:$B$1005,B1193)=0),"Not on Clients — will match a portal client by name",IF(AND(C1193="GST",D1193&lt;&gt;"",COUNTIF(Clients!$AZ$5:$AZ$1005,UPPER(D1193))=0,COUNTIF(Clients!$G$5:$G$1005,"*"&amp;UPPER(D1193)&amp;"*")=0),"GSTIN not on Clients — will be checked in the portal","✔ OK")))))</f>
        <v/>
      </c>
    </row>
    <row r="1194">
      <c r="A1194" s="40" t="n"/>
      <c r="B1194" s="41" t="n"/>
      <c r="C1194" s="41" t="n"/>
      <c r="D1194" s="40" t="n"/>
      <c r="E1194" s="40" t="n"/>
      <c r="F1194" s="40" t="n"/>
      <c r="G1194" s="39">
        <f>IF(COUNTA(A1194:F1194)=0,"",IF(A1194="EXAMPLE","Example (skipped)",IF(OR(C1194="",E1194="",F1194=""),"✖ Portal, User ID and Password are all needed",IF(AND(A1194="",COUNTIF(Clients!$B$5:$B$1005,B1194)=0),"Not on Clients — will match a portal client by name",IF(AND(C1194="GST",D1194&lt;&gt;"",COUNTIF(Clients!$AZ$5:$AZ$1005,UPPER(D1194))=0,COUNTIF(Clients!$G$5:$G$1005,"*"&amp;UPPER(D1194)&amp;"*")=0),"GSTIN not on Clients — will be checked in the portal","✔ OK")))))</f>
        <v/>
      </c>
    </row>
    <row r="1195">
      <c r="A1195" s="40" t="n"/>
      <c r="B1195" s="41" t="n"/>
      <c r="C1195" s="41" t="n"/>
      <c r="D1195" s="40" t="n"/>
      <c r="E1195" s="40" t="n"/>
      <c r="F1195" s="40" t="n"/>
      <c r="G1195" s="39">
        <f>IF(COUNTA(A1195:F1195)=0,"",IF(A1195="EXAMPLE","Example (skipped)",IF(OR(C1195="",E1195="",F1195=""),"✖ Portal, User ID and Password are all needed",IF(AND(A1195="",COUNTIF(Clients!$B$5:$B$1005,B1195)=0),"Not on Clients — will match a portal client by name",IF(AND(C1195="GST",D1195&lt;&gt;"",COUNTIF(Clients!$AZ$5:$AZ$1005,UPPER(D1195))=0,COUNTIF(Clients!$G$5:$G$1005,"*"&amp;UPPER(D1195)&amp;"*")=0),"GSTIN not on Clients — will be checked in the portal","✔ OK")))))</f>
        <v/>
      </c>
    </row>
    <row r="1196">
      <c r="A1196" s="40" t="n"/>
      <c r="B1196" s="41" t="n"/>
      <c r="C1196" s="41" t="n"/>
      <c r="D1196" s="40" t="n"/>
      <c r="E1196" s="40" t="n"/>
      <c r="F1196" s="40" t="n"/>
      <c r="G1196" s="39">
        <f>IF(COUNTA(A1196:F1196)=0,"",IF(A1196="EXAMPLE","Example (skipped)",IF(OR(C1196="",E1196="",F1196=""),"✖ Portal, User ID and Password are all needed",IF(AND(A1196="",COUNTIF(Clients!$B$5:$B$1005,B1196)=0),"Not on Clients — will match a portal client by name",IF(AND(C1196="GST",D1196&lt;&gt;"",COUNTIF(Clients!$AZ$5:$AZ$1005,UPPER(D1196))=0,COUNTIF(Clients!$G$5:$G$1005,"*"&amp;UPPER(D1196)&amp;"*")=0),"GSTIN not on Clients — will be checked in the portal","✔ OK")))))</f>
        <v/>
      </c>
    </row>
    <row r="1197">
      <c r="A1197" s="40" t="n"/>
      <c r="B1197" s="41" t="n"/>
      <c r="C1197" s="41" t="n"/>
      <c r="D1197" s="40" t="n"/>
      <c r="E1197" s="40" t="n"/>
      <c r="F1197" s="40" t="n"/>
      <c r="G1197" s="39">
        <f>IF(COUNTA(A1197:F1197)=0,"",IF(A1197="EXAMPLE","Example (skipped)",IF(OR(C1197="",E1197="",F1197=""),"✖ Portal, User ID and Password are all needed",IF(AND(A1197="",COUNTIF(Clients!$B$5:$B$1005,B1197)=0),"Not on Clients — will match a portal client by name",IF(AND(C1197="GST",D1197&lt;&gt;"",COUNTIF(Clients!$AZ$5:$AZ$1005,UPPER(D1197))=0,COUNTIF(Clients!$G$5:$G$1005,"*"&amp;UPPER(D1197)&amp;"*")=0),"GSTIN not on Clients — will be checked in the portal","✔ OK")))))</f>
        <v/>
      </c>
    </row>
    <row r="1198">
      <c r="A1198" s="40" t="n"/>
      <c r="B1198" s="41" t="n"/>
      <c r="C1198" s="41" t="n"/>
      <c r="D1198" s="40" t="n"/>
      <c r="E1198" s="40" t="n"/>
      <c r="F1198" s="40" t="n"/>
      <c r="G1198" s="39">
        <f>IF(COUNTA(A1198:F1198)=0,"",IF(A1198="EXAMPLE","Example (skipped)",IF(OR(C1198="",E1198="",F1198=""),"✖ Portal, User ID and Password are all needed",IF(AND(A1198="",COUNTIF(Clients!$B$5:$B$1005,B1198)=0),"Not on Clients — will match a portal client by name",IF(AND(C1198="GST",D1198&lt;&gt;"",COUNTIF(Clients!$AZ$5:$AZ$1005,UPPER(D1198))=0,COUNTIF(Clients!$G$5:$G$1005,"*"&amp;UPPER(D1198)&amp;"*")=0),"GSTIN not on Clients — will be checked in the portal","✔ OK")))))</f>
        <v/>
      </c>
    </row>
    <row r="1199">
      <c r="A1199" s="40" t="n"/>
      <c r="B1199" s="41" t="n"/>
      <c r="C1199" s="41" t="n"/>
      <c r="D1199" s="40" t="n"/>
      <c r="E1199" s="40" t="n"/>
      <c r="F1199" s="40" t="n"/>
      <c r="G1199" s="39">
        <f>IF(COUNTA(A1199:F1199)=0,"",IF(A1199="EXAMPLE","Example (skipped)",IF(OR(C1199="",E1199="",F1199=""),"✖ Portal, User ID and Password are all needed",IF(AND(A1199="",COUNTIF(Clients!$B$5:$B$1005,B1199)=0),"Not on Clients — will match a portal client by name",IF(AND(C1199="GST",D1199&lt;&gt;"",COUNTIF(Clients!$AZ$5:$AZ$1005,UPPER(D1199))=0,COUNTIF(Clients!$G$5:$G$1005,"*"&amp;UPPER(D1199)&amp;"*")=0),"GSTIN not on Clients — will be checked in the portal","✔ OK")))))</f>
        <v/>
      </c>
    </row>
    <row r="1200">
      <c r="A1200" s="40" t="n"/>
      <c r="B1200" s="41" t="n"/>
      <c r="C1200" s="41" t="n"/>
      <c r="D1200" s="40" t="n"/>
      <c r="E1200" s="40" t="n"/>
      <c r="F1200" s="40" t="n"/>
      <c r="G1200" s="39">
        <f>IF(COUNTA(A1200:F1200)=0,"",IF(A1200="EXAMPLE","Example (skipped)",IF(OR(C1200="",E1200="",F1200=""),"✖ Portal, User ID and Password are all needed",IF(AND(A1200="",COUNTIF(Clients!$B$5:$B$1005,B1200)=0),"Not on Clients — will match a portal client by name",IF(AND(C1200="GST",D1200&lt;&gt;"",COUNTIF(Clients!$AZ$5:$AZ$1005,UPPER(D1200))=0,COUNTIF(Clients!$G$5:$G$1005,"*"&amp;UPPER(D1200)&amp;"*")=0),"GSTIN not on Clients — will be checked in the portal","✔ OK")))))</f>
        <v/>
      </c>
    </row>
    <row r="1201">
      <c r="A1201" s="40" t="n"/>
      <c r="B1201" s="41" t="n"/>
      <c r="C1201" s="41" t="n"/>
      <c r="D1201" s="40" t="n"/>
      <c r="E1201" s="40" t="n"/>
      <c r="F1201" s="40" t="n"/>
      <c r="G1201" s="39">
        <f>IF(COUNTA(A1201:F1201)=0,"",IF(A1201="EXAMPLE","Example (skipped)",IF(OR(C1201="",E1201="",F1201=""),"✖ Portal, User ID and Password are all needed",IF(AND(A1201="",COUNTIF(Clients!$B$5:$B$1005,B1201)=0),"Not on Clients — will match a portal client by name",IF(AND(C1201="GST",D1201&lt;&gt;"",COUNTIF(Clients!$AZ$5:$AZ$1005,UPPER(D1201))=0,COUNTIF(Clients!$G$5:$G$1005,"*"&amp;UPPER(D1201)&amp;"*")=0),"GSTIN not on Clients — will be checked in the portal","✔ OK")))))</f>
        <v/>
      </c>
    </row>
    <row r="1202">
      <c r="A1202" s="40" t="n"/>
      <c r="B1202" s="41" t="n"/>
      <c r="C1202" s="41" t="n"/>
      <c r="D1202" s="40" t="n"/>
      <c r="E1202" s="40" t="n"/>
      <c r="F1202" s="40" t="n"/>
      <c r="G1202" s="39">
        <f>IF(COUNTA(A1202:F1202)=0,"",IF(A1202="EXAMPLE","Example (skipped)",IF(OR(C1202="",E1202="",F1202=""),"✖ Portal, User ID and Password are all needed",IF(AND(A1202="",COUNTIF(Clients!$B$5:$B$1005,B1202)=0),"Not on Clients — will match a portal client by name",IF(AND(C1202="GST",D1202&lt;&gt;"",COUNTIF(Clients!$AZ$5:$AZ$1005,UPPER(D1202))=0,COUNTIF(Clients!$G$5:$G$1005,"*"&amp;UPPER(D1202)&amp;"*")=0),"GSTIN not on Clients — will be checked in the portal","✔ OK")))))</f>
        <v/>
      </c>
    </row>
    <row r="1203">
      <c r="A1203" s="40" t="n"/>
      <c r="B1203" s="41" t="n"/>
      <c r="C1203" s="41" t="n"/>
      <c r="D1203" s="40" t="n"/>
      <c r="E1203" s="40" t="n"/>
      <c r="F1203" s="40" t="n"/>
      <c r="G1203" s="39">
        <f>IF(COUNTA(A1203:F1203)=0,"",IF(A1203="EXAMPLE","Example (skipped)",IF(OR(C1203="",E1203="",F1203=""),"✖ Portal, User ID and Password are all needed",IF(AND(A1203="",COUNTIF(Clients!$B$5:$B$1005,B1203)=0),"Not on Clients — will match a portal client by name",IF(AND(C1203="GST",D1203&lt;&gt;"",COUNTIF(Clients!$AZ$5:$AZ$1005,UPPER(D1203))=0,COUNTIF(Clients!$G$5:$G$1005,"*"&amp;UPPER(D1203)&amp;"*")=0),"GSTIN not on Clients — will be checked in the portal","✔ OK")))))</f>
        <v/>
      </c>
    </row>
    <row r="1204">
      <c r="A1204" s="40" t="n"/>
      <c r="B1204" s="41" t="n"/>
      <c r="C1204" s="41" t="n"/>
      <c r="D1204" s="40" t="n"/>
      <c r="E1204" s="40" t="n"/>
      <c r="F1204" s="40" t="n"/>
      <c r="G1204" s="39">
        <f>IF(COUNTA(A1204:F1204)=0,"",IF(A1204="EXAMPLE","Example (skipped)",IF(OR(C1204="",E1204="",F1204=""),"✖ Portal, User ID and Password are all needed",IF(AND(A1204="",COUNTIF(Clients!$B$5:$B$1005,B1204)=0),"Not on Clients — will match a portal client by name",IF(AND(C1204="GST",D1204&lt;&gt;"",COUNTIF(Clients!$AZ$5:$AZ$1005,UPPER(D1204))=0,COUNTIF(Clients!$G$5:$G$1005,"*"&amp;UPPER(D1204)&amp;"*")=0),"GSTIN not on Clients — will be checked in the portal","✔ OK")))))</f>
        <v/>
      </c>
    </row>
    <row r="1205">
      <c r="A1205" s="40" t="n"/>
      <c r="B1205" s="41" t="n"/>
      <c r="C1205" s="41" t="n"/>
      <c r="D1205" s="40" t="n"/>
      <c r="E1205" s="40" t="n"/>
      <c r="F1205" s="40" t="n"/>
      <c r="G1205" s="39">
        <f>IF(COUNTA(A1205:F1205)=0,"",IF(A1205="EXAMPLE","Example (skipped)",IF(OR(C1205="",E1205="",F1205=""),"✖ Portal, User ID and Password are all needed",IF(AND(A1205="",COUNTIF(Clients!$B$5:$B$1005,B1205)=0),"Not on Clients — will match a portal client by name",IF(AND(C1205="GST",D1205&lt;&gt;"",COUNTIF(Clients!$AZ$5:$AZ$1005,UPPER(D1205))=0,COUNTIF(Clients!$G$5:$G$1005,"*"&amp;UPPER(D1205)&amp;"*")=0),"GSTIN not on Clients — will be checked in the portal","✔ OK")))))</f>
        <v/>
      </c>
    </row>
    <row r="1206">
      <c r="A1206" s="40" t="n"/>
      <c r="B1206" s="41" t="n"/>
      <c r="C1206" s="41" t="n"/>
      <c r="D1206" s="40" t="n"/>
      <c r="E1206" s="40" t="n"/>
      <c r="F1206" s="40" t="n"/>
      <c r="G1206" s="39">
        <f>IF(COUNTA(A1206:F1206)=0,"",IF(A1206="EXAMPLE","Example (skipped)",IF(OR(C1206="",E1206="",F1206=""),"✖ Portal, User ID and Password are all needed",IF(AND(A1206="",COUNTIF(Clients!$B$5:$B$1005,B1206)=0),"Not on Clients — will match a portal client by name",IF(AND(C1206="GST",D1206&lt;&gt;"",COUNTIF(Clients!$AZ$5:$AZ$1005,UPPER(D1206))=0,COUNTIF(Clients!$G$5:$G$1005,"*"&amp;UPPER(D1206)&amp;"*")=0),"GSTIN not on Clients — will be checked in the portal","✔ OK")))))</f>
        <v/>
      </c>
    </row>
    <row r="1207">
      <c r="A1207" s="40" t="n"/>
      <c r="B1207" s="41" t="n"/>
      <c r="C1207" s="41" t="n"/>
      <c r="D1207" s="40" t="n"/>
      <c r="E1207" s="40" t="n"/>
      <c r="F1207" s="40" t="n"/>
      <c r="G1207" s="39">
        <f>IF(COUNTA(A1207:F1207)=0,"",IF(A1207="EXAMPLE","Example (skipped)",IF(OR(C1207="",E1207="",F1207=""),"✖ Portal, User ID and Password are all needed",IF(AND(A1207="",COUNTIF(Clients!$B$5:$B$1005,B1207)=0),"Not on Clients — will match a portal client by name",IF(AND(C1207="GST",D1207&lt;&gt;"",COUNTIF(Clients!$AZ$5:$AZ$1005,UPPER(D1207))=0,COUNTIF(Clients!$G$5:$G$1005,"*"&amp;UPPER(D1207)&amp;"*")=0),"GSTIN not on Clients — will be checked in the portal","✔ OK")))))</f>
        <v/>
      </c>
    </row>
    <row r="1208">
      <c r="A1208" s="40" t="n"/>
      <c r="B1208" s="41" t="n"/>
      <c r="C1208" s="41" t="n"/>
      <c r="D1208" s="40" t="n"/>
      <c r="E1208" s="40" t="n"/>
      <c r="F1208" s="40" t="n"/>
      <c r="G1208" s="39">
        <f>IF(COUNTA(A1208:F1208)=0,"",IF(A1208="EXAMPLE","Example (skipped)",IF(OR(C1208="",E1208="",F1208=""),"✖ Portal, User ID and Password are all needed",IF(AND(A1208="",COUNTIF(Clients!$B$5:$B$1005,B1208)=0),"Not on Clients — will match a portal client by name",IF(AND(C1208="GST",D1208&lt;&gt;"",COUNTIF(Clients!$AZ$5:$AZ$1005,UPPER(D1208))=0,COUNTIF(Clients!$G$5:$G$1005,"*"&amp;UPPER(D1208)&amp;"*")=0),"GSTIN not on Clients — will be checked in the portal","✔ OK")))))</f>
        <v/>
      </c>
    </row>
    <row r="1209">
      <c r="A1209" s="40" t="n"/>
      <c r="B1209" s="41" t="n"/>
      <c r="C1209" s="41" t="n"/>
      <c r="D1209" s="40" t="n"/>
      <c r="E1209" s="40" t="n"/>
      <c r="F1209" s="40" t="n"/>
      <c r="G1209" s="39">
        <f>IF(COUNTA(A1209:F1209)=0,"",IF(A1209="EXAMPLE","Example (skipped)",IF(OR(C1209="",E1209="",F1209=""),"✖ Portal, User ID and Password are all needed",IF(AND(A1209="",COUNTIF(Clients!$B$5:$B$1005,B1209)=0),"Not on Clients — will match a portal client by name",IF(AND(C1209="GST",D1209&lt;&gt;"",COUNTIF(Clients!$AZ$5:$AZ$1005,UPPER(D1209))=0,COUNTIF(Clients!$G$5:$G$1005,"*"&amp;UPPER(D1209)&amp;"*")=0),"GSTIN not on Clients — will be checked in the portal","✔ OK")))))</f>
        <v/>
      </c>
    </row>
    <row r="1210">
      <c r="A1210" s="40" t="n"/>
      <c r="B1210" s="41" t="n"/>
      <c r="C1210" s="41" t="n"/>
      <c r="D1210" s="40" t="n"/>
      <c r="E1210" s="40" t="n"/>
      <c r="F1210" s="40" t="n"/>
      <c r="G1210" s="39">
        <f>IF(COUNTA(A1210:F1210)=0,"",IF(A1210="EXAMPLE","Example (skipped)",IF(OR(C1210="",E1210="",F1210=""),"✖ Portal, User ID and Password are all needed",IF(AND(A1210="",COUNTIF(Clients!$B$5:$B$1005,B1210)=0),"Not on Clients — will match a portal client by name",IF(AND(C1210="GST",D1210&lt;&gt;"",COUNTIF(Clients!$AZ$5:$AZ$1005,UPPER(D1210))=0,COUNTIF(Clients!$G$5:$G$1005,"*"&amp;UPPER(D1210)&amp;"*")=0),"GSTIN not on Clients — will be checked in the portal","✔ OK")))))</f>
        <v/>
      </c>
    </row>
    <row r="1211">
      <c r="A1211" s="40" t="n"/>
      <c r="B1211" s="41" t="n"/>
      <c r="C1211" s="41" t="n"/>
      <c r="D1211" s="40" t="n"/>
      <c r="E1211" s="40" t="n"/>
      <c r="F1211" s="40" t="n"/>
      <c r="G1211" s="39">
        <f>IF(COUNTA(A1211:F1211)=0,"",IF(A1211="EXAMPLE","Example (skipped)",IF(OR(C1211="",E1211="",F1211=""),"✖ Portal, User ID and Password are all needed",IF(AND(A1211="",COUNTIF(Clients!$B$5:$B$1005,B1211)=0),"Not on Clients — will match a portal client by name",IF(AND(C1211="GST",D1211&lt;&gt;"",COUNTIF(Clients!$AZ$5:$AZ$1005,UPPER(D1211))=0,COUNTIF(Clients!$G$5:$G$1005,"*"&amp;UPPER(D1211)&amp;"*")=0),"GSTIN not on Clients — will be checked in the portal","✔ OK")))))</f>
        <v/>
      </c>
    </row>
    <row r="1212">
      <c r="A1212" s="40" t="n"/>
      <c r="B1212" s="41" t="n"/>
      <c r="C1212" s="41" t="n"/>
      <c r="D1212" s="40" t="n"/>
      <c r="E1212" s="40" t="n"/>
      <c r="F1212" s="40" t="n"/>
      <c r="G1212" s="39">
        <f>IF(COUNTA(A1212:F1212)=0,"",IF(A1212="EXAMPLE","Example (skipped)",IF(OR(C1212="",E1212="",F1212=""),"✖ Portal, User ID and Password are all needed",IF(AND(A1212="",COUNTIF(Clients!$B$5:$B$1005,B1212)=0),"Not on Clients — will match a portal client by name",IF(AND(C1212="GST",D1212&lt;&gt;"",COUNTIF(Clients!$AZ$5:$AZ$1005,UPPER(D1212))=0,COUNTIF(Clients!$G$5:$G$1005,"*"&amp;UPPER(D1212)&amp;"*")=0),"GSTIN not on Clients — will be checked in the portal","✔ OK")))))</f>
        <v/>
      </c>
    </row>
    <row r="1213">
      <c r="A1213" s="40" t="n"/>
      <c r="B1213" s="41" t="n"/>
      <c r="C1213" s="41" t="n"/>
      <c r="D1213" s="40" t="n"/>
      <c r="E1213" s="40" t="n"/>
      <c r="F1213" s="40" t="n"/>
      <c r="G1213" s="39">
        <f>IF(COUNTA(A1213:F1213)=0,"",IF(A1213="EXAMPLE","Example (skipped)",IF(OR(C1213="",E1213="",F1213=""),"✖ Portal, User ID and Password are all needed",IF(AND(A1213="",COUNTIF(Clients!$B$5:$B$1005,B1213)=0),"Not on Clients — will match a portal client by name",IF(AND(C1213="GST",D1213&lt;&gt;"",COUNTIF(Clients!$AZ$5:$AZ$1005,UPPER(D1213))=0,COUNTIF(Clients!$G$5:$G$1005,"*"&amp;UPPER(D1213)&amp;"*")=0),"GSTIN not on Clients — will be checked in the portal","✔ OK")))))</f>
        <v/>
      </c>
    </row>
    <row r="1214">
      <c r="A1214" s="40" t="n"/>
      <c r="B1214" s="41" t="n"/>
      <c r="C1214" s="41" t="n"/>
      <c r="D1214" s="40" t="n"/>
      <c r="E1214" s="40" t="n"/>
      <c r="F1214" s="40" t="n"/>
      <c r="G1214" s="39">
        <f>IF(COUNTA(A1214:F1214)=0,"",IF(A1214="EXAMPLE","Example (skipped)",IF(OR(C1214="",E1214="",F1214=""),"✖ Portal, User ID and Password are all needed",IF(AND(A1214="",COUNTIF(Clients!$B$5:$B$1005,B1214)=0),"Not on Clients — will match a portal client by name",IF(AND(C1214="GST",D1214&lt;&gt;"",COUNTIF(Clients!$AZ$5:$AZ$1005,UPPER(D1214))=0,COUNTIF(Clients!$G$5:$G$1005,"*"&amp;UPPER(D1214)&amp;"*")=0),"GSTIN not on Clients — will be checked in the portal","✔ OK")))))</f>
        <v/>
      </c>
    </row>
    <row r="1215">
      <c r="A1215" s="40" t="n"/>
      <c r="B1215" s="41" t="n"/>
      <c r="C1215" s="41" t="n"/>
      <c r="D1215" s="40" t="n"/>
      <c r="E1215" s="40" t="n"/>
      <c r="F1215" s="40" t="n"/>
      <c r="G1215" s="39">
        <f>IF(COUNTA(A1215:F1215)=0,"",IF(A1215="EXAMPLE","Example (skipped)",IF(OR(C1215="",E1215="",F1215=""),"✖ Portal, User ID and Password are all needed",IF(AND(A1215="",COUNTIF(Clients!$B$5:$B$1005,B1215)=0),"Not on Clients — will match a portal client by name",IF(AND(C1215="GST",D1215&lt;&gt;"",COUNTIF(Clients!$AZ$5:$AZ$1005,UPPER(D1215))=0,COUNTIF(Clients!$G$5:$G$1005,"*"&amp;UPPER(D1215)&amp;"*")=0),"GSTIN not on Clients — will be checked in the portal","✔ OK")))))</f>
        <v/>
      </c>
    </row>
    <row r="1216">
      <c r="A1216" s="40" t="n"/>
      <c r="B1216" s="41" t="n"/>
      <c r="C1216" s="41" t="n"/>
      <c r="D1216" s="40" t="n"/>
      <c r="E1216" s="40" t="n"/>
      <c r="F1216" s="40" t="n"/>
      <c r="G1216" s="39">
        <f>IF(COUNTA(A1216:F1216)=0,"",IF(A1216="EXAMPLE","Example (skipped)",IF(OR(C1216="",E1216="",F1216=""),"✖ Portal, User ID and Password are all needed",IF(AND(A1216="",COUNTIF(Clients!$B$5:$B$1005,B1216)=0),"Not on Clients — will match a portal client by name",IF(AND(C1216="GST",D1216&lt;&gt;"",COUNTIF(Clients!$AZ$5:$AZ$1005,UPPER(D1216))=0,COUNTIF(Clients!$G$5:$G$1005,"*"&amp;UPPER(D1216)&amp;"*")=0),"GSTIN not on Clients — will be checked in the portal","✔ OK")))))</f>
        <v/>
      </c>
    </row>
    <row r="1217">
      <c r="A1217" s="40" t="n"/>
      <c r="B1217" s="41" t="n"/>
      <c r="C1217" s="41" t="n"/>
      <c r="D1217" s="40" t="n"/>
      <c r="E1217" s="40" t="n"/>
      <c r="F1217" s="40" t="n"/>
      <c r="G1217" s="39">
        <f>IF(COUNTA(A1217:F1217)=0,"",IF(A1217="EXAMPLE","Example (skipped)",IF(OR(C1217="",E1217="",F1217=""),"✖ Portal, User ID and Password are all needed",IF(AND(A1217="",COUNTIF(Clients!$B$5:$B$1005,B1217)=0),"Not on Clients — will match a portal client by name",IF(AND(C1217="GST",D1217&lt;&gt;"",COUNTIF(Clients!$AZ$5:$AZ$1005,UPPER(D1217))=0,COUNTIF(Clients!$G$5:$G$1005,"*"&amp;UPPER(D1217)&amp;"*")=0),"GSTIN not on Clients — will be checked in the portal","✔ OK")))))</f>
        <v/>
      </c>
    </row>
    <row r="1218">
      <c r="A1218" s="40" t="n"/>
      <c r="B1218" s="41" t="n"/>
      <c r="C1218" s="41" t="n"/>
      <c r="D1218" s="40" t="n"/>
      <c r="E1218" s="40" t="n"/>
      <c r="F1218" s="40" t="n"/>
      <c r="G1218" s="39">
        <f>IF(COUNTA(A1218:F1218)=0,"",IF(A1218="EXAMPLE","Example (skipped)",IF(OR(C1218="",E1218="",F1218=""),"✖ Portal, User ID and Password are all needed",IF(AND(A1218="",COUNTIF(Clients!$B$5:$B$1005,B1218)=0),"Not on Clients — will match a portal client by name",IF(AND(C1218="GST",D1218&lt;&gt;"",COUNTIF(Clients!$AZ$5:$AZ$1005,UPPER(D1218))=0,COUNTIF(Clients!$G$5:$G$1005,"*"&amp;UPPER(D1218)&amp;"*")=0),"GSTIN not on Clients — will be checked in the portal","✔ OK")))))</f>
        <v/>
      </c>
    </row>
    <row r="1219">
      <c r="A1219" s="40" t="n"/>
      <c r="B1219" s="41" t="n"/>
      <c r="C1219" s="41" t="n"/>
      <c r="D1219" s="40" t="n"/>
      <c r="E1219" s="40" t="n"/>
      <c r="F1219" s="40" t="n"/>
      <c r="G1219" s="39">
        <f>IF(COUNTA(A1219:F1219)=0,"",IF(A1219="EXAMPLE","Example (skipped)",IF(OR(C1219="",E1219="",F1219=""),"✖ Portal, User ID and Password are all needed",IF(AND(A1219="",COUNTIF(Clients!$B$5:$B$1005,B1219)=0),"Not on Clients — will match a portal client by name",IF(AND(C1219="GST",D1219&lt;&gt;"",COUNTIF(Clients!$AZ$5:$AZ$1005,UPPER(D1219))=0,COUNTIF(Clients!$G$5:$G$1005,"*"&amp;UPPER(D1219)&amp;"*")=0),"GSTIN not on Clients — will be checked in the portal","✔ OK")))))</f>
        <v/>
      </c>
    </row>
    <row r="1220">
      <c r="A1220" s="40" t="n"/>
      <c r="B1220" s="41" t="n"/>
      <c r="C1220" s="41" t="n"/>
      <c r="D1220" s="40" t="n"/>
      <c r="E1220" s="40" t="n"/>
      <c r="F1220" s="40" t="n"/>
      <c r="G1220" s="39">
        <f>IF(COUNTA(A1220:F1220)=0,"",IF(A1220="EXAMPLE","Example (skipped)",IF(OR(C1220="",E1220="",F1220=""),"✖ Portal, User ID and Password are all needed",IF(AND(A1220="",COUNTIF(Clients!$B$5:$B$1005,B1220)=0),"Not on Clients — will match a portal client by name",IF(AND(C1220="GST",D1220&lt;&gt;"",COUNTIF(Clients!$AZ$5:$AZ$1005,UPPER(D1220))=0,COUNTIF(Clients!$G$5:$G$1005,"*"&amp;UPPER(D1220)&amp;"*")=0),"GSTIN not on Clients — will be checked in the portal","✔ OK")))))</f>
        <v/>
      </c>
    </row>
    <row r="1221">
      <c r="A1221" s="40" t="n"/>
      <c r="B1221" s="41" t="n"/>
      <c r="C1221" s="41" t="n"/>
      <c r="D1221" s="40" t="n"/>
      <c r="E1221" s="40" t="n"/>
      <c r="F1221" s="40" t="n"/>
      <c r="G1221" s="39">
        <f>IF(COUNTA(A1221:F1221)=0,"",IF(A1221="EXAMPLE","Example (skipped)",IF(OR(C1221="",E1221="",F1221=""),"✖ Portal, User ID and Password are all needed",IF(AND(A1221="",COUNTIF(Clients!$B$5:$B$1005,B1221)=0),"Not on Clients — will match a portal client by name",IF(AND(C1221="GST",D1221&lt;&gt;"",COUNTIF(Clients!$AZ$5:$AZ$1005,UPPER(D1221))=0,COUNTIF(Clients!$G$5:$G$1005,"*"&amp;UPPER(D1221)&amp;"*")=0),"GSTIN not on Clients — will be checked in the portal","✔ OK")))))</f>
        <v/>
      </c>
    </row>
    <row r="1222">
      <c r="A1222" s="40" t="n"/>
      <c r="B1222" s="41" t="n"/>
      <c r="C1222" s="41" t="n"/>
      <c r="D1222" s="40" t="n"/>
      <c r="E1222" s="40" t="n"/>
      <c r="F1222" s="40" t="n"/>
      <c r="G1222" s="39">
        <f>IF(COUNTA(A1222:F1222)=0,"",IF(A1222="EXAMPLE","Example (skipped)",IF(OR(C1222="",E1222="",F1222=""),"✖ Portal, User ID and Password are all needed",IF(AND(A1222="",COUNTIF(Clients!$B$5:$B$1005,B1222)=0),"Not on Clients — will match a portal client by name",IF(AND(C1222="GST",D1222&lt;&gt;"",COUNTIF(Clients!$AZ$5:$AZ$1005,UPPER(D1222))=0,COUNTIF(Clients!$G$5:$G$1005,"*"&amp;UPPER(D1222)&amp;"*")=0),"GSTIN not on Clients — will be checked in the portal","✔ OK")))))</f>
        <v/>
      </c>
    </row>
    <row r="1223">
      <c r="A1223" s="40" t="n"/>
      <c r="B1223" s="41" t="n"/>
      <c r="C1223" s="41" t="n"/>
      <c r="D1223" s="40" t="n"/>
      <c r="E1223" s="40" t="n"/>
      <c r="F1223" s="40" t="n"/>
      <c r="G1223" s="39">
        <f>IF(COUNTA(A1223:F1223)=0,"",IF(A1223="EXAMPLE","Example (skipped)",IF(OR(C1223="",E1223="",F1223=""),"✖ Portal, User ID and Password are all needed",IF(AND(A1223="",COUNTIF(Clients!$B$5:$B$1005,B1223)=0),"Not on Clients — will match a portal client by name",IF(AND(C1223="GST",D1223&lt;&gt;"",COUNTIF(Clients!$AZ$5:$AZ$1005,UPPER(D1223))=0,COUNTIF(Clients!$G$5:$G$1005,"*"&amp;UPPER(D1223)&amp;"*")=0),"GSTIN not on Clients — will be checked in the portal","✔ OK")))))</f>
        <v/>
      </c>
    </row>
    <row r="1224">
      <c r="A1224" s="40" t="n"/>
      <c r="B1224" s="41" t="n"/>
      <c r="C1224" s="41" t="n"/>
      <c r="D1224" s="40" t="n"/>
      <c r="E1224" s="40" t="n"/>
      <c r="F1224" s="40" t="n"/>
      <c r="G1224" s="39">
        <f>IF(COUNTA(A1224:F1224)=0,"",IF(A1224="EXAMPLE","Example (skipped)",IF(OR(C1224="",E1224="",F1224=""),"✖ Portal, User ID and Password are all needed",IF(AND(A1224="",COUNTIF(Clients!$B$5:$B$1005,B1224)=0),"Not on Clients — will match a portal client by name",IF(AND(C1224="GST",D1224&lt;&gt;"",COUNTIF(Clients!$AZ$5:$AZ$1005,UPPER(D1224))=0,COUNTIF(Clients!$G$5:$G$1005,"*"&amp;UPPER(D1224)&amp;"*")=0),"GSTIN not on Clients — will be checked in the portal","✔ OK")))))</f>
        <v/>
      </c>
    </row>
    <row r="1225">
      <c r="A1225" s="40" t="n"/>
      <c r="B1225" s="41" t="n"/>
      <c r="C1225" s="41" t="n"/>
      <c r="D1225" s="40" t="n"/>
      <c r="E1225" s="40" t="n"/>
      <c r="F1225" s="40" t="n"/>
      <c r="G1225" s="39">
        <f>IF(COUNTA(A1225:F1225)=0,"",IF(A1225="EXAMPLE","Example (skipped)",IF(OR(C1225="",E1225="",F1225=""),"✖ Portal, User ID and Password are all needed",IF(AND(A1225="",COUNTIF(Clients!$B$5:$B$1005,B1225)=0),"Not on Clients — will match a portal client by name",IF(AND(C1225="GST",D1225&lt;&gt;"",COUNTIF(Clients!$AZ$5:$AZ$1005,UPPER(D1225))=0,COUNTIF(Clients!$G$5:$G$1005,"*"&amp;UPPER(D1225)&amp;"*")=0),"GSTIN not on Clients — will be checked in the portal","✔ OK")))))</f>
        <v/>
      </c>
    </row>
    <row r="1226">
      <c r="A1226" s="40" t="n"/>
      <c r="B1226" s="41" t="n"/>
      <c r="C1226" s="41" t="n"/>
      <c r="D1226" s="40" t="n"/>
      <c r="E1226" s="40" t="n"/>
      <c r="F1226" s="40" t="n"/>
      <c r="G1226" s="39">
        <f>IF(COUNTA(A1226:F1226)=0,"",IF(A1226="EXAMPLE","Example (skipped)",IF(OR(C1226="",E1226="",F1226=""),"✖ Portal, User ID and Password are all needed",IF(AND(A1226="",COUNTIF(Clients!$B$5:$B$1005,B1226)=0),"Not on Clients — will match a portal client by name",IF(AND(C1226="GST",D1226&lt;&gt;"",COUNTIF(Clients!$AZ$5:$AZ$1005,UPPER(D1226))=0,COUNTIF(Clients!$G$5:$G$1005,"*"&amp;UPPER(D1226)&amp;"*")=0),"GSTIN not on Clients — will be checked in the portal","✔ OK")))))</f>
        <v/>
      </c>
    </row>
    <row r="1227">
      <c r="A1227" s="40" t="n"/>
      <c r="B1227" s="41" t="n"/>
      <c r="C1227" s="41" t="n"/>
      <c r="D1227" s="40" t="n"/>
      <c r="E1227" s="40" t="n"/>
      <c r="F1227" s="40" t="n"/>
      <c r="G1227" s="39">
        <f>IF(COUNTA(A1227:F1227)=0,"",IF(A1227="EXAMPLE","Example (skipped)",IF(OR(C1227="",E1227="",F1227=""),"✖ Portal, User ID and Password are all needed",IF(AND(A1227="",COUNTIF(Clients!$B$5:$B$1005,B1227)=0),"Not on Clients — will match a portal client by name",IF(AND(C1227="GST",D1227&lt;&gt;"",COUNTIF(Clients!$AZ$5:$AZ$1005,UPPER(D1227))=0,COUNTIF(Clients!$G$5:$G$1005,"*"&amp;UPPER(D1227)&amp;"*")=0),"GSTIN not on Clients — will be checked in the portal","✔ OK")))))</f>
        <v/>
      </c>
    </row>
    <row r="1228">
      <c r="A1228" s="40" t="n"/>
      <c r="B1228" s="41" t="n"/>
      <c r="C1228" s="41" t="n"/>
      <c r="D1228" s="40" t="n"/>
      <c r="E1228" s="40" t="n"/>
      <c r="F1228" s="40" t="n"/>
      <c r="G1228" s="39">
        <f>IF(COUNTA(A1228:F1228)=0,"",IF(A1228="EXAMPLE","Example (skipped)",IF(OR(C1228="",E1228="",F1228=""),"✖ Portal, User ID and Password are all needed",IF(AND(A1228="",COUNTIF(Clients!$B$5:$B$1005,B1228)=0),"Not on Clients — will match a portal client by name",IF(AND(C1228="GST",D1228&lt;&gt;"",COUNTIF(Clients!$AZ$5:$AZ$1005,UPPER(D1228))=0,COUNTIF(Clients!$G$5:$G$1005,"*"&amp;UPPER(D1228)&amp;"*")=0),"GSTIN not on Clients — will be checked in the portal","✔ OK")))))</f>
        <v/>
      </c>
    </row>
    <row r="1229">
      <c r="A1229" s="40" t="n"/>
      <c r="B1229" s="41" t="n"/>
      <c r="C1229" s="41" t="n"/>
      <c r="D1229" s="40" t="n"/>
      <c r="E1229" s="40" t="n"/>
      <c r="F1229" s="40" t="n"/>
      <c r="G1229" s="39">
        <f>IF(COUNTA(A1229:F1229)=0,"",IF(A1229="EXAMPLE","Example (skipped)",IF(OR(C1229="",E1229="",F1229=""),"✖ Portal, User ID and Password are all needed",IF(AND(A1229="",COUNTIF(Clients!$B$5:$B$1005,B1229)=0),"Not on Clients — will match a portal client by name",IF(AND(C1229="GST",D1229&lt;&gt;"",COUNTIF(Clients!$AZ$5:$AZ$1005,UPPER(D1229))=0,COUNTIF(Clients!$G$5:$G$1005,"*"&amp;UPPER(D1229)&amp;"*")=0),"GSTIN not on Clients — will be checked in the portal","✔ OK")))))</f>
        <v/>
      </c>
    </row>
    <row r="1230">
      <c r="A1230" s="40" t="n"/>
      <c r="B1230" s="41" t="n"/>
      <c r="C1230" s="41" t="n"/>
      <c r="D1230" s="40" t="n"/>
      <c r="E1230" s="40" t="n"/>
      <c r="F1230" s="40" t="n"/>
      <c r="G1230" s="39">
        <f>IF(COUNTA(A1230:F1230)=0,"",IF(A1230="EXAMPLE","Example (skipped)",IF(OR(C1230="",E1230="",F1230=""),"✖ Portal, User ID and Password are all needed",IF(AND(A1230="",COUNTIF(Clients!$B$5:$B$1005,B1230)=0),"Not on Clients — will match a portal client by name",IF(AND(C1230="GST",D1230&lt;&gt;"",COUNTIF(Clients!$AZ$5:$AZ$1005,UPPER(D1230))=0,COUNTIF(Clients!$G$5:$G$1005,"*"&amp;UPPER(D1230)&amp;"*")=0),"GSTIN not on Clients — will be checked in the portal","✔ OK")))))</f>
        <v/>
      </c>
    </row>
    <row r="1231">
      <c r="A1231" s="40" t="n"/>
      <c r="B1231" s="41" t="n"/>
      <c r="C1231" s="41" t="n"/>
      <c r="D1231" s="40" t="n"/>
      <c r="E1231" s="40" t="n"/>
      <c r="F1231" s="40" t="n"/>
      <c r="G1231" s="39">
        <f>IF(COUNTA(A1231:F1231)=0,"",IF(A1231="EXAMPLE","Example (skipped)",IF(OR(C1231="",E1231="",F1231=""),"✖ Portal, User ID and Password are all needed",IF(AND(A1231="",COUNTIF(Clients!$B$5:$B$1005,B1231)=0),"Not on Clients — will match a portal client by name",IF(AND(C1231="GST",D1231&lt;&gt;"",COUNTIF(Clients!$AZ$5:$AZ$1005,UPPER(D1231))=0,COUNTIF(Clients!$G$5:$G$1005,"*"&amp;UPPER(D1231)&amp;"*")=0),"GSTIN not on Clients — will be checked in the portal","✔ OK")))))</f>
        <v/>
      </c>
    </row>
    <row r="1232">
      <c r="A1232" s="40" t="n"/>
      <c r="B1232" s="41" t="n"/>
      <c r="C1232" s="41" t="n"/>
      <c r="D1232" s="40" t="n"/>
      <c r="E1232" s="40" t="n"/>
      <c r="F1232" s="40" t="n"/>
      <c r="G1232" s="39">
        <f>IF(COUNTA(A1232:F1232)=0,"",IF(A1232="EXAMPLE","Example (skipped)",IF(OR(C1232="",E1232="",F1232=""),"✖ Portal, User ID and Password are all needed",IF(AND(A1232="",COUNTIF(Clients!$B$5:$B$1005,B1232)=0),"Not on Clients — will match a portal client by name",IF(AND(C1232="GST",D1232&lt;&gt;"",COUNTIF(Clients!$AZ$5:$AZ$1005,UPPER(D1232))=0,COUNTIF(Clients!$G$5:$G$1005,"*"&amp;UPPER(D1232)&amp;"*")=0),"GSTIN not on Clients — will be checked in the portal","✔ OK")))))</f>
        <v/>
      </c>
    </row>
    <row r="1233">
      <c r="A1233" s="40" t="n"/>
      <c r="B1233" s="41" t="n"/>
      <c r="C1233" s="41" t="n"/>
      <c r="D1233" s="40" t="n"/>
      <c r="E1233" s="40" t="n"/>
      <c r="F1233" s="40" t="n"/>
      <c r="G1233" s="39">
        <f>IF(COUNTA(A1233:F1233)=0,"",IF(A1233="EXAMPLE","Example (skipped)",IF(OR(C1233="",E1233="",F1233=""),"✖ Portal, User ID and Password are all needed",IF(AND(A1233="",COUNTIF(Clients!$B$5:$B$1005,B1233)=0),"Not on Clients — will match a portal client by name",IF(AND(C1233="GST",D1233&lt;&gt;"",COUNTIF(Clients!$AZ$5:$AZ$1005,UPPER(D1233))=0,COUNTIF(Clients!$G$5:$G$1005,"*"&amp;UPPER(D1233)&amp;"*")=0),"GSTIN not on Clients — will be checked in the portal","✔ OK")))))</f>
        <v/>
      </c>
    </row>
    <row r="1234">
      <c r="A1234" s="40" t="n"/>
      <c r="B1234" s="41" t="n"/>
      <c r="C1234" s="41" t="n"/>
      <c r="D1234" s="40" t="n"/>
      <c r="E1234" s="40" t="n"/>
      <c r="F1234" s="40" t="n"/>
      <c r="G1234" s="39">
        <f>IF(COUNTA(A1234:F1234)=0,"",IF(A1234="EXAMPLE","Example (skipped)",IF(OR(C1234="",E1234="",F1234=""),"✖ Portal, User ID and Password are all needed",IF(AND(A1234="",COUNTIF(Clients!$B$5:$B$1005,B1234)=0),"Not on Clients — will match a portal client by name",IF(AND(C1234="GST",D1234&lt;&gt;"",COUNTIF(Clients!$AZ$5:$AZ$1005,UPPER(D1234))=0,COUNTIF(Clients!$G$5:$G$1005,"*"&amp;UPPER(D1234)&amp;"*")=0),"GSTIN not on Clients — will be checked in the portal","✔ OK")))))</f>
        <v/>
      </c>
    </row>
    <row r="1235">
      <c r="A1235" s="40" t="n"/>
      <c r="B1235" s="41" t="n"/>
      <c r="C1235" s="41" t="n"/>
      <c r="D1235" s="40" t="n"/>
      <c r="E1235" s="40" t="n"/>
      <c r="F1235" s="40" t="n"/>
      <c r="G1235" s="39">
        <f>IF(COUNTA(A1235:F1235)=0,"",IF(A1235="EXAMPLE","Example (skipped)",IF(OR(C1235="",E1235="",F1235=""),"✖ Portal, User ID and Password are all needed",IF(AND(A1235="",COUNTIF(Clients!$B$5:$B$1005,B1235)=0),"Not on Clients — will match a portal client by name",IF(AND(C1235="GST",D1235&lt;&gt;"",COUNTIF(Clients!$AZ$5:$AZ$1005,UPPER(D1235))=0,COUNTIF(Clients!$G$5:$G$1005,"*"&amp;UPPER(D1235)&amp;"*")=0),"GSTIN not on Clients — will be checked in the portal","✔ OK")))))</f>
        <v/>
      </c>
    </row>
    <row r="1236">
      <c r="A1236" s="40" t="n"/>
      <c r="B1236" s="41" t="n"/>
      <c r="C1236" s="41" t="n"/>
      <c r="D1236" s="40" t="n"/>
      <c r="E1236" s="40" t="n"/>
      <c r="F1236" s="40" t="n"/>
      <c r="G1236" s="39">
        <f>IF(COUNTA(A1236:F1236)=0,"",IF(A1236="EXAMPLE","Example (skipped)",IF(OR(C1236="",E1236="",F1236=""),"✖ Portal, User ID and Password are all needed",IF(AND(A1236="",COUNTIF(Clients!$B$5:$B$1005,B1236)=0),"Not on Clients — will match a portal client by name",IF(AND(C1236="GST",D1236&lt;&gt;"",COUNTIF(Clients!$AZ$5:$AZ$1005,UPPER(D1236))=0,COUNTIF(Clients!$G$5:$G$1005,"*"&amp;UPPER(D1236)&amp;"*")=0),"GSTIN not on Clients — will be checked in the portal","✔ OK")))))</f>
        <v/>
      </c>
    </row>
    <row r="1237">
      <c r="A1237" s="40" t="n"/>
      <c r="B1237" s="41" t="n"/>
      <c r="C1237" s="41" t="n"/>
      <c r="D1237" s="40" t="n"/>
      <c r="E1237" s="40" t="n"/>
      <c r="F1237" s="40" t="n"/>
      <c r="G1237" s="39">
        <f>IF(COUNTA(A1237:F1237)=0,"",IF(A1237="EXAMPLE","Example (skipped)",IF(OR(C1237="",E1237="",F1237=""),"✖ Portal, User ID and Password are all needed",IF(AND(A1237="",COUNTIF(Clients!$B$5:$B$1005,B1237)=0),"Not on Clients — will match a portal client by name",IF(AND(C1237="GST",D1237&lt;&gt;"",COUNTIF(Clients!$AZ$5:$AZ$1005,UPPER(D1237))=0,COUNTIF(Clients!$G$5:$G$1005,"*"&amp;UPPER(D1237)&amp;"*")=0),"GSTIN not on Clients — will be checked in the portal","✔ OK")))))</f>
        <v/>
      </c>
    </row>
    <row r="1238">
      <c r="A1238" s="40" t="n"/>
      <c r="B1238" s="41" t="n"/>
      <c r="C1238" s="41" t="n"/>
      <c r="D1238" s="40" t="n"/>
      <c r="E1238" s="40" t="n"/>
      <c r="F1238" s="40" t="n"/>
      <c r="G1238" s="39">
        <f>IF(COUNTA(A1238:F1238)=0,"",IF(A1238="EXAMPLE","Example (skipped)",IF(OR(C1238="",E1238="",F1238=""),"✖ Portal, User ID and Password are all needed",IF(AND(A1238="",COUNTIF(Clients!$B$5:$B$1005,B1238)=0),"Not on Clients — will match a portal client by name",IF(AND(C1238="GST",D1238&lt;&gt;"",COUNTIF(Clients!$AZ$5:$AZ$1005,UPPER(D1238))=0,COUNTIF(Clients!$G$5:$G$1005,"*"&amp;UPPER(D1238)&amp;"*")=0),"GSTIN not on Clients — will be checked in the portal","✔ OK")))))</f>
        <v/>
      </c>
    </row>
    <row r="1239">
      <c r="A1239" s="40" t="n"/>
      <c r="B1239" s="41" t="n"/>
      <c r="C1239" s="41" t="n"/>
      <c r="D1239" s="40" t="n"/>
      <c r="E1239" s="40" t="n"/>
      <c r="F1239" s="40" t="n"/>
      <c r="G1239" s="39">
        <f>IF(COUNTA(A1239:F1239)=0,"",IF(A1239="EXAMPLE","Example (skipped)",IF(OR(C1239="",E1239="",F1239=""),"✖ Portal, User ID and Password are all needed",IF(AND(A1239="",COUNTIF(Clients!$B$5:$B$1005,B1239)=0),"Not on Clients — will match a portal client by name",IF(AND(C1239="GST",D1239&lt;&gt;"",COUNTIF(Clients!$AZ$5:$AZ$1005,UPPER(D1239))=0,COUNTIF(Clients!$G$5:$G$1005,"*"&amp;UPPER(D1239)&amp;"*")=0),"GSTIN not on Clients — will be checked in the portal","✔ OK")))))</f>
        <v/>
      </c>
    </row>
    <row r="1240">
      <c r="A1240" s="40" t="n"/>
      <c r="B1240" s="41" t="n"/>
      <c r="C1240" s="41" t="n"/>
      <c r="D1240" s="40" t="n"/>
      <c r="E1240" s="40" t="n"/>
      <c r="F1240" s="40" t="n"/>
      <c r="G1240" s="39">
        <f>IF(COUNTA(A1240:F1240)=0,"",IF(A1240="EXAMPLE","Example (skipped)",IF(OR(C1240="",E1240="",F1240=""),"✖ Portal, User ID and Password are all needed",IF(AND(A1240="",COUNTIF(Clients!$B$5:$B$1005,B1240)=0),"Not on Clients — will match a portal client by name",IF(AND(C1240="GST",D1240&lt;&gt;"",COUNTIF(Clients!$AZ$5:$AZ$1005,UPPER(D1240))=0,COUNTIF(Clients!$G$5:$G$1005,"*"&amp;UPPER(D1240)&amp;"*")=0),"GSTIN not on Clients — will be checked in the portal","✔ OK")))))</f>
        <v/>
      </c>
    </row>
    <row r="1241">
      <c r="A1241" s="40" t="n"/>
      <c r="B1241" s="41" t="n"/>
      <c r="C1241" s="41" t="n"/>
      <c r="D1241" s="40" t="n"/>
      <c r="E1241" s="40" t="n"/>
      <c r="F1241" s="40" t="n"/>
      <c r="G1241" s="39">
        <f>IF(COUNTA(A1241:F1241)=0,"",IF(A1241="EXAMPLE","Example (skipped)",IF(OR(C1241="",E1241="",F1241=""),"✖ Portal, User ID and Password are all needed",IF(AND(A1241="",COUNTIF(Clients!$B$5:$B$1005,B1241)=0),"Not on Clients — will match a portal client by name",IF(AND(C1241="GST",D1241&lt;&gt;"",COUNTIF(Clients!$AZ$5:$AZ$1005,UPPER(D1241))=0,COUNTIF(Clients!$G$5:$G$1005,"*"&amp;UPPER(D1241)&amp;"*")=0),"GSTIN not on Clients — will be checked in the portal","✔ OK")))))</f>
        <v/>
      </c>
    </row>
    <row r="1242">
      <c r="A1242" s="40" t="n"/>
      <c r="B1242" s="41" t="n"/>
      <c r="C1242" s="41" t="n"/>
      <c r="D1242" s="40" t="n"/>
      <c r="E1242" s="40" t="n"/>
      <c r="F1242" s="40" t="n"/>
      <c r="G1242" s="39">
        <f>IF(COUNTA(A1242:F1242)=0,"",IF(A1242="EXAMPLE","Example (skipped)",IF(OR(C1242="",E1242="",F1242=""),"✖ Portal, User ID and Password are all needed",IF(AND(A1242="",COUNTIF(Clients!$B$5:$B$1005,B1242)=0),"Not on Clients — will match a portal client by name",IF(AND(C1242="GST",D1242&lt;&gt;"",COUNTIF(Clients!$AZ$5:$AZ$1005,UPPER(D1242))=0,COUNTIF(Clients!$G$5:$G$1005,"*"&amp;UPPER(D1242)&amp;"*")=0),"GSTIN not on Clients — will be checked in the portal","✔ OK")))))</f>
        <v/>
      </c>
    </row>
    <row r="1243">
      <c r="A1243" s="40" t="n"/>
      <c r="B1243" s="41" t="n"/>
      <c r="C1243" s="41" t="n"/>
      <c r="D1243" s="40" t="n"/>
      <c r="E1243" s="40" t="n"/>
      <c r="F1243" s="40" t="n"/>
      <c r="G1243" s="39">
        <f>IF(COUNTA(A1243:F1243)=0,"",IF(A1243="EXAMPLE","Example (skipped)",IF(OR(C1243="",E1243="",F1243=""),"✖ Portal, User ID and Password are all needed",IF(AND(A1243="",COUNTIF(Clients!$B$5:$B$1005,B1243)=0),"Not on Clients — will match a portal client by name",IF(AND(C1243="GST",D1243&lt;&gt;"",COUNTIF(Clients!$AZ$5:$AZ$1005,UPPER(D1243))=0,COUNTIF(Clients!$G$5:$G$1005,"*"&amp;UPPER(D1243)&amp;"*")=0),"GSTIN not on Clients — will be checked in the portal","✔ OK")))))</f>
        <v/>
      </c>
    </row>
    <row r="1244">
      <c r="A1244" s="40" t="n"/>
      <c r="B1244" s="41" t="n"/>
      <c r="C1244" s="41" t="n"/>
      <c r="D1244" s="40" t="n"/>
      <c r="E1244" s="40" t="n"/>
      <c r="F1244" s="40" t="n"/>
      <c r="G1244" s="39">
        <f>IF(COUNTA(A1244:F1244)=0,"",IF(A1244="EXAMPLE","Example (skipped)",IF(OR(C1244="",E1244="",F1244=""),"✖ Portal, User ID and Password are all needed",IF(AND(A1244="",COUNTIF(Clients!$B$5:$B$1005,B1244)=0),"Not on Clients — will match a portal client by name",IF(AND(C1244="GST",D1244&lt;&gt;"",COUNTIF(Clients!$AZ$5:$AZ$1005,UPPER(D1244))=0,COUNTIF(Clients!$G$5:$G$1005,"*"&amp;UPPER(D1244)&amp;"*")=0),"GSTIN not on Clients — will be checked in the portal","✔ OK")))))</f>
        <v/>
      </c>
    </row>
    <row r="1245">
      <c r="A1245" s="40" t="n"/>
      <c r="B1245" s="41" t="n"/>
      <c r="C1245" s="41" t="n"/>
      <c r="D1245" s="40" t="n"/>
      <c r="E1245" s="40" t="n"/>
      <c r="F1245" s="40" t="n"/>
      <c r="G1245" s="39">
        <f>IF(COUNTA(A1245:F1245)=0,"",IF(A1245="EXAMPLE","Example (skipped)",IF(OR(C1245="",E1245="",F1245=""),"✖ Portal, User ID and Password are all needed",IF(AND(A1245="",COUNTIF(Clients!$B$5:$B$1005,B1245)=0),"Not on Clients — will match a portal client by name",IF(AND(C1245="GST",D1245&lt;&gt;"",COUNTIF(Clients!$AZ$5:$AZ$1005,UPPER(D1245))=0,COUNTIF(Clients!$G$5:$G$1005,"*"&amp;UPPER(D1245)&amp;"*")=0),"GSTIN not on Clients — will be checked in the portal","✔ OK")))))</f>
        <v/>
      </c>
    </row>
    <row r="1246">
      <c r="A1246" s="40" t="n"/>
      <c r="B1246" s="41" t="n"/>
      <c r="C1246" s="41" t="n"/>
      <c r="D1246" s="40" t="n"/>
      <c r="E1246" s="40" t="n"/>
      <c r="F1246" s="40" t="n"/>
      <c r="G1246" s="39">
        <f>IF(COUNTA(A1246:F1246)=0,"",IF(A1246="EXAMPLE","Example (skipped)",IF(OR(C1246="",E1246="",F1246=""),"✖ Portal, User ID and Password are all needed",IF(AND(A1246="",COUNTIF(Clients!$B$5:$B$1005,B1246)=0),"Not on Clients — will match a portal client by name",IF(AND(C1246="GST",D1246&lt;&gt;"",COUNTIF(Clients!$AZ$5:$AZ$1005,UPPER(D1246))=0,COUNTIF(Clients!$G$5:$G$1005,"*"&amp;UPPER(D1246)&amp;"*")=0),"GSTIN not on Clients — will be checked in the portal","✔ OK")))))</f>
        <v/>
      </c>
    </row>
    <row r="1247">
      <c r="A1247" s="40" t="n"/>
      <c r="B1247" s="41" t="n"/>
      <c r="C1247" s="41" t="n"/>
      <c r="D1247" s="40" t="n"/>
      <c r="E1247" s="40" t="n"/>
      <c r="F1247" s="40" t="n"/>
      <c r="G1247" s="39">
        <f>IF(COUNTA(A1247:F1247)=0,"",IF(A1247="EXAMPLE","Example (skipped)",IF(OR(C1247="",E1247="",F1247=""),"✖ Portal, User ID and Password are all needed",IF(AND(A1247="",COUNTIF(Clients!$B$5:$B$1005,B1247)=0),"Not on Clients — will match a portal client by name",IF(AND(C1247="GST",D1247&lt;&gt;"",COUNTIF(Clients!$AZ$5:$AZ$1005,UPPER(D1247))=0,COUNTIF(Clients!$G$5:$G$1005,"*"&amp;UPPER(D1247)&amp;"*")=0),"GSTIN not on Clients — will be checked in the portal","✔ OK")))))</f>
        <v/>
      </c>
    </row>
    <row r="1248">
      <c r="A1248" s="40" t="n"/>
      <c r="B1248" s="41" t="n"/>
      <c r="C1248" s="41" t="n"/>
      <c r="D1248" s="40" t="n"/>
      <c r="E1248" s="40" t="n"/>
      <c r="F1248" s="40" t="n"/>
      <c r="G1248" s="39">
        <f>IF(COUNTA(A1248:F1248)=0,"",IF(A1248="EXAMPLE","Example (skipped)",IF(OR(C1248="",E1248="",F1248=""),"✖ Portal, User ID and Password are all needed",IF(AND(A1248="",COUNTIF(Clients!$B$5:$B$1005,B1248)=0),"Not on Clients — will match a portal client by name",IF(AND(C1248="GST",D1248&lt;&gt;"",COUNTIF(Clients!$AZ$5:$AZ$1005,UPPER(D1248))=0,COUNTIF(Clients!$G$5:$G$1005,"*"&amp;UPPER(D1248)&amp;"*")=0),"GSTIN not on Clients — will be checked in the portal","✔ OK")))))</f>
        <v/>
      </c>
    </row>
    <row r="1249">
      <c r="A1249" s="40" t="n"/>
      <c r="B1249" s="41" t="n"/>
      <c r="C1249" s="41" t="n"/>
      <c r="D1249" s="40" t="n"/>
      <c r="E1249" s="40" t="n"/>
      <c r="F1249" s="40" t="n"/>
      <c r="G1249" s="39">
        <f>IF(COUNTA(A1249:F1249)=0,"",IF(A1249="EXAMPLE","Example (skipped)",IF(OR(C1249="",E1249="",F1249=""),"✖ Portal, User ID and Password are all needed",IF(AND(A1249="",COUNTIF(Clients!$B$5:$B$1005,B1249)=0),"Not on Clients — will match a portal client by name",IF(AND(C1249="GST",D1249&lt;&gt;"",COUNTIF(Clients!$AZ$5:$AZ$1005,UPPER(D1249))=0,COUNTIF(Clients!$G$5:$G$1005,"*"&amp;UPPER(D1249)&amp;"*")=0),"GSTIN not on Clients — will be checked in the portal","✔ OK")))))</f>
        <v/>
      </c>
    </row>
    <row r="1250">
      <c r="A1250" s="40" t="n"/>
      <c r="B1250" s="41" t="n"/>
      <c r="C1250" s="41" t="n"/>
      <c r="D1250" s="40" t="n"/>
      <c r="E1250" s="40" t="n"/>
      <c r="F1250" s="40" t="n"/>
      <c r="G1250" s="39">
        <f>IF(COUNTA(A1250:F1250)=0,"",IF(A1250="EXAMPLE","Example (skipped)",IF(OR(C1250="",E1250="",F1250=""),"✖ Portal, User ID and Password are all needed",IF(AND(A1250="",COUNTIF(Clients!$B$5:$B$1005,B1250)=0),"Not on Clients — will match a portal client by name",IF(AND(C1250="GST",D1250&lt;&gt;"",COUNTIF(Clients!$AZ$5:$AZ$1005,UPPER(D1250))=0,COUNTIF(Clients!$G$5:$G$1005,"*"&amp;UPPER(D1250)&amp;"*")=0),"GSTIN not on Clients — will be checked in the portal","✔ OK")))))</f>
        <v/>
      </c>
    </row>
    <row r="1251">
      <c r="A1251" s="40" t="n"/>
      <c r="B1251" s="41" t="n"/>
      <c r="C1251" s="41" t="n"/>
      <c r="D1251" s="40" t="n"/>
      <c r="E1251" s="40" t="n"/>
      <c r="F1251" s="40" t="n"/>
      <c r="G1251" s="39">
        <f>IF(COUNTA(A1251:F1251)=0,"",IF(A1251="EXAMPLE","Example (skipped)",IF(OR(C1251="",E1251="",F1251=""),"✖ Portal, User ID and Password are all needed",IF(AND(A1251="",COUNTIF(Clients!$B$5:$B$1005,B1251)=0),"Not on Clients — will match a portal client by name",IF(AND(C1251="GST",D1251&lt;&gt;"",COUNTIF(Clients!$AZ$5:$AZ$1005,UPPER(D1251))=0,COUNTIF(Clients!$G$5:$G$1005,"*"&amp;UPPER(D1251)&amp;"*")=0),"GSTIN not on Clients — will be checked in the portal","✔ OK")))))</f>
        <v/>
      </c>
    </row>
    <row r="1252">
      <c r="A1252" s="40" t="n"/>
      <c r="B1252" s="41" t="n"/>
      <c r="C1252" s="41" t="n"/>
      <c r="D1252" s="40" t="n"/>
      <c r="E1252" s="40" t="n"/>
      <c r="F1252" s="40" t="n"/>
      <c r="G1252" s="39">
        <f>IF(COUNTA(A1252:F1252)=0,"",IF(A1252="EXAMPLE","Example (skipped)",IF(OR(C1252="",E1252="",F1252=""),"✖ Portal, User ID and Password are all needed",IF(AND(A1252="",COUNTIF(Clients!$B$5:$B$1005,B1252)=0),"Not on Clients — will match a portal client by name",IF(AND(C1252="GST",D1252&lt;&gt;"",COUNTIF(Clients!$AZ$5:$AZ$1005,UPPER(D1252))=0,COUNTIF(Clients!$G$5:$G$1005,"*"&amp;UPPER(D1252)&amp;"*")=0),"GSTIN not on Clients — will be checked in the portal","✔ OK")))))</f>
        <v/>
      </c>
    </row>
    <row r="1253">
      <c r="A1253" s="40" t="n"/>
      <c r="B1253" s="41" t="n"/>
      <c r="C1253" s="41" t="n"/>
      <c r="D1253" s="40" t="n"/>
      <c r="E1253" s="40" t="n"/>
      <c r="F1253" s="40" t="n"/>
      <c r="G1253" s="39">
        <f>IF(COUNTA(A1253:F1253)=0,"",IF(A1253="EXAMPLE","Example (skipped)",IF(OR(C1253="",E1253="",F1253=""),"✖ Portal, User ID and Password are all needed",IF(AND(A1253="",COUNTIF(Clients!$B$5:$B$1005,B1253)=0),"Not on Clients — will match a portal client by name",IF(AND(C1253="GST",D1253&lt;&gt;"",COUNTIF(Clients!$AZ$5:$AZ$1005,UPPER(D1253))=0,COUNTIF(Clients!$G$5:$G$1005,"*"&amp;UPPER(D1253)&amp;"*")=0),"GSTIN not on Clients — will be checked in the portal","✔ OK")))))</f>
        <v/>
      </c>
    </row>
    <row r="1254">
      <c r="A1254" s="40" t="n"/>
      <c r="B1254" s="41" t="n"/>
      <c r="C1254" s="41" t="n"/>
      <c r="D1254" s="40" t="n"/>
      <c r="E1254" s="40" t="n"/>
      <c r="F1254" s="40" t="n"/>
      <c r="G1254" s="39">
        <f>IF(COUNTA(A1254:F1254)=0,"",IF(A1254="EXAMPLE","Example (skipped)",IF(OR(C1254="",E1254="",F1254=""),"✖ Portal, User ID and Password are all needed",IF(AND(A1254="",COUNTIF(Clients!$B$5:$B$1005,B1254)=0),"Not on Clients — will match a portal client by name",IF(AND(C1254="GST",D1254&lt;&gt;"",COUNTIF(Clients!$AZ$5:$AZ$1005,UPPER(D1254))=0,COUNTIF(Clients!$G$5:$G$1005,"*"&amp;UPPER(D1254)&amp;"*")=0),"GSTIN not on Clients — will be checked in the portal","✔ OK")))))</f>
        <v/>
      </c>
    </row>
    <row r="1255">
      <c r="A1255" s="40" t="n"/>
      <c r="B1255" s="41" t="n"/>
      <c r="C1255" s="41" t="n"/>
      <c r="D1255" s="40" t="n"/>
      <c r="E1255" s="40" t="n"/>
      <c r="F1255" s="40" t="n"/>
      <c r="G1255" s="39">
        <f>IF(COUNTA(A1255:F1255)=0,"",IF(A1255="EXAMPLE","Example (skipped)",IF(OR(C1255="",E1255="",F1255=""),"✖ Portal, User ID and Password are all needed",IF(AND(A1255="",COUNTIF(Clients!$B$5:$B$1005,B1255)=0),"Not on Clients — will match a portal client by name",IF(AND(C1255="GST",D1255&lt;&gt;"",COUNTIF(Clients!$AZ$5:$AZ$1005,UPPER(D1255))=0,COUNTIF(Clients!$G$5:$G$1005,"*"&amp;UPPER(D1255)&amp;"*")=0),"GSTIN not on Clients — will be checked in the portal","✔ OK")))))</f>
        <v/>
      </c>
    </row>
    <row r="1256">
      <c r="A1256" s="40" t="n"/>
      <c r="B1256" s="41" t="n"/>
      <c r="C1256" s="41" t="n"/>
      <c r="D1256" s="40" t="n"/>
      <c r="E1256" s="40" t="n"/>
      <c r="F1256" s="40" t="n"/>
      <c r="G1256" s="39">
        <f>IF(COUNTA(A1256:F1256)=0,"",IF(A1256="EXAMPLE","Example (skipped)",IF(OR(C1256="",E1256="",F1256=""),"✖ Portal, User ID and Password are all needed",IF(AND(A1256="",COUNTIF(Clients!$B$5:$B$1005,B1256)=0),"Not on Clients — will match a portal client by name",IF(AND(C1256="GST",D1256&lt;&gt;"",COUNTIF(Clients!$AZ$5:$AZ$1005,UPPER(D1256))=0,COUNTIF(Clients!$G$5:$G$1005,"*"&amp;UPPER(D1256)&amp;"*")=0),"GSTIN not on Clients — will be checked in the portal","✔ OK")))))</f>
        <v/>
      </c>
    </row>
    <row r="1257">
      <c r="A1257" s="40" t="n"/>
      <c r="B1257" s="41" t="n"/>
      <c r="C1257" s="41" t="n"/>
      <c r="D1257" s="40" t="n"/>
      <c r="E1257" s="40" t="n"/>
      <c r="F1257" s="40" t="n"/>
      <c r="G1257" s="39">
        <f>IF(COUNTA(A1257:F1257)=0,"",IF(A1257="EXAMPLE","Example (skipped)",IF(OR(C1257="",E1257="",F1257=""),"✖ Portal, User ID and Password are all needed",IF(AND(A1257="",COUNTIF(Clients!$B$5:$B$1005,B1257)=0),"Not on Clients — will match a portal client by name",IF(AND(C1257="GST",D1257&lt;&gt;"",COUNTIF(Clients!$AZ$5:$AZ$1005,UPPER(D1257))=0,COUNTIF(Clients!$G$5:$G$1005,"*"&amp;UPPER(D1257)&amp;"*")=0),"GSTIN not on Clients — will be checked in the portal","✔ OK")))))</f>
        <v/>
      </c>
    </row>
    <row r="1258">
      <c r="A1258" s="40" t="n"/>
      <c r="B1258" s="41" t="n"/>
      <c r="C1258" s="41" t="n"/>
      <c r="D1258" s="40" t="n"/>
      <c r="E1258" s="40" t="n"/>
      <c r="F1258" s="40" t="n"/>
      <c r="G1258" s="39">
        <f>IF(COUNTA(A1258:F1258)=0,"",IF(A1258="EXAMPLE","Example (skipped)",IF(OR(C1258="",E1258="",F1258=""),"✖ Portal, User ID and Password are all needed",IF(AND(A1258="",COUNTIF(Clients!$B$5:$B$1005,B1258)=0),"Not on Clients — will match a portal client by name",IF(AND(C1258="GST",D1258&lt;&gt;"",COUNTIF(Clients!$AZ$5:$AZ$1005,UPPER(D1258))=0,COUNTIF(Clients!$G$5:$G$1005,"*"&amp;UPPER(D1258)&amp;"*")=0),"GSTIN not on Clients — will be checked in the portal","✔ OK")))))</f>
        <v/>
      </c>
    </row>
    <row r="1259">
      <c r="A1259" s="40" t="n"/>
      <c r="B1259" s="41" t="n"/>
      <c r="C1259" s="41" t="n"/>
      <c r="D1259" s="40" t="n"/>
      <c r="E1259" s="40" t="n"/>
      <c r="F1259" s="40" t="n"/>
      <c r="G1259" s="39">
        <f>IF(COUNTA(A1259:F1259)=0,"",IF(A1259="EXAMPLE","Example (skipped)",IF(OR(C1259="",E1259="",F1259=""),"✖ Portal, User ID and Password are all needed",IF(AND(A1259="",COUNTIF(Clients!$B$5:$B$1005,B1259)=0),"Not on Clients — will match a portal client by name",IF(AND(C1259="GST",D1259&lt;&gt;"",COUNTIF(Clients!$AZ$5:$AZ$1005,UPPER(D1259))=0,COUNTIF(Clients!$G$5:$G$1005,"*"&amp;UPPER(D1259)&amp;"*")=0),"GSTIN not on Clients — will be checked in the portal","✔ OK")))))</f>
        <v/>
      </c>
    </row>
    <row r="1260">
      <c r="A1260" s="40" t="n"/>
      <c r="B1260" s="41" t="n"/>
      <c r="C1260" s="41" t="n"/>
      <c r="D1260" s="40" t="n"/>
      <c r="E1260" s="40" t="n"/>
      <c r="F1260" s="40" t="n"/>
      <c r="G1260" s="39">
        <f>IF(COUNTA(A1260:F1260)=0,"",IF(A1260="EXAMPLE","Example (skipped)",IF(OR(C1260="",E1260="",F1260=""),"✖ Portal, User ID and Password are all needed",IF(AND(A1260="",COUNTIF(Clients!$B$5:$B$1005,B1260)=0),"Not on Clients — will match a portal client by name",IF(AND(C1260="GST",D1260&lt;&gt;"",COUNTIF(Clients!$AZ$5:$AZ$1005,UPPER(D1260))=0,COUNTIF(Clients!$G$5:$G$1005,"*"&amp;UPPER(D1260)&amp;"*")=0),"GSTIN not on Clients — will be checked in the portal","✔ OK")))))</f>
        <v/>
      </c>
    </row>
    <row r="1261">
      <c r="A1261" s="40" t="n"/>
      <c r="B1261" s="41" t="n"/>
      <c r="C1261" s="41" t="n"/>
      <c r="D1261" s="40" t="n"/>
      <c r="E1261" s="40" t="n"/>
      <c r="F1261" s="40" t="n"/>
      <c r="G1261" s="39">
        <f>IF(COUNTA(A1261:F1261)=0,"",IF(A1261="EXAMPLE","Example (skipped)",IF(OR(C1261="",E1261="",F1261=""),"✖ Portal, User ID and Password are all needed",IF(AND(A1261="",COUNTIF(Clients!$B$5:$B$1005,B1261)=0),"Not on Clients — will match a portal client by name",IF(AND(C1261="GST",D1261&lt;&gt;"",COUNTIF(Clients!$AZ$5:$AZ$1005,UPPER(D1261))=0,COUNTIF(Clients!$G$5:$G$1005,"*"&amp;UPPER(D1261)&amp;"*")=0),"GSTIN not on Clients — will be checked in the portal","✔ OK")))))</f>
        <v/>
      </c>
    </row>
    <row r="1262">
      <c r="A1262" s="40" t="n"/>
      <c r="B1262" s="41" t="n"/>
      <c r="C1262" s="41" t="n"/>
      <c r="D1262" s="40" t="n"/>
      <c r="E1262" s="40" t="n"/>
      <c r="F1262" s="40" t="n"/>
      <c r="G1262" s="39">
        <f>IF(COUNTA(A1262:F1262)=0,"",IF(A1262="EXAMPLE","Example (skipped)",IF(OR(C1262="",E1262="",F1262=""),"✖ Portal, User ID and Password are all needed",IF(AND(A1262="",COUNTIF(Clients!$B$5:$B$1005,B1262)=0),"Not on Clients — will match a portal client by name",IF(AND(C1262="GST",D1262&lt;&gt;"",COUNTIF(Clients!$AZ$5:$AZ$1005,UPPER(D1262))=0,COUNTIF(Clients!$G$5:$G$1005,"*"&amp;UPPER(D1262)&amp;"*")=0),"GSTIN not on Clients — will be checked in the portal","✔ OK")))))</f>
        <v/>
      </c>
    </row>
    <row r="1263">
      <c r="A1263" s="40" t="n"/>
      <c r="B1263" s="41" t="n"/>
      <c r="C1263" s="41" t="n"/>
      <c r="D1263" s="40" t="n"/>
      <c r="E1263" s="40" t="n"/>
      <c r="F1263" s="40" t="n"/>
      <c r="G1263" s="39">
        <f>IF(COUNTA(A1263:F1263)=0,"",IF(A1263="EXAMPLE","Example (skipped)",IF(OR(C1263="",E1263="",F1263=""),"✖ Portal, User ID and Password are all needed",IF(AND(A1263="",COUNTIF(Clients!$B$5:$B$1005,B1263)=0),"Not on Clients — will match a portal client by name",IF(AND(C1263="GST",D1263&lt;&gt;"",COUNTIF(Clients!$AZ$5:$AZ$1005,UPPER(D1263))=0,COUNTIF(Clients!$G$5:$G$1005,"*"&amp;UPPER(D1263)&amp;"*")=0),"GSTIN not on Clients — will be checked in the portal","✔ OK")))))</f>
        <v/>
      </c>
    </row>
    <row r="1264">
      <c r="A1264" s="40" t="n"/>
      <c r="B1264" s="41" t="n"/>
      <c r="C1264" s="41" t="n"/>
      <c r="D1264" s="40" t="n"/>
      <c r="E1264" s="40" t="n"/>
      <c r="F1264" s="40" t="n"/>
      <c r="G1264" s="39">
        <f>IF(COUNTA(A1264:F1264)=0,"",IF(A1264="EXAMPLE","Example (skipped)",IF(OR(C1264="",E1264="",F1264=""),"✖ Portal, User ID and Password are all needed",IF(AND(A1264="",COUNTIF(Clients!$B$5:$B$1005,B1264)=0),"Not on Clients — will match a portal client by name",IF(AND(C1264="GST",D1264&lt;&gt;"",COUNTIF(Clients!$AZ$5:$AZ$1005,UPPER(D1264))=0,COUNTIF(Clients!$G$5:$G$1005,"*"&amp;UPPER(D1264)&amp;"*")=0),"GSTIN not on Clients — will be checked in the portal","✔ OK")))))</f>
        <v/>
      </c>
    </row>
    <row r="1265">
      <c r="A1265" s="40" t="n"/>
      <c r="B1265" s="41" t="n"/>
      <c r="C1265" s="41" t="n"/>
      <c r="D1265" s="40" t="n"/>
      <c r="E1265" s="40" t="n"/>
      <c r="F1265" s="40" t="n"/>
      <c r="G1265" s="39">
        <f>IF(COUNTA(A1265:F1265)=0,"",IF(A1265="EXAMPLE","Example (skipped)",IF(OR(C1265="",E1265="",F1265=""),"✖ Portal, User ID and Password are all needed",IF(AND(A1265="",COUNTIF(Clients!$B$5:$B$1005,B1265)=0),"Not on Clients — will match a portal client by name",IF(AND(C1265="GST",D1265&lt;&gt;"",COUNTIF(Clients!$AZ$5:$AZ$1005,UPPER(D1265))=0,COUNTIF(Clients!$G$5:$G$1005,"*"&amp;UPPER(D1265)&amp;"*")=0),"GSTIN not on Clients — will be checked in the portal","✔ OK")))))</f>
        <v/>
      </c>
    </row>
    <row r="1266">
      <c r="A1266" s="40" t="n"/>
      <c r="B1266" s="41" t="n"/>
      <c r="C1266" s="41" t="n"/>
      <c r="D1266" s="40" t="n"/>
      <c r="E1266" s="40" t="n"/>
      <c r="F1266" s="40" t="n"/>
      <c r="G1266" s="39">
        <f>IF(COUNTA(A1266:F1266)=0,"",IF(A1266="EXAMPLE","Example (skipped)",IF(OR(C1266="",E1266="",F1266=""),"✖ Portal, User ID and Password are all needed",IF(AND(A1266="",COUNTIF(Clients!$B$5:$B$1005,B1266)=0),"Not on Clients — will match a portal client by name",IF(AND(C1266="GST",D1266&lt;&gt;"",COUNTIF(Clients!$AZ$5:$AZ$1005,UPPER(D1266))=0,COUNTIF(Clients!$G$5:$G$1005,"*"&amp;UPPER(D1266)&amp;"*")=0),"GSTIN not on Clients — will be checked in the portal","✔ OK")))))</f>
        <v/>
      </c>
    </row>
    <row r="1267">
      <c r="A1267" s="40" t="n"/>
      <c r="B1267" s="41" t="n"/>
      <c r="C1267" s="41" t="n"/>
      <c r="D1267" s="40" t="n"/>
      <c r="E1267" s="40" t="n"/>
      <c r="F1267" s="40" t="n"/>
      <c r="G1267" s="39">
        <f>IF(COUNTA(A1267:F1267)=0,"",IF(A1267="EXAMPLE","Example (skipped)",IF(OR(C1267="",E1267="",F1267=""),"✖ Portal, User ID and Password are all needed",IF(AND(A1267="",COUNTIF(Clients!$B$5:$B$1005,B1267)=0),"Not on Clients — will match a portal client by name",IF(AND(C1267="GST",D1267&lt;&gt;"",COUNTIF(Clients!$AZ$5:$AZ$1005,UPPER(D1267))=0,COUNTIF(Clients!$G$5:$G$1005,"*"&amp;UPPER(D1267)&amp;"*")=0),"GSTIN not on Clients — will be checked in the portal","✔ OK")))))</f>
        <v/>
      </c>
    </row>
    <row r="1268">
      <c r="A1268" s="40" t="n"/>
      <c r="B1268" s="41" t="n"/>
      <c r="C1268" s="41" t="n"/>
      <c r="D1268" s="40" t="n"/>
      <c r="E1268" s="40" t="n"/>
      <c r="F1268" s="40" t="n"/>
      <c r="G1268" s="39">
        <f>IF(COUNTA(A1268:F1268)=0,"",IF(A1268="EXAMPLE","Example (skipped)",IF(OR(C1268="",E1268="",F1268=""),"✖ Portal, User ID and Password are all needed",IF(AND(A1268="",COUNTIF(Clients!$B$5:$B$1005,B1268)=0),"Not on Clients — will match a portal client by name",IF(AND(C1268="GST",D1268&lt;&gt;"",COUNTIF(Clients!$AZ$5:$AZ$1005,UPPER(D1268))=0,COUNTIF(Clients!$G$5:$G$1005,"*"&amp;UPPER(D1268)&amp;"*")=0),"GSTIN not on Clients — will be checked in the portal","✔ OK")))))</f>
        <v/>
      </c>
    </row>
    <row r="1269">
      <c r="A1269" s="40" t="n"/>
      <c r="B1269" s="41" t="n"/>
      <c r="C1269" s="41" t="n"/>
      <c r="D1269" s="40" t="n"/>
      <c r="E1269" s="40" t="n"/>
      <c r="F1269" s="40" t="n"/>
      <c r="G1269" s="39">
        <f>IF(COUNTA(A1269:F1269)=0,"",IF(A1269="EXAMPLE","Example (skipped)",IF(OR(C1269="",E1269="",F1269=""),"✖ Portal, User ID and Password are all needed",IF(AND(A1269="",COUNTIF(Clients!$B$5:$B$1005,B1269)=0),"Not on Clients — will match a portal client by name",IF(AND(C1269="GST",D1269&lt;&gt;"",COUNTIF(Clients!$AZ$5:$AZ$1005,UPPER(D1269))=0,COUNTIF(Clients!$G$5:$G$1005,"*"&amp;UPPER(D1269)&amp;"*")=0),"GSTIN not on Clients — will be checked in the portal","✔ OK")))))</f>
        <v/>
      </c>
    </row>
    <row r="1270">
      <c r="A1270" s="40" t="n"/>
      <c r="B1270" s="41" t="n"/>
      <c r="C1270" s="41" t="n"/>
      <c r="D1270" s="40" t="n"/>
      <c r="E1270" s="40" t="n"/>
      <c r="F1270" s="40" t="n"/>
      <c r="G1270" s="39">
        <f>IF(COUNTA(A1270:F1270)=0,"",IF(A1270="EXAMPLE","Example (skipped)",IF(OR(C1270="",E1270="",F1270=""),"✖ Portal, User ID and Password are all needed",IF(AND(A1270="",COUNTIF(Clients!$B$5:$B$1005,B1270)=0),"Not on Clients — will match a portal client by name",IF(AND(C1270="GST",D1270&lt;&gt;"",COUNTIF(Clients!$AZ$5:$AZ$1005,UPPER(D1270))=0,COUNTIF(Clients!$G$5:$G$1005,"*"&amp;UPPER(D1270)&amp;"*")=0),"GSTIN not on Clients — will be checked in the portal","✔ OK")))))</f>
        <v/>
      </c>
    </row>
    <row r="1271">
      <c r="A1271" s="40" t="n"/>
      <c r="B1271" s="41" t="n"/>
      <c r="C1271" s="41" t="n"/>
      <c r="D1271" s="40" t="n"/>
      <c r="E1271" s="40" t="n"/>
      <c r="F1271" s="40" t="n"/>
      <c r="G1271" s="39">
        <f>IF(COUNTA(A1271:F1271)=0,"",IF(A1271="EXAMPLE","Example (skipped)",IF(OR(C1271="",E1271="",F1271=""),"✖ Portal, User ID and Password are all needed",IF(AND(A1271="",COUNTIF(Clients!$B$5:$B$1005,B1271)=0),"Not on Clients — will match a portal client by name",IF(AND(C1271="GST",D1271&lt;&gt;"",COUNTIF(Clients!$AZ$5:$AZ$1005,UPPER(D1271))=0,COUNTIF(Clients!$G$5:$G$1005,"*"&amp;UPPER(D1271)&amp;"*")=0),"GSTIN not on Clients — will be checked in the portal","✔ OK")))))</f>
        <v/>
      </c>
    </row>
    <row r="1272">
      <c r="A1272" s="40" t="n"/>
      <c r="B1272" s="41" t="n"/>
      <c r="C1272" s="41" t="n"/>
      <c r="D1272" s="40" t="n"/>
      <c r="E1272" s="40" t="n"/>
      <c r="F1272" s="40" t="n"/>
      <c r="G1272" s="39">
        <f>IF(COUNTA(A1272:F1272)=0,"",IF(A1272="EXAMPLE","Example (skipped)",IF(OR(C1272="",E1272="",F1272=""),"✖ Portal, User ID and Password are all needed",IF(AND(A1272="",COUNTIF(Clients!$B$5:$B$1005,B1272)=0),"Not on Clients — will match a portal client by name",IF(AND(C1272="GST",D1272&lt;&gt;"",COUNTIF(Clients!$AZ$5:$AZ$1005,UPPER(D1272))=0,COUNTIF(Clients!$G$5:$G$1005,"*"&amp;UPPER(D1272)&amp;"*")=0),"GSTIN not on Clients — will be checked in the portal","✔ OK")))))</f>
        <v/>
      </c>
    </row>
    <row r="1273">
      <c r="A1273" s="40" t="n"/>
      <c r="B1273" s="41" t="n"/>
      <c r="C1273" s="41" t="n"/>
      <c r="D1273" s="40" t="n"/>
      <c r="E1273" s="40" t="n"/>
      <c r="F1273" s="40" t="n"/>
      <c r="G1273" s="39">
        <f>IF(COUNTA(A1273:F1273)=0,"",IF(A1273="EXAMPLE","Example (skipped)",IF(OR(C1273="",E1273="",F1273=""),"✖ Portal, User ID and Password are all needed",IF(AND(A1273="",COUNTIF(Clients!$B$5:$B$1005,B1273)=0),"Not on Clients — will match a portal client by name",IF(AND(C1273="GST",D1273&lt;&gt;"",COUNTIF(Clients!$AZ$5:$AZ$1005,UPPER(D1273))=0,COUNTIF(Clients!$G$5:$G$1005,"*"&amp;UPPER(D1273)&amp;"*")=0),"GSTIN not on Clients — will be checked in the portal","✔ OK")))))</f>
        <v/>
      </c>
    </row>
    <row r="1274">
      <c r="A1274" s="40" t="n"/>
      <c r="B1274" s="41" t="n"/>
      <c r="C1274" s="41" t="n"/>
      <c r="D1274" s="40" t="n"/>
      <c r="E1274" s="40" t="n"/>
      <c r="F1274" s="40" t="n"/>
      <c r="G1274" s="39">
        <f>IF(COUNTA(A1274:F1274)=0,"",IF(A1274="EXAMPLE","Example (skipped)",IF(OR(C1274="",E1274="",F1274=""),"✖ Portal, User ID and Password are all needed",IF(AND(A1274="",COUNTIF(Clients!$B$5:$B$1005,B1274)=0),"Not on Clients — will match a portal client by name",IF(AND(C1274="GST",D1274&lt;&gt;"",COUNTIF(Clients!$AZ$5:$AZ$1005,UPPER(D1274))=0,COUNTIF(Clients!$G$5:$G$1005,"*"&amp;UPPER(D1274)&amp;"*")=0),"GSTIN not on Clients — will be checked in the portal","✔ OK")))))</f>
        <v/>
      </c>
    </row>
    <row r="1275">
      <c r="A1275" s="40" t="n"/>
      <c r="B1275" s="41" t="n"/>
      <c r="C1275" s="41" t="n"/>
      <c r="D1275" s="40" t="n"/>
      <c r="E1275" s="40" t="n"/>
      <c r="F1275" s="40" t="n"/>
      <c r="G1275" s="39">
        <f>IF(COUNTA(A1275:F1275)=0,"",IF(A1275="EXAMPLE","Example (skipped)",IF(OR(C1275="",E1275="",F1275=""),"✖ Portal, User ID and Password are all needed",IF(AND(A1275="",COUNTIF(Clients!$B$5:$B$1005,B1275)=0),"Not on Clients — will match a portal client by name",IF(AND(C1275="GST",D1275&lt;&gt;"",COUNTIF(Clients!$AZ$5:$AZ$1005,UPPER(D1275))=0,COUNTIF(Clients!$G$5:$G$1005,"*"&amp;UPPER(D1275)&amp;"*")=0),"GSTIN not on Clients — will be checked in the portal","✔ OK")))))</f>
        <v/>
      </c>
    </row>
    <row r="1276">
      <c r="A1276" s="40" t="n"/>
      <c r="B1276" s="41" t="n"/>
      <c r="C1276" s="41" t="n"/>
      <c r="D1276" s="40" t="n"/>
      <c r="E1276" s="40" t="n"/>
      <c r="F1276" s="40" t="n"/>
      <c r="G1276" s="39">
        <f>IF(COUNTA(A1276:F1276)=0,"",IF(A1276="EXAMPLE","Example (skipped)",IF(OR(C1276="",E1276="",F1276=""),"✖ Portal, User ID and Password are all needed",IF(AND(A1276="",COUNTIF(Clients!$B$5:$B$1005,B1276)=0),"Not on Clients — will match a portal client by name",IF(AND(C1276="GST",D1276&lt;&gt;"",COUNTIF(Clients!$AZ$5:$AZ$1005,UPPER(D1276))=0,COUNTIF(Clients!$G$5:$G$1005,"*"&amp;UPPER(D1276)&amp;"*")=0),"GSTIN not on Clients — will be checked in the portal","✔ OK")))))</f>
        <v/>
      </c>
    </row>
    <row r="1277">
      <c r="A1277" s="40" t="n"/>
      <c r="B1277" s="41" t="n"/>
      <c r="C1277" s="41" t="n"/>
      <c r="D1277" s="40" t="n"/>
      <c r="E1277" s="40" t="n"/>
      <c r="F1277" s="40" t="n"/>
      <c r="G1277" s="39">
        <f>IF(COUNTA(A1277:F1277)=0,"",IF(A1277="EXAMPLE","Example (skipped)",IF(OR(C1277="",E1277="",F1277=""),"✖ Portal, User ID and Password are all needed",IF(AND(A1277="",COUNTIF(Clients!$B$5:$B$1005,B1277)=0),"Not on Clients — will match a portal client by name",IF(AND(C1277="GST",D1277&lt;&gt;"",COUNTIF(Clients!$AZ$5:$AZ$1005,UPPER(D1277))=0,COUNTIF(Clients!$G$5:$G$1005,"*"&amp;UPPER(D1277)&amp;"*")=0),"GSTIN not on Clients — will be checked in the portal","✔ OK")))))</f>
        <v/>
      </c>
    </row>
    <row r="1278">
      <c r="A1278" s="40" t="n"/>
      <c r="B1278" s="41" t="n"/>
      <c r="C1278" s="41" t="n"/>
      <c r="D1278" s="40" t="n"/>
      <c r="E1278" s="40" t="n"/>
      <c r="F1278" s="40" t="n"/>
      <c r="G1278" s="39">
        <f>IF(COUNTA(A1278:F1278)=0,"",IF(A1278="EXAMPLE","Example (skipped)",IF(OR(C1278="",E1278="",F1278=""),"✖ Portal, User ID and Password are all needed",IF(AND(A1278="",COUNTIF(Clients!$B$5:$B$1005,B1278)=0),"Not on Clients — will match a portal client by name",IF(AND(C1278="GST",D1278&lt;&gt;"",COUNTIF(Clients!$AZ$5:$AZ$1005,UPPER(D1278))=0,COUNTIF(Clients!$G$5:$G$1005,"*"&amp;UPPER(D1278)&amp;"*")=0),"GSTIN not on Clients — will be checked in the portal","✔ OK")))))</f>
        <v/>
      </c>
    </row>
    <row r="1279">
      <c r="A1279" s="40" t="n"/>
      <c r="B1279" s="41" t="n"/>
      <c r="C1279" s="41" t="n"/>
      <c r="D1279" s="40" t="n"/>
      <c r="E1279" s="40" t="n"/>
      <c r="F1279" s="40" t="n"/>
      <c r="G1279" s="39">
        <f>IF(COUNTA(A1279:F1279)=0,"",IF(A1279="EXAMPLE","Example (skipped)",IF(OR(C1279="",E1279="",F1279=""),"✖ Portal, User ID and Password are all needed",IF(AND(A1279="",COUNTIF(Clients!$B$5:$B$1005,B1279)=0),"Not on Clients — will match a portal client by name",IF(AND(C1279="GST",D1279&lt;&gt;"",COUNTIF(Clients!$AZ$5:$AZ$1005,UPPER(D1279))=0,COUNTIF(Clients!$G$5:$G$1005,"*"&amp;UPPER(D1279)&amp;"*")=0),"GSTIN not on Clients — will be checked in the portal","✔ OK")))))</f>
        <v/>
      </c>
    </row>
    <row r="1280">
      <c r="A1280" s="40" t="n"/>
      <c r="B1280" s="41" t="n"/>
      <c r="C1280" s="41" t="n"/>
      <c r="D1280" s="40" t="n"/>
      <c r="E1280" s="40" t="n"/>
      <c r="F1280" s="40" t="n"/>
      <c r="G1280" s="39">
        <f>IF(COUNTA(A1280:F1280)=0,"",IF(A1280="EXAMPLE","Example (skipped)",IF(OR(C1280="",E1280="",F1280=""),"✖ Portal, User ID and Password are all needed",IF(AND(A1280="",COUNTIF(Clients!$B$5:$B$1005,B1280)=0),"Not on Clients — will match a portal client by name",IF(AND(C1280="GST",D1280&lt;&gt;"",COUNTIF(Clients!$AZ$5:$AZ$1005,UPPER(D1280))=0,COUNTIF(Clients!$G$5:$G$1005,"*"&amp;UPPER(D1280)&amp;"*")=0),"GSTIN not on Clients — will be checked in the portal","✔ OK")))))</f>
        <v/>
      </c>
    </row>
    <row r="1281">
      <c r="A1281" s="40" t="n"/>
      <c r="B1281" s="41" t="n"/>
      <c r="C1281" s="41" t="n"/>
      <c r="D1281" s="40" t="n"/>
      <c r="E1281" s="40" t="n"/>
      <c r="F1281" s="40" t="n"/>
      <c r="G1281" s="39">
        <f>IF(COUNTA(A1281:F1281)=0,"",IF(A1281="EXAMPLE","Example (skipped)",IF(OR(C1281="",E1281="",F1281=""),"✖ Portal, User ID and Password are all needed",IF(AND(A1281="",COUNTIF(Clients!$B$5:$B$1005,B1281)=0),"Not on Clients — will match a portal client by name",IF(AND(C1281="GST",D1281&lt;&gt;"",COUNTIF(Clients!$AZ$5:$AZ$1005,UPPER(D1281))=0,COUNTIF(Clients!$G$5:$G$1005,"*"&amp;UPPER(D1281)&amp;"*")=0),"GSTIN not on Clients — will be checked in the portal","✔ OK")))))</f>
        <v/>
      </c>
    </row>
    <row r="1282">
      <c r="A1282" s="40" t="n"/>
      <c r="B1282" s="41" t="n"/>
      <c r="C1282" s="41" t="n"/>
      <c r="D1282" s="40" t="n"/>
      <c r="E1282" s="40" t="n"/>
      <c r="F1282" s="40" t="n"/>
      <c r="G1282" s="39">
        <f>IF(COUNTA(A1282:F1282)=0,"",IF(A1282="EXAMPLE","Example (skipped)",IF(OR(C1282="",E1282="",F1282=""),"✖ Portal, User ID and Password are all needed",IF(AND(A1282="",COUNTIF(Clients!$B$5:$B$1005,B1282)=0),"Not on Clients — will match a portal client by name",IF(AND(C1282="GST",D1282&lt;&gt;"",COUNTIF(Clients!$AZ$5:$AZ$1005,UPPER(D1282))=0,COUNTIF(Clients!$G$5:$G$1005,"*"&amp;UPPER(D1282)&amp;"*")=0),"GSTIN not on Clients — will be checked in the portal","✔ OK")))))</f>
        <v/>
      </c>
    </row>
    <row r="1283">
      <c r="A1283" s="40" t="n"/>
      <c r="B1283" s="41" t="n"/>
      <c r="C1283" s="41" t="n"/>
      <c r="D1283" s="40" t="n"/>
      <c r="E1283" s="40" t="n"/>
      <c r="F1283" s="40" t="n"/>
      <c r="G1283" s="39">
        <f>IF(COUNTA(A1283:F1283)=0,"",IF(A1283="EXAMPLE","Example (skipped)",IF(OR(C1283="",E1283="",F1283=""),"✖ Portal, User ID and Password are all needed",IF(AND(A1283="",COUNTIF(Clients!$B$5:$B$1005,B1283)=0),"Not on Clients — will match a portal client by name",IF(AND(C1283="GST",D1283&lt;&gt;"",COUNTIF(Clients!$AZ$5:$AZ$1005,UPPER(D1283))=0,COUNTIF(Clients!$G$5:$G$1005,"*"&amp;UPPER(D1283)&amp;"*")=0),"GSTIN not on Clients — will be checked in the portal","✔ OK")))))</f>
        <v/>
      </c>
    </row>
    <row r="1284">
      <c r="A1284" s="40" t="n"/>
      <c r="B1284" s="41" t="n"/>
      <c r="C1284" s="41" t="n"/>
      <c r="D1284" s="40" t="n"/>
      <c r="E1284" s="40" t="n"/>
      <c r="F1284" s="40" t="n"/>
      <c r="G1284" s="39">
        <f>IF(COUNTA(A1284:F1284)=0,"",IF(A1284="EXAMPLE","Example (skipped)",IF(OR(C1284="",E1284="",F1284=""),"✖ Portal, User ID and Password are all needed",IF(AND(A1284="",COUNTIF(Clients!$B$5:$B$1005,B1284)=0),"Not on Clients — will match a portal client by name",IF(AND(C1284="GST",D1284&lt;&gt;"",COUNTIF(Clients!$AZ$5:$AZ$1005,UPPER(D1284))=0,COUNTIF(Clients!$G$5:$G$1005,"*"&amp;UPPER(D1284)&amp;"*")=0),"GSTIN not on Clients — will be checked in the portal","✔ OK")))))</f>
        <v/>
      </c>
    </row>
    <row r="1285">
      <c r="A1285" s="40" t="n"/>
      <c r="B1285" s="41" t="n"/>
      <c r="C1285" s="41" t="n"/>
      <c r="D1285" s="40" t="n"/>
      <c r="E1285" s="40" t="n"/>
      <c r="F1285" s="40" t="n"/>
      <c r="G1285" s="39">
        <f>IF(COUNTA(A1285:F1285)=0,"",IF(A1285="EXAMPLE","Example (skipped)",IF(OR(C1285="",E1285="",F1285=""),"✖ Portal, User ID and Password are all needed",IF(AND(A1285="",COUNTIF(Clients!$B$5:$B$1005,B1285)=0),"Not on Clients — will match a portal client by name",IF(AND(C1285="GST",D1285&lt;&gt;"",COUNTIF(Clients!$AZ$5:$AZ$1005,UPPER(D1285))=0,COUNTIF(Clients!$G$5:$G$1005,"*"&amp;UPPER(D1285)&amp;"*")=0),"GSTIN not on Clients — will be checked in the portal","✔ OK")))))</f>
        <v/>
      </c>
    </row>
    <row r="1286">
      <c r="A1286" s="40" t="n"/>
      <c r="B1286" s="41" t="n"/>
      <c r="C1286" s="41" t="n"/>
      <c r="D1286" s="40" t="n"/>
      <c r="E1286" s="40" t="n"/>
      <c r="F1286" s="40" t="n"/>
      <c r="G1286" s="39">
        <f>IF(COUNTA(A1286:F1286)=0,"",IF(A1286="EXAMPLE","Example (skipped)",IF(OR(C1286="",E1286="",F1286=""),"✖ Portal, User ID and Password are all needed",IF(AND(A1286="",COUNTIF(Clients!$B$5:$B$1005,B1286)=0),"Not on Clients — will match a portal client by name",IF(AND(C1286="GST",D1286&lt;&gt;"",COUNTIF(Clients!$AZ$5:$AZ$1005,UPPER(D1286))=0,COUNTIF(Clients!$G$5:$G$1005,"*"&amp;UPPER(D1286)&amp;"*")=0),"GSTIN not on Clients — will be checked in the portal","✔ OK")))))</f>
        <v/>
      </c>
    </row>
    <row r="1287">
      <c r="A1287" s="40" t="n"/>
      <c r="B1287" s="41" t="n"/>
      <c r="C1287" s="41" t="n"/>
      <c r="D1287" s="40" t="n"/>
      <c r="E1287" s="40" t="n"/>
      <c r="F1287" s="40" t="n"/>
      <c r="G1287" s="39">
        <f>IF(COUNTA(A1287:F1287)=0,"",IF(A1287="EXAMPLE","Example (skipped)",IF(OR(C1287="",E1287="",F1287=""),"✖ Portal, User ID and Password are all needed",IF(AND(A1287="",COUNTIF(Clients!$B$5:$B$1005,B1287)=0),"Not on Clients — will match a portal client by name",IF(AND(C1287="GST",D1287&lt;&gt;"",COUNTIF(Clients!$AZ$5:$AZ$1005,UPPER(D1287))=0,COUNTIF(Clients!$G$5:$G$1005,"*"&amp;UPPER(D1287)&amp;"*")=0),"GSTIN not on Clients — will be checked in the portal","✔ OK")))))</f>
        <v/>
      </c>
    </row>
    <row r="1288">
      <c r="A1288" s="40" t="n"/>
      <c r="B1288" s="41" t="n"/>
      <c r="C1288" s="41" t="n"/>
      <c r="D1288" s="40" t="n"/>
      <c r="E1288" s="40" t="n"/>
      <c r="F1288" s="40" t="n"/>
      <c r="G1288" s="39">
        <f>IF(COUNTA(A1288:F1288)=0,"",IF(A1288="EXAMPLE","Example (skipped)",IF(OR(C1288="",E1288="",F1288=""),"✖ Portal, User ID and Password are all needed",IF(AND(A1288="",COUNTIF(Clients!$B$5:$B$1005,B1288)=0),"Not on Clients — will match a portal client by name",IF(AND(C1288="GST",D1288&lt;&gt;"",COUNTIF(Clients!$AZ$5:$AZ$1005,UPPER(D1288))=0,COUNTIF(Clients!$G$5:$G$1005,"*"&amp;UPPER(D1288)&amp;"*")=0),"GSTIN not on Clients — will be checked in the portal","✔ OK")))))</f>
        <v/>
      </c>
    </row>
    <row r="1289">
      <c r="A1289" s="40" t="n"/>
      <c r="B1289" s="41" t="n"/>
      <c r="C1289" s="41" t="n"/>
      <c r="D1289" s="40" t="n"/>
      <c r="E1289" s="40" t="n"/>
      <c r="F1289" s="40" t="n"/>
      <c r="G1289" s="39">
        <f>IF(COUNTA(A1289:F1289)=0,"",IF(A1289="EXAMPLE","Example (skipped)",IF(OR(C1289="",E1289="",F1289=""),"✖ Portal, User ID and Password are all needed",IF(AND(A1289="",COUNTIF(Clients!$B$5:$B$1005,B1289)=0),"Not on Clients — will match a portal client by name",IF(AND(C1289="GST",D1289&lt;&gt;"",COUNTIF(Clients!$AZ$5:$AZ$1005,UPPER(D1289))=0,COUNTIF(Clients!$G$5:$G$1005,"*"&amp;UPPER(D1289)&amp;"*")=0),"GSTIN not on Clients — will be checked in the portal","✔ OK")))))</f>
        <v/>
      </c>
    </row>
    <row r="1290">
      <c r="A1290" s="40" t="n"/>
      <c r="B1290" s="41" t="n"/>
      <c r="C1290" s="41" t="n"/>
      <c r="D1290" s="40" t="n"/>
      <c r="E1290" s="40" t="n"/>
      <c r="F1290" s="40" t="n"/>
      <c r="G1290" s="39">
        <f>IF(COUNTA(A1290:F1290)=0,"",IF(A1290="EXAMPLE","Example (skipped)",IF(OR(C1290="",E1290="",F1290=""),"✖ Portal, User ID and Password are all needed",IF(AND(A1290="",COUNTIF(Clients!$B$5:$B$1005,B1290)=0),"Not on Clients — will match a portal client by name",IF(AND(C1290="GST",D1290&lt;&gt;"",COUNTIF(Clients!$AZ$5:$AZ$1005,UPPER(D1290))=0,COUNTIF(Clients!$G$5:$G$1005,"*"&amp;UPPER(D1290)&amp;"*")=0),"GSTIN not on Clients — will be checked in the portal","✔ OK")))))</f>
        <v/>
      </c>
    </row>
    <row r="1291">
      <c r="A1291" s="40" t="n"/>
      <c r="B1291" s="41" t="n"/>
      <c r="C1291" s="41" t="n"/>
      <c r="D1291" s="40" t="n"/>
      <c r="E1291" s="40" t="n"/>
      <c r="F1291" s="40" t="n"/>
      <c r="G1291" s="39">
        <f>IF(COUNTA(A1291:F1291)=0,"",IF(A1291="EXAMPLE","Example (skipped)",IF(OR(C1291="",E1291="",F1291=""),"✖ Portal, User ID and Password are all needed",IF(AND(A1291="",COUNTIF(Clients!$B$5:$B$1005,B1291)=0),"Not on Clients — will match a portal client by name",IF(AND(C1291="GST",D1291&lt;&gt;"",COUNTIF(Clients!$AZ$5:$AZ$1005,UPPER(D1291))=0,COUNTIF(Clients!$G$5:$G$1005,"*"&amp;UPPER(D1291)&amp;"*")=0),"GSTIN not on Clients — will be checked in the portal","✔ OK")))))</f>
        <v/>
      </c>
    </row>
    <row r="1292">
      <c r="A1292" s="40" t="n"/>
      <c r="B1292" s="41" t="n"/>
      <c r="C1292" s="41" t="n"/>
      <c r="D1292" s="40" t="n"/>
      <c r="E1292" s="40" t="n"/>
      <c r="F1292" s="40" t="n"/>
      <c r="G1292" s="39">
        <f>IF(COUNTA(A1292:F1292)=0,"",IF(A1292="EXAMPLE","Example (skipped)",IF(OR(C1292="",E1292="",F1292=""),"✖ Portal, User ID and Password are all needed",IF(AND(A1292="",COUNTIF(Clients!$B$5:$B$1005,B1292)=0),"Not on Clients — will match a portal client by name",IF(AND(C1292="GST",D1292&lt;&gt;"",COUNTIF(Clients!$AZ$5:$AZ$1005,UPPER(D1292))=0,COUNTIF(Clients!$G$5:$G$1005,"*"&amp;UPPER(D1292)&amp;"*")=0),"GSTIN not on Clients — will be checked in the portal","✔ OK")))))</f>
        <v/>
      </c>
    </row>
    <row r="1293">
      <c r="A1293" s="40" t="n"/>
      <c r="B1293" s="41" t="n"/>
      <c r="C1293" s="41" t="n"/>
      <c r="D1293" s="40" t="n"/>
      <c r="E1293" s="40" t="n"/>
      <c r="F1293" s="40" t="n"/>
      <c r="G1293" s="39">
        <f>IF(COUNTA(A1293:F1293)=0,"",IF(A1293="EXAMPLE","Example (skipped)",IF(OR(C1293="",E1293="",F1293=""),"✖ Portal, User ID and Password are all needed",IF(AND(A1293="",COUNTIF(Clients!$B$5:$B$1005,B1293)=0),"Not on Clients — will match a portal client by name",IF(AND(C1293="GST",D1293&lt;&gt;"",COUNTIF(Clients!$AZ$5:$AZ$1005,UPPER(D1293))=0,COUNTIF(Clients!$G$5:$G$1005,"*"&amp;UPPER(D1293)&amp;"*")=0),"GSTIN not on Clients — will be checked in the portal","✔ OK")))))</f>
        <v/>
      </c>
    </row>
    <row r="1294">
      <c r="A1294" s="40" t="n"/>
      <c r="B1294" s="41" t="n"/>
      <c r="C1294" s="41" t="n"/>
      <c r="D1294" s="40" t="n"/>
      <c r="E1294" s="40" t="n"/>
      <c r="F1294" s="40" t="n"/>
      <c r="G1294" s="39">
        <f>IF(COUNTA(A1294:F1294)=0,"",IF(A1294="EXAMPLE","Example (skipped)",IF(OR(C1294="",E1294="",F1294=""),"✖ Portal, User ID and Password are all needed",IF(AND(A1294="",COUNTIF(Clients!$B$5:$B$1005,B1294)=0),"Not on Clients — will match a portal client by name",IF(AND(C1294="GST",D1294&lt;&gt;"",COUNTIF(Clients!$AZ$5:$AZ$1005,UPPER(D1294))=0,COUNTIF(Clients!$G$5:$G$1005,"*"&amp;UPPER(D1294)&amp;"*")=0),"GSTIN not on Clients — will be checked in the portal","✔ OK")))))</f>
        <v/>
      </c>
    </row>
    <row r="1295">
      <c r="A1295" s="40" t="n"/>
      <c r="B1295" s="41" t="n"/>
      <c r="C1295" s="41" t="n"/>
      <c r="D1295" s="40" t="n"/>
      <c r="E1295" s="40" t="n"/>
      <c r="F1295" s="40" t="n"/>
      <c r="G1295" s="39">
        <f>IF(COUNTA(A1295:F1295)=0,"",IF(A1295="EXAMPLE","Example (skipped)",IF(OR(C1295="",E1295="",F1295=""),"✖ Portal, User ID and Password are all needed",IF(AND(A1295="",COUNTIF(Clients!$B$5:$B$1005,B1295)=0),"Not on Clients — will match a portal client by name",IF(AND(C1295="GST",D1295&lt;&gt;"",COUNTIF(Clients!$AZ$5:$AZ$1005,UPPER(D1295))=0,COUNTIF(Clients!$G$5:$G$1005,"*"&amp;UPPER(D1295)&amp;"*")=0),"GSTIN not on Clients — will be checked in the portal","✔ OK")))))</f>
        <v/>
      </c>
    </row>
    <row r="1296">
      <c r="A1296" s="40" t="n"/>
      <c r="B1296" s="41" t="n"/>
      <c r="C1296" s="41" t="n"/>
      <c r="D1296" s="40" t="n"/>
      <c r="E1296" s="40" t="n"/>
      <c r="F1296" s="40" t="n"/>
      <c r="G1296" s="39">
        <f>IF(COUNTA(A1296:F1296)=0,"",IF(A1296="EXAMPLE","Example (skipped)",IF(OR(C1296="",E1296="",F1296=""),"✖ Portal, User ID and Password are all needed",IF(AND(A1296="",COUNTIF(Clients!$B$5:$B$1005,B1296)=0),"Not on Clients — will match a portal client by name",IF(AND(C1296="GST",D1296&lt;&gt;"",COUNTIF(Clients!$AZ$5:$AZ$1005,UPPER(D1296))=0,COUNTIF(Clients!$G$5:$G$1005,"*"&amp;UPPER(D1296)&amp;"*")=0),"GSTIN not on Clients — will be checked in the portal","✔ OK")))))</f>
        <v/>
      </c>
    </row>
    <row r="1297">
      <c r="A1297" s="40" t="n"/>
      <c r="B1297" s="41" t="n"/>
      <c r="C1297" s="41" t="n"/>
      <c r="D1297" s="40" t="n"/>
      <c r="E1297" s="40" t="n"/>
      <c r="F1297" s="40" t="n"/>
      <c r="G1297" s="39">
        <f>IF(COUNTA(A1297:F1297)=0,"",IF(A1297="EXAMPLE","Example (skipped)",IF(OR(C1297="",E1297="",F1297=""),"✖ Portal, User ID and Password are all needed",IF(AND(A1297="",COUNTIF(Clients!$B$5:$B$1005,B1297)=0),"Not on Clients — will match a portal client by name",IF(AND(C1297="GST",D1297&lt;&gt;"",COUNTIF(Clients!$AZ$5:$AZ$1005,UPPER(D1297))=0,COUNTIF(Clients!$G$5:$G$1005,"*"&amp;UPPER(D1297)&amp;"*")=0),"GSTIN not on Clients — will be checked in the portal","✔ OK")))))</f>
        <v/>
      </c>
    </row>
    <row r="1298">
      <c r="A1298" s="40" t="n"/>
      <c r="B1298" s="41" t="n"/>
      <c r="C1298" s="41" t="n"/>
      <c r="D1298" s="40" t="n"/>
      <c r="E1298" s="40" t="n"/>
      <c r="F1298" s="40" t="n"/>
      <c r="G1298" s="39">
        <f>IF(COUNTA(A1298:F1298)=0,"",IF(A1298="EXAMPLE","Example (skipped)",IF(OR(C1298="",E1298="",F1298=""),"✖ Portal, User ID and Password are all needed",IF(AND(A1298="",COUNTIF(Clients!$B$5:$B$1005,B1298)=0),"Not on Clients — will match a portal client by name",IF(AND(C1298="GST",D1298&lt;&gt;"",COUNTIF(Clients!$AZ$5:$AZ$1005,UPPER(D1298))=0,COUNTIF(Clients!$G$5:$G$1005,"*"&amp;UPPER(D1298)&amp;"*")=0),"GSTIN not on Clients — will be checked in the portal","✔ OK")))))</f>
        <v/>
      </c>
    </row>
    <row r="1299">
      <c r="A1299" s="40" t="n"/>
      <c r="B1299" s="41" t="n"/>
      <c r="C1299" s="41" t="n"/>
      <c r="D1299" s="40" t="n"/>
      <c r="E1299" s="40" t="n"/>
      <c r="F1299" s="40" t="n"/>
      <c r="G1299" s="39">
        <f>IF(COUNTA(A1299:F1299)=0,"",IF(A1299="EXAMPLE","Example (skipped)",IF(OR(C1299="",E1299="",F1299=""),"✖ Portal, User ID and Password are all needed",IF(AND(A1299="",COUNTIF(Clients!$B$5:$B$1005,B1299)=0),"Not on Clients — will match a portal client by name",IF(AND(C1299="GST",D1299&lt;&gt;"",COUNTIF(Clients!$AZ$5:$AZ$1005,UPPER(D1299))=0,COUNTIF(Clients!$G$5:$G$1005,"*"&amp;UPPER(D1299)&amp;"*")=0),"GSTIN not on Clients — will be checked in the portal","✔ OK")))))</f>
        <v/>
      </c>
    </row>
    <row r="1300">
      <c r="A1300" s="40" t="n"/>
      <c r="B1300" s="41" t="n"/>
      <c r="C1300" s="41" t="n"/>
      <c r="D1300" s="40" t="n"/>
      <c r="E1300" s="40" t="n"/>
      <c r="F1300" s="40" t="n"/>
      <c r="G1300" s="39">
        <f>IF(COUNTA(A1300:F1300)=0,"",IF(A1300="EXAMPLE","Example (skipped)",IF(OR(C1300="",E1300="",F1300=""),"✖ Portal, User ID and Password are all needed",IF(AND(A1300="",COUNTIF(Clients!$B$5:$B$1005,B1300)=0),"Not on Clients — will match a portal client by name",IF(AND(C1300="GST",D1300&lt;&gt;"",COUNTIF(Clients!$AZ$5:$AZ$1005,UPPER(D1300))=0,COUNTIF(Clients!$G$5:$G$1005,"*"&amp;UPPER(D1300)&amp;"*")=0),"GSTIN not on Clients — will be checked in the portal","✔ OK")))))</f>
        <v/>
      </c>
    </row>
    <row r="1301">
      <c r="A1301" s="40" t="n"/>
      <c r="B1301" s="41" t="n"/>
      <c r="C1301" s="41" t="n"/>
      <c r="D1301" s="40" t="n"/>
      <c r="E1301" s="40" t="n"/>
      <c r="F1301" s="40" t="n"/>
      <c r="G1301" s="39">
        <f>IF(COUNTA(A1301:F1301)=0,"",IF(A1301="EXAMPLE","Example (skipped)",IF(OR(C1301="",E1301="",F1301=""),"✖ Portal, User ID and Password are all needed",IF(AND(A1301="",COUNTIF(Clients!$B$5:$B$1005,B1301)=0),"Not on Clients — will match a portal client by name",IF(AND(C1301="GST",D1301&lt;&gt;"",COUNTIF(Clients!$AZ$5:$AZ$1005,UPPER(D1301))=0,COUNTIF(Clients!$G$5:$G$1005,"*"&amp;UPPER(D1301)&amp;"*")=0),"GSTIN not on Clients — will be checked in the portal","✔ OK")))))</f>
        <v/>
      </c>
    </row>
    <row r="1302">
      <c r="A1302" s="40" t="n"/>
      <c r="B1302" s="41" t="n"/>
      <c r="C1302" s="41" t="n"/>
      <c r="D1302" s="40" t="n"/>
      <c r="E1302" s="40" t="n"/>
      <c r="F1302" s="40" t="n"/>
      <c r="G1302" s="39">
        <f>IF(COUNTA(A1302:F1302)=0,"",IF(A1302="EXAMPLE","Example (skipped)",IF(OR(C1302="",E1302="",F1302=""),"✖ Portal, User ID and Password are all needed",IF(AND(A1302="",COUNTIF(Clients!$B$5:$B$1005,B1302)=0),"Not on Clients — will match a portal client by name",IF(AND(C1302="GST",D1302&lt;&gt;"",COUNTIF(Clients!$AZ$5:$AZ$1005,UPPER(D1302))=0,COUNTIF(Clients!$G$5:$G$1005,"*"&amp;UPPER(D1302)&amp;"*")=0),"GSTIN not on Clients — will be checked in the portal","✔ OK")))))</f>
        <v/>
      </c>
    </row>
    <row r="1303">
      <c r="A1303" s="40" t="n"/>
      <c r="B1303" s="41" t="n"/>
      <c r="C1303" s="41" t="n"/>
      <c r="D1303" s="40" t="n"/>
      <c r="E1303" s="40" t="n"/>
      <c r="F1303" s="40" t="n"/>
      <c r="G1303" s="39">
        <f>IF(COUNTA(A1303:F1303)=0,"",IF(A1303="EXAMPLE","Example (skipped)",IF(OR(C1303="",E1303="",F1303=""),"✖ Portal, User ID and Password are all needed",IF(AND(A1303="",COUNTIF(Clients!$B$5:$B$1005,B1303)=0),"Not on Clients — will match a portal client by name",IF(AND(C1303="GST",D1303&lt;&gt;"",COUNTIF(Clients!$AZ$5:$AZ$1005,UPPER(D1303))=0,COUNTIF(Clients!$G$5:$G$1005,"*"&amp;UPPER(D1303)&amp;"*")=0),"GSTIN not on Clients — will be checked in the portal","✔ OK")))))</f>
        <v/>
      </c>
    </row>
    <row r="1304">
      <c r="A1304" s="40" t="n"/>
      <c r="B1304" s="41" t="n"/>
      <c r="C1304" s="41" t="n"/>
      <c r="D1304" s="40" t="n"/>
      <c r="E1304" s="40" t="n"/>
      <c r="F1304" s="40" t="n"/>
      <c r="G1304" s="39">
        <f>IF(COUNTA(A1304:F1304)=0,"",IF(A1304="EXAMPLE","Example (skipped)",IF(OR(C1304="",E1304="",F1304=""),"✖ Portal, User ID and Password are all needed",IF(AND(A1304="",COUNTIF(Clients!$B$5:$B$1005,B1304)=0),"Not on Clients — will match a portal client by name",IF(AND(C1304="GST",D1304&lt;&gt;"",COUNTIF(Clients!$AZ$5:$AZ$1005,UPPER(D1304))=0,COUNTIF(Clients!$G$5:$G$1005,"*"&amp;UPPER(D1304)&amp;"*")=0),"GSTIN not on Clients — will be checked in the portal","✔ OK")))))</f>
        <v/>
      </c>
    </row>
    <row r="1305">
      <c r="A1305" s="40" t="n"/>
      <c r="B1305" s="41" t="n"/>
      <c r="C1305" s="41" t="n"/>
      <c r="D1305" s="40" t="n"/>
      <c r="E1305" s="40" t="n"/>
      <c r="F1305" s="40" t="n"/>
      <c r="G1305" s="39">
        <f>IF(COUNTA(A1305:F1305)=0,"",IF(A1305="EXAMPLE","Example (skipped)",IF(OR(C1305="",E1305="",F1305=""),"✖ Portal, User ID and Password are all needed",IF(AND(A1305="",COUNTIF(Clients!$B$5:$B$1005,B1305)=0),"Not on Clients — will match a portal client by name",IF(AND(C1305="GST",D1305&lt;&gt;"",COUNTIF(Clients!$AZ$5:$AZ$1005,UPPER(D1305))=0,COUNTIF(Clients!$G$5:$G$1005,"*"&amp;UPPER(D1305)&amp;"*")=0),"GSTIN not on Clients — will be checked in the portal","✔ OK")))))</f>
        <v/>
      </c>
    </row>
    <row r="1306">
      <c r="A1306" s="40" t="n"/>
      <c r="B1306" s="41" t="n"/>
      <c r="C1306" s="41" t="n"/>
      <c r="D1306" s="40" t="n"/>
      <c r="E1306" s="40" t="n"/>
      <c r="F1306" s="40" t="n"/>
      <c r="G1306" s="39">
        <f>IF(COUNTA(A1306:F1306)=0,"",IF(A1306="EXAMPLE","Example (skipped)",IF(OR(C1306="",E1306="",F1306=""),"✖ Portal, User ID and Password are all needed",IF(AND(A1306="",COUNTIF(Clients!$B$5:$B$1005,B1306)=0),"Not on Clients — will match a portal client by name",IF(AND(C1306="GST",D1306&lt;&gt;"",COUNTIF(Clients!$AZ$5:$AZ$1005,UPPER(D1306))=0,COUNTIF(Clients!$G$5:$G$1005,"*"&amp;UPPER(D1306)&amp;"*")=0),"GSTIN not on Clients — will be checked in the portal","✔ OK")))))</f>
        <v/>
      </c>
    </row>
    <row r="1307">
      <c r="A1307" s="40" t="n"/>
      <c r="B1307" s="41" t="n"/>
      <c r="C1307" s="41" t="n"/>
      <c r="D1307" s="40" t="n"/>
      <c r="E1307" s="40" t="n"/>
      <c r="F1307" s="40" t="n"/>
      <c r="G1307" s="39">
        <f>IF(COUNTA(A1307:F1307)=0,"",IF(A1307="EXAMPLE","Example (skipped)",IF(OR(C1307="",E1307="",F1307=""),"✖ Portal, User ID and Password are all needed",IF(AND(A1307="",COUNTIF(Clients!$B$5:$B$1005,B1307)=0),"Not on Clients — will match a portal client by name",IF(AND(C1307="GST",D1307&lt;&gt;"",COUNTIF(Clients!$AZ$5:$AZ$1005,UPPER(D1307))=0,COUNTIF(Clients!$G$5:$G$1005,"*"&amp;UPPER(D1307)&amp;"*")=0),"GSTIN not on Clients — will be checked in the portal","✔ OK")))))</f>
        <v/>
      </c>
    </row>
    <row r="1308">
      <c r="A1308" s="40" t="n"/>
      <c r="B1308" s="41" t="n"/>
      <c r="C1308" s="41" t="n"/>
      <c r="D1308" s="40" t="n"/>
      <c r="E1308" s="40" t="n"/>
      <c r="F1308" s="40" t="n"/>
      <c r="G1308" s="39">
        <f>IF(COUNTA(A1308:F1308)=0,"",IF(A1308="EXAMPLE","Example (skipped)",IF(OR(C1308="",E1308="",F1308=""),"✖ Portal, User ID and Password are all needed",IF(AND(A1308="",COUNTIF(Clients!$B$5:$B$1005,B1308)=0),"Not on Clients — will match a portal client by name",IF(AND(C1308="GST",D1308&lt;&gt;"",COUNTIF(Clients!$AZ$5:$AZ$1005,UPPER(D1308))=0,COUNTIF(Clients!$G$5:$G$1005,"*"&amp;UPPER(D1308)&amp;"*")=0),"GSTIN not on Clients — will be checked in the portal","✔ OK")))))</f>
        <v/>
      </c>
    </row>
    <row r="1309">
      <c r="A1309" s="40" t="n"/>
      <c r="B1309" s="41" t="n"/>
      <c r="C1309" s="41" t="n"/>
      <c r="D1309" s="40" t="n"/>
      <c r="E1309" s="40" t="n"/>
      <c r="F1309" s="40" t="n"/>
      <c r="G1309" s="39">
        <f>IF(COUNTA(A1309:F1309)=0,"",IF(A1309="EXAMPLE","Example (skipped)",IF(OR(C1309="",E1309="",F1309=""),"✖ Portal, User ID and Password are all needed",IF(AND(A1309="",COUNTIF(Clients!$B$5:$B$1005,B1309)=0),"Not on Clients — will match a portal client by name",IF(AND(C1309="GST",D1309&lt;&gt;"",COUNTIF(Clients!$AZ$5:$AZ$1005,UPPER(D1309))=0,COUNTIF(Clients!$G$5:$G$1005,"*"&amp;UPPER(D1309)&amp;"*")=0),"GSTIN not on Clients — will be checked in the portal","✔ OK")))))</f>
        <v/>
      </c>
    </row>
    <row r="1310">
      <c r="A1310" s="40" t="n"/>
      <c r="B1310" s="41" t="n"/>
      <c r="C1310" s="41" t="n"/>
      <c r="D1310" s="40" t="n"/>
      <c r="E1310" s="40" t="n"/>
      <c r="F1310" s="40" t="n"/>
      <c r="G1310" s="39">
        <f>IF(COUNTA(A1310:F1310)=0,"",IF(A1310="EXAMPLE","Example (skipped)",IF(OR(C1310="",E1310="",F1310=""),"✖ Portal, User ID and Password are all needed",IF(AND(A1310="",COUNTIF(Clients!$B$5:$B$1005,B1310)=0),"Not on Clients — will match a portal client by name",IF(AND(C1310="GST",D1310&lt;&gt;"",COUNTIF(Clients!$AZ$5:$AZ$1005,UPPER(D1310))=0,COUNTIF(Clients!$G$5:$G$1005,"*"&amp;UPPER(D1310)&amp;"*")=0),"GSTIN not on Clients — will be checked in the portal","✔ OK")))))</f>
        <v/>
      </c>
    </row>
    <row r="1311">
      <c r="A1311" s="40" t="n"/>
      <c r="B1311" s="41" t="n"/>
      <c r="C1311" s="41" t="n"/>
      <c r="D1311" s="40" t="n"/>
      <c r="E1311" s="40" t="n"/>
      <c r="F1311" s="40" t="n"/>
      <c r="G1311" s="39">
        <f>IF(COUNTA(A1311:F1311)=0,"",IF(A1311="EXAMPLE","Example (skipped)",IF(OR(C1311="",E1311="",F1311=""),"✖ Portal, User ID and Password are all needed",IF(AND(A1311="",COUNTIF(Clients!$B$5:$B$1005,B1311)=0),"Not on Clients — will match a portal client by name",IF(AND(C1311="GST",D1311&lt;&gt;"",COUNTIF(Clients!$AZ$5:$AZ$1005,UPPER(D1311))=0,COUNTIF(Clients!$G$5:$G$1005,"*"&amp;UPPER(D1311)&amp;"*")=0),"GSTIN not on Clients — will be checked in the portal","✔ OK")))))</f>
        <v/>
      </c>
    </row>
    <row r="1312">
      <c r="A1312" s="40" t="n"/>
      <c r="B1312" s="41" t="n"/>
      <c r="C1312" s="41" t="n"/>
      <c r="D1312" s="40" t="n"/>
      <c r="E1312" s="40" t="n"/>
      <c r="F1312" s="40" t="n"/>
      <c r="G1312" s="39">
        <f>IF(COUNTA(A1312:F1312)=0,"",IF(A1312="EXAMPLE","Example (skipped)",IF(OR(C1312="",E1312="",F1312=""),"✖ Portal, User ID and Password are all needed",IF(AND(A1312="",COUNTIF(Clients!$B$5:$B$1005,B1312)=0),"Not on Clients — will match a portal client by name",IF(AND(C1312="GST",D1312&lt;&gt;"",COUNTIF(Clients!$AZ$5:$AZ$1005,UPPER(D1312))=0,COUNTIF(Clients!$G$5:$G$1005,"*"&amp;UPPER(D1312)&amp;"*")=0),"GSTIN not on Clients — will be checked in the portal","✔ OK")))))</f>
        <v/>
      </c>
    </row>
    <row r="1313">
      <c r="A1313" s="40" t="n"/>
      <c r="B1313" s="41" t="n"/>
      <c r="C1313" s="41" t="n"/>
      <c r="D1313" s="40" t="n"/>
      <c r="E1313" s="40" t="n"/>
      <c r="F1313" s="40" t="n"/>
      <c r="G1313" s="39">
        <f>IF(COUNTA(A1313:F1313)=0,"",IF(A1313="EXAMPLE","Example (skipped)",IF(OR(C1313="",E1313="",F1313=""),"✖ Portal, User ID and Password are all needed",IF(AND(A1313="",COUNTIF(Clients!$B$5:$B$1005,B1313)=0),"Not on Clients — will match a portal client by name",IF(AND(C1313="GST",D1313&lt;&gt;"",COUNTIF(Clients!$AZ$5:$AZ$1005,UPPER(D1313))=0,COUNTIF(Clients!$G$5:$G$1005,"*"&amp;UPPER(D1313)&amp;"*")=0),"GSTIN not on Clients — will be checked in the portal","✔ OK")))))</f>
        <v/>
      </c>
    </row>
    <row r="1314">
      <c r="A1314" s="40" t="n"/>
      <c r="B1314" s="41" t="n"/>
      <c r="C1314" s="41" t="n"/>
      <c r="D1314" s="40" t="n"/>
      <c r="E1314" s="40" t="n"/>
      <c r="F1314" s="40" t="n"/>
      <c r="G1314" s="39">
        <f>IF(COUNTA(A1314:F1314)=0,"",IF(A1314="EXAMPLE","Example (skipped)",IF(OR(C1314="",E1314="",F1314=""),"✖ Portal, User ID and Password are all needed",IF(AND(A1314="",COUNTIF(Clients!$B$5:$B$1005,B1314)=0),"Not on Clients — will match a portal client by name",IF(AND(C1314="GST",D1314&lt;&gt;"",COUNTIF(Clients!$AZ$5:$AZ$1005,UPPER(D1314))=0,COUNTIF(Clients!$G$5:$G$1005,"*"&amp;UPPER(D1314)&amp;"*")=0),"GSTIN not on Clients — will be checked in the portal","✔ OK")))))</f>
        <v/>
      </c>
    </row>
    <row r="1315">
      <c r="A1315" s="40" t="n"/>
      <c r="B1315" s="41" t="n"/>
      <c r="C1315" s="41" t="n"/>
      <c r="D1315" s="40" t="n"/>
      <c r="E1315" s="40" t="n"/>
      <c r="F1315" s="40" t="n"/>
      <c r="G1315" s="39">
        <f>IF(COUNTA(A1315:F1315)=0,"",IF(A1315="EXAMPLE","Example (skipped)",IF(OR(C1315="",E1315="",F1315=""),"✖ Portal, User ID and Password are all needed",IF(AND(A1315="",COUNTIF(Clients!$B$5:$B$1005,B1315)=0),"Not on Clients — will match a portal client by name",IF(AND(C1315="GST",D1315&lt;&gt;"",COUNTIF(Clients!$AZ$5:$AZ$1005,UPPER(D1315))=0,COUNTIF(Clients!$G$5:$G$1005,"*"&amp;UPPER(D1315)&amp;"*")=0),"GSTIN not on Clients — will be checked in the portal","✔ OK")))))</f>
        <v/>
      </c>
    </row>
    <row r="1316">
      <c r="A1316" s="40" t="n"/>
      <c r="B1316" s="41" t="n"/>
      <c r="C1316" s="41" t="n"/>
      <c r="D1316" s="40" t="n"/>
      <c r="E1316" s="40" t="n"/>
      <c r="F1316" s="40" t="n"/>
      <c r="G1316" s="39">
        <f>IF(COUNTA(A1316:F1316)=0,"",IF(A1316="EXAMPLE","Example (skipped)",IF(OR(C1316="",E1316="",F1316=""),"✖ Portal, User ID and Password are all needed",IF(AND(A1316="",COUNTIF(Clients!$B$5:$B$1005,B1316)=0),"Not on Clients — will match a portal client by name",IF(AND(C1316="GST",D1316&lt;&gt;"",COUNTIF(Clients!$AZ$5:$AZ$1005,UPPER(D1316))=0,COUNTIF(Clients!$G$5:$G$1005,"*"&amp;UPPER(D1316)&amp;"*")=0),"GSTIN not on Clients — will be checked in the portal","✔ OK")))))</f>
        <v/>
      </c>
    </row>
    <row r="1317">
      <c r="A1317" s="40" t="n"/>
      <c r="B1317" s="41" t="n"/>
      <c r="C1317" s="41" t="n"/>
      <c r="D1317" s="40" t="n"/>
      <c r="E1317" s="40" t="n"/>
      <c r="F1317" s="40" t="n"/>
      <c r="G1317" s="39">
        <f>IF(COUNTA(A1317:F1317)=0,"",IF(A1317="EXAMPLE","Example (skipped)",IF(OR(C1317="",E1317="",F1317=""),"✖ Portal, User ID and Password are all needed",IF(AND(A1317="",COUNTIF(Clients!$B$5:$B$1005,B1317)=0),"Not on Clients — will match a portal client by name",IF(AND(C1317="GST",D1317&lt;&gt;"",COUNTIF(Clients!$AZ$5:$AZ$1005,UPPER(D1317))=0,COUNTIF(Clients!$G$5:$G$1005,"*"&amp;UPPER(D1317)&amp;"*")=0),"GSTIN not on Clients — will be checked in the portal","✔ OK")))))</f>
        <v/>
      </c>
    </row>
    <row r="1318">
      <c r="A1318" s="40" t="n"/>
      <c r="B1318" s="41" t="n"/>
      <c r="C1318" s="41" t="n"/>
      <c r="D1318" s="40" t="n"/>
      <c r="E1318" s="40" t="n"/>
      <c r="F1318" s="40" t="n"/>
      <c r="G1318" s="39">
        <f>IF(COUNTA(A1318:F1318)=0,"",IF(A1318="EXAMPLE","Example (skipped)",IF(OR(C1318="",E1318="",F1318=""),"✖ Portal, User ID and Password are all needed",IF(AND(A1318="",COUNTIF(Clients!$B$5:$B$1005,B1318)=0),"Not on Clients — will match a portal client by name",IF(AND(C1318="GST",D1318&lt;&gt;"",COUNTIF(Clients!$AZ$5:$AZ$1005,UPPER(D1318))=0,COUNTIF(Clients!$G$5:$G$1005,"*"&amp;UPPER(D1318)&amp;"*")=0),"GSTIN not on Clients — will be checked in the portal","✔ OK")))))</f>
        <v/>
      </c>
    </row>
    <row r="1319">
      <c r="A1319" s="40" t="n"/>
      <c r="B1319" s="41" t="n"/>
      <c r="C1319" s="41" t="n"/>
      <c r="D1319" s="40" t="n"/>
      <c r="E1319" s="40" t="n"/>
      <c r="F1319" s="40" t="n"/>
      <c r="G1319" s="39">
        <f>IF(COUNTA(A1319:F1319)=0,"",IF(A1319="EXAMPLE","Example (skipped)",IF(OR(C1319="",E1319="",F1319=""),"✖ Portal, User ID and Password are all needed",IF(AND(A1319="",COUNTIF(Clients!$B$5:$B$1005,B1319)=0),"Not on Clients — will match a portal client by name",IF(AND(C1319="GST",D1319&lt;&gt;"",COUNTIF(Clients!$AZ$5:$AZ$1005,UPPER(D1319))=0,COUNTIF(Clients!$G$5:$G$1005,"*"&amp;UPPER(D1319)&amp;"*")=0),"GSTIN not on Clients — will be checked in the portal","✔ OK")))))</f>
        <v/>
      </c>
    </row>
    <row r="1320">
      <c r="A1320" s="40" t="n"/>
      <c r="B1320" s="41" t="n"/>
      <c r="C1320" s="41" t="n"/>
      <c r="D1320" s="40" t="n"/>
      <c r="E1320" s="40" t="n"/>
      <c r="F1320" s="40" t="n"/>
      <c r="G1320" s="39">
        <f>IF(COUNTA(A1320:F1320)=0,"",IF(A1320="EXAMPLE","Example (skipped)",IF(OR(C1320="",E1320="",F1320=""),"✖ Portal, User ID and Password are all needed",IF(AND(A1320="",COUNTIF(Clients!$B$5:$B$1005,B1320)=0),"Not on Clients — will match a portal client by name",IF(AND(C1320="GST",D1320&lt;&gt;"",COUNTIF(Clients!$AZ$5:$AZ$1005,UPPER(D1320))=0,COUNTIF(Clients!$G$5:$G$1005,"*"&amp;UPPER(D1320)&amp;"*")=0),"GSTIN not on Clients — will be checked in the portal","✔ OK")))))</f>
        <v/>
      </c>
    </row>
    <row r="1321">
      <c r="A1321" s="40" t="n"/>
      <c r="B1321" s="41" t="n"/>
      <c r="C1321" s="41" t="n"/>
      <c r="D1321" s="40" t="n"/>
      <c r="E1321" s="40" t="n"/>
      <c r="F1321" s="40" t="n"/>
      <c r="G1321" s="39">
        <f>IF(COUNTA(A1321:F1321)=0,"",IF(A1321="EXAMPLE","Example (skipped)",IF(OR(C1321="",E1321="",F1321=""),"✖ Portal, User ID and Password are all needed",IF(AND(A1321="",COUNTIF(Clients!$B$5:$B$1005,B1321)=0),"Not on Clients — will match a portal client by name",IF(AND(C1321="GST",D1321&lt;&gt;"",COUNTIF(Clients!$AZ$5:$AZ$1005,UPPER(D1321))=0,COUNTIF(Clients!$G$5:$G$1005,"*"&amp;UPPER(D1321)&amp;"*")=0),"GSTIN not on Clients — will be checked in the portal","✔ OK")))))</f>
        <v/>
      </c>
    </row>
    <row r="1322">
      <c r="A1322" s="40" t="n"/>
      <c r="B1322" s="41" t="n"/>
      <c r="C1322" s="41" t="n"/>
      <c r="D1322" s="40" t="n"/>
      <c r="E1322" s="40" t="n"/>
      <c r="F1322" s="40" t="n"/>
      <c r="G1322" s="39">
        <f>IF(COUNTA(A1322:F1322)=0,"",IF(A1322="EXAMPLE","Example (skipped)",IF(OR(C1322="",E1322="",F1322=""),"✖ Portal, User ID and Password are all needed",IF(AND(A1322="",COUNTIF(Clients!$B$5:$B$1005,B1322)=0),"Not on Clients — will match a portal client by name",IF(AND(C1322="GST",D1322&lt;&gt;"",COUNTIF(Clients!$AZ$5:$AZ$1005,UPPER(D1322))=0,COUNTIF(Clients!$G$5:$G$1005,"*"&amp;UPPER(D1322)&amp;"*")=0),"GSTIN not on Clients — will be checked in the portal","✔ OK")))))</f>
        <v/>
      </c>
    </row>
    <row r="1323">
      <c r="A1323" s="40" t="n"/>
      <c r="B1323" s="41" t="n"/>
      <c r="C1323" s="41" t="n"/>
      <c r="D1323" s="40" t="n"/>
      <c r="E1323" s="40" t="n"/>
      <c r="F1323" s="40" t="n"/>
      <c r="G1323" s="39">
        <f>IF(COUNTA(A1323:F1323)=0,"",IF(A1323="EXAMPLE","Example (skipped)",IF(OR(C1323="",E1323="",F1323=""),"✖ Portal, User ID and Password are all needed",IF(AND(A1323="",COUNTIF(Clients!$B$5:$B$1005,B1323)=0),"Not on Clients — will match a portal client by name",IF(AND(C1323="GST",D1323&lt;&gt;"",COUNTIF(Clients!$AZ$5:$AZ$1005,UPPER(D1323))=0,COUNTIF(Clients!$G$5:$G$1005,"*"&amp;UPPER(D1323)&amp;"*")=0),"GSTIN not on Clients — will be checked in the portal","✔ OK")))))</f>
        <v/>
      </c>
    </row>
    <row r="1324">
      <c r="A1324" s="40" t="n"/>
      <c r="B1324" s="41" t="n"/>
      <c r="C1324" s="41" t="n"/>
      <c r="D1324" s="40" t="n"/>
      <c r="E1324" s="40" t="n"/>
      <c r="F1324" s="40" t="n"/>
      <c r="G1324" s="39">
        <f>IF(COUNTA(A1324:F1324)=0,"",IF(A1324="EXAMPLE","Example (skipped)",IF(OR(C1324="",E1324="",F1324=""),"✖ Portal, User ID and Password are all needed",IF(AND(A1324="",COUNTIF(Clients!$B$5:$B$1005,B1324)=0),"Not on Clients — will match a portal client by name",IF(AND(C1324="GST",D1324&lt;&gt;"",COUNTIF(Clients!$AZ$5:$AZ$1005,UPPER(D1324))=0,COUNTIF(Clients!$G$5:$G$1005,"*"&amp;UPPER(D1324)&amp;"*")=0),"GSTIN not on Clients — will be checked in the portal","✔ OK")))))</f>
        <v/>
      </c>
    </row>
    <row r="1325">
      <c r="A1325" s="40" t="n"/>
      <c r="B1325" s="41" t="n"/>
      <c r="C1325" s="41" t="n"/>
      <c r="D1325" s="40" t="n"/>
      <c r="E1325" s="40" t="n"/>
      <c r="F1325" s="40" t="n"/>
      <c r="G1325" s="39">
        <f>IF(COUNTA(A1325:F1325)=0,"",IF(A1325="EXAMPLE","Example (skipped)",IF(OR(C1325="",E1325="",F1325=""),"✖ Portal, User ID and Password are all needed",IF(AND(A1325="",COUNTIF(Clients!$B$5:$B$1005,B1325)=0),"Not on Clients — will match a portal client by name",IF(AND(C1325="GST",D1325&lt;&gt;"",COUNTIF(Clients!$AZ$5:$AZ$1005,UPPER(D1325))=0,COUNTIF(Clients!$G$5:$G$1005,"*"&amp;UPPER(D1325)&amp;"*")=0),"GSTIN not on Clients — will be checked in the portal","✔ OK")))))</f>
        <v/>
      </c>
    </row>
    <row r="1326">
      <c r="A1326" s="40" t="n"/>
      <c r="B1326" s="41" t="n"/>
      <c r="C1326" s="41" t="n"/>
      <c r="D1326" s="40" t="n"/>
      <c r="E1326" s="40" t="n"/>
      <c r="F1326" s="40" t="n"/>
      <c r="G1326" s="39">
        <f>IF(COUNTA(A1326:F1326)=0,"",IF(A1326="EXAMPLE","Example (skipped)",IF(OR(C1326="",E1326="",F1326=""),"✖ Portal, User ID and Password are all needed",IF(AND(A1326="",COUNTIF(Clients!$B$5:$B$1005,B1326)=0),"Not on Clients — will match a portal client by name",IF(AND(C1326="GST",D1326&lt;&gt;"",COUNTIF(Clients!$AZ$5:$AZ$1005,UPPER(D1326))=0,COUNTIF(Clients!$G$5:$G$1005,"*"&amp;UPPER(D1326)&amp;"*")=0),"GSTIN not on Clients — will be checked in the portal","✔ OK")))))</f>
        <v/>
      </c>
    </row>
    <row r="1327">
      <c r="A1327" s="40" t="n"/>
      <c r="B1327" s="41" t="n"/>
      <c r="C1327" s="41" t="n"/>
      <c r="D1327" s="40" t="n"/>
      <c r="E1327" s="40" t="n"/>
      <c r="F1327" s="40" t="n"/>
      <c r="G1327" s="39">
        <f>IF(COUNTA(A1327:F1327)=0,"",IF(A1327="EXAMPLE","Example (skipped)",IF(OR(C1327="",E1327="",F1327=""),"✖ Portal, User ID and Password are all needed",IF(AND(A1327="",COUNTIF(Clients!$B$5:$B$1005,B1327)=0),"Not on Clients — will match a portal client by name",IF(AND(C1327="GST",D1327&lt;&gt;"",COUNTIF(Clients!$AZ$5:$AZ$1005,UPPER(D1327))=0,COUNTIF(Clients!$G$5:$G$1005,"*"&amp;UPPER(D1327)&amp;"*")=0),"GSTIN not on Clients — will be checked in the portal","✔ OK")))))</f>
        <v/>
      </c>
    </row>
    <row r="1328">
      <c r="A1328" s="40" t="n"/>
      <c r="B1328" s="41" t="n"/>
      <c r="C1328" s="41" t="n"/>
      <c r="D1328" s="40" t="n"/>
      <c r="E1328" s="40" t="n"/>
      <c r="F1328" s="40" t="n"/>
      <c r="G1328" s="39">
        <f>IF(COUNTA(A1328:F1328)=0,"",IF(A1328="EXAMPLE","Example (skipped)",IF(OR(C1328="",E1328="",F1328=""),"✖ Portal, User ID and Password are all needed",IF(AND(A1328="",COUNTIF(Clients!$B$5:$B$1005,B1328)=0),"Not on Clients — will match a portal client by name",IF(AND(C1328="GST",D1328&lt;&gt;"",COUNTIF(Clients!$AZ$5:$AZ$1005,UPPER(D1328))=0,COUNTIF(Clients!$G$5:$G$1005,"*"&amp;UPPER(D1328)&amp;"*")=0),"GSTIN not on Clients — will be checked in the portal","✔ OK")))))</f>
        <v/>
      </c>
    </row>
    <row r="1329">
      <c r="A1329" s="40" t="n"/>
      <c r="B1329" s="41" t="n"/>
      <c r="C1329" s="41" t="n"/>
      <c r="D1329" s="40" t="n"/>
      <c r="E1329" s="40" t="n"/>
      <c r="F1329" s="40" t="n"/>
      <c r="G1329" s="39">
        <f>IF(COUNTA(A1329:F1329)=0,"",IF(A1329="EXAMPLE","Example (skipped)",IF(OR(C1329="",E1329="",F1329=""),"✖ Portal, User ID and Password are all needed",IF(AND(A1329="",COUNTIF(Clients!$B$5:$B$1005,B1329)=0),"Not on Clients — will match a portal client by name",IF(AND(C1329="GST",D1329&lt;&gt;"",COUNTIF(Clients!$AZ$5:$AZ$1005,UPPER(D1329))=0,COUNTIF(Clients!$G$5:$G$1005,"*"&amp;UPPER(D1329)&amp;"*")=0),"GSTIN not on Clients — will be checked in the portal","✔ OK")))))</f>
        <v/>
      </c>
    </row>
    <row r="1330">
      <c r="A1330" s="40" t="n"/>
      <c r="B1330" s="41" t="n"/>
      <c r="C1330" s="41" t="n"/>
      <c r="D1330" s="40" t="n"/>
      <c r="E1330" s="40" t="n"/>
      <c r="F1330" s="40" t="n"/>
      <c r="G1330" s="39">
        <f>IF(COUNTA(A1330:F1330)=0,"",IF(A1330="EXAMPLE","Example (skipped)",IF(OR(C1330="",E1330="",F1330=""),"✖ Portal, User ID and Password are all needed",IF(AND(A1330="",COUNTIF(Clients!$B$5:$B$1005,B1330)=0),"Not on Clients — will match a portal client by name",IF(AND(C1330="GST",D1330&lt;&gt;"",COUNTIF(Clients!$AZ$5:$AZ$1005,UPPER(D1330))=0,COUNTIF(Clients!$G$5:$G$1005,"*"&amp;UPPER(D1330)&amp;"*")=0),"GSTIN not on Clients — will be checked in the portal","✔ OK")))))</f>
        <v/>
      </c>
    </row>
    <row r="1331">
      <c r="A1331" s="40" t="n"/>
      <c r="B1331" s="41" t="n"/>
      <c r="C1331" s="41" t="n"/>
      <c r="D1331" s="40" t="n"/>
      <c r="E1331" s="40" t="n"/>
      <c r="F1331" s="40" t="n"/>
      <c r="G1331" s="39">
        <f>IF(COUNTA(A1331:F1331)=0,"",IF(A1331="EXAMPLE","Example (skipped)",IF(OR(C1331="",E1331="",F1331=""),"✖ Portal, User ID and Password are all needed",IF(AND(A1331="",COUNTIF(Clients!$B$5:$B$1005,B1331)=0),"Not on Clients — will match a portal client by name",IF(AND(C1331="GST",D1331&lt;&gt;"",COUNTIF(Clients!$AZ$5:$AZ$1005,UPPER(D1331))=0,COUNTIF(Clients!$G$5:$G$1005,"*"&amp;UPPER(D1331)&amp;"*")=0),"GSTIN not on Clients — will be checked in the portal","✔ OK")))))</f>
        <v/>
      </c>
    </row>
    <row r="1332">
      <c r="A1332" s="40" t="n"/>
      <c r="B1332" s="41" t="n"/>
      <c r="C1332" s="41" t="n"/>
      <c r="D1332" s="40" t="n"/>
      <c r="E1332" s="40" t="n"/>
      <c r="F1332" s="40" t="n"/>
      <c r="G1332" s="39">
        <f>IF(COUNTA(A1332:F1332)=0,"",IF(A1332="EXAMPLE","Example (skipped)",IF(OR(C1332="",E1332="",F1332=""),"✖ Portal, User ID and Password are all needed",IF(AND(A1332="",COUNTIF(Clients!$B$5:$B$1005,B1332)=0),"Not on Clients — will match a portal client by name",IF(AND(C1332="GST",D1332&lt;&gt;"",COUNTIF(Clients!$AZ$5:$AZ$1005,UPPER(D1332))=0,COUNTIF(Clients!$G$5:$G$1005,"*"&amp;UPPER(D1332)&amp;"*")=0),"GSTIN not on Clients — will be checked in the portal","✔ OK")))))</f>
        <v/>
      </c>
    </row>
    <row r="1333">
      <c r="A1333" s="40" t="n"/>
      <c r="B1333" s="41" t="n"/>
      <c r="C1333" s="41" t="n"/>
      <c r="D1333" s="40" t="n"/>
      <c r="E1333" s="40" t="n"/>
      <c r="F1333" s="40" t="n"/>
      <c r="G1333" s="39">
        <f>IF(COUNTA(A1333:F1333)=0,"",IF(A1333="EXAMPLE","Example (skipped)",IF(OR(C1333="",E1333="",F1333=""),"✖ Portal, User ID and Password are all needed",IF(AND(A1333="",COUNTIF(Clients!$B$5:$B$1005,B1333)=0),"Not on Clients — will match a portal client by name",IF(AND(C1333="GST",D1333&lt;&gt;"",COUNTIF(Clients!$AZ$5:$AZ$1005,UPPER(D1333))=0,COUNTIF(Clients!$G$5:$G$1005,"*"&amp;UPPER(D1333)&amp;"*")=0),"GSTIN not on Clients — will be checked in the portal","✔ OK")))))</f>
        <v/>
      </c>
    </row>
    <row r="1334">
      <c r="A1334" s="40" t="n"/>
      <c r="B1334" s="41" t="n"/>
      <c r="C1334" s="41" t="n"/>
      <c r="D1334" s="40" t="n"/>
      <c r="E1334" s="40" t="n"/>
      <c r="F1334" s="40" t="n"/>
      <c r="G1334" s="39">
        <f>IF(COUNTA(A1334:F1334)=0,"",IF(A1334="EXAMPLE","Example (skipped)",IF(OR(C1334="",E1334="",F1334=""),"✖ Portal, User ID and Password are all needed",IF(AND(A1334="",COUNTIF(Clients!$B$5:$B$1005,B1334)=0),"Not on Clients — will match a portal client by name",IF(AND(C1334="GST",D1334&lt;&gt;"",COUNTIF(Clients!$AZ$5:$AZ$1005,UPPER(D1334))=0,COUNTIF(Clients!$G$5:$G$1005,"*"&amp;UPPER(D1334)&amp;"*")=0),"GSTIN not on Clients — will be checked in the portal","✔ OK")))))</f>
        <v/>
      </c>
    </row>
    <row r="1335">
      <c r="A1335" s="40" t="n"/>
      <c r="B1335" s="41" t="n"/>
      <c r="C1335" s="41" t="n"/>
      <c r="D1335" s="40" t="n"/>
      <c r="E1335" s="40" t="n"/>
      <c r="F1335" s="40" t="n"/>
      <c r="G1335" s="39">
        <f>IF(COUNTA(A1335:F1335)=0,"",IF(A1335="EXAMPLE","Example (skipped)",IF(OR(C1335="",E1335="",F1335=""),"✖ Portal, User ID and Password are all needed",IF(AND(A1335="",COUNTIF(Clients!$B$5:$B$1005,B1335)=0),"Not on Clients — will match a portal client by name",IF(AND(C1335="GST",D1335&lt;&gt;"",COUNTIF(Clients!$AZ$5:$AZ$1005,UPPER(D1335))=0,COUNTIF(Clients!$G$5:$G$1005,"*"&amp;UPPER(D1335)&amp;"*")=0),"GSTIN not on Clients — will be checked in the portal","✔ OK")))))</f>
        <v/>
      </c>
    </row>
    <row r="1336">
      <c r="A1336" s="40" t="n"/>
      <c r="B1336" s="41" t="n"/>
      <c r="C1336" s="41" t="n"/>
      <c r="D1336" s="40" t="n"/>
      <c r="E1336" s="40" t="n"/>
      <c r="F1336" s="40" t="n"/>
      <c r="G1336" s="39">
        <f>IF(COUNTA(A1336:F1336)=0,"",IF(A1336="EXAMPLE","Example (skipped)",IF(OR(C1336="",E1336="",F1336=""),"✖ Portal, User ID and Password are all needed",IF(AND(A1336="",COUNTIF(Clients!$B$5:$B$1005,B1336)=0),"Not on Clients — will match a portal client by name",IF(AND(C1336="GST",D1336&lt;&gt;"",COUNTIF(Clients!$AZ$5:$AZ$1005,UPPER(D1336))=0,COUNTIF(Clients!$G$5:$G$1005,"*"&amp;UPPER(D1336)&amp;"*")=0),"GSTIN not on Clients — will be checked in the portal","✔ OK")))))</f>
        <v/>
      </c>
    </row>
    <row r="1337">
      <c r="A1337" s="40" t="n"/>
      <c r="B1337" s="41" t="n"/>
      <c r="C1337" s="41" t="n"/>
      <c r="D1337" s="40" t="n"/>
      <c r="E1337" s="40" t="n"/>
      <c r="F1337" s="40" t="n"/>
      <c r="G1337" s="39">
        <f>IF(COUNTA(A1337:F1337)=0,"",IF(A1337="EXAMPLE","Example (skipped)",IF(OR(C1337="",E1337="",F1337=""),"✖ Portal, User ID and Password are all needed",IF(AND(A1337="",COUNTIF(Clients!$B$5:$B$1005,B1337)=0),"Not on Clients — will match a portal client by name",IF(AND(C1337="GST",D1337&lt;&gt;"",COUNTIF(Clients!$AZ$5:$AZ$1005,UPPER(D1337))=0,COUNTIF(Clients!$G$5:$G$1005,"*"&amp;UPPER(D1337)&amp;"*")=0),"GSTIN not on Clients — will be checked in the portal","✔ OK")))))</f>
        <v/>
      </c>
    </row>
    <row r="1338">
      <c r="A1338" s="40" t="n"/>
      <c r="B1338" s="41" t="n"/>
      <c r="C1338" s="41" t="n"/>
      <c r="D1338" s="40" t="n"/>
      <c r="E1338" s="40" t="n"/>
      <c r="F1338" s="40" t="n"/>
      <c r="G1338" s="39">
        <f>IF(COUNTA(A1338:F1338)=0,"",IF(A1338="EXAMPLE","Example (skipped)",IF(OR(C1338="",E1338="",F1338=""),"✖ Portal, User ID and Password are all needed",IF(AND(A1338="",COUNTIF(Clients!$B$5:$B$1005,B1338)=0),"Not on Clients — will match a portal client by name",IF(AND(C1338="GST",D1338&lt;&gt;"",COUNTIF(Clients!$AZ$5:$AZ$1005,UPPER(D1338))=0,COUNTIF(Clients!$G$5:$G$1005,"*"&amp;UPPER(D1338)&amp;"*")=0),"GSTIN not on Clients — will be checked in the portal","✔ OK")))))</f>
        <v/>
      </c>
    </row>
    <row r="1339">
      <c r="A1339" s="40" t="n"/>
      <c r="B1339" s="41" t="n"/>
      <c r="C1339" s="41" t="n"/>
      <c r="D1339" s="40" t="n"/>
      <c r="E1339" s="40" t="n"/>
      <c r="F1339" s="40" t="n"/>
      <c r="G1339" s="39">
        <f>IF(COUNTA(A1339:F1339)=0,"",IF(A1339="EXAMPLE","Example (skipped)",IF(OR(C1339="",E1339="",F1339=""),"✖ Portal, User ID and Password are all needed",IF(AND(A1339="",COUNTIF(Clients!$B$5:$B$1005,B1339)=0),"Not on Clients — will match a portal client by name",IF(AND(C1339="GST",D1339&lt;&gt;"",COUNTIF(Clients!$AZ$5:$AZ$1005,UPPER(D1339))=0,COUNTIF(Clients!$G$5:$G$1005,"*"&amp;UPPER(D1339)&amp;"*")=0),"GSTIN not on Clients — will be checked in the portal","✔ OK")))))</f>
        <v/>
      </c>
    </row>
    <row r="1340">
      <c r="A1340" s="40" t="n"/>
      <c r="B1340" s="41" t="n"/>
      <c r="C1340" s="41" t="n"/>
      <c r="D1340" s="40" t="n"/>
      <c r="E1340" s="40" t="n"/>
      <c r="F1340" s="40" t="n"/>
      <c r="G1340" s="39">
        <f>IF(COUNTA(A1340:F1340)=0,"",IF(A1340="EXAMPLE","Example (skipped)",IF(OR(C1340="",E1340="",F1340=""),"✖ Portal, User ID and Password are all needed",IF(AND(A1340="",COUNTIF(Clients!$B$5:$B$1005,B1340)=0),"Not on Clients — will match a portal client by name",IF(AND(C1340="GST",D1340&lt;&gt;"",COUNTIF(Clients!$AZ$5:$AZ$1005,UPPER(D1340))=0,COUNTIF(Clients!$G$5:$G$1005,"*"&amp;UPPER(D1340)&amp;"*")=0),"GSTIN not on Clients — will be checked in the portal","✔ OK")))))</f>
        <v/>
      </c>
    </row>
    <row r="1341">
      <c r="A1341" s="40" t="n"/>
      <c r="B1341" s="41" t="n"/>
      <c r="C1341" s="41" t="n"/>
      <c r="D1341" s="40" t="n"/>
      <c r="E1341" s="40" t="n"/>
      <c r="F1341" s="40" t="n"/>
      <c r="G1341" s="39">
        <f>IF(COUNTA(A1341:F1341)=0,"",IF(A1341="EXAMPLE","Example (skipped)",IF(OR(C1341="",E1341="",F1341=""),"✖ Portal, User ID and Password are all needed",IF(AND(A1341="",COUNTIF(Clients!$B$5:$B$1005,B1341)=0),"Not on Clients — will match a portal client by name",IF(AND(C1341="GST",D1341&lt;&gt;"",COUNTIF(Clients!$AZ$5:$AZ$1005,UPPER(D1341))=0,COUNTIF(Clients!$G$5:$G$1005,"*"&amp;UPPER(D1341)&amp;"*")=0),"GSTIN not on Clients — will be checked in the portal","✔ OK")))))</f>
        <v/>
      </c>
    </row>
    <row r="1342">
      <c r="A1342" s="40" t="n"/>
      <c r="B1342" s="41" t="n"/>
      <c r="C1342" s="41" t="n"/>
      <c r="D1342" s="40" t="n"/>
      <c r="E1342" s="40" t="n"/>
      <c r="F1342" s="40" t="n"/>
      <c r="G1342" s="39">
        <f>IF(COUNTA(A1342:F1342)=0,"",IF(A1342="EXAMPLE","Example (skipped)",IF(OR(C1342="",E1342="",F1342=""),"✖ Portal, User ID and Password are all needed",IF(AND(A1342="",COUNTIF(Clients!$B$5:$B$1005,B1342)=0),"Not on Clients — will match a portal client by name",IF(AND(C1342="GST",D1342&lt;&gt;"",COUNTIF(Clients!$AZ$5:$AZ$1005,UPPER(D1342))=0,COUNTIF(Clients!$G$5:$G$1005,"*"&amp;UPPER(D1342)&amp;"*")=0),"GSTIN not on Clients — will be checked in the portal","✔ OK")))))</f>
        <v/>
      </c>
    </row>
    <row r="1343">
      <c r="A1343" s="40" t="n"/>
      <c r="B1343" s="41" t="n"/>
      <c r="C1343" s="41" t="n"/>
      <c r="D1343" s="40" t="n"/>
      <c r="E1343" s="40" t="n"/>
      <c r="F1343" s="40" t="n"/>
      <c r="G1343" s="39">
        <f>IF(COUNTA(A1343:F1343)=0,"",IF(A1343="EXAMPLE","Example (skipped)",IF(OR(C1343="",E1343="",F1343=""),"✖ Portal, User ID and Password are all needed",IF(AND(A1343="",COUNTIF(Clients!$B$5:$B$1005,B1343)=0),"Not on Clients — will match a portal client by name",IF(AND(C1343="GST",D1343&lt;&gt;"",COUNTIF(Clients!$AZ$5:$AZ$1005,UPPER(D1343))=0,COUNTIF(Clients!$G$5:$G$1005,"*"&amp;UPPER(D1343)&amp;"*")=0),"GSTIN not on Clients — will be checked in the portal","✔ OK")))))</f>
        <v/>
      </c>
    </row>
    <row r="1344">
      <c r="A1344" s="40" t="n"/>
      <c r="B1344" s="41" t="n"/>
      <c r="C1344" s="41" t="n"/>
      <c r="D1344" s="40" t="n"/>
      <c r="E1344" s="40" t="n"/>
      <c r="F1344" s="40" t="n"/>
      <c r="G1344" s="39">
        <f>IF(COUNTA(A1344:F1344)=0,"",IF(A1344="EXAMPLE","Example (skipped)",IF(OR(C1344="",E1344="",F1344=""),"✖ Portal, User ID and Password are all needed",IF(AND(A1344="",COUNTIF(Clients!$B$5:$B$1005,B1344)=0),"Not on Clients — will match a portal client by name",IF(AND(C1344="GST",D1344&lt;&gt;"",COUNTIF(Clients!$AZ$5:$AZ$1005,UPPER(D1344))=0,COUNTIF(Clients!$G$5:$G$1005,"*"&amp;UPPER(D1344)&amp;"*")=0),"GSTIN not on Clients — will be checked in the portal","✔ OK")))))</f>
        <v/>
      </c>
    </row>
    <row r="1345">
      <c r="A1345" s="40" t="n"/>
      <c r="B1345" s="41" t="n"/>
      <c r="C1345" s="41" t="n"/>
      <c r="D1345" s="40" t="n"/>
      <c r="E1345" s="40" t="n"/>
      <c r="F1345" s="40" t="n"/>
      <c r="G1345" s="39">
        <f>IF(COUNTA(A1345:F1345)=0,"",IF(A1345="EXAMPLE","Example (skipped)",IF(OR(C1345="",E1345="",F1345=""),"✖ Portal, User ID and Password are all needed",IF(AND(A1345="",COUNTIF(Clients!$B$5:$B$1005,B1345)=0),"Not on Clients — will match a portal client by name",IF(AND(C1345="GST",D1345&lt;&gt;"",COUNTIF(Clients!$AZ$5:$AZ$1005,UPPER(D1345))=0,COUNTIF(Clients!$G$5:$G$1005,"*"&amp;UPPER(D1345)&amp;"*")=0),"GSTIN not on Clients — will be checked in the portal","✔ OK")))))</f>
        <v/>
      </c>
    </row>
    <row r="1346">
      <c r="A1346" s="40" t="n"/>
      <c r="B1346" s="41" t="n"/>
      <c r="C1346" s="41" t="n"/>
      <c r="D1346" s="40" t="n"/>
      <c r="E1346" s="40" t="n"/>
      <c r="F1346" s="40" t="n"/>
      <c r="G1346" s="39">
        <f>IF(COUNTA(A1346:F1346)=0,"",IF(A1346="EXAMPLE","Example (skipped)",IF(OR(C1346="",E1346="",F1346=""),"✖ Portal, User ID and Password are all needed",IF(AND(A1346="",COUNTIF(Clients!$B$5:$B$1005,B1346)=0),"Not on Clients — will match a portal client by name",IF(AND(C1346="GST",D1346&lt;&gt;"",COUNTIF(Clients!$AZ$5:$AZ$1005,UPPER(D1346))=0,COUNTIF(Clients!$G$5:$G$1005,"*"&amp;UPPER(D1346)&amp;"*")=0),"GSTIN not on Clients — will be checked in the portal","✔ OK")))))</f>
        <v/>
      </c>
    </row>
    <row r="1347">
      <c r="A1347" s="40" t="n"/>
      <c r="B1347" s="41" t="n"/>
      <c r="C1347" s="41" t="n"/>
      <c r="D1347" s="40" t="n"/>
      <c r="E1347" s="40" t="n"/>
      <c r="F1347" s="40" t="n"/>
      <c r="G1347" s="39">
        <f>IF(COUNTA(A1347:F1347)=0,"",IF(A1347="EXAMPLE","Example (skipped)",IF(OR(C1347="",E1347="",F1347=""),"✖ Portal, User ID and Password are all needed",IF(AND(A1347="",COUNTIF(Clients!$B$5:$B$1005,B1347)=0),"Not on Clients — will match a portal client by name",IF(AND(C1347="GST",D1347&lt;&gt;"",COUNTIF(Clients!$AZ$5:$AZ$1005,UPPER(D1347))=0,COUNTIF(Clients!$G$5:$G$1005,"*"&amp;UPPER(D1347)&amp;"*")=0),"GSTIN not on Clients — will be checked in the portal","✔ OK")))))</f>
        <v/>
      </c>
    </row>
    <row r="1348">
      <c r="A1348" s="40" t="n"/>
      <c r="B1348" s="41" t="n"/>
      <c r="C1348" s="41" t="n"/>
      <c r="D1348" s="40" t="n"/>
      <c r="E1348" s="40" t="n"/>
      <c r="F1348" s="40" t="n"/>
      <c r="G1348" s="39">
        <f>IF(COUNTA(A1348:F1348)=0,"",IF(A1348="EXAMPLE","Example (skipped)",IF(OR(C1348="",E1348="",F1348=""),"✖ Portal, User ID and Password are all needed",IF(AND(A1348="",COUNTIF(Clients!$B$5:$B$1005,B1348)=0),"Not on Clients — will match a portal client by name",IF(AND(C1348="GST",D1348&lt;&gt;"",COUNTIF(Clients!$AZ$5:$AZ$1005,UPPER(D1348))=0,COUNTIF(Clients!$G$5:$G$1005,"*"&amp;UPPER(D1348)&amp;"*")=0),"GSTIN not on Clients — will be checked in the portal","✔ OK")))))</f>
        <v/>
      </c>
    </row>
    <row r="1349">
      <c r="A1349" s="40" t="n"/>
      <c r="B1349" s="41" t="n"/>
      <c r="C1349" s="41" t="n"/>
      <c r="D1349" s="40" t="n"/>
      <c r="E1349" s="40" t="n"/>
      <c r="F1349" s="40" t="n"/>
      <c r="G1349" s="39">
        <f>IF(COUNTA(A1349:F1349)=0,"",IF(A1349="EXAMPLE","Example (skipped)",IF(OR(C1349="",E1349="",F1349=""),"✖ Portal, User ID and Password are all needed",IF(AND(A1349="",COUNTIF(Clients!$B$5:$B$1005,B1349)=0),"Not on Clients — will match a portal client by name",IF(AND(C1349="GST",D1349&lt;&gt;"",COUNTIF(Clients!$AZ$5:$AZ$1005,UPPER(D1349))=0,COUNTIF(Clients!$G$5:$G$1005,"*"&amp;UPPER(D1349)&amp;"*")=0),"GSTIN not on Clients — will be checked in the portal","✔ OK")))))</f>
        <v/>
      </c>
    </row>
    <row r="1350">
      <c r="A1350" s="40" t="n"/>
      <c r="B1350" s="41" t="n"/>
      <c r="C1350" s="41" t="n"/>
      <c r="D1350" s="40" t="n"/>
      <c r="E1350" s="40" t="n"/>
      <c r="F1350" s="40" t="n"/>
      <c r="G1350" s="39">
        <f>IF(COUNTA(A1350:F1350)=0,"",IF(A1350="EXAMPLE","Example (skipped)",IF(OR(C1350="",E1350="",F1350=""),"✖ Portal, User ID and Password are all needed",IF(AND(A1350="",COUNTIF(Clients!$B$5:$B$1005,B1350)=0),"Not on Clients — will match a portal client by name",IF(AND(C1350="GST",D1350&lt;&gt;"",COUNTIF(Clients!$AZ$5:$AZ$1005,UPPER(D1350))=0,COUNTIF(Clients!$G$5:$G$1005,"*"&amp;UPPER(D1350)&amp;"*")=0),"GSTIN not on Clients — will be checked in the portal","✔ OK")))))</f>
        <v/>
      </c>
    </row>
    <row r="1351">
      <c r="A1351" s="40" t="n"/>
      <c r="B1351" s="41" t="n"/>
      <c r="C1351" s="41" t="n"/>
      <c r="D1351" s="40" t="n"/>
      <c r="E1351" s="40" t="n"/>
      <c r="F1351" s="40" t="n"/>
      <c r="G1351" s="39">
        <f>IF(COUNTA(A1351:F1351)=0,"",IF(A1351="EXAMPLE","Example (skipped)",IF(OR(C1351="",E1351="",F1351=""),"✖ Portal, User ID and Password are all needed",IF(AND(A1351="",COUNTIF(Clients!$B$5:$B$1005,B1351)=0),"Not on Clients — will match a portal client by name",IF(AND(C1351="GST",D1351&lt;&gt;"",COUNTIF(Clients!$AZ$5:$AZ$1005,UPPER(D1351))=0,COUNTIF(Clients!$G$5:$G$1005,"*"&amp;UPPER(D1351)&amp;"*")=0),"GSTIN not on Clients — will be checked in the portal","✔ OK")))))</f>
        <v/>
      </c>
    </row>
    <row r="1352">
      <c r="A1352" s="40" t="n"/>
      <c r="B1352" s="41" t="n"/>
      <c r="C1352" s="41" t="n"/>
      <c r="D1352" s="40" t="n"/>
      <c r="E1352" s="40" t="n"/>
      <c r="F1352" s="40" t="n"/>
      <c r="G1352" s="39">
        <f>IF(COUNTA(A1352:F1352)=0,"",IF(A1352="EXAMPLE","Example (skipped)",IF(OR(C1352="",E1352="",F1352=""),"✖ Portal, User ID and Password are all needed",IF(AND(A1352="",COUNTIF(Clients!$B$5:$B$1005,B1352)=0),"Not on Clients — will match a portal client by name",IF(AND(C1352="GST",D1352&lt;&gt;"",COUNTIF(Clients!$AZ$5:$AZ$1005,UPPER(D1352))=0,COUNTIF(Clients!$G$5:$G$1005,"*"&amp;UPPER(D1352)&amp;"*")=0),"GSTIN not on Clients — will be checked in the portal","✔ OK")))))</f>
        <v/>
      </c>
    </row>
    <row r="1353">
      <c r="A1353" s="40" t="n"/>
      <c r="B1353" s="41" t="n"/>
      <c r="C1353" s="41" t="n"/>
      <c r="D1353" s="40" t="n"/>
      <c r="E1353" s="40" t="n"/>
      <c r="F1353" s="40" t="n"/>
      <c r="G1353" s="39">
        <f>IF(COUNTA(A1353:F1353)=0,"",IF(A1353="EXAMPLE","Example (skipped)",IF(OR(C1353="",E1353="",F1353=""),"✖ Portal, User ID and Password are all needed",IF(AND(A1353="",COUNTIF(Clients!$B$5:$B$1005,B1353)=0),"Not on Clients — will match a portal client by name",IF(AND(C1353="GST",D1353&lt;&gt;"",COUNTIF(Clients!$AZ$5:$AZ$1005,UPPER(D1353))=0,COUNTIF(Clients!$G$5:$G$1005,"*"&amp;UPPER(D1353)&amp;"*")=0),"GSTIN not on Clients — will be checked in the portal","✔ OK")))))</f>
        <v/>
      </c>
    </row>
    <row r="1354">
      <c r="A1354" s="40" t="n"/>
      <c r="B1354" s="41" t="n"/>
      <c r="C1354" s="41" t="n"/>
      <c r="D1354" s="40" t="n"/>
      <c r="E1354" s="40" t="n"/>
      <c r="F1354" s="40" t="n"/>
      <c r="G1354" s="39">
        <f>IF(COUNTA(A1354:F1354)=0,"",IF(A1354="EXAMPLE","Example (skipped)",IF(OR(C1354="",E1354="",F1354=""),"✖ Portal, User ID and Password are all needed",IF(AND(A1354="",COUNTIF(Clients!$B$5:$B$1005,B1354)=0),"Not on Clients — will match a portal client by name",IF(AND(C1354="GST",D1354&lt;&gt;"",COUNTIF(Clients!$AZ$5:$AZ$1005,UPPER(D1354))=0,COUNTIF(Clients!$G$5:$G$1005,"*"&amp;UPPER(D1354)&amp;"*")=0),"GSTIN not on Clients — will be checked in the portal","✔ OK")))))</f>
        <v/>
      </c>
    </row>
    <row r="1355">
      <c r="A1355" s="40" t="n"/>
      <c r="B1355" s="41" t="n"/>
      <c r="C1355" s="41" t="n"/>
      <c r="D1355" s="40" t="n"/>
      <c r="E1355" s="40" t="n"/>
      <c r="F1355" s="40" t="n"/>
      <c r="G1355" s="39">
        <f>IF(COUNTA(A1355:F1355)=0,"",IF(A1355="EXAMPLE","Example (skipped)",IF(OR(C1355="",E1355="",F1355=""),"✖ Portal, User ID and Password are all needed",IF(AND(A1355="",COUNTIF(Clients!$B$5:$B$1005,B1355)=0),"Not on Clients — will match a portal client by name",IF(AND(C1355="GST",D1355&lt;&gt;"",COUNTIF(Clients!$AZ$5:$AZ$1005,UPPER(D1355))=0,COUNTIF(Clients!$G$5:$G$1005,"*"&amp;UPPER(D1355)&amp;"*")=0),"GSTIN not on Clients — will be checked in the portal","✔ OK")))))</f>
        <v/>
      </c>
    </row>
    <row r="1356">
      <c r="A1356" s="40" t="n"/>
      <c r="B1356" s="41" t="n"/>
      <c r="C1356" s="41" t="n"/>
      <c r="D1356" s="40" t="n"/>
      <c r="E1356" s="40" t="n"/>
      <c r="F1356" s="40" t="n"/>
      <c r="G1356" s="39">
        <f>IF(COUNTA(A1356:F1356)=0,"",IF(A1356="EXAMPLE","Example (skipped)",IF(OR(C1356="",E1356="",F1356=""),"✖ Portal, User ID and Password are all needed",IF(AND(A1356="",COUNTIF(Clients!$B$5:$B$1005,B1356)=0),"Not on Clients — will match a portal client by name",IF(AND(C1356="GST",D1356&lt;&gt;"",COUNTIF(Clients!$AZ$5:$AZ$1005,UPPER(D1356))=0,COUNTIF(Clients!$G$5:$G$1005,"*"&amp;UPPER(D1356)&amp;"*")=0),"GSTIN not on Clients — will be checked in the portal","✔ OK")))))</f>
        <v/>
      </c>
    </row>
    <row r="1357">
      <c r="A1357" s="40" t="n"/>
      <c r="B1357" s="41" t="n"/>
      <c r="C1357" s="41" t="n"/>
      <c r="D1357" s="40" t="n"/>
      <c r="E1357" s="40" t="n"/>
      <c r="F1357" s="40" t="n"/>
      <c r="G1357" s="39">
        <f>IF(COUNTA(A1357:F1357)=0,"",IF(A1357="EXAMPLE","Example (skipped)",IF(OR(C1357="",E1357="",F1357=""),"✖ Portal, User ID and Password are all needed",IF(AND(A1357="",COUNTIF(Clients!$B$5:$B$1005,B1357)=0),"Not on Clients — will match a portal client by name",IF(AND(C1357="GST",D1357&lt;&gt;"",COUNTIF(Clients!$AZ$5:$AZ$1005,UPPER(D1357))=0,COUNTIF(Clients!$G$5:$G$1005,"*"&amp;UPPER(D1357)&amp;"*")=0),"GSTIN not on Clients — will be checked in the portal","✔ OK")))))</f>
        <v/>
      </c>
    </row>
    <row r="1358">
      <c r="A1358" s="40" t="n"/>
      <c r="B1358" s="41" t="n"/>
      <c r="C1358" s="41" t="n"/>
      <c r="D1358" s="40" t="n"/>
      <c r="E1358" s="40" t="n"/>
      <c r="F1358" s="40" t="n"/>
      <c r="G1358" s="39">
        <f>IF(COUNTA(A1358:F1358)=0,"",IF(A1358="EXAMPLE","Example (skipped)",IF(OR(C1358="",E1358="",F1358=""),"✖ Portal, User ID and Password are all needed",IF(AND(A1358="",COUNTIF(Clients!$B$5:$B$1005,B1358)=0),"Not on Clients — will match a portal client by name",IF(AND(C1358="GST",D1358&lt;&gt;"",COUNTIF(Clients!$AZ$5:$AZ$1005,UPPER(D1358))=0,COUNTIF(Clients!$G$5:$G$1005,"*"&amp;UPPER(D1358)&amp;"*")=0),"GSTIN not on Clients — will be checked in the portal","✔ OK")))))</f>
        <v/>
      </c>
    </row>
    <row r="1359">
      <c r="A1359" s="40" t="n"/>
      <c r="B1359" s="41" t="n"/>
      <c r="C1359" s="41" t="n"/>
      <c r="D1359" s="40" t="n"/>
      <c r="E1359" s="40" t="n"/>
      <c r="F1359" s="40" t="n"/>
      <c r="G1359" s="39">
        <f>IF(COUNTA(A1359:F1359)=0,"",IF(A1359="EXAMPLE","Example (skipped)",IF(OR(C1359="",E1359="",F1359=""),"✖ Portal, User ID and Password are all needed",IF(AND(A1359="",COUNTIF(Clients!$B$5:$B$1005,B1359)=0),"Not on Clients — will match a portal client by name",IF(AND(C1359="GST",D1359&lt;&gt;"",COUNTIF(Clients!$AZ$5:$AZ$1005,UPPER(D1359))=0,COUNTIF(Clients!$G$5:$G$1005,"*"&amp;UPPER(D1359)&amp;"*")=0),"GSTIN not on Clients — will be checked in the portal","✔ OK")))))</f>
        <v/>
      </c>
    </row>
    <row r="1360">
      <c r="A1360" s="40" t="n"/>
      <c r="B1360" s="41" t="n"/>
      <c r="C1360" s="41" t="n"/>
      <c r="D1360" s="40" t="n"/>
      <c r="E1360" s="40" t="n"/>
      <c r="F1360" s="40" t="n"/>
      <c r="G1360" s="39">
        <f>IF(COUNTA(A1360:F1360)=0,"",IF(A1360="EXAMPLE","Example (skipped)",IF(OR(C1360="",E1360="",F1360=""),"✖ Portal, User ID and Password are all needed",IF(AND(A1360="",COUNTIF(Clients!$B$5:$B$1005,B1360)=0),"Not on Clients — will match a portal client by name",IF(AND(C1360="GST",D1360&lt;&gt;"",COUNTIF(Clients!$AZ$5:$AZ$1005,UPPER(D1360))=0,COUNTIF(Clients!$G$5:$G$1005,"*"&amp;UPPER(D1360)&amp;"*")=0),"GSTIN not on Clients — will be checked in the portal","✔ OK")))))</f>
        <v/>
      </c>
    </row>
    <row r="1361">
      <c r="A1361" s="40" t="n"/>
      <c r="B1361" s="41" t="n"/>
      <c r="C1361" s="41" t="n"/>
      <c r="D1361" s="40" t="n"/>
      <c r="E1361" s="40" t="n"/>
      <c r="F1361" s="40" t="n"/>
      <c r="G1361" s="39">
        <f>IF(COUNTA(A1361:F1361)=0,"",IF(A1361="EXAMPLE","Example (skipped)",IF(OR(C1361="",E1361="",F1361=""),"✖ Portal, User ID and Password are all needed",IF(AND(A1361="",COUNTIF(Clients!$B$5:$B$1005,B1361)=0),"Not on Clients — will match a portal client by name",IF(AND(C1361="GST",D1361&lt;&gt;"",COUNTIF(Clients!$AZ$5:$AZ$1005,UPPER(D1361))=0,COUNTIF(Clients!$G$5:$G$1005,"*"&amp;UPPER(D1361)&amp;"*")=0),"GSTIN not on Clients — will be checked in the portal","✔ OK")))))</f>
        <v/>
      </c>
    </row>
    <row r="1362">
      <c r="A1362" s="40" t="n"/>
      <c r="B1362" s="41" t="n"/>
      <c r="C1362" s="41" t="n"/>
      <c r="D1362" s="40" t="n"/>
      <c r="E1362" s="40" t="n"/>
      <c r="F1362" s="40" t="n"/>
      <c r="G1362" s="39">
        <f>IF(COUNTA(A1362:F1362)=0,"",IF(A1362="EXAMPLE","Example (skipped)",IF(OR(C1362="",E1362="",F1362=""),"✖ Portal, User ID and Password are all needed",IF(AND(A1362="",COUNTIF(Clients!$B$5:$B$1005,B1362)=0),"Not on Clients — will match a portal client by name",IF(AND(C1362="GST",D1362&lt;&gt;"",COUNTIF(Clients!$AZ$5:$AZ$1005,UPPER(D1362))=0,COUNTIF(Clients!$G$5:$G$1005,"*"&amp;UPPER(D1362)&amp;"*")=0),"GSTIN not on Clients — will be checked in the portal","✔ OK")))))</f>
        <v/>
      </c>
    </row>
    <row r="1363">
      <c r="A1363" s="40" t="n"/>
      <c r="B1363" s="41" t="n"/>
      <c r="C1363" s="41" t="n"/>
      <c r="D1363" s="40" t="n"/>
      <c r="E1363" s="40" t="n"/>
      <c r="F1363" s="40" t="n"/>
      <c r="G1363" s="39">
        <f>IF(COUNTA(A1363:F1363)=0,"",IF(A1363="EXAMPLE","Example (skipped)",IF(OR(C1363="",E1363="",F1363=""),"✖ Portal, User ID and Password are all needed",IF(AND(A1363="",COUNTIF(Clients!$B$5:$B$1005,B1363)=0),"Not on Clients — will match a portal client by name",IF(AND(C1363="GST",D1363&lt;&gt;"",COUNTIF(Clients!$AZ$5:$AZ$1005,UPPER(D1363))=0,COUNTIF(Clients!$G$5:$G$1005,"*"&amp;UPPER(D1363)&amp;"*")=0),"GSTIN not on Clients — will be checked in the portal","✔ OK")))))</f>
        <v/>
      </c>
    </row>
    <row r="1364">
      <c r="A1364" s="40" t="n"/>
      <c r="B1364" s="41" t="n"/>
      <c r="C1364" s="41" t="n"/>
      <c r="D1364" s="40" t="n"/>
      <c r="E1364" s="40" t="n"/>
      <c r="F1364" s="40" t="n"/>
      <c r="G1364" s="39">
        <f>IF(COUNTA(A1364:F1364)=0,"",IF(A1364="EXAMPLE","Example (skipped)",IF(OR(C1364="",E1364="",F1364=""),"✖ Portal, User ID and Password are all needed",IF(AND(A1364="",COUNTIF(Clients!$B$5:$B$1005,B1364)=0),"Not on Clients — will match a portal client by name",IF(AND(C1364="GST",D1364&lt;&gt;"",COUNTIF(Clients!$AZ$5:$AZ$1005,UPPER(D1364))=0,COUNTIF(Clients!$G$5:$G$1005,"*"&amp;UPPER(D1364)&amp;"*")=0),"GSTIN not on Clients — will be checked in the portal","✔ OK")))))</f>
        <v/>
      </c>
    </row>
    <row r="1365">
      <c r="A1365" s="40" t="n"/>
      <c r="B1365" s="41" t="n"/>
      <c r="C1365" s="41" t="n"/>
      <c r="D1365" s="40" t="n"/>
      <c r="E1365" s="40" t="n"/>
      <c r="F1365" s="40" t="n"/>
      <c r="G1365" s="39">
        <f>IF(COUNTA(A1365:F1365)=0,"",IF(A1365="EXAMPLE","Example (skipped)",IF(OR(C1365="",E1365="",F1365=""),"✖ Portal, User ID and Password are all needed",IF(AND(A1365="",COUNTIF(Clients!$B$5:$B$1005,B1365)=0),"Not on Clients — will match a portal client by name",IF(AND(C1365="GST",D1365&lt;&gt;"",COUNTIF(Clients!$AZ$5:$AZ$1005,UPPER(D1365))=0,COUNTIF(Clients!$G$5:$G$1005,"*"&amp;UPPER(D1365)&amp;"*")=0),"GSTIN not on Clients — will be checked in the portal","✔ OK")))))</f>
        <v/>
      </c>
    </row>
    <row r="1366">
      <c r="A1366" s="40" t="n"/>
      <c r="B1366" s="41" t="n"/>
      <c r="C1366" s="41" t="n"/>
      <c r="D1366" s="40" t="n"/>
      <c r="E1366" s="40" t="n"/>
      <c r="F1366" s="40" t="n"/>
      <c r="G1366" s="39">
        <f>IF(COUNTA(A1366:F1366)=0,"",IF(A1366="EXAMPLE","Example (skipped)",IF(OR(C1366="",E1366="",F1366=""),"✖ Portal, User ID and Password are all needed",IF(AND(A1366="",COUNTIF(Clients!$B$5:$B$1005,B1366)=0),"Not on Clients — will match a portal client by name",IF(AND(C1366="GST",D1366&lt;&gt;"",COUNTIF(Clients!$AZ$5:$AZ$1005,UPPER(D1366))=0,COUNTIF(Clients!$G$5:$G$1005,"*"&amp;UPPER(D1366)&amp;"*")=0),"GSTIN not on Clients — will be checked in the portal","✔ OK")))))</f>
        <v/>
      </c>
    </row>
    <row r="1367">
      <c r="A1367" s="40" t="n"/>
      <c r="B1367" s="41" t="n"/>
      <c r="C1367" s="41" t="n"/>
      <c r="D1367" s="40" t="n"/>
      <c r="E1367" s="40" t="n"/>
      <c r="F1367" s="40" t="n"/>
      <c r="G1367" s="39">
        <f>IF(COUNTA(A1367:F1367)=0,"",IF(A1367="EXAMPLE","Example (skipped)",IF(OR(C1367="",E1367="",F1367=""),"✖ Portal, User ID and Password are all needed",IF(AND(A1367="",COUNTIF(Clients!$B$5:$B$1005,B1367)=0),"Not on Clients — will match a portal client by name",IF(AND(C1367="GST",D1367&lt;&gt;"",COUNTIF(Clients!$AZ$5:$AZ$1005,UPPER(D1367))=0,COUNTIF(Clients!$G$5:$G$1005,"*"&amp;UPPER(D1367)&amp;"*")=0),"GSTIN not on Clients — will be checked in the portal","✔ OK")))))</f>
        <v/>
      </c>
    </row>
    <row r="1368">
      <c r="A1368" s="40" t="n"/>
      <c r="B1368" s="41" t="n"/>
      <c r="C1368" s="41" t="n"/>
      <c r="D1368" s="40" t="n"/>
      <c r="E1368" s="40" t="n"/>
      <c r="F1368" s="40" t="n"/>
      <c r="G1368" s="39">
        <f>IF(COUNTA(A1368:F1368)=0,"",IF(A1368="EXAMPLE","Example (skipped)",IF(OR(C1368="",E1368="",F1368=""),"✖ Portal, User ID and Password are all needed",IF(AND(A1368="",COUNTIF(Clients!$B$5:$B$1005,B1368)=0),"Not on Clients — will match a portal client by name",IF(AND(C1368="GST",D1368&lt;&gt;"",COUNTIF(Clients!$AZ$5:$AZ$1005,UPPER(D1368))=0,COUNTIF(Clients!$G$5:$G$1005,"*"&amp;UPPER(D1368)&amp;"*")=0),"GSTIN not on Clients — will be checked in the portal","✔ OK")))))</f>
        <v/>
      </c>
    </row>
    <row r="1369">
      <c r="A1369" s="40" t="n"/>
      <c r="B1369" s="41" t="n"/>
      <c r="C1369" s="41" t="n"/>
      <c r="D1369" s="40" t="n"/>
      <c r="E1369" s="40" t="n"/>
      <c r="F1369" s="40" t="n"/>
      <c r="G1369" s="39">
        <f>IF(COUNTA(A1369:F1369)=0,"",IF(A1369="EXAMPLE","Example (skipped)",IF(OR(C1369="",E1369="",F1369=""),"✖ Portal, User ID and Password are all needed",IF(AND(A1369="",COUNTIF(Clients!$B$5:$B$1005,B1369)=0),"Not on Clients — will match a portal client by name",IF(AND(C1369="GST",D1369&lt;&gt;"",COUNTIF(Clients!$AZ$5:$AZ$1005,UPPER(D1369))=0,COUNTIF(Clients!$G$5:$G$1005,"*"&amp;UPPER(D1369)&amp;"*")=0),"GSTIN not on Clients — will be checked in the portal","✔ OK")))))</f>
        <v/>
      </c>
    </row>
    <row r="1370">
      <c r="A1370" s="40" t="n"/>
      <c r="B1370" s="41" t="n"/>
      <c r="C1370" s="41" t="n"/>
      <c r="D1370" s="40" t="n"/>
      <c r="E1370" s="40" t="n"/>
      <c r="F1370" s="40" t="n"/>
      <c r="G1370" s="39">
        <f>IF(COUNTA(A1370:F1370)=0,"",IF(A1370="EXAMPLE","Example (skipped)",IF(OR(C1370="",E1370="",F1370=""),"✖ Portal, User ID and Password are all needed",IF(AND(A1370="",COUNTIF(Clients!$B$5:$B$1005,B1370)=0),"Not on Clients — will match a portal client by name",IF(AND(C1370="GST",D1370&lt;&gt;"",COUNTIF(Clients!$AZ$5:$AZ$1005,UPPER(D1370))=0,COUNTIF(Clients!$G$5:$G$1005,"*"&amp;UPPER(D1370)&amp;"*")=0),"GSTIN not on Clients — will be checked in the portal","✔ OK")))))</f>
        <v/>
      </c>
    </row>
    <row r="1371">
      <c r="A1371" s="40" t="n"/>
      <c r="B1371" s="41" t="n"/>
      <c r="C1371" s="41" t="n"/>
      <c r="D1371" s="40" t="n"/>
      <c r="E1371" s="40" t="n"/>
      <c r="F1371" s="40" t="n"/>
      <c r="G1371" s="39">
        <f>IF(COUNTA(A1371:F1371)=0,"",IF(A1371="EXAMPLE","Example (skipped)",IF(OR(C1371="",E1371="",F1371=""),"✖ Portal, User ID and Password are all needed",IF(AND(A1371="",COUNTIF(Clients!$B$5:$B$1005,B1371)=0),"Not on Clients — will match a portal client by name",IF(AND(C1371="GST",D1371&lt;&gt;"",COUNTIF(Clients!$AZ$5:$AZ$1005,UPPER(D1371))=0,COUNTIF(Clients!$G$5:$G$1005,"*"&amp;UPPER(D1371)&amp;"*")=0),"GSTIN not on Clients — will be checked in the portal","✔ OK")))))</f>
        <v/>
      </c>
    </row>
    <row r="1372">
      <c r="A1372" s="40" t="n"/>
      <c r="B1372" s="41" t="n"/>
      <c r="C1372" s="41" t="n"/>
      <c r="D1372" s="40" t="n"/>
      <c r="E1372" s="40" t="n"/>
      <c r="F1372" s="40" t="n"/>
      <c r="G1372" s="39">
        <f>IF(COUNTA(A1372:F1372)=0,"",IF(A1372="EXAMPLE","Example (skipped)",IF(OR(C1372="",E1372="",F1372=""),"✖ Portal, User ID and Password are all needed",IF(AND(A1372="",COUNTIF(Clients!$B$5:$B$1005,B1372)=0),"Not on Clients — will match a portal client by name",IF(AND(C1372="GST",D1372&lt;&gt;"",COUNTIF(Clients!$AZ$5:$AZ$1005,UPPER(D1372))=0,COUNTIF(Clients!$G$5:$G$1005,"*"&amp;UPPER(D1372)&amp;"*")=0),"GSTIN not on Clients — will be checked in the portal","✔ OK")))))</f>
        <v/>
      </c>
    </row>
    <row r="1373">
      <c r="A1373" s="40" t="n"/>
      <c r="B1373" s="41" t="n"/>
      <c r="C1373" s="41" t="n"/>
      <c r="D1373" s="40" t="n"/>
      <c r="E1373" s="40" t="n"/>
      <c r="F1373" s="40" t="n"/>
      <c r="G1373" s="39">
        <f>IF(COUNTA(A1373:F1373)=0,"",IF(A1373="EXAMPLE","Example (skipped)",IF(OR(C1373="",E1373="",F1373=""),"✖ Portal, User ID and Password are all needed",IF(AND(A1373="",COUNTIF(Clients!$B$5:$B$1005,B1373)=0),"Not on Clients — will match a portal client by name",IF(AND(C1373="GST",D1373&lt;&gt;"",COUNTIF(Clients!$AZ$5:$AZ$1005,UPPER(D1373))=0,COUNTIF(Clients!$G$5:$G$1005,"*"&amp;UPPER(D1373)&amp;"*")=0),"GSTIN not on Clients — will be checked in the portal","✔ OK")))))</f>
        <v/>
      </c>
    </row>
    <row r="1374">
      <c r="A1374" s="40" t="n"/>
      <c r="B1374" s="41" t="n"/>
      <c r="C1374" s="41" t="n"/>
      <c r="D1374" s="40" t="n"/>
      <c r="E1374" s="40" t="n"/>
      <c r="F1374" s="40" t="n"/>
      <c r="G1374" s="39">
        <f>IF(COUNTA(A1374:F1374)=0,"",IF(A1374="EXAMPLE","Example (skipped)",IF(OR(C1374="",E1374="",F1374=""),"✖ Portal, User ID and Password are all needed",IF(AND(A1374="",COUNTIF(Clients!$B$5:$B$1005,B1374)=0),"Not on Clients — will match a portal client by name",IF(AND(C1374="GST",D1374&lt;&gt;"",COUNTIF(Clients!$AZ$5:$AZ$1005,UPPER(D1374))=0,COUNTIF(Clients!$G$5:$G$1005,"*"&amp;UPPER(D1374)&amp;"*")=0),"GSTIN not on Clients — will be checked in the portal","✔ OK")))))</f>
        <v/>
      </c>
    </row>
    <row r="1375">
      <c r="A1375" s="40" t="n"/>
      <c r="B1375" s="41" t="n"/>
      <c r="C1375" s="41" t="n"/>
      <c r="D1375" s="40" t="n"/>
      <c r="E1375" s="40" t="n"/>
      <c r="F1375" s="40" t="n"/>
      <c r="G1375" s="39">
        <f>IF(COUNTA(A1375:F1375)=0,"",IF(A1375="EXAMPLE","Example (skipped)",IF(OR(C1375="",E1375="",F1375=""),"✖ Portal, User ID and Password are all needed",IF(AND(A1375="",COUNTIF(Clients!$B$5:$B$1005,B1375)=0),"Not on Clients — will match a portal client by name",IF(AND(C1375="GST",D1375&lt;&gt;"",COUNTIF(Clients!$AZ$5:$AZ$1005,UPPER(D1375))=0,COUNTIF(Clients!$G$5:$G$1005,"*"&amp;UPPER(D1375)&amp;"*")=0),"GSTIN not on Clients — will be checked in the portal","✔ OK")))))</f>
        <v/>
      </c>
    </row>
    <row r="1376">
      <c r="A1376" s="40" t="n"/>
      <c r="B1376" s="41" t="n"/>
      <c r="C1376" s="41" t="n"/>
      <c r="D1376" s="40" t="n"/>
      <c r="E1376" s="40" t="n"/>
      <c r="F1376" s="40" t="n"/>
      <c r="G1376" s="39">
        <f>IF(COUNTA(A1376:F1376)=0,"",IF(A1376="EXAMPLE","Example (skipped)",IF(OR(C1376="",E1376="",F1376=""),"✖ Portal, User ID and Password are all needed",IF(AND(A1376="",COUNTIF(Clients!$B$5:$B$1005,B1376)=0),"Not on Clients — will match a portal client by name",IF(AND(C1376="GST",D1376&lt;&gt;"",COUNTIF(Clients!$AZ$5:$AZ$1005,UPPER(D1376))=0,COUNTIF(Clients!$G$5:$G$1005,"*"&amp;UPPER(D1376)&amp;"*")=0),"GSTIN not on Clients — will be checked in the portal","✔ OK")))))</f>
        <v/>
      </c>
    </row>
    <row r="1377">
      <c r="A1377" s="40" t="n"/>
      <c r="B1377" s="41" t="n"/>
      <c r="C1377" s="41" t="n"/>
      <c r="D1377" s="40" t="n"/>
      <c r="E1377" s="40" t="n"/>
      <c r="F1377" s="40" t="n"/>
      <c r="G1377" s="39">
        <f>IF(COUNTA(A1377:F1377)=0,"",IF(A1377="EXAMPLE","Example (skipped)",IF(OR(C1377="",E1377="",F1377=""),"✖ Portal, User ID and Password are all needed",IF(AND(A1377="",COUNTIF(Clients!$B$5:$B$1005,B1377)=0),"Not on Clients — will match a portal client by name",IF(AND(C1377="GST",D1377&lt;&gt;"",COUNTIF(Clients!$AZ$5:$AZ$1005,UPPER(D1377))=0,COUNTIF(Clients!$G$5:$G$1005,"*"&amp;UPPER(D1377)&amp;"*")=0),"GSTIN not on Clients — will be checked in the portal","✔ OK")))))</f>
        <v/>
      </c>
    </row>
    <row r="1378">
      <c r="A1378" s="40" t="n"/>
      <c r="B1378" s="41" t="n"/>
      <c r="C1378" s="41" t="n"/>
      <c r="D1378" s="40" t="n"/>
      <c r="E1378" s="40" t="n"/>
      <c r="F1378" s="40" t="n"/>
      <c r="G1378" s="39">
        <f>IF(COUNTA(A1378:F1378)=0,"",IF(A1378="EXAMPLE","Example (skipped)",IF(OR(C1378="",E1378="",F1378=""),"✖ Portal, User ID and Password are all needed",IF(AND(A1378="",COUNTIF(Clients!$B$5:$B$1005,B1378)=0),"Not on Clients — will match a portal client by name",IF(AND(C1378="GST",D1378&lt;&gt;"",COUNTIF(Clients!$AZ$5:$AZ$1005,UPPER(D1378))=0,COUNTIF(Clients!$G$5:$G$1005,"*"&amp;UPPER(D1378)&amp;"*")=0),"GSTIN not on Clients — will be checked in the portal","✔ OK")))))</f>
        <v/>
      </c>
    </row>
    <row r="1379">
      <c r="A1379" s="40" t="n"/>
      <c r="B1379" s="41" t="n"/>
      <c r="C1379" s="41" t="n"/>
      <c r="D1379" s="40" t="n"/>
      <c r="E1379" s="40" t="n"/>
      <c r="F1379" s="40" t="n"/>
      <c r="G1379" s="39">
        <f>IF(COUNTA(A1379:F1379)=0,"",IF(A1379="EXAMPLE","Example (skipped)",IF(OR(C1379="",E1379="",F1379=""),"✖ Portal, User ID and Password are all needed",IF(AND(A1379="",COUNTIF(Clients!$B$5:$B$1005,B1379)=0),"Not on Clients — will match a portal client by name",IF(AND(C1379="GST",D1379&lt;&gt;"",COUNTIF(Clients!$AZ$5:$AZ$1005,UPPER(D1379))=0,COUNTIF(Clients!$G$5:$G$1005,"*"&amp;UPPER(D1379)&amp;"*")=0),"GSTIN not on Clients — will be checked in the portal","✔ OK")))))</f>
        <v/>
      </c>
    </row>
    <row r="1380">
      <c r="A1380" s="40" t="n"/>
      <c r="B1380" s="41" t="n"/>
      <c r="C1380" s="41" t="n"/>
      <c r="D1380" s="40" t="n"/>
      <c r="E1380" s="40" t="n"/>
      <c r="F1380" s="40" t="n"/>
      <c r="G1380" s="39">
        <f>IF(COUNTA(A1380:F1380)=0,"",IF(A1380="EXAMPLE","Example (skipped)",IF(OR(C1380="",E1380="",F1380=""),"✖ Portal, User ID and Password are all needed",IF(AND(A1380="",COUNTIF(Clients!$B$5:$B$1005,B1380)=0),"Not on Clients — will match a portal client by name",IF(AND(C1380="GST",D1380&lt;&gt;"",COUNTIF(Clients!$AZ$5:$AZ$1005,UPPER(D1380))=0,COUNTIF(Clients!$G$5:$G$1005,"*"&amp;UPPER(D1380)&amp;"*")=0),"GSTIN not on Clients — will be checked in the portal","✔ OK")))))</f>
        <v/>
      </c>
    </row>
    <row r="1381">
      <c r="A1381" s="40" t="n"/>
      <c r="B1381" s="41" t="n"/>
      <c r="C1381" s="41" t="n"/>
      <c r="D1381" s="40" t="n"/>
      <c r="E1381" s="40" t="n"/>
      <c r="F1381" s="40" t="n"/>
      <c r="G1381" s="39">
        <f>IF(COUNTA(A1381:F1381)=0,"",IF(A1381="EXAMPLE","Example (skipped)",IF(OR(C1381="",E1381="",F1381=""),"✖ Portal, User ID and Password are all needed",IF(AND(A1381="",COUNTIF(Clients!$B$5:$B$1005,B1381)=0),"Not on Clients — will match a portal client by name",IF(AND(C1381="GST",D1381&lt;&gt;"",COUNTIF(Clients!$AZ$5:$AZ$1005,UPPER(D1381))=0,COUNTIF(Clients!$G$5:$G$1005,"*"&amp;UPPER(D1381)&amp;"*")=0),"GSTIN not on Clients — will be checked in the portal","✔ OK")))))</f>
        <v/>
      </c>
    </row>
    <row r="1382">
      <c r="A1382" s="40" t="n"/>
      <c r="B1382" s="41" t="n"/>
      <c r="C1382" s="41" t="n"/>
      <c r="D1382" s="40" t="n"/>
      <c r="E1382" s="40" t="n"/>
      <c r="F1382" s="40" t="n"/>
      <c r="G1382" s="39">
        <f>IF(COUNTA(A1382:F1382)=0,"",IF(A1382="EXAMPLE","Example (skipped)",IF(OR(C1382="",E1382="",F1382=""),"✖ Portal, User ID and Password are all needed",IF(AND(A1382="",COUNTIF(Clients!$B$5:$B$1005,B1382)=0),"Not on Clients — will match a portal client by name",IF(AND(C1382="GST",D1382&lt;&gt;"",COUNTIF(Clients!$AZ$5:$AZ$1005,UPPER(D1382))=0,COUNTIF(Clients!$G$5:$G$1005,"*"&amp;UPPER(D1382)&amp;"*")=0),"GSTIN not on Clients — will be checked in the portal","✔ OK")))))</f>
        <v/>
      </c>
    </row>
    <row r="1383">
      <c r="A1383" s="40" t="n"/>
      <c r="B1383" s="41" t="n"/>
      <c r="C1383" s="41" t="n"/>
      <c r="D1383" s="40" t="n"/>
      <c r="E1383" s="40" t="n"/>
      <c r="F1383" s="40" t="n"/>
      <c r="G1383" s="39">
        <f>IF(COUNTA(A1383:F1383)=0,"",IF(A1383="EXAMPLE","Example (skipped)",IF(OR(C1383="",E1383="",F1383=""),"✖ Portal, User ID and Password are all needed",IF(AND(A1383="",COUNTIF(Clients!$B$5:$B$1005,B1383)=0),"Not on Clients — will match a portal client by name",IF(AND(C1383="GST",D1383&lt;&gt;"",COUNTIF(Clients!$AZ$5:$AZ$1005,UPPER(D1383))=0,COUNTIF(Clients!$G$5:$G$1005,"*"&amp;UPPER(D1383)&amp;"*")=0),"GSTIN not on Clients — will be checked in the portal","✔ OK")))))</f>
        <v/>
      </c>
    </row>
    <row r="1384">
      <c r="A1384" s="40" t="n"/>
      <c r="B1384" s="41" t="n"/>
      <c r="C1384" s="41" t="n"/>
      <c r="D1384" s="40" t="n"/>
      <c r="E1384" s="40" t="n"/>
      <c r="F1384" s="40" t="n"/>
      <c r="G1384" s="39">
        <f>IF(COUNTA(A1384:F1384)=0,"",IF(A1384="EXAMPLE","Example (skipped)",IF(OR(C1384="",E1384="",F1384=""),"✖ Portal, User ID and Password are all needed",IF(AND(A1384="",COUNTIF(Clients!$B$5:$B$1005,B1384)=0),"Not on Clients — will match a portal client by name",IF(AND(C1384="GST",D1384&lt;&gt;"",COUNTIF(Clients!$AZ$5:$AZ$1005,UPPER(D1384))=0,COUNTIF(Clients!$G$5:$G$1005,"*"&amp;UPPER(D1384)&amp;"*")=0),"GSTIN not on Clients — will be checked in the portal","✔ OK")))))</f>
        <v/>
      </c>
    </row>
    <row r="1385">
      <c r="A1385" s="40" t="n"/>
      <c r="B1385" s="41" t="n"/>
      <c r="C1385" s="41" t="n"/>
      <c r="D1385" s="40" t="n"/>
      <c r="E1385" s="40" t="n"/>
      <c r="F1385" s="40" t="n"/>
      <c r="G1385" s="39">
        <f>IF(COUNTA(A1385:F1385)=0,"",IF(A1385="EXAMPLE","Example (skipped)",IF(OR(C1385="",E1385="",F1385=""),"✖ Portal, User ID and Password are all needed",IF(AND(A1385="",COUNTIF(Clients!$B$5:$B$1005,B1385)=0),"Not on Clients — will match a portal client by name",IF(AND(C1385="GST",D1385&lt;&gt;"",COUNTIF(Clients!$AZ$5:$AZ$1005,UPPER(D1385))=0,COUNTIF(Clients!$G$5:$G$1005,"*"&amp;UPPER(D1385)&amp;"*")=0),"GSTIN not on Clients — will be checked in the portal","✔ OK")))))</f>
        <v/>
      </c>
    </row>
    <row r="1386">
      <c r="A1386" s="40" t="n"/>
      <c r="B1386" s="41" t="n"/>
      <c r="C1386" s="41" t="n"/>
      <c r="D1386" s="40" t="n"/>
      <c r="E1386" s="40" t="n"/>
      <c r="F1386" s="40" t="n"/>
      <c r="G1386" s="39">
        <f>IF(COUNTA(A1386:F1386)=0,"",IF(A1386="EXAMPLE","Example (skipped)",IF(OR(C1386="",E1386="",F1386=""),"✖ Portal, User ID and Password are all needed",IF(AND(A1386="",COUNTIF(Clients!$B$5:$B$1005,B1386)=0),"Not on Clients — will match a portal client by name",IF(AND(C1386="GST",D1386&lt;&gt;"",COUNTIF(Clients!$AZ$5:$AZ$1005,UPPER(D1386))=0,COUNTIF(Clients!$G$5:$G$1005,"*"&amp;UPPER(D1386)&amp;"*")=0),"GSTIN not on Clients — will be checked in the portal","✔ OK")))))</f>
        <v/>
      </c>
    </row>
    <row r="1387">
      <c r="A1387" s="40" t="n"/>
      <c r="B1387" s="41" t="n"/>
      <c r="C1387" s="41" t="n"/>
      <c r="D1387" s="40" t="n"/>
      <c r="E1387" s="40" t="n"/>
      <c r="F1387" s="40" t="n"/>
      <c r="G1387" s="39">
        <f>IF(COUNTA(A1387:F1387)=0,"",IF(A1387="EXAMPLE","Example (skipped)",IF(OR(C1387="",E1387="",F1387=""),"✖ Portal, User ID and Password are all needed",IF(AND(A1387="",COUNTIF(Clients!$B$5:$B$1005,B1387)=0),"Not on Clients — will match a portal client by name",IF(AND(C1387="GST",D1387&lt;&gt;"",COUNTIF(Clients!$AZ$5:$AZ$1005,UPPER(D1387))=0,COUNTIF(Clients!$G$5:$G$1005,"*"&amp;UPPER(D1387)&amp;"*")=0),"GSTIN not on Clients — will be checked in the portal","✔ OK")))))</f>
        <v/>
      </c>
    </row>
    <row r="1388">
      <c r="A1388" s="40" t="n"/>
      <c r="B1388" s="41" t="n"/>
      <c r="C1388" s="41" t="n"/>
      <c r="D1388" s="40" t="n"/>
      <c r="E1388" s="40" t="n"/>
      <c r="F1388" s="40" t="n"/>
      <c r="G1388" s="39">
        <f>IF(COUNTA(A1388:F1388)=0,"",IF(A1388="EXAMPLE","Example (skipped)",IF(OR(C1388="",E1388="",F1388=""),"✖ Portal, User ID and Password are all needed",IF(AND(A1388="",COUNTIF(Clients!$B$5:$B$1005,B1388)=0),"Not on Clients — will match a portal client by name",IF(AND(C1388="GST",D1388&lt;&gt;"",COUNTIF(Clients!$AZ$5:$AZ$1005,UPPER(D1388))=0,COUNTIF(Clients!$G$5:$G$1005,"*"&amp;UPPER(D1388)&amp;"*")=0),"GSTIN not on Clients — will be checked in the portal","✔ OK")))))</f>
        <v/>
      </c>
    </row>
    <row r="1389">
      <c r="A1389" s="40" t="n"/>
      <c r="B1389" s="41" t="n"/>
      <c r="C1389" s="41" t="n"/>
      <c r="D1389" s="40" t="n"/>
      <c r="E1389" s="40" t="n"/>
      <c r="F1389" s="40" t="n"/>
      <c r="G1389" s="39">
        <f>IF(COUNTA(A1389:F1389)=0,"",IF(A1389="EXAMPLE","Example (skipped)",IF(OR(C1389="",E1389="",F1389=""),"✖ Portal, User ID and Password are all needed",IF(AND(A1389="",COUNTIF(Clients!$B$5:$B$1005,B1389)=0),"Not on Clients — will match a portal client by name",IF(AND(C1389="GST",D1389&lt;&gt;"",COUNTIF(Clients!$AZ$5:$AZ$1005,UPPER(D1389))=0,COUNTIF(Clients!$G$5:$G$1005,"*"&amp;UPPER(D1389)&amp;"*")=0),"GSTIN not on Clients — will be checked in the portal","✔ OK")))))</f>
        <v/>
      </c>
    </row>
    <row r="1390">
      <c r="A1390" s="40" t="n"/>
      <c r="B1390" s="41" t="n"/>
      <c r="C1390" s="41" t="n"/>
      <c r="D1390" s="40" t="n"/>
      <c r="E1390" s="40" t="n"/>
      <c r="F1390" s="40" t="n"/>
      <c r="G1390" s="39">
        <f>IF(COUNTA(A1390:F1390)=0,"",IF(A1390="EXAMPLE","Example (skipped)",IF(OR(C1390="",E1390="",F1390=""),"✖ Portal, User ID and Password are all needed",IF(AND(A1390="",COUNTIF(Clients!$B$5:$B$1005,B1390)=0),"Not on Clients — will match a portal client by name",IF(AND(C1390="GST",D1390&lt;&gt;"",COUNTIF(Clients!$AZ$5:$AZ$1005,UPPER(D1390))=0,COUNTIF(Clients!$G$5:$G$1005,"*"&amp;UPPER(D1390)&amp;"*")=0),"GSTIN not on Clients — will be checked in the portal","✔ OK")))))</f>
        <v/>
      </c>
    </row>
    <row r="1391">
      <c r="A1391" s="40" t="n"/>
      <c r="B1391" s="41" t="n"/>
      <c r="C1391" s="41" t="n"/>
      <c r="D1391" s="40" t="n"/>
      <c r="E1391" s="40" t="n"/>
      <c r="F1391" s="40" t="n"/>
      <c r="G1391" s="39">
        <f>IF(COUNTA(A1391:F1391)=0,"",IF(A1391="EXAMPLE","Example (skipped)",IF(OR(C1391="",E1391="",F1391=""),"✖ Portal, User ID and Password are all needed",IF(AND(A1391="",COUNTIF(Clients!$B$5:$B$1005,B1391)=0),"Not on Clients — will match a portal client by name",IF(AND(C1391="GST",D1391&lt;&gt;"",COUNTIF(Clients!$AZ$5:$AZ$1005,UPPER(D1391))=0,COUNTIF(Clients!$G$5:$G$1005,"*"&amp;UPPER(D1391)&amp;"*")=0),"GSTIN not on Clients — will be checked in the portal","✔ OK")))))</f>
        <v/>
      </c>
    </row>
    <row r="1392">
      <c r="A1392" s="40" t="n"/>
      <c r="B1392" s="41" t="n"/>
      <c r="C1392" s="41" t="n"/>
      <c r="D1392" s="40" t="n"/>
      <c r="E1392" s="40" t="n"/>
      <c r="F1392" s="40" t="n"/>
      <c r="G1392" s="39">
        <f>IF(COUNTA(A1392:F1392)=0,"",IF(A1392="EXAMPLE","Example (skipped)",IF(OR(C1392="",E1392="",F1392=""),"✖ Portal, User ID and Password are all needed",IF(AND(A1392="",COUNTIF(Clients!$B$5:$B$1005,B1392)=0),"Not on Clients — will match a portal client by name",IF(AND(C1392="GST",D1392&lt;&gt;"",COUNTIF(Clients!$AZ$5:$AZ$1005,UPPER(D1392))=0,COUNTIF(Clients!$G$5:$G$1005,"*"&amp;UPPER(D1392)&amp;"*")=0),"GSTIN not on Clients — will be checked in the portal","✔ OK")))))</f>
        <v/>
      </c>
    </row>
    <row r="1393">
      <c r="A1393" s="40" t="n"/>
      <c r="B1393" s="41" t="n"/>
      <c r="C1393" s="41" t="n"/>
      <c r="D1393" s="40" t="n"/>
      <c r="E1393" s="40" t="n"/>
      <c r="F1393" s="40" t="n"/>
      <c r="G1393" s="39">
        <f>IF(COUNTA(A1393:F1393)=0,"",IF(A1393="EXAMPLE","Example (skipped)",IF(OR(C1393="",E1393="",F1393=""),"✖ Portal, User ID and Password are all needed",IF(AND(A1393="",COUNTIF(Clients!$B$5:$B$1005,B1393)=0),"Not on Clients — will match a portal client by name",IF(AND(C1393="GST",D1393&lt;&gt;"",COUNTIF(Clients!$AZ$5:$AZ$1005,UPPER(D1393))=0,COUNTIF(Clients!$G$5:$G$1005,"*"&amp;UPPER(D1393)&amp;"*")=0),"GSTIN not on Clients — will be checked in the portal","✔ OK")))))</f>
        <v/>
      </c>
    </row>
    <row r="1394">
      <c r="A1394" s="40" t="n"/>
      <c r="B1394" s="41" t="n"/>
      <c r="C1394" s="41" t="n"/>
      <c r="D1394" s="40" t="n"/>
      <c r="E1394" s="40" t="n"/>
      <c r="F1394" s="40" t="n"/>
      <c r="G1394" s="39">
        <f>IF(COUNTA(A1394:F1394)=0,"",IF(A1394="EXAMPLE","Example (skipped)",IF(OR(C1394="",E1394="",F1394=""),"✖ Portal, User ID and Password are all needed",IF(AND(A1394="",COUNTIF(Clients!$B$5:$B$1005,B1394)=0),"Not on Clients — will match a portal client by name",IF(AND(C1394="GST",D1394&lt;&gt;"",COUNTIF(Clients!$AZ$5:$AZ$1005,UPPER(D1394))=0,COUNTIF(Clients!$G$5:$G$1005,"*"&amp;UPPER(D1394)&amp;"*")=0),"GSTIN not on Clients — will be checked in the portal","✔ OK")))))</f>
        <v/>
      </c>
    </row>
    <row r="1395">
      <c r="A1395" s="40" t="n"/>
      <c r="B1395" s="41" t="n"/>
      <c r="C1395" s="41" t="n"/>
      <c r="D1395" s="40" t="n"/>
      <c r="E1395" s="40" t="n"/>
      <c r="F1395" s="40" t="n"/>
      <c r="G1395" s="39">
        <f>IF(COUNTA(A1395:F1395)=0,"",IF(A1395="EXAMPLE","Example (skipped)",IF(OR(C1395="",E1395="",F1395=""),"✖ Portal, User ID and Password are all needed",IF(AND(A1395="",COUNTIF(Clients!$B$5:$B$1005,B1395)=0),"Not on Clients — will match a portal client by name",IF(AND(C1395="GST",D1395&lt;&gt;"",COUNTIF(Clients!$AZ$5:$AZ$1005,UPPER(D1395))=0,COUNTIF(Clients!$G$5:$G$1005,"*"&amp;UPPER(D1395)&amp;"*")=0),"GSTIN not on Clients — will be checked in the portal","✔ OK")))))</f>
        <v/>
      </c>
    </row>
    <row r="1396">
      <c r="A1396" s="40" t="n"/>
      <c r="B1396" s="41" t="n"/>
      <c r="C1396" s="41" t="n"/>
      <c r="D1396" s="40" t="n"/>
      <c r="E1396" s="40" t="n"/>
      <c r="F1396" s="40" t="n"/>
      <c r="G1396" s="39">
        <f>IF(COUNTA(A1396:F1396)=0,"",IF(A1396="EXAMPLE","Example (skipped)",IF(OR(C1396="",E1396="",F1396=""),"✖ Portal, User ID and Password are all needed",IF(AND(A1396="",COUNTIF(Clients!$B$5:$B$1005,B1396)=0),"Not on Clients — will match a portal client by name",IF(AND(C1396="GST",D1396&lt;&gt;"",COUNTIF(Clients!$AZ$5:$AZ$1005,UPPER(D1396))=0,COUNTIF(Clients!$G$5:$G$1005,"*"&amp;UPPER(D1396)&amp;"*")=0),"GSTIN not on Clients — will be checked in the portal","✔ OK")))))</f>
        <v/>
      </c>
    </row>
    <row r="1397">
      <c r="A1397" s="40" t="n"/>
      <c r="B1397" s="41" t="n"/>
      <c r="C1397" s="41" t="n"/>
      <c r="D1397" s="40" t="n"/>
      <c r="E1397" s="40" t="n"/>
      <c r="F1397" s="40" t="n"/>
      <c r="G1397" s="39">
        <f>IF(COUNTA(A1397:F1397)=0,"",IF(A1397="EXAMPLE","Example (skipped)",IF(OR(C1397="",E1397="",F1397=""),"✖ Portal, User ID and Password are all needed",IF(AND(A1397="",COUNTIF(Clients!$B$5:$B$1005,B1397)=0),"Not on Clients — will match a portal client by name",IF(AND(C1397="GST",D1397&lt;&gt;"",COUNTIF(Clients!$AZ$5:$AZ$1005,UPPER(D1397))=0,COUNTIF(Clients!$G$5:$G$1005,"*"&amp;UPPER(D1397)&amp;"*")=0),"GSTIN not on Clients — will be checked in the portal","✔ OK")))))</f>
        <v/>
      </c>
    </row>
    <row r="1398">
      <c r="A1398" s="40" t="n"/>
      <c r="B1398" s="41" t="n"/>
      <c r="C1398" s="41" t="n"/>
      <c r="D1398" s="40" t="n"/>
      <c r="E1398" s="40" t="n"/>
      <c r="F1398" s="40" t="n"/>
      <c r="G1398" s="39">
        <f>IF(COUNTA(A1398:F1398)=0,"",IF(A1398="EXAMPLE","Example (skipped)",IF(OR(C1398="",E1398="",F1398=""),"✖ Portal, User ID and Password are all needed",IF(AND(A1398="",COUNTIF(Clients!$B$5:$B$1005,B1398)=0),"Not on Clients — will match a portal client by name",IF(AND(C1398="GST",D1398&lt;&gt;"",COUNTIF(Clients!$AZ$5:$AZ$1005,UPPER(D1398))=0,COUNTIF(Clients!$G$5:$G$1005,"*"&amp;UPPER(D1398)&amp;"*")=0),"GSTIN not on Clients — will be checked in the portal","✔ OK")))))</f>
        <v/>
      </c>
    </row>
    <row r="1399">
      <c r="A1399" s="40" t="n"/>
      <c r="B1399" s="41" t="n"/>
      <c r="C1399" s="41" t="n"/>
      <c r="D1399" s="40" t="n"/>
      <c r="E1399" s="40" t="n"/>
      <c r="F1399" s="40" t="n"/>
      <c r="G1399" s="39">
        <f>IF(COUNTA(A1399:F1399)=0,"",IF(A1399="EXAMPLE","Example (skipped)",IF(OR(C1399="",E1399="",F1399=""),"✖ Portal, User ID and Password are all needed",IF(AND(A1399="",COUNTIF(Clients!$B$5:$B$1005,B1399)=0),"Not on Clients — will match a portal client by name",IF(AND(C1399="GST",D1399&lt;&gt;"",COUNTIF(Clients!$AZ$5:$AZ$1005,UPPER(D1399))=0,COUNTIF(Clients!$G$5:$G$1005,"*"&amp;UPPER(D1399)&amp;"*")=0),"GSTIN not on Clients — will be checked in the portal","✔ OK")))))</f>
        <v/>
      </c>
    </row>
    <row r="1400">
      <c r="A1400" s="40" t="n"/>
      <c r="B1400" s="41" t="n"/>
      <c r="C1400" s="41" t="n"/>
      <c r="D1400" s="40" t="n"/>
      <c r="E1400" s="40" t="n"/>
      <c r="F1400" s="40" t="n"/>
      <c r="G1400" s="39">
        <f>IF(COUNTA(A1400:F1400)=0,"",IF(A1400="EXAMPLE","Example (skipped)",IF(OR(C1400="",E1400="",F1400=""),"✖ Portal, User ID and Password are all needed",IF(AND(A1400="",COUNTIF(Clients!$B$5:$B$1005,B1400)=0),"Not on Clients — will match a portal client by name",IF(AND(C1400="GST",D1400&lt;&gt;"",COUNTIF(Clients!$AZ$5:$AZ$1005,UPPER(D1400))=0,COUNTIF(Clients!$G$5:$G$1005,"*"&amp;UPPER(D1400)&amp;"*")=0),"GSTIN not on Clients — will be checked in the portal","✔ OK")))))</f>
        <v/>
      </c>
    </row>
    <row r="1401">
      <c r="A1401" s="40" t="n"/>
      <c r="B1401" s="41" t="n"/>
      <c r="C1401" s="41" t="n"/>
      <c r="D1401" s="40" t="n"/>
      <c r="E1401" s="40" t="n"/>
      <c r="F1401" s="40" t="n"/>
      <c r="G1401" s="39">
        <f>IF(COUNTA(A1401:F1401)=0,"",IF(A1401="EXAMPLE","Example (skipped)",IF(OR(C1401="",E1401="",F1401=""),"✖ Portal, User ID and Password are all needed",IF(AND(A1401="",COUNTIF(Clients!$B$5:$B$1005,B1401)=0),"Not on Clients — will match a portal client by name",IF(AND(C1401="GST",D1401&lt;&gt;"",COUNTIF(Clients!$AZ$5:$AZ$1005,UPPER(D1401))=0,COUNTIF(Clients!$G$5:$G$1005,"*"&amp;UPPER(D1401)&amp;"*")=0),"GSTIN not on Clients — will be checked in the portal","✔ OK")))))</f>
        <v/>
      </c>
    </row>
    <row r="1402">
      <c r="A1402" s="40" t="n"/>
      <c r="B1402" s="41" t="n"/>
      <c r="C1402" s="41" t="n"/>
      <c r="D1402" s="40" t="n"/>
      <c r="E1402" s="40" t="n"/>
      <c r="F1402" s="40" t="n"/>
      <c r="G1402" s="39">
        <f>IF(COUNTA(A1402:F1402)=0,"",IF(A1402="EXAMPLE","Example (skipped)",IF(OR(C1402="",E1402="",F1402=""),"✖ Portal, User ID and Password are all needed",IF(AND(A1402="",COUNTIF(Clients!$B$5:$B$1005,B1402)=0),"Not on Clients — will match a portal client by name",IF(AND(C1402="GST",D1402&lt;&gt;"",COUNTIF(Clients!$AZ$5:$AZ$1005,UPPER(D1402))=0,COUNTIF(Clients!$G$5:$G$1005,"*"&amp;UPPER(D1402)&amp;"*")=0),"GSTIN not on Clients — will be checked in the portal","✔ OK")))))</f>
        <v/>
      </c>
    </row>
    <row r="1403">
      <c r="A1403" s="40" t="n"/>
      <c r="B1403" s="41" t="n"/>
      <c r="C1403" s="41" t="n"/>
      <c r="D1403" s="40" t="n"/>
      <c r="E1403" s="40" t="n"/>
      <c r="F1403" s="40" t="n"/>
      <c r="G1403" s="39">
        <f>IF(COUNTA(A1403:F1403)=0,"",IF(A1403="EXAMPLE","Example (skipped)",IF(OR(C1403="",E1403="",F1403=""),"✖ Portal, User ID and Password are all needed",IF(AND(A1403="",COUNTIF(Clients!$B$5:$B$1005,B1403)=0),"Not on Clients — will match a portal client by name",IF(AND(C1403="GST",D1403&lt;&gt;"",COUNTIF(Clients!$AZ$5:$AZ$1005,UPPER(D1403))=0,COUNTIF(Clients!$G$5:$G$1005,"*"&amp;UPPER(D1403)&amp;"*")=0),"GSTIN not on Clients — will be checked in the portal","✔ OK")))))</f>
        <v/>
      </c>
    </row>
    <row r="1404">
      <c r="A1404" s="40" t="n"/>
      <c r="B1404" s="41" t="n"/>
      <c r="C1404" s="41" t="n"/>
      <c r="D1404" s="40" t="n"/>
      <c r="E1404" s="40" t="n"/>
      <c r="F1404" s="40" t="n"/>
      <c r="G1404" s="39">
        <f>IF(COUNTA(A1404:F1404)=0,"",IF(A1404="EXAMPLE","Example (skipped)",IF(OR(C1404="",E1404="",F1404=""),"✖ Portal, User ID and Password are all needed",IF(AND(A1404="",COUNTIF(Clients!$B$5:$B$1005,B1404)=0),"Not on Clients — will match a portal client by name",IF(AND(C1404="GST",D1404&lt;&gt;"",COUNTIF(Clients!$AZ$5:$AZ$1005,UPPER(D1404))=0,COUNTIF(Clients!$G$5:$G$1005,"*"&amp;UPPER(D1404)&amp;"*")=0),"GSTIN not on Clients — will be checked in the portal","✔ OK")))))</f>
        <v/>
      </c>
    </row>
    <row r="1405">
      <c r="A1405" s="40" t="n"/>
      <c r="B1405" s="41" t="n"/>
      <c r="C1405" s="41" t="n"/>
      <c r="D1405" s="40" t="n"/>
      <c r="E1405" s="40" t="n"/>
      <c r="F1405" s="40" t="n"/>
      <c r="G1405" s="39">
        <f>IF(COUNTA(A1405:F1405)=0,"",IF(A1405="EXAMPLE","Example (skipped)",IF(OR(C1405="",E1405="",F1405=""),"✖ Portal, User ID and Password are all needed",IF(AND(A1405="",COUNTIF(Clients!$B$5:$B$1005,B1405)=0),"Not on Clients — will match a portal client by name",IF(AND(C1405="GST",D1405&lt;&gt;"",COUNTIF(Clients!$AZ$5:$AZ$1005,UPPER(D1405))=0,COUNTIF(Clients!$G$5:$G$1005,"*"&amp;UPPER(D1405)&amp;"*")=0),"GSTIN not on Clients — will be checked in the portal","✔ OK")))))</f>
        <v/>
      </c>
    </row>
    <row r="1406">
      <c r="A1406" s="40" t="n"/>
      <c r="B1406" s="41" t="n"/>
      <c r="C1406" s="41" t="n"/>
      <c r="D1406" s="40" t="n"/>
      <c r="E1406" s="40" t="n"/>
      <c r="F1406" s="40" t="n"/>
      <c r="G1406" s="39">
        <f>IF(COUNTA(A1406:F1406)=0,"",IF(A1406="EXAMPLE","Example (skipped)",IF(OR(C1406="",E1406="",F1406=""),"✖ Portal, User ID and Password are all needed",IF(AND(A1406="",COUNTIF(Clients!$B$5:$B$1005,B1406)=0),"Not on Clients — will match a portal client by name",IF(AND(C1406="GST",D1406&lt;&gt;"",COUNTIF(Clients!$AZ$5:$AZ$1005,UPPER(D1406))=0,COUNTIF(Clients!$G$5:$G$1005,"*"&amp;UPPER(D1406)&amp;"*")=0),"GSTIN not on Clients — will be checked in the portal","✔ OK")))))</f>
        <v/>
      </c>
    </row>
    <row r="1407">
      <c r="A1407" s="40" t="n"/>
      <c r="B1407" s="41" t="n"/>
      <c r="C1407" s="41" t="n"/>
      <c r="D1407" s="40" t="n"/>
      <c r="E1407" s="40" t="n"/>
      <c r="F1407" s="40" t="n"/>
      <c r="G1407" s="39">
        <f>IF(COUNTA(A1407:F1407)=0,"",IF(A1407="EXAMPLE","Example (skipped)",IF(OR(C1407="",E1407="",F1407=""),"✖ Portal, User ID and Password are all needed",IF(AND(A1407="",COUNTIF(Clients!$B$5:$B$1005,B1407)=0),"Not on Clients — will match a portal client by name",IF(AND(C1407="GST",D1407&lt;&gt;"",COUNTIF(Clients!$AZ$5:$AZ$1005,UPPER(D1407))=0,COUNTIF(Clients!$G$5:$G$1005,"*"&amp;UPPER(D1407)&amp;"*")=0),"GSTIN not on Clients — will be checked in the portal","✔ OK")))))</f>
        <v/>
      </c>
    </row>
    <row r="1408">
      <c r="A1408" s="40" t="n"/>
      <c r="B1408" s="41" t="n"/>
      <c r="C1408" s="41" t="n"/>
      <c r="D1408" s="40" t="n"/>
      <c r="E1408" s="40" t="n"/>
      <c r="F1408" s="40" t="n"/>
      <c r="G1408" s="39">
        <f>IF(COUNTA(A1408:F1408)=0,"",IF(A1408="EXAMPLE","Example (skipped)",IF(OR(C1408="",E1408="",F1408=""),"✖ Portal, User ID and Password are all needed",IF(AND(A1408="",COUNTIF(Clients!$B$5:$B$1005,B1408)=0),"Not on Clients — will match a portal client by name",IF(AND(C1408="GST",D1408&lt;&gt;"",COUNTIF(Clients!$AZ$5:$AZ$1005,UPPER(D1408))=0,COUNTIF(Clients!$G$5:$G$1005,"*"&amp;UPPER(D1408)&amp;"*")=0),"GSTIN not on Clients — will be checked in the portal","✔ OK")))))</f>
        <v/>
      </c>
    </row>
    <row r="1409">
      <c r="A1409" s="40" t="n"/>
      <c r="B1409" s="41" t="n"/>
      <c r="C1409" s="41" t="n"/>
      <c r="D1409" s="40" t="n"/>
      <c r="E1409" s="40" t="n"/>
      <c r="F1409" s="40" t="n"/>
      <c r="G1409" s="39">
        <f>IF(COUNTA(A1409:F1409)=0,"",IF(A1409="EXAMPLE","Example (skipped)",IF(OR(C1409="",E1409="",F1409=""),"✖ Portal, User ID and Password are all needed",IF(AND(A1409="",COUNTIF(Clients!$B$5:$B$1005,B1409)=0),"Not on Clients — will match a portal client by name",IF(AND(C1409="GST",D1409&lt;&gt;"",COUNTIF(Clients!$AZ$5:$AZ$1005,UPPER(D1409))=0,COUNTIF(Clients!$G$5:$G$1005,"*"&amp;UPPER(D1409)&amp;"*")=0),"GSTIN not on Clients — will be checked in the portal","✔ OK")))))</f>
        <v/>
      </c>
    </row>
    <row r="1410">
      <c r="A1410" s="40" t="n"/>
      <c r="B1410" s="41" t="n"/>
      <c r="C1410" s="41" t="n"/>
      <c r="D1410" s="40" t="n"/>
      <c r="E1410" s="40" t="n"/>
      <c r="F1410" s="40" t="n"/>
      <c r="G1410" s="39">
        <f>IF(COUNTA(A1410:F1410)=0,"",IF(A1410="EXAMPLE","Example (skipped)",IF(OR(C1410="",E1410="",F1410=""),"✖ Portal, User ID and Password are all needed",IF(AND(A1410="",COUNTIF(Clients!$B$5:$B$1005,B1410)=0),"Not on Clients — will match a portal client by name",IF(AND(C1410="GST",D1410&lt;&gt;"",COUNTIF(Clients!$AZ$5:$AZ$1005,UPPER(D1410))=0,COUNTIF(Clients!$G$5:$G$1005,"*"&amp;UPPER(D1410)&amp;"*")=0),"GSTIN not on Clients — will be checked in the portal","✔ OK")))))</f>
        <v/>
      </c>
    </row>
    <row r="1411">
      <c r="A1411" s="40" t="n"/>
      <c r="B1411" s="41" t="n"/>
      <c r="C1411" s="41" t="n"/>
      <c r="D1411" s="40" t="n"/>
      <c r="E1411" s="40" t="n"/>
      <c r="F1411" s="40" t="n"/>
      <c r="G1411" s="39">
        <f>IF(COUNTA(A1411:F1411)=0,"",IF(A1411="EXAMPLE","Example (skipped)",IF(OR(C1411="",E1411="",F1411=""),"✖ Portal, User ID and Password are all needed",IF(AND(A1411="",COUNTIF(Clients!$B$5:$B$1005,B1411)=0),"Not on Clients — will match a portal client by name",IF(AND(C1411="GST",D1411&lt;&gt;"",COUNTIF(Clients!$AZ$5:$AZ$1005,UPPER(D1411))=0,COUNTIF(Clients!$G$5:$G$1005,"*"&amp;UPPER(D1411)&amp;"*")=0),"GSTIN not on Clients — will be checked in the portal","✔ OK")))))</f>
        <v/>
      </c>
    </row>
    <row r="1412">
      <c r="A1412" s="40" t="n"/>
      <c r="B1412" s="41" t="n"/>
      <c r="C1412" s="41" t="n"/>
      <c r="D1412" s="40" t="n"/>
      <c r="E1412" s="40" t="n"/>
      <c r="F1412" s="40" t="n"/>
      <c r="G1412" s="39">
        <f>IF(COUNTA(A1412:F1412)=0,"",IF(A1412="EXAMPLE","Example (skipped)",IF(OR(C1412="",E1412="",F1412=""),"✖ Portal, User ID and Password are all needed",IF(AND(A1412="",COUNTIF(Clients!$B$5:$B$1005,B1412)=0),"Not on Clients — will match a portal client by name",IF(AND(C1412="GST",D1412&lt;&gt;"",COUNTIF(Clients!$AZ$5:$AZ$1005,UPPER(D1412))=0,COUNTIF(Clients!$G$5:$G$1005,"*"&amp;UPPER(D1412)&amp;"*")=0),"GSTIN not on Clients — will be checked in the portal","✔ OK")))))</f>
        <v/>
      </c>
    </row>
    <row r="1413">
      <c r="A1413" s="40" t="n"/>
      <c r="B1413" s="41" t="n"/>
      <c r="C1413" s="41" t="n"/>
      <c r="D1413" s="40" t="n"/>
      <c r="E1413" s="40" t="n"/>
      <c r="F1413" s="40" t="n"/>
      <c r="G1413" s="39">
        <f>IF(COUNTA(A1413:F1413)=0,"",IF(A1413="EXAMPLE","Example (skipped)",IF(OR(C1413="",E1413="",F1413=""),"✖ Portal, User ID and Password are all needed",IF(AND(A1413="",COUNTIF(Clients!$B$5:$B$1005,B1413)=0),"Not on Clients — will match a portal client by name",IF(AND(C1413="GST",D1413&lt;&gt;"",COUNTIF(Clients!$AZ$5:$AZ$1005,UPPER(D1413))=0,COUNTIF(Clients!$G$5:$G$1005,"*"&amp;UPPER(D1413)&amp;"*")=0),"GSTIN not on Clients — will be checked in the portal","✔ OK")))))</f>
        <v/>
      </c>
    </row>
    <row r="1414">
      <c r="A1414" s="40" t="n"/>
      <c r="B1414" s="41" t="n"/>
      <c r="C1414" s="41" t="n"/>
      <c r="D1414" s="40" t="n"/>
      <c r="E1414" s="40" t="n"/>
      <c r="F1414" s="40" t="n"/>
      <c r="G1414" s="39">
        <f>IF(COUNTA(A1414:F1414)=0,"",IF(A1414="EXAMPLE","Example (skipped)",IF(OR(C1414="",E1414="",F1414=""),"✖ Portal, User ID and Password are all needed",IF(AND(A1414="",COUNTIF(Clients!$B$5:$B$1005,B1414)=0),"Not on Clients — will match a portal client by name",IF(AND(C1414="GST",D1414&lt;&gt;"",COUNTIF(Clients!$AZ$5:$AZ$1005,UPPER(D1414))=0,COUNTIF(Clients!$G$5:$G$1005,"*"&amp;UPPER(D1414)&amp;"*")=0),"GSTIN not on Clients — will be checked in the portal","✔ OK")))))</f>
        <v/>
      </c>
    </row>
    <row r="1415">
      <c r="A1415" s="40" t="n"/>
      <c r="B1415" s="41" t="n"/>
      <c r="C1415" s="41" t="n"/>
      <c r="D1415" s="40" t="n"/>
      <c r="E1415" s="40" t="n"/>
      <c r="F1415" s="40" t="n"/>
      <c r="G1415" s="39">
        <f>IF(COUNTA(A1415:F1415)=0,"",IF(A1415="EXAMPLE","Example (skipped)",IF(OR(C1415="",E1415="",F1415=""),"✖ Portal, User ID and Password are all needed",IF(AND(A1415="",COUNTIF(Clients!$B$5:$B$1005,B1415)=0),"Not on Clients — will match a portal client by name",IF(AND(C1415="GST",D1415&lt;&gt;"",COUNTIF(Clients!$AZ$5:$AZ$1005,UPPER(D1415))=0,COUNTIF(Clients!$G$5:$G$1005,"*"&amp;UPPER(D1415)&amp;"*")=0),"GSTIN not on Clients — will be checked in the portal","✔ OK")))))</f>
        <v/>
      </c>
    </row>
    <row r="1416">
      <c r="A1416" s="40" t="n"/>
      <c r="B1416" s="41" t="n"/>
      <c r="C1416" s="41" t="n"/>
      <c r="D1416" s="40" t="n"/>
      <c r="E1416" s="40" t="n"/>
      <c r="F1416" s="40" t="n"/>
      <c r="G1416" s="39">
        <f>IF(COUNTA(A1416:F1416)=0,"",IF(A1416="EXAMPLE","Example (skipped)",IF(OR(C1416="",E1416="",F1416=""),"✖ Portal, User ID and Password are all needed",IF(AND(A1416="",COUNTIF(Clients!$B$5:$B$1005,B1416)=0),"Not on Clients — will match a portal client by name",IF(AND(C1416="GST",D1416&lt;&gt;"",COUNTIF(Clients!$AZ$5:$AZ$1005,UPPER(D1416))=0,COUNTIF(Clients!$G$5:$G$1005,"*"&amp;UPPER(D1416)&amp;"*")=0),"GSTIN not on Clients — will be checked in the portal","✔ OK")))))</f>
        <v/>
      </c>
    </row>
    <row r="1417">
      <c r="A1417" s="40" t="n"/>
      <c r="B1417" s="41" t="n"/>
      <c r="C1417" s="41" t="n"/>
      <c r="D1417" s="40" t="n"/>
      <c r="E1417" s="40" t="n"/>
      <c r="F1417" s="40" t="n"/>
      <c r="G1417" s="39">
        <f>IF(COUNTA(A1417:F1417)=0,"",IF(A1417="EXAMPLE","Example (skipped)",IF(OR(C1417="",E1417="",F1417=""),"✖ Portal, User ID and Password are all needed",IF(AND(A1417="",COUNTIF(Clients!$B$5:$B$1005,B1417)=0),"Not on Clients — will match a portal client by name",IF(AND(C1417="GST",D1417&lt;&gt;"",COUNTIF(Clients!$AZ$5:$AZ$1005,UPPER(D1417))=0,COUNTIF(Clients!$G$5:$G$1005,"*"&amp;UPPER(D1417)&amp;"*")=0),"GSTIN not on Clients — will be checked in the portal","✔ OK")))))</f>
        <v/>
      </c>
    </row>
    <row r="1418">
      <c r="A1418" s="40" t="n"/>
      <c r="B1418" s="41" t="n"/>
      <c r="C1418" s="41" t="n"/>
      <c r="D1418" s="40" t="n"/>
      <c r="E1418" s="40" t="n"/>
      <c r="F1418" s="40" t="n"/>
      <c r="G1418" s="39">
        <f>IF(COUNTA(A1418:F1418)=0,"",IF(A1418="EXAMPLE","Example (skipped)",IF(OR(C1418="",E1418="",F1418=""),"✖ Portal, User ID and Password are all needed",IF(AND(A1418="",COUNTIF(Clients!$B$5:$B$1005,B1418)=0),"Not on Clients — will match a portal client by name",IF(AND(C1418="GST",D1418&lt;&gt;"",COUNTIF(Clients!$AZ$5:$AZ$1005,UPPER(D1418))=0,COUNTIF(Clients!$G$5:$G$1005,"*"&amp;UPPER(D1418)&amp;"*")=0),"GSTIN not on Clients — will be checked in the portal","✔ OK")))))</f>
        <v/>
      </c>
    </row>
    <row r="1419">
      <c r="A1419" s="40" t="n"/>
      <c r="B1419" s="41" t="n"/>
      <c r="C1419" s="41" t="n"/>
      <c r="D1419" s="40" t="n"/>
      <c r="E1419" s="40" t="n"/>
      <c r="F1419" s="40" t="n"/>
      <c r="G1419" s="39">
        <f>IF(COUNTA(A1419:F1419)=0,"",IF(A1419="EXAMPLE","Example (skipped)",IF(OR(C1419="",E1419="",F1419=""),"✖ Portal, User ID and Password are all needed",IF(AND(A1419="",COUNTIF(Clients!$B$5:$B$1005,B1419)=0),"Not on Clients — will match a portal client by name",IF(AND(C1419="GST",D1419&lt;&gt;"",COUNTIF(Clients!$AZ$5:$AZ$1005,UPPER(D1419))=0,COUNTIF(Clients!$G$5:$G$1005,"*"&amp;UPPER(D1419)&amp;"*")=0),"GSTIN not on Clients — will be checked in the portal","✔ OK")))))</f>
        <v/>
      </c>
    </row>
    <row r="1420">
      <c r="A1420" s="40" t="n"/>
      <c r="B1420" s="41" t="n"/>
      <c r="C1420" s="41" t="n"/>
      <c r="D1420" s="40" t="n"/>
      <c r="E1420" s="40" t="n"/>
      <c r="F1420" s="40" t="n"/>
      <c r="G1420" s="39">
        <f>IF(COUNTA(A1420:F1420)=0,"",IF(A1420="EXAMPLE","Example (skipped)",IF(OR(C1420="",E1420="",F1420=""),"✖ Portal, User ID and Password are all needed",IF(AND(A1420="",COUNTIF(Clients!$B$5:$B$1005,B1420)=0),"Not on Clients — will match a portal client by name",IF(AND(C1420="GST",D1420&lt;&gt;"",COUNTIF(Clients!$AZ$5:$AZ$1005,UPPER(D1420))=0,COUNTIF(Clients!$G$5:$G$1005,"*"&amp;UPPER(D1420)&amp;"*")=0),"GSTIN not on Clients — will be checked in the portal","✔ OK")))))</f>
        <v/>
      </c>
    </row>
    <row r="1421">
      <c r="A1421" s="40" t="n"/>
      <c r="B1421" s="41" t="n"/>
      <c r="C1421" s="41" t="n"/>
      <c r="D1421" s="40" t="n"/>
      <c r="E1421" s="40" t="n"/>
      <c r="F1421" s="40" t="n"/>
      <c r="G1421" s="39">
        <f>IF(COUNTA(A1421:F1421)=0,"",IF(A1421="EXAMPLE","Example (skipped)",IF(OR(C1421="",E1421="",F1421=""),"✖ Portal, User ID and Password are all needed",IF(AND(A1421="",COUNTIF(Clients!$B$5:$B$1005,B1421)=0),"Not on Clients — will match a portal client by name",IF(AND(C1421="GST",D1421&lt;&gt;"",COUNTIF(Clients!$AZ$5:$AZ$1005,UPPER(D1421))=0,COUNTIF(Clients!$G$5:$G$1005,"*"&amp;UPPER(D1421)&amp;"*")=0),"GSTIN not on Clients — will be checked in the portal","✔ OK")))))</f>
        <v/>
      </c>
    </row>
    <row r="1422">
      <c r="A1422" s="40" t="n"/>
      <c r="B1422" s="41" t="n"/>
      <c r="C1422" s="41" t="n"/>
      <c r="D1422" s="40" t="n"/>
      <c r="E1422" s="40" t="n"/>
      <c r="F1422" s="40" t="n"/>
      <c r="G1422" s="39">
        <f>IF(COUNTA(A1422:F1422)=0,"",IF(A1422="EXAMPLE","Example (skipped)",IF(OR(C1422="",E1422="",F1422=""),"✖ Portal, User ID and Password are all needed",IF(AND(A1422="",COUNTIF(Clients!$B$5:$B$1005,B1422)=0),"Not on Clients — will match a portal client by name",IF(AND(C1422="GST",D1422&lt;&gt;"",COUNTIF(Clients!$AZ$5:$AZ$1005,UPPER(D1422))=0,COUNTIF(Clients!$G$5:$G$1005,"*"&amp;UPPER(D1422)&amp;"*")=0),"GSTIN not on Clients — will be checked in the portal","✔ OK")))))</f>
        <v/>
      </c>
    </row>
    <row r="1423">
      <c r="A1423" s="40" t="n"/>
      <c r="B1423" s="41" t="n"/>
      <c r="C1423" s="41" t="n"/>
      <c r="D1423" s="40" t="n"/>
      <c r="E1423" s="40" t="n"/>
      <c r="F1423" s="40" t="n"/>
      <c r="G1423" s="39">
        <f>IF(COUNTA(A1423:F1423)=0,"",IF(A1423="EXAMPLE","Example (skipped)",IF(OR(C1423="",E1423="",F1423=""),"✖ Portal, User ID and Password are all needed",IF(AND(A1423="",COUNTIF(Clients!$B$5:$B$1005,B1423)=0),"Not on Clients — will match a portal client by name",IF(AND(C1423="GST",D1423&lt;&gt;"",COUNTIF(Clients!$AZ$5:$AZ$1005,UPPER(D1423))=0,COUNTIF(Clients!$G$5:$G$1005,"*"&amp;UPPER(D1423)&amp;"*")=0),"GSTIN not on Clients — will be checked in the portal","✔ OK")))))</f>
        <v/>
      </c>
    </row>
    <row r="1424">
      <c r="A1424" s="40" t="n"/>
      <c r="B1424" s="41" t="n"/>
      <c r="C1424" s="41" t="n"/>
      <c r="D1424" s="40" t="n"/>
      <c r="E1424" s="40" t="n"/>
      <c r="F1424" s="40" t="n"/>
      <c r="G1424" s="39">
        <f>IF(COUNTA(A1424:F1424)=0,"",IF(A1424="EXAMPLE","Example (skipped)",IF(OR(C1424="",E1424="",F1424=""),"✖ Portal, User ID and Password are all needed",IF(AND(A1424="",COUNTIF(Clients!$B$5:$B$1005,B1424)=0),"Not on Clients — will match a portal client by name",IF(AND(C1424="GST",D1424&lt;&gt;"",COUNTIF(Clients!$AZ$5:$AZ$1005,UPPER(D1424))=0,COUNTIF(Clients!$G$5:$G$1005,"*"&amp;UPPER(D1424)&amp;"*")=0),"GSTIN not on Clients — will be checked in the portal","✔ OK")))))</f>
        <v/>
      </c>
    </row>
    <row r="1425">
      <c r="A1425" s="40" t="n"/>
      <c r="B1425" s="41" t="n"/>
      <c r="C1425" s="41" t="n"/>
      <c r="D1425" s="40" t="n"/>
      <c r="E1425" s="40" t="n"/>
      <c r="F1425" s="40" t="n"/>
      <c r="G1425" s="39">
        <f>IF(COUNTA(A1425:F1425)=0,"",IF(A1425="EXAMPLE","Example (skipped)",IF(OR(C1425="",E1425="",F1425=""),"✖ Portal, User ID and Password are all needed",IF(AND(A1425="",COUNTIF(Clients!$B$5:$B$1005,B1425)=0),"Not on Clients — will match a portal client by name",IF(AND(C1425="GST",D1425&lt;&gt;"",COUNTIF(Clients!$AZ$5:$AZ$1005,UPPER(D1425))=0,COUNTIF(Clients!$G$5:$G$1005,"*"&amp;UPPER(D1425)&amp;"*")=0),"GSTIN not on Clients — will be checked in the portal","✔ OK")))))</f>
        <v/>
      </c>
    </row>
    <row r="1426">
      <c r="A1426" s="40" t="n"/>
      <c r="B1426" s="41" t="n"/>
      <c r="C1426" s="41" t="n"/>
      <c r="D1426" s="40" t="n"/>
      <c r="E1426" s="40" t="n"/>
      <c r="F1426" s="40" t="n"/>
      <c r="G1426" s="39">
        <f>IF(COUNTA(A1426:F1426)=0,"",IF(A1426="EXAMPLE","Example (skipped)",IF(OR(C1426="",E1426="",F1426=""),"✖ Portal, User ID and Password are all needed",IF(AND(A1426="",COUNTIF(Clients!$B$5:$B$1005,B1426)=0),"Not on Clients — will match a portal client by name",IF(AND(C1426="GST",D1426&lt;&gt;"",COUNTIF(Clients!$AZ$5:$AZ$1005,UPPER(D1426))=0,COUNTIF(Clients!$G$5:$G$1005,"*"&amp;UPPER(D1426)&amp;"*")=0),"GSTIN not on Clients — will be checked in the portal","✔ OK")))))</f>
        <v/>
      </c>
    </row>
    <row r="1427">
      <c r="A1427" s="40" t="n"/>
      <c r="B1427" s="41" t="n"/>
      <c r="C1427" s="41" t="n"/>
      <c r="D1427" s="40" t="n"/>
      <c r="E1427" s="40" t="n"/>
      <c r="F1427" s="40" t="n"/>
      <c r="G1427" s="39">
        <f>IF(COUNTA(A1427:F1427)=0,"",IF(A1427="EXAMPLE","Example (skipped)",IF(OR(C1427="",E1427="",F1427=""),"✖ Portal, User ID and Password are all needed",IF(AND(A1427="",COUNTIF(Clients!$B$5:$B$1005,B1427)=0),"Not on Clients — will match a portal client by name",IF(AND(C1427="GST",D1427&lt;&gt;"",COUNTIF(Clients!$AZ$5:$AZ$1005,UPPER(D1427))=0,COUNTIF(Clients!$G$5:$G$1005,"*"&amp;UPPER(D1427)&amp;"*")=0),"GSTIN not on Clients — will be checked in the portal","✔ OK")))))</f>
        <v/>
      </c>
    </row>
    <row r="1428">
      <c r="A1428" s="40" t="n"/>
      <c r="B1428" s="41" t="n"/>
      <c r="C1428" s="41" t="n"/>
      <c r="D1428" s="40" t="n"/>
      <c r="E1428" s="40" t="n"/>
      <c r="F1428" s="40" t="n"/>
      <c r="G1428" s="39">
        <f>IF(COUNTA(A1428:F1428)=0,"",IF(A1428="EXAMPLE","Example (skipped)",IF(OR(C1428="",E1428="",F1428=""),"✖ Portal, User ID and Password are all needed",IF(AND(A1428="",COUNTIF(Clients!$B$5:$B$1005,B1428)=0),"Not on Clients — will match a portal client by name",IF(AND(C1428="GST",D1428&lt;&gt;"",COUNTIF(Clients!$AZ$5:$AZ$1005,UPPER(D1428))=0,COUNTIF(Clients!$G$5:$G$1005,"*"&amp;UPPER(D1428)&amp;"*")=0),"GSTIN not on Clients — will be checked in the portal","✔ OK")))))</f>
        <v/>
      </c>
    </row>
    <row r="1429">
      <c r="A1429" s="40" t="n"/>
      <c r="B1429" s="41" t="n"/>
      <c r="C1429" s="41" t="n"/>
      <c r="D1429" s="40" t="n"/>
      <c r="E1429" s="40" t="n"/>
      <c r="F1429" s="40" t="n"/>
      <c r="G1429" s="39">
        <f>IF(COUNTA(A1429:F1429)=0,"",IF(A1429="EXAMPLE","Example (skipped)",IF(OR(C1429="",E1429="",F1429=""),"✖ Portal, User ID and Password are all needed",IF(AND(A1429="",COUNTIF(Clients!$B$5:$B$1005,B1429)=0),"Not on Clients — will match a portal client by name",IF(AND(C1429="GST",D1429&lt;&gt;"",COUNTIF(Clients!$AZ$5:$AZ$1005,UPPER(D1429))=0,COUNTIF(Clients!$G$5:$G$1005,"*"&amp;UPPER(D1429)&amp;"*")=0),"GSTIN not on Clients — will be checked in the portal","✔ OK")))))</f>
        <v/>
      </c>
    </row>
    <row r="1430">
      <c r="A1430" s="40" t="n"/>
      <c r="B1430" s="41" t="n"/>
      <c r="C1430" s="41" t="n"/>
      <c r="D1430" s="40" t="n"/>
      <c r="E1430" s="40" t="n"/>
      <c r="F1430" s="40" t="n"/>
      <c r="G1430" s="39">
        <f>IF(COUNTA(A1430:F1430)=0,"",IF(A1430="EXAMPLE","Example (skipped)",IF(OR(C1430="",E1430="",F1430=""),"✖ Portal, User ID and Password are all needed",IF(AND(A1430="",COUNTIF(Clients!$B$5:$B$1005,B1430)=0),"Not on Clients — will match a portal client by name",IF(AND(C1430="GST",D1430&lt;&gt;"",COUNTIF(Clients!$AZ$5:$AZ$1005,UPPER(D1430))=0,COUNTIF(Clients!$G$5:$G$1005,"*"&amp;UPPER(D1430)&amp;"*")=0),"GSTIN not on Clients — will be checked in the portal","✔ OK")))))</f>
        <v/>
      </c>
    </row>
    <row r="1431">
      <c r="A1431" s="40" t="n"/>
      <c r="B1431" s="41" t="n"/>
      <c r="C1431" s="41" t="n"/>
      <c r="D1431" s="40" t="n"/>
      <c r="E1431" s="40" t="n"/>
      <c r="F1431" s="40" t="n"/>
      <c r="G1431" s="39">
        <f>IF(COUNTA(A1431:F1431)=0,"",IF(A1431="EXAMPLE","Example (skipped)",IF(OR(C1431="",E1431="",F1431=""),"✖ Portal, User ID and Password are all needed",IF(AND(A1431="",COUNTIF(Clients!$B$5:$B$1005,B1431)=0),"Not on Clients — will match a portal client by name",IF(AND(C1431="GST",D1431&lt;&gt;"",COUNTIF(Clients!$AZ$5:$AZ$1005,UPPER(D1431))=0,COUNTIF(Clients!$G$5:$G$1005,"*"&amp;UPPER(D1431)&amp;"*")=0),"GSTIN not on Clients — will be checked in the portal","✔ OK")))))</f>
        <v/>
      </c>
    </row>
    <row r="1432">
      <c r="A1432" s="40" t="n"/>
      <c r="B1432" s="41" t="n"/>
      <c r="C1432" s="41" t="n"/>
      <c r="D1432" s="40" t="n"/>
      <c r="E1432" s="40" t="n"/>
      <c r="F1432" s="40" t="n"/>
      <c r="G1432" s="39">
        <f>IF(COUNTA(A1432:F1432)=0,"",IF(A1432="EXAMPLE","Example (skipped)",IF(OR(C1432="",E1432="",F1432=""),"✖ Portal, User ID and Password are all needed",IF(AND(A1432="",COUNTIF(Clients!$B$5:$B$1005,B1432)=0),"Not on Clients — will match a portal client by name",IF(AND(C1432="GST",D1432&lt;&gt;"",COUNTIF(Clients!$AZ$5:$AZ$1005,UPPER(D1432))=0,COUNTIF(Clients!$G$5:$G$1005,"*"&amp;UPPER(D1432)&amp;"*")=0),"GSTIN not on Clients — will be checked in the portal","✔ OK")))))</f>
        <v/>
      </c>
    </row>
    <row r="1433">
      <c r="A1433" s="40" t="n"/>
      <c r="B1433" s="41" t="n"/>
      <c r="C1433" s="41" t="n"/>
      <c r="D1433" s="40" t="n"/>
      <c r="E1433" s="40" t="n"/>
      <c r="F1433" s="40" t="n"/>
      <c r="G1433" s="39">
        <f>IF(COUNTA(A1433:F1433)=0,"",IF(A1433="EXAMPLE","Example (skipped)",IF(OR(C1433="",E1433="",F1433=""),"✖ Portal, User ID and Password are all needed",IF(AND(A1433="",COUNTIF(Clients!$B$5:$B$1005,B1433)=0),"Not on Clients — will match a portal client by name",IF(AND(C1433="GST",D1433&lt;&gt;"",COUNTIF(Clients!$AZ$5:$AZ$1005,UPPER(D1433))=0,COUNTIF(Clients!$G$5:$G$1005,"*"&amp;UPPER(D1433)&amp;"*")=0),"GSTIN not on Clients — will be checked in the portal","✔ OK")))))</f>
        <v/>
      </c>
    </row>
    <row r="1434">
      <c r="A1434" s="40" t="n"/>
      <c r="B1434" s="41" t="n"/>
      <c r="C1434" s="41" t="n"/>
      <c r="D1434" s="40" t="n"/>
      <c r="E1434" s="40" t="n"/>
      <c r="F1434" s="40" t="n"/>
      <c r="G1434" s="39">
        <f>IF(COUNTA(A1434:F1434)=0,"",IF(A1434="EXAMPLE","Example (skipped)",IF(OR(C1434="",E1434="",F1434=""),"✖ Portal, User ID and Password are all needed",IF(AND(A1434="",COUNTIF(Clients!$B$5:$B$1005,B1434)=0),"Not on Clients — will match a portal client by name",IF(AND(C1434="GST",D1434&lt;&gt;"",COUNTIF(Clients!$AZ$5:$AZ$1005,UPPER(D1434))=0,COUNTIF(Clients!$G$5:$G$1005,"*"&amp;UPPER(D1434)&amp;"*")=0),"GSTIN not on Clients — will be checked in the portal","✔ OK")))))</f>
        <v/>
      </c>
    </row>
    <row r="1435">
      <c r="A1435" s="40" t="n"/>
      <c r="B1435" s="41" t="n"/>
      <c r="C1435" s="41" t="n"/>
      <c r="D1435" s="40" t="n"/>
      <c r="E1435" s="40" t="n"/>
      <c r="F1435" s="40" t="n"/>
      <c r="G1435" s="39">
        <f>IF(COUNTA(A1435:F1435)=0,"",IF(A1435="EXAMPLE","Example (skipped)",IF(OR(C1435="",E1435="",F1435=""),"✖ Portal, User ID and Password are all needed",IF(AND(A1435="",COUNTIF(Clients!$B$5:$B$1005,B1435)=0),"Not on Clients — will match a portal client by name",IF(AND(C1435="GST",D1435&lt;&gt;"",COUNTIF(Clients!$AZ$5:$AZ$1005,UPPER(D1435))=0,COUNTIF(Clients!$G$5:$G$1005,"*"&amp;UPPER(D1435)&amp;"*")=0),"GSTIN not on Clients — will be checked in the portal","✔ OK")))))</f>
        <v/>
      </c>
    </row>
    <row r="1436">
      <c r="A1436" s="40" t="n"/>
      <c r="B1436" s="41" t="n"/>
      <c r="C1436" s="41" t="n"/>
      <c r="D1436" s="40" t="n"/>
      <c r="E1436" s="40" t="n"/>
      <c r="F1436" s="40" t="n"/>
      <c r="G1436" s="39">
        <f>IF(COUNTA(A1436:F1436)=0,"",IF(A1436="EXAMPLE","Example (skipped)",IF(OR(C1436="",E1436="",F1436=""),"✖ Portal, User ID and Password are all needed",IF(AND(A1436="",COUNTIF(Clients!$B$5:$B$1005,B1436)=0),"Not on Clients — will match a portal client by name",IF(AND(C1436="GST",D1436&lt;&gt;"",COUNTIF(Clients!$AZ$5:$AZ$1005,UPPER(D1436))=0,COUNTIF(Clients!$G$5:$G$1005,"*"&amp;UPPER(D1436)&amp;"*")=0),"GSTIN not on Clients — will be checked in the portal","✔ OK")))))</f>
        <v/>
      </c>
    </row>
    <row r="1437">
      <c r="A1437" s="40" t="n"/>
      <c r="B1437" s="41" t="n"/>
      <c r="C1437" s="41" t="n"/>
      <c r="D1437" s="40" t="n"/>
      <c r="E1437" s="40" t="n"/>
      <c r="F1437" s="40" t="n"/>
      <c r="G1437" s="39">
        <f>IF(COUNTA(A1437:F1437)=0,"",IF(A1437="EXAMPLE","Example (skipped)",IF(OR(C1437="",E1437="",F1437=""),"✖ Portal, User ID and Password are all needed",IF(AND(A1437="",COUNTIF(Clients!$B$5:$B$1005,B1437)=0),"Not on Clients — will match a portal client by name",IF(AND(C1437="GST",D1437&lt;&gt;"",COUNTIF(Clients!$AZ$5:$AZ$1005,UPPER(D1437))=0,COUNTIF(Clients!$G$5:$G$1005,"*"&amp;UPPER(D1437)&amp;"*")=0),"GSTIN not on Clients — will be checked in the portal","✔ OK")))))</f>
        <v/>
      </c>
    </row>
    <row r="1438">
      <c r="A1438" s="40" t="n"/>
      <c r="B1438" s="41" t="n"/>
      <c r="C1438" s="41" t="n"/>
      <c r="D1438" s="40" t="n"/>
      <c r="E1438" s="40" t="n"/>
      <c r="F1438" s="40" t="n"/>
      <c r="G1438" s="39">
        <f>IF(COUNTA(A1438:F1438)=0,"",IF(A1438="EXAMPLE","Example (skipped)",IF(OR(C1438="",E1438="",F1438=""),"✖ Portal, User ID and Password are all needed",IF(AND(A1438="",COUNTIF(Clients!$B$5:$B$1005,B1438)=0),"Not on Clients — will match a portal client by name",IF(AND(C1438="GST",D1438&lt;&gt;"",COUNTIF(Clients!$AZ$5:$AZ$1005,UPPER(D1438))=0,COUNTIF(Clients!$G$5:$G$1005,"*"&amp;UPPER(D1438)&amp;"*")=0),"GSTIN not on Clients — will be checked in the portal","✔ OK")))))</f>
        <v/>
      </c>
    </row>
    <row r="1439">
      <c r="A1439" s="40" t="n"/>
      <c r="B1439" s="41" t="n"/>
      <c r="C1439" s="41" t="n"/>
      <c r="D1439" s="40" t="n"/>
      <c r="E1439" s="40" t="n"/>
      <c r="F1439" s="40" t="n"/>
      <c r="G1439" s="39">
        <f>IF(COUNTA(A1439:F1439)=0,"",IF(A1439="EXAMPLE","Example (skipped)",IF(OR(C1439="",E1439="",F1439=""),"✖ Portal, User ID and Password are all needed",IF(AND(A1439="",COUNTIF(Clients!$B$5:$B$1005,B1439)=0),"Not on Clients — will match a portal client by name",IF(AND(C1439="GST",D1439&lt;&gt;"",COUNTIF(Clients!$AZ$5:$AZ$1005,UPPER(D1439))=0,COUNTIF(Clients!$G$5:$G$1005,"*"&amp;UPPER(D1439)&amp;"*")=0),"GSTIN not on Clients — will be checked in the portal","✔ OK")))))</f>
        <v/>
      </c>
    </row>
    <row r="1440">
      <c r="A1440" s="40" t="n"/>
      <c r="B1440" s="41" t="n"/>
      <c r="C1440" s="41" t="n"/>
      <c r="D1440" s="40" t="n"/>
      <c r="E1440" s="40" t="n"/>
      <c r="F1440" s="40" t="n"/>
      <c r="G1440" s="39">
        <f>IF(COUNTA(A1440:F1440)=0,"",IF(A1440="EXAMPLE","Example (skipped)",IF(OR(C1440="",E1440="",F1440=""),"✖ Portal, User ID and Password are all needed",IF(AND(A1440="",COUNTIF(Clients!$B$5:$B$1005,B1440)=0),"Not on Clients — will match a portal client by name",IF(AND(C1440="GST",D1440&lt;&gt;"",COUNTIF(Clients!$AZ$5:$AZ$1005,UPPER(D1440))=0,COUNTIF(Clients!$G$5:$G$1005,"*"&amp;UPPER(D1440)&amp;"*")=0),"GSTIN not on Clients — will be checked in the portal","✔ OK")))))</f>
        <v/>
      </c>
    </row>
    <row r="1441">
      <c r="A1441" s="40" t="n"/>
      <c r="B1441" s="41" t="n"/>
      <c r="C1441" s="41" t="n"/>
      <c r="D1441" s="40" t="n"/>
      <c r="E1441" s="40" t="n"/>
      <c r="F1441" s="40" t="n"/>
      <c r="G1441" s="39">
        <f>IF(COUNTA(A1441:F1441)=0,"",IF(A1441="EXAMPLE","Example (skipped)",IF(OR(C1441="",E1441="",F1441=""),"✖ Portal, User ID and Password are all needed",IF(AND(A1441="",COUNTIF(Clients!$B$5:$B$1005,B1441)=0),"Not on Clients — will match a portal client by name",IF(AND(C1441="GST",D1441&lt;&gt;"",COUNTIF(Clients!$AZ$5:$AZ$1005,UPPER(D1441))=0,COUNTIF(Clients!$G$5:$G$1005,"*"&amp;UPPER(D1441)&amp;"*")=0),"GSTIN not on Clients — will be checked in the portal","✔ OK")))))</f>
        <v/>
      </c>
    </row>
    <row r="1442">
      <c r="A1442" s="40" t="n"/>
      <c r="B1442" s="41" t="n"/>
      <c r="C1442" s="41" t="n"/>
      <c r="D1442" s="40" t="n"/>
      <c r="E1442" s="40" t="n"/>
      <c r="F1442" s="40" t="n"/>
      <c r="G1442" s="39">
        <f>IF(COUNTA(A1442:F1442)=0,"",IF(A1442="EXAMPLE","Example (skipped)",IF(OR(C1442="",E1442="",F1442=""),"✖ Portal, User ID and Password are all needed",IF(AND(A1442="",COUNTIF(Clients!$B$5:$B$1005,B1442)=0),"Not on Clients — will match a portal client by name",IF(AND(C1442="GST",D1442&lt;&gt;"",COUNTIF(Clients!$AZ$5:$AZ$1005,UPPER(D1442))=0,COUNTIF(Clients!$G$5:$G$1005,"*"&amp;UPPER(D1442)&amp;"*")=0),"GSTIN not on Clients — will be checked in the portal","✔ OK")))))</f>
        <v/>
      </c>
    </row>
    <row r="1443">
      <c r="A1443" s="40" t="n"/>
      <c r="B1443" s="41" t="n"/>
      <c r="C1443" s="41" t="n"/>
      <c r="D1443" s="40" t="n"/>
      <c r="E1443" s="40" t="n"/>
      <c r="F1443" s="40" t="n"/>
      <c r="G1443" s="39">
        <f>IF(COUNTA(A1443:F1443)=0,"",IF(A1443="EXAMPLE","Example (skipped)",IF(OR(C1443="",E1443="",F1443=""),"✖ Portal, User ID and Password are all needed",IF(AND(A1443="",COUNTIF(Clients!$B$5:$B$1005,B1443)=0),"Not on Clients — will match a portal client by name",IF(AND(C1443="GST",D1443&lt;&gt;"",COUNTIF(Clients!$AZ$5:$AZ$1005,UPPER(D1443))=0,COUNTIF(Clients!$G$5:$G$1005,"*"&amp;UPPER(D1443)&amp;"*")=0),"GSTIN not on Clients — will be checked in the portal","✔ OK")))))</f>
        <v/>
      </c>
    </row>
    <row r="1444">
      <c r="A1444" s="40" t="n"/>
      <c r="B1444" s="41" t="n"/>
      <c r="C1444" s="41" t="n"/>
      <c r="D1444" s="40" t="n"/>
      <c r="E1444" s="40" t="n"/>
      <c r="F1444" s="40" t="n"/>
      <c r="G1444" s="39">
        <f>IF(COUNTA(A1444:F1444)=0,"",IF(A1444="EXAMPLE","Example (skipped)",IF(OR(C1444="",E1444="",F1444=""),"✖ Portal, User ID and Password are all needed",IF(AND(A1444="",COUNTIF(Clients!$B$5:$B$1005,B1444)=0),"Not on Clients — will match a portal client by name",IF(AND(C1444="GST",D1444&lt;&gt;"",COUNTIF(Clients!$AZ$5:$AZ$1005,UPPER(D1444))=0,COUNTIF(Clients!$G$5:$G$1005,"*"&amp;UPPER(D1444)&amp;"*")=0),"GSTIN not on Clients — will be checked in the portal","✔ OK")))))</f>
        <v/>
      </c>
    </row>
    <row r="1445">
      <c r="A1445" s="40" t="n"/>
      <c r="B1445" s="41" t="n"/>
      <c r="C1445" s="41" t="n"/>
      <c r="D1445" s="40" t="n"/>
      <c r="E1445" s="40" t="n"/>
      <c r="F1445" s="40" t="n"/>
      <c r="G1445" s="39">
        <f>IF(COUNTA(A1445:F1445)=0,"",IF(A1445="EXAMPLE","Example (skipped)",IF(OR(C1445="",E1445="",F1445=""),"✖ Portal, User ID and Password are all needed",IF(AND(A1445="",COUNTIF(Clients!$B$5:$B$1005,B1445)=0),"Not on Clients — will match a portal client by name",IF(AND(C1445="GST",D1445&lt;&gt;"",COUNTIF(Clients!$AZ$5:$AZ$1005,UPPER(D1445))=0,COUNTIF(Clients!$G$5:$G$1005,"*"&amp;UPPER(D1445)&amp;"*")=0),"GSTIN not on Clients — will be checked in the portal","✔ OK")))))</f>
        <v/>
      </c>
    </row>
    <row r="1446">
      <c r="A1446" s="40" t="n"/>
      <c r="B1446" s="41" t="n"/>
      <c r="C1446" s="41" t="n"/>
      <c r="D1446" s="40" t="n"/>
      <c r="E1446" s="40" t="n"/>
      <c r="F1446" s="40" t="n"/>
      <c r="G1446" s="39">
        <f>IF(COUNTA(A1446:F1446)=0,"",IF(A1446="EXAMPLE","Example (skipped)",IF(OR(C1446="",E1446="",F1446=""),"✖ Portal, User ID and Password are all needed",IF(AND(A1446="",COUNTIF(Clients!$B$5:$B$1005,B1446)=0),"Not on Clients — will match a portal client by name",IF(AND(C1446="GST",D1446&lt;&gt;"",COUNTIF(Clients!$AZ$5:$AZ$1005,UPPER(D1446))=0,COUNTIF(Clients!$G$5:$G$1005,"*"&amp;UPPER(D1446)&amp;"*")=0),"GSTIN not on Clients — will be checked in the portal","✔ OK")))))</f>
        <v/>
      </c>
    </row>
    <row r="1447">
      <c r="A1447" s="40" t="n"/>
      <c r="B1447" s="41" t="n"/>
      <c r="C1447" s="41" t="n"/>
      <c r="D1447" s="40" t="n"/>
      <c r="E1447" s="40" t="n"/>
      <c r="F1447" s="40" t="n"/>
      <c r="G1447" s="39">
        <f>IF(COUNTA(A1447:F1447)=0,"",IF(A1447="EXAMPLE","Example (skipped)",IF(OR(C1447="",E1447="",F1447=""),"✖ Portal, User ID and Password are all needed",IF(AND(A1447="",COUNTIF(Clients!$B$5:$B$1005,B1447)=0),"Not on Clients — will match a portal client by name",IF(AND(C1447="GST",D1447&lt;&gt;"",COUNTIF(Clients!$AZ$5:$AZ$1005,UPPER(D1447))=0,COUNTIF(Clients!$G$5:$G$1005,"*"&amp;UPPER(D1447)&amp;"*")=0),"GSTIN not on Clients — will be checked in the portal","✔ OK")))))</f>
        <v/>
      </c>
    </row>
    <row r="1448">
      <c r="A1448" s="40" t="n"/>
      <c r="B1448" s="41" t="n"/>
      <c r="C1448" s="41" t="n"/>
      <c r="D1448" s="40" t="n"/>
      <c r="E1448" s="40" t="n"/>
      <c r="F1448" s="40" t="n"/>
      <c r="G1448" s="39">
        <f>IF(COUNTA(A1448:F1448)=0,"",IF(A1448="EXAMPLE","Example (skipped)",IF(OR(C1448="",E1448="",F1448=""),"✖ Portal, User ID and Password are all needed",IF(AND(A1448="",COUNTIF(Clients!$B$5:$B$1005,B1448)=0),"Not on Clients — will match a portal client by name",IF(AND(C1448="GST",D1448&lt;&gt;"",COUNTIF(Clients!$AZ$5:$AZ$1005,UPPER(D1448))=0,COUNTIF(Clients!$G$5:$G$1005,"*"&amp;UPPER(D1448)&amp;"*")=0),"GSTIN not on Clients — will be checked in the portal","✔ OK")))))</f>
        <v/>
      </c>
    </row>
    <row r="1449">
      <c r="A1449" s="40" t="n"/>
      <c r="B1449" s="41" t="n"/>
      <c r="C1449" s="41" t="n"/>
      <c r="D1449" s="40" t="n"/>
      <c r="E1449" s="40" t="n"/>
      <c r="F1449" s="40" t="n"/>
      <c r="G1449" s="39">
        <f>IF(COUNTA(A1449:F1449)=0,"",IF(A1449="EXAMPLE","Example (skipped)",IF(OR(C1449="",E1449="",F1449=""),"✖ Portal, User ID and Password are all needed",IF(AND(A1449="",COUNTIF(Clients!$B$5:$B$1005,B1449)=0),"Not on Clients — will match a portal client by name",IF(AND(C1449="GST",D1449&lt;&gt;"",COUNTIF(Clients!$AZ$5:$AZ$1005,UPPER(D1449))=0,COUNTIF(Clients!$G$5:$G$1005,"*"&amp;UPPER(D1449)&amp;"*")=0),"GSTIN not on Clients — will be checked in the portal","✔ OK")))))</f>
        <v/>
      </c>
    </row>
    <row r="1450">
      <c r="A1450" s="40" t="n"/>
      <c r="B1450" s="41" t="n"/>
      <c r="C1450" s="41" t="n"/>
      <c r="D1450" s="40" t="n"/>
      <c r="E1450" s="40" t="n"/>
      <c r="F1450" s="40" t="n"/>
      <c r="G1450" s="39">
        <f>IF(COUNTA(A1450:F1450)=0,"",IF(A1450="EXAMPLE","Example (skipped)",IF(OR(C1450="",E1450="",F1450=""),"✖ Portal, User ID and Password are all needed",IF(AND(A1450="",COUNTIF(Clients!$B$5:$B$1005,B1450)=0),"Not on Clients — will match a portal client by name",IF(AND(C1450="GST",D1450&lt;&gt;"",COUNTIF(Clients!$AZ$5:$AZ$1005,UPPER(D1450))=0,COUNTIF(Clients!$G$5:$G$1005,"*"&amp;UPPER(D1450)&amp;"*")=0),"GSTIN not on Clients — will be checked in the portal","✔ OK")))))</f>
        <v/>
      </c>
    </row>
    <row r="1451">
      <c r="A1451" s="40" t="n"/>
      <c r="B1451" s="41" t="n"/>
      <c r="C1451" s="41" t="n"/>
      <c r="D1451" s="40" t="n"/>
      <c r="E1451" s="40" t="n"/>
      <c r="F1451" s="40" t="n"/>
      <c r="G1451" s="39">
        <f>IF(COUNTA(A1451:F1451)=0,"",IF(A1451="EXAMPLE","Example (skipped)",IF(OR(C1451="",E1451="",F1451=""),"✖ Portal, User ID and Password are all needed",IF(AND(A1451="",COUNTIF(Clients!$B$5:$B$1005,B1451)=0),"Not on Clients — will match a portal client by name",IF(AND(C1451="GST",D1451&lt;&gt;"",COUNTIF(Clients!$AZ$5:$AZ$1005,UPPER(D1451))=0,COUNTIF(Clients!$G$5:$G$1005,"*"&amp;UPPER(D1451)&amp;"*")=0),"GSTIN not on Clients — will be checked in the portal","✔ OK")))))</f>
        <v/>
      </c>
    </row>
    <row r="1452">
      <c r="A1452" s="40" t="n"/>
      <c r="B1452" s="41" t="n"/>
      <c r="C1452" s="41" t="n"/>
      <c r="D1452" s="40" t="n"/>
      <c r="E1452" s="40" t="n"/>
      <c r="F1452" s="40" t="n"/>
      <c r="G1452" s="39">
        <f>IF(COUNTA(A1452:F1452)=0,"",IF(A1452="EXAMPLE","Example (skipped)",IF(OR(C1452="",E1452="",F1452=""),"✖ Portal, User ID and Password are all needed",IF(AND(A1452="",COUNTIF(Clients!$B$5:$B$1005,B1452)=0),"Not on Clients — will match a portal client by name",IF(AND(C1452="GST",D1452&lt;&gt;"",COUNTIF(Clients!$AZ$5:$AZ$1005,UPPER(D1452))=0,COUNTIF(Clients!$G$5:$G$1005,"*"&amp;UPPER(D1452)&amp;"*")=0),"GSTIN not on Clients — will be checked in the portal","✔ OK")))))</f>
        <v/>
      </c>
    </row>
    <row r="1453">
      <c r="A1453" s="40" t="n"/>
      <c r="B1453" s="41" t="n"/>
      <c r="C1453" s="41" t="n"/>
      <c r="D1453" s="40" t="n"/>
      <c r="E1453" s="40" t="n"/>
      <c r="F1453" s="40" t="n"/>
      <c r="G1453" s="39">
        <f>IF(COUNTA(A1453:F1453)=0,"",IF(A1453="EXAMPLE","Example (skipped)",IF(OR(C1453="",E1453="",F1453=""),"✖ Portal, User ID and Password are all needed",IF(AND(A1453="",COUNTIF(Clients!$B$5:$B$1005,B1453)=0),"Not on Clients — will match a portal client by name",IF(AND(C1453="GST",D1453&lt;&gt;"",COUNTIF(Clients!$AZ$5:$AZ$1005,UPPER(D1453))=0,COUNTIF(Clients!$G$5:$G$1005,"*"&amp;UPPER(D1453)&amp;"*")=0),"GSTIN not on Clients — will be checked in the portal","✔ OK")))))</f>
        <v/>
      </c>
    </row>
    <row r="1454">
      <c r="A1454" s="40" t="n"/>
      <c r="B1454" s="41" t="n"/>
      <c r="C1454" s="41" t="n"/>
      <c r="D1454" s="40" t="n"/>
      <c r="E1454" s="40" t="n"/>
      <c r="F1454" s="40" t="n"/>
      <c r="G1454" s="39">
        <f>IF(COUNTA(A1454:F1454)=0,"",IF(A1454="EXAMPLE","Example (skipped)",IF(OR(C1454="",E1454="",F1454=""),"✖ Portal, User ID and Password are all needed",IF(AND(A1454="",COUNTIF(Clients!$B$5:$B$1005,B1454)=0),"Not on Clients — will match a portal client by name",IF(AND(C1454="GST",D1454&lt;&gt;"",COUNTIF(Clients!$AZ$5:$AZ$1005,UPPER(D1454))=0,COUNTIF(Clients!$G$5:$G$1005,"*"&amp;UPPER(D1454)&amp;"*")=0),"GSTIN not on Clients — will be checked in the portal","✔ OK")))))</f>
        <v/>
      </c>
    </row>
    <row r="1455">
      <c r="A1455" s="40" t="n"/>
      <c r="B1455" s="41" t="n"/>
      <c r="C1455" s="41" t="n"/>
      <c r="D1455" s="40" t="n"/>
      <c r="E1455" s="40" t="n"/>
      <c r="F1455" s="40" t="n"/>
      <c r="G1455" s="39">
        <f>IF(COUNTA(A1455:F1455)=0,"",IF(A1455="EXAMPLE","Example (skipped)",IF(OR(C1455="",E1455="",F1455=""),"✖ Portal, User ID and Password are all needed",IF(AND(A1455="",COUNTIF(Clients!$B$5:$B$1005,B1455)=0),"Not on Clients — will match a portal client by name",IF(AND(C1455="GST",D1455&lt;&gt;"",COUNTIF(Clients!$AZ$5:$AZ$1005,UPPER(D1455))=0,COUNTIF(Clients!$G$5:$G$1005,"*"&amp;UPPER(D1455)&amp;"*")=0),"GSTIN not on Clients — will be checked in the portal","✔ OK")))))</f>
        <v/>
      </c>
    </row>
    <row r="1456">
      <c r="A1456" s="40" t="n"/>
      <c r="B1456" s="41" t="n"/>
      <c r="C1456" s="41" t="n"/>
      <c r="D1456" s="40" t="n"/>
      <c r="E1456" s="40" t="n"/>
      <c r="F1456" s="40" t="n"/>
      <c r="G1456" s="39">
        <f>IF(COUNTA(A1456:F1456)=0,"",IF(A1456="EXAMPLE","Example (skipped)",IF(OR(C1456="",E1456="",F1456=""),"✖ Portal, User ID and Password are all needed",IF(AND(A1456="",COUNTIF(Clients!$B$5:$B$1005,B1456)=0),"Not on Clients — will match a portal client by name",IF(AND(C1456="GST",D1456&lt;&gt;"",COUNTIF(Clients!$AZ$5:$AZ$1005,UPPER(D1456))=0,COUNTIF(Clients!$G$5:$G$1005,"*"&amp;UPPER(D1456)&amp;"*")=0),"GSTIN not on Clients — will be checked in the portal","✔ OK")))))</f>
        <v/>
      </c>
    </row>
    <row r="1457">
      <c r="A1457" s="40" t="n"/>
      <c r="B1457" s="41" t="n"/>
      <c r="C1457" s="41" t="n"/>
      <c r="D1457" s="40" t="n"/>
      <c r="E1457" s="40" t="n"/>
      <c r="F1457" s="40" t="n"/>
      <c r="G1457" s="39">
        <f>IF(COUNTA(A1457:F1457)=0,"",IF(A1457="EXAMPLE","Example (skipped)",IF(OR(C1457="",E1457="",F1457=""),"✖ Portal, User ID and Password are all needed",IF(AND(A1457="",COUNTIF(Clients!$B$5:$B$1005,B1457)=0),"Not on Clients — will match a portal client by name",IF(AND(C1457="GST",D1457&lt;&gt;"",COUNTIF(Clients!$AZ$5:$AZ$1005,UPPER(D1457))=0,COUNTIF(Clients!$G$5:$G$1005,"*"&amp;UPPER(D1457)&amp;"*")=0),"GSTIN not on Clients — will be checked in the portal","✔ OK")))))</f>
        <v/>
      </c>
    </row>
    <row r="1458">
      <c r="A1458" s="40" t="n"/>
      <c r="B1458" s="41" t="n"/>
      <c r="C1458" s="41" t="n"/>
      <c r="D1458" s="40" t="n"/>
      <c r="E1458" s="40" t="n"/>
      <c r="F1458" s="40" t="n"/>
      <c r="G1458" s="39">
        <f>IF(COUNTA(A1458:F1458)=0,"",IF(A1458="EXAMPLE","Example (skipped)",IF(OR(C1458="",E1458="",F1458=""),"✖ Portal, User ID and Password are all needed",IF(AND(A1458="",COUNTIF(Clients!$B$5:$B$1005,B1458)=0),"Not on Clients — will match a portal client by name",IF(AND(C1458="GST",D1458&lt;&gt;"",COUNTIF(Clients!$AZ$5:$AZ$1005,UPPER(D1458))=0,COUNTIF(Clients!$G$5:$G$1005,"*"&amp;UPPER(D1458)&amp;"*")=0),"GSTIN not on Clients — will be checked in the portal","✔ OK")))))</f>
        <v/>
      </c>
    </row>
    <row r="1459">
      <c r="A1459" s="40" t="n"/>
      <c r="B1459" s="41" t="n"/>
      <c r="C1459" s="41" t="n"/>
      <c r="D1459" s="40" t="n"/>
      <c r="E1459" s="40" t="n"/>
      <c r="F1459" s="40" t="n"/>
      <c r="G1459" s="39">
        <f>IF(COUNTA(A1459:F1459)=0,"",IF(A1459="EXAMPLE","Example (skipped)",IF(OR(C1459="",E1459="",F1459=""),"✖ Portal, User ID and Password are all needed",IF(AND(A1459="",COUNTIF(Clients!$B$5:$B$1005,B1459)=0),"Not on Clients — will match a portal client by name",IF(AND(C1459="GST",D1459&lt;&gt;"",COUNTIF(Clients!$AZ$5:$AZ$1005,UPPER(D1459))=0,COUNTIF(Clients!$G$5:$G$1005,"*"&amp;UPPER(D1459)&amp;"*")=0),"GSTIN not on Clients — will be checked in the portal","✔ OK")))))</f>
        <v/>
      </c>
    </row>
    <row r="1460">
      <c r="A1460" s="40" t="n"/>
      <c r="B1460" s="41" t="n"/>
      <c r="C1460" s="41" t="n"/>
      <c r="D1460" s="40" t="n"/>
      <c r="E1460" s="40" t="n"/>
      <c r="F1460" s="40" t="n"/>
      <c r="G1460" s="39">
        <f>IF(COUNTA(A1460:F1460)=0,"",IF(A1460="EXAMPLE","Example (skipped)",IF(OR(C1460="",E1460="",F1460=""),"✖ Portal, User ID and Password are all needed",IF(AND(A1460="",COUNTIF(Clients!$B$5:$B$1005,B1460)=0),"Not on Clients — will match a portal client by name",IF(AND(C1460="GST",D1460&lt;&gt;"",COUNTIF(Clients!$AZ$5:$AZ$1005,UPPER(D1460))=0,COUNTIF(Clients!$G$5:$G$1005,"*"&amp;UPPER(D1460)&amp;"*")=0),"GSTIN not on Clients — will be checked in the portal","✔ OK")))))</f>
        <v/>
      </c>
    </row>
    <row r="1461">
      <c r="A1461" s="40" t="n"/>
      <c r="B1461" s="41" t="n"/>
      <c r="C1461" s="41" t="n"/>
      <c r="D1461" s="40" t="n"/>
      <c r="E1461" s="40" t="n"/>
      <c r="F1461" s="40" t="n"/>
      <c r="G1461" s="39">
        <f>IF(COUNTA(A1461:F1461)=0,"",IF(A1461="EXAMPLE","Example (skipped)",IF(OR(C1461="",E1461="",F1461=""),"✖ Portal, User ID and Password are all needed",IF(AND(A1461="",COUNTIF(Clients!$B$5:$B$1005,B1461)=0),"Not on Clients — will match a portal client by name",IF(AND(C1461="GST",D1461&lt;&gt;"",COUNTIF(Clients!$AZ$5:$AZ$1005,UPPER(D1461))=0,COUNTIF(Clients!$G$5:$G$1005,"*"&amp;UPPER(D1461)&amp;"*")=0),"GSTIN not on Clients — will be checked in the portal","✔ OK")))))</f>
        <v/>
      </c>
    </row>
    <row r="1462">
      <c r="A1462" s="40" t="n"/>
      <c r="B1462" s="41" t="n"/>
      <c r="C1462" s="41" t="n"/>
      <c r="D1462" s="40" t="n"/>
      <c r="E1462" s="40" t="n"/>
      <c r="F1462" s="40" t="n"/>
      <c r="G1462" s="39">
        <f>IF(COUNTA(A1462:F1462)=0,"",IF(A1462="EXAMPLE","Example (skipped)",IF(OR(C1462="",E1462="",F1462=""),"✖ Portal, User ID and Password are all needed",IF(AND(A1462="",COUNTIF(Clients!$B$5:$B$1005,B1462)=0),"Not on Clients — will match a portal client by name",IF(AND(C1462="GST",D1462&lt;&gt;"",COUNTIF(Clients!$AZ$5:$AZ$1005,UPPER(D1462))=0,COUNTIF(Clients!$G$5:$G$1005,"*"&amp;UPPER(D1462)&amp;"*")=0),"GSTIN not on Clients — will be checked in the portal","✔ OK")))))</f>
        <v/>
      </c>
    </row>
    <row r="1463">
      <c r="A1463" s="40" t="n"/>
      <c r="B1463" s="41" t="n"/>
      <c r="C1463" s="41" t="n"/>
      <c r="D1463" s="40" t="n"/>
      <c r="E1463" s="40" t="n"/>
      <c r="F1463" s="40" t="n"/>
      <c r="G1463" s="39">
        <f>IF(COUNTA(A1463:F1463)=0,"",IF(A1463="EXAMPLE","Example (skipped)",IF(OR(C1463="",E1463="",F1463=""),"✖ Portal, User ID and Password are all needed",IF(AND(A1463="",COUNTIF(Clients!$B$5:$B$1005,B1463)=0),"Not on Clients — will match a portal client by name",IF(AND(C1463="GST",D1463&lt;&gt;"",COUNTIF(Clients!$AZ$5:$AZ$1005,UPPER(D1463))=0,COUNTIF(Clients!$G$5:$G$1005,"*"&amp;UPPER(D1463)&amp;"*")=0),"GSTIN not on Clients — will be checked in the portal","✔ OK")))))</f>
        <v/>
      </c>
    </row>
    <row r="1464">
      <c r="A1464" s="40" t="n"/>
      <c r="B1464" s="41" t="n"/>
      <c r="C1464" s="41" t="n"/>
      <c r="D1464" s="40" t="n"/>
      <c r="E1464" s="40" t="n"/>
      <c r="F1464" s="40" t="n"/>
      <c r="G1464" s="39">
        <f>IF(COUNTA(A1464:F1464)=0,"",IF(A1464="EXAMPLE","Example (skipped)",IF(OR(C1464="",E1464="",F1464=""),"✖ Portal, User ID and Password are all needed",IF(AND(A1464="",COUNTIF(Clients!$B$5:$B$1005,B1464)=0),"Not on Clients — will match a portal client by name",IF(AND(C1464="GST",D1464&lt;&gt;"",COUNTIF(Clients!$AZ$5:$AZ$1005,UPPER(D1464))=0,COUNTIF(Clients!$G$5:$G$1005,"*"&amp;UPPER(D1464)&amp;"*")=0),"GSTIN not on Clients — will be checked in the portal","✔ OK")))))</f>
        <v/>
      </c>
    </row>
    <row r="1465">
      <c r="A1465" s="40" t="n"/>
      <c r="B1465" s="41" t="n"/>
      <c r="C1465" s="41" t="n"/>
      <c r="D1465" s="40" t="n"/>
      <c r="E1465" s="40" t="n"/>
      <c r="F1465" s="40" t="n"/>
      <c r="G1465" s="39">
        <f>IF(COUNTA(A1465:F1465)=0,"",IF(A1465="EXAMPLE","Example (skipped)",IF(OR(C1465="",E1465="",F1465=""),"✖ Portal, User ID and Password are all needed",IF(AND(A1465="",COUNTIF(Clients!$B$5:$B$1005,B1465)=0),"Not on Clients — will match a portal client by name",IF(AND(C1465="GST",D1465&lt;&gt;"",COUNTIF(Clients!$AZ$5:$AZ$1005,UPPER(D1465))=0,COUNTIF(Clients!$G$5:$G$1005,"*"&amp;UPPER(D1465)&amp;"*")=0),"GSTIN not on Clients — will be checked in the portal","✔ OK")))))</f>
        <v/>
      </c>
    </row>
    <row r="1466">
      <c r="A1466" s="40" t="n"/>
      <c r="B1466" s="41" t="n"/>
      <c r="C1466" s="41" t="n"/>
      <c r="D1466" s="40" t="n"/>
      <c r="E1466" s="40" t="n"/>
      <c r="F1466" s="40" t="n"/>
      <c r="G1466" s="39">
        <f>IF(COUNTA(A1466:F1466)=0,"",IF(A1466="EXAMPLE","Example (skipped)",IF(OR(C1466="",E1466="",F1466=""),"✖ Portal, User ID and Password are all needed",IF(AND(A1466="",COUNTIF(Clients!$B$5:$B$1005,B1466)=0),"Not on Clients — will match a portal client by name",IF(AND(C1466="GST",D1466&lt;&gt;"",COUNTIF(Clients!$AZ$5:$AZ$1005,UPPER(D1466))=0,COUNTIF(Clients!$G$5:$G$1005,"*"&amp;UPPER(D1466)&amp;"*")=0),"GSTIN not on Clients — will be checked in the portal","✔ OK")))))</f>
        <v/>
      </c>
    </row>
    <row r="1467">
      <c r="A1467" s="40" t="n"/>
      <c r="B1467" s="41" t="n"/>
      <c r="C1467" s="41" t="n"/>
      <c r="D1467" s="40" t="n"/>
      <c r="E1467" s="40" t="n"/>
      <c r="F1467" s="40" t="n"/>
      <c r="G1467" s="39">
        <f>IF(COUNTA(A1467:F1467)=0,"",IF(A1467="EXAMPLE","Example (skipped)",IF(OR(C1467="",E1467="",F1467=""),"✖ Portal, User ID and Password are all needed",IF(AND(A1467="",COUNTIF(Clients!$B$5:$B$1005,B1467)=0),"Not on Clients — will match a portal client by name",IF(AND(C1467="GST",D1467&lt;&gt;"",COUNTIF(Clients!$AZ$5:$AZ$1005,UPPER(D1467))=0,COUNTIF(Clients!$G$5:$G$1005,"*"&amp;UPPER(D1467)&amp;"*")=0),"GSTIN not on Clients — will be checked in the portal","✔ OK")))))</f>
        <v/>
      </c>
    </row>
    <row r="1468">
      <c r="A1468" s="40" t="n"/>
      <c r="B1468" s="41" t="n"/>
      <c r="C1468" s="41" t="n"/>
      <c r="D1468" s="40" t="n"/>
      <c r="E1468" s="40" t="n"/>
      <c r="F1468" s="40" t="n"/>
      <c r="G1468" s="39">
        <f>IF(COUNTA(A1468:F1468)=0,"",IF(A1468="EXAMPLE","Example (skipped)",IF(OR(C1468="",E1468="",F1468=""),"✖ Portal, User ID and Password are all needed",IF(AND(A1468="",COUNTIF(Clients!$B$5:$B$1005,B1468)=0),"Not on Clients — will match a portal client by name",IF(AND(C1468="GST",D1468&lt;&gt;"",COUNTIF(Clients!$AZ$5:$AZ$1005,UPPER(D1468))=0,COUNTIF(Clients!$G$5:$G$1005,"*"&amp;UPPER(D1468)&amp;"*")=0),"GSTIN not on Clients — will be checked in the portal","✔ OK")))))</f>
        <v/>
      </c>
    </row>
    <row r="1469">
      <c r="A1469" s="40" t="n"/>
      <c r="B1469" s="41" t="n"/>
      <c r="C1469" s="41" t="n"/>
      <c r="D1469" s="40" t="n"/>
      <c r="E1469" s="40" t="n"/>
      <c r="F1469" s="40" t="n"/>
      <c r="G1469" s="39">
        <f>IF(COUNTA(A1469:F1469)=0,"",IF(A1469="EXAMPLE","Example (skipped)",IF(OR(C1469="",E1469="",F1469=""),"✖ Portal, User ID and Password are all needed",IF(AND(A1469="",COUNTIF(Clients!$B$5:$B$1005,B1469)=0),"Not on Clients — will match a portal client by name",IF(AND(C1469="GST",D1469&lt;&gt;"",COUNTIF(Clients!$AZ$5:$AZ$1005,UPPER(D1469))=0,COUNTIF(Clients!$G$5:$G$1005,"*"&amp;UPPER(D1469)&amp;"*")=0),"GSTIN not on Clients — will be checked in the portal","✔ OK")))))</f>
        <v/>
      </c>
    </row>
    <row r="1470">
      <c r="A1470" s="40" t="n"/>
      <c r="B1470" s="41" t="n"/>
      <c r="C1470" s="41" t="n"/>
      <c r="D1470" s="40" t="n"/>
      <c r="E1470" s="40" t="n"/>
      <c r="F1470" s="40" t="n"/>
      <c r="G1470" s="39">
        <f>IF(COUNTA(A1470:F1470)=0,"",IF(A1470="EXAMPLE","Example (skipped)",IF(OR(C1470="",E1470="",F1470=""),"✖ Portal, User ID and Password are all needed",IF(AND(A1470="",COUNTIF(Clients!$B$5:$B$1005,B1470)=0),"Not on Clients — will match a portal client by name",IF(AND(C1470="GST",D1470&lt;&gt;"",COUNTIF(Clients!$AZ$5:$AZ$1005,UPPER(D1470))=0,COUNTIF(Clients!$G$5:$G$1005,"*"&amp;UPPER(D1470)&amp;"*")=0),"GSTIN not on Clients — will be checked in the portal","✔ OK")))))</f>
        <v/>
      </c>
    </row>
    <row r="1471">
      <c r="A1471" s="40" t="n"/>
      <c r="B1471" s="41" t="n"/>
      <c r="C1471" s="41" t="n"/>
      <c r="D1471" s="40" t="n"/>
      <c r="E1471" s="40" t="n"/>
      <c r="F1471" s="40" t="n"/>
      <c r="G1471" s="39">
        <f>IF(COUNTA(A1471:F1471)=0,"",IF(A1471="EXAMPLE","Example (skipped)",IF(OR(C1471="",E1471="",F1471=""),"✖ Portal, User ID and Password are all needed",IF(AND(A1471="",COUNTIF(Clients!$B$5:$B$1005,B1471)=0),"Not on Clients — will match a portal client by name",IF(AND(C1471="GST",D1471&lt;&gt;"",COUNTIF(Clients!$AZ$5:$AZ$1005,UPPER(D1471))=0,COUNTIF(Clients!$G$5:$G$1005,"*"&amp;UPPER(D1471)&amp;"*")=0),"GSTIN not on Clients — will be checked in the portal","✔ OK")))))</f>
        <v/>
      </c>
    </row>
    <row r="1472">
      <c r="A1472" s="40" t="n"/>
      <c r="B1472" s="41" t="n"/>
      <c r="C1472" s="41" t="n"/>
      <c r="D1472" s="40" t="n"/>
      <c r="E1472" s="40" t="n"/>
      <c r="F1472" s="40" t="n"/>
      <c r="G1472" s="39">
        <f>IF(COUNTA(A1472:F1472)=0,"",IF(A1472="EXAMPLE","Example (skipped)",IF(OR(C1472="",E1472="",F1472=""),"✖ Portal, User ID and Password are all needed",IF(AND(A1472="",COUNTIF(Clients!$B$5:$B$1005,B1472)=0),"Not on Clients — will match a portal client by name",IF(AND(C1472="GST",D1472&lt;&gt;"",COUNTIF(Clients!$AZ$5:$AZ$1005,UPPER(D1472))=0,COUNTIF(Clients!$G$5:$G$1005,"*"&amp;UPPER(D1472)&amp;"*")=0),"GSTIN not on Clients — will be checked in the portal","✔ OK")))))</f>
        <v/>
      </c>
    </row>
    <row r="1473">
      <c r="A1473" s="40" t="n"/>
      <c r="B1473" s="41" t="n"/>
      <c r="C1473" s="41" t="n"/>
      <c r="D1473" s="40" t="n"/>
      <c r="E1473" s="40" t="n"/>
      <c r="F1473" s="40" t="n"/>
      <c r="G1473" s="39">
        <f>IF(COUNTA(A1473:F1473)=0,"",IF(A1473="EXAMPLE","Example (skipped)",IF(OR(C1473="",E1473="",F1473=""),"✖ Portal, User ID and Password are all needed",IF(AND(A1473="",COUNTIF(Clients!$B$5:$B$1005,B1473)=0),"Not on Clients — will match a portal client by name",IF(AND(C1473="GST",D1473&lt;&gt;"",COUNTIF(Clients!$AZ$5:$AZ$1005,UPPER(D1473))=0,COUNTIF(Clients!$G$5:$G$1005,"*"&amp;UPPER(D1473)&amp;"*")=0),"GSTIN not on Clients — will be checked in the portal","✔ OK")))))</f>
        <v/>
      </c>
    </row>
    <row r="1474">
      <c r="A1474" s="40" t="n"/>
      <c r="B1474" s="41" t="n"/>
      <c r="C1474" s="41" t="n"/>
      <c r="D1474" s="40" t="n"/>
      <c r="E1474" s="40" t="n"/>
      <c r="F1474" s="40" t="n"/>
      <c r="G1474" s="39">
        <f>IF(COUNTA(A1474:F1474)=0,"",IF(A1474="EXAMPLE","Example (skipped)",IF(OR(C1474="",E1474="",F1474=""),"✖ Portal, User ID and Password are all needed",IF(AND(A1474="",COUNTIF(Clients!$B$5:$B$1005,B1474)=0),"Not on Clients — will match a portal client by name",IF(AND(C1474="GST",D1474&lt;&gt;"",COUNTIF(Clients!$AZ$5:$AZ$1005,UPPER(D1474))=0,COUNTIF(Clients!$G$5:$G$1005,"*"&amp;UPPER(D1474)&amp;"*")=0),"GSTIN not on Clients — will be checked in the portal","✔ OK")))))</f>
        <v/>
      </c>
    </row>
    <row r="1475">
      <c r="A1475" s="40" t="n"/>
      <c r="B1475" s="41" t="n"/>
      <c r="C1475" s="41" t="n"/>
      <c r="D1475" s="40" t="n"/>
      <c r="E1475" s="40" t="n"/>
      <c r="F1475" s="40" t="n"/>
      <c r="G1475" s="39">
        <f>IF(COUNTA(A1475:F1475)=0,"",IF(A1475="EXAMPLE","Example (skipped)",IF(OR(C1475="",E1475="",F1475=""),"✖ Portal, User ID and Password are all needed",IF(AND(A1475="",COUNTIF(Clients!$B$5:$B$1005,B1475)=0),"Not on Clients — will match a portal client by name",IF(AND(C1475="GST",D1475&lt;&gt;"",COUNTIF(Clients!$AZ$5:$AZ$1005,UPPER(D1475))=0,COUNTIF(Clients!$G$5:$G$1005,"*"&amp;UPPER(D1475)&amp;"*")=0),"GSTIN not on Clients — will be checked in the portal","✔ OK")))))</f>
        <v/>
      </c>
    </row>
    <row r="1476">
      <c r="A1476" s="40" t="n"/>
      <c r="B1476" s="41" t="n"/>
      <c r="C1476" s="41" t="n"/>
      <c r="D1476" s="40" t="n"/>
      <c r="E1476" s="40" t="n"/>
      <c r="F1476" s="40" t="n"/>
      <c r="G1476" s="39">
        <f>IF(COUNTA(A1476:F1476)=0,"",IF(A1476="EXAMPLE","Example (skipped)",IF(OR(C1476="",E1476="",F1476=""),"✖ Portal, User ID and Password are all needed",IF(AND(A1476="",COUNTIF(Clients!$B$5:$B$1005,B1476)=0),"Not on Clients — will match a portal client by name",IF(AND(C1476="GST",D1476&lt;&gt;"",COUNTIF(Clients!$AZ$5:$AZ$1005,UPPER(D1476))=0,COUNTIF(Clients!$G$5:$G$1005,"*"&amp;UPPER(D1476)&amp;"*")=0),"GSTIN not on Clients — will be checked in the portal","✔ OK")))))</f>
        <v/>
      </c>
    </row>
    <row r="1477">
      <c r="A1477" s="40" t="n"/>
      <c r="B1477" s="41" t="n"/>
      <c r="C1477" s="41" t="n"/>
      <c r="D1477" s="40" t="n"/>
      <c r="E1477" s="40" t="n"/>
      <c r="F1477" s="40" t="n"/>
      <c r="G1477" s="39">
        <f>IF(COUNTA(A1477:F1477)=0,"",IF(A1477="EXAMPLE","Example (skipped)",IF(OR(C1477="",E1477="",F1477=""),"✖ Portal, User ID and Password are all needed",IF(AND(A1477="",COUNTIF(Clients!$B$5:$B$1005,B1477)=0),"Not on Clients — will match a portal client by name",IF(AND(C1477="GST",D1477&lt;&gt;"",COUNTIF(Clients!$AZ$5:$AZ$1005,UPPER(D1477))=0,COUNTIF(Clients!$G$5:$G$1005,"*"&amp;UPPER(D1477)&amp;"*")=0),"GSTIN not on Clients — will be checked in the portal","✔ OK")))))</f>
        <v/>
      </c>
    </row>
    <row r="1478">
      <c r="A1478" s="40" t="n"/>
      <c r="B1478" s="41" t="n"/>
      <c r="C1478" s="41" t="n"/>
      <c r="D1478" s="40" t="n"/>
      <c r="E1478" s="40" t="n"/>
      <c r="F1478" s="40" t="n"/>
      <c r="G1478" s="39">
        <f>IF(COUNTA(A1478:F1478)=0,"",IF(A1478="EXAMPLE","Example (skipped)",IF(OR(C1478="",E1478="",F1478=""),"✖ Portal, User ID and Password are all needed",IF(AND(A1478="",COUNTIF(Clients!$B$5:$B$1005,B1478)=0),"Not on Clients — will match a portal client by name",IF(AND(C1478="GST",D1478&lt;&gt;"",COUNTIF(Clients!$AZ$5:$AZ$1005,UPPER(D1478))=0,COUNTIF(Clients!$G$5:$G$1005,"*"&amp;UPPER(D1478)&amp;"*")=0),"GSTIN not on Clients — will be checked in the portal","✔ OK")))))</f>
        <v/>
      </c>
    </row>
    <row r="1479">
      <c r="A1479" s="40" t="n"/>
      <c r="B1479" s="41" t="n"/>
      <c r="C1479" s="41" t="n"/>
      <c r="D1479" s="40" t="n"/>
      <c r="E1479" s="40" t="n"/>
      <c r="F1479" s="40" t="n"/>
      <c r="G1479" s="39">
        <f>IF(COUNTA(A1479:F1479)=0,"",IF(A1479="EXAMPLE","Example (skipped)",IF(OR(C1479="",E1479="",F1479=""),"✖ Portal, User ID and Password are all needed",IF(AND(A1479="",COUNTIF(Clients!$B$5:$B$1005,B1479)=0),"Not on Clients — will match a portal client by name",IF(AND(C1479="GST",D1479&lt;&gt;"",COUNTIF(Clients!$AZ$5:$AZ$1005,UPPER(D1479))=0,COUNTIF(Clients!$G$5:$G$1005,"*"&amp;UPPER(D1479)&amp;"*")=0),"GSTIN not on Clients — will be checked in the portal","✔ OK")))))</f>
        <v/>
      </c>
    </row>
    <row r="1480">
      <c r="A1480" s="40" t="n"/>
      <c r="B1480" s="41" t="n"/>
      <c r="C1480" s="41" t="n"/>
      <c r="D1480" s="40" t="n"/>
      <c r="E1480" s="40" t="n"/>
      <c r="F1480" s="40" t="n"/>
      <c r="G1480" s="39">
        <f>IF(COUNTA(A1480:F1480)=0,"",IF(A1480="EXAMPLE","Example (skipped)",IF(OR(C1480="",E1480="",F1480=""),"✖ Portal, User ID and Password are all needed",IF(AND(A1480="",COUNTIF(Clients!$B$5:$B$1005,B1480)=0),"Not on Clients — will match a portal client by name",IF(AND(C1480="GST",D1480&lt;&gt;"",COUNTIF(Clients!$AZ$5:$AZ$1005,UPPER(D1480))=0,COUNTIF(Clients!$G$5:$G$1005,"*"&amp;UPPER(D1480)&amp;"*")=0),"GSTIN not on Clients — will be checked in the portal","✔ OK")))))</f>
        <v/>
      </c>
    </row>
    <row r="1481">
      <c r="A1481" s="40" t="n"/>
      <c r="B1481" s="41" t="n"/>
      <c r="C1481" s="41" t="n"/>
      <c r="D1481" s="40" t="n"/>
      <c r="E1481" s="40" t="n"/>
      <c r="F1481" s="40" t="n"/>
      <c r="G1481" s="39">
        <f>IF(COUNTA(A1481:F1481)=0,"",IF(A1481="EXAMPLE","Example (skipped)",IF(OR(C1481="",E1481="",F1481=""),"✖ Portal, User ID and Password are all needed",IF(AND(A1481="",COUNTIF(Clients!$B$5:$B$1005,B1481)=0),"Not on Clients — will match a portal client by name",IF(AND(C1481="GST",D1481&lt;&gt;"",COUNTIF(Clients!$AZ$5:$AZ$1005,UPPER(D1481))=0,COUNTIF(Clients!$G$5:$G$1005,"*"&amp;UPPER(D1481)&amp;"*")=0),"GSTIN not on Clients — will be checked in the portal","✔ OK")))))</f>
        <v/>
      </c>
    </row>
    <row r="1482">
      <c r="A1482" s="40" t="n"/>
      <c r="B1482" s="41" t="n"/>
      <c r="C1482" s="41" t="n"/>
      <c r="D1482" s="40" t="n"/>
      <c r="E1482" s="40" t="n"/>
      <c r="F1482" s="40" t="n"/>
      <c r="G1482" s="39">
        <f>IF(COUNTA(A1482:F1482)=0,"",IF(A1482="EXAMPLE","Example (skipped)",IF(OR(C1482="",E1482="",F1482=""),"✖ Portal, User ID and Password are all needed",IF(AND(A1482="",COUNTIF(Clients!$B$5:$B$1005,B1482)=0),"Not on Clients — will match a portal client by name",IF(AND(C1482="GST",D1482&lt;&gt;"",COUNTIF(Clients!$AZ$5:$AZ$1005,UPPER(D1482))=0,COUNTIF(Clients!$G$5:$G$1005,"*"&amp;UPPER(D1482)&amp;"*")=0),"GSTIN not on Clients — will be checked in the portal","✔ OK")))))</f>
        <v/>
      </c>
    </row>
    <row r="1483">
      <c r="A1483" s="40" t="n"/>
      <c r="B1483" s="41" t="n"/>
      <c r="C1483" s="41" t="n"/>
      <c r="D1483" s="40" t="n"/>
      <c r="E1483" s="40" t="n"/>
      <c r="F1483" s="40" t="n"/>
      <c r="G1483" s="39">
        <f>IF(COUNTA(A1483:F1483)=0,"",IF(A1483="EXAMPLE","Example (skipped)",IF(OR(C1483="",E1483="",F1483=""),"✖ Portal, User ID and Password are all needed",IF(AND(A1483="",COUNTIF(Clients!$B$5:$B$1005,B1483)=0),"Not on Clients — will match a portal client by name",IF(AND(C1483="GST",D1483&lt;&gt;"",COUNTIF(Clients!$AZ$5:$AZ$1005,UPPER(D1483))=0,COUNTIF(Clients!$G$5:$G$1005,"*"&amp;UPPER(D1483)&amp;"*")=0),"GSTIN not on Clients — will be checked in the portal","✔ OK")))))</f>
        <v/>
      </c>
    </row>
    <row r="1484">
      <c r="A1484" s="40" t="n"/>
      <c r="B1484" s="41" t="n"/>
      <c r="C1484" s="41" t="n"/>
      <c r="D1484" s="40" t="n"/>
      <c r="E1484" s="40" t="n"/>
      <c r="F1484" s="40" t="n"/>
      <c r="G1484" s="39">
        <f>IF(COUNTA(A1484:F1484)=0,"",IF(A1484="EXAMPLE","Example (skipped)",IF(OR(C1484="",E1484="",F1484=""),"✖ Portal, User ID and Password are all needed",IF(AND(A1484="",COUNTIF(Clients!$B$5:$B$1005,B1484)=0),"Not on Clients — will match a portal client by name",IF(AND(C1484="GST",D1484&lt;&gt;"",COUNTIF(Clients!$AZ$5:$AZ$1005,UPPER(D1484))=0,COUNTIF(Clients!$G$5:$G$1005,"*"&amp;UPPER(D1484)&amp;"*")=0),"GSTIN not on Clients — will be checked in the portal","✔ OK")))))</f>
        <v/>
      </c>
    </row>
    <row r="1485">
      <c r="A1485" s="40" t="n"/>
      <c r="B1485" s="41" t="n"/>
      <c r="C1485" s="41" t="n"/>
      <c r="D1485" s="40" t="n"/>
      <c r="E1485" s="40" t="n"/>
      <c r="F1485" s="40" t="n"/>
      <c r="G1485" s="39">
        <f>IF(COUNTA(A1485:F1485)=0,"",IF(A1485="EXAMPLE","Example (skipped)",IF(OR(C1485="",E1485="",F1485=""),"✖ Portal, User ID and Password are all needed",IF(AND(A1485="",COUNTIF(Clients!$B$5:$B$1005,B1485)=0),"Not on Clients — will match a portal client by name",IF(AND(C1485="GST",D1485&lt;&gt;"",COUNTIF(Clients!$AZ$5:$AZ$1005,UPPER(D1485))=0,COUNTIF(Clients!$G$5:$G$1005,"*"&amp;UPPER(D1485)&amp;"*")=0),"GSTIN not on Clients — will be checked in the portal","✔ OK")))))</f>
        <v/>
      </c>
    </row>
    <row r="1486">
      <c r="A1486" s="40" t="n"/>
      <c r="B1486" s="41" t="n"/>
      <c r="C1486" s="41" t="n"/>
      <c r="D1486" s="40" t="n"/>
      <c r="E1486" s="40" t="n"/>
      <c r="F1486" s="40" t="n"/>
      <c r="G1486" s="39">
        <f>IF(COUNTA(A1486:F1486)=0,"",IF(A1486="EXAMPLE","Example (skipped)",IF(OR(C1486="",E1486="",F1486=""),"✖ Portal, User ID and Password are all needed",IF(AND(A1486="",COUNTIF(Clients!$B$5:$B$1005,B1486)=0),"Not on Clients — will match a portal client by name",IF(AND(C1486="GST",D1486&lt;&gt;"",COUNTIF(Clients!$AZ$5:$AZ$1005,UPPER(D1486))=0,COUNTIF(Clients!$G$5:$G$1005,"*"&amp;UPPER(D1486)&amp;"*")=0),"GSTIN not on Clients — will be checked in the portal","✔ OK")))))</f>
        <v/>
      </c>
    </row>
    <row r="1487">
      <c r="A1487" s="40" t="n"/>
      <c r="B1487" s="41" t="n"/>
      <c r="C1487" s="41" t="n"/>
      <c r="D1487" s="40" t="n"/>
      <c r="E1487" s="40" t="n"/>
      <c r="F1487" s="40" t="n"/>
      <c r="G1487" s="39">
        <f>IF(COUNTA(A1487:F1487)=0,"",IF(A1487="EXAMPLE","Example (skipped)",IF(OR(C1487="",E1487="",F1487=""),"✖ Portal, User ID and Password are all needed",IF(AND(A1487="",COUNTIF(Clients!$B$5:$B$1005,B1487)=0),"Not on Clients — will match a portal client by name",IF(AND(C1487="GST",D1487&lt;&gt;"",COUNTIF(Clients!$AZ$5:$AZ$1005,UPPER(D1487))=0,COUNTIF(Clients!$G$5:$G$1005,"*"&amp;UPPER(D1487)&amp;"*")=0),"GSTIN not on Clients — will be checked in the portal","✔ OK")))))</f>
        <v/>
      </c>
    </row>
    <row r="1488">
      <c r="A1488" s="40" t="n"/>
      <c r="B1488" s="41" t="n"/>
      <c r="C1488" s="41" t="n"/>
      <c r="D1488" s="40" t="n"/>
      <c r="E1488" s="40" t="n"/>
      <c r="F1488" s="40" t="n"/>
      <c r="G1488" s="39">
        <f>IF(COUNTA(A1488:F1488)=0,"",IF(A1488="EXAMPLE","Example (skipped)",IF(OR(C1488="",E1488="",F1488=""),"✖ Portal, User ID and Password are all needed",IF(AND(A1488="",COUNTIF(Clients!$B$5:$B$1005,B1488)=0),"Not on Clients — will match a portal client by name",IF(AND(C1488="GST",D1488&lt;&gt;"",COUNTIF(Clients!$AZ$5:$AZ$1005,UPPER(D1488))=0,COUNTIF(Clients!$G$5:$G$1005,"*"&amp;UPPER(D1488)&amp;"*")=0),"GSTIN not on Clients — will be checked in the portal","✔ OK")))))</f>
        <v/>
      </c>
    </row>
    <row r="1489">
      <c r="A1489" s="40" t="n"/>
      <c r="B1489" s="41" t="n"/>
      <c r="C1489" s="41" t="n"/>
      <c r="D1489" s="40" t="n"/>
      <c r="E1489" s="40" t="n"/>
      <c r="F1489" s="40" t="n"/>
      <c r="G1489" s="39">
        <f>IF(COUNTA(A1489:F1489)=0,"",IF(A1489="EXAMPLE","Example (skipped)",IF(OR(C1489="",E1489="",F1489=""),"✖ Portal, User ID and Password are all needed",IF(AND(A1489="",COUNTIF(Clients!$B$5:$B$1005,B1489)=0),"Not on Clients — will match a portal client by name",IF(AND(C1489="GST",D1489&lt;&gt;"",COUNTIF(Clients!$AZ$5:$AZ$1005,UPPER(D1489))=0,COUNTIF(Clients!$G$5:$G$1005,"*"&amp;UPPER(D1489)&amp;"*")=0),"GSTIN not on Clients — will be checked in the portal","✔ OK")))))</f>
        <v/>
      </c>
    </row>
    <row r="1490">
      <c r="A1490" s="40" t="n"/>
      <c r="B1490" s="41" t="n"/>
      <c r="C1490" s="41" t="n"/>
      <c r="D1490" s="40" t="n"/>
      <c r="E1490" s="40" t="n"/>
      <c r="F1490" s="40" t="n"/>
      <c r="G1490" s="39">
        <f>IF(COUNTA(A1490:F1490)=0,"",IF(A1490="EXAMPLE","Example (skipped)",IF(OR(C1490="",E1490="",F1490=""),"✖ Portal, User ID and Password are all needed",IF(AND(A1490="",COUNTIF(Clients!$B$5:$B$1005,B1490)=0),"Not on Clients — will match a portal client by name",IF(AND(C1490="GST",D1490&lt;&gt;"",COUNTIF(Clients!$AZ$5:$AZ$1005,UPPER(D1490))=0,COUNTIF(Clients!$G$5:$G$1005,"*"&amp;UPPER(D1490)&amp;"*")=0),"GSTIN not on Clients — will be checked in the portal","✔ OK")))))</f>
        <v/>
      </c>
    </row>
    <row r="1491">
      <c r="A1491" s="40" t="n"/>
      <c r="B1491" s="41" t="n"/>
      <c r="C1491" s="41" t="n"/>
      <c r="D1491" s="40" t="n"/>
      <c r="E1491" s="40" t="n"/>
      <c r="F1491" s="40" t="n"/>
      <c r="G1491" s="39">
        <f>IF(COUNTA(A1491:F1491)=0,"",IF(A1491="EXAMPLE","Example (skipped)",IF(OR(C1491="",E1491="",F1491=""),"✖ Portal, User ID and Password are all needed",IF(AND(A1491="",COUNTIF(Clients!$B$5:$B$1005,B1491)=0),"Not on Clients — will match a portal client by name",IF(AND(C1491="GST",D1491&lt;&gt;"",COUNTIF(Clients!$AZ$5:$AZ$1005,UPPER(D1491))=0,COUNTIF(Clients!$G$5:$G$1005,"*"&amp;UPPER(D1491)&amp;"*")=0),"GSTIN not on Clients — will be checked in the portal","✔ OK")))))</f>
        <v/>
      </c>
    </row>
    <row r="1492">
      <c r="A1492" s="40" t="n"/>
      <c r="B1492" s="41" t="n"/>
      <c r="C1492" s="41" t="n"/>
      <c r="D1492" s="40" t="n"/>
      <c r="E1492" s="40" t="n"/>
      <c r="F1492" s="40" t="n"/>
      <c r="G1492" s="39">
        <f>IF(COUNTA(A1492:F1492)=0,"",IF(A1492="EXAMPLE","Example (skipped)",IF(OR(C1492="",E1492="",F1492=""),"✖ Portal, User ID and Password are all needed",IF(AND(A1492="",COUNTIF(Clients!$B$5:$B$1005,B1492)=0),"Not on Clients — will match a portal client by name",IF(AND(C1492="GST",D1492&lt;&gt;"",COUNTIF(Clients!$AZ$5:$AZ$1005,UPPER(D1492))=0,COUNTIF(Clients!$G$5:$G$1005,"*"&amp;UPPER(D1492)&amp;"*")=0),"GSTIN not on Clients — will be checked in the portal","✔ OK")))))</f>
        <v/>
      </c>
    </row>
    <row r="1493">
      <c r="A1493" s="40" t="n"/>
      <c r="B1493" s="41" t="n"/>
      <c r="C1493" s="41" t="n"/>
      <c r="D1493" s="40" t="n"/>
      <c r="E1493" s="40" t="n"/>
      <c r="F1493" s="40" t="n"/>
      <c r="G1493" s="39">
        <f>IF(COUNTA(A1493:F1493)=0,"",IF(A1493="EXAMPLE","Example (skipped)",IF(OR(C1493="",E1493="",F1493=""),"✖ Portal, User ID and Password are all needed",IF(AND(A1493="",COUNTIF(Clients!$B$5:$B$1005,B1493)=0),"Not on Clients — will match a portal client by name",IF(AND(C1493="GST",D1493&lt;&gt;"",COUNTIF(Clients!$AZ$5:$AZ$1005,UPPER(D1493))=0,COUNTIF(Clients!$G$5:$G$1005,"*"&amp;UPPER(D1493)&amp;"*")=0),"GSTIN not on Clients — will be checked in the portal","✔ OK")))))</f>
        <v/>
      </c>
    </row>
    <row r="1494">
      <c r="A1494" s="40" t="n"/>
      <c r="B1494" s="41" t="n"/>
      <c r="C1494" s="41" t="n"/>
      <c r="D1494" s="40" t="n"/>
      <c r="E1494" s="40" t="n"/>
      <c r="F1494" s="40" t="n"/>
      <c r="G1494" s="39">
        <f>IF(COUNTA(A1494:F1494)=0,"",IF(A1494="EXAMPLE","Example (skipped)",IF(OR(C1494="",E1494="",F1494=""),"✖ Portal, User ID and Password are all needed",IF(AND(A1494="",COUNTIF(Clients!$B$5:$B$1005,B1494)=0),"Not on Clients — will match a portal client by name",IF(AND(C1494="GST",D1494&lt;&gt;"",COUNTIF(Clients!$AZ$5:$AZ$1005,UPPER(D1494))=0,COUNTIF(Clients!$G$5:$G$1005,"*"&amp;UPPER(D1494)&amp;"*")=0),"GSTIN not on Clients — will be checked in the portal","✔ OK")))))</f>
        <v/>
      </c>
    </row>
    <row r="1495">
      <c r="A1495" s="40" t="n"/>
      <c r="B1495" s="41" t="n"/>
      <c r="C1495" s="41" t="n"/>
      <c r="D1495" s="40" t="n"/>
      <c r="E1495" s="40" t="n"/>
      <c r="F1495" s="40" t="n"/>
      <c r="G1495" s="39">
        <f>IF(COUNTA(A1495:F1495)=0,"",IF(A1495="EXAMPLE","Example (skipped)",IF(OR(C1495="",E1495="",F1495=""),"✖ Portal, User ID and Password are all needed",IF(AND(A1495="",COUNTIF(Clients!$B$5:$B$1005,B1495)=0),"Not on Clients — will match a portal client by name",IF(AND(C1495="GST",D1495&lt;&gt;"",COUNTIF(Clients!$AZ$5:$AZ$1005,UPPER(D1495))=0,COUNTIF(Clients!$G$5:$G$1005,"*"&amp;UPPER(D1495)&amp;"*")=0),"GSTIN not on Clients — will be checked in the portal","✔ OK")))))</f>
        <v/>
      </c>
    </row>
    <row r="1496">
      <c r="A1496" s="40" t="n"/>
      <c r="B1496" s="41" t="n"/>
      <c r="C1496" s="41" t="n"/>
      <c r="D1496" s="40" t="n"/>
      <c r="E1496" s="40" t="n"/>
      <c r="F1496" s="40" t="n"/>
      <c r="G1496" s="39">
        <f>IF(COUNTA(A1496:F1496)=0,"",IF(A1496="EXAMPLE","Example (skipped)",IF(OR(C1496="",E1496="",F1496=""),"✖ Portal, User ID and Password are all needed",IF(AND(A1496="",COUNTIF(Clients!$B$5:$B$1005,B1496)=0),"Not on Clients — will match a portal client by name",IF(AND(C1496="GST",D1496&lt;&gt;"",COUNTIF(Clients!$AZ$5:$AZ$1005,UPPER(D1496))=0,COUNTIF(Clients!$G$5:$G$1005,"*"&amp;UPPER(D1496)&amp;"*")=0),"GSTIN not on Clients — will be checked in the portal","✔ OK")))))</f>
        <v/>
      </c>
    </row>
    <row r="1497">
      <c r="A1497" s="40" t="n"/>
      <c r="B1497" s="41" t="n"/>
      <c r="C1497" s="41" t="n"/>
      <c r="D1497" s="40" t="n"/>
      <c r="E1497" s="40" t="n"/>
      <c r="F1497" s="40" t="n"/>
      <c r="G1497" s="39">
        <f>IF(COUNTA(A1497:F1497)=0,"",IF(A1497="EXAMPLE","Example (skipped)",IF(OR(C1497="",E1497="",F1497=""),"✖ Portal, User ID and Password are all needed",IF(AND(A1497="",COUNTIF(Clients!$B$5:$B$1005,B1497)=0),"Not on Clients — will match a portal client by name",IF(AND(C1497="GST",D1497&lt;&gt;"",COUNTIF(Clients!$AZ$5:$AZ$1005,UPPER(D1497))=0,COUNTIF(Clients!$G$5:$G$1005,"*"&amp;UPPER(D1497)&amp;"*")=0),"GSTIN not on Clients — will be checked in the portal","✔ OK")))))</f>
        <v/>
      </c>
    </row>
    <row r="1498">
      <c r="A1498" s="40" t="n"/>
      <c r="B1498" s="41" t="n"/>
      <c r="C1498" s="41" t="n"/>
      <c r="D1498" s="40" t="n"/>
      <c r="E1498" s="40" t="n"/>
      <c r="F1498" s="40" t="n"/>
      <c r="G1498" s="39">
        <f>IF(COUNTA(A1498:F1498)=0,"",IF(A1498="EXAMPLE","Example (skipped)",IF(OR(C1498="",E1498="",F1498=""),"✖ Portal, User ID and Password are all needed",IF(AND(A1498="",COUNTIF(Clients!$B$5:$B$1005,B1498)=0),"Not on Clients — will match a portal client by name",IF(AND(C1498="GST",D1498&lt;&gt;"",COUNTIF(Clients!$AZ$5:$AZ$1005,UPPER(D1498))=0,COUNTIF(Clients!$G$5:$G$1005,"*"&amp;UPPER(D1498)&amp;"*")=0),"GSTIN not on Clients — will be checked in the portal","✔ OK")))))</f>
        <v/>
      </c>
    </row>
    <row r="1499">
      <c r="A1499" s="40" t="n"/>
      <c r="B1499" s="41" t="n"/>
      <c r="C1499" s="41" t="n"/>
      <c r="D1499" s="40" t="n"/>
      <c r="E1499" s="40" t="n"/>
      <c r="F1499" s="40" t="n"/>
      <c r="G1499" s="39">
        <f>IF(COUNTA(A1499:F1499)=0,"",IF(A1499="EXAMPLE","Example (skipped)",IF(OR(C1499="",E1499="",F1499=""),"✖ Portal, User ID and Password are all needed",IF(AND(A1499="",COUNTIF(Clients!$B$5:$B$1005,B1499)=0),"Not on Clients — will match a portal client by name",IF(AND(C1499="GST",D1499&lt;&gt;"",COUNTIF(Clients!$AZ$5:$AZ$1005,UPPER(D1499))=0,COUNTIF(Clients!$G$5:$G$1005,"*"&amp;UPPER(D1499)&amp;"*")=0),"GSTIN not on Clients — will be checked in the portal","✔ OK")))))</f>
        <v/>
      </c>
    </row>
    <row r="1500">
      <c r="A1500" s="40" t="n"/>
      <c r="B1500" s="41" t="n"/>
      <c r="C1500" s="41" t="n"/>
      <c r="D1500" s="40" t="n"/>
      <c r="E1500" s="40" t="n"/>
      <c r="F1500" s="40" t="n"/>
      <c r="G1500" s="39">
        <f>IF(COUNTA(A1500:F1500)=0,"",IF(A1500="EXAMPLE","Example (skipped)",IF(OR(C1500="",E1500="",F1500=""),"✖ Portal, User ID and Password are all needed",IF(AND(A1500="",COUNTIF(Clients!$B$5:$B$1005,B1500)=0),"Not on Clients — will match a portal client by name",IF(AND(C1500="GST",D1500&lt;&gt;"",COUNTIF(Clients!$AZ$5:$AZ$1005,UPPER(D1500))=0,COUNTIF(Clients!$G$5:$G$1005,"*"&amp;UPPER(D1500)&amp;"*")=0),"GSTIN not on Clients — will be checked in the portal","✔ OK")))))</f>
        <v/>
      </c>
    </row>
    <row r="1501">
      <c r="A1501" s="40" t="n"/>
      <c r="B1501" s="41" t="n"/>
      <c r="C1501" s="41" t="n"/>
      <c r="D1501" s="40" t="n"/>
      <c r="E1501" s="40" t="n"/>
      <c r="F1501" s="40" t="n"/>
      <c r="G1501" s="39">
        <f>IF(COUNTA(A1501:F1501)=0,"",IF(A1501="EXAMPLE","Example (skipped)",IF(OR(C1501="",E1501="",F1501=""),"✖ Portal, User ID and Password are all needed",IF(AND(A1501="",COUNTIF(Clients!$B$5:$B$1005,B1501)=0),"Not on Clients — will match a portal client by name",IF(AND(C1501="GST",D1501&lt;&gt;"",COUNTIF(Clients!$AZ$5:$AZ$1005,UPPER(D1501))=0,COUNTIF(Clients!$G$5:$G$1005,"*"&amp;UPPER(D1501)&amp;"*")=0),"GSTIN not on Clients — will be checked in the portal","✔ OK")))))</f>
        <v/>
      </c>
    </row>
    <row r="1502">
      <c r="A1502" s="40" t="n"/>
      <c r="B1502" s="41" t="n"/>
      <c r="C1502" s="41" t="n"/>
      <c r="D1502" s="40" t="n"/>
      <c r="E1502" s="40" t="n"/>
      <c r="F1502" s="40" t="n"/>
      <c r="G1502" s="39">
        <f>IF(COUNTA(A1502:F1502)=0,"",IF(A1502="EXAMPLE","Example (skipped)",IF(OR(C1502="",E1502="",F1502=""),"✖ Portal, User ID and Password are all needed",IF(AND(A1502="",COUNTIF(Clients!$B$5:$B$1005,B1502)=0),"Not on Clients — will match a portal client by name",IF(AND(C1502="GST",D1502&lt;&gt;"",COUNTIF(Clients!$AZ$5:$AZ$1005,UPPER(D1502))=0,COUNTIF(Clients!$G$5:$G$1005,"*"&amp;UPPER(D1502)&amp;"*")=0),"GSTIN not on Clients — will be checked in the portal","✔ OK")))))</f>
        <v/>
      </c>
    </row>
    <row r="1503">
      <c r="A1503" s="40" t="n"/>
      <c r="B1503" s="41" t="n"/>
      <c r="C1503" s="41" t="n"/>
      <c r="D1503" s="40" t="n"/>
      <c r="E1503" s="40" t="n"/>
      <c r="F1503" s="40" t="n"/>
      <c r="G1503" s="39">
        <f>IF(COUNTA(A1503:F1503)=0,"",IF(A1503="EXAMPLE","Example (skipped)",IF(OR(C1503="",E1503="",F1503=""),"✖ Portal, User ID and Password are all needed",IF(AND(A1503="",COUNTIF(Clients!$B$5:$B$1005,B1503)=0),"Not on Clients — will match a portal client by name",IF(AND(C1503="GST",D1503&lt;&gt;"",COUNTIF(Clients!$AZ$5:$AZ$1005,UPPER(D1503))=0,COUNTIF(Clients!$G$5:$G$1005,"*"&amp;UPPER(D1503)&amp;"*")=0),"GSTIN not on Clients — will be checked in the portal","✔ OK")))))</f>
        <v/>
      </c>
    </row>
  </sheetData>
  <mergeCells count="2">
    <mergeCell ref="A2:G2"/>
    <mergeCell ref="A1:G1"/>
  </mergeCells>
  <conditionalFormatting sqref="G4:G1503">
    <cfRule type="expression" priority="1" dxfId="2">
      <formula>LEFT(G4,1)="✔"</formula>
    </cfRule>
    <cfRule type="expression" priority="2" dxfId="1">
      <formula>LEFT(G4,1)="✖"</formula>
    </cfRule>
  </conditionalFormatting>
  <dataValidations count="1">
    <dataValidation sqref="C4:C1503" showDropDown="0" showInputMessage="0" showErrorMessage="1" allowBlank="1" errorTitle="Not in the list" error="Pick a portal from the list." type="list">
      <formula1>=Lists!$T$2:$T$9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T38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5" customWidth="1" min="5" max="5"/>
    <col width="24" customWidth="1" min="6" max="6"/>
    <col width="20" customWidth="1" min="8" max="8"/>
    <col width="20" customWidth="1" min="9" max="9"/>
    <col width="15" customWidth="1" min="11" max="11"/>
    <col width="38" customWidth="1" min="12" max="12"/>
    <col width="15" customWidth="1" min="14" max="14"/>
    <col width="10" customWidth="1" min="16" max="16"/>
    <col width="15" customWidth="1" min="18" max="18"/>
    <col width="20" customWidth="1" min="20" max="20"/>
  </cols>
  <sheetData>
    <row r="1">
      <c r="A1" s="42" t="inlineStr">
        <is>
          <t>Entity type</t>
        </is>
      </c>
      <c r="B1" s="42" t="inlineStr">
        <is>
          <t>Portal slug</t>
        </is>
      </c>
      <c r="C1" s="42" t="inlineStr">
        <is>
          <t>Category</t>
        </is>
      </c>
      <c r="E1" s="42" t="inlineStr">
        <is>
          <t>PAN 4th letter</t>
        </is>
      </c>
      <c r="F1" s="42" t="inlineStr">
        <is>
          <t>Guessed type</t>
        </is>
      </c>
      <c r="H1" s="42" t="inlineStr">
        <is>
          <t>Legal status</t>
        </is>
      </c>
      <c r="I1" s="42" t="inlineStr">
        <is>
          <t>Portal value</t>
        </is>
      </c>
      <c r="K1" s="42" t="inlineStr">
        <is>
          <t>GST state code</t>
        </is>
      </c>
      <c r="L1" s="42" t="inlineStr">
        <is>
          <t>State</t>
        </is>
      </c>
      <c r="N1" s="42" t="inlineStr">
        <is>
          <t>Financial year</t>
        </is>
      </c>
      <c r="P1" s="42" t="inlineStr">
        <is>
          <t>Yes / No</t>
        </is>
      </c>
      <c r="R1" s="42" t="inlineStr">
        <is>
          <t>GST frequency</t>
        </is>
      </c>
      <c r="T1" s="42" t="inlineStr">
        <is>
          <t>Login portal</t>
        </is>
      </c>
    </row>
    <row r="2">
      <c r="A2" s="43" t="inlineStr">
        <is>
          <t>Private Limited Company</t>
        </is>
      </c>
      <c r="B2" s="43" t="inlineStr">
        <is>
          <t>private_limited</t>
        </is>
      </c>
      <c r="C2" s="43" t="inlineStr">
        <is>
          <t>company</t>
        </is>
      </c>
      <c r="E2" s="43" t="inlineStr">
        <is>
          <t>C</t>
        </is>
      </c>
      <c r="F2" s="43" t="inlineStr">
        <is>
          <t>Private Limited Company</t>
        </is>
      </c>
      <c r="H2" s="43" t="inlineStr">
        <is>
          <t>Active</t>
        </is>
      </c>
      <c r="I2" s="43" t="inlineStr">
        <is>
          <t>active</t>
        </is>
      </c>
      <c r="K2" s="44" t="inlineStr">
        <is>
          <t>01</t>
        </is>
      </c>
      <c r="L2" s="43" t="inlineStr">
        <is>
          <t>Jammu and Kashmir</t>
        </is>
      </c>
      <c r="N2" s="43" t="inlineStr">
        <is>
          <t>2024-25</t>
        </is>
      </c>
      <c r="P2" s="43" t="inlineStr">
        <is>
          <t>Yes</t>
        </is>
      </c>
      <c r="R2" s="43" t="inlineStr">
        <is>
          <t>Monthly</t>
        </is>
      </c>
      <c r="T2" s="43" t="inlineStr">
        <is>
          <t>GST</t>
        </is>
      </c>
    </row>
    <row r="3">
      <c r="A3" s="43" t="inlineStr">
        <is>
          <t>Public Limited Company</t>
        </is>
      </c>
      <c r="B3" s="43" t="inlineStr">
        <is>
          <t>public_limited</t>
        </is>
      </c>
      <c r="C3" s="43" t="inlineStr">
        <is>
          <t>company</t>
        </is>
      </c>
      <c r="E3" s="43" t="inlineStr">
        <is>
          <t>P</t>
        </is>
      </c>
      <c r="F3" s="43" t="inlineStr">
        <is>
          <t>Proprietorship</t>
        </is>
      </c>
      <c r="H3" s="43" t="inlineStr">
        <is>
          <t>Under incorporation</t>
        </is>
      </c>
      <c r="I3" s="43" t="inlineStr">
        <is>
          <t>under_incorporation</t>
        </is>
      </c>
      <c r="K3" s="44" t="inlineStr">
        <is>
          <t>02</t>
        </is>
      </c>
      <c r="L3" s="43" t="inlineStr">
        <is>
          <t>Himachal Pradesh</t>
        </is>
      </c>
      <c r="N3" s="43" t="inlineStr">
        <is>
          <t>2025-26</t>
        </is>
      </c>
      <c r="P3" s="43" t="inlineStr">
        <is>
          <t>No</t>
        </is>
      </c>
      <c r="R3" s="43" t="inlineStr">
        <is>
          <t>Quarterly</t>
        </is>
      </c>
      <c r="T3" s="43" t="inlineStr">
        <is>
          <t>Income-tax (PAN)</t>
        </is>
      </c>
    </row>
    <row r="4">
      <c r="A4" s="43" t="inlineStr">
        <is>
          <t>One Person Company</t>
        </is>
      </c>
      <c r="B4" s="43" t="inlineStr">
        <is>
          <t>opc</t>
        </is>
      </c>
      <c r="C4" s="43" t="inlineStr">
        <is>
          <t>company</t>
        </is>
      </c>
      <c r="E4" s="43" t="inlineStr">
        <is>
          <t>F</t>
        </is>
      </c>
      <c r="F4" s="43" t="inlineStr">
        <is>
          <t>Partnership Firm</t>
        </is>
      </c>
      <c r="H4" s="43" t="inlineStr">
        <is>
          <t>Dormant</t>
        </is>
      </c>
      <c r="I4" s="43" t="inlineStr">
        <is>
          <t>dormant</t>
        </is>
      </c>
      <c r="K4" s="44" t="inlineStr">
        <is>
          <t>03</t>
        </is>
      </c>
      <c r="L4" s="43" t="inlineStr">
        <is>
          <t>Punjab</t>
        </is>
      </c>
      <c r="N4" s="43" t="inlineStr">
        <is>
          <t>2026-27</t>
        </is>
      </c>
      <c r="T4" s="43" t="inlineStr">
        <is>
          <t>Income-tax (TAN)</t>
        </is>
      </c>
    </row>
    <row r="5">
      <c r="A5" s="43" t="inlineStr">
        <is>
          <t>Limited Liability Partnership</t>
        </is>
      </c>
      <c r="B5" s="43" t="inlineStr">
        <is>
          <t>llp</t>
        </is>
      </c>
      <c r="C5" s="43" t="inlineStr">
        <is>
          <t>llp</t>
        </is>
      </c>
      <c r="E5" s="43" t="inlineStr">
        <is>
          <t>H</t>
        </is>
      </c>
      <c r="F5" s="43" t="inlineStr">
        <is>
          <t>Hindu Undivided Family</t>
        </is>
      </c>
      <c r="H5" s="43" t="inlineStr">
        <is>
          <t>Struck off</t>
        </is>
      </c>
      <c r="I5" s="43" t="inlineStr">
        <is>
          <t>struck_off</t>
        </is>
      </c>
      <c r="K5" s="44" t="inlineStr">
        <is>
          <t>04</t>
        </is>
      </c>
      <c r="L5" s="43" t="inlineStr">
        <is>
          <t>Chandigarh</t>
        </is>
      </c>
      <c r="N5" s="43" t="inlineStr">
        <is>
          <t>2027-28</t>
        </is>
      </c>
      <c r="T5" s="43" t="inlineStr">
        <is>
          <t>TRACES deductor</t>
        </is>
      </c>
    </row>
    <row r="6">
      <c r="A6" s="43" t="inlineStr">
        <is>
          <t>Partnership Firm</t>
        </is>
      </c>
      <c r="B6" s="43" t="inlineStr">
        <is>
          <t>partnership</t>
        </is>
      </c>
      <c r="C6" s="43" t="inlineStr">
        <is>
          <t>partnership</t>
        </is>
      </c>
      <c r="E6" s="43" t="inlineStr">
        <is>
          <t>A</t>
        </is>
      </c>
      <c r="F6" s="43" t="inlineStr">
        <is>
          <t>Association of Persons</t>
        </is>
      </c>
      <c r="H6" s="43" t="inlineStr">
        <is>
          <t>Under liquidation</t>
        </is>
      </c>
      <c r="I6" s="43" t="inlineStr">
        <is>
          <t>under_liquidation</t>
        </is>
      </c>
      <c r="K6" s="44" t="inlineStr">
        <is>
          <t>05</t>
        </is>
      </c>
      <c r="L6" s="43" t="inlineStr">
        <is>
          <t>Uttarakhand</t>
        </is>
      </c>
      <c r="T6" s="43" t="inlineStr">
        <is>
          <t>TRACES taxpayer</t>
        </is>
      </c>
    </row>
    <row r="7">
      <c r="A7" s="43" t="inlineStr">
        <is>
          <t>Proprietorship</t>
        </is>
      </c>
      <c r="B7" s="43" t="inlineStr">
        <is>
          <t>proprietorship</t>
        </is>
      </c>
      <c r="C7" s="43" t="inlineStr">
        <is>
          <t>proprietorship</t>
        </is>
      </c>
      <c r="E7" s="43" t="inlineStr">
        <is>
          <t>B</t>
        </is>
      </c>
      <c r="F7" s="43" t="inlineStr">
        <is>
          <t>Association of Persons</t>
        </is>
      </c>
      <c r="H7" s="43" t="inlineStr">
        <is>
          <t>CIRP</t>
        </is>
      </c>
      <c r="I7" s="43" t="inlineStr">
        <is>
          <t>cirp</t>
        </is>
      </c>
      <c r="K7" s="44" t="inlineStr">
        <is>
          <t>06</t>
        </is>
      </c>
      <c r="L7" s="43" t="inlineStr">
        <is>
          <t>Haryana</t>
        </is>
      </c>
      <c r="T7" s="43" t="inlineStr">
        <is>
          <t>MCA</t>
        </is>
      </c>
    </row>
    <row r="8">
      <c r="A8" s="43" t="inlineStr">
        <is>
          <t>Individual</t>
        </is>
      </c>
      <c r="B8" s="43" t="inlineStr">
        <is>
          <t>individual</t>
        </is>
      </c>
      <c r="C8" s="43" t="inlineStr">
        <is>
          <t>individual</t>
        </is>
      </c>
      <c r="E8" s="43" t="inlineStr">
        <is>
          <t>T</t>
        </is>
      </c>
      <c r="F8" s="43" t="inlineStr">
        <is>
          <t>Trust</t>
        </is>
      </c>
      <c r="H8" s="43" t="inlineStr">
        <is>
          <t>Closed</t>
        </is>
      </c>
      <c r="I8" s="43" t="inlineStr">
        <is>
          <t>closed</t>
        </is>
      </c>
      <c r="K8" s="44" t="inlineStr">
        <is>
          <t>07</t>
        </is>
      </c>
      <c r="L8" s="43" t="inlineStr">
        <is>
          <t>Delhi</t>
        </is>
      </c>
      <c r="T8" s="43" t="inlineStr">
        <is>
          <t>E-way bill</t>
        </is>
      </c>
    </row>
    <row r="9">
      <c r="A9" s="43" t="inlineStr">
        <is>
          <t>Hindu Undivided Family</t>
        </is>
      </c>
      <c r="B9" s="43" t="inlineStr">
        <is>
          <t>huf</t>
        </is>
      </c>
      <c r="C9" s="43" t="inlineStr">
        <is>
          <t>huf</t>
        </is>
      </c>
      <c r="H9" s="43" t="inlineStr">
        <is>
          <t>Other</t>
        </is>
      </c>
      <c r="I9" s="43" t="inlineStr">
        <is>
          <t>other</t>
        </is>
      </c>
      <c r="K9" s="44" t="inlineStr">
        <is>
          <t>08</t>
        </is>
      </c>
      <c r="L9" s="43" t="inlineStr">
        <is>
          <t>Rajasthan</t>
        </is>
      </c>
      <c r="T9" s="43" t="inlineStr">
        <is>
          <t>E-invoice</t>
        </is>
      </c>
    </row>
    <row r="10">
      <c r="A10" s="43" t="inlineStr">
        <is>
          <t>Trust</t>
        </is>
      </c>
      <c r="B10" s="43" t="inlineStr">
        <is>
          <t>trust</t>
        </is>
      </c>
      <c r="C10" s="43" t="inlineStr">
        <is>
          <t>trust</t>
        </is>
      </c>
      <c r="K10" s="44" t="inlineStr">
        <is>
          <t>09</t>
        </is>
      </c>
      <c r="L10" s="43" t="inlineStr">
        <is>
          <t>Uttar Pradesh</t>
        </is>
      </c>
    </row>
    <row r="11">
      <c r="A11" s="43" t="inlineStr">
        <is>
          <t>Society</t>
        </is>
      </c>
      <c r="B11" s="43" t="inlineStr">
        <is>
          <t>society</t>
        </is>
      </c>
      <c r="C11" s="43" t="inlineStr">
        <is>
          <t>society</t>
        </is>
      </c>
      <c r="K11" s="44" t="inlineStr">
        <is>
          <t>10</t>
        </is>
      </c>
      <c r="L11" s="43" t="inlineStr">
        <is>
          <t>Bihar</t>
        </is>
      </c>
    </row>
    <row r="12">
      <c r="A12" s="43" t="inlineStr">
        <is>
          <t>Association of Persons</t>
        </is>
      </c>
      <c r="B12" s="43" t="inlineStr">
        <is>
          <t>aop</t>
        </is>
      </c>
      <c r="C12" s="43" t="inlineStr">
        <is>
          <t>aop</t>
        </is>
      </c>
      <c r="K12" s="44" t="inlineStr">
        <is>
          <t>11</t>
        </is>
      </c>
      <c r="L12" s="43" t="inlineStr">
        <is>
          <t>Sikkim</t>
        </is>
      </c>
    </row>
    <row r="13">
      <c r="K13" s="44" t="inlineStr">
        <is>
          <t>12</t>
        </is>
      </c>
      <c r="L13" s="43" t="inlineStr">
        <is>
          <t>Arunachal Pradesh</t>
        </is>
      </c>
    </row>
    <row r="14">
      <c r="K14" s="44" t="inlineStr">
        <is>
          <t>13</t>
        </is>
      </c>
      <c r="L14" s="43" t="inlineStr">
        <is>
          <t>Nagaland</t>
        </is>
      </c>
    </row>
    <row r="15">
      <c r="K15" s="44" t="inlineStr">
        <is>
          <t>14</t>
        </is>
      </c>
      <c r="L15" s="43" t="inlineStr">
        <is>
          <t>Manipur</t>
        </is>
      </c>
    </row>
    <row r="16">
      <c r="K16" s="44" t="inlineStr">
        <is>
          <t>15</t>
        </is>
      </c>
      <c r="L16" s="43" t="inlineStr">
        <is>
          <t>Mizoram</t>
        </is>
      </c>
    </row>
    <row r="17">
      <c r="K17" s="44" t="inlineStr">
        <is>
          <t>16</t>
        </is>
      </c>
      <c r="L17" s="43" t="inlineStr">
        <is>
          <t>Tripura</t>
        </is>
      </c>
    </row>
    <row r="18">
      <c r="K18" s="44" t="inlineStr">
        <is>
          <t>17</t>
        </is>
      </c>
      <c r="L18" s="43" t="inlineStr">
        <is>
          <t>Meghalaya</t>
        </is>
      </c>
    </row>
    <row r="19">
      <c r="K19" s="44" t="inlineStr">
        <is>
          <t>18</t>
        </is>
      </c>
      <c r="L19" s="43" t="inlineStr">
        <is>
          <t>Assam</t>
        </is>
      </c>
    </row>
    <row r="20">
      <c r="K20" s="44" t="inlineStr">
        <is>
          <t>19</t>
        </is>
      </c>
      <c r="L20" s="43" t="inlineStr">
        <is>
          <t>West Bengal</t>
        </is>
      </c>
    </row>
    <row r="21">
      <c r="K21" s="44" t="inlineStr">
        <is>
          <t>20</t>
        </is>
      </c>
      <c r="L21" s="43" t="inlineStr">
        <is>
          <t>Jharkhand</t>
        </is>
      </c>
    </row>
    <row r="22">
      <c r="K22" s="44" t="inlineStr">
        <is>
          <t>21</t>
        </is>
      </c>
      <c r="L22" s="43" t="inlineStr">
        <is>
          <t>Odisha</t>
        </is>
      </c>
    </row>
    <row r="23">
      <c r="K23" s="44" t="inlineStr">
        <is>
          <t>22</t>
        </is>
      </c>
      <c r="L23" s="43" t="inlineStr">
        <is>
          <t>Chhattisgarh</t>
        </is>
      </c>
    </row>
    <row r="24">
      <c r="K24" s="44" t="inlineStr">
        <is>
          <t>23</t>
        </is>
      </c>
      <c r="L24" s="43" t="inlineStr">
        <is>
          <t>Madhya Pradesh</t>
        </is>
      </c>
    </row>
    <row r="25">
      <c r="K25" s="44" t="inlineStr">
        <is>
          <t>24</t>
        </is>
      </c>
      <c r="L25" s="43" t="inlineStr">
        <is>
          <t>Gujarat</t>
        </is>
      </c>
    </row>
    <row r="26">
      <c r="K26" s="44" t="inlineStr">
        <is>
          <t>26</t>
        </is>
      </c>
      <c r="L26" s="43" t="inlineStr">
        <is>
          <t>Dadra and Nagar Haveli and Daman and Diu</t>
        </is>
      </c>
    </row>
    <row r="27">
      <c r="K27" s="44" t="inlineStr">
        <is>
          <t>27</t>
        </is>
      </c>
      <c r="L27" s="43" t="inlineStr">
        <is>
          <t>Maharashtra</t>
        </is>
      </c>
    </row>
    <row r="28">
      <c r="K28" s="44" t="inlineStr">
        <is>
          <t>29</t>
        </is>
      </c>
      <c r="L28" s="43" t="inlineStr">
        <is>
          <t>Karnataka</t>
        </is>
      </c>
    </row>
    <row r="29">
      <c r="K29" s="44" t="inlineStr">
        <is>
          <t>30</t>
        </is>
      </c>
      <c r="L29" s="43" t="inlineStr">
        <is>
          <t>Goa</t>
        </is>
      </c>
    </row>
    <row r="30">
      <c r="K30" s="44" t="inlineStr">
        <is>
          <t>31</t>
        </is>
      </c>
      <c r="L30" s="43" t="inlineStr">
        <is>
          <t>Lakshadweep</t>
        </is>
      </c>
    </row>
    <row r="31">
      <c r="K31" s="44" t="inlineStr">
        <is>
          <t>32</t>
        </is>
      </c>
      <c r="L31" s="43" t="inlineStr">
        <is>
          <t>Kerala</t>
        </is>
      </c>
    </row>
    <row r="32">
      <c r="K32" s="44" t="inlineStr">
        <is>
          <t>33</t>
        </is>
      </c>
      <c r="L32" s="43" t="inlineStr">
        <is>
          <t>Tamil Nadu</t>
        </is>
      </c>
    </row>
    <row r="33">
      <c r="K33" s="44" t="inlineStr">
        <is>
          <t>34</t>
        </is>
      </c>
      <c r="L33" s="43" t="inlineStr">
        <is>
          <t>Puducherry</t>
        </is>
      </c>
    </row>
    <row r="34">
      <c r="K34" s="44" t="inlineStr">
        <is>
          <t>35</t>
        </is>
      </c>
      <c r="L34" s="43" t="inlineStr">
        <is>
          <t>Andaman and Nicobar Islands</t>
        </is>
      </c>
    </row>
    <row r="35">
      <c r="K35" s="44" t="inlineStr">
        <is>
          <t>36</t>
        </is>
      </c>
      <c r="L35" s="43" t="inlineStr">
        <is>
          <t>Telangana</t>
        </is>
      </c>
    </row>
    <row r="36">
      <c r="K36" s="44" t="inlineStr">
        <is>
          <t>37</t>
        </is>
      </c>
      <c r="L36" s="43" t="inlineStr">
        <is>
          <t>Andhra Pradesh</t>
        </is>
      </c>
    </row>
    <row r="37">
      <c r="K37" s="44" t="inlineStr">
        <is>
          <t>38</t>
        </is>
      </c>
      <c r="L37" s="43" t="inlineStr">
        <is>
          <t>Ladakh</t>
        </is>
      </c>
    </row>
    <row r="38">
      <c r="K38" s="44" t="inlineStr">
        <is>
          <t>97</t>
        </is>
      </c>
      <c r="L38" s="43" t="inlineStr">
        <is>
          <t>Other Territory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2026-10-24T11:47:01Z</dcterms:created>
  <dcterms:modified xsi:type="dcterms:W3CDTF">2026-10-24T11:47:03Z</dcterms:modified>
</cp:coreProperties>
</file>